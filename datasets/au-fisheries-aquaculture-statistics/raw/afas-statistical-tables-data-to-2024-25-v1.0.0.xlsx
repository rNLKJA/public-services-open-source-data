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J:\FisheriesAndQuantitative\Fisheries\FisheriesEconomics\Australian Fisheries Statistics\AFS 2025\AFAS reports - TRADE and CWLTH\Web page and infographics TRADE and CWLTH\Publication versions\"/>
    </mc:Choice>
  </mc:AlternateContent>
  <xr:revisionPtr revIDLastSave="0" documentId="13_ncr:1_{61335E76-F0F8-42DA-A783-483BEB3E2FE7}" xr6:coauthVersionLast="47" xr6:coauthVersionMax="47" xr10:uidLastSave="{00000000-0000-0000-0000-000000000000}"/>
  <bookViews>
    <workbookView xWindow="-120" yWindow="-120" windowWidth="29040" windowHeight="15720" tabRatio="875" xr2:uid="{BA8CADE7-9207-46C3-9B73-9F53C6FE01F7}"/>
  </bookViews>
  <sheets>
    <sheet name="Index" sheetId="1" r:id="rId1"/>
    <sheet name="Table 1" sheetId="2" r:id="rId2"/>
    <sheet name="Table 2" sheetId="11" r:id="rId3"/>
    <sheet name="Table 3" sheetId="12" r:id="rId4"/>
    <sheet name="Table 4" sheetId="13" r:id="rId5"/>
    <sheet name="Table 5" sheetId="14" r:id="rId6"/>
    <sheet name="Table 6" sheetId="15" r:id="rId7"/>
    <sheet name="Table 7" sheetId="16" r:id="rId8"/>
    <sheet name="Table 8" sheetId="17" r:id="rId9"/>
    <sheet name="Table 9" sheetId="18" r:id="rId10"/>
    <sheet name="Table 10" sheetId="3" r:id="rId11"/>
    <sheet name="Table 11" sheetId="4" r:id="rId12"/>
    <sheet name="Table 12" sheetId="5" r:id="rId13"/>
    <sheet name="Table 13" sheetId="6" r:id="rId14"/>
    <sheet name="Table 14" sheetId="7" r:id="rId15"/>
    <sheet name="Table 15" sheetId="8" r:id="rId16"/>
    <sheet name="Table 16" sheetId="9" r:id="rId17"/>
    <sheet name="Table 17" sheetId="10" r:id="rId18"/>
    <sheet name="Table 18" sheetId="19" r:id="rId19"/>
    <sheet name="Table 19" sheetId="20" r:id="rId20"/>
  </sheets>
  <externalReferences>
    <externalReference r:id="rId21"/>
  </externalReferences>
  <definedNames>
    <definedName name="_xlnm._FilterDatabase" localSheetId="12" hidden="1">'Table 12'!$B$6:$B$258</definedName>
    <definedName name="_xlnm.Print_Area" localSheetId="0">Index!$A$1:$P$33</definedName>
    <definedName name="_xlnm.Print_Area" localSheetId="1">'Table 1'!$A$1:$AC$43</definedName>
    <definedName name="_xlnm.Print_Area" localSheetId="10">'Table 10'!$A$1:$AC$81</definedName>
    <definedName name="_xlnm.Print_Area" localSheetId="11">'Table 11'!$A$1:$AC$71</definedName>
    <definedName name="_xlnm.Print_Area" localSheetId="12">'Table 12'!$A$1:$AC$258</definedName>
    <definedName name="_xlnm.Print_Area" localSheetId="13">'Table 13'!$A$1:$AL$66</definedName>
    <definedName name="_xlnm.Print_Area" localSheetId="14">'Table 14'!$A$1:$AL$59</definedName>
    <definedName name="_xlnm.Print_Area" localSheetId="15">'Table 15'!$A$1:$AM$41</definedName>
    <definedName name="_xlnm.Print_Area" localSheetId="16">'Table 16'!$A$1:$AL$32</definedName>
    <definedName name="_xlnm.Print_Area" localSheetId="17">'Table 17'!$A$1:$AL$39</definedName>
    <definedName name="_xlnm.Print_Area" localSheetId="2">'Table 2'!$A$1:$AC$51</definedName>
    <definedName name="_xlnm.Print_Area" localSheetId="3">'Table 3'!$A$1:$AC$79</definedName>
    <definedName name="_xlnm.Print_Area" localSheetId="4">'Table 4'!$A$1:$AC$57</definedName>
    <definedName name="_xlnm.Print_Area" localSheetId="5">'Table 5'!$A$1:$AC$109</definedName>
    <definedName name="_xlnm.Print_Area" localSheetId="6">'Table 6'!$A$1:$AC$87</definedName>
    <definedName name="_xlnm.Print_Area" localSheetId="7">'Table 7'!$A$1:$AC$111</definedName>
    <definedName name="_xlnm.Print_Area" localSheetId="8">'Table 8'!$A$1:$AC$92</definedName>
    <definedName name="_xlnm.Print_Area" localSheetId="9">'Table 9'!$A$1:$AC$101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4" i="19" l="1"/>
  <c r="AB24" i="19"/>
  <c r="AA24" i="19"/>
  <c r="Z24" i="19"/>
  <c r="Y24" i="19"/>
  <c r="X24" i="19"/>
  <c r="W24" i="19"/>
  <c r="V24" i="19"/>
  <c r="U24" i="19"/>
  <c r="T24" i="19"/>
  <c r="S24" i="19"/>
  <c r="R24" i="19"/>
  <c r="Q24" i="19"/>
  <c r="P24" i="19"/>
  <c r="O24" i="19"/>
  <c r="N24" i="19"/>
  <c r="M24" i="19"/>
  <c r="L24" i="19"/>
  <c r="K24" i="19"/>
  <c r="J24" i="19"/>
  <c r="I24" i="19"/>
  <c r="H24" i="19"/>
  <c r="G24" i="19"/>
  <c r="F24" i="19"/>
  <c r="E24" i="19"/>
  <c r="D24" i="19"/>
  <c r="AC23" i="19"/>
  <c r="AB23" i="19"/>
  <c r="AA23" i="19"/>
  <c r="Z23" i="19"/>
  <c r="Y23" i="19"/>
  <c r="X23" i="19"/>
  <c r="W23" i="19"/>
  <c r="V23" i="19"/>
  <c r="U23" i="19"/>
  <c r="T23" i="19"/>
  <c r="S23" i="19"/>
  <c r="R23" i="19"/>
  <c r="Q23" i="19"/>
  <c r="P23" i="19"/>
  <c r="O23" i="19"/>
  <c r="N23" i="19"/>
  <c r="M23" i="19"/>
  <c r="L23" i="19"/>
  <c r="K23" i="19"/>
  <c r="J23" i="19"/>
  <c r="I23" i="19"/>
  <c r="H23" i="19"/>
  <c r="G23" i="19"/>
  <c r="F23" i="19"/>
  <c r="E23" i="19"/>
  <c r="D23" i="19"/>
  <c r="AC22" i="19"/>
  <c r="AB22" i="19"/>
  <c r="AA22" i="19"/>
  <c r="Z22" i="19"/>
  <c r="Y22" i="19"/>
  <c r="X22" i="19"/>
  <c r="W22" i="19"/>
  <c r="V22" i="19"/>
  <c r="U22" i="19"/>
  <c r="T22" i="19"/>
  <c r="S22" i="19"/>
  <c r="R22" i="19"/>
  <c r="Q22" i="19"/>
  <c r="P22" i="19"/>
  <c r="O22" i="19"/>
  <c r="N22" i="19"/>
  <c r="M22" i="19"/>
  <c r="L22" i="19"/>
  <c r="K22" i="19"/>
  <c r="J22" i="19"/>
  <c r="I22" i="19"/>
  <c r="H22" i="19"/>
  <c r="G22" i="19"/>
  <c r="F22" i="19"/>
  <c r="E22" i="19"/>
  <c r="D22" i="19"/>
  <c r="AC21" i="19"/>
  <c r="AB21" i="19"/>
  <c r="AA21" i="19"/>
  <c r="Z21" i="19"/>
  <c r="Y21" i="19"/>
  <c r="X21" i="19"/>
  <c r="W21" i="19"/>
  <c r="V21" i="19"/>
  <c r="U21" i="19"/>
  <c r="T21" i="19"/>
  <c r="S21" i="19"/>
  <c r="R21" i="19"/>
  <c r="Q21" i="19"/>
  <c r="P21" i="19"/>
  <c r="O21" i="19"/>
  <c r="N21" i="19"/>
  <c r="M21" i="19"/>
  <c r="L21" i="19"/>
  <c r="K21" i="19"/>
  <c r="J21" i="19"/>
  <c r="I21" i="19"/>
  <c r="H21" i="19"/>
  <c r="G21" i="19"/>
  <c r="F21" i="19"/>
  <c r="E21" i="19"/>
  <c r="D21" i="19"/>
  <c r="AC20" i="19"/>
  <c r="AB20" i="19"/>
  <c r="AA20" i="19"/>
  <c r="Z20" i="19"/>
  <c r="Y20" i="19"/>
  <c r="X20" i="19"/>
  <c r="W20" i="19"/>
  <c r="V20" i="19"/>
  <c r="U20" i="19"/>
  <c r="T20" i="19"/>
  <c r="S20" i="19"/>
  <c r="R20" i="19"/>
  <c r="Q20" i="19"/>
  <c r="P20" i="19"/>
  <c r="O20" i="19"/>
  <c r="N20" i="19"/>
  <c r="M20" i="19"/>
  <c r="L20" i="19"/>
  <c r="K20" i="19"/>
  <c r="J20" i="19"/>
  <c r="I20" i="19"/>
  <c r="H20" i="19"/>
  <c r="G20" i="19"/>
  <c r="F20" i="19"/>
  <c r="E20" i="19"/>
  <c r="D20" i="19"/>
  <c r="AC19" i="19"/>
  <c r="AB19" i="19"/>
  <c r="AA19" i="19"/>
  <c r="Z19" i="19"/>
  <c r="Y19" i="19"/>
  <c r="X19" i="19"/>
  <c r="W19" i="19"/>
  <c r="V19" i="19"/>
  <c r="U19" i="19"/>
  <c r="T19" i="19"/>
  <c r="S19" i="19"/>
  <c r="R19" i="19"/>
  <c r="Q19" i="19"/>
  <c r="P19" i="19"/>
  <c r="O19" i="19"/>
  <c r="N19" i="19"/>
  <c r="M19" i="19"/>
  <c r="L19" i="19"/>
  <c r="K19" i="19"/>
  <c r="J19" i="19"/>
  <c r="I19" i="19"/>
  <c r="H19" i="19"/>
  <c r="G19" i="19"/>
  <c r="F19" i="19"/>
  <c r="E19" i="19"/>
  <c r="D19" i="19"/>
  <c r="AC18" i="19"/>
  <c r="AB18" i="19"/>
  <c r="AA18" i="19"/>
  <c r="Z18" i="19"/>
  <c r="Y18" i="19"/>
  <c r="X18" i="19"/>
  <c r="W18" i="19"/>
  <c r="V18" i="19"/>
  <c r="U18" i="19"/>
  <c r="T18" i="19"/>
  <c r="S18" i="19"/>
  <c r="R18" i="19"/>
  <c r="Q18" i="19"/>
  <c r="P18" i="19"/>
  <c r="O18" i="19"/>
  <c r="N18" i="19"/>
  <c r="M18" i="19"/>
  <c r="L18" i="19"/>
  <c r="K18" i="19"/>
  <c r="J18" i="19"/>
  <c r="I18" i="19"/>
  <c r="H18" i="19"/>
  <c r="G18" i="19"/>
  <c r="F18" i="19"/>
  <c r="E18" i="19"/>
  <c r="D18" i="19"/>
  <c r="AC17" i="19"/>
  <c r="AB17" i="19"/>
  <c r="AA17" i="19"/>
  <c r="Z17" i="19"/>
  <c r="Y17" i="19"/>
  <c r="X17" i="19"/>
  <c r="W17" i="19"/>
  <c r="V17" i="19"/>
  <c r="U17" i="19"/>
  <c r="T17" i="19"/>
  <c r="S17" i="19"/>
  <c r="R17" i="19"/>
  <c r="Q17" i="19"/>
  <c r="P17" i="19"/>
  <c r="O17" i="19"/>
  <c r="N17" i="19"/>
  <c r="M17" i="19"/>
  <c r="L17" i="19"/>
  <c r="K17" i="19"/>
  <c r="J17" i="19"/>
  <c r="I17" i="19"/>
  <c r="H17" i="19"/>
  <c r="G17" i="19"/>
  <c r="F17" i="19"/>
  <c r="E17" i="19"/>
  <c r="D17" i="19"/>
  <c r="AC16" i="19"/>
  <c r="AB16" i="19"/>
  <c r="AA16" i="19"/>
  <c r="Z16" i="19"/>
  <c r="Y16" i="19"/>
  <c r="X16" i="19"/>
  <c r="W16" i="19"/>
  <c r="V16" i="19"/>
  <c r="U16" i="19"/>
  <c r="T16" i="19"/>
  <c r="S16" i="19"/>
  <c r="R16" i="19"/>
  <c r="Q16" i="19"/>
  <c r="P16" i="19"/>
  <c r="O16" i="19"/>
  <c r="N16" i="19"/>
  <c r="M16" i="19"/>
  <c r="L16" i="19"/>
  <c r="K16" i="19"/>
  <c r="J16" i="19"/>
  <c r="I16" i="19"/>
  <c r="H16" i="19"/>
  <c r="G16" i="19"/>
  <c r="F16" i="19"/>
  <c r="E16" i="19"/>
  <c r="D16" i="19"/>
  <c r="AC13" i="19"/>
  <c r="AB13" i="19"/>
  <c r="AA13" i="19"/>
  <c r="Z13" i="19"/>
  <c r="Y13" i="19"/>
  <c r="X13" i="19"/>
  <c r="W13" i="19"/>
  <c r="V13" i="19"/>
  <c r="U13" i="19"/>
  <c r="T13" i="19"/>
  <c r="S13" i="19"/>
  <c r="R13" i="19"/>
  <c r="Q13" i="19"/>
  <c r="P13" i="19"/>
  <c r="O13" i="19"/>
  <c r="N13" i="19"/>
  <c r="M13" i="19"/>
  <c r="L13" i="19"/>
  <c r="K13" i="19"/>
  <c r="J13" i="19"/>
  <c r="I13" i="19"/>
  <c r="H13" i="19"/>
  <c r="G13" i="19"/>
  <c r="F13" i="19"/>
  <c r="E13" i="19"/>
  <c r="D13" i="19"/>
  <c r="AC11" i="19"/>
  <c r="AB11" i="19"/>
  <c r="AB14" i="19" s="1"/>
  <c r="AA11" i="19"/>
  <c r="AA14" i="19" s="1"/>
  <c r="Z11" i="19"/>
  <c r="Y11" i="19"/>
  <c r="Y14" i="19" s="1"/>
  <c r="X11" i="19"/>
  <c r="X14" i="19" s="1"/>
  <c r="W11" i="19"/>
  <c r="V11" i="19"/>
  <c r="U11" i="19"/>
  <c r="T11" i="19"/>
  <c r="S11" i="19"/>
  <c r="S14" i="19" s="1"/>
  <c r="R11" i="19"/>
  <c r="R14" i="19" s="1"/>
  <c r="Q11" i="19"/>
  <c r="P11" i="19"/>
  <c r="P14" i="19" s="1"/>
  <c r="O11" i="19"/>
  <c r="N11" i="19"/>
  <c r="M11" i="19"/>
  <c r="L11" i="19"/>
  <c r="K11" i="19"/>
  <c r="J11" i="19"/>
  <c r="J14" i="19" s="1"/>
  <c r="I11" i="19"/>
  <c r="H11" i="19"/>
  <c r="G11" i="19"/>
  <c r="G14" i="19" s="1"/>
  <c r="F11" i="19"/>
  <c r="E11" i="19"/>
  <c r="D11" i="19"/>
  <c r="D14" i="19" s="1"/>
  <c r="AC10" i="19"/>
  <c r="AB10" i="19"/>
  <c r="AA10" i="19"/>
  <c r="Z10" i="19"/>
  <c r="Y10" i="19"/>
  <c r="X10" i="19"/>
  <c r="W10" i="19"/>
  <c r="V10" i="19"/>
  <c r="U10" i="19"/>
  <c r="T10" i="19"/>
  <c r="S10" i="19"/>
  <c r="R10" i="19"/>
  <c r="Q10" i="19"/>
  <c r="P10" i="19"/>
  <c r="O10" i="19"/>
  <c r="N10" i="19"/>
  <c r="M10" i="19"/>
  <c r="L10" i="19"/>
  <c r="K10" i="19"/>
  <c r="J10" i="19"/>
  <c r="I10" i="19"/>
  <c r="H10" i="19"/>
  <c r="G10" i="19"/>
  <c r="F10" i="19"/>
  <c r="E10" i="19"/>
  <c r="D10" i="19"/>
  <c r="L14" i="19" l="1"/>
  <c r="O14" i="19"/>
  <c r="Z14" i="19"/>
  <c r="Q14" i="19"/>
  <c r="T14" i="19"/>
  <c r="H14" i="19"/>
  <c r="I14" i="19"/>
  <c r="K14" i="19"/>
  <c r="W14" i="19"/>
  <c r="E14" i="19"/>
  <c r="M14" i="19"/>
  <c r="U14" i="19"/>
  <c r="AC14" i="19"/>
  <c r="F14" i="19"/>
  <c r="N14" i="19"/>
  <c r="V14" i="19"/>
</calcChain>
</file>

<file path=xl/sharedStrings.xml><?xml version="1.0" encoding="utf-8"?>
<sst xmlns="http://schemas.openxmlformats.org/spreadsheetml/2006/main" count="6125" uniqueCount="559">
  <si>
    <t>STATISTICS</t>
  </si>
  <si>
    <t>1 Gross value of fisheries and aquaculture production, Australia</t>
  </si>
  <si>
    <t>Commodity</t>
  </si>
  <si>
    <t>unit</t>
  </si>
  <si>
    <t xml:space="preserve">State wild-catch fisheries </t>
  </si>
  <si>
    <t>New South Wales</t>
  </si>
  <si>
    <t>$’000</t>
  </si>
  <si>
    <t xml:space="preserve">Victoria </t>
  </si>
  <si>
    <t>Queensland</t>
  </si>
  <si>
    <t>South Australia</t>
  </si>
  <si>
    <t>Western Australia</t>
  </si>
  <si>
    <t>Tasmania</t>
  </si>
  <si>
    <t>Northern Territory</t>
  </si>
  <si>
    <t>Total</t>
  </si>
  <si>
    <t xml:space="preserve">Commonwealth fisheries </t>
  </si>
  <si>
    <t>Northern Prawn</t>
  </si>
  <si>
    <t>Torres Strait</t>
  </si>
  <si>
    <t>SESSF Commonwealth Trawl Sector</t>
  </si>
  <si>
    <t>SESSF Gillnet, Hook and Trap Sector</t>
  </si>
  <si>
    <t>na</t>
  </si>
  <si>
    <t>SESSF Great Australian Bight Trawl Sector</t>
  </si>
  <si>
    <t xml:space="preserve">Eastern Tuna and Billfish </t>
  </si>
  <si>
    <t>Southern Bluefin Tuna</t>
  </si>
  <si>
    <t xml:space="preserve">Western Tuna and Billfish </t>
  </si>
  <si>
    <t>np</t>
  </si>
  <si>
    <t>Bass Strait Scallop</t>
  </si>
  <si>
    <t xml:space="preserve">Southern Squid Jig </t>
  </si>
  <si>
    <t>Total value d</t>
  </si>
  <si>
    <r>
      <rPr>
        <b/>
        <sz val="8"/>
        <color rgb="FF000000"/>
        <rFont val="Calibri"/>
        <family val="2"/>
      </rPr>
      <t>a</t>
    </r>
    <r>
      <rPr>
        <sz val="8"/>
        <color rgb="FF000000"/>
        <rFont val="Calibri"/>
        <family val="2"/>
      </rPr>
      <t xml:space="preserve"> Excludes the value of hatchery fishery production.</t>
    </r>
    <r>
      <rPr>
        <b/>
        <sz val="8"/>
        <color rgb="FF000000"/>
        <rFont val="Calibri"/>
        <family val="2"/>
      </rPr>
      <t xml:space="preserve"> b</t>
    </r>
    <r>
      <rPr>
        <sz val="8"/>
        <color rgb="FF000000"/>
        <rFont val="Calibri"/>
        <family val="2"/>
      </rPr>
      <t xml:space="preserve"> Amalgamated in 2002–03 to become SESSF Gillnet, Hook and Trap Sector.</t>
    </r>
    <r>
      <rPr>
        <b/>
        <sz val="8"/>
        <color rgb="FF000000"/>
        <rFont val="Calibri"/>
        <family val="2"/>
      </rPr>
      <t xml:space="preserve"> c </t>
    </r>
    <r>
      <rPr>
        <sz val="8"/>
        <color rgb="FF000000"/>
        <rFont val="Calibri"/>
        <family val="2"/>
      </rPr>
      <t xml:space="preserve">Includes entries marked np and Small Pelagics, Macquarie Island, Coral Sea, Heard and McDonald Islands, SESSF Victorian coastal waters sector, Norfolk Island, South Tasman Rise, Eastern and Western Skipjack Tuna, East Coast Deepwater Trawl, North West Slope Trawl, and Western Deepwater Trawl fisheries because of confidentiality requirements. </t>
    </r>
    <r>
      <rPr>
        <b/>
        <sz val="8"/>
        <color rgb="FF000000"/>
        <rFont val="Calibri"/>
        <family val="2"/>
      </rPr>
      <t>d</t>
    </r>
    <r>
      <rPr>
        <sz val="8"/>
        <color rgb="FF000000"/>
        <rFont val="Calibri"/>
        <family val="2"/>
      </rPr>
      <t xml:space="preserve"> To avoid double counting, total value has been reduced to allow for Southern Bluefin Tuna caught in the Commonwealth Southern Bluefin Tuna Fishery, as an input to farms in South Australia. </t>
    </r>
    <r>
      <rPr>
        <b/>
        <sz val="8"/>
        <color rgb="FF000000"/>
        <rFont val="Calibri"/>
        <family val="2"/>
      </rPr>
      <t>na</t>
    </r>
    <r>
      <rPr>
        <sz val="8"/>
        <color rgb="FF000000"/>
        <rFont val="Calibri"/>
        <family val="2"/>
      </rPr>
      <t xml:space="preserve"> Not available. </t>
    </r>
    <r>
      <rPr>
        <b/>
        <sz val="8"/>
        <color rgb="FF000000"/>
        <rFont val="Calibri"/>
        <family val="2"/>
      </rPr>
      <t>np</t>
    </r>
    <r>
      <rPr>
        <sz val="8"/>
        <color rgb="FF000000"/>
        <rFont val="Calibri"/>
        <family val="2"/>
      </rPr>
      <t xml:space="preserve"> Not for publication because of confidentiality requirements. Included in Other fisheries. </t>
    </r>
    <r>
      <rPr>
        <b/>
        <sz val="8"/>
        <color rgb="FF000000"/>
        <rFont val="Calibri"/>
        <family val="2"/>
      </rPr>
      <t>p</t>
    </r>
    <r>
      <rPr>
        <sz val="8"/>
        <color rgb="FF000000"/>
        <rFont val="Calibri"/>
        <family val="2"/>
      </rPr>
      <t xml:space="preserve"> Preliminary. </t>
    </r>
    <r>
      <rPr>
        <b/>
        <sz val="8"/>
        <color rgb="FF000000"/>
        <rFont val="Calibri"/>
        <family val="2"/>
      </rPr>
      <t>SESSF</t>
    </r>
    <r>
      <rPr>
        <sz val="8"/>
        <color rgb="FF000000"/>
        <rFont val="Calibri"/>
        <family val="2"/>
      </rPr>
      <t xml:space="preserve"> Southern and Eastern Scalefish and Shark Fishery.
Sources: ABARES; AFMA; Western Australian Department of Fisheries; Tasmanian Department of Primary Industries and Regional Development; New South Wales Department of Primary Industries; Queensland Department of Agriculture and Fisheries; Victorian Fisheries Authority; Northern Territory Department of Primary Industry and Resources; Primary Industries and Regions South Australia; South Australian Research and Development Institute.
</t>
    </r>
  </si>
  <si>
    <r>
      <t xml:space="preserve">Aquaculture </t>
    </r>
    <r>
      <rPr>
        <b/>
        <sz val="9"/>
        <color rgb="FF000000"/>
        <rFont val="Calibri"/>
        <family val="2"/>
      </rPr>
      <t>a</t>
    </r>
  </si>
  <si>
    <r>
      <t>Southern Shark</t>
    </r>
    <r>
      <rPr>
        <b/>
        <sz val="9"/>
        <color rgb="FF000000"/>
        <rFont val="Calibri"/>
        <family val="2"/>
      </rPr>
      <t xml:space="preserve"> b</t>
    </r>
  </si>
  <si>
    <r>
      <t xml:space="preserve">South East Non-trawl  </t>
    </r>
    <r>
      <rPr>
        <b/>
        <sz val="9"/>
        <color rgb="FF000000"/>
        <rFont val="Calibri"/>
        <family val="2"/>
      </rPr>
      <t>b</t>
    </r>
  </si>
  <si>
    <r>
      <t>Other fisheries</t>
    </r>
    <r>
      <rPr>
        <b/>
        <sz val="9"/>
        <color rgb="FF000000"/>
        <rFont val="Calibri"/>
        <family val="2"/>
      </rPr>
      <t xml:space="preserve"> c</t>
    </r>
  </si>
  <si>
    <t xml:space="preserve"> 10 Fisheries and aquaculture production, Tasmania</t>
  </si>
  <si>
    <t>Value</t>
  </si>
  <si>
    <t>t</t>
  </si>
  <si>
    <t>Crustaceans</t>
  </si>
  <si>
    <t>Southern Rock Lobster</t>
  </si>
  <si>
    <t>Giant Crab</t>
  </si>
  <si>
    <t>Other</t>
  </si>
  <si>
    <t>Molluscs</t>
  </si>
  <si>
    <t>Abalone</t>
  </si>
  <si>
    <t>Octopus</t>
  </si>
  <si>
    <t>Scallops</t>
  </si>
  <si>
    <t>Australian Salmons</t>
  </si>
  <si>
    <t>Southern Rock Cods</t>
  </si>
  <si>
    <t>Garfish</t>
  </si>
  <si>
    <t>Banded Morwong</t>
  </si>
  <si>
    <t>Jackass Morwong</t>
  </si>
  <si>
    <t>Elephantfish</t>
  </si>
  <si>
    <t>Bastard Trumpeter</t>
  </si>
  <si>
    <t>Striped Trumpeter</t>
  </si>
  <si>
    <t>Eastern School Whiting</t>
  </si>
  <si>
    <t>Wrasse</t>
  </si>
  <si>
    <t>Sharks &amp; Rays</t>
  </si>
  <si>
    <t>Total wild-caught</t>
  </si>
  <si>
    <t>Oysters</t>
  </si>
  <si>
    <t>Blue Mussel</t>
  </si>
  <si>
    <t>Total production</t>
  </si>
  <si>
    <t>Quantity</t>
  </si>
  <si>
    <r>
      <t xml:space="preserve">Finfish, Sharks and Rays </t>
    </r>
    <r>
      <rPr>
        <b/>
        <sz val="9"/>
        <color rgb="FF000000"/>
        <rFont val="Calibri"/>
        <family val="2"/>
      </rPr>
      <t>a</t>
    </r>
  </si>
  <si>
    <r>
      <t xml:space="preserve">Other nei </t>
    </r>
    <r>
      <rPr>
        <b/>
        <sz val="9"/>
        <color rgb="FF000000"/>
        <rFont val="Calibri"/>
        <family val="2"/>
      </rPr>
      <t>b</t>
    </r>
  </si>
  <si>
    <r>
      <t xml:space="preserve">Aquaculture </t>
    </r>
    <r>
      <rPr>
        <b/>
        <sz val="9"/>
        <color rgb="FF000000"/>
        <rFont val="Calibri"/>
        <family val="2"/>
      </rPr>
      <t>c</t>
    </r>
  </si>
  <si>
    <r>
      <t xml:space="preserve">Salmonids </t>
    </r>
    <r>
      <rPr>
        <b/>
        <sz val="9"/>
        <color rgb="FF000000"/>
        <rFont val="Calibri"/>
        <family val="2"/>
      </rPr>
      <t>d</t>
    </r>
  </si>
  <si>
    <r>
      <t xml:space="preserve">Oysters </t>
    </r>
    <r>
      <rPr>
        <b/>
        <sz val="9"/>
        <color rgb="FF000000"/>
        <rFont val="Calibri"/>
        <family val="2"/>
      </rPr>
      <t>e</t>
    </r>
  </si>
  <si>
    <t>11 Fisheries and aquaculture production, Northern Territory</t>
  </si>
  <si>
    <t xml:space="preserve">t </t>
  </si>
  <si>
    <t xml:space="preserve">Crabs </t>
  </si>
  <si>
    <t>Other Crustaceans</t>
  </si>
  <si>
    <t>Squids</t>
  </si>
  <si>
    <t>Other Molluscs</t>
  </si>
  <si>
    <t>Finfish</t>
  </si>
  <si>
    <t xml:space="preserve">Tunas </t>
  </si>
  <si>
    <t>Sharks and Rays</t>
  </si>
  <si>
    <t>Tropical Snappers</t>
  </si>
  <si>
    <t>Barramundi</t>
  </si>
  <si>
    <t>Threadfin Salmons</t>
  </si>
  <si>
    <t xml:space="preserve">Black Jewfish </t>
  </si>
  <si>
    <t>Emperors</t>
  </si>
  <si>
    <t>Rockcods</t>
  </si>
  <si>
    <t>Mackerels</t>
  </si>
  <si>
    <t>Goldband Snapper</t>
  </si>
  <si>
    <t>Other Finfish</t>
  </si>
  <si>
    <t>Other nei</t>
  </si>
  <si>
    <t>Pearl Oyster</t>
  </si>
  <si>
    <r>
      <t xml:space="preserve">Other aquaculture </t>
    </r>
    <r>
      <rPr>
        <b/>
        <sz val="9"/>
        <color rgb="FF000000"/>
        <rFont val="Calibri"/>
        <family val="2"/>
      </rPr>
      <t>b</t>
    </r>
  </si>
  <si>
    <t>12 Fisheries production, Commonwealth</t>
  </si>
  <si>
    <t>Prawns</t>
  </si>
  <si>
    <t>Tiger Prawns</t>
  </si>
  <si>
    <t>$'000</t>
  </si>
  <si>
    <t>Banana Prawns</t>
  </si>
  <si>
    <t>Endeavour Prawns</t>
  </si>
  <si>
    <t>King Prawns</t>
  </si>
  <si>
    <t>Other Prawns</t>
  </si>
  <si>
    <t>Total Prawns</t>
  </si>
  <si>
    <t>Other species</t>
  </si>
  <si>
    <t>Rock Lobsters</t>
  </si>
  <si>
    <t>Spanish mackerel</t>
  </si>
  <si>
    <t>Spanish Mackerel</t>
  </si>
  <si>
    <r>
      <t xml:space="preserve">Reef Line </t>
    </r>
    <r>
      <rPr>
        <b/>
        <sz val="9"/>
        <color rgb="FF000000"/>
        <rFont val="Calibri"/>
        <family val="2"/>
      </rPr>
      <t>b</t>
    </r>
  </si>
  <si>
    <t>Pearls</t>
  </si>
  <si>
    <r>
      <t xml:space="preserve">SESSF Commonwealth Trawl Sector </t>
    </r>
    <r>
      <rPr>
        <b/>
        <sz val="9"/>
        <color rgb="FF000000"/>
        <rFont val="Calibri"/>
        <family val="2"/>
      </rPr>
      <t>c</t>
    </r>
  </si>
  <si>
    <t>Orange Roughy</t>
  </si>
  <si>
    <t>Blue Grenadier</t>
  </si>
  <si>
    <t>Tiger Flathead</t>
  </si>
  <si>
    <t>Redfish</t>
  </si>
  <si>
    <t>Blue Warehou</t>
  </si>
  <si>
    <t>Silver Warehou</t>
  </si>
  <si>
    <t>Pink Ling</t>
  </si>
  <si>
    <t>Gemfish</t>
  </si>
  <si>
    <t>Silver Trevally</t>
  </si>
  <si>
    <t xml:space="preserve">Mirror Dory </t>
  </si>
  <si>
    <t>Royal Red Prawn</t>
  </si>
  <si>
    <t>Ocean Perch</t>
  </si>
  <si>
    <t>John Dory</t>
  </si>
  <si>
    <t>Blue-eye Trevallas</t>
  </si>
  <si>
    <t>School Shark</t>
  </si>
  <si>
    <t>Sawsharks</t>
  </si>
  <si>
    <t xml:space="preserve">Other Sharks and Rays </t>
  </si>
  <si>
    <r>
      <t xml:space="preserve">SESSF Great Australian Bight Trawl Sector </t>
    </r>
    <r>
      <rPr>
        <b/>
        <sz val="9"/>
        <color rgb="FF000000"/>
        <rFont val="Calibri"/>
        <family val="2"/>
      </rPr>
      <t>c</t>
    </r>
  </si>
  <si>
    <t>Deepwater Flathead</t>
  </si>
  <si>
    <t>Bight Redfish</t>
  </si>
  <si>
    <t>Leatherjackets</t>
  </si>
  <si>
    <t>Angel Sharks</t>
  </si>
  <si>
    <t>Yellowspotted Boarfish</t>
  </si>
  <si>
    <t>Knifejaw</t>
  </si>
  <si>
    <t>Blue Morwong</t>
  </si>
  <si>
    <t>Gummy Shark</t>
  </si>
  <si>
    <r>
      <t xml:space="preserve">Southern Shark Fishery </t>
    </r>
    <r>
      <rPr>
        <b/>
        <sz val="9"/>
        <color rgb="FF000000"/>
        <rFont val="Calibri"/>
        <family val="2"/>
      </rPr>
      <t>e</t>
    </r>
  </si>
  <si>
    <t>Elephant Fish</t>
  </si>
  <si>
    <t>South East Non-trawl Fishery e</t>
  </si>
  <si>
    <t>Gummy shark</t>
  </si>
  <si>
    <t xml:space="preserve">Total </t>
  </si>
  <si>
    <t>Eastern Tuna and Billfish – longline and minor line</t>
  </si>
  <si>
    <t xml:space="preserve">Albacore </t>
  </si>
  <si>
    <t>Skipjack Tuna</t>
  </si>
  <si>
    <t>Yellowfin Tuna</t>
  </si>
  <si>
    <t>Bigeye Tuna</t>
  </si>
  <si>
    <t>Swordfish</t>
  </si>
  <si>
    <t>Striped Marlin</t>
  </si>
  <si>
    <t>Other Billfish</t>
  </si>
  <si>
    <t>Western Tuna and Billfish</t>
  </si>
  <si>
    <t>Albacore</t>
  </si>
  <si>
    <t>Other Tunas</t>
  </si>
  <si>
    <t>Billfish</t>
  </si>
  <si>
    <t>Tropical rock lobster</t>
  </si>
  <si>
    <t>Ocean Perchs</t>
  </si>
  <si>
    <r>
      <t xml:space="preserve">SESSF Gillnet, Hook and Trap Sector </t>
    </r>
    <r>
      <rPr>
        <b/>
        <sz val="9"/>
        <color rgb="FF000000"/>
        <rFont val="Calibri"/>
        <family val="2"/>
      </rPr>
      <t>c</t>
    </r>
  </si>
  <si>
    <t>Other Sharks and Rays</t>
  </si>
  <si>
    <t>Leatherjacket</t>
  </si>
  <si>
    <t>Angel Shark</t>
  </si>
  <si>
    <t>Broadbill Swordfish</t>
  </si>
  <si>
    <r>
      <rPr>
        <sz val="9"/>
        <color rgb="FF000000"/>
        <rFont val="Calibri"/>
        <family val="2"/>
      </rPr>
      <t>Other species</t>
    </r>
    <r>
      <rPr>
        <b/>
        <sz val="9"/>
        <color rgb="FF000000"/>
        <rFont val="Calibri"/>
        <family val="2"/>
      </rPr>
      <t xml:space="preserve"> </t>
    </r>
    <r>
      <rPr>
        <b/>
        <sz val="9"/>
        <color rgb="FF000000"/>
        <rFont val="Calibri"/>
        <family val="2"/>
      </rPr>
      <t>a</t>
    </r>
  </si>
  <si>
    <r>
      <t xml:space="preserve">Other fisheries </t>
    </r>
    <r>
      <rPr>
        <b/>
        <sz val="9"/>
        <color rgb="FF000000"/>
        <rFont val="Calibri"/>
        <family val="2"/>
      </rPr>
      <t>d</t>
    </r>
  </si>
  <si>
    <r>
      <t xml:space="preserve">Other species </t>
    </r>
    <r>
      <rPr>
        <b/>
        <sz val="9"/>
        <color rgb="FF000000"/>
        <rFont val="Calibri"/>
        <family val="2"/>
      </rPr>
      <t>a</t>
    </r>
  </si>
  <si>
    <r>
      <t xml:space="preserve">SESSF Commonwealth Trawl Sector </t>
    </r>
    <r>
      <rPr>
        <b/>
        <sz val="8"/>
        <color rgb="FF000000"/>
        <rFont val="Calibri"/>
        <family val="2"/>
      </rPr>
      <t>c</t>
    </r>
  </si>
  <si>
    <t>13 Value of fisheries products exports, selected commodities</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</si>
  <si>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</si>
  <si>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</si>
  <si>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</si>
  <si>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</si>
  <si>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</si>
  <si>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</si>
  <si>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</si>
  <si>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</si>
  <si>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</si>
  <si>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</si>
  <si>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</si>
  <si>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</si>
  <si>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</si>
  <si>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</si>
  <si>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</si>
  <si>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</si>
  <si>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</si>
  <si>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</si>
  <si>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</si>
  <si>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</si>
  <si>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</si>
  <si>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</si>
  <si>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</si>
  <si>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</si>
  <si>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</si>
  <si>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</si>
  <si>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</si>
  <si>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</si>
  <si>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</si>
  <si>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</si>
  <si>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</si>
  <si>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</si>
  <si>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</si>
  <si>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</si>
  <si>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</si>
  <si>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Seafood products</t>
  </si>
  <si>
    <t xml:space="preserve">Crustaceans </t>
  </si>
  <si>
    <t>Crabs and Crystal Crabs</t>
  </si>
  <si>
    <t>Freshwater Crayfish, Yabbies and other Lobsters</t>
  </si>
  <si>
    <t>Finfish, Sharks and Rays</t>
  </si>
  <si>
    <t>Anchovies</t>
  </si>
  <si>
    <t>Breams</t>
  </si>
  <si>
    <t>Carps</t>
  </si>
  <si>
    <t>Catfishes</t>
  </si>
  <si>
    <t>Caviar and Roe</t>
  </si>
  <si>
    <t>Cobia</t>
  </si>
  <si>
    <t>Cods</t>
  </si>
  <si>
    <t>Eels</t>
  </si>
  <si>
    <t>Giant Perches</t>
  </si>
  <si>
    <t xml:space="preserve">Hakes </t>
  </si>
  <si>
    <t>Halibuts</t>
  </si>
  <si>
    <t>Herrings</t>
  </si>
  <si>
    <t>Righteye Flounders</t>
  </si>
  <si>
    <t>Sardines</t>
  </si>
  <si>
    <t>Seabasses</t>
  </si>
  <si>
    <t>Sharks Rays &amp; Skates</t>
  </si>
  <si>
    <t>Soles</t>
  </si>
  <si>
    <t>Swordfishes</t>
  </si>
  <si>
    <t>Tilapias</t>
  </si>
  <si>
    <t>Tunas</t>
  </si>
  <si>
    <t xml:space="preserve">Whitings </t>
  </si>
  <si>
    <t>Molluscs and Aquatic Invertebrates</t>
  </si>
  <si>
    <t>Abalones</t>
  </si>
  <si>
    <t>Clams and Cockles</t>
  </si>
  <si>
    <t>Conches</t>
  </si>
  <si>
    <t>Jellyfishes</t>
  </si>
  <si>
    <t>Mussels</t>
  </si>
  <si>
    <t>Sea Cucumber</t>
  </si>
  <si>
    <t>Sea Urchins</t>
  </si>
  <si>
    <t>Squid and Cuttlefish</t>
  </si>
  <si>
    <t>Other marine products</t>
  </si>
  <si>
    <t>Finfish and Mollusc products</t>
  </si>
  <si>
    <t xml:space="preserve">Marine fats and oils </t>
  </si>
  <si>
    <t xml:space="preserve">Pearl Oysters </t>
  </si>
  <si>
    <t>Seaweeds and other Algae</t>
  </si>
  <si>
    <t>Ornamental species</t>
  </si>
  <si>
    <t>Fish meal</t>
  </si>
  <si>
    <r>
      <t xml:space="preserve">Other Crustaceans </t>
    </r>
    <r>
      <rPr>
        <b/>
        <sz val="9"/>
        <rFont val="Calibri"/>
        <family val="2"/>
      </rPr>
      <t>nei</t>
    </r>
  </si>
  <si>
    <r>
      <t xml:space="preserve">Salmonids </t>
    </r>
    <r>
      <rPr>
        <b/>
        <sz val="9"/>
        <color rgb="FF000000"/>
        <rFont val="Calibri"/>
        <family val="2"/>
      </rPr>
      <t>a</t>
    </r>
  </si>
  <si>
    <r>
      <t xml:space="preserve">Other Finfish </t>
    </r>
    <r>
      <rPr>
        <b/>
        <sz val="9"/>
        <rFont val="Calibri"/>
        <family val="2"/>
      </rPr>
      <t>nei</t>
    </r>
  </si>
  <si>
    <r>
      <t xml:space="preserve">Other Molluscs and Aquatic Invertebrates </t>
    </r>
    <r>
      <rPr>
        <b/>
        <sz val="9"/>
        <rFont val="Calibri"/>
        <family val="2"/>
      </rPr>
      <t>nei</t>
    </r>
  </si>
  <si>
    <t>14 Volume of fisheries products exports, selected commodities</t>
  </si>
  <si>
    <t xml:space="preserve">2020–21 </t>
  </si>
  <si>
    <t xml:space="preserve">2021–22 </t>
  </si>
  <si>
    <t xml:space="preserve">2022–23 </t>
  </si>
  <si>
    <t xml:space="preserve">2023–24 </t>
  </si>
  <si>
    <r>
      <t xml:space="preserve">Seafood products </t>
    </r>
    <r>
      <rPr>
        <b/>
        <sz val="9"/>
        <rFont val="Calibri"/>
        <family val="2"/>
      </rPr>
      <t>a</t>
    </r>
  </si>
  <si>
    <t>Hake</t>
  </si>
  <si>
    <t xml:space="preserve">Halibuts </t>
  </si>
  <si>
    <t xml:space="preserve">Herrings </t>
  </si>
  <si>
    <t xml:space="preserve">Mackerels </t>
  </si>
  <si>
    <t xml:space="preserve">Sardines </t>
  </si>
  <si>
    <t xml:space="preserve">Sharks Rays and Skates </t>
  </si>
  <si>
    <t xml:space="preserve">Swordfishes </t>
  </si>
  <si>
    <t xml:space="preserve">Tilapias </t>
  </si>
  <si>
    <t>Whitings</t>
  </si>
  <si>
    <t xml:space="preserve">Molluscs and Aquatic Invertebrates  </t>
  </si>
  <si>
    <r>
      <t xml:space="preserve">Salmonids </t>
    </r>
    <r>
      <rPr>
        <b/>
        <sz val="9"/>
        <rFont val="Calibri"/>
        <family val="2"/>
      </rPr>
      <t>b</t>
    </r>
    <r>
      <rPr>
        <sz val="9"/>
        <rFont val="Calibri"/>
        <family val="2"/>
      </rPr>
      <t xml:space="preserve"> </t>
    </r>
  </si>
  <si>
    <t>15 Value of fisheries products imports, selected commodities</t>
  </si>
  <si>
    <t>Fish</t>
  </si>
  <si>
    <t>Live fish</t>
  </si>
  <si>
    <t>$m</t>
  </si>
  <si>
    <t>Tuna</t>
  </si>
  <si>
    <t>Toothfish</t>
  </si>
  <si>
    <t>Shark</t>
  </si>
  <si>
    <t>Other fish</t>
  </si>
  <si>
    <t>Crustaceans and molluscs</t>
  </si>
  <si>
    <t>Lobster</t>
  </si>
  <si>
    <t>Crabs</t>
  </si>
  <si>
    <t>Squid and octopus</t>
  </si>
  <si>
    <t>Other crustaceans and molluscs</t>
  </si>
  <si>
    <t>Total crustaceans and molluscs</t>
  </si>
  <si>
    <t>Other edible</t>
  </si>
  <si>
    <t>Non–edible</t>
  </si>
  <si>
    <t>Ornamental fish</t>
  </si>
  <si>
    <t>Marine fats and oils</t>
  </si>
  <si>
    <t>Total fisheries products</t>
  </si>
  <si>
    <r>
      <t xml:space="preserve">Edible </t>
    </r>
    <r>
      <rPr>
        <b/>
        <sz val="9"/>
        <color rgb="FF000000"/>
        <rFont val="Calibri"/>
        <family val="2"/>
      </rPr>
      <t>a</t>
    </r>
  </si>
  <si>
    <r>
      <t xml:space="preserve">Salmonids </t>
    </r>
    <r>
      <rPr>
        <b/>
        <sz val="9"/>
        <color rgb="FF000000"/>
        <rFont val="Calibri"/>
        <family val="2"/>
      </rPr>
      <t>b</t>
    </r>
  </si>
  <si>
    <r>
      <t xml:space="preserve">Total fish </t>
    </r>
    <r>
      <rPr>
        <b/>
        <sz val="9"/>
        <color rgb="FF000000"/>
        <rFont val="Calibri"/>
        <family val="2"/>
      </rPr>
      <t>c</t>
    </r>
  </si>
  <si>
    <r>
      <t xml:space="preserve">Total edible fisheries products </t>
    </r>
    <r>
      <rPr>
        <b/>
        <sz val="9"/>
        <color rgb="FF000000"/>
        <rFont val="Calibri"/>
        <family val="2"/>
      </rPr>
      <t>acd</t>
    </r>
  </si>
  <si>
    <r>
      <t xml:space="preserve">Pearls </t>
    </r>
    <r>
      <rPr>
        <b/>
        <sz val="9"/>
        <color rgb="FF000000"/>
        <rFont val="Calibri"/>
        <family val="2"/>
      </rPr>
      <t>e</t>
    </r>
  </si>
  <si>
    <t>16 Volume of fisheries products imports, selected commodities</t>
  </si>
  <si>
    <t>kt</t>
  </si>
  <si>
    <t>17 Value of Australian fisheries products trade, by selected countries</t>
  </si>
  <si>
    <t>Exports</t>
  </si>
  <si>
    <t>Hong Kong</t>
  </si>
  <si>
    <t>Vietnam</t>
  </si>
  <si>
    <t>Japan</t>
  </si>
  <si>
    <t>China</t>
  </si>
  <si>
    <t>Singapore</t>
  </si>
  <si>
    <t>United States</t>
  </si>
  <si>
    <t>Taiwan</t>
  </si>
  <si>
    <t>Thailand</t>
  </si>
  <si>
    <t>New Zealand</t>
  </si>
  <si>
    <t>Malaysia</t>
  </si>
  <si>
    <t>Indonesia</t>
  </si>
  <si>
    <t xml:space="preserve">Imports </t>
  </si>
  <si>
    <t xml:space="preserve">Thailand                                </t>
  </si>
  <si>
    <t xml:space="preserve">New Zealand                             </t>
  </si>
  <si>
    <t xml:space="preserve">China                                   </t>
  </si>
  <si>
    <t xml:space="preserve">Malaysia                                </t>
  </si>
  <si>
    <t xml:space="preserve">Indonesia                               </t>
  </si>
  <si>
    <t xml:space="preserve">Taiwan                                  </t>
  </si>
  <si>
    <t xml:space="preserve">South Africa                            </t>
  </si>
  <si>
    <t xml:space="preserve">Denmark                                 </t>
  </si>
  <si>
    <t xml:space="preserve">Norway                                  </t>
  </si>
  <si>
    <r>
      <t xml:space="preserve">Edible </t>
    </r>
    <r>
      <rPr>
        <sz val="9"/>
        <color rgb="FF000000"/>
        <rFont val="Calibri"/>
        <family val="2"/>
      </rPr>
      <t>(including live)</t>
    </r>
  </si>
  <si>
    <r>
      <t xml:space="preserve">Edible </t>
    </r>
    <r>
      <rPr>
        <sz val="9"/>
        <color rgb="FF000000"/>
        <rFont val="Calibri"/>
        <family val="2"/>
      </rPr>
      <t>(excluding live)</t>
    </r>
  </si>
  <si>
    <t>2 Fisheries and aquaculture production, Australia</t>
  </si>
  <si>
    <t>Commodity a</t>
  </si>
  <si>
    <t xml:space="preserve">Value </t>
  </si>
  <si>
    <t>Total quantity e</t>
  </si>
  <si>
    <r>
      <t xml:space="preserve">Tunas </t>
    </r>
    <r>
      <rPr>
        <b/>
        <sz val="9"/>
        <color rgb="FF000000"/>
        <rFont val="Calibri"/>
        <family val="2"/>
      </rPr>
      <t>b</t>
    </r>
  </si>
  <si>
    <r>
      <t>Salmonids</t>
    </r>
    <r>
      <rPr>
        <b/>
        <sz val="9"/>
        <color rgb="FF000000"/>
        <rFont val="Calibri"/>
        <family val="2"/>
      </rPr>
      <t xml:space="preserve"> </t>
    </r>
    <r>
      <rPr>
        <b/>
        <sz val="9"/>
        <color rgb="FF000000"/>
        <rFont val="Calibri"/>
        <family val="2"/>
      </rPr>
      <t>c</t>
    </r>
  </si>
  <si>
    <r>
      <t xml:space="preserve">Other Finfish, Sharks and Rays </t>
    </r>
    <r>
      <rPr>
        <b/>
        <sz val="9"/>
        <color rgb="FF000000"/>
        <rFont val="Calibri"/>
        <family val="2"/>
      </rPr>
      <t>d</t>
    </r>
  </si>
  <si>
    <r>
      <t>Total value</t>
    </r>
    <r>
      <rPr>
        <sz val="9"/>
        <color rgb="FF000000"/>
        <rFont val="Calibri"/>
        <family val="2"/>
      </rPr>
      <t xml:space="preserve"> </t>
    </r>
    <r>
      <rPr>
        <b/>
        <sz val="9"/>
        <color rgb="FF000000"/>
        <rFont val="Calibri"/>
        <family val="2"/>
      </rPr>
      <t>e</t>
    </r>
  </si>
  <si>
    <r>
      <t xml:space="preserve">Oysters </t>
    </r>
    <r>
      <rPr>
        <b/>
        <sz val="9"/>
        <color rgb="FF000000"/>
        <rFont val="Calibri"/>
        <family val="2"/>
      </rPr>
      <t>g</t>
    </r>
  </si>
  <si>
    <t xml:space="preserve">3 Wild-caught fisheries production, Australia </t>
  </si>
  <si>
    <t>Coral Trouts</t>
  </si>
  <si>
    <t>Dories</t>
  </si>
  <si>
    <t>Flathead</t>
  </si>
  <si>
    <t>Gemfishes</t>
  </si>
  <si>
    <t>Mullets</t>
  </si>
  <si>
    <t>Pipis and Cockles</t>
  </si>
  <si>
    <r>
      <t xml:space="preserve">Australian Sardine </t>
    </r>
    <r>
      <rPr>
        <b/>
        <sz val="9"/>
        <color rgb="FF000000"/>
        <rFont val="Calibri"/>
        <family val="2"/>
      </rPr>
      <t>b</t>
    </r>
  </si>
  <si>
    <r>
      <t>Sharks &amp; Rays</t>
    </r>
    <r>
      <rPr>
        <b/>
        <sz val="9"/>
        <color rgb="FF000000"/>
        <rFont val="Calibri"/>
        <family val="2"/>
      </rPr>
      <t xml:space="preserve"> c</t>
    </r>
  </si>
  <si>
    <r>
      <t xml:space="preserve">Sharks &amp; Rays </t>
    </r>
    <r>
      <rPr>
        <b/>
        <sz val="9"/>
        <color rgb="FF000000"/>
        <rFont val="Calibri"/>
        <family val="2"/>
      </rPr>
      <t>c</t>
    </r>
  </si>
  <si>
    <t xml:space="preserve"> 4 Aquaculture production, Australia </t>
  </si>
  <si>
    <t>Silver Perch</t>
  </si>
  <si>
    <t>Yabbies</t>
  </si>
  <si>
    <t>Redclaw</t>
  </si>
  <si>
    <r>
      <t xml:space="preserve">Other nei </t>
    </r>
    <r>
      <rPr>
        <b/>
        <sz val="9"/>
        <color rgb="FF000000"/>
        <rFont val="Calibri"/>
        <family val="2"/>
      </rPr>
      <t>e</t>
    </r>
  </si>
  <si>
    <t>Total value</t>
  </si>
  <si>
    <t>Total quantity</t>
  </si>
  <si>
    <r>
      <rPr>
        <sz val="9"/>
        <color rgb="FF000000"/>
        <rFont val="Calibri"/>
        <family val="2"/>
      </rPr>
      <t xml:space="preserve">Salmonids </t>
    </r>
    <r>
      <rPr>
        <b/>
        <sz val="9"/>
        <color rgb="FF000000"/>
        <rFont val="Calibri"/>
        <family val="2"/>
      </rPr>
      <t>b</t>
    </r>
  </si>
  <si>
    <r>
      <rPr>
        <sz val="9"/>
        <color rgb="FF000000"/>
        <rFont val="Calibri"/>
        <family val="2"/>
      </rPr>
      <t xml:space="preserve">Other Finfish </t>
    </r>
    <r>
      <rPr>
        <b/>
        <sz val="9"/>
        <color rgb="FF000000"/>
        <rFont val="Calibri"/>
        <family val="2"/>
      </rPr>
      <t>c</t>
    </r>
  </si>
  <si>
    <r>
      <t xml:space="preserve">Marron </t>
    </r>
    <r>
      <rPr>
        <b/>
        <sz val="9"/>
        <color rgb="FF000000"/>
        <rFont val="Calibri"/>
        <family val="2"/>
      </rPr>
      <t>d</t>
    </r>
  </si>
  <si>
    <t>5 Fisheries and aquaculture production, New South Wales</t>
  </si>
  <si>
    <t>Rock Lobster</t>
  </si>
  <si>
    <t>School Prawns</t>
  </si>
  <si>
    <t>Blacklip Abalones</t>
  </si>
  <si>
    <t>Cuttlefishes</t>
  </si>
  <si>
    <t>Pipis</t>
  </si>
  <si>
    <t>Golden Perch</t>
  </si>
  <si>
    <t>Sea Mullet</t>
  </si>
  <si>
    <t>Silver Trevallies</t>
  </si>
  <si>
    <t>Yellowtail Kingfish</t>
  </si>
  <si>
    <t>Jack Mackerels</t>
  </si>
  <si>
    <t>Black Bream and Yellowfin Bream</t>
  </si>
  <si>
    <t>Eastern Australian Salmon</t>
  </si>
  <si>
    <t>Snapper</t>
  </si>
  <si>
    <t>Grey Morwong</t>
  </si>
  <si>
    <t>Mulloway</t>
  </si>
  <si>
    <t>Sand Whiting</t>
  </si>
  <si>
    <t>Luderick</t>
  </si>
  <si>
    <t>Dusky Flathead</t>
  </si>
  <si>
    <t>Other nei g</t>
  </si>
  <si>
    <t>Aquaculture h</t>
  </si>
  <si>
    <t xml:space="preserve">Snapper </t>
  </si>
  <si>
    <t xml:space="preserve">Trouts </t>
  </si>
  <si>
    <r>
      <t xml:space="preserve">Other Prawns </t>
    </r>
    <r>
      <rPr>
        <b/>
        <sz val="9"/>
        <color rgb="FF000000"/>
        <rFont val="Calibri"/>
        <family val="2"/>
      </rPr>
      <t>a</t>
    </r>
  </si>
  <si>
    <r>
      <t xml:space="preserve">Other Crustaceans </t>
    </r>
    <r>
      <rPr>
        <b/>
        <sz val="8"/>
        <color rgb="FF000000"/>
        <rFont val="Calibri"/>
        <family val="2"/>
      </rPr>
      <t>b</t>
    </r>
  </si>
  <si>
    <r>
      <t xml:space="preserve">Total </t>
    </r>
    <r>
      <rPr>
        <b/>
        <sz val="8"/>
        <color rgb="FF000000"/>
        <rFont val="Calibri"/>
        <family val="2"/>
      </rPr>
      <t>c</t>
    </r>
  </si>
  <si>
    <r>
      <t xml:space="preserve">Other Molluscs </t>
    </r>
    <r>
      <rPr>
        <b/>
        <sz val="8"/>
        <color rgb="FF000000"/>
        <rFont val="Calibri"/>
        <family val="2"/>
      </rPr>
      <t>d</t>
    </r>
  </si>
  <si>
    <r>
      <t>Total</t>
    </r>
    <r>
      <rPr>
        <b/>
        <sz val="9"/>
        <color rgb="FF000000"/>
        <rFont val="Calibri"/>
        <family val="2"/>
      </rPr>
      <t xml:space="preserve"> c</t>
    </r>
  </si>
  <si>
    <r>
      <t xml:space="preserve">Other Finfish </t>
    </r>
    <r>
      <rPr>
        <b/>
        <sz val="9"/>
        <color rgb="FF000000"/>
        <rFont val="Calibri"/>
        <family val="2"/>
      </rPr>
      <t>e</t>
    </r>
  </si>
  <si>
    <r>
      <t xml:space="preserve">Total </t>
    </r>
    <r>
      <rPr>
        <b/>
        <sz val="9"/>
        <color rgb="FF000000"/>
        <rFont val="Calibri"/>
        <family val="2"/>
      </rPr>
      <t>c</t>
    </r>
  </si>
  <si>
    <r>
      <t>Oysters</t>
    </r>
    <r>
      <rPr>
        <sz val="8.1"/>
        <color rgb="FF000000"/>
        <rFont val="Calibri"/>
        <family val="2"/>
      </rPr>
      <t xml:space="preserve"> </t>
    </r>
    <r>
      <rPr>
        <b/>
        <sz val="9"/>
        <color rgb="FF000000"/>
        <rFont val="Calibri"/>
        <family val="2"/>
      </rPr>
      <t>i</t>
    </r>
  </si>
  <si>
    <r>
      <t xml:space="preserve">Other aquaculture </t>
    </r>
    <r>
      <rPr>
        <b/>
        <sz val="9"/>
        <color rgb="FF000000"/>
        <rFont val="Calibri"/>
        <family val="2"/>
      </rPr>
      <t>j</t>
    </r>
  </si>
  <si>
    <r>
      <t xml:space="preserve">Total production  </t>
    </r>
    <r>
      <rPr>
        <b/>
        <sz val="9"/>
        <color rgb="FF000000"/>
        <rFont val="Calibri"/>
        <family val="2"/>
      </rPr>
      <t>c</t>
    </r>
  </si>
  <si>
    <r>
      <t xml:space="preserve">Oysters </t>
    </r>
    <r>
      <rPr>
        <b/>
        <sz val="9"/>
        <color rgb="FF000000"/>
        <rFont val="Calibri"/>
        <family val="2"/>
      </rPr>
      <t>i</t>
    </r>
  </si>
  <si>
    <t>6 Fisheries and aquaculture production, Victoria</t>
  </si>
  <si>
    <t>Australian Sardine</t>
  </si>
  <si>
    <t>Black Bream</t>
  </si>
  <si>
    <t>Southern Garfish</t>
  </si>
  <si>
    <t>Freshwater Eels</t>
  </si>
  <si>
    <t>King George Whiting</t>
  </si>
  <si>
    <r>
      <t xml:space="preserve">Sharks &amp; Rays </t>
    </r>
    <r>
      <rPr>
        <b/>
        <sz val="9"/>
        <color rgb="FF000000"/>
        <rFont val="Calibri"/>
        <family val="2"/>
      </rPr>
      <t>a</t>
    </r>
  </si>
  <si>
    <r>
      <t xml:space="preserve">Aquaculture </t>
    </r>
    <r>
      <rPr>
        <b/>
        <sz val="8"/>
        <color rgb="FF000000"/>
        <rFont val="Calibri"/>
        <family val="2"/>
      </rPr>
      <t>b</t>
    </r>
  </si>
  <si>
    <r>
      <t xml:space="preserve">Salmonids </t>
    </r>
    <r>
      <rPr>
        <b/>
        <sz val="9"/>
        <color rgb="FF000000"/>
        <rFont val="Calibri"/>
        <family val="2"/>
      </rPr>
      <t>c</t>
    </r>
  </si>
  <si>
    <r>
      <t xml:space="preserve">Warmwater Finfish </t>
    </r>
    <r>
      <rPr>
        <b/>
        <sz val="9"/>
        <color rgb="FF000000"/>
        <rFont val="Calibri"/>
        <family val="2"/>
      </rPr>
      <t>d</t>
    </r>
  </si>
  <si>
    <r>
      <t xml:space="preserve">Other aquaculture </t>
    </r>
    <r>
      <rPr>
        <b/>
        <sz val="9"/>
        <color rgb="FF000000"/>
        <rFont val="Calibri"/>
        <family val="2"/>
      </rPr>
      <t>e</t>
    </r>
  </si>
  <si>
    <t>7 Fisheries and aquaculture production, Queensland</t>
  </si>
  <si>
    <t>Tropical Snapper</t>
  </si>
  <si>
    <t>Breams (including Tarwhine)</t>
  </si>
  <si>
    <t>Tailor</t>
  </si>
  <si>
    <t>Red Throat Emperor</t>
  </si>
  <si>
    <t>boue Threadfin</t>
  </si>
  <si>
    <t>King Threadfin</t>
  </si>
  <si>
    <t>Spotted Mackerel</t>
  </si>
  <si>
    <t>Grey Mackerel</t>
  </si>
  <si>
    <t>Barcoo Grunter</t>
  </si>
  <si>
    <t>Murray Cod</t>
  </si>
  <si>
    <r>
      <t xml:space="preserve">Rock Lobster </t>
    </r>
    <r>
      <rPr>
        <b/>
        <sz val="9"/>
        <color rgb="FF000000"/>
        <rFont val="Calibri"/>
        <family val="2"/>
      </rPr>
      <t>a</t>
    </r>
  </si>
  <si>
    <r>
      <t>Squids</t>
    </r>
    <r>
      <rPr>
        <b/>
        <sz val="9"/>
        <color rgb="FF000000"/>
        <rFont val="Calibri"/>
        <family val="2"/>
      </rPr>
      <t xml:space="preserve"> </t>
    </r>
    <r>
      <rPr>
        <b/>
        <sz val="9"/>
        <color rgb="FF000000"/>
        <rFont val="Calibri"/>
        <family val="2"/>
      </rPr>
      <t>b</t>
    </r>
  </si>
  <si>
    <r>
      <t xml:space="preserve">Aquarium species </t>
    </r>
    <r>
      <rPr>
        <b/>
        <sz val="9"/>
        <color rgb="FF000000"/>
        <rFont val="Calibri"/>
        <family val="2"/>
      </rPr>
      <t>d</t>
    </r>
  </si>
  <si>
    <t>8 Fisheries and aquaculture production, South Australia</t>
  </si>
  <si>
    <t xml:space="preserve">Commodity </t>
  </si>
  <si>
    <t>Southern Rock Lobsters</t>
  </si>
  <si>
    <t>Western Australian Salmon</t>
  </si>
  <si>
    <t>Australian Herring</t>
  </si>
  <si>
    <t>Yellowfin Whiting</t>
  </si>
  <si>
    <t>Snook</t>
  </si>
  <si>
    <t xml:space="preserve">Oysters </t>
  </si>
  <si>
    <t>Trout</t>
  </si>
  <si>
    <t>Total production h</t>
  </si>
  <si>
    <r>
      <t xml:space="preserve">Finfish </t>
    </r>
    <r>
      <rPr>
        <b/>
        <sz val="9"/>
        <color rgb="FF000000"/>
        <rFont val="Calibri"/>
        <family val="2"/>
      </rPr>
      <t>a</t>
    </r>
  </si>
  <si>
    <r>
      <t xml:space="preserve">Aquaculture </t>
    </r>
    <r>
      <rPr>
        <b/>
        <sz val="9"/>
        <color rgb="FF000000"/>
        <rFont val="Calibri"/>
        <family val="2"/>
      </rPr>
      <t>b</t>
    </r>
  </si>
  <si>
    <r>
      <t xml:space="preserve">Marron </t>
    </r>
    <r>
      <rPr>
        <b/>
        <sz val="9"/>
        <color rgb="FF000000"/>
        <rFont val="Calibri"/>
        <family val="2"/>
      </rPr>
      <t>c</t>
    </r>
  </si>
  <si>
    <r>
      <t xml:space="preserve">Southern Bluefin Tuna </t>
    </r>
    <r>
      <rPr>
        <b/>
        <sz val="9"/>
        <color rgb="FF000000"/>
        <rFont val="Calibri"/>
        <family val="2"/>
      </rPr>
      <t>d</t>
    </r>
  </si>
  <si>
    <r>
      <t xml:space="preserve">Abalone </t>
    </r>
    <r>
      <rPr>
        <b/>
        <sz val="9"/>
        <color rgb="FF000000"/>
        <rFont val="Calibri"/>
        <family val="2"/>
      </rPr>
      <t>e</t>
    </r>
  </si>
  <si>
    <r>
      <t xml:space="preserve">Other aquaculture </t>
    </r>
    <r>
      <rPr>
        <b/>
        <sz val="9"/>
        <color rgb="FF000000"/>
        <rFont val="Calibri"/>
        <family val="2"/>
      </rPr>
      <t>g</t>
    </r>
  </si>
  <si>
    <t xml:space="preserve"> 9 Fisheries and aquaculture production, Western Australia</t>
  </si>
  <si>
    <t>Estuary Cobbler</t>
  </si>
  <si>
    <t>West Australian Dhufish</t>
  </si>
  <si>
    <t>Yelloweye Mullet</t>
  </si>
  <si>
    <t>Marron</t>
  </si>
  <si>
    <t>Goldfish and European Carp</t>
  </si>
  <si>
    <t>Other nei c</t>
  </si>
  <si>
    <t>Goldfish and European carp</t>
  </si>
  <si>
    <r>
      <t xml:space="preserve">Other Molluscs </t>
    </r>
    <r>
      <rPr>
        <b/>
        <sz val="9"/>
        <color rgb="FF000000"/>
        <rFont val="Calibri"/>
        <family val="2"/>
      </rPr>
      <t>a</t>
    </r>
  </si>
  <si>
    <r>
      <t xml:space="preserve">Sharkfin </t>
    </r>
    <r>
      <rPr>
        <b/>
        <sz val="9"/>
        <color rgb="FF000000"/>
        <rFont val="Calibri"/>
        <family val="2"/>
      </rPr>
      <t>b</t>
    </r>
  </si>
  <si>
    <r>
      <t xml:space="preserve">Other nei </t>
    </r>
    <r>
      <rPr>
        <b/>
        <sz val="9"/>
        <color rgb="FF000000"/>
        <rFont val="Calibri"/>
        <family val="2"/>
      </rPr>
      <t>c</t>
    </r>
  </si>
  <si>
    <r>
      <t xml:space="preserve">Aquaculture  </t>
    </r>
    <r>
      <rPr>
        <b/>
        <sz val="9"/>
        <color rgb="FF000000"/>
        <rFont val="Calibri"/>
        <family val="2"/>
      </rPr>
      <t>d</t>
    </r>
  </si>
  <si>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</si>
  <si>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</si>
  <si>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</si>
  <si>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</si>
  <si>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</si>
  <si>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</si>
  <si>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</si>
  <si>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</si>
  <si>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</si>
  <si>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</si>
  <si>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</si>
  <si>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</si>
  <si>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</si>
  <si>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</si>
  <si>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</si>
  <si>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</si>
  <si>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</si>
  <si>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Statistical tables</t>
  </si>
  <si>
    <t>18 Apparent consumption of seafood, Australia</t>
  </si>
  <si>
    <t>Apparent consumption</t>
  </si>
  <si>
    <r>
      <t xml:space="preserve">Production of edible seafood </t>
    </r>
    <r>
      <rPr>
        <b/>
        <sz val="9"/>
        <color rgb="FF000000"/>
        <rFont val="Calibri"/>
        <family val="2"/>
      </rPr>
      <t>a</t>
    </r>
  </si>
  <si>
    <t>Imports of edible seafood</t>
  </si>
  <si>
    <t>Exports of edible seafood</t>
  </si>
  <si>
    <t>Total apparent consumption of seafood</t>
  </si>
  <si>
    <t xml:space="preserve">Import share of apparent seafood consumption </t>
  </si>
  <si>
    <t>%</t>
  </si>
  <si>
    <t>By commodity</t>
  </si>
  <si>
    <r>
      <t xml:space="preserve">Salmons </t>
    </r>
    <r>
      <rPr>
        <b/>
        <sz val="9"/>
        <color rgb="FF000000"/>
        <rFont val="Calibri"/>
        <family val="2"/>
      </rPr>
      <t>a</t>
    </r>
  </si>
  <si>
    <t>kg per person</t>
  </si>
  <si>
    <r>
      <t xml:space="preserve">Tunas </t>
    </r>
    <r>
      <rPr>
        <b/>
        <sz val="9"/>
        <color rgb="FF000000"/>
        <rFont val="Calibri"/>
        <family val="2"/>
      </rPr>
      <t>a</t>
    </r>
  </si>
  <si>
    <t xml:space="preserve">Prawns </t>
  </si>
  <si>
    <t>Crab</t>
  </si>
  <si>
    <t>Other seafood</t>
  </si>
  <si>
    <t>Total seafood</t>
  </si>
  <si>
    <t>Category</t>
  </si>
  <si>
    <t>NSW</t>
  </si>
  <si>
    <t>Vic.</t>
  </si>
  <si>
    <t>Qld</t>
  </si>
  <si>
    <t>SA</t>
  </si>
  <si>
    <t>WA</t>
  </si>
  <si>
    <t>Tas.</t>
  </si>
  <si>
    <t>NT</t>
  </si>
  <si>
    <t>ACT</t>
  </si>
  <si>
    <t>Aust. b</t>
  </si>
  <si>
    <t>Aquaculture</t>
  </si>
  <si>
    <t>Onshore aquaculture</t>
  </si>
  <si>
    <t>no.</t>
  </si>
  <si>
    <t>Offshore longline and rack aquaculture</t>
  </si>
  <si>
    <t>Offshore caged aquaculture</t>
  </si>
  <si>
    <r>
      <t xml:space="preserve">Aquaculture, </t>
    </r>
    <r>
      <rPr>
        <b/>
        <sz val="9"/>
        <color rgb="FF000000"/>
        <rFont val="Calibri"/>
        <family val="2"/>
      </rPr>
      <t>nfd</t>
    </r>
  </si>
  <si>
    <t>Fishing</t>
  </si>
  <si>
    <t>Rock lobster and crab potting</t>
  </si>
  <si>
    <t>Prawn fishing</t>
  </si>
  <si>
    <t>Line fishing</t>
  </si>
  <si>
    <t>Fish trawling, seining and netting</t>
  </si>
  <si>
    <t>Other fishing</t>
  </si>
  <si>
    <r>
      <t xml:space="preserve">Fishing, </t>
    </r>
    <r>
      <rPr>
        <b/>
        <sz val="9"/>
        <color rgb="FF000000"/>
        <rFont val="Calibri"/>
        <family val="2"/>
      </rPr>
      <t>nfd</t>
    </r>
  </si>
  <si>
    <t>Fishing, hunting and trapping, nfd</t>
  </si>
  <si>
    <t>Processing and wholesaling</t>
  </si>
  <si>
    <t>Seafood processing</t>
  </si>
  <si>
    <t>Fish and seafood wholesaling</t>
  </si>
  <si>
    <t>Grand total</t>
  </si>
  <si>
    <r>
      <t xml:space="preserve">19 Estimated employment in the Australian commercial fishing and aquaculture industry, 2021 Census </t>
    </r>
    <r>
      <rPr>
        <b/>
        <sz val="12"/>
        <color rgb="FF000000"/>
        <rFont val="Cambria"/>
        <family val="1"/>
      </rPr>
      <t>a</t>
    </r>
  </si>
  <si>
    <t>Table 18</t>
  </si>
  <si>
    <t>Table 19</t>
  </si>
  <si>
    <t>Gross value of fisheries and aquaculture production, Australia</t>
  </si>
  <si>
    <t>Fisheries and aquaculture production, Australia</t>
  </si>
  <si>
    <t>Fisheries and aquaculture production, New South Wales</t>
  </si>
  <si>
    <t>Fisheries and aquaculture production, Victoria</t>
  </si>
  <si>
    <t>Fisheries and aquaculture production, Queensland</t>
  </si>
  <si>
    <t xml:space="preserve">Aquaculture production, Australia </t>
  </si>
  <si>
    <t xml:space="preserve">Wild-caught fisheries production, Australia </t>
  </si>
  <si>
    <t>Fisheries and aquaculture production, South Australia</t>
  </si>
  <si>
    <t>Fisheries and aquaculture production, Western Australia</t>
  </si>
  <si>
    <t>Fisheries and aquaculture production, Northern Territory</t>
  </si>
  <si>
    <t>Fisheries production, Commonwealth</t>
  </si>
  <si>
    <t>Value of fisheries products exports, selected commodities</t>
  </si>
  <si>
    <t>Volume of fisheries products exports, selected commodities</t>
  </si>
  <si>
    <t>Value of fisheries products imports, selected commodities</t>
  </si>
  <si>
    <t>Volume of fisheries products imports, selected commodities</t>
  </si>
  <si>
    <t>Value of Australian fisheries products trade, by selected countries</t>
  </si>
  <si>
    <t>Apparent consumption of seafood, Australia</t>
  </si>
  <si>
    <t>Estimated employment in the Australian commercial fishing and aquaculture industry, 2021 Census</t>
  </si>
  <si>
    <t>Fisheries and aquaculture production, Tasmania</t>
  </si>
  <si>
    <r>
      <rPr>
        <b/>
        <sz val="8"/>
        <color rgb="FF000000"/>
        <rFont val="Calibri"/>
        <family val="2"/>
      </rPr>
      <t>a</t>
    </r>
    <r>
      <rPr>
        <sz val="8"/>
        <color rgb="FF000000"/>
        <rFont val="Calibri"/>
        <family val="2"/>
      </rPr>
      <t xml:space="preserve"> State totals include aquaculture but exclude hatchery production. </t>
    </r>
    <r>
      <rPr>
        <b/>
        <sz val="8"/>
        <color rgb="FF000000"/>
        <rFont val="Calibri"/>
        <family val="2"/>
      </rPr>
      <t>b</t>
    </r>
    <r>
      <rPr>
        <sz val="8"/>
        <color rgb="FF000000"/>
        <rFont val="Calibri"/>
        <family val="2"/>
      </rPr>
      <t xml:space="preserve"> To avoid double counting, total has been reduced to allow for Southern Bluefin Tuna caught in the Commonwealth Southern Bluefin Tuna Fishery, as an input to farms in South Australia. </t>
    </r>
    <r>
      <rPr>
        <b/>
        <sz val="8"/>
        <color rgb="FF000000"/>
        <rFont val="Calibri"/>
        <family val="2"/>
      </rPr>
      <t>c</t>
    </r>
    <r>
      <rPr>
        <sz val="8"/>
        <color rgb="FF000000"/>
        <rFont val="Calibri"/>
        <family val="2"/>
      </rPr>
      <t xml:space="preserve"> Includes Salmons and Trouts production. </t>
    </r>
    <r>
      <rPr>
        <b/>
        <sz val="8"/>
        <color rgb="FF000000"/>
        <rFont val="Calibri"/>
        <family val="2"/>
      </rPr>
      <t>d</t>
    </r>
    <r>
      <rPr>
        <sz val="8"/>
        <color rgb="FF000000"/>
        <rFont val="Calibri"/>
        <family val="2"/>
      </rPr>
      <t xml:space="preserve"> Includes Finfish (excluding Tunas) component of Commonwealth fisheries, plus catch from Commonwealth fisheries that cannot be disaggregated for confidentiality reasons. </t>
    </r>
    <r>
      <rPr>
        <b/>
        <sz val="8"/>
        <color rgb="FF000000"/>
        <rFont val="Calibri"/>
        <family val="2"/>
      </rPr>
      <t>e</t>
    </r>
    <r>
      <rPr>
        <sz val="8"/>
        <color rgb="FF000000"/>
        <rFont val="Calibri"/>
        <family val="2"/>
      </rPr>
      <t xml:space="preserve"> Totals include all fisheries under Commonwealth jurisdiction. </t>
    </r>
    <r>
      <rPr>
        <b/>
        <sz val="8"/>
        <color rgb="FF000000"/>
        <rFont val="Calibri"/>
        <family val="2"/>
      </rPr>
      <t>g</t>
    </r>
    <r>
      <rPr>
        <sz val="8"/>
        <color rgb="FF000000"/>
        <rFont val="Calibri"/>
        <family val="2"/>
      </rPr>
      <t xml:space="preserve">  For information on conversion ratios please see jurisdiction specific tables. </t>
    </r>
    <r>
      <rPr>
        <b/>
        <sz val="8"/>
        <color rgb="FF000000"/>
        <rFont val="Calibri"/>
        <family val="2"/>
      </rPr>
      <t>nei</t>
    </r>
    <r>
      <rPr>
        <sz val="8"/>
        <color rgb="FF000000"/>
        <rFont val="Calibri"/>
        <family val="2"/>
      </rPr>
      <t xml:space="preserve"> Not elsewhere included. </t>
    </r>
    <r>
      <rPr>
        <b/>
        <sz val="8"/>
        <color rgb="FF000000"/>
        <rFont val="Calibri"/>
        <family val="2"/>
      </rPr>
      <t>p</t>
    </r>
    <r>
      <rPr>
        <sz val="8"/>
        <color rgb="FF000000"/>
        <rFont val="Calibri"/>
        <family val="2"/>
      </rPr>
      <t xml:space="preserve"> Preliminary.
Sources: ABARES; AFMA; Western Australian Department of Fisheries; Tasmanian Department of Primary Industries and Regional Development; New South Wales Department of Primary Industries; Queensland Department of Agriculture and Fisheries; Victorian Fisheries Authority; Northern Territory Department of Primary Industry and Resources; Primary Industries and Regions South Australia; South Australian Research and Development Institute.
</t>
    </r>
  </si>
  <si>
    <r>
      <t xml:space="preserve">Toothfishes </t>
    </r>
    <r>
      <rPr>
        <b/>
        <sz val="9"/>
        <rFont val="Calibri"/>
        <family val="2"/>
      </rPr>
      <t>b</t>
    </r>
  </si>
  <si>
    <r>
      <t xml:space="preserve">Total Fisheries and aquaculture products  </t>
    </r>
    <r>
      <rPr>
        <b/>
        <sz val="8"/>
        <color rgb="FF000000"/>
        <rFont val="Calibri"/>
        <family val="2"/>
      </rPr>
      <t>c</t>
    </r>
  </si>
  <si>
    <r>
      <t xml:space="preserve">Toothfishes </t>
    </r>
    <r>
      <rPr>
        <b/>
        <sz val="9"/>
        <rFont val="Calibri"/>
        <family val="2"/>
      </rPr>
      <t>c</t>
    </r>
  </si>
  <si>
    <r>
      <rPr>
        <b/>
        <sz val="8"/>
        <color rgb="FF000000"/>
        <rFont val="Calibri"/>
        <family val="2"/>
      </rPr>
      <t>a</t>
    </r>
    <r>
      <rPr>
        <sz val="8"/>
        <color rgb="FF000000"/>
        <rFont val="Calibri"/>
        <family val="2"/>
      </rPr>
      <t xml:space="preserve"> State and Commonwealth wild-catch production.</t>
    </r>
    <r>
      <rPr>
        <b/>
        <sz val="8"/>
        <color rgb="FF000000"/>
        <rFont val="Calibri"/>
        <family val="2"/>
      </rPr>
      <t xml:space="preserve"> b</t>
    </r>
    <r>
      <rPr>
        <sz val="8"/>
        <color rgb="FF000000"/>
        <rFont val="Calibri"/>
        <family val="2"/>
      </rPr>
      <t xml:space="preserve"> Include anchovies. </t>
    </r>
    <r>
      <rPr>
        <b/>
        <sz val="8"/>
        <color rgb="FF000000"/>
        <rFont val="Calibri"/>
        <family val="2"/>
      </rPr>
      <t>c</t>
    </r>
    <r>
      <rPr>
        <sz val="8"/>
        <color rgb="FF000000"/>
        <rFont val="Calibri"/>
        <family val="2"/>
      </rPr>
      <t xml:space="preserve"> Sharks and Rays converted to whole weight. </t>
    </r>
    <r>
      <rPr>
        <b/>
        <sz val="8"/>
        <color rgb="FF000000"/>
        <rFont val="Calibri"/>
        <family val="2"/>
      </rPr>
      <t>nei</t>
    </r>
    <r>
      <rPr>
        <sz val="8"/>
        <color rgb="FF000000"/>
        <rFont val="Calibri"/>
        <family val="2"/>
      </rPr>
      <t xml:space="preserve"> Not elsewhere included. </t>
    </r>
    <r>
      <rPr>
        <b/>
        <sz val="8"/>
        <color rgb="FF000000"/>
        <rFont val="Calibri"/>
        <family val="2"/>
      </rPr>
      <t>p</t>
    </r>
    <r>
      <rPr>
        <sz val="8"/>
        <color rgb="FF000000"/>
        <rFont val="Calibri"/>
        <family val="2"/>
      </rPr>
      <t xml:space="preserve"> Preliminary.
Sources: ABARES; AFMA; Western Australian Department of Fisheries; Tasmanian Department of Primary Industries and Regional Development; New South Wales Department of Primary Industries; Queensland Department of Agriculture and Fisheries; Victorian Fisheries Authority; Northern Territory Department of Primary Industry and Resources; Primary Industries and Regions South Australia; South Australian Research and Development Institute.
</t>
    </r>
  </si>
  <si>
    <r>
      <rPr>
        <b/>
        <sz val="8"/>
        <color rgb="FF000000"/>
        <rFont val="Calibri"/>
        <family val="2"/>
      </rPr>
      <t>a</t>
    </r>
    <r>
      <rPr>
        <sz val="8"/>
        <color rgb="FF000000"/>
        <rFont val="Calibri"/>
        <family val="2"/>
      </rPr>
      <t xml:space="preserve"> Excludes hatchery production, Crocodiles, Microalgae and Aquarium Worms.  </t>
    </r>
    <r>
      <rPr>
        <b/>
        <sz val="8"/>
        <color rgb="FF000000"/>
        <rFont val="Calibri"/>
        <family val="2"/>
      </rPr>
      <t>b</t>
    </r>
    <r>
      <rPr>
        <sz val="8"/>
        <color rgb="FF000000"/>
        <rFont val="Calibri"/>
        <family val="2"/>
      </rPr>
      <t xml:space="preserve"> Includes Atlantic Salmon and Trouts production. </t>
    </r>
    <r>
      <rPr>
        <b/>
        <sz val="8"/>
        <color rgb="FF000000"/>
        <rFont val="Calibri"/>
        <family val="2"/>
      </rPr>
      <t>c</t>
    </r>
    <r>
      <rPr>
        <sz val="8"/>
        <color rgb="FF000000"/>
        <rFont val="Calibri"/>
        <family val="2"/>
      </rPr>
      <t xml:space="preserve"> Includes Eels, other native Finfish and Aquarium species. </t>
    </r>
    <r>
      <rPr>
        <b/>
        <sz val="8"/>
        <color rgb="FF000000"/>
        <rFont val="Calibri"/>
        <family val="2"/>
      </rPr>
      <t>d</t>
    </r>
    <r>
      <rPr>
        <sz val="8"/>
        <color rgb="FF000000"/>
        <rFont val="Calibri"/>
        <family val="2"/>
      </rPr>
      <t xml:space="preserve"> After 2006–07, for South Australia Marron also includes Yabbies to protect commercial confidentiality.  </t>
    </r>
    <r>
      <rPr>
        <b/>
        <sz val="8"/>
        <color rgb="FF000000"/>
        <rFont val="Calibri"/>
        <family val="2"/>
      </rPr>
      <t>e</t>
    </r>
    <r>
      <rPr>
        <sz val="8"/>
        <color rgb="FF000000"/>
        <rFont val="Calibri"/>
        <family val="2"/>
      </rPr>
      <t xml:space="preserve"> Includes aquaculture production not elsewhere specified because of confidentiality restrictions. In Victoria, this includes warmwater species, Ornamental species, other Shellfish, Shrimps and Aquatic Worms. </t>
    </r>
    <r>
      <rPr>
        <b/>
        <sz val="8"/>
        <color rgb="FF000000"/>
        <rFont val="Calibri"/>
        <family val="2"/>
      </rPr>
      <t>g</t>
    </r>
    <r>
      <rPr>
        <sz val="8"/>
        <color rgb="FF000000"/>
        <rFont val="Calibri"/>
        <family val="2"/>
      </rPr>
      <t xml:space="preserve"> For information on conversion ratios please see jurisdiction specific tables. </t>
    </r>
    <r>
      <rPr>
        <b/>
        <sz val="8"/>
        <color rgb="FF000000"/>
        <rFont val="Calibri"/>
        <family val="2"/>
      </rPr>
      <t>nei</t>
    </r>
    <r>
      <rPr>
        <sz val="8"/>
        <color rgb="FF000000"/>
        <rFont val="Calibri"/>
        <family val="2"/>
      </rPr>
      <t xml:space="preserve"> Not elsewhere included. </t>
    </r>
    <r>
      <rPr>
        <b/>
        <sz val="8"/>
        <color rgb="FF000000"/>
        <rFont val="Calibri"/>
        <family val="2"/>
      </rPr>
      <t xml:space="preserve">p </t>
    </r>
    <r>
      <rPr>
        <sz val="8"/>
        <color rgb="FF000000"/>
        <rFont val="Calibri"/>
        <family val="2"/>
      </rPr>
      <t>Preliminary.
Note: 0.0 denotes zero value or a value of less than 0.1.
Sources: ABARES; Western Australian Department of Fisheries; Tasmanian Department of Primary Industries and Regional Development; New South Wales Department of Primary Industries; Queensland Department of Agriculture and Fisheries; Victorian Fisheries Authority; Northern Territory Department of Primary Industry and Resources; Primary Industries and Regions South Australia; South Australian Research and Development Institute.</t>
    </r>
  </si>
  <si>
    <r>
      <rPr>
        <b/>
        <sz val="8"/>
        <color rgb="FF000000"/>
        <rFont val="Calibri"/>
        <family val="2"/>
      </rPr>
      <t>a</t>
    </r>
    <r>
      <rPr>
        <sz val="8"/>
        <color rgb="FF000000"/>
        <rFont val="Calibri"/>
        <family val="2"/>
      </rPr>
      <t xml:space="preserve"> Mainly includes Tiger Prawns, Royal Red Prawn and Bay Prawns. </t>
    </r>
    <r>
      <rPr>
        <b/>
        <sz val="8"/>
        <color rgb="FF000000"/>
        <rFont val="Calibri"/>
        <family val="2"/>
      </rPr>
      <t>b</t>
    </r>
    <r>
      <rPr>
        <sz val="8"/>
        <color rgb="FF000000"/>
        <rFont val="Calibri"/>
        <family val="2"/>
      </rPr>
      <t xml:space="preserve"> Mainly includes Balmain Bugs, Yabbies and Nippers. </t>
    </r>
    <r>
      <rPr>
        <b/>
        <sz val="8"/>
        <color rgb="FF000000"/>
        <rFont val="Calibri"/>
        <family val="2"/>
      </rPr>
      <t>c</t>
    </r>
    <r>
      <rPr>
        <sz val="8"/>
        <color rgb="FF000000"/>
        <rFont val="Calibri"/>
        <family val="2"/>
      </rPr>
      <t xml:space="preserve"> Excludes catches in the Commonwealth and other jurisdiction fisheries landed into New South Wales. </t>
    </r>
    <r>
      <rPr>
        <b/>
        <sz val="8"/>
        <color rgb="FF000000"/>
        <rFont val="Calibri"/>
        <family val="2"/>
      </rPr>
      <t xml:space="preserve">d </t>
    </r>
    <r>
      <rPr>
        <sz val="8"/>
        <color rgb="FF000000"/>
        <rFont val="Calibri"/>
        <family val="2"/>
      </rPr>
      <t xml:space="preserve">Mainly includes Cockles, Periwinkles, Whelk and Blue Mussel. </t>
    </r>
    <r>
      <rPr>
        <b/>
        <sz val="8"/>
        <color rgb="FF000000"/>
        <rFont val="Calibri"/>
        <family val="2"/>
      </rPr>
      <t>e</t>
    </r>
    <r>
      <rPr>
        <sz val="8"/>
        <color rgb="FF000000"/>
        <rFont val="Calibri"/>
        <family val="2"/>
      </rPr>
      <t xml:space="preserve"> Mainly includes Australian Sardine, Blue Mackerel, Leatherjackets, Flathead, Bonitos, Yellowtail Scad, Sandy Sprat, Tailor, Silver Biddy and Eels. </t>
    </r>
    <r>
      <rPr>
        <b/>
        <sz val="8"/>
        <color rgb="FF000000"/>
        <rFont val="Calibri"/>
        <family val="2"/>
      </rPr>
      <t>g</t>
    </r>
    <r>
      <rPr>
        <sz val="8"/>
        <color rgb="FF000000"/>
        <rFont val="Calibri"/>
        <family val="2"/>
      </rPr>
      <t xml:space="preserve"> Mainly includes Beachworms and Sea Urchin. </t>
    </r>
    <r>
      <rPr>
        <b/>
        <sz val="8"/>
        <color rgb="FF000000"/>
        <rFont val="Calibri"/>
        <family val="2"/>
      </rPr>
      <t>h</t>
    </r>
    <r>
      <rPr>
        <sz val="8"/>
        <color rgb="FF000000"/>
        <rFont val="Calibri"/>
        <family val="2"/>
      </rPr>
      <t xml:space="preserve"> Excludes hatchery production. </t>
    </r>
    <r>
      <rPr>
        <b/>
        <sz val="8"/>
        <color rgb="FF000000"/>
        <rFont val="Calibri"/>
        <family val="2"/>
      </rPr>
      <t>i</t>
    </r>
    <r>
      <rPr>
        <sz val="8"/>
        <color rgb="FF000000"/>
        <rFont val="Calibri"/>
        <family val="2"/>
      </rPr>
      <t xml:space="preserve"> The 2019–20 conversion ratio for Oysters in New South Wales is approximately 1.7 kgs to the dozen; this differs between years. </t>
    </r>
    <r>
      <rPr>
        <b/>
        <sz val="8"/>
        <color rgb="FF000000"/>
        <rFont val="Calibri"/>
        <family val="2"/>
      </rPr>
      <t>j</t>
    </r>
    <r>
      <rPr>
        <sz val="8"/>
        <color rgb="FF000000"/>
        <rFont val="Calibri"/>
        <family val="2"/>
      </rPr>
      <t xml:space="preserve"> Mainly includes Longfin Eel, Golden Perch, Murray Cod, Mulloway and Pearls. </t>
    </r>
    <r>
      <rPr>
        <b/>
        <sz val="8"/>
        <color rgb="FF000000"/>
        <rFont val="Calibri"/>
        <family val="2"/>
      </rPr>
      <t>na</t>
    </r>
    <r>
      <rPr>
        <sz val="8"/>
        <color rgb="FF000000"/>
        <rFont val="Calibri"/>
        <family val="2"/>
      </rPr>
      <t xml:space="preserve"> Not available.</t>
    </r>
    <r>
      <rPr>
        <b/>
        <sz val="8"/>
        <color rgb="FF000000"/>
        <rFont val="Calibri"/>
        <family val="2"/>
      </rPr>
      <t xml:space="preserve"> nei</t>
    </r>
    <r>
      <rPr>
        <sz val="8"/>
        <color rgb="FF000000"/>
        <rFont val="Calibri"/>
        <family val="2"/>
      </rPr>
      <t xml:space="preserve"> Not elsewhere included. </t>
    </r>
    <r>
      <rPr>
        <b/>
        <sz val="8"/>
        <color rgb="FF000000"/>
        <rFont val="Calibri"/>
        <family val="2"/>
      </rPr>
      <t>p</t>
    </r>
    <r>
      <rPr>
        <sz val="8"/>
        <color rgb="FF000000"/>
        <rFont val="Calibri"/>
        <family val="2"/>
      </rPr>
      <t xml:space="preserve"> Preliminary.
Note: 0.0 denotes zero value or a value of less than 0.1.
Source: New South Wales Department of Primary Industries.</t>
    </r>
  </si>
  <si>
    <r>
      <rPr>
        <b/>
        <sz val="8"/>
        <color rgb="FF000000"/>
        <rFont val="Calibri"/>
        <family val="2"/>
      </rPr>
      <t>a</t>
    </r>
    <r>
      <rPr>
        <sz val="8"/>
        <color rgb="FF000000"/>
        <rFont val="Calibri"/>
        <family val="2"/>
      </rPr>
      <t xml:space="preserve"> Sharks and Rays data only include Victorian bays and inlets and small quantities taken in ocean waters by non-shark fishers operating in state-proclaimed waters. </t>
    </r>
    <r>
      <rPr>
        <b/>
        <sz val="8"/>
        <color rgb="FF000000"/>
        <rFont val="Calibri"/>
        <family val="2"/>
      </rPr>
      <t>b</t>
    </r>
    <r>
      <rPr>
        <sz val="8"/>
        <color rgb="FF000000"/>
        <rFont val="Calibri"/>
        <family val="2"/>
      </rPr>
      <t xml:space="preserve"> Excludes hatchery production.</t>
    </r>
    <r>
      <rPr>
        <b/>
        <sz val="8"/>
        <color rgb="FF000000"/>
        <rFont val="Calibri"/>
        <family val="2"/>
      </rPr>
      <t xml:space="preserve"> c</t>
    </r>
    <r>
      <rPr>
        <sz val="8"/>
        <color rgb="FF000000"/>
        <rFont val="Calibri"/>
        <family val="2"/>
      </rPr>
      <t xml:space="preserve"> Includes Salmonids and Trouts production. </t>
    </r>
    <r>
      <rPr>
        <b/>
        <sz val="8"/>
        <color rgb="FF000000"/>
        <rFont val="Calibri"/>
        <family val="2"/>
      </rPr>
      <t>d</t>
    </r>
    <r>
      <rPr>
        <sz val="8"/>
        <color rgb="FF000000"/>
        <rFont val="Calibri"/>
        <family val="2"/>
      </rPr>
      <t xml:space="preserve"> Includes Australian Bass, Basa, Golden Perch, Murray Cod and Silver Perch. </t>
    </r>
    <r>
      <rPr>
        <b/>
        <sz val="8"/>
        <color rgb="FF000000"/>
        <rFont val="Calibri"/>
        <family val="2"/>
      </rPr>
      <t xml:space="preserve">e </t>
    </r>
    <r>
      <rPr>
        <sz val="8"/>
        <color rgb="FF000000"/>
        <rFont val="Calibri"/>
        <family val="2"/>
      </rPr>
      <t>From 2018–19 includes various species previously reported on such as Salmonid</t>
    </r>
    <r>
      <rPr>
        <b/>
        <sz val="8"/>
        <color rgb="FF000000"/>
        <rFont val="Calibri"/>
        <family val="2"/>
      </rPr>
      <t>s</t>
    </r>
    <r>
      <rPr>
        <sz val="8"/>
        <color rgb="FF000000"/>
        <rFont val="Calibri"/>
        <family val="2"/>
      </rPr>
      <t>.</t>
    </r>
    <r>
      <rPr>
        <b/>
        <sz val="8"/>
        <color rgb="FF000000"/>
        <rFont val="Calibri"/>
        <family val="2"/>
      </rPr>
      <t xml:space="preserve"> na</t>
    </r>
    <r>
      <rPr>
        <sz val="8"/>
        <color rgb="FF000000"/>
        <rFont val="Calibri"/>
        <family val="2"/>
      </rPr>
      <t xml:space="preserve"> Not available. </t>
    </r>
    <r>
      <rPr>
        <b/>
        <sz val="8"/>
        <color rgb="FF000000"/>
        <rFont val="Calibri"/>
        <family val="2"/>
      </rPr>
      <t>p</t>
    </r>
    <r>
      <rPr>
        <sz val="8"/>
        <color rgb="FF000000"/>
        <rFont val="Calibri"/>
        <family val="2"/>
      </rPr>
      <t xml:space="preserve"> Preliminary. 
Note: 0.0 denotes zero value or a value of less than 0.1.
Sources: ABARES; Victorian Fisheries Authority.</t>
    </r>
  </si>
  <si>
    <r>
      <rPr>
        <b/>
        <sz val="8"/>
        <color rgb="FF000000"/>
        <rFont val="Calibri"/>
        <family val="2"/>
      </rPr>
      <t>a</t>
    </r>
    <r>
      <rPr>
        <sz val="8"/>
        <color rgb="FF000000"/>
        <rFont val="Calibri"/>
        <family val="2"/>
      </rPr>
      <t xml:space="preserve"> Rock Lobster data includes data for Shovel-nosed &amp; Slipper Lobsters for the years 2006–07 to 2009–10. </t>
    </r>
    <r>
      <rPr>
        <b/>
        <sz val="8"/>
        <color rgb="FF000000"/>
        <rFont val="Calibri"/>
        <family val="2"/>
      </rPr>
      <t>b</t>
    </r>
    <r>
      <rPr>
        <sz val="8"/>
        <color rgb="FF000000"/>
        <rFont val="Calibri"/>
        <family val="2"/>
      </rPr>
      <t xml:space="preserve"> Includes Cuttlefish. </t>
    </r>
    <r>
      <rPr>
        <b/>
        <sz val="8"/>
        <color rgb="FF000000"/>
        <rFont val="Calibri"/>
        <family val="2"/>
      </rPr>
      <t>c</t>
    </r>
    <r>
      <rPr>
        <sz val="8"/>
        <color rgb="FF000000"/>
        <rFont val="Calibri"/>
        <family val="2"/>
      </rPr>
      <t xml:space="preserve"> Excludes hatchery production. </t>
    </r>
    <r>
      <rPr>
        <b/>
        <sz val="8"/>
        <color rgb="FF000000"/>
        <rFont val="Calibri"/>
        <family val="2"/>
      </rPr>
      <t>d</t>
    </r>
    <r>
      <rPr>
        <sz val="8"/>
        <color rgb="FF000000"/>
        <rFont val="Calibri"/>
        <family val="2"/>
      </rPr>
      <t xml:space="preserve"> Exotic and native species (including Australian Lungfish, Northern Saratoga and Southern Saratoga). </t>
    </r>
    <r>
      <rPr>
        <b/>
        <sz val="8"/>
        <color rgb="FF000000"/>
        <rFont val="Calibri"/>
        <family val="2"/>
      </rPr>
      <t>e</t>
    </r>
    <r>
      <rPr>
        <sz val="8"/>
        <color rgb="FF000000"/>
        <rFont val="Calibri"/>
        <family val="2"/>
      </rPr>
      <t xml:space="preserve"> The current conversion ratio for Oysters produced in Queensland is 1.5 kgs to the dozen; this may differ slightly between years. </t>
    </r>
    <r>
      <rPr>
        <b/>
        <sz val="8"/>
        <color rgb="FF000000"/>
        <rFont val="Calibri"/>
        <family val="2"/>
      </rPr>
      <t>g</t>
    </r>
    <r>
      <rPr>
        <sz val="8"/>
        <color rgb="FF000000"/>
        <rFont val="Calibri"/>
        <family val="2"/>
      </rPr>
      <t xml:space="preserve"> Includes Eels, Murray Cods, Golden Perch, Sleepy Cod, Australian Bass, Marine Finfish, Crabs and Oysters.</t>
    </r>
    <r>
      <rPr>
        <b/>
        <sz val="8"/>
        <color rgb="FF000000"/>
        <rFont val="Calibri"/>
        <family val="2"/>
      </rPr>
      <t xml:space="preserve"> na</t>
    </r>
    <r>
      <rPr>
        <sz val="8"/>
        <color rgb="FF000000"/>
        <rFont val="Calibri"/>
        <family val="2"/>
      </rPr>
      <t xml:space="preserve"> Not available. </t>
    </r>
    <r>
      <rPr>
        <b/>
        <sz val="8"/>
        <color rgb="FF000000"/>
        <rFont val="Calibri"/>
        <family val="2"/>
      </rPr>
      <t>nei</t>
    </r>
    <r>
      <rPr>
        <sz val="8"/>
        <color rgb="FF000000"/>
        <rFont val="Calibri"/>
        <family val="2"/>
      </rPr>
      <t xml:space="preserve"> Not elsewhere included. </t>
    </r>
    <r>
      <rPr>
        <b/>
        <sz val="8"/>
        <color rgb="FF000000"/>
        <rFont val="Calibri"/>
        <family val="2"/>
      </rPr>
      <t>p</t>
    </r>
    <r>
      <rPr>
        <sz val="8"/>
        <color rgb="FF000000"/>
        <rFont val="Calibri"/>
        <family val="2"/>
      </rPr>
      <t xml:space="preserve"> Preliminary.
Note: 0.0 denotes zero value or a value of less than 0.1.
</t>
    </r>
    <r>
      <rPr>
        <b/>
        <sz val="8"/>
        <color rgb="FF000000"/>
        <rFont val="Calibri"/>
        <family val="2"/>
      </rPr>
      <t>Sources:</t>
    </r>
    <r>
      <rPr>
        <sz val="8"/>
        <color rgb="FF000000"/>
        <rFont val="Calibri"/>
        <family val="2"/>
      </rPr>
      <t xml:space="preserve"> Fisheries Queensland, Queensland Department of Agriculture and Fisheries.</t>
    </r>
  </si>
  <si>
    <r>
      <rPr>
        <b/>
        <sz val="8"/>
        <color rgb="FF000000"/>
        <rFont val="Calibri"/>
        <family val="2"/>
      </rPr>
      <t>a</t>
    </r>
    <r>
      <rPr>
        <sz val="8"/>
        <color rgb="FF000000"/>
        <rFont val="Calibri"/>
        <family val="2"/>
      </rPr>
      <t xml:space="preserve"> Excludes catch from Commonwealth waters. </t>
    </r>
    <r>
      <rPr>
        <b/>
        <sz val="8"/>
        <color rgb="FF000000"/>
        <rFont val="Calibri"/>
        <family val="2"/>
      </rPr>
      <t>b</t>
    </r>
    <r>
      <rPr>
        <sz val="8"/>
        <color rgb="FF000000"/>
        <rFont val="Calibri"/>
        <family val="2"/>
      </rPr>
      <t xml:space="preserve"> Excludes hatchery production. </t>
    </r>
    <r>
      <rPr>
        <b/>
        <sz val="8"/>
        <color rgb="FF000000"/>
        <rFont val="Calibri"/>
        <family val="2"/>
      </rPr>
      <t>c</t>
    </r>
    <r>
      <rPr>
        <sz val="8"/>
        <color rgb="FF000000"/>
        <rFont val="Calibri"/>
        <family val="2"/>
      </rPr>
      <t xml:space="preserve"> After 2006–07, Marron also includes Yabbies to protect commercial confidentiality. </t>
    </r>
    <r>
      <rPr>
        <b/>
        <sz val="8"/>
        <color rgb="FF000000"/>
        <rFont val="Calibri"/>
        <family val="2"/>
      </rPr>
      <t>d</t>
    </r>
    <r>
      <rPr>
        <sz val="8"/>
        <color rgb="FF000000"/>
        <rFont val="Calibri"/>
        <family val="2"/>
      </rPr>
      <t xml:space="preserve"> Processed weight. </t>
    </r>
    <r>
      <rPr>
        <b/>
        <sz val="8"/>
        <color rgb="FF000000"/>
        <rFont val="Calibri"/>
        <family val="2"/>
      </rPr>
      <t>e</t>
    </r>
    <r>
      <rPr>
        <sz val="8"/>
        <color rgb="FF000000"/>
        <rFont val="Calibri"/>
        <family val="2"/>
      </rPr>
      <t xml:space="preserve"> Includes the value of local spat sales. </t>
    </r>
    <r>
      <rPr>
        <b/>
        <sz val="8"/>
        <color rgb="FF000000"/>
        <rFont val="Calibri"/>
        <family val="2"/>
      </rPr>
      <t>g</t>
    </r>
    <r>
      <rPr>
        <sz val="8"/>
        <color rgb="FF000000"/>
        <rFont val="Calibri"/>
        <family val="2"/>
      </rPr>
      <t xml:space="preserve"> Includes Barramundi, Yellowtail Kingfish, Mulloway, Rainbow Trout, Algae and Brine Shrimp production. </t>
    </r>
    <r>
      <rPr>
        <b/>
        <sz val="8"/>
        <color rgb="FF000000"/>
        <rFont val="Calibri"/>
        <family val="2"/>
      </rPr>
      <t xml:space="preserve">h </t>
    </r>
    <r>
      <rPr>
        <sz val="8"/>
        <color rgb="FF000000"/>
        <rFont val="Calibri"/>
        <family val="2"/>
      </rPr>
      <t xml:space="preserve">Excludes Shark and worm production from State fisheries and Rock Lobster pot by-catch. </t>
    </r>
    <r>
      <rPr>
        <b/>
        <sz val="8"/>
        <color rgb="FF000000"/>
        <rFont val="Calibri"/>
        <family val="2"/>
      </rPr>
      <t>i</t>
    </r>
    <r>
      <rPr>
        <sz val="8"/>
        <color rgb="FF000000"/>
        <rFont val="Calibri"/>
        <family val="2"/>
      </rPr>
      <t xml:space="preserve"> Excludes spat. The current conversion ratio for Oysters produced in South Australia is approximately 1 kg to the dozen; this may differ slightly between years. </t>
    </r>
    <r>
      <rPr>
        <b/>
        <sz val="8"/>
        <color rgb="FF000000"/>
        <rFont val="Calibri"/>
        <family val="2"/>
      </rPr>
      <t xml:space="preserve">na </t>
    </r>
    <r>
      <rPr>
        <sz val="8"/>
        <color rgb="FF000000"/>
        <rFont val="Calibri"/>
        <family val="2"/>
      </rPr>
      <t xml:space="preserve">Not available. </t>
    </r>
    <r>
      <rPr>
        <b/>
        <sz val="8"/>
        <color rgb="FF000000"/>
        <rFont val="Calibri"/>
        <family val="2"/>
      </rPr>
      <t>p </t>
    </r>
    <r>
      <rPr>
        <sz val="8"/>
        <color rgb="FF000000"/>
        <rFont val="Calibri"/>
        <family val="2"/>
      </rPr>
      <t xml:space="preserve">Preliminary.
Note: 0.0 denotes zero value or a value of less than 0.1.
Sources: Primary Industries and Regions South Australia; South Australian Research and Development Institute.
</t>
    </r>
  </si>
  <si>
    <r>
      <t xml:space="preserve">a </t>
    </r>
    <r>
      <rPr>
        <sz val="8"/>
        <color rgb="FF000000"/>
        <rFont val="Calibri"/>
        <family val="2"/>
      </rPr>
      <t xml:space="preserve">Value includes Pearl Oysters shells taken, including those taken for Mother of Pearl and Octopus. </t>
    </r>
    <r>
      <rPr>
        <b/>
        <sz val="8"/>
        <color rgb="FF000000"/>
        <rFont val="Calibri"/>
        <family val="2"/>
      </rPr>
      <t>b</t>
    </r>
    <r>
      <rPr>
        <sz val="8"/>
        <color rgb="FF000000"/>
        <rFont val="Calibri"/>
        <family val="2"/>
      </rPr>
      <t xml:space="preserve"> Sharkfin value only redeemed from Shark catch for select years.  </t>
    </r>
    <r>
      <rPr>
        <b/>
        <sz val="8"/>
        <color rgb="FF000000"/>
        <rFont val="Calibri"/>
        <family val="2"/>
      </rPr>
      <t>c</t>
    </r>
    <r>
      <rPr>
        <sz val="8"/>
        <color rgb="FF000000"/>
        <rFont val="Calibri"/>
        <family val="2"/>
      </rPr>
      <t xml:space="preserve"> Includes Sea Cucumber, Sea Urchin and others previously reported under Other Molluscs. </t>
    </r>
    <r>
      <rPr>
        <b/>
        <sz val="8"/>
        <color rgb="FF000000"/>
        <rFont val="Calibri"/>
        <family val="2"/>
      </rPr>
      <t xml:space="preserve">d </t>
    </r>
    <r>
      <rPr>
        <sz val="8"/>
        <color rgb="FF000000"/>
        <rFont val="Calibri"/>
        <family val="2"/>
      </rPr>
      <t xml:space="preserve">Aquaculture excludes Algae production for betacarotene and hatchery production. Some quantity data not available because of confidentiality restrictions. </t>
    </r>
    <r>
      <rPr>
        <b/>
        <sz val="8"/>
        <color rgb="FF000000"/>
        <rFont val="Calibri"/>
        <family val="2"/>
      </rPr>
      <t>e</t>
    </r>
    <r>
      <rPr>
        <sz val="8"/>
        <color rgb="FF000000"/>
        <rFont val="Calibri"/>
        <family val="2"/>
      </rPr>
      <t xml:space="preserve"> Includes Barramundi, Silver Perch and Rainbow Trout. </t>
    </r>
    <r>
      <rPr>
        <b/>
        <sz val="8"/>
        <color rgb="FF000000"/>
        <rFont val="Calibri"/>
        <family val="2"/>
      </rPr>
      <t>na</t>
    </r>
    <r>
      <rPr>
        <sz val="8"/>
        <color rgb="FF000000"/>
        <rFont val="Calibri"/>
        <family val="2"/>
      </rPr>
      <t xml:space="preserve"> Not available. </t>
    </r>
    <r>
      <rPr>
        <b/>
        <sz val="8"/>
        <color rgb="FF000000"/>
        <rFont val="Calibri"/>
        <family val="2"/>
      </rPr>
      <t>nei</t>
    </r>
    <r>
      <rPr>
        <sz val="8"/>
        <color rgb="FF000000"/>
        <rFont val="Calibri"/>
        <family val="2"/>
      </rPr>
      <t xml:space="preserve"> Not elsewhere included. </t>
    </r>
    <r>
      <rPr>
        <b/>
        <sz val="8"/>
        <color rgb="FF000000"/>
        <rFont val="Calibri"/>
        <family val="2"/>
      </rPr>
      <t>p</t>
    </r>
    <r>
      <rPr>
        <sz val="8"/>
        <color rgb="FF000000"/>
        <rFont val="Calibri"/>
        <family val="2"/>
      </rPr>
      <t xml:space="preserve"> Preliminary.
Note: 0.0 denotes zero value or a value of less than 0.1.
Source: Western Australian Department of Primary Industries and Regional Development.</t>
    </r>
    <r>
      <rPr>
        <b/>
        <sz val="8"/>
        <color rgb="FF000000"/>
        <rFont val="Calibri"/>
        <family val="2"/>
      </rPr>
      <t xml:space="preserve">
</t>
    </r>
  </si>
  <si>
    <r>
      <rPr>
        <b/>
        <sz val="8"/>
        <color rgb="FF000000"/>
        <rFont val="Calibri"/>
        <family val="2"/>
      </rPr>
      <t xml:space="preserve">a </t>
    </r>
    <r>
      <rPr>
        <sz val="8"/>
        <color rgb="FF000000"/>
        <rFont val="Calibri"/>
        <family val="2"/>
      </rPr>
      <t xml:space="preserve">Excludes Sharks and Rays from the Commonwealth Southern Shark Fishery. </t>
    </r>
    <r>
      <rPr>
        <b/>
        <sz val="8"/>
        <color rgb="FF000000"/>
        <rFont val="Calibri"/>
        <family val="2"/>
      </rPr>
      <t>b</t>
    </r>
    <r>
      <rPr>
        <sz val="8"/>
        <color rgb="FF000000"/>
        <rFont val="Calibri"/>
        <family val="2"/>
      </rPr>
      <t xml:space="preserve"> Includes Sea Urchin. From 2018–19 includes data from the Seaweed Fishery. </t>
    </r>
    <r>
      <rPr>
        <b/>
        <sz val="8"/>
        <color rgb="FF000000"/>
        <rFont val="Calibri"/>
        <family val="2"/>
      </rPr>
      <t>c</t>
    </r>
    <r>
      <rPr>
        <sz val="8"/>
        <color rgb="FF000000"/>
        <rFont val="Calibri"/>
        <family val="2"/>
      </rPr>
      <t xml:space="preserve"> Excludes hatchery production. </t>
    </r>
    <r>
      <rPr>
        <b/>
        <sz val="8"/>
        <color rgb="FF000000"/>
        <rFont val="Calibri"/>
        <family val="2"/>
      </rPr>
      <t>d</t>
    </r>
    <r>
      <rPr>
        <sz val="8"/>
        <color rgb="FF000000"/>
        <rFont val="Calibri"/>
        <family val="2"/>
      </rPr>
      <t xml:space="preserve"> Includes Salmonids and Trouts production, weight in HOGG (head on, gilled and gutted). </t>
    </r>
    <r>
      <rPr>
        <b/>
        <sz val="8"/>
        <color rgb="FF000000"/>
        <rFont val="Calibri"/>
        <family val="2"/>
      </rPr>
      <t>e</t>
    </r>
    <r>
      <rPr>
        <sz val="8"/>
        <color rgb="FF000000"/>
        <rFont val="Calibri"/>
        <family val="2"/>
      </rPr>
      <t xml:space="preserve"> The current conversion ratio for Oysters produced in Tasmania is approximately 1kg to the dozen; this may differ slightly between years. </t>
    </r>
    <r>
      <rPr>
        <b/>
        <sz val="8"/>
        <color rgb="FF000000"/>
        <rFont val="Calibri"/>
        <family val="2"/>
      </rPr>
      <t>na</t>
    </r>
    <r>
      <rPr>
        <sz val="8"/>
        <color rgb="FF000000"/>
        <rFont val="Calibri"/>
        <family val="2"/>
      </rPr>
      <t xml:space="preserve"> Not available. </t>
    </r>
    <r>
      <rPr>
        <b/>
        <sz val="8"/>
        <color rgb="FF000000"/>
        <rFont val="Calibri"/>
        <family val="2"/>
      </rPr>
      <t>nei</t>
    </r>
    <r>
      <rPr>
        <sz val="8"/>
        <color rgb="FF000000"/>
        <rFont val="Calibri"/>
        <family val="2"/>
      </rPr>
      <t xml:space="preserve"> Not elsewhere included. </t>
    </r>
    <r>
      <rPr>
        <b/>
        <sz val="8"/>
        <color rgb="FF000000"/>
        <rFont val="Calibri"/>
        <family val="2"/>
      </rPr>
      <t>p</t>
    </r>
    <r>
      <rPr>
        <sz val="8"/>
        <color rgb="FF000000"/>
        <rFont val="Calibri"/>
        <family val="2"/>
      </rPr>
      <t xml:space="preserve"> Preliminary.
Note: 0.0 denotes zero value or a value of less than 0.1.
Source: Tasmanian Department of Primary Industries, Parks, Water and Environment.
</t>
    </r>
  </si>
  <si>
    <r>
      <rPr>
        <b/>
        <sz val="8"/>
        <color rgb="FF000000"/>
        <rFont val="Calibri"/>
        <family val="2"/>
      </rPr>
      <t>a</t>
    </r>
    <r>
      <rPr>
        <sz val="8"/>
        <color rgb="FF000000"/>
        <rFont val="Calibri"/>
        <family val="2"/>
      </rPr>
      <t xml:space="preserve"> These values are based on derived estimates from a limited number of operators. Excludes hatchery production. Quantities not available because of confidentiality restrictions. </t>
    </r>
    <r>
      <rPr>
        <b/>
        <sz val="8"/>
        <color rgb="FF000000"/>
        <rFont val="Calibri"/>
        <family val="2"/>
      </rPr>
      <t>b</t>
    </r>
    <r>
      <rPr>
        <sz val="8"/>
        <color rgb="FF000000"/>
        <rFont val="Calibri"/>
        <family val="2"/>
      </rPr>
      <t xml:space="preserve"> Includes aquarium production. </t>
    </r>
    <r>
      <rPr>
        <b/>
        <sz val="8"/>
        <color rgb="FF000000"/>
        <rFont val="Calibri"/>
        <family val="2"/>
      </rPr>
      <t>na</t>
    </r>
    <r>
      <rPr>
        <sz val="8"/>
        <color rgb="FF000000"/>
        <rFont val="Calibri"/>
        <family val="2"/>
      </rPr>
      <t xml:space="preserve"> Not available. </t>
    </r>
    <r>
      <rPr>
        <b/>
        <sz val="8"/>
        <color rgb="FF000000"/>
        <rFont val="Calibri"/>
        <family val="2"/>
      </rPr>
      <t>nei</t>
    </r>
    <r>
      <rPr>
        <sz val="8"/>
        <color rgb="FF000000"/>
        <rFont val="Calibri"/>
        <family val="2"/>
      </rPr>
      <t xml:space="preserve"> Not elsewhere included. </t>
    </r>
    <r>
      <rPr>
        <b/>
        <sz val="8"/>
        <color rgb="FF000000"/>
        <rFont val="Calibri"/>
        <family val="2"/>
      </rPr>
      <t>p</t>
    </r>
    <r>
      <rPr>
        <sz val="8"/>
        <color rgb="FF000000"/>
        <rFont val="Calibri"/>
        <family val="2"/>
      </rPr>
      <t xml:space="preserve"> Preliminary.
Note: 0.0 denotes zero value or a value of less than 0.1.
Source: Northern Territory Department of Primary Industry and Resources.
</t>
    </r>
  </si>
  <si>
    <r>
      <rPr>
        <b/>
        <sz val="8"/>
        <color rgb="FF000000"/>
        <rFont val="Calibri"/>
        <family val="2"/>
      </rPr>
      <t>a</t>
    </r>
    <r>
      <rPr>
        <sz val="8"/>
        <color rgb="FF000000"/>
        <rFont val="Calibri"/>
        <family val="2"/>
      </rPr>
      <t xml:space="preserve"> Mainly Moreton Bay Bugs, Scallops and Squids. </t>
    </r>
    <r>
      <rPr>
        <b/>
        <sz val="8"/>
        <color rgb="FF000000"/>
        <rFont val="Calibri"/>
        <family val="2"/>
      </rPr>
      <t>b</t>
    </r>
    <r>
      <rPr>
        <sz val="8"/>
        <color rgb="FF000000"/>
        <rFont val="Calibri"/>
        <family val="2"/>
      </rPr>
      <t xml:space="preserve"> Includes Finfish other than Spanish Mackerel caught by line fishing. </t>
    </r>
    <r>
      <rPr>
        <b/>
        <sz val="8"/>
        <color rgb="FF000000"/>
        <rFont val="Calibri"/>
        <family val="2"/>
      </rPr>
      <t>c</t>
    </r>
    <r>
      <rPr>
        <sz val="8"/>
        <color rgb="FF000000"/>
        <rFont val="Calibri"/>
        <family val="2"/>
      </rPr>
      <t xml:space="preserve"> Sharks and Rays converted to whole weight. </t>
    </r>
    <r>
      <rPr>
        <b/>
        <sz val="8"/>
        <color rgb="FF000000"/>
        <rFont val="Calibri"/>
        <family val="2"/>
      </rPr>
      <t>d</t>
    </r>
    <r>
      <rPr>
        <sz val="8"/>
        <color rgb="FF000000"/>
        <rFont val="Calibri"/>
        <family val="2"/>
      </rPr>
      <t xml:space="preserve"> Includes entries marked </t>
    </r>
    <r>
      <rPr>
        <b/>
        <sz val="8"/>
        <color rgb="FF000000"/>
        <rFont val="Calibri"/>
        <family val="2"/>
      </rPr>
      <t>‘np’</t>
    </r>
    <r>
      <rPr>
        <sz val="8"/>
        <color rgb="FF000000"/>
        <rFont val="Calibri"/>
        <family val="2"/>
      </rPr>
      <t xml:space="preserve"> and the following fisheries because of confidentiality requirements: Small Pelagic; Macquarie Island Toothfish; Coral Sea; Cocos and Christmas islands; Heard Island and McDonald Islands; SESSF East Coast Deepwater Trawl and Victorian coastal waters sectors, South Tasman Rise, Western Skipjack Tuna, North West Slope Trawl and Western Deepwater Trawl. </t>
    </r>
    <r>
      <rPr>
        <b/>
        <sz val="8"/>
        <color rgb="FF000000"/>
        <rFont val="Calibri"/>
        <family val="2"/>
      </rPr>
      <t>e</t>
    </r>
    <r>
      <rPr>
        <sz val="8"/>
        <color rgb="FF000000"/>
        <rFont val="Calibri"/>
        <family val="2"/>
      </rPr>
      <t xml:space="preserve"> Amalgamated in 2002–03 to become SESSF Gillnet, Hook and Trap Sector. </t>
    </r>
    <r>
      <rPr>
        <b/>
        <sz val="8"/>
        <color rgb="FF000000"/>
        <rFont val="Calibri"/>
        <family val="2"/>
      </rPr>
      <t>na</t>
    </r>
    <r>
      <rPr>
        <sz val="8"/>
        <color rgb="FF000000"/>
        <rFont val="Calibri"/>
        <family val="2"/>
      </rPr>
      <t xml:space="preserve"> Not available. </t>
    </r>
    <r>
      <rPr>
        <b/>
        <sz val="8"/>
        <color rgb="FF000000"/>
        <rFont val="Calibri"/>
        <family val="2"/>
      </rPr>
      <t>np</t>
    </r>
    <r>
      <rPr>
        <sz val="8"/>
        <color rgb="FF000000"/>
        <rFont val="Calibri"/>
        <family val="2"/>
      </rPr>
      <t xml:space="preserve"> Not for publication because of confidentiality requirements. Included in Other fisheries. </t>
    </r>
    <r>
      <rPr>
        <b/>
        <sz val="8"/>
        <color rgb="FF000000"/>
        <rFont val="Calibri"/>
        <family val="2"/>
      </rPr>
      <t>p</t>
    </r>
    <r>
      <rPr>
        <sz val="8"/>
        <color rgb="FF000000"/>
        <rFont val="Calibri"/>
        <family val="2"/>
      </rPr>
      <t xml:space="preserve"> Preliminary. </t>
    </r>
    <r>
      <rPr>
        <b/>
        <sz val="8"/>
        <color rgb="FF000000"/>
        <rFont val="Calibri"/>
        <family val="2"/>
      </rPr>
      <t>SESSF</t>
    </r>
    <r>
      <rPr>
        <sz val="8"/>
        <color rgb="FF000000"/>
        <rFont val="Calibri"/>
        <family val="2"/>
      </rPr>
      <t xml:space="preserve"> Southern and Eastern Scalefish and Shark Fishery.
Note: 0.0 denotes zero value or a value of less than 0.1.
Sources: ABARES; AFMA.</t>
    </r>
  </si>
  <si>
    <r>
      <rPr>
        <b/>
        <sz val="8"/>
        <color rgb="FF000000"/>
        <rFont val="Calibri"/>
        <family val="2"/>
      </rPr>
      <t>a</t>
    </r>
    <r>
      <rPr>
        <sz val="8"/>
        <color rgb="FF000000"/>
        <rFont val="Calibri"/>
        <family val="2"/>
      </rPr>
      <t xml:space="preserve"> Predominantly salmon. Includes trout and salmon-like products. </t>
    </r>
    <r>
      <rPr>
        <b/>
        <sz val="8"/>
        <color rgb="FF000000"/>
        <rFont val="Calibri"/>
        <family val="2"/>
      </rPr>
      <t xml:space="preserve">b </t>
    </r>
    <r>
      <rPr>
        <sz val="8"/>
        <color rgb="FF000000"/>
        <rFont val="Calibri"/>
        <family val="2"/>
      </rPr>
      <t xml:space="preserve">Excludes data for the following Australian Harmonized Export Commodity Classification (AHECC) codes: 3042001 between February 2000 and September 2003; 3037911 between February 2000 and December 2006; 3036206 between January 2007 and November 2011. </t>
    </r>
    <r>
      <rPr>
        <b/>
        <sz val="8"/>
        <color rgb="FF000000"/>
        <rFont val="Calibri"/>
        <family val="2"/>
      </rPr>
      <t>c</t>
    </r>
    <r>
      <rPr>
        <sz val="8"/>
        <color rgb="FF000000"/>
        <rFont val="Calibri"/>
        <family val="2"/>
      </rPr>
      <t xml:space="preserve"> Includes items temporarily exported and re–imported. 
Notes: 0.0 denotes zero value or a value of less than 0.1. For details regarding changes made to fisheries commodity names please see ABARES, Australian fisheries and aquaculture statistics, Canberra.
Source: ABS.</t>
    </r>
  </si>
  <si>
    <r>
      <rPr>
        <b/>
        <sz val="8"/>
        <rFont val="Calibri"/>
        <family val="2"/>
      </rPr>
      <t>a</t>
    </r>
    <r>
      <rPr>
        <sz val="8"/>
        <rFont val="Calibri"/>
        <family val="2"/>
      </rPr>
      <t xml:space="preserve"> Includes prepared and preserved. </t>
    </r>
    <r>
      <rPr>
        <b/>
        <sz val="8"/>
        <rFont val="Calibri"/>
        <family val="2"/>
      </rPr>
      <t>b</t>
    </r>
    <r>
      <rPr>
        <sz val="8"/>
        <rFont val="Calibri"/>
        <family val="2"/>
      </rPr>
      <t xml:space="preserve"> Predominantly salmon. Includes trout and salmon-like products. </t>
    </r>
    <r>
      <rPr>
        <b/>
        <sz val="8"/>
        <rFont val="Calibri"/>
        <family val="2"/>
      </rPr>
      <t>c</t>
    </r>
    <r>
      <rPr>
        <sz val="8"/>
        <rFont val="Calibri"/>
        <family val="2"/>
      </rPr>
      <t xml:space="preserve"> Excludes data for the following Australian Harmonized Export Commodity Classification (AHECC) codes: 3037911 between October 2003 and December 2006; 3036206 between January 2007 and November 2011.
Notes: 0.0 denotes zero value or a value of less than 0.1. For details regarding changes made to fisheries commodity names please see ABARES, Australian fisheries and aquaculture statistics, Canberra.
Source: ABS.</t>
    </r>
  </si>
  <si>
    <r>
      <rPr>
        <b/>
        <sz val="8"/>
        <color rgb="FF000000"/>
        <rFont val="Calibri"/>
        <family val="2"/>
      </rPr>
      <t>a</t>
    </r>
    <r>
      <rPr>
        <sz val="8"/>
        <color rgb="FF000000"/>
        <rFont val="Calibri"/>
        <family val="2"/>
      </rPr>
      <t xml:space="preserve"> Includes prepared and preserved. </t>
    </r>
    <r>
      <rPr>
        <b/>
        <sz val="8"/>
        <color rgb="FF000000"/>
        <rFont val="Calibri"/>
        <family val="2"/>
      </rPr>
      <t>b</t>
    </r>
    <r>
      <rPr>
        <sz val="8"/>
        <color rgb="FF000000"/>
        <rFont val="Calibri"/>
        <family val="2"/>
      </rPr>
      <t xml:space="preserve"> Predominantly salmon. Includes trout and salmon-like products. </t>
    </r>
    <r>
      <rPr>
        <b/>
        <sz val="8"/>
        <color rgb="FF000000"/>
        <rFont val="Calibri"/>
        <family val="2"/>
      </rPr>
      <t>c</t>
    </r>
    <r>
      <rPr>
        <sz val="8"/>
        <color rgb="FF000000"/>
        <rFont val="Calibri"/>
        <family val="2"/>
      </rPr>
      <t xml:space="preserve"> Includes live value. </t>
    </r>
    <r>
      <rPr>
        <b/>
        <sz val="8"/>
        <color rgb="FF000000"/>
        <rFont val="Calibri"/>
        <family val="2"/>
      </rPr>
      <t>d</t>
    </r>
    <r>
      <rPr>
        <sz val="8"/>
        <color rgb="FF000000"/>
        <rFont val="Calibri"/>
        <family val="2"/>
      </rPr>
      <t xml:space="preserve"> Includes other fisheries products not classified as Fish or Crustaceans and molluscs. </t>
    </r>
    <r>
      <rPr>
        <b/>
        <sz val="8"/>
        <color rgb="FF000000"/>
        <rFont val="Calibri"/>
        <family val="2"/>
      </rPr>
      <t xml:space="preserve">e </t>
    </r>
    <r>
      <rPr>
        <sz val="8"/>
        <color rgb="FF000000"/>
        <rFont val="Calibri"/>
        <family val="2"/>
      </rPr>
      <t xml:space="preserve">Mainly re–imports. </t>
    </r>
    <r>
      <rPr>
        <b/>
        <sz val="8"/>
        <color rgb="FF000000"/>
        <rFont val="Calibri"/>
        <family val="2"/>
      </rPr>
      <t xml:space="preserve">na </t>
    </r>
    <r>
      <rPr>
        <sz val="8"/>
        <color rgb="FF000000"/>
        <rFont val="Calibri"/>
        <family val="2"/>
      </rPr>
      <t>Not available.
Notes: 0.0 denotes zero value or a value of less than 0.1. For details regarding changes made to fisheries commodity names please see ABARES, Australian fisheries and aquaculture statistics, Canberra.
Source: ABS.</t>
    </r>
  </si>
  <si>
    <r>
      <rPr>
        <b/>
        <sz val="8"/>
        <color rgb="FF000000"/>
        <rFont val="Calibri"/>
        <family val="2"/>
      </rPr>
      <t>a</t>
    </r>
    <r>
      <rPr>
        <sz val="8"/>
        <color rgb="FF000000"/>
        <rFont val="Calibri"/>
        <family val="2"/>
      </rPr>
      <t xml:space="preserve"> Includes prepared and preserved. </t>
    </r>
    <r>
      <rPr>
        <b/>
        <sz val="8"/>
        <color rgb="FF000000"/>
        <rFont val="Calibri"/>
        <family val="2"/>
      </rPr>
      <t>b</t>
    </r>
    <r>
      <rPr>
        <sz val="8"/>
        <color rgb="FF000000"/>
        <rFont val="Calibri"/>
        <family val="2"/>
      </rPr>
      <t xml:space="preserve"> Predominantly salmon. Includes trout and salmon-like products. </t>
    </r>
    <r>
      <rPr>
        <b/>
        <sz val="8"/>
        <color rgb="FF000000"/>
        <rFont val="Calibri"/>
        <family val="2"/>
      </rPr>
      <t>c</t>
    </r>
    <r>
      <rPr>
        <sz val="8"/>
        <color rgb="FF000000"/>
        <rFont val="Calibri"/>
        <family val="2"/>
      </rPr>
      <t xml:space="preserve"> Excludes live tonnage. </t>
    </r>
    <r>
      <rPr>
        <b/>
        <sz val="8"/>
        <color rgb="FF000000"/>
        <rFont val="Calibri"/>
        <family val="2"/>
      </rPr>
      <t>d</t>
    </r>
    <r>
      <rPr>
        <sz val="8"/>
        <color rgb="FF000000"/>
        <rFont val="Calibri"/>
        <family val="2"/>
      </rPr>
      <t xml:space="preserve"> Includes other fisheries products not classified as Fish or Crustaceans and molluscs. </t>
    </r>
    <r>
      <rPr>
        <b/>
        <sz val="8"/>
        <color rgb="FF000000"/>
        <rFont val="Calibri"/>
        <family val="2"/>
      </rPr>
      <t xml:space="preserve">na </t>
    </r>
    <r>
      <rPr>
        <sz val="8"/>
        <color rgb="FF000000"/>
        <rFont val="Calibri"/>
        <family val="2"/>
      </rPr>
      <t>Not available.
Notes: 0.0 denotes zero value or a value of less than 0.1. For details regarding changes made to fisheries commodity names please see ABARES, Australian fisheries and aquaculture statistics, Canberra.
Sources: ABARES; ABS.</t>
    </r>
  </si>
  <si>
    <t>Source: ABS.</t>
  </si>
  <si>
    <r>
      <rPr>
        <b/>
        <sz val="8"/>
        <rFont val="Calibri"/>
        <family val="2"/>
      </rPr>
      <t>a</t>
    </r>
    <r>
      <rPr>
        <sz val="8"/>
        <rFont val="Calibri"/>
        <family val="2"/>
      </rPr>
      <t xml:space="preserve"> Industries are consistent with the Australian and New Zealand Standard Industrial Classification (ANZSIC) 2006 (Trewin and Pink 2006). </t>
    </r>
    <r>
      <rPr>
        <b/>
        <sz val="8"/>
        <rFont val="Calibri"/>
        <family val="2"/>
      </rPr>
      <t xml:space="preserve">b </t>
    </r>
    <r>
      <rPr>
        <sz val="8"/>
        <rFont val="Calibri"/>
        <family val="2"/>
      </rPr>
      <t xml:space="preserve">Total national employment in commercial fishing and aquaculture industries includes a small number of persons employed in external territories of Australia. As the ABS randomly adjusts some small values published in the Census of Population and Housing to avoid release of confidential data, total national employment may be different from combined state and territory employment, and total industry employment may be different from combined category employment. The ABS advises that no reliance should be put on small cells. </t>
    </r>
    <r>
      <rPr>
        <b/>
        <sz val="8"/>
        <rFont val="Calibri"/>
        <family val="2"/>
      </rPr>
      <t xml:space="preserve">nfd </t>
    </r>
    <r>
      <rPr>
        <sz val="8"/>
        <rFont val="Calibri"/>
        <family val="2"/>
      </rPr>
      <t>Not further defined.
Source: Australian Bureau of Statistics (ABS) 2021 Census of Population and Housing. Counting Persons Place of Usual Residence.</t>
    </r>
  </si>
  <si>
    <r>
      <rPr>
        <b/>
        <sz val="8"/>
        <color rgb="FF000000"/>
        <rFont val="Calibri"/>
        <family val="2"/>
      </rPr>
      <t xml:space="preserve">a </t>
    </r>
    <r>
      <rPr>
        <sz val="8"/>
        <color rgb="FF000000"/>
        <rFont val="Calibri"/>
        <family val="2"/>
      </rPr>
      <t>Wild-caught and aquaculture finfish production volumes are expressed on an edible weight basis, estimated using FRDC species-specific conversion rates from fishfiles.com.au.</t>
    </r>
    <r>
      <rPr>
        <b/>
        <sz val="8"/>
        <color rgb="FF000000"/>
        <rFont val="Calibri"/>
        <family val="2"/>
      </rPr>
      <t xml:space="preserve"> p</t>
    </r>
    <r>
      <rPr>
        <sz val="8"/>
        <color rgb="FF000000"/>
        <rFont val="Calibri"/>
        <family val="2"/>
      </rPr>
      <t xml:space="preserve"> Preliminary.
Note: Apparent consumption is the sum of edible production and edible imports, less edible exports. 
Source: ABARES.</t>
    </r>
  </si>
  <si>
    <t>Other Aquaculture</t>
  </si>
  <si>
    <r>
      <t>Other Aquaculture</t>
    </r>
    <r>
      <rPr>
        <b/>
        <sz val="9"/>
        <color rgb="FF000000"/>
        <rFont val="Calibri"/>
        <family val="2"/>
      </rPr>
      <t xml:space="preserve"> g</t>
    </r>
  </si>
  <si>
    <t>Other Finfish, Sharks and Rays</t>
  </si>
  <si>
    <t>Bêche-de-mer</t>
  </si>
  <si>
    <t xml:space="preserve">    Abalones </t>
  </si>
  <si>
    <t xml:space="preserve">    Clams and Cockles </t>
  </si>
  <si>
    <t xml:space="preserve">    Conches</t>
  </si>
  <si>
    <t xml:space="preserve">    Jellyfishes </t>
  </si>
  <si>
    <t xml:space="preserve">    Mussels </t>
  </si>
  <si>
    <t xml:space="preserve">    Octopus </t>
  </si>
  <si>
    <t xml:space="preserve">    Oysters </t>
  </si>
  <si>
    <t xml:space="preserve">    Scallops </t>
  </si>
  <si>
    <t xml:space="preserve">    Sea Cucumber </t>
  </si>
  <si>
    <t xml:space="preserve">    Sea Urchins </t>
  </si>
  <si>
    <t xml:space="preserve">    Squid and Cuttlefish </t>
  </si>
  <si>
    <r>
      <t xml:space="preserve">    Other Molluscs and Aquatic Invertebrates </t>
    </r>
    <r>
      <rPr>
        <b/>
        <sz val="9"/>
        <rFont val="Calibri"/>
        <family val="2"/>
      </rPr>
      <t>nei</t>
    </r>
    <r>
      <rPr>
        <sz val="9"/>
        <rFont val="Calibri"/>
        <family val="2"/>
      </rPr>
      <t xml:space="preserve"> </t>
    </r>
  </si>
  <si>
    <t xml:space="preserve">    Marine fats and oils </t>
  </si>
  <si>
    <t xml:space="preserve">    Seaweeds and other algae </t>
  </si>
  <si>
    <t xml:space="preserve">    Fish meal</t>
  </si>
  <si>
    <r>
      <t xml:space="preserve">Other Aquaculture </t>
    </r>
    <r>
      <rPr>
        <b/>
        <sz val="9"/>
        <color rgb="FF000000"/>
        <rFont val="Calibri"/>
        <family val="2"/>
      </rPr>
      <t>g</t>
    </r>
  </si>
  <si>
    <t>2024–25p</t>
  </si>
  <si>
    <t>2024–25</t>
  </si>
  <si>
    <t xml:space="preserve">2024–25 </t>
  </si>
  <si>
    <t>Elephant fish</t>
  </si>
  <si>
    <t>Total other marine products</t>
  </si>
  <si>
    <r>
      <t xml:space="preserve">Seafood products </t>
    </r>
    <r>
      <rPr>
        <b/>
        <sz val="9"/>
        <color indexed="8"/>
        <rFont val="Calibri"/>
        <family val="2"/>
      </rPr>
      <t>a</t>
    </r>
  </si>
  <si>
    <t>Other seafood products</t>
  </si>
  <si>
    <r>
      <t xml:space="preserve">Total edible fisheries products </t>
    </r>
    <r>
      <rPr>
        <b/>
        <sz val="9"/>
        <color indexed="8"/>
        <rFont val="Calibri"/>
        <family val="2"/>
      </rPr>
      <t>acd</t>
    </r>
  </si>
  <si>
    <t>Seaweed and other algae</t>
  </si>
  <si>
    <t>Other marine products nei</t>
  </si>
  <si>
    <r>
      <t>© Commonwealth of Australia 2025.</t>
    </r>
    <r>
      <rPr>
        <b/>
        <sz val="8"/>
        <color rgb="FF000000"/>
        <rFont val="Calibri"/>
        <family val="2"/>
      </rPr>
      <t xml:space="preserve"> Ownership of intellectual property rights:</t>
    </r>
    <r>
      <rPr>
        <sz val="8"/>
        <color rgb="FF000000"/>
        <rFont val="Calibri"/>
        <family val="2"/>
      </rPr>
      <t xml:space="preserve"> Unless otherwise noted, copyright (and any other intellectual property rights, if any) in this publication is owned by the Commonwealth of Australia (referred to as the Commonwealth). </t>
    </r>
    <r>
      <rPr>
        <b/>
        <sz val="8"/>
        <color rgb="FF000000"/>
        <rFont val="Calibri"/>
        <family val="2"/>
      </rPr>
      <t>Creative Commons licence:</t>
    </r>
    <r>
      <rPr>
        <sz val="8"/>
        <color rgb="FF000000"/>
        <rFont val="Calibri"/>
        <family val="2"/>
      </rPr>
      <t xml:space="preserve"> All material in this publication is licensed under a Creative Commons Attribution 4.0 International Licence, save for content supplied by third parties, logos and the Commonwealth Coat of Arms. Creative Commons Attribution 4.0 International Licence is a standard form licence agreement that allows you to copy, distribute, transmit and adapt this publication provided you attribute the work. A summary of the licence terms is available from creativecommons.org/licenses/by/4.0. The full licence terms are available from creativecommons.org/licenses/by/4.0/legalcode</t>
    </r>
    <r>
      <rPr>
        <b/>
        <sz val="8"/>
        <color rgb="FF000000"/>
        <rFont val="Calibri"/>
        <family val="2"/>
      </rPr>
      <t>. Cataloguing data:</t>
    </r>
    <r>
      <rPr>
        <sz val="8"/>
        <color rgb="FF000000"/>
        <rFont val="Calibri"/>
        <family val="2"/>
      </rPr>
      <t xml:space="preserve"> This publication (and any material sourced from it) should be attributed as: Curtotti, R, Tuynman, H, Black, S and Dylewski M 2025,  Australian fisheries and aquaculture statistics: Data to 2024−25, ABARES, Canberra, December, DOI: https://doi.org/10.25814/9vwb-nc60. CC BY 4.0.</t>
    </r>
  </si>
  <si>
    <t>Australian fisheries and aquaculture statistics: Data to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</si>
</sst>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
    <numFmt numFmtId="165" formatCode="_-* #,##0_-;\-* #,##0_-;_-* &quot;-&quot;??_-;_-@_-"/>
    <numFmt numFmtId="166" formatCode="###\ ##0;\–###\ ##0"/>
    <numFmt numFmtId="167" formatCode="#,##0.0"/>
    <numFmt numFmtId="168" formatCode="_(* #,##0_);_(* \(#,##0\);_(* &quot;-&quot;??_);_(@_)"/>
    <numFmt numFmtId="169" formatCode="_(* #,##0.0_);_(* \(#,##0.0\);_(* &quot;-&quot;??_);_(@_)"/>
    <numFmt numFmtId="170" formatCode="d/m/yy\ \ \ h:mm"/>
    <numFmt numFmtId="171" formatCode="_-* #,##0.0_-;\-* #,##0.0_-;_-* &quot;-&quot;??_-;_-@_-"/>
  </numFmts>
  <fonts count="33" x14ac:knownFonts="1">
    <font>
      <sz val="11"/>
      <color theme="1"/>
      <name val="Aptos Narrow"/>
      <family val="2"/>
      <scheme val="minor"/>
    </font>
    <font>
      <sz val="11"/>
      <color theme="1"/>
      <name val="Aptos Narrow"/>
      <family val="2"/>
      <scheme val="minor"/>
    </font>
    <font>
      <sz val="8"/>
      <color rgb="FF000000"/>
      <name val="Calibri"/>
      <family val="2"/>
    </font>
    <font>
      <b/>
      <sz val="8"/>
      <color rgb="FF000000"/>
      <name val="Calibri"/>
      <family val="2"/>
    </font>
    <font>
      <sz val="12"/>
      <color rgb="FF000000"/>
      <name val="Cambria"/>
      <family val="1"/>
    </font>
    <font>
      <sz val="8"/>
      <color rgb="FF000000"/>
      <name val="Cambria"/>
      <family val="1"/>
    </font>
    <font>
      <b/>
      <sz val="9"/>
      <color rgb="FF000000"/>
      <name val="Calibri"/>
      <family val="2"/>
    </font>
    <font>
      <sz val="10"/>
      <color rgb="FF000000"/>
      <name val="Courier"/>
      <family val="3"/>
    </font>
    <font>
      <sz val="9"/>
      <color rgb="FF000000"/>
      <name val="Calibri"/>
      <family val="2"/>
    </font>
    <font>
      <sz val="10"/>
      <color indexed="0"/>
      <name val="Helv"/>
    </font>
    <font>
      <sz val="10"/>
      <color rgb="FF000000"/>
      <name val="Helv"/>
    </font>
    <font>
      <sz val="9"/>
      <color rgb="FF000000"/>
      <name val="Helv"/>
    </font>
    <font>
      <sz val="12"/>
      <color rgb="FF000000"/>
      <name val="Helv"/>
    </font>
    <font>
      <b/>
      <sz val="9"/>
      <name val="Calibri"/>
      <family val="2"/>
    </font>
    <font>
      <sz val="9"/>
      <name val="Calibri"/>
      <family val="2"/>
    </font>
    <font>
      <sz val="12"/>
      <name val="Cambria"/>
      <family val="1"/>
    </font>
    <font>
      <sz val="12"/>
      <name val="Helv"/>
    </font>
    <font>
      <sz val="8"/>
      <name val="Calibri"/>
      <family val="2"/>
    </font>
    <font>
      <b/>
      <sz val="8"/>
      <name val="Calibri"/>
      <family val="2"/>
    </font>
    <font>
      <sz val="8.1"/>
      <color rgb="FF000000"/>
      <name val="Calibri"/>
      <family val="2"/>
    </font>
    <font>
      <b/>
      <sz val="16"/>
      <color rgb="FF000000"/>
      <name val="Calibri"/>
      <family val="2"/>
    </font>
    <font>
      <u/>
      <sz val="11"/>
      <color theme="10"/>
      <name val="Aptos Narrow"/>
      <family val="2"/>
      <scheme val="minor"/>
    </font>
    <font>
      <b/>
      <sz val="12"/>
      <color rgb="FF000000"/>
      <name val="Cambria"/>
      <family val="1"/>
    </font>
    <font>
      <sz val="8"/>
      <name val="Aptos Narrow"/>
      <family val="2"/>
      <scheme val="minor"/>
    </font>
    <font>
      <sz val="8"/>
      <color rgb="FF000000"/>
      <name val="Calibri"/>
      <family val="2"/>
    </font>
    <font>
      <sz val="8"/>
      <color indexed="8"/>
      <name val="Calibri"/>
      <family val="2"/>
    </font>
    <font>
      <sz val="11"/>
      <color theme="1"/>
      <name val="Calibri"/>
      <family val="2"/>
    </font>
    <font>
      <u/>
      <sz val="11"/>
      <color theme="10"/>
      <name val="Calibri"/>
      <family val="2"/>
    </font>
    <font>
      <b/>
      <sz val="14"/>
      <color rgb="FF000000"/>
      <name val="Calibri"/>
      <family val="2"/>
    </font>
    <font>
      <sz val="11"/>
      <color rgb="FF000000"/>
      <name val="Aptos Narrow"/>
      <family val="2"/>
      <scheme val="minor"/>
    </font>
    <font>
      <b/>
      <sz val="9"/>
      <color indexed="8"/>
      <name val="Aptos Narrow"/>
      <family val="2"/>
      <scheme val="minor"/>
    </font>
    <font>
      <b/>
      <sz val="9"/>
      <color indexed="8"/>
      <name val="Calibri"/>
      <family val="2"/>
    </font>
    <font>
      <sz val="9"/>
      <color indexed="8"/>
      <name val="Aptos Narrow"/>
      <family val="2"/>
      <scheme val="minor"/>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s>
  <borders count="42">
    <border>
      <left/>
      <right/>
      <top/>
      <bottom/>
      <diagonal/>
    </border>
    <border>
      <left/>
      <right/>
      <top style="thin">
        <color indexed="64"/>
      </top>
      <bottom style="thin">
        <color indexed="64"/>
      </bottom>
      <diagonal/>
    </border>
    <border>
      <left style="thin">
        <color theme="0"/>
      </left>
      <right style="thin">
        <color theme="0"/>
      </right>
      <top style="thin">
        <color theme="0"/>
      </top>
      <bottom style="thin">
        <color theme="0"/>
      </bottom>
      <diagonal/>
    </border>
    <border>
      <left/>
      <right/>
      <top style="thin">
        <color indexed="64"/>
      </top>
      <bottom/>
      <diagonal/>
    </border>
    <border>
      <left/>
      <right style="thin">
        <color rgb="FFFFFFFF"/>
      </right>
      <top style="thin">
        <color indexed="64"/>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right/>
      <top/>
      <bottom style="double">
        <color indexed="64"/>
      </bottom>
      <diagonal/>
    </border>
    <border>
      <left/>
      <right style="thin">
        <color rgb="FFFFFFFF"/>
      </right>
      <top/>
      <bottom style="thin">
        <color rgb="FFFFFFFF"/>
      </bottom>
      <diagonal/>
    </border>
    <border>
      <left style="thin">
        <color rgb="FFFFFFFF"/>
      </left>
      <right/>
      <top/>
      <bottom style="thin">
        <color rgb="FFFFFFFF"/>
      </bottom>
      <diagonal/>
    </border>
    <border>
      <left style="thin">
        <color rgb="FFFFFFFF"/>
      </left>
      <right style="thin">
        <color rgb="FFFFFFFF"/>
      </right>
      <top style="thin">
        <color rgb="FFFFFFFF"/>
      </top>
      <bottom style="double">
        <color indexed="64"/>
      </bottom>
      <diagonal/>
    </border>
    <border>
      <left/>
      <right/>
      <top style="thin">
        <color rgb="FFFFFFFF"/>
      </top>
      <bottom style="thin">
        <color rgb="FFFFFFFF"/>
      </bottom>
      <diagonal/>
    </border>
    <border>
      <left style="thin">
        <color rgb="FFFFFFFF"/>
      </left>
      <right style="thin">
        <color rgb="FFFFFFFF"/>
      </right>
      <top/>
      <bottom/>
      <diagonal/>
    </border>
    <border>
      <left style="thin">
        <color rgb="FFFFFFFF"/>
      </left>
      <right/>
      <top/>
      <bottom style="double">
        <color indexed="64"/>
      </bottom>
      <diagonal/>
    </border>
    <border>
      <left/>
      <right/>
      <top/>
      <bottom style="thin">
        <color indexed="64"/>
      </bottom>
      <diagonal/>
    </border>
    <border>
      <left/>
      <right style="thin">
        <color rgb="FFFFFFFF"/>
      </right>
      <top style="thin">
        <color rgb="FFFFFFFF"/>
      </top>
      <bottom style="double">
        <color indexed="64"/>
      </bottom>
      <diagonal/>
    </border>
    <border>
      <left/>
      <right style="thin">
        <color rgb="FFFFFFFF"/>
      </right>
      <top style="thin">
        <color rgb="FFFFFFFF"/>
      </top>
      <bottom style="thin">
        <color indexed="64"/>
      </bottom>
      <diagonal/>
    </border>
    <border>
      <left style="thin">
        <color rgb="FFFFFFFF"/>
      </left>
      <right style="thin">
        <color rgb="FFFFFFFF"/>
      </right>
      <top style="thin">
        <color rgb="FFFFFFFF"/>
      </top>
      <bottom style="thin">
        <color indexed="64"/>
      </bottom>
      <diagonal/>
    </border>
    <border>
      <left/>
      <right/>
      <top style="thin">
        <color indexed="64"/>
      </top>
      <bottom style="thin">
        <color rgb="FFFFFFFF"/>
      </bottom>
      <diagonal/>
    </border>
    <border>
      <left/>
      <right/>
      <top style="thin">
        <color rgb="FFFFFFFF"/>
      </top>
      <bottom/>
      <diagonal/>
    </border>
    <border>
      <left style="thin">
        <color rgb="FFFFFFFF"/>
      </left>
      <right/>
      <top style="thin">
        <color rgb="FFFFFFFF"/>
      </top>
      <bottom style="thin">
        <color rgb="FFFFFFFF"/>
      </bottom>
      <diagonal/>
    </border>
    <border>
      <left/>
      <right/>
      <top/>
      <bottom style="thin">
        <color rgb="FFFFFFFF"/>
      </bottom>
      <diagonal/>
    </border>
    <border>
      <left style="thin">
        <color rgb="FFFFFFFF"/>
      </left>
      <right/>
      <top/>
      <bottom/>
      <diagonal/>
    </border>
    <border>
      <left/>
      <right/>
      <top style="double">
        <color indexed="64"/>
      </top>
      <bottom style="thin">
        <color rgb="FFFFFFFF"/>
      </bottom>
      <diagonal/>
    </border>
    <border>
      <left/>
      <right style="thin">
        <color rgb="FFFFFFFF"/>
      </right>
      <top/>
      <bottom style="double">
        <color indexed="64"/>
      </bottom>
      <diagonal/>
    </border>
    <border>
      <left style="thin">
        <color rgb="FFFFFFFF"/>
      </left>
      <right style="thin">
        <color rgb="FFFFFFFF"/>
      </right>
      <top/>
      <bottom style="double">
        <color indexed="64"/>
      </bottom>
      <diagonal/>
    </border>
    <border>
      <left/>
      <right style="thin">
        <color rgb="FFFFFFFF"/>
      </right>
      <top/>
      <bottom/>
      <diagonal/>
    </border>
    <border>
      <left/>
      <right/>
      <top style="double">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theme="0"/>
      </left>
      <right/>
      <top/>
      <bottom style="thin">
        <color indexed="64"/>
      </bottom>
      <diagonal/>
    </border>
    <border>
      <left style="thin">
        <color rgb="FFFFFFFF"/>
      </left>
      <right/>
      <top/>
      <bottom style="thin">
        <color indexed="64"/>
      </bottom>
      <diagonal/>
    </border>
    <border>
      <left/>
      <right/>
      <top style="thin">
        <color indexed="64"/>
      </top>
      <bottom style="double">
        <color indexed="64"/>
      </bottom>
      <diagonal/>
    </border>
    <border>
      <left/>
      <right/>
      <top style="thin">
        <color theme="0"/>
      </top>
      <bottom/>
      <diagonal/>
    </border>
    <border>
      <left/>
      <right style="thin">
        <color theme="0"/>
      </right>
      <top style="thin">
        <color theme="0"/>
      </top>
      <bottom style="thin">
        <color theme="0"/>
      </bottom>
      <diagonal/>
    </border>
  </borders>
  <cellStyleXfs count="11">
    <xf numFmtId="0" fontId="0" fillId="0" borderId="0"/>
    <xf numFmtId="43" fontId="1"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9" fillId="0" borderId="0"/>
    <xf numFmtId="0" fontId="21" fillId="0" borderId="0" applyNumberFormat="0" applyFill="0" applyBorder="0" applyAlignment="0" applyProtection="0"/>
    <xf numFmtId="43" fontId="1" fillId="0" borderId="0" applyFont="0" applyFill="0" applyBorder="0" applyAlignment="0" applyProtection="0"/>
    <xf numFmtId="0" fontId="1" fillId="0" borderId="0"/>
    <xf numFmtId="0" fontId="29" fillId="0" borderId="0"/>
  </cellStyleXfs>
  <cellXfs count="404">
    <xf numFmtId="0" fontId="0" fillId="0" borderId="0" xfId="0"/>
    <xf numFmtId="0" fontId="4" fillId="4" borderId="1" xfId="0" applyFont="1" applyFill="1" applyBorder="1" applyAlignment="1">
      <alignment horizontal="left" vertical="center"/>
    </xf>
    <xf numFmtId="0" fontId="5" fillId="4" borderId="1" xfId="0" applyFont="1" applyFill="1" applyBorder="1" applyAlignment="1">
      <alignment horizontal="left" vertical="center"/>
    </xf>
    <xf numFmtId="49" fontId="6" fillId="4" borderId="4" xfId="0" applyNumberFormat="1" applyFont="1" applyFill="1" applyBorder="1"/>
    <xf numFmtId="49" fontId="6" fillId="4" borderId="4" xfId="0" applyNumberFormat="1" applyFont="1" applyFill="1" applyBorder="1" applyAlignment="1">
      <alignment horizontal="right"/>
    </xf>
    <xf numFmtId="0" fontId="6" fillId="4" borderId="5" xfId="0" applyFont="1" applyFill="1" applyBorder="1" applyAlignment="1">
      <alignment horizontal="right"/>
    </xf>
    <xf numFmtId="49" fontId="7" fillId="4" borderId="0" xfId="0" applyNumberFormat="1" applyFont="1" applyFill="1" applyAlignment="1">
      <alignment vertical="center"/>
    </xf>
    <xf numFmtId="49" fontId="8" fillId="4" borderId="6" xfId="1" applyNumberFormat="1" applyFont="1" applyFill="1" applyBorder="1" applyAlignment="1">
      <alignment horizontal="left" vertical="center"/>
    </xf>
    <xf numFmtId="0" fontId="2" fillId="4" borderId="7" xfId="0" applyFont="1" applyFill="1" applyBorder="1" applyAlignment="1">
      <alignment horizontal="right"/>
    </xf>
    <xf numFmtId="165" fontId="2" fillId="4" borderId="7" xfId="1" applyNumberFormat="1" applyFont="1" applyFill="1" applyBorder="1" applyAlignment="1">
      <alignment horizontal="right" vertical="center"/>
    </xf>
    <xf numFmtId="165" fontId="2" fillId="4" borderId="0" xfId="1" applyNumberFormat="1" applyFont="1" applyFill="1" applyBorder="1" applyAlignment="1">
      <alignment horizontal="right" vertical="center"/>
    </xf>
    <xf numFmtId="0" fontId="7" fillId="4" borderId="0" xfId="0" applyFont="1" applyFill="1" applyAlignment="1">
      <alignment vertical="center"/>
    </xf>
    <xf numFmtId="49" fontId="8" fillId="4" borderId="6" xfId="1" applyNumberFormat="1" applyFont="1" applyFill="1" applyBorder="1" applyAlignment="1">
      <alignment vertical="center"/>
    </xf>
    <xf numFmtId="49" fontId="6" fillId="4" borderId="8" xfId="1" applyNumberFormat="1" applyFont="1" applyFill="1" applyBorder="1" applyAlignment="1">
      <alignment horizontal="left" vertical="center"/>
    </xf>
    <xf numFmtId="0" fontId="2" fillId="4" borderId="9" xfId="0" applyFont="1" applyFill="1" applyBorder="1" applyAlignment="1">
      <alignment horizontal="right"/>
    </xf>
    <xf numFmtId="165" fontId="2" fillId="4" borderId="9" xfId="1" applyNumberFormat="1" applyFont="1" applyFill="1" applyBorder="1" applyAlignment="1">
      <alignment horizontal="right" vertical="center"/>
    </xf>
    <xf numFmtId="49" fontId="2" fillId="3" borderId="0" xfId="0" applyNumberFormat="1" applyFont="1" applyFill="1"/>
    <xf numFmtId="0" fontId="2" fillId="3" borderId="0" xfId="0" applyFont="1" applyFill="1"/>
    <xf numFmtId="22" fontId="2" fillId="3" borderId="0" xfId="0" applyNumberFormat="1" applyFont="1" applyFill="1" applyAlignment="1">
      <alignment horizontal="left" vertical="center"/>
    </xf>
    <xf numFmtId="0" fontId="2" fillId="3" borderId="0" xfId="0" applyFont="1" applyFill="1" applyAlignment="1">
      <alignment horizontal="right"/>
    </xf>
    <xf numFmtId="0" fontId="0" fillId="3" borderId="0" xfId="0" applyFill="1"/>
    <xf numFmtId="49" fontId="8" fillId="3" borderId="6" xfId="1" applyNumberFormat="1" applyFont="1" applyFill="1" applyBorder="1" applyAlignment="1">
      <alignment horizontal="left" vertical="center"/>
    </xf>
    <xf numFmtId="0" fontId="2" fillId="3" borderId="7" xfId="0" applyFont="1" applyFill="1" applyBorder="1" applyAlignment="1">
      <alignment horizontal="right"/>
    </xf>
    <xf numFmtId="165" fontId="2" fillId="3" borderId="7" xfId="1" applyNumberFormat="1" applyFont="1" applyFill="1" applyBorder="1" applyAlignment="1">
      <alignment horizontal="right" vertical="center"/>
    </xf>
    <xf numFmtId="165" fontId="2" fillId="3" borderId="0" xfId="1" applyNumberFormat="1" applyFont="1" applyFill="1" applyBorder="1" applyAlignment="1">
      <alignment horizontal="right" vertical="center"/>
    </xf>
    <xf numFmtId="0" fontId="4" fillId="4" borderId="1" xfId="0" applyFont="1" applyFill="1" applyBorder="1" applyAlignment="1">
      <alignment vertical="center"/>
    </xf>
    <xf numFmtId="0" fontId="10" fillId="4" borderId="1" xfId="0" applyFont="1" applyFill="1" applyBorder="1"/>
    <xf numFmtId="49" fontId="6" fillId="4" borderId="11" xfId="0" applyNumberFormat="1" applyFont="1" applyFill="1" applyBorder="1"/>
    <xf numFmtId="0" fontId="6" fillId="4" borderId="12" xfId="0" applyFont="1" applyFill="1" applyBorder="1" applyAlignment="1">
      <alignment horizontal="right" vertical="top"/>
    </xf>
    <xf numFmtId="0" fontId="2" fillId="4" borderId="0" xfId="0" applyFont="1" applyFill="1" applyAlignment="1">
      <alignment horizontal="right"/>
    </xf>
    <xf numFmtId="0" fontId="10" fillId="4" borderId="0" xfId="0" applyFont="1" applyFill="1"/>
    <xf numFmtId="165" fontId="2" fillId="4" borderId="7" xfId="1" applyNumberFormat="1" applyFont="1" applyFill="1" applyBorder="1" applyAlignment="1">
      <alignment horizontal="right"/>
    </xf>
    <xf numFmtId="0" fontId="2" fillId="4" borderId="0" xfId="0" applyFont="1" applyFill="1"/>
    <xf numFmtId="166" fontId="2" fillId="4" borderId="0" xfId="0" applyNumberFormat="1" applyFont="1" applyFill="1" applyAlignment="1">
      <alignment horizontal="right"/>
    </xf>
    <xf numFmtId="49" fontId="6" fillId="4" borderId="6" xfId="1" applyNumberFormat="1" applyFont="1" applyFill="1" applyBorder="1" applyAlignment="1">
      <alignment horizontal="left" vertical="center"/>
    </xf>
    <xf numFmtId="49" fontId="6" fillId="4" borderId="10" xfId="1" applyNumberFormat="1" applyFont="1" applyFill="1" applyBorder="1" applyAlignment="1">
      <alignment horizontal="left"/>
    </xf>
    <xf numFmtId="0" fontId="2" fillId="4" borderId="10" xfId="0" applyFont="1" applyFill="1" applyBorder="1" applyAlignment="1">
      <alignment horizontal="right"/>
    </xf>
    <xf numFmtId="165" fontId="2" fillId="4" borderId="13" xfId="1" applyNumberFormat="1" applyFont="1" applyFill="1" applyBorder="1" applyAlignment="1">
      <alignment horizontal="right"/>
    </xf>
    <xf numFmtId="165" fontId="2" fillId="4" borderId="10" xfId="1" applyNumberFormat="1" applyFont="1" applyFill="1" applyBorder="1" applyAlignment="1">
      <alignment horizontal="right"/>
    </xf>
    <xf numFmtId="166" fontId="2" fillId="4" borderId="10" xfId="0" applyNumberFormat="1" applyFont="1" applyFill="1" applyBorder="1" applyAlignment="1">
      <alignment horizontal="right"/>
    </xf>
    <xf numFmtId="49" fontId="6" fillId="4" borderId="8" xfId="1" applyNumberFormat="1" applyFont="1" applyFill="1" applyBorder="1" applyAlignment="1">
      <alignment horizontal="left"/>
    </xf>
    <xf numFmtId="165" fontId="2" fillId="4" borderId="9" xfId="1" applyNumberFormat="1" applyFont="1" applyFill="1" applyBorder="1" applyAlignment="1">
      <alignment horizontal="right"/>
    </xf>
    <xf numFmtId="49" fontId="6" fillId="3" borderId="6" xfId="1" applyNumberFormat="1" applyFont="1" applyFill="1" applyBorder="1" applyAlignment="1">
      <alignment horizontal="left" vertical="center"/>
    </xf>
    <xf numFmtId="165" fontId="2" fillId="3" borderId="7" xfId="1" applyNumberFormat="1" applyFont="1" applyFill="1" applyBorder="1" applyAlignment="1">
      <alignment horizontal="right"/>
    </xf>
    <xf numFmtId="49" fontId="8" fillId="3" borderId="8" xfId="1" applyNumberFormat="1" applyFont="1" applyFill="1" applyBorder="1" applyAlignment="1">
      <alignment horizontal="left" vertical="center"/>
    </xf>
    <xf numFmtId="0" fontId="2" fillId="3" borderId="9" xfId="0" applyFont="1" applyFill="1" applyBorder="1" applyAlignment="1">
      <alignment horizontal="right"/>
    </xf>
    <xf numFmtId="165" fontId="2" fillId="3" borderId="9" xfId="1" applyNumberFormat="1" applyFont="1" applyFill="1" applyBorder="1" applyAlignment="1">
      <alignment horizontal="right"/>
    </xf>
    <xf numFmtId="0" fontId="12" fillId="4" borderId="1" xfId="0" applyFont="1" applyFill="1" applyBorder="1"/>
    <xf numFmtId="49" fontId="10" fillId="4" borderId="0" xfId="0" applyNumberFormat="1" applyFont="1" applyFill="1"/>
    <xf numFmtId="1" fontId="2" fillId="4" borderId="0" xfId="1" applyNumberFormat="1" applyFont="1" applyFill="1" applyBorder="1" applyAlignment="1">
      <alignment horizontal="right"/>
    </xf>
    <xf numFmtId="49" fontId="10" fillId="4" borderId="0" xfId="1" applyNumberFormat="1" applyFont="1" applyFill="1" applyBorder="1" applyAlignment="1"/>
    <xf numFmtId="49" fontId="11" fillId="4" borderId="0" xfId="0" applyNumberFormat="1" applyFont="1" applyFill="1"/>
    <xf numFmtId="1" fontId="2" fillId="4" borderId="9" xfId="1" applyNumberFormat="1" applyFont="1" applyFill="1" applyBorder="1" applyAlignment="1">
      <alignment horizontal="right"/>
    </xf>
    <xf numFmtId="49" fontId="6" fillId="4" borderId="10" xfId="1" applyNumberFormat="1" applyFont="1" applyFill="1" applyBorder="1" applyAlignment="1">
      <alignment vertical="center"/>
    </xf>
    <xf numFmtId="1" fontId="2" fillId="4" borderId="16" xfId="1" applyNumberFormat="1" applyFont="1" applyFill="1" applyBorder="1" applyAlignment="1">
      <alignment horizontal="right"/>
    </xf>
    <xf numFmtId="1" fontId="2" fillId="4" borderId="10" xfId="1" applyNumberFormat="1" applyFont="1" applyFill="1" applyBorder="1" applyAlignment="1">
      <alignment horizontal="right"/>
    </xf>
    <xf numFmtId="49" fontId="6" fillId="3" borderId="11" xfId="0" applyNumberFormat="1" applyFont="1" applyFill="1" applyBorder="1"/>
    <xf numFmtId="0" fontId="6" fillId="3" borderId="12" xfId="0" applyFont="1" applyFill="1" applyBorder="1" applyAlignment="1">
      <alignment horizontal="right" vertical="top"/>
    </xf>
    <xf numFmtId="49" fontId="6" fillId="3" borderId="6" xfId="0" applyNumberFormat="1" applyFont="1" applyFill="1" applyBorder="1" applyAlignment="1">
      <alignment vertical="center"/>
    </xf>
    <xf numFmtId="49" fontId="8" fillId="3" borderId="6" xfId="1" applyNumberFormat="1" applyFont="1" applyFill="1" applyBorder="1" applyAlignment="1">
      <alignment vertical="center"/>
    </xf>
    <xf numFmtId="1" fontId="2" fillId="3" borderId="7" xfId="1" applyNumberFormat="1" applyFont="1" applyFill="1" applyBorder="1" applyAlignment="1">
      <alignment horizontal="right"/>
    </xf>
    <xf numFmtId="49" fontId="6" fillId="3" borderId="6" xfId="1" applyNumberFormat="1" applyFont="1" applyFill="1" applyBorder="1" applyAlignment="1">
      <alignment vertical="center"/>
    </xf>
    <xf numFmtId="49" fontId="8" fillId="3" borderId="14" xfId="1" applyNumberFormat="1" applyFont="1" applyFill="1" applyBorder="1" applyAlignment="1">
      <alignment vertical="center"/>
    </xf>
    <xf numFmtId="49" fontId="8" fillId="3" borderId="8" xfId="1" applyNumberFormat="1" applyFont="1" applyFill="1" applyBorder="1" applyAlignment="1">
      <alignment vertical="center"/>
    </xf>
    <xf numFmtId="0" fontId="2" fillId="3" borderId="15" xfId="0" applyFont="1" applyFill="1" applyBorder="1" applyAlignment="1">
      <alignment horizontal="right"/>
    </xf>
    <xf numFmtId="1" fontId="2" fillId="3" borderId="5" xfId="1" applyNumberFormat="1" applyFont="1" applyFill="1" applyBorder="1" applyAlignment="1">
      <alignment horizontal="right"/>
    </xf>
    <xf numFmtId="1" fontId="2" fillId="3" borderId="13" xfId="1" applyNumberFormat="1" applyFont="1" applyFill="1" applyBorder="1" applyAlignment="1">
      <alignment horizontal="right"/>
    </xf>
    <xf numFmtId="49" fontId="6" fillId="3" borderId="8" xfId="1" applyNumberFormat="1" applyFont="1" applyFill="1" applyBorder="1" applyAlignment="1">
      <alignment vertical="center"/>
    </xf>
    <xf numFmtId="1" fontId="2" fillId="3" borderId="9" xfId="1" applyNumberFormat="1" applyFont="1" applyFill="1" applyBorder="1" applyAlignment="1">
      <alignment horizontal="right"/>
    </xf>
    <xf numFmtId="49" fontId="8" fillId="4" borderId="6" xfId="1" applyNumberFormat="1" applyFont="1" applyFill="1" applyBorder="1" applyAlignment="1">
      <alignment horizontal="left" vertical="center" indent="1"/>
    </xf>
    <xf numFmtId="0" fontId="3" fillId="4" borderId="0" xfId="0" applyFont="1" applyFill="1" applyAlignment="1">
      <alignment horizontal="left" vertical="top" wrapText="1"/>
    </xf>
    <xf numFmtId="0" fontId="6" fillId="4" borderId="11" xfId="0" applyFont="1" applyFill="1" applyBorder="1"/>
    <xf numFmtId="49" fontId="8" fillId="4" borderId="7" xfId="1" applyNumberFormat="1" applyFont="1" applyFill="1" applyBorder="1" applyAlignment="1">
      <alignment horizontal="left" vertical="center" indent="1"/>
    </xf>
    <xf numFmtId="1" fontId="2" fillId="4" borderId="7" xfId="1" applyNumberFormat="1" applyFont="1" applyFill="1" applyBorder="1" applyAlignment="1">
      <alignment horizontal="right"/>
    </xf>
    <xf numFmtId="49" fontId="6" fillId="4" borderId="6" xfId="1" applyNumberFormat="1" applyFont="1" applyFill="1" applyBorder="1" applyAlignment="1">
      <alignment vertical="center"/>
    </xf>
    <xf numFmtId="49" fontId="8" fillId="4" borderId="6" xfId="1" applyNumberFormat="1" applyFont="1" applyFill="1" applyBorder="1" applyAlignment="1">
      <alignment vertical="top"/>
    </xf>
    <xf numFmtId="49" fontId="8" fillId="4" borderId="8" xfId="1" applyNumberFormat="1" applyFont="1" applyFill="1" applyBorder="1" applyAlignment="1">
      <alignment vertical="center"/>
    </xf>
    <xf numFmtId="49" fontId="8" fillId="4" borderId="6" xfId="2" applyNumberFormat="1" applyFont="1" applyFill="1" applyBorder="1" applyAlignment="1">
      <alignment horizontal="left" vertical="center"/>
    </xf>
    <xf numFmtId="49" fontId="8" fillId="4" borderId="0" xfId="2" applyNumberFormat="1" applyFont="1" applyFill="1" applyBorder="1" applyAlignment="1">
      <alignment horizontal="left" vertical="center"/>
    </xf>
    <xf numFmtId="49" fontId="8" fillId="4" borderId="11" xfId="2" applyNumberFormat="1" applyFont="1" applyFill="1" applyBorder="1" applyAlignment="1">
      <alignment horizontal="left" vertical="center"/>
    </xf>
    <xf numFmtId="49" fontId="10" fillId="4" borderId="0" xfId="2" applyNumberFormat="1" applyFont="1" applyFill="1" applyBorder="1" applyAlignment="1"/>
    <xf numFmtId="49" fontId="8" fillId="4" borderId="8" xfId="2" applyNumberFormat="1" applyFont="1" applyFill="1" applyBorder="1" applyAlignment="1">
      <alignment horizontal="left" vertical="center"/>
    </xf>
    <xf numFmtId="49" fontId="6" fillId="4" borderId="0" xfId="0" applyNumberFormat="1" applyFont="1" applyFill="1" applyAlignment="1">
      <alignment horizontal="left" vertical="center"/>
    </xf>
    <xf numFmtId="49" fontId="6" fillId="4" borderId="6" xfId="2" applyNumberFormat="1" applyFont="1" applyFill="1" applyBorder="1" applyAlignment="1">
      <alignment horizontal="left" vertical="center"/>
    </xf>
    <xf numFmtId="165" fontId="8" fillId="4" borderId="6" xfId="1" applyNumberFormat="1" applyFont="1" applyFill="1" applyBorder="1" applyAlignment="1">
      <alignment vertical="center"/>
    </xf>
    <xf numFmtId="1" fontId="2" fillId="4" borderId="7" xfId="0" applyNumberFormat="1" applyFont="1" applyFill="1" applyBorder="1" applyAlignment="1">
      <alignment horizontal="right"/>
    </xf>
    <xf numFmtId="49" fontId="11" fillId="4" borderId="0" xfId="2" applyNumberFormat="1" applyFont="1" applyFill="1" applyBorder="1" applyAlignment="1"/>
    <xf numFmtId="165" fontId="2" fillId="4" borderId="0" xfId="1" applyNumberFormat="1" applyFont="1" applyFill="1" applyBorder="1" applyAlignment="1">
      <alignment horizontal="right"/>
    </xf>
    <xf numFmtId="0" fontId="6" fillId="4" borderId="0" xfId="0" applyFont="1" applyFill="1" applyAlignment="1">
      <alignment horizontal="left" vertical="center"/>
    </xf>
    <xf numFmtId="165" fontId="2" fillId="4" borderId="17" xfId="1" applyNumberFormat="1" applyFont="1" applyFill="1" applyBorder="1" applyAlignment="1">
      <alignment horizontal="right"/>
    </xf>
    <xf numFmtId="49" fontId="8" fillId="3" borderId="6" xfId="1" applyNumberFormat="1" applyFont="1" applyFill="1" applyBorder="1" applyAlignment="1">
      <alignment horizontal="left" vertical="center" indent="1"/>
    </xf>
    <xf numFmtId="1" fontId="2" fillId="3" borderId="0" xfId="1" applyNumberFormat="1" applyFont="1" applyFill="1" applyBorder="1" applyAlignment="1">
      <alignment horizontal="right"/>
    </xf>
    <xf numFmtId="49" fontId="8" fillId="3" borderId="0" xfId="1" applyNumberFormat="1" applyFont="1" applyFill="1" applyBorder="1" applyAlignment="1">
      <alignment vertical="center"/>
    </xf>
    <xf numFmtId="49" fontId="8" fillId="3" borderId="6" xfId="2" applyNumberFormat="1" applyFont="1" applyFill="1" applyBorder="1" applyAlignment="1">
      <alignment horizontal="left" vertical="center"/>
    </xf>
    <xf numFmtId="49" fontId="8" fillId="3" borderId="0" xfId="2" applyNumberFormat="1" applyFont="1" applyFill="1" applyBorder="1" applyAlignment="1">
      <alignment horizontal="left" vertical="center"/>
    </xf>
    <xf numFmtId="49" fontId="6" fillId="3" borderId="6" xfId="2" applyNumberFormat="1" applyFont="1" applyFill="1" applyBorder="1" applyAlignment="1">
      <alignment horizontal="left" vertical="center"/>
    </xf>
    <xf numFmtId="49" fontId="6" fillId="3" borderId="18" xfId="2" applyNumberFormat="1" applyFont="1" applyFill="1" applyBorder="1" applyAlignment="1">
      <alignment horizontal="left" vertical="center"/>
    </xf>
    <xf numFmtId="0" fontId="2" fillId="3" borderId="13" xfId="0" applyFont="1" applyFill="1" applyBorder="1" applyAlignment="1">
      <alignment horizontal="right"/>
    </xf>
    <xf numFmtId="49" fontId="6" fillId="3" borderId="19" xfId="2" applyNumberFormat="1" applyFont="1" applyFill="1" applyBorder="1" applyAlignment="1">
      <alignment horizontal="left" vertical="center"/>
    </xf>
    <xf numFmtId="0" fontId="2" fillId="3" borderId="20" xfId="0" applyFont="1" applyFill="1" applyBorder="1" applyAlignment="1">
      <alignment horizontal="right"/>
    </xf>
    <xf numFmtId="1" fontId="2" fillId="3" borderId="20" xfId="1" applyNumberFormat="1" applyFont="1" applyFill="1" applyBorder="1" applyAlignment="1">
      <alignment horizontal="right"/>
    </xf>
    <xf numFmtId="165" fontId="2" fillId="3" borderId="20" xfId="1" applyNumberFormat="1" applyFont="1" applyFill="1" applyBorder="1" applyAlignment="1">
      <alignment horizontal="right"/>
    </xf>
    <xf numFmtId="165" fontId="8" fillId="3" borderId="0" xfId="1" applyNumberFormat="1" applyFont="1" applyFill="1" applyBorder="1" applyAlignment="1">
      <alignment vertical="center"/>
    </xf>
    <xf numFmtId="165" fontId="2" fillId="3" borderId="0" xfId="1" applyNumberFormat="1" applyFont="1" applyFill="1" applyBorder="1" applyAlignment="1">
      <alignment horizontal="right"/>
    </xf>
    <xf numFmtId="0" fontId="6" fillId="4" borderId="21" xfId="0" applyFont="1" applyFill="1" applyBorder="1"/>
    <xf numFmtId="0" fontId="6" fillId="4" borderId="21" xfId="0" applyFont="1" applyFill="1" applyBorder="1" applyAlignment="1">
      <alignment horizontal="right" vertical="center"/>
    </xf>
    <xf numFmtId="0" fontId="13" fillId="4" borderId="22" xfId="3" applyFont="1" applyFill="1" applyBorder="1" applyAlignment="1">
      <alignment vertical="center"/>
    </xf>
    <xf numFmtId="0" fontId="14" fillId="4" borderId="0" xfId="3" applyFont="1" applyFill="1" applyAlignment="1">
      <alignment vertical="center"/>
    </xf>
    <xf numFmtId="0" fontId="14" fillId="4" borderId="0" xfId="3" applyFont="1" applyFill="1" applyAlignment="1">
      <alignment horizontal="left" indent="1"/>
    </xf>
    <xf numFmtId="0" fontId="2" fillId="4" borderId="23" xfId="0" applyFont="1" applyFill="1" applyBorder="1" applyAlignment="1">
      <alignment horizontal="right"/>
    </xf>
    <xf numFmtId="167" fontId="2" fillId="4" borderId="7" xfId="1" applyNumberFormat="1" applyFont="1" applyFill="1" applyBorder="1" applyAlignment="1">
      <alignment horizontal="right" wrapText="1"/>
    </xf>
    <xf numFmtId="0" fontId="14" fillId="4" borderId="0" xfId="3" applyFont="1" applyFill="1"/>
    <xf numFmtId="0" fontId="8" fillId="4" borderId="0" xfId="4" applyFont="1" applyFill="1" applyAlignment="1">
      <alignment horizontal="left" indent="1"/>
    </xf>
    <xf numFmtId="0" fontId="14" fillId="4" borderId="0" xfId="4" applyFont="1" applyFill="1" applyAlignment="1">
      <alignment horizontal="left" indent="1"/>
    </xf>
    <xf numFmtId="167" fontId="2" fillId="4" borderId="0" xfId="1" applyNumberFormat="1" applyFont="1" applyFill="1" applyBorder="1" applyAlignment="1">
      <alignment horizontal="right" wrapText="1"/>
    </xf>
    <xf numFmtId="0" fontId="13" fillId="4" borderId="0" xfId="3" applyFont="1" applyFill="1" applyAlignment="1">
      <alignment vertical="center"/>
    </xf>
    <xf numFmtId="0" fontId="14" fillId="4" borderId="0" xfId="3" applyFont="1" applyFill="1" applyAlignment="1">
      <alignment horizontal="left"/>
    </xf>
    <xf numFmtId="0" fontId="6" fillId="4" borderId="8" xfId="0" applyFont="1" applyFill="1" applyBorder="1" applyAlignment="1">
      <alignment horizontal="left" vertical="center"/>
    </xf>
    <xf numFmtId="167" fontId="2" fillId="3" borderId="0" xfId="0" applyNumberFormat="1" applyFont="1" applyFill="1"/>
    <xf numFmtId="167" fontId="2" fillId="3" borderId="0" xfId="0" applyNumberFormat="1" applyFont="1" applyFill="1" applyAlignment="1">
      <alignment horizontal="right"/>
    </xf>
    <xf numFmtId="0" fontId="14" fillId="3" borderId="0" xfId="3" applyFont="1" applyFill="1" applyAlignment="1">
      <alignment horizontal="left" indent="1"/>
    </xf>
    <xf numFmtId="0" fontId="15" fillId="4" borderId="3" xfId="0" applyFont="1" applyFill="1" applyBorder="1" applyAlignment="1">
      <alignment vertical="center"/>
    </xf>
    <xf numFmtId="0" fontId="16" fillId="4" borderId="3" xfId="0" applyFont="1" applyFill="1" applyBorder="1"/>
    <xf numFmtId="0" fontId="13" fillId="4" borderId="21" xfId="0" applyFont="1" applyFill="1" applyBorder="1"/>
    <xf numFmtId="0" fontId="13" fillId="4" borderId="21" xfId="0" applyFont="1" applyFill="1" applyBorder="1" applyAlignment="1">
      <alignment horizontal="right" vertical="center"/>
    </xf>
    <xf numFmtId="16" fontId="13" fillId="4" borderId="21" xfId="0" applyNumberFormat="1" applyFont="1" applyFill="1" applyBorder="1" applyAlignment="1">
      <alignment horizontal="right" vertical="center"/>
    </xf>
    <xf numFmtId="0" fontId="13" fillId="4" borderId="14" xfId="0" applyFont="1" applyFill="1" applyBorder="1" applyAlignment="1">
      <alignment vertical="center"/>
    </xf>
    <xf numFmtId="0" fontId="13" fillId="4" borderId="6" xfId="0" applyFont="1" applyFill="1" applyBorder="1" applyAlignment="1">
      <alignment vertical="center"/>
    </xf>
    <xf numFmtId="0" fontId="14" fillId="4" borderId="14" xfId="5" applyFont="1" applyFill="1" applyBorder="1" applyAlignment="1">
      <alignment vertical="center"/>
    </xf>
    <xf numFmtId="0" fontId="14" fillId="4" borderId="6" xfId="5" applyFont="1" applyFill="1" applyBorder="1" applyAlignment="1">
      <alignment vertical="center"/>
    </xf>
    <xf numFmtId="0" fontId="14" fillId="4" borderId="7" xfId="0" applyFont="1" applyFill="1" applyBorder="1" applyAlignment="1">
      <alignment horizontal="left" indent="1"/>
    </xf>
    <xf numFmtId="0" fontId="17" fillId="4" borderId="7" xfId="0" applyFont="1" applyFill="1" applyBorder="1" applyAlignment="1">
      <alignment horizontal="right"/>
    </xf>
    <xf numFmtId="164" fontId="17" fillId="4" borderId="7" xfId="1" applyNumberFormat="1" applyFont="1" applyFill="1" applyBorder="1" applyAlignment="1">
      <alignment horizontal="right" wrapText="1"/>
    </xf>
    <xf numFmtId="0" fontId="14" fillId="4" borderId="0" xfId="5" applyFont="1" applyFill="1"/>
    <xf numFmtId="0" fontId="14" fillId="4" borderId="14" xfId="0" applyFont="1" applyFill="1" applyBorder="1" applyAlignment="1">
      <alignment vertical="center"/>
    </xf>
    <xf numFmtId="0" fontId="14" fillId="4" borderId="7" xfId="0" applyFont="1" applyFill="1" applyBorder="1" applyAlignment="1">
      <alignment horizontal="left"/>
    </xf>
    <xf numFmtId="0" fontId="14" fillId="4" borderId="0" xfId="0" applyFont="1" applyFill="1" applyAlignment="1">
      <alignment horizontal="left"/>
    </xf>
    <xf numFmtId="0" fontId="14" fillId="4" borderId="0" xfId="0" applyFont="1" applyFill="1" applyAlignment="1">
      <alignment vertical="center"/>
    </xf>
    <xf numFmtId="0" fontId="17" fillId="4" borderId="9" xfId="0" applyFont="1" applyFill="1" applyBorder="1" applyAlignment="1">
      <alignment horizontal="right"/>
    </xf>
    <xf numFmtId="164" fontId="17" fillId="4" borderId="9" xfId="1" applyNumberFormat="1" applyFont="1" applyFill="1" applyBorder="1" applyAlignment="1">
      <alignment horizontal="right" wrapText="1"/>
    </xf>
    <xf numFmtId="0" fontId="4" fillId="4" borderId="0" xfId="0" applyFont="1" applyFill="1" applyAlignment="1">
      <alignment vertical="center"/>
    </xf>
    <xf numFmtId="0" fontId="6" fillId="4" borderId="24" xfId="0" applyFont="1" applyFill="1" applyBorder="1" applyAlignment="1">
      <alignment horizontal="right" vertical="center"/>
    </xf>
    <xf numFmtId="0" fontId="6" fillId="4" borderId="22" xfId="0" applyFont="1" applyFill="1" applyBorder="1"/>
    <xf numFmtId="0" fontId="6" fillId="4" borderId="0" xfId="0" applyFont="1" applyFill="1"/>
    <xf numFmtId="0" fontId="8" fillId="4" borderId="0" xfId="0" applyFont="1" applyFill="1" applyAlignment="1">
      <alignment vertical="center"/>
    </xf>
    <xf numFmtId="0" fontId="8" fillId="4" borderId="14" xfId="0" applyFont="1" applyFill="1" applyBorder="1" applyAlignment="1">
      <alignment horizontal="left" indent="1"/>
    </xf>
    <xf numFmtId="3" fontId="2" fillId="4" borderId="0" xfId="1" applyNumberFormat="1" applyFont="1" applyFill="1" applyBorder="1" applyAlignment="1">
      <alignment horizontal="right" vertical="center" wrapText="1"/>
    </xf>
    <xf numFmtId="0" fontId="8" fillId="4" borderId="7" xfId="0" applyFont="1" applyFill="1" applyBorder="1" applyAlignment="1">
      <alignment horizontal="left" indent="1"/>
    </xf>
    <xf numFmtId="0" fontId="8" fillId="4" borderId="6" xfId="0" applyFont="1" applyFill="1" applyBorder="1" applyAlignment="1">
      <alignment horizontal="left" vertical="center" indent="1"/>
    </xf>
    <xf numFmtId="1" fontId="2" fillId="4" borderId="0" xfId="0" applyNumberFormat="1" applyFont="1" applyFill="1" applyAlignment="1">
      <alignment horizontal="right"/>
    </xf>
    <xf numFmtId="0" fontId="8" fillId="4" borderId="6" xfId="0" applyFont="1" applyFill="1" applyBorder="1" applyAlignment="1">
      <alignment horizontal="left" indent="1"/>
    </xf>
    <xf numFmtId="0" fontId="8" fillId="4" borderId="6" xfId="0" applyFont="1" applyFill="1" applyBorder="1"/>
    <xf numFmtId="3" fontId="2" fillId="4" borderId="7" xfId="1" applyNumberFormat="1" applyFont="1" applyFill="1" applyBorder="1" applyAlignment="1">
      <alignment horizontal="right" wrapText="1"/>
    </xf>
    <xf numFmtId="3" fontId="2" fillId="4" borderId="0" xfId="1" applyNumberFormat="1" applyFont="1" applyFill="1" applyBorder="1" applyAlignment="1">
      <alignment horizontal="right" wrapText="1"/>
    </xf>
    <xf numFmtId="0" fontId="6" fillId="4" borderId="0" xfId="0" applyFont="1" applyFill="1" applyAlignment="1">
      <alignment vertical="center"/>
    </xf>
    <xf numFmtId="0" fontId="8" fillId="4" borderId="6" xfId="6" applyFont="1" applyFill="1" applyBorder="1" applyAlignment="1">
      <alignment vertical="center"/>
    </xf>
    <xf numFmtId="0" fontId="8" fillId="4" borderId="6" xfId="6" applyFont="1" applyFill="1" applyBorder="1"/>
    <xf numFmtId="0" fontId="6" fillId="4" borderId="19" xfId="0" applyFont="1" applyFill="1" applyBorder="1"/>
    <xf numFmtId="0" fontId="2" fillId="4" borderId="20" xfId="0" applyFont="1" applyFill="1" applyBorder="1" applyAlignment="1">
      <alignment horizontal="right"/>
    </xf>
    <xf numFmtId="3" fontId="2" fillId="4" borderId="20" xfId="1" applyNumberFormat="1" applyFont="1" applyFill="1" applyBorder="1" applyAlignment="1">
      <alignment horizontal="right" wrapText="1"/>
    </xf>
    <xf numFmtId="3" fontId="2" fillId="4" borderId="17" xfId="1" applyNumberFormat="1" applyFont="1" applyFill="1" applyBorder="1" applyAlignment="1">
      <alignment horizontal="right" wrapText="1"/>
    </xf>
    <xf numFmtId="0" fontId="6" fillId="3" borderId="0" xfId="0" applyFont="1" applyFill="1"/>
    <xf numFmtId="0" fontId="8" fillId="4" borderId="0" xfId="0" applyFont="1" applyFill="1"/>
    <xf numFmtId="0" fontId="2" fillId="4" borderId="0" xfId="0" applyFont="1" applyFill="1" applyAlignment="1">
      <alignment horizontal="right" vertical="top"/>
    </xf>
    <xf numFmtId="0" fontId="8" fillId="4" borderId="8" xfId="0" applyFont="1" applyFill="1" applyBorder="1"/>
    <xf numFmtId="0" fontId="6" fillId="4" borderId="8" xfId="0" applyFont="1" applyFill="1" applyBorder="1" applyAlignment="1">
      <alignment vertical="center"/>
    </xf>
    <xf numFmtId="0" fontId="8" fillId="3" borderId="14" xfId="0" applyFont="1" applyFill="1" applyBorder="1" applyAlignment="1">
      <alignment horizontal="left" indent="1"/>
    </xf>
    <xf numFmtId="0" fontId="6" fillId="4" borderId="22" xfId="0" applyFont="1" applyFill="1" applyBorder="1" applyAlignment="1">
      <alignment vertical="center"/>
    </xf>
    <xf numFmtId="0" fontId="8" fillId="4" borderId="25" xfId="0" applyFont="1" applyFill="1" applyBorder="1" applyAlignment="1">
      <alignment vertical="center"/>
    </xf>
    <xf numFmtId="0" fontId="8" fillId="4" borderId="7" xfId="6" applyFont="1" applyFill="1" applyBorder="1" applyAlignment="1">
      <alignment horizontal="left" indent="1"/>
    </xf>
    <xf numFmtId="0" fontId="8" fillId="4" borderId="9" xfId="6" applyFont="1" applyFill="1" applyBorder="1" applyAlignment="1">
      <alignment horizontal="left" indent="1"/>
    </xf>
    <xf numFmtId="167" fontId="2" fillId="3" borderId="0" xfId="6" applyNumberFormat="1" applyFont="1" applyFill="1" applyAlignment="1">
      <alignment horizontal="right"/>
    </xf>
    <xf numFmtId="0" fontId="6" fillId="4" borderId="11" xfId="0" applyFont="1" applyFill="1" applyBorder="1" applyAlignment="1">
      <alignment horizontal="right"/>
    </xf>
    <xf numFmtId="168" fontId="2" fillId="4" borderId="0" xfId="1" applyNumberFormat="1" applyFont="1" applyFill="1" applyBorder="1" applyAlignment="1">
      <alignment horizontal="right" vertical="center"/>
    </xf>
    <xf numFmtId="49" fontId="6" fillId="4" borderId="0" xfId="1" applyNumberFormat="1" applyFont="1" applyFill="1" applyBorder="1" applyAlignment="1">
      <alignment horizontal="left" vertical="center"/>
    </xf>
    <xf numFmtId="0" fontId="2" fillId="4" borderId="9" xfId="0" applyFont="1" applyFill="1" applyBorder="1" applyAlignment="1">
      <alignment horizontal="right" vertical="center"/>
    </xf>
    <xf numFmtId="49" fontId="6" fillId="4" borderId="10" xfId="1" applyNumberFormat="1" applyFont="1" applyFill="1" applyBorder="1" applyAlignment="1">
      <alignment horizontal="left" vertical="center"/>
    </xf>
    <xf numFmtId="0" fontId="2" fillId="4" borderId="10" xfId="0" applyFont="1" applyFill="1" applyBorder="1" applyAlignment="1">
      <alignment horizontal="right" vertical="center"/>
    </xf>
    <xf numFmtId="168" fontId="2" fillId="4" borderId="16" xfId="1" applyNumberFormat="1" applyFont="1" applyFill="1" applyBorder="1" applyAlignment="1">
      <alignment horizontal="right" vertical="center"/>
    </xf>
    <xf numFmtId="168" fontId="2" fillId="4" borderId="10" xfId="1" applyNumberFormat="1" applyFont="1" applyFill="1" applyBorder="1" applyAlignment="1">
      <alignment horizontal="right" vertical="center"/>
    </xf>
    <xf numFmtId="0" fontId="6" fillId="3" borderId="11" xfId="0" applyFont="1" applyFill="1" applyBorder="1" applyAlignment="1">
      <alignment horizontal="right"/>
    </xf>
    <xf numFmtId="0" fontId="2" fillId="3" borderId="7" xfId="0" applyFont="1" applyFill="1" applyBorder="1" applyAlignment="1">
      <alignment horizontal="right" vertical="center"/>
    </xf>
    <xf numFmtId="168" fontId="2" fillId="3" borderId="7" xfId="1" applyNumberFormat="1" applyFont="1" applyFill="1" applyBorder="1" applyAlignment="1">
      <alignment horizontal="right" vertical="center"/>
    </xf>
    <xf numFmtId="168" fontId="2" fillId="3" borderId="13" xfId="1" applyNumberFormat="1" applyFont="1" applyFill="1" applyBorder="1" applyAlignment="1">
      <alignment horizontal="right" vertical="center"/>
    </xf>
    <xf numFmtId="165" fontId="2" fillId="3" borderId="5" xfId="1" applyNumberFormat="1" applyFont="1" applyFill="1" applyBorder="1" applyAlignment="1">
      <alignment horizontal="right" vertical="center"/>
    </xf>
    <xf numFmtId="49" fontId="6" fillId="3" borderId="8" xfId="1" applyNumberFormat="1" applyFont="1" applyFill="1" applyBorder="1" applyAlignment="1">
      <alignment horizontal="left" vertical="center"/>
    </xf>
    <xf numFmtId="165" fontId="2" fillId="3" borderId="9" xfId="1" applyNumberFormat="1" applyFont="1" applyFill="1" applyBorder="1" applyAlignment="1">
      <alignment horizontal="right" vertical="center"/>
    </xf>
    <xf numFmtId="168" fontId="2" fillId="3" borderId="9" xfId="1" applyNumberFormat="1" applyFont="1" applyFill="1" applyBorder="1" applyAlignment="1">
      <alignment horizontal="right" vertical="center"/>
    </xf>
    <xf numFmtId="165" fontId="2" fillId="4" borderId="16" xfId="1" applyNumberFormat="1" applyFont="1" applyFill="1" applyBorder="1" applyAlignment="1">
      <alignment horizontal="right"/>
    </xf>
    <xf numFmtId="1" fontId="2" fillId="3" borderId="7" xfId="0" applyNumberFormat="1" applyFont="1" applyFill="1" applyBorder="1" applyAlignment="1">
      <alignment horizontal="right"/>
    </xf>
    <xf numFmtId="49" fontId="6" fillId="3" borderId="18" xfId="1" applyNumberFormat="1" applyFont="1" applyFill="1" applyBorder="1" applyAlignment="1">
      <alignment horizontal="left" vertical="center"/>
    </xf>
    <xf numFmtId="1" fontId="2" fillId="3" borderId="13" xfId="0" applyNumberFormat="1" applyFont="1" applyFill="1" applyBorder="1" applyAlignment="1">
      <alignment horizontal="right"/>
    </xf>
    <xf numFmtId="165" fontId="2" fillId="3" borderId="13" xfId="1" applyNumberFormat="1" applyFont="1" applyFill="1" applyBorder="1" applyAlignment="1">
      <alignment horizontal="right"/>
    </xf>
    <xf numFmtId="1" fontId="2" fillId="3" borderId="9" xfId="0" applyNumberFormat="1" applyFont="1" applyFill="1" applyBorder="1" applyAlignment="1">
      <alignment horizontal="right"/>
    </xf>
    <xf numFmtId="0" fontId="10" fillId="4" borderId="0" xfId="0" applyFont="1" applyFill="1" applyAlignment="1">
      <alignment vertical="center"/>
    </xf>
    <xf numFmtId="0" fontId="2" fillId="4" borderId="7" xfId="0" applyFont="1" applyFill="1" applyBorder="1" applyAlignment="1">
      <alignment horizontal="right" vertical="center"/>
    </xf>
    <xf numFmtId="168" fontId="2" fillId="4" borderId="7" xfId="1" applyNumberFormat="1" applyFont="1" applyFill="1" applyBorder="1" applyAlignment="1">
      <alignment horizontal="right" vertical="center"/>
    </xf>
    <xf numFmtId="169" fontId="2" fillId="4" borderId="7" xfId="1" applyNumberFormat="1" applyFont="1" applyFill="1" applyBorder="1" applyAlignment="1">
      <alignment horizontal="right" vertical="center"/>
    </xf>
    <xf numFmtId="169" fontId="2" fillId="4" borderId="0" xfId="1" applyNumberFormat="1" applyFont="1" applyFill="1" applyBorder="1" applyAlignment="1">
      <alignment horizontal="right" vertical="center"/>
    </xf>
    <xf numFmtId="49" fontId="8" fillId="4" borderId="8" xfId="1" applyNumberFormat="1" applyFont="1" applyFill="1" applyBorder="1" applyAlignment="1">
      <alignment horizontal="left" vertical="center"/>
    </xf>
    <xf numFmtId="0" fontId="2" fillId="4" borderId="0" xfId="0" applyFont="1" applyFill="1" applyAlignment="1">
      <alignment horizontal="right" vertical="center"/>
    </xf>
    <xf numFmtId="0" fontId="2" fillId="4" borderId="15" xfId="0" applyFont="1" applyFill="1" applyBorder="1" applyAlignment="1">
      <alignment horizontal="right" vertical="center"/>
    </xf>
    <xf numFmtId="49" fontId="6" fillId="4" borderId="27" xfId="1" applyNumberFormat="1" applyFont="1" applyFill="1" applyBorder="1" applyAlignment="1">
      <alignment horizontal="left" vertical="center"/>
    </xf>
    <xf numFmtId="0" fontId="2" fillId="4" borderId="28" xfId="0" applyFont="1" applyFill="1" applyBorder="1" applyAlignment="1">
      <alignment horizontal="right" vertical="center"/>
    </xf>
    <xf numFmtId="168" fontId="2" fillId="4" borderId="13" xfId="1" applyNumberFormat="1" applyFont="1" applyFill="1" applyBorder="1" applyAlignment="1">
      <alignment horizontal="right" vertical="center"/>
    </xf>
    <xf numFmtId="165" fontId="2" fillId="4" borderId="5" xfId="1" applyNumberFormat="1" applyFont="1" applyFill="1" applyBorder="1" applyAlignment="1">
      <alignment horizontal="right" vertical="center"/>
    </xf>
    <xf numFmtId="165" fontId="2" fillId="4" borderId="11" xfId="1" applyNumberFormat="1" applyFont="1" applyFill="1" applyBorder="1" applyAlignment="1">
      <alignment horizontal="right" vertical="center"/>
    </xf>
    <xf numFmtId="165" fontId="2" fillId="4" borderId="29" xfId="1" applyNumberFormat="1" applyFont="1" applyFill="1" applyBorder="1" applyAlignment="1">
      <alignment horizontal="right" vertical="center"/>
    </xf>
    <xf numFmtId="168" fontId="2" fillId="4" borderId="9" xfId="1" applyNumberFormat="1" applyFont="1" applyFill="1" applyBorder="1" applyAlignment="1">
      <alignment horizontal="right" vertical="center"/>
    </xf>
    <xf numFmtId="49" fontId="2" fillId="3" borderId="0" xfId="0" applyNumberFormat="1" applyFont="1" applyFill="1" applyAlignment="1">
      <alignment horizontal="left"/>
    </xf>
    <xf numFmtId="0" fontId="2" fillId="3" borderId="0" xfId="0" applyFont="1" applyFill="1" applyAlignment="1">
      <alignment horizontal="left"/>
    </xf>
    <xf numFmtId="0" fontId="10" fillId="4" borderId="22" xfId="0" applyFont="1" applyFill="1" applyBorder="1"/>
    <xf numFmtId="168" fontId="2" fillId="3" borderId="7" xfId="1" applyNumberFormat="1" applyFont="1" applyFill="1" applyBorder="1" applyAlignment="1">
      <alignment horizontal="right"/>
    </xf>
    <xf numFmtId="169" fontId="2" fillId="3" borderId="7" xfId="1" applyNumberFormat="1" applyFont="1" applyFill="1" applyBorder="1" applyAlignment="1">
      <alignment horizontal="right"/>
    </xf>
    <xf numFmtId="168" fontId="2" fillId="3" borderId="13" xfId="1" applyNumberFormat="1" applyFont="1" applyFill="1" applyBorder="1" applyAlignment="1">
      <alignment horizontal="right"/>
    </xf>
    <xf numFmtId="49" fontId="6" fillId="3" borderId="19" xfId="1" applyNumberFormat="1" applyFont="1" applyFill="1" applyBorder="1" applyAlignment="1">
      <alignment horizontal="left" vertical="center"/>
    </xf>
    <xf numFmtId="168" fontId="2" fillId="3" borderId="20" xfId="1" applyNumberFormat="1" applyFont="1" applyFill="1" applyBorder="1" applyAlignment="1">
      <alignment horizontal="right"/>
    </xf>
    <xf numFmtId="49" fontId="6" fillId="4" borderId="11" xfId="0" quotePrefix="1" applyNumberFormat="1" applyFont="1" applyFill="1" applyBorder="1" applyAlignment="1">
      <alignment horizontal="left" vertical="top"/>
    </xf>
    <xf numFmtId="49" fontId="8" fillId="4" borderId="6" xfId="1" applyNumberFormat="1" applyFont="1" applyFill="1" applyBorder="1" applyAlignment="1">
      <alignment horizontal="left" vertical="top"/>
    </xf>
    <xf numFmtId="49" fontId="6" fillId="4" borderId="18" xfId="1" applyNumberFormat="1" applyFont="1" applyFill="1" applyBorder="1" applyAlignment="1">
      <alignment horizontal="left" vertical="center"/>
    </xf>
    <xf numFmtId="0" fontId="2" fillId="4" borderId="13" xfId="0" applyFont="1" applyFill="1" applyBorder="1" applyAlignment="1">
      <alignment horizontal="right"/>
    </xf>
    <xf numFmtId="49" fontId="6" fillId="4" borderId="19" xfId="1" applyNumberFormat="1" applyFont="1" applyFill="1" applyBorder="1" applyAlignment="1">
      <alignment horizontal="left" vertical="center"/>
    </xf>
    <xf numFmtId="165" fontId="2" fillId="4" borderId="20" xfId="1" applyNumberFormat="1" applyFont="1" applyFill="1" applyBorder="1" applyAlignment="1">
      <alignment horizontal="right"/>
    </xf>
    <xf numFmtId="170" fontId="2" fillId="3" borderId="0" xfId="0" applyNumberFormat="1" applyFont="1" applyFill="1"/>
    <xf numFmtId="0" fontId="10" fillId="3" borderId="1" xfId="0" applyFont="1" applyFill="1" applyBorder="1"/>
    <xf numFmtId="0" fontId="2" fillId="3" borderId="1" xfId="0" applyFont="1" applyFill="1" applyBorder="1"/>
    <xf numFmtId="0" fontId="10" fillId="3" borderId="0" xfId="0" applyFont="1" applyFill="1"/>
    <xf numFmtId="49" fontId="10" fillId="3" borderId="0" xfId="1" applyNumberFormat="1" applyFont="1" applyFill="1" applyBorder="1" applyAlignment="1"/>
    <xf numFmtId="165" fontId="2" fillId="3" borderId="16" xfId="1" applyNumberFormat="1" applyFont="1" applyFill="1" applyBorder="1" applyAlignment="1">
      <alignment horizontal="right"/>
    </xf>
    <xf numFmtId="165" fontId="2" fillId="3" borderId="10" xfId="1" applyNumberFormat="1" applyFont="1" applyFill="1" applyBorder="1" applyAlignment="1">
      <alignment horizontal="right"/>
    </xf>
    <xf numFmtId="0" fontId="2" fillId="3" borderId="10" xfId="0" applyFont="1" applyFill="1" applyBorder="1"/>
    <xf numFmtId="0" fontId="6" fillId="4" borderId="0" xfId="0" applyFont="1" applyFill="1" applyAlignment="1">
      <alignment horizontal="left"/>
    </xf>
    <xf numFmtId="49" fontId="8" fillId="4" borderId="6" xfId="0" applyNumberFormat="1" applyFont="1" applyFill="1" applyBorder="1" applyAlignment="1">
      <alignment horizontal="left"/>
    </xf>
    <xf numFmtId="49" fontId="8" fillId="4" borderId="6" xfId="0" applyNumberFormat="1" applyFont="1" applyFill="1" applyBorder="1" applyAlignment="1">
      <alignment horizontal="left" indent="1"/>
    </xf>
    <xf numFmtId="166" fontId="2" fillId="4" borderId="7" xfId="0" applyNumberFormat="1" applyFont="1" applyFill="1" applyBorder="1" applyAlignment="1">
      <alignment horizontal="right"/>
    </xf>
    <xf numFmtId="49" fontId="8" fillId="4" borderId="7" xfId="1" applyNumberFormat="1" applyFont="1" applyFill="1" applyBorder="1" applyAlignment="1">
      <alignment horizontal="left" indent="1"/>
    </xf>
    <xf numFmtId="49" fontId="8" fillId="4" borderId="6" xfId="1" applyNumberFormat="1" applyFont="1" applyFill="1" applyBorder="1"/>
    <xf numFmtId="49" fontId="6" fillId="4" borderId="0" xfId="1" applyNumberFormat="1" applyFont="1" applyFill="1" applyBorder="1" applyAlignment="1">
      <alignment horizontal="left"/>
    </xf>
    <xf numFmtId="49" fontId="6" fillId="4" borderId="6" xfId="1" applyNumberFormat="1" applyFont="1" applyFill="1" applyBorder="1"/>
    <xf numFmtId="49" fontId="6" fillId="4" borderId="10" xfId="0" applyNumberFormat="1" applyFont="1" applyFill="1" applyBorder="1" applyAlignment="1">
      <alignment vertical="center"/>
    </xf>
    <xf numFmtId="49" fontId="8" fillId="4" borderId="6" xfId="0" applyNumberFormat="1" applyFont="1" applyFill="1" applyBorder="1"/>
    <xf numFmtId="171" fontId="2" fillId="4" borderId="7" xfId="1" applyNumberFormat="1" applyFont="1" applyFill="1" applyBorder="1" applyAlignment="1">
      <alignment horizontal="right"/>
    </xf>
    <xf numFmtId="49" fontId="6" fillId="4" borderId="8" xfId="0" applyNumberFormat="1" applyFont="1" applyFill="1" applyBorder="1" applyAlignment="1">
      <alignment vertical="center"/>
    </xf>
    <xf numFmtId="49" fontId="8" fillId="3" borderId="6" xfId="0" applyNumberFormat="1" applyFont="1" applyFill="1" applyBorder="1" applyAlignment="1">
      <alignment vertical="center"/>
    </xf>
    <xf numFmtId="49" fontId="8" fillId="3" borderId="6" xfId="0" applyNumberFormat="1" applyFont="1" applyFill="1" applyBorder="1" applyAlignment="1">
      <alignment horizontal="left" vertical="center"/>
    </xf>
    <xf numFmtId="49" fontId="8" fillId="3" borderId="8" xfId="0" applyNumberFormat="1" applyFont="1" applyFill="1" applyBorder="1" applyAlignment="1">
      <alignment vertical="center"/>
    </xf>
    <xf numFmtId="49" fontId="6" fillId="3" borderId="19" xfId="0" applyNumberFormat="1" applyFont="1" applyFill="1" applyBorder="1" applyAlignment="1">
      <alignment vertical="center"/>
    </xf>
    <xf numFmtId="49" fontId="2" fillId="4" borderId="0" xfId="0" applyNumberFormat="1" applyFont="1" applyFill="1"/>
    <xf numFmtId="49" fontId="11" fillId="4" borderId="0" xfId="1" applyNumberFormat="1" applyFont="1" applyFill="1" applyBorder="1" applyAlignment="1"/>
    <xf numFmtId="49" fontId="6" fillId="4" borderId="0" xfId="1" applyNumberFormat="1" applyFont="1" applyFill="1" applyBorder="1" applyAlignment="1">
      <alignment vertical="center"/>
    </xf>
    <xf numFmtId="0" fontId="20" fillId="0" borderId="0" xfId="0" applyFont="1"/>
    <xf numFmtId="0" fontId="0" fillId="3" borderId="31" xfId="0" applyFill="1" applyBorder="1"/>
    <xf numFmtId="0" fontId="0" fillId="3" borderId="32" xfId="0" applyFill="1" applyBorder="1"/>
    <xf numFmtId="0" fontId="0" fillId="3" borderId="33" xfId="0" applyFill="1" applyBorder="1"/>
    <xf numFmtId="0" fontId="0" fillId="3" borderId="17" xfId="0" applyFill="1" applyBorder="1"/>
    <xf numFmtId="0" fontId="0" fillId="3" borderId="34" xfId="0" applyFill="1" applyBorder="1"/>
    <xf numFmtId="0" fontId="0" fillId="3" borderId="35" xfId="0" applyFill="1" applyBorder="1"/>
    <xf numFmtId="0" fontId="0" fillId="3" borderId="3" xfId="0" applyFill="1" applyBorder="1"/>
    <xf numFmtId="0" fontId="0" fillId="3" borderId="36" xfId="0" applyFill="1" applyBorder="1"/>
    <xf numFmtId="0" fontId="0" fillId="2" borderId="0" xfId="0" applyFill="1"/>
    <xf numFmtId="49" fontId="2" fillId="2" borderId="17" xfId="0" applyNumberFormat="1" applyFont="1" applyFill="1" applyBorder="1"/>
    <xf numFmtId="0" fontId="2" fillId="2" borderId="17" xfId="0" applyFont="1" applyFill="1" applyBorder="1"/>
    <xf numFmtId="0" fontId="2" fillId="2" borderId="17" xfId="0" applyFont="1" applyFill="1" applyBorder="1" applyAlignment="1">
      <alignment horizontal="right"/>
    </xf>
    <xf numFmtId="49" fontId="6" fillId="2" borderId="11" xfId="0" applyNumberFormat="1" applyFont="1" applyFill="1" applyBorder="1"/>
    <xf numFmtId="0" fontId="6" fillId="2" borderId="12" xfId="0" applyFont="1" applyFill="1" applyBorder="1" applyAlignment="1">
      <alignment horizontal="right" vertical="top"/>
    </xf>
    <xf numFmtId="49" fontId="8" fillId="5" borderId="6" xfId="1" applyNumberFormat="1" applyFont="1" applyFill="1" applyBorder="1" applyAlignment="1">
      <alignment horizontal="left" vertical="center" indent="1"/>
    </xf>
    <xf numFmtId="0" fontId="2" fillId="5" borderId="7" xfId="0" applyFont="1" applyFill="1" applyBorder="1" applyAlignment="1">
      <alignment horizontal="right"/>
    </xf>
    <xf numFmtId="49" fontId="8" fillId="5" borderId="8" xfId="1" applyNumberFormat="1" applyFont="1" applyFill="1" applyBorder="1" applyAlignment="1">
      <alignment horizontal="left" vertical="center" indent="1"/>
    </xf>
    <xf numFmtId="0" fontId="2" fillId="5" borderId="9" xfId="0" applyFont="1" applyFill="1" applyBorder="1" applyAlignment="1">
      <alignment horizontal="right"/>
    </xf>
    <xf numFmtId="49" fontId="8" fillId="5" borderId="19" xfId="1" applyNumberFormat="1" applyFont="1" applyFill="1" applyBorder="1" applyAlignment="1">
      <alignment horizontal="left" vertical="center" indent="1"/>
    </xf>
    <xf numFmtId="0" fontId="2" fillId="5" borderId="20" xfId="0" applyFont="1" applyFill="1" applyBorder="1" applyAlignment="1">
      <alignment horizontal="right"/>
    </xf>
    <xf numFmtId="49" fontId="2" fillId="2" borderId="0" xfId="0" applyNumberFormat="1" applyFont="1" applyFill="1"/>
    <xf numFmtId="0" fontId="2" fillId="2" borderId="0" xfId="0" applyFont="1" applyFill="1"/>
    <xf numFmtId="0" fontId="2" fillId="2" borderId="0" xfId="0" applyFont="1" applyFill="1" applyAlignment="1">
      <alignment horizontal="right"/>
    </xf>
    <xf numFmtId="49" fontId="6" fillId="2" borderId="4" xfId="0" applyNumberFormat="1" applyFont="1" applyFill="1" applyBorder="1"/>
    <xf numFmtId="0" fontId="6" fillId="5" borderId="21" xfId="0" applyFont="1" applyFill="1" applyBorder="1" applyAlignment="1">
      <alignment horizontal="right"/>
    </xf>
    <xf numFmtId="49" fontId="8" fillId="2" borderId="7" xfId="1" applyNumberFormat="1" applyFont="1" applyFill="1" applyBorder="1" applyAlignment="1">
      <alignment horizontal="left" indent="1"/>
    </xf>
    <xf numFmtId="165" fontId="2" fillId="2" borderId="7" xfId="1" applyNumberFormat="1" applyFont="1" applyFill="1" applyBorder="1" applyAlignment="1">
      <alignment horizontal="right"/>
    </xf>
    <xf numFmtId="0" fontId="2" fillId="2" borderId="7" xfId="1" applyNumberFormat="1" applyFont="1" applyFill="1" applyBorder="1" applyAlignment="1">
      <alignment horizontal="right"/>
    </xf>
    <xf numFmtId="164" fontId="2" fillId="2" borderId="7" xfId="1" applyNumberFormat="1" applyFont="1" applyFill="1" applyBorder="1" applyAlignment="1">
      <alignment horizontal="right"/>
    </xf>
    <xf numFmtId="3" fontId="2" fillId="2" borderId="7" xfId="1" applyNumberFormat="1" applyFont="1" applyFill="1" applyBorder="1" applyAlignment="1">
      <alignment horizontal="right"/>
    </xf>
    <xf numFmtId="49" fontId="6" fillId="2" borderId="7" xfId="1" applyNumberFormat="1" applyFont="1" applyFill="1" applyBorder="1"/>
    <xf numFmtId="49" fontId="6" fillId="2" borderId="19" xfId="1" applyNumberFormat="1" applyFont="1" applyFill="1" applyBorder="1"/>
    <xf numFmtId="0" fontId="24" fillId="4" borderId="7" xfId="0" applyFont="1" applyFill="1" applyBorder="1" applyAlignment="1">
      <alignment horizontal="right"/>
    </xf>
    <xf numFmtId="0" fontId="6" fillId="3" borderId="11" xfId="0" applyFont="1" applyFill="1" applyBorder="1" applyAlignment="1">
      <alignment horizontal="right" vertical="top"/>
    </xf>
    <xf numFmtId="0" fontId="6" fillId="4" borderId="11" xfId="0" applyFont="1" applyFill="1" applyBorder="1" applyAlignment="1">
      <alignment horizontal="right" vertical="top"/>
    </xf>
    <xf numFmtId="1" fontId="25" fillId="2" borderId="2" xfId="0" applyNumberFormat="1" applyFont="1" applyFill="1" applyBorder="1" applyAlignment="1">
      <alignment horizontal="right"/>
    </xf>
    <xf numFmtId="2" fontId="25" fillId="2" borderId="2" xfId="0" applyNumberFormat="1" applyFont="1" applyFill="1" applyBorder="1" applyAlignment="1">
      <alignment horizontal="right"/>
    </xf>
    <xf numFmtId="49" fontId="6" fillId="4" borderId="11" xfId="0" applyNumberFormat="1" applyFont="1" applyFill="1" applyBorder="1" applyAlignment="1">
      <alignment horizontal="left" vertical="center"/>
    </xf>
    <xf numFmtId="0" fontId="6" fillId="4" borderId="11" xfId="0" applyFont="1" applyFill="1" applyBorder="1" applyAlignment="1">
      <alignment horizontal="right" vertical="center"/>
    </xf>
    <xf numFmtId="0" fontId="14" fillId="3" borderId="0" xfId="3" applyFont="1" applyFill="1" applyAlignment="1">
      <alignment horizontal="left"/>
    </xf>
    <xf numFmtId="0" fontId="26" fillId="3" borderId="31" xfId="0" applyFont="1" applyFill="1" applyBorder="1"/>
    <xf numFmtId="0" fontId="27" fillId="3" borderId="0" xfId="7" applyFont="1" applyFill="1" applyBorder="1"/>
    <xf numFmtId="0" fontId="26" fillId="3" borderId="0" xfId="0" applyFont="1" applyFill="1"/>
    <xf numFmtId="0" fontId="26" fillId="3" borderId="32" xfId="0" applyFont="1" applyFill="1" applyBorder="1"/>
    <xf numFmtId="0" fontId="28" fillId="3" borderId="0" xfId="0" applyFont="1" applyFill="1"/>
    <xf numFmtId="0" fontId="2" fillId="4" borderId="3" xfId="0" applyFont="1" applyFill="1" applyBorder="1" applyAlignment="1">
      <alignment horizontal="left" vertical="top" wrapText="1"/>
    </xf>
    <xf numFmtId="165" fontId="2" fillId="4" borderId="17" xfId="1" applyNumberFormat="1" applyFont="1" applyFill="1" applyBorder="1" applyAlignment="1">
      <alignment horizontal="right" vertical="center"/>
    </xf>
    <xf numFmtId="165" fontId="2" fillId="4" borderId="10" xfId="1" applyNumberFormat="1" applyFont="1" applyFill="1" applyBorder="1" applyAlignment="1">
      <alignment horizontal="right" vertical="center"/>
    </xf>
    <xf numFmtId="0" fontId="0" fillId="3" borderId="1" xfId="0" applyFill="1" applyBorder="1"/>
    <xf numFmtId="0" fontId="13" fillId="4" borderId="0" xfId="0" applyFont="1" applyFill="1" applyAlignment="1">
      <alignment vertical="center"/>
    </xf>
    <xf numFmtId="0" fontId="14" fillId="4" borderId="0" xfId="5" applyFont="1" applyFill="1" applyAlignment="1">
      <alignment vertical="center"/>
    </xf>
    <xf numFmtId="164" fontId="17" fillId="4" borderId="0" xfId="1" applyNumberFormat="1" applyFont="1" applyFill="1" applyBorder="1" applyAlignment="1">
      <alignment horizontal="right" wrapText="1"/>
    </xf>
    <xf numFmtId="167" fontId="2" fillId="3" borderId="17" xfId="0" applyNumberFormat="1" applyFont="1" applyFill="1" applyBorder="1" applyAlignment="1">
      <alignment horizontal="right"/>
    </xf>
    <xf numFmtId="0" fontId="0" fillId="2" borderId="1" xfId="0" applyFill="1" applyBorder="1"/>
    <xf numFmtId="165" fontId="2" fillId="4" borderId="37" xfId="1" applyNumberFormat="1" applyFont="1" applyFill="1" applyBorder="1" applyAlignment="1">
      <alignment horizontal="right" vertical="center"/>
    </xf>
    <xf numFmtId="164" fontId="17" fillId="4" borderId="38" xfId="1" applyNumberFormat="1" applyFont="1" applyFill="1" applyBorder="1" applyAlignment="1">
      <alignment horizontal="right" wrapText="1"/>
    </xf>
    <xf numFmtId="165" fontId="2" fillId="4" borderId="39" xfId="1" applyNumberFormat="1" applyFont="1" applyFill="1" applyBorder="1" applyAlignment="1">
      <alignment horizontal="right" vertical="center"/>
    </xf>
    <xf numFmtId="3" fontId="0" fillId="3" borderId="0" xfId="0" applyNumberFormat="1" applyFill="1"/>
    <xf numFmtId="3" fontId="2" fillId="4" borderId="0" xfId="8" applyNumberFormat="1" applyFont="1" applyFill="1" applyBorder="1" applyAlignment="1">
      <alignment horizontal="right" vertical="center" wrapText="1"/>
    </xf>
    <xf numFmtId="167" fontId="2" fillId="4" borderId="0" xfId="8" applyNumberFormat="1" applyFont="1" applyFill="1" applyBorder="1" applyAlignment="1">
      <alignment horizontal="right" wrapText="1"/>
    </xf>
    <xf numFmtId="3" fontId="2" fillId="4" borderId="0" xfId="8" applyNumberFormat="1" applyFont="1" applyFill="1" applyBorder="1" applyAlignment="1">
      <alignment horizontal="right" wrapText="1"/>
    </xf>
    <xf numFmtId="43" fontId="0" fillId="3" borderId="0" xfId="0" applyNumberFormat="1" applyFill="1"/>
    <xf numFmtId="0" fontId="30" fillId="2" borderId="40" xfId="0" applyFont="1" applyFill="1" applyBorder="1"/>
    <xf numFmtId="0" fontId="32" fillId="2" borderId="41" xfId="0" applyFont="1" applyFill="1" applyBorder="1"/>
    <xf numFmtId="0" fontId="32" fillId="2" borderId="41" xfId="0" applyFont="1" applyFill="1" applyBorder="1" applyAlignment="1">
      <alignment vertical="center"/>
    </xf>
    <xf numFmtId="0" fontId="30" fillId="2" borderId="0" xfId="0" applyFont="1" applyFill="1" applyAlignment="1">
      <alignment vertical="center"/>
    </xf>
    <xf numFmtId="0" fontId="32" fillId="2" borderId="41" xfId="6" applyFont="1" applyFill="1" applyBorder="1"/>
    <xf numFmtId="0" fontId="8" fillId="4" borderId="0" xfId="6" applyFont="1" applyFill="1"/>
    <xf numFmtId="0" fontId="2" fillId="3" borderId="31" xfId="0" applyFont="1" applyFill="1" applyBorder="1" applyAlignment="1">
      <alignment wrapText="1"/>
    </xf>
    <xf numFmtId="0" fontId="2" fillId="3" borderId="0" xfId="0" applyFont="1" applyFill="1" applyAlignment="1">
      <alignment wrapText="1"/>
    </xf>
    <xf numFmtId="0" fontId="2" fillId="3" borderId="32" xfId="0" applyFont="1" applyFill="1" applyBorder="1" applyAlignment="1">
      <alignment wrapText="1"/>
    </xf>
    <xf numFmtId="0" fontId="4" fillId="4" borderId="1" xfId="0" applyFont="1" applyFill="1" applyBorder="1" applyAlignment="1">
      <alignment horizontal="left" vertical="center"/>
    </xf>
    <xf numFmtId="0" fontId="5" fillId="4" borderId="1" xfId="0" applyFont="1" applyFill="1" applyBorder="1" applyAlignment="1">
      <alignment horizontal="left" vertical="center"/>
    </xf>
    <xf numFmtId="49" fontId="6" fillId="4" borderId="6" xfId="0" applyNumberFormat="1" applyFont="1" applyFill="1" applyBorder="1" applyAlignment="1">
      <alignment horizontal="left" vertical="center"/>
    </xf>
    <xf numFmtId="49" fontId="7" fillId="4" borderId="7" xfId="0" applyNumberFormat="1" applyFont="1" applyFill="1" applyBorder="1" applyAlignment="1">
      <alignment vertical="center"/>
    </xf>
    <xf numFmtId="0" fontId="6" fillId="4" borderId="6" xfId="0" applyFont="1" applyFill="1" applyBorder="1" applyAlignment="1">
      <alignment horizontal="left" vertical="center"/>
    </xf>
    <xf numFmtId="0" fontId="7" fillId="4" borderId="7" xfId="0" applyFont="1" applyFill="1" applyBorder="1" applyAlignment="1">
      <alignment vertical="center"/>
    </xf>
    <xf numFmtId="0" fontId="2" fillId="4" borderId="3" xfId="0" applyFont="1" applyFill="1" applyBorder="1" applyAlignment="1">
      <alignment horizontal="left" vertical="top" wrapText="1"/>
    </xf>
    <xf numFmtId="49" fontId="6" fillId="3" borderId="14" xfId="0" applyNumberFormat="1" applyFont="1" applyFill="1" applyBorder="1" applyAlignment="1">
      <alignment horizontal="left" vertical="center"/>
    </xf>
    <xf numFmtId="49" fontId="6" fillId="3" borderId="6" xfId="0" applyNumberFormat="1" applyFont="1" applyFill="1" applyBorder="1" applyAlignment="1">
      <alignment horizontal="left" vertical="center"/>
    </xf>
    <xf numFmtId="0" fontId="4" fillId="3" borderId="1" xfId="0" applyFont="1" applyFill="1" applyBorder="1" applyAlignment="1">
      <alignment horizontal="left" vertical="center"/>
    </xf>
    <xf numFmtId="0" fontId="6" fillId="3" borderId="14" xfId="0" applyFont="1" applyFill="1" applyBorder="1" applyAlignment="1">
      <alignment horizontal="left" vertical="center"/>
    </xf>
    <xf numFmtId="49" fontId="6" fillId="3" borderId="14" xfId="1" applyNumberFormat="1" applyFont="1" applyFill="1" applyBorder="1" applyAlignment="1">
      <alignment horizontal="left" vertical="center"/>
    </xf>
    <xf numFmtId="49" fontId="6" fillId="3" borderId="26" xfId="0" applyNumberFormat="1" applyFont="1" applyFill="1" applyBorder="1" applyAlignment="1">
      <alignment horizontal="left" vertical="center"/>
    </xf>
    <xf numFmtId="0" fontId="6" fillId="3" borderId="11" xfId="0" applyFont="1" applyFill="1" applyBorder="1" applyAlignment="1">
      <alignment horizontal="left" vertical="center"/>
    </xf>
    <xf numFmtId="0" fontId="10" fillId="3" borderId="5" xfId="0" applyFont="1" applyFill="1" applyBorder="1"/>
    <xf numFmtId="49" fontId="10" fillId="3" borderId="7" xfId="0" applyNumberFormat="1" applyFont="1" applyFill="1" applyBorder="1"/>
    <xf numFmtId="0" fontId="6" fillId="4" borderId="0" xfId="0" applyFont="1" applyFill="1" applyAlignment="1">
      <alignment horizontal="left" vertical="center"/>
    </xf>
    <xf numFmtId="0" fontId="10" fillId="4" borderId="0" xfId="0" applyFont="1" applyFill="1"/>
    <xf numFmtId="0" fontId="6" fillId="4" borderId="24" xfId="0" applyFont="1" applyFill="1" applyBorder="1" applyAlignment="1">
      <alignment horizontal="left" vertical="center"/>
    </xf>
    <xf numFmtId="0" fontId="6" fillId="4" borderId="11" xfId="0" applyFont="1" applyFill="1" applyBorder="1" applyAlignment="1">
      <alignment horizontal="left" vertical="center"/>
    </xf>
    <xf numFmtId="49" fontId="6" fillId="4" borderId="14" xfId="1" applyNumberFormat="1" applyFont="1" applyFill="1" applyBorder="1" applyAlignment="1">
      <alignment horizontal="left" vertical="center"/>
    </xf>
    <xf numFmtId="49" fontId="6" fillId="4" borderId="6" xfId="1" applyNumberFormat="1" applyFont="1" applyFill="1" applyBorder="1" applyAlignment="1">
      <alignment horizontal="left" vertical="center"/>
    </xf>
    <xf numFmtId="0" fontId="6" fillId="4" borderId="14" xfId="0" applyFont="1" applyFill="1" applyBorder="1" applyAlignment="1">
      <alignment horizontal="left" vertical="center"/>
    </xf>
    <xf numFmtId="0" fontId="10" fillId="4" borderId="7" xfId="0" applyFont="1" applyFill="1" applyBorder="1" applyAlignment="1">
      <alignment vertical="center"/>
    </xf>
    <xf numFmtId="49" fontId="6" fillId="4" borderId="0" xfId="1" applyNumberFormat="1" applyFont="1" applyFill="1" applyBorder="1" applyAlignment="1">
      <alignment horizontal="left" vertical="center"/>
    </xf>
    <xf numFmtId="0" fontId="12" fillId="3" borderId="1" xfId="0" applyFont="1" applyFill="1" applyBorder="1"/>
    <xf numFmtId="0" fontId="6" fillId="3" borderId="6" xfId="0" applyFont="1" applyFill="1" applyBorder="1" applyAlignment="1">
      <alignment horizontal="left" vertical="center"/>
    </xf>
    <xf numFmtId="0" fontId="10" fillId="3" borderId="7" xfId="0" applyFont="1" applyFill="1" applyBorder="1"/>
    <xf numFmtId="49" fontId="6" fillId="3" borderId="6" xfId="1" applyNumberFormat="1" applyFont="1" applyFill="1" applyBorder="1" applyAlignment="1">
      <alignment horizontal="left" vertical="center"/>
    </xf>
    <xf numFmtId="49" fontId="10" fillId="3" borderId="7" xfId="1" applyNumberFormat="1" applyFont="1" applyFill="1" applyBorder="1" applyAlignment="1"/>
    <xf numFmtId="0" fontId="12" fillId="4" borderId="1" xfId="0" applyFont="1" applyFill="1" applyBorder="1"/>
    <xf numFmtId="0" fontId="10" fillId="4" borderId="7" xfId="0" applyFont="1" applyFill="1" applyBorder="1"/>
    <xf numFmtId="49" fontId="10" fillId="4" borderId="7" xfId="1" applyNumberFormat="1" applyFont="1" applyFill="1" applyBorder="1" applyAlignment="1"/>
    <xf numFmtId="0" fontId="10" fillId="4" borderId="5" xfId="0" applyFont="1" applyFill="1" applyBorder="1"/>
    <xf numFmtId="0" fontId="6" fillId="4" borderId="22" xfId="0" applyFont="1" applyFill="1" applyBorder="1" applyAlignment="1">
      <alignment horizontal="left"/>
    </xf>
    <xf numFmtId="0" fontId="6" fillId="4" borderId="0" xfId="0" applyFont="1" applyFill="1" applyAlignment="1">
      <alignment horizontal="left"/>
    </xf>
    <xf numFmtId="49" fontId="6" fillId="4" borderId="0" xfId="1" applyNumberFormat="1" applyFont="1" applyFill="1" applyBorder="1" applyAlignment="1">
      <alignment horizontal="left"/>
    </xf>
    <xf numFmtId="0" fontId="6" fillId="4" borderId="30" xfId="0" applyFont="1" applyFill="1" applyBorder="1" applyAlignment="1">
      <alignment horizontal="left"/>
    </xf>
    <xf numFmtId="0" fontId="6" fillId="3" borderId="14" xfId="0" applyFont="1" applyFill="1" applyBorder="1" applyAlignment="1">
      <alignment vertical="center"/>
    </xf>
    <xf numFmtId="0" fontId="10" fillId="3" borderId="14" xfId="0" applyFont="1" applyFill="1" applyBorder="1"/>
    <xf numFmtId="0" fontId="2" fillId="4" borderId="0" xfId="0" applyFont="1" applyFill="1" applyAlignment="1">
      <alignment horizontal="left" vertical="top" wrapText="1"/>
    </xf>
    <xf numFmtId="0" fontId="6" fillId="3" borderId="24" xfId="0" applyFont="1" applyFill="1" applyBorder="1" applyAlignment="1">
      <alignment vertical="center"/>
    </xf>
    <xf numFmtId="0" fontId="10" fillId="3" borderId="24" xfId="0" applyFont="1" applyFill="1" applyBorder="1"/>
    <xf numFmtId="0" fontId="3" fillId="4" borderId="3" xfId="0" applyFont="1" applyFill="1" applyBorder="1" applyAlignment="1">
      <alignment horizontal="left" vertical="top" wrapText="1"/>
    </xf>
    <xf numFmtId="0" fontId="6" fillId="4" borderId="6" xfId="0" applyFont="1" applyFill="1" applyBorder="1" applyAlignment="1">
      <alignment vertical="center"/>
    </xf>
    <xf numFmtId="49" fontId="6" fillId="4" borderId="6" xfId="1" applyNumberFormat="1" applyFont="1" applyFill="1" applyBorder="1" applyAlignment="1">
      <alignment vertical="center"/>
    </xf>
    <xf numFmtId="49" fontId="11" fillId="4" borderId="7" xfId="1" applyNumberFormat="1" applyFont="1" applyFill="1" applyBorder="1" applyAlignment="1"/>
    <xf numFmtId="0" fontId="6" fillId="4" borderId="11" xfId="0" applyFont="1" applyFill="1" applyBorder="1" applyAlignment="1">
      <alignment vertical="center"/>
    </xf>
    <xf numFmtId="49" fontId="6" fillId="4" borderId="14" xfId="1" applyNumberFormat="1" applyFont="1" applyFill="1" applyBorder="1" applyAlignment="1">
      <alignment vertical="center"/>
    </xf>
    <xf numFmtId="0" fontId="4" fillId="4" borderId="1" xfId="0" applyFont="1" applyFill="1" applyBorder="1" applyAlignment="1">
      <alignment vertical="center"/>
    </xf>
    <xf numFmtId="0" fontId="6" fillId="3" borderId="6" xfId="0" applyFont="1" applyFill="1" applyBorder="1" applyAlignment="1">
      <alignment vertical="center"/>
    </xf>
    <xf numFmtId="49" fontId="6" fillId="3" borderId="6" xfId="0" applyNumberFormat="1" applyFont="1" applyFill="1" applyBorder="1" applyAlignment="1">
      <alignment vertical="center"/>
    </xf>
    <xf numFmtId="49" fontId="6" fillId="3" borderId="6" xfId="1" applyNumberFormat="1" applyFont="1" applyFill="1" applyBorder="1" applyAlignment="1">
      <alignment vertical="center"/>
    </xf>
    <xf numFmtId="49" fontId="11" fillId="3" borderId="7" xfId="0" applyNumberFormat="1" applyFont="1" applyFill="1" applyBorder="1"/>
    <xf numFmtId="0" fontId="6" fillId="3" borderId="11" xfId="0" applyFont="1" applyFill="1" applyBorder="1" applyAlignment="1">
      <alignment vertical="center"/>
    </xf>
    <xf numFmtId="49" fontId="8" fillId="4" borderId="14" xfId="1" applyNumberFormat="1" applyFont="1" applyFill="1" applyBorder="1" applyAlignment="1">
      <alignment vertical="center"/>
    </xf>
    <xf numFmtId="49" fontId="8" fillId="4" borderId="6" xfId="1" applyNumberFormat="1" applyFont="1" applyFill="1" applyBorder="1" applyAlignment="1">
      <alignment vertical="center"/>
    </xf>
    <xf numFmtId="0" fontId="6" fillId="4" borderId="14" xfId="0" applyFont="1" applyFill="1" applyBorder="1" applyAlignment="1">
      <alignment vertical="center"/>
    </xf>
    <xf numFmtId="0" fontId="8" fillId="4" borderId="14" xfId="0" applyFont="1" applyFill="1" applyBorder="1" applyAlignment="1">
      <alignment vertical="center"/>
    </xf>
    <xf numFmtId="0" fontId="8" fillId="4" borderId="6" xfId="0" applyFont="1" applyFill="1" applyBorder="1" applyAlignment="1">
      <alignment vertical="center"/>
    </xf>
    <xf numFmtId="49" fontId="6" fillId="4" borderId="0" xfId="0" applyNumberFormat="1" applyFont="1" applyFill="1" applyAlignment="1">
      <alignment vertical="center"/>
    </xf>
    <xf numFmtId="49" fontId="6" fillId="4" borderId="14" xfId="2" applyNumberFormat="1" applyFont="1" applyFill="1" applyBorder="1" applyAlignment="1">
      <alignment vertical="center"/>
    </xf>
    <xf numFmtId="49" fontId="6" fillId="4" borderId="6" xfId="2" applyNumberFormat="1" applyFont="1" applyFill="1" applyBorder="1" applyAlignment="1">
      <alignment vertical="center"/>
    </xf>
    <xf numFmtId="49" fontId="6" fillId="4" borderId="0" xfId="0" applyNumberFormat="1" applyFont="1" applyFill="1" applyAlignment="1">
      <alignment horizontal="left" vertical="center"/>
    </xf>
    <xf numFmtId="49" fontId="6" fillId="4" borderId="14" xfId="2" applyNumberFormat="1" applyFont="1" applyFill="1" applyBorder="1" applyAlignment="1">
      <alignment horizontal="left" vertical="center"/>
    </xf>
    <xf numFmtId="49" fontId="6" fillId="4" borderId="6" xfId="2" applyNumberFormat="1" applyFont="1" applyFill="1" applyBorder="1" applyAlignment="1">
      <alignment horizontal="left" vertical="center"/>
    </xf>
    <xf numFmtId="49" fontId="6" fillId="4" borderId="30" xfId="0" applyNumberFormat="1" applyFont="1" applyFill="1" applyBorder="1" applyAlignment="1">
      <alignment vertical="center"/>
    </xf>
    <xf numFmtId="49" fontId="8" fillId="4" borderId="24" xfId="0" applyNumberFormat="1" applyFont="1" applyFill="1" applyBorder="1" applyAlignment="1">
      <alignment vertical="center"/>
    </xf>
    <xf numFmtId="49" fontId="8" fillId="4" borderId="11" xfId="0" applyNumberFormat="1" applyFont="1" applyFill="1" applyBorder="1" applyAlignment="1">
      <alignment vertical="center"/>
    </xf>
    <xf numFmtId="49" fontId="6" fillId="3" borderId="14" xfId="2" applyNumberFormat="1" applyFont="1" applyFill="1" applyBorder="1" applyAlignment="1">
      <alignment horizontal="left" vertical="center"/>
    </xf>
    <xf numFmtId="49" fontId="6" fillId="3" borderId="6" xfId="2" applyNumberFormat="1" applyFont="1" applyFill="1" applyBorder="1" applyAlignment="1">
      <alignment horizontal="left" vertical="center"/>
    </xf>
    <xf numFmtId="0" fontId="3" fillId="4" borderId="0" xfId="0" applyFont="1" applyFill="1" applyAlignment="1">
      <alignment horizontal="left" vertical="top" wrapText="1"/>
    </xf>
    <xf numFmtId="0" fontId="17" fillId="4" borderId="3" xfId="0" applyFont="1" applyFill="1" applyBorder="1" applyAlignment="1">
      <alignment horizontal="left" vertical="top" wrapText="1"/>
    </xf>
    <xf numFmtId="0" fontId="4" fillId="2" borderId="1" xfId="0" applyFont="1" applyFill="1" applyBorder="1" applyAlignment="1">
      <alignment horizontal="left" vertical="center"/>
    </xf>
    <xf numFmtId="49" fontId="6" fillId="5" borderId="22" xfId="0" applyNumberFormat="1" applyFont="1" applyFill="1" applyBorder="1" applyAlignment="1">
      <alignment horizontal="left" vertical="center"/>
    </xf>
    <xf numFmtId="49" fontId="6" fillId="5" borderId="0" xfId="0" applyNumberFormat="1" applyFont="1" applyFill="1" applyAlignment="1">
      <alignment horizontal="left" vertical="center"/>
    </xf>
    <xf numFmtId="0" fontId="2" fillId="2" borderId="3" xfId="0" applyFont="1" applyFill="1" applyBorder="1" applyAlignment="1">
      <alignment horizontal="left" vertical="top" wrapText="1"/>
    </xf>
    <xf numFmtId="0" fontId="4" fillId="5" borderId="1" xfId="0" applyFont="1" applyFill="1" applyBorder="1" applyAlignment="1">
      <alignment horizontal="left" vertical="center"/>
    </xf>
    <xf numFmtId="49" fontId="6" fillId="2" borderId="23" xfId="1" applyNumberFormat="1" applyFont="1" applyFill="1" applyBorder="1" applyAlignment="1">
      <alignment horizontal="left"/>
    </xf>
    <xf numFmtId="49" fontId="6" fillId="2" borderId="14" xfId="1" applyNumberFormat="1" applyFont="1" applyFill="1" applyBorder="1" applyAlignment="1">
      <alignment horizontal="left"/>
    </xf>
    <xf numFmtId="49" fontId="6" fillId="2" borderId="6" xfId="1" applyNumberFormat="1" applyFont="1" applyFill="1" applyBorder="1" applyAlignment="1">
      <alignment horizontal="left"/>
    </xf>
    <xf numFmtId="0" fontId="17" fillId="2" borderId="3" xfId="0" applyFont="1" applyFill="1" applyBorder="1" applyAlignment="1">
      <alignment vertical="top" wrapText="1"/>
    </xf>
  </cellXfs>
  <cellStyles count="11">
    <cellStyle name="Comma" xfId="1" builtinId="3"/>
    <cellStyle name="Comma 2" xfId="2" xr:uid="{C2891527-C0DA-4943-82F6-D3A97A8F71EF}"/>
    <cellStyle name="Comma 3" xfId="8" xr:uid="{36AC4F48-D767-4E34-BDC5-3403A4430839}"/>
    <cellStyle name="Hyperlink" xfId="7" builtinId="8"/>
    <cellStyle name="Normal" xfId="0" builtinId="0"/>
    <cellStyle name="Normal 10 2" xfId="4" xr:uid="{4CAB0825-3F7B-4AA8-BE05-54EF7D27AA33}"/>
    <cellStyle name="Normal 2" xfId="6" xr:uid="{A219CB0D-F56A-4D36-AB44-26A1C7667938}"/>
    <cellStyle name="Normal 2 2" xfId="9" xr:uid="{FE7CDE47-730B-449B-B81D-3D8DAA4C11B9}"/>
    <cellStyle name="Normal 4" xfId="3" xr:uid="{725D7A1A-7D9C-4437-87E2-8C373140FDEA}"/>
    <cellStyle name="Normal 4 2" xfId="5" xr:uid="{6F475C8E-2065-48AD-B059-98A887CE2BB1}"/>
    <cellStyle name="Normal 4 3" xfId="10" xr:uid="{16119692-A687-4B2C-9B5F-32640B3F65F8}"/>
  </cellStyles>
  <dxfs count="954">
    <dxf>
      <numFmt numFmtId="5" formatCode="#,##0;\-#,##0"/>
    </dxf>
    <dxf>
      <numFmt numFmtId="172" formatCode="0.0;\-0.0"/>
    </dxf>
    <dxf>
      <numFmt numFmtId="5" formatCode="#,##0;\-#,##0"/>
    </dxf>
    <dxf>
      <numFmt numFmtId="172" formatCode="0.0;\-0.0"/>
    </dxf>
    <dxf>
      <numFmt numFmtId="3" formatCode="#,##0"/>
    </dxf>
    <dxf>
      <numFmt numFmtId="164" formatCode="0.0"/>
    </dxf>
    <dxf>
      <numFmt numFmtId="3" formatCode="#,##0"/>
    </dxf>
    <dxf>
      <numFmt numFmtId="164" formatCode="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172" formatCode="0.0;\-0.0"/>
    </dxf>
    <dxf>
      <numFmt numFmtId="5" formatCode="#,##0;\-#,##0"/>
    </dxf>
    <dxf>
      <numFmt numFmtId="5" formatCode="#,##0;\-#,##0"/>
    </dxf>
    <dxf>
      <numFmt numFmtId="172" formatCode="0.0;\-0.0"/>
    </dxf>
    <dxf>
      <numFmt numFmtId="5" formatCode="#,##0;\-#,##0"/>
    </dxf>
    <dxf>
      <numFmt numFmtId="172" formatCode="0.0;\-0.0"/>
    </dxf>
    <dxf>
      <numFmt numFmtId="172" formatCode="0.0;\-0.0"/>
    </dxf>
    <dxf>
      <numFmt numFmtId="172" formatCode="0.0;\-0.0"/>
    </dxf>
    <dxf>
      <numFmt numFmtId="5" formatCode="#,##0;\-#,##0"/>
    </dxf>
    <dxf>
      <numFmt numFmtId="5" formatCode="#,##0;\-#,##0"/>
    </dxf>
    <dxf>
      <numFmt numFmtId="5" formatCode="#,##0;\-#,##0"/>
    </dxf>
    <dxf>
      <numFmt numFmtId="5" formatCode="#,##0;\-#,##0"/>
    </dxf>
    <dxf>
      <numFmt numFmtId="172" formatCode="0.0;\-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172" formatCode="0.0;\-0.0"/>
    </dxf>
    <dxf>
      <numFmt numFmtId="5" formatCode="#,##0;\-#,##0"/>
    </dxf>
    <dxf>
      <numFmt numFmtId="172" formatCode="0.0;\-0.0"/>
    </dxf>
    <dxf>
      <numFmt numFmtId="5" formatCode="#,##0;\-#,##0"/>
    </dxf>
    <dxf>
      <numFmt numFmtId="172" formatCode="0.0;\-0.0"/>
    </dxf>
    <dxf>
      <numFmt numFmtId="172" formatCode="0.0;\-0.0"/>
    </dxf>
    <dxf>
      <numFmt numFmtId="5" formatCode="#,##0;\-#,##0"/>
    </dxf>
    <dxf>
      <numFmt numFmtId="5" formatCode="#,##0;\-#,##0"/>
    </dxf>
    <dxf>
      <numFmt numFmtId="172" formatCode="0.0;\-0.0"/>
    </dxf>
    <dxf>
      <numFmt numFmtId="5" formatCode="#,##0;\-#,##0"/>
    </dxf>
    <dxf>
      <numFmt numFmtId="172" formatCode="0.0;\-0.0"/>
    </dxf>
    <dxf>
      <numFmt numFmtId="5" formatCode="#,##0;\-#,##0"/>
    </dxf>
    <dxf>
      <numFmt numFmtId="5" formatCode="#,##0;\-#,##0"/>
    </dxf>
    <dxf>
      <numFmt numFmtId="172" formatCode="0.0;\-0.0"/>
    </dxf>
    <dxf>
      <numFmt numFmtId="172" formatCode="0.0;\-0.0"/>
    </dxf>
    <dxf>
      <numFmt numFmtId="5" formatCode="#,##0;\-#,##0"/>
    </dxf>
    <dxf>
      <numFmt numFmtId="5" formatCode="#,##0;\-#,##0"/>
    </dxf>
    <dxf>
      <numFmt numFmtId="172" formatCode="0.0;\-0.0"/>
    </dxf>
    <dxf>
      <numFmt numFmtId="5" formatCode="#,##0;\-#,##0"/>
    </dxf>
    <dxf>
      <numFmt numFmtId="172"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5" formatCode="#,##0;\-#,##0"/>
    </dxf>
    <dxf>
      <numFmt numFmtId="172" formatCode="0.0;\-0.0"/>
    </dxf>
    <dxf>
      <numFmt numFmtId="5" formatCode="#,##0;\-#,##0"/>
    </dxf>
    <dxf>
      <numFmt numFmtId="172" formatCode="0.0;\-0.0"/>
    </dxf>
    <dxf>
      <numFmt numFmtId="173" formatCode="#,##0;\–#,##0"/>
    </dxf>
    <dxf>
      <numFmt numFmtId="174" formatCode="0.0;\–0.0"/>
    </dxf>
    <dxf>
      <numFmt numFmtId="172" formatCode="0.0;\-0.0"/>
    </dxf>
    <dxf>
      <numFmt numFmtId="5" formatCode="#,##0;\-#,##0"/>
    </dxf>
    <dxf>
      <numFmt numFmtId="172" formatCode="0.0;\-0.0"/>
    </dxf>
    <dxf>
      <numFmt numFmtId="5" formatCode="#,##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172" formatCode="0.0;\-0.0"/>
    </dxf>
    <dxf>
      <numFmt numFmtId="172" formatCode="0.0;\-0.0"/>
    </dxf>
    <dxf>
      <numFmt numFmtId="172" formatCode="0.0;\-0.0"/>
    </dxf>
    <dxf>
      <numFmt numFmtId="172" formatCode="0.0;\-0.0"/>
    </dxf>
    <dxf>
      <numFmt numFmtId="5" formatCode="#,##0;\-#,##0"/>
    </dxf>
    <dxf>
      <numFmt numFmtId="5" formatCode="#,##0;\-#,##0"/>
    </dxf>
    <dxf>
      <numFmt numFmtId="175" formatCode="#,##0_);\(#,##0\)"/>
    </dxf>
    <dxf>
      <numFmt numFmtId="172" formatCode="0.0;\-0.0"/>
    </dxf>
    <dxf>
      <numFmt numFmtId="175" formatCode="#,##0_);\(#,##0\)"/>
    </dxf>
    <dxf>
      <numFmt numFmtId="175" formatCode="#,##0_);\(#,##0\)"/>
    </dxf>
    <dxf>
      <numFmt numFmtId="172" formatCode="0.0;\-0.0"/>
    </dxf>
    <dxf>
      <numFmt numFmtId="175" formatCode="#,##0_);\(#,##0\)"/>
    </dxf>
    <dxf>
      <numFmt numFmtId="172" formatCode="0.0;\-0.0"/>
    </dxf>
    <dxf>
      <numFmt numFmtId="175" formatCode="#,##0_);\(#,##0\)"/>
    </dxf>
    <dxf>
      <numFmt numFmtId="172" formatCode="0.0;\-0.0"/>
    </dxf>
    <dxf>
      <numFmt numFmtId="175" formatCode="#,##0_);\(#,##0\)"/>
    </dxf>
    <dxf>
      <numFmt numFmtId="175" formatCode="#,##0_);\(#,##0\)"/>
    </dxf>
    <dxf>
      <numFmt numFmtId="172" formatCode="0.0;\-0.0"/>
    </dxf>
    <dxf>
      <numFmt numFmtId="175" formatCode="#,##0_);\(#,##0\)"/>
    </dxf>
    <dxf>
      <numFmt numFmtId="172" formatCode="0.0;\-0.0"/>
    </dxf>
    <dxf>
      <numFmt numFmtId="175" formatCode="#,##0_);\(#,##0\)"/>
    </dxf>
    <dxf>
      <numFmt numFmtId="172" formatCode="0.0;\-0.0"/>
    </dxf>
    <dxf>
      <numFmt numFmtId="175" formatCode="#,##0_);\(#,##0\)"/>
    </dxf>
    <dxf>
      <numFmt numFmtId="175" formatCode="#,##0_);\(#,##0\)"/>
    </dxf>
    <dxf>
      <numFmt numFmtId="172" formatCode="0.0;\-0.0"/>
    </dxf>
    <dxf>
      <numFmt numFmtId="175" formatCode="#,##0_);\(#,##0\)"/>
    </dxf>
    <dxf>
      <numFmt numFmtId="172" formatCode="0.0;\-0.0"/>
    </dxf>
    <dxf>
      <numFmt numFmtId="172" formatCode="0.0;\-0.0"/>
    </dxf>
    <dxf>
      <numFmt numFmtId="5" formatCode="#,##0;\-#,##0"/>
    </dxf>
    <dxf>
      <numFmt numFmtId="172" formatCode="0.0;\-0.0"/>
    </dxf>
    <dxf>
      <numFmt numFmtId="172" formatCode="0.0;\-0.0"/>
    </dxf>
    <dxf>
      <numFmt numFmtId="5" formatCode="#,##0;\-#,##0"/>
    </dxf>
    <dxf>
      <numFmt numFmtId="164" formatCode="0.0"/>
    </dxf>
    <dxf>
      <numFmt numFmtId="172" formatCode="0.0;\-0.0"/>
    </dxf>
    <dxf>
      <numFmt numFmtId="5" formatCode="#,##0;\-#,##0"/>
    </dxf>
    <dxf>
      <numFmt numFmtId="172" formatCode="0.0;\-0.0"/>
    </dxf>
    <dxf>
      <numFmt numFmtId="5" formatCode="#,##0;\-#,##0"/>
    </dxf>
    <dxf>
      <numFmt numFmtId="3" formatCode="#,##0"/>
    </dxf>
    <dxf>
      <numFmt numFmtId="164" formatCode="0.0"/>
    </dxf>
    <dxf>
      <numFmt numFmtId="3" formatCode="#,##0"/>
    </dxf>
    <dxf>
      <numFmt numFmtId="3" formatCode="#,##0"/>
    </dxf>
    <dxf>
      <numFmt numFmtId="164" formatCode="0.0"/>
    </dxf>
    <dxf>
      <numFmt numFmtId="3" formatCode="#,##0"/>
    </dxf>
    <dxf>
      <numFmt numFmtId="164" formatCode="0.0"/>
    </dxf>
    <dxf>
      <numFmt numFmtId="164" formatCode="0.0"/>
    </dxf>
    <dxf>
      <numFmt numFmtId="3" formatCode="#,##0"/>
    </dxf>
    <dxf>
      <numFmt numFmtId="5" formatCode="#,##0;\-#,##0"/>
    </dxf>
    <dxf>
      <numFmt numFmtId="172" formatCode="0.0;\-0.0"/>
    </dxf>
    <dxf>
      <numFmt numFmtId="5" formatCode="#,##0;\-#,##0"/>
    </dxf>
    <dxf>
      <numFmt numFmtId="172" formatCode="0.0;\-0.0"/>
    </dxf>
    <dxf>
      <numFmt numFmtId="173" formatCode="#,##0;\–#,##0"/>
    </dxf>
    <dxf>
      <numFmt numFmtId="174" formatCode="0.0;\–0.0"/>
    </dxf>
    <dxf>
      <numFmt numFmtId="173" formatCode="#,##0;\–#,##0"/>
    </dxf>
    <dxf>
      <numFmt numFmtId="174" formatCode="0.0;\–0.0"/>
    </dxf>
    <dxf>
      <numFmt numFmtId="174"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173" formatCode="#,##0;\–#,##0"/>
    </dxf>
    <dxf>
      <numFmt numFmtId="173" formatCode="#,##0;\–#,##0"/>
    </dxf>
    <dxf>
      <numFmt numFmtId="174" formatCode="0.0;\–0.0"/>
    </dxf>
    <dxf>
      <numFmt numFmtId="174" formatCode="0.0;\–0.0"/>
    </dxf>
    <dxf>
      <numFmt numFmtId="174" formatCode="0.0;\–0.0"/>
    </dxf>
    <dxf>
      <numFmt numFmtId="173" formatCode="#,##0;\–#,##0"/>
    </dxf>
    <dxf>
      <numFmt numFmtId="174" formatCode="0.0;\–0.0"/>
    </dxf>
    <dxf>
      <numFmt numFmtId="164" formatCode="0.0"/>
    </dxf>
    <dxf>
      <numFmt numFmtId="176" formatCode="#,##0_ ;\-#,##0\ "/>
    </dxf>
    <dxf>
      <numFmt numFmtId="176" formatCode="#,##0_ ;\-#,##0\ "/>
    </dxf>
    <dxf>
      <numFmt numFmtId="164" formatCode="0.0"/>
    </dxf>
    <dxf>
      <numFmt numFmtId="164" formatCode="0.0"/>
    </dxf>
    <dxf>
      <numFmt numFmtId="176" formatCode="#,##0_ ;\-#,##0\ "/>
    </dxf>
    <dxf>
      <numFmt numFmtId="173" formatCode="#,##0;\–#,##0"/>
    </dxf>
    <dxf>
      <numFmt numFmtId="173" formatCode="#,##0;\–#,##0"/>
    </dxf>
    <dxf>
      <numFmt numFmtId="173" formatCode="#,##0;\–#,##0"/>
    </dxf>
    <dxf>
      <numFmt numFmtId="173" formatCode="#,##0;\–#,##0"/>
    </dxf>
    <dxf>
      <numFmt numFmtId="174" formatCode="0.0;\–0.0"/>
    </dxf>
    <dxf>
      <numFmt numFmtId="174" formatCode="0.0;\–0.0"/>
    </dxf>
    <dxf>
      <numFmt numFmtId="174" formatCode="0.0;\–0.0"/>
    </dxf>
    <dxf>
      <numFmt numFmtId="173" formatCode="#,##0;\–#,##0"/>
    </dxf>
    <dxf>
      <numFmt numFmtId="174" formatCode="0.0;\–0.0"/>
    </dxf>
    <dxf>
      <numFmt numFmtId="173" formatCode="#,##0;\–#,##0"/>
    </dxf>
    <dxf>
      <numFmt numFmtId="174" formatCode="0.0;\–0.0"/>
    </dxf>
    <dxf>
      <numFmt numFmtId="173" formatCode="#,##0;\–#,##0"/>
    </dxf>
    <dxf>
      <numFmt numFmtId="173" formatCode="#,##0;\–#,##0"/>
    </dxf>
    <dxf>
      <numFmt numFmtId="174" formatCode="0.0;\–0.0"/>
    </dxf>
    <dxf>
      <numFmt numFmtId="174" formatCode="0.0;\–0.0"/>
    </dxf>
    <dxf>
      <numFmt numFmtId="174"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173" formatCode="#,##0;\–#,##0"/>
    </dxf>
    <dxf>
      <numFmt numFmtId="3" formatCode="#,##0"/>
    </dxf>
    <dxf>
      <numFmt numFmtId="164" formatCode="0.0"/>
    </dxf>
    <dxf>
      <numFmt numFmtId="172" formatCode="0.0;\-0.0"/>
    </dxf>
    <dxf>
      <numFmt numFmtId="5" formatCode="#,##0;\-#,##0"/>
    </dxf>
    <dxf>
      <numFmt numFmtId="172" formatCode="0.0;\-0.0"/>
    </dxf>
    <dxf>
      <numFmt numFmtId="5" formatCode="#,##0;\-#,##0"/>
    </dxf>
    <dxf>
      <numFmt numFmtId="172" formatCode="0.0;\-0.0"/>
    </dxf>
    <dxf>
      <numFmt numFmtId="172" formatCode="0.0;\-0.0"/>
    </dxf>
    <dxf>
      <numFmt numFmtId="5" formatCode="#,##0;\-#,##0"/>
    </dxf>
    <dxf>
      <numFmt numFmtId="5" formatCode="#,##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3" formatCode="#,##0"/>
    </dxf>
    <dxf>
      <numFmt numFmtId="164" formatCode="0.0"/>
    </dxf>
    <dxf>
      <numFmt numFmtId="164" formatCode="0.0"/>
    </dxf>
    <dxf>
      <numFmt numFmtId="3" formatCode="#,##0"/>
    </dxf>
    <dxf>
      <numFmt numFmtId="3" formatCode="#,##0"/>
    </dxf>
    <dxf>
      <numFmt numFmtId="164" formatCode="0.0"/>
    </dxf>
    <dxf>
      <numFmt numFmtId="164" formatCode="0.0"/>
    </dxf>
    <dxf>
      <numFmt numFmtId="3" formatCode="#,##0"/>
    </dxf>
    <dxf>
      <numFmt numFmtId="164" formatCode="0.0"/>
    </dxf>
    <dxf>
      <numFmt numFmtId="3" formatCode="#,##0"/>
    </dxf>
    <dxf>
      <numFmt numFmtId="164" formatCode="0.0"/>
    </dxf>
    <dxf>
      <numFmt numFmtId="3" formatCode="#,##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164" formatCode="0.0"/>
    </dxf>
    <dxf>
      <numFmt numFmtId="3" formatCode="#,##0"/>
    </dxf>
    <dxf>
      <numFmt numFmtId="3" formatCode="#,##0"/>
    </dxf>
    <dxf>
      <numFmt numFmtId="164" formatCode="0.0"/>
    </dxf>
    <dxf>
      <numFmt numFmtId="3" formatCode="#,##0"/>
    </dxf>
    <dxf>
      <numFmt numFmtId="164" formatCode="0.0"/>
    </dxf>
    <dxf>
      <numFmt numFmtId="164" formatCode="0.0"/>
    </dxf>
    <dxf>
      <numFmt numFmtId="3" formatCode="#,##0"/>
    </dxf>
    <dxf>
      <numFmt numFmtId="5" formatCode="#,##0;\-#,##0"/>
    </dxf>
    <dxf>
      <numFmt numFmtId="5" formatCode="#,##0;\-#,##0"/>
    </dxf>
    <dxf>
      <numFmt numFmtId="172" formatCode="0.0;\-0.0"/>
    </dxf>
    <dxf>
      <numFmt numFmtId="172" formatCode="0.0;\-0.0"/>
    </dxf>
    <dxf>
      <numFmt numFmtId="164" formatCode="0.0"/>
    </dxf>
    <dxf>
      <numFmt numFmtId="3" formatCode="#,##0"/>
    </dxf>
    <dxf>
      <numFmt numFmtId="164" formatCode="0.0"/>
    </dxf>
    <dxf>
      <numFmt numFmtId="3" formatCode="#,##0"/>
    </dxf>
    <dxf>
      <numFmt numFmtId="3" formatCode="#,##0"/>
    </dxf>
    <dxf>
      <numFmt numFmtId="164" formatCode="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172" formatCode="0.0;\-0.0"/>
    </dxf>
    <dxf>
      <numFmt numFmtId="5" formatCode="#,##0;\-#,##0"/>
    </dxf>
    <dxf>
      <numFmt numFmtId="172" formatCode="0.0;\-0.0"/>
    </dxf>
    <dxf>
      <numFmt numFmtId="5" formatCode="#,##0;\-#,##0"/>
    </dxf>
    <dxf>
      <numFmt numFmtId="172" formatCode="0.0;\-0.0"/>
    </dxf>
    <dxf>
      <numFmt numFmtId="172" formatCode="0.0;\-0.0"/>
    </dxf>
    <dxf>
      <numFmt numFmtId="5" formatCode="#,##0;\-#,##0"/>
    </dxf>
    <dxf>
      <numFmt numFmtId="5" formatCode="#,##0;\-#,##0"/>
    </dxf>
    <dxf>
      <numFmt numFmtId="5" formatCode="#,##0;\-#,##0"/>
    </dxf>
    <dxf>
      <numFmt numFmtId="172" formatCode="0.0;\-0.0"/>
    </dxf>
    <dxf>
      <numFmt numFmtId="5" formatCode="#,##0;\-#,##0"/>
    </dxf>
    <dxf>
      <numFmt numFmtId="172" formatCode="0.0;\-0.0"/>
    </dxf>
    <dxf>
      <numFmt numFmtId="164" formatCode="0.0"/>
    </dxf>
    <dxf>
      <numFmt numFmtId="3" formatCode="#,##0"/>
    </dxf>
    <dxf>
      <numFmt numFmtId="5" formatCode="#,##0;\-#,##0"/>
    </dxf>
    <dxf>
      <numFmt numFmtId="5" formatCode="#,##0;\-#,##0"/>
    </dxf>
    <dxf>
      <numFmt numFmtId="172" formatCode="0.0;\-0.0"/>
    </dxf>
    <dxf>
      <numFmt numFmtId="172" formatCode="0.0;\-0.0"/>
    </dxf>
    <dxf>
      <numFmt numFmtId="3" formatCode="#,##0"/>
    </dxf>
    <dxf>
      <numFmt numFmtId="164" formatCode="0.0"/>
    </dxf>
    <dxf>
      <numFmt numFmtId="5" formatCode="#,##0;\-#,##0"/>
    </dxf>
    <dxf>
      <numFmt numFmtId="172" formatCode="0.0;\-0.0"/>
    </dxf>
    <dxf>
      <numFmt numFmtId="5" formatCode="#,##0;\-#,##0"/>
    </dxf>
    <dxf>
      <numFmt numFmtId="172" formatCode="0.0;\-0.0"/>
    </dxf>
    <dxf>
      <numFmt numFmtId="164" formatCode="0.0"/>
    </dxf>
    <dxf>
      <numFmt numFmtId="3" formatCode="#,##0"/>
    </dxf>
    <dxf>
      <numFmt numFmtId="3" formatCode="#,##0"/>
    </dxf>
    <dxf>
      <numFmt numFmtId="164" formatCode="0.0"/>
    </dxf>
    <dxf>
      <numFmt numFmtId="3" formatCode="#,##0"/>
    </dxf>
    <dxf>
      <numFmt numFmtId="164" formatCode="0.0"/>
    </dxf>
    <dxf>
      <numFmt numFmtId="3" formatCode="#,##0"/>
    </dxf>
    <dxf>
      <numFmt numFmtId="164" formatCode="0.0"/>
    </dxf>
    <dxf>
      <numFmt numFmtId="164" formatCode="0.0"/>
    </dxf>
    <dxf>
      <numFmt numFmtId="3" formatCode="#,##0"/>
    </dxf>
    <dxf>
      <numFmt numFmtId="164" formatCode="0.0"/>
    </dxf>
    <dxf>
      <numFmt numFmtId="3" formatCode="#,##0"/>
    </dxf>
    <dxf>
      <numFmt numFmtId="164" formatCode="0.0"/>
    </dxf>
    <dxf>
      <numFmt numFmtId="3" formatCode="#,##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64" formatCode="0.0"/>
    </dxf>
    <dxf>
      <numFmt numFmtId="5" formatCode="#,##0;\-#,##0"/>
    </dxf>
    <dxf>
      <numFmt numFmtId="172" formatCode="0.0;\-0.0"/>
    </dxf>
    <dxf>
      <numFmt numFmtId="3" formatCode="#,##0"/>
    </dxf>
    <dxf>
      <numFmt numFmtId="172" formatCode="0.0;\-0.0"/>
    </dxf>
    <dxf>
      <numFmt numFmtId="172" formatCode="0.0;\-0.0"/>
    </dxf>
    <dxf>
      <numFmt numFmtId="5" formatCode="#,##0;\-#,##0"/>
    </dxf>
    <dxf>
      <numFmt numFmtId="5" formatCode="#,##0;\-#,##0"/>
    </dxf>
    <dxf>
      <numFmt numFmtId="164" formatCode="0.0"/>
    </dxf>
    <dxf>
      <numFmt numFmtId="3" formatCode="#,##0"/>
    </dxf>
    <dxf>
      <numFmt numFmtId="172" formatCode="0.0;\-0.0"/>
    </dxf>
    <dxf>
      <numFmt numFmtId="5" formatCode="#,##0;\-#,##0"/>
    </dxf>
    <dxf>
      <numFmt numFmtId="172" formatCode="0.0;\-0.0"/>
    </dxf>
    <dxf>
      <numFmt numFmtId="5" formatCode="#,##0;\-#,##0"/>
    </dxf>
    <dxf>
      <numFmt numFmtId="164" formatCode="0.0"/>
    </dxf>
    <dxf>
      <numFmt numFmtId="3" formatCode="#,##0"/>
    </dxf>
    <dxf>
      <numFmt numFmtId="172" formatCode="0.0;\-0.0"/>
    </dxf>
    <dxf>
      <numFmt numFmtId="5" formatCode="#,##0;\-#,##0"/>
    </dxf>
    <dxf>
      <numFmt numFmtId="172" formatCode="0.0;\-0.0"/>
    </dxf>
    <dxf>
      <numFmt numFmtId="5" formatCode="#,##0;\-#,##0"/>
    </dxf>
    <dxf>
      <numFmt numFmtId="3" formatCode="#,##0"/>
    </dxf>
    <dxf>
      <numFmt numFmtId="164" formatCode="0.0"/>
    </dxf>
    <dxf>
      <numFmt numFmtId="172" formatCode="0.0;\-0.0"/>
    </dxf>
    <dxf>
      <numFmt numFmtId="5" formatCode="#,##0;\-#,##0"/>
    </dxf>
    <dxf>
      <numFmt numFmtId="5" formatCode="#,##0;\-#,##0"/>
    </dxf>
    <dxf>
      <numFmt numFmtId="172" formatCode="0.0;\-0.0"/>
    </dxf>
    <dxf>
      <numFmt numFmtId="164" formatCode="0.0"/>
    </dxf>
    <dxf>
      <numFmt numFmtId="3" formatCode="#,##0"/>
    </dxf>
    <dxf>
      <numFmt numFmtId="172" formatCode="0.0;\-0.0"/>
    </dxf>
    <dxf>
      <numFmt numFmtId="5" formatCode="#,##0;\-#,##0"/>
    </dxf>
    <dxf>
      <numFmt numFmtId="172" formatCode="0.0;\-0.0"/>
    </dxf>
    <dxf>
      <numFmt numFmtId="5" formatCode="#,##0;\-#,##0"/>
    </dxf>
    <dxf>
      <numFmt numFmtId="164" formatCode="0.0"/>
    </dxf>
    <dxf>
      <numFmt numFmtId="3" formatCode="#,##0"/>
    </dxf>
    <dxf>
      <numFmt numFmtId="5" formatCode="#,##0;\-#,##0"/>
    </dxf>
    <dxf>
      <numFmt numFmtId="172" formatCode="0.0;\-0.0"/>
    </dxf>
    <dxf>
      <numFmt numFmtId="5" formatCode="#,##0;\-#,##0"/>
    </dxf>
    <dxf>
      <numFmt numFmtId="172" formatCode="0.0;\-0.0"/>
    </dxf>
    <dxf>
      <numFmt numFmtId="3" formatCode="#,##0"/>
    </dxf>
    <dxf>
      <numFmt numFmtId="164" formatCode="0.0"/>
    </dxf>
    <dxf>
      <numFmt numFmtId="5" formatCode="#,##0;\-#,##0"/>
    </dxf>
    <dxf>
      <numFmt numFmtId="172" formatCode="0.0;\-0.0"/>
    </dxf>
    <dxf>
      <numFmt numFmtId="5" formatCode="#,##0;\-#,##0"/>
    </dxf>
    <dxf>
      <numFmt numFmtId="172" formatCode="0.0;\-0.0"/>
    </dxf>
    <dxf>
      <numFmt numFmtId="172" formatCode="0.0;\-0.0"/>
    </dxf>
    <dxf>
      <numFmt numFmtId="5" formatCode="#,##0;\-#,##0"/>
    </dxf>
    <dxf>
      <numFmt numFmtId="172" formatCode="0.0;\-0.0"/>
    </dxf>
    <dxf>
      <numFmt numFmtId="5" formatCode="#,##0;\-#,##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3" formatCode="#,##0"/>
    </dxf>
    <dxf>
      <numFmt numFmtId="164" formatCode="0.0"/>
    </dxf>
    <dxf>
      <numFmt numFmtId="164" formatCode="0.0"/>
    </dxf>
    <dxf>
      <numFmt numFmtId="3" formatCode="#,##0"/>
    </dxf>
    <dxf>
      <numFmt numFmtId="164" formatCode="0.0"/>
    </dxf>
    <dxf>
      <numFmt numFmtId="3" formatCode="#,##0"/>
    </dxf>
    <dxf>
      <numFmt numFmtId="172" formatCode="0.0;\-0.0"/>
    </dxf>
    <dxf>
      <numFmt numFmtId="5" formatCode="#,##0;\-#,##0"/>
    </dxf>
    <dxf>
      <numFmt numFmtId="172" formatCode="0.0;\-0.0"/>
    </dxf>
    <dxf>
      <numFmt numFmtId="5" formatCode="#,##0;\-#,##0"/>
    </dxf>
    <dxf>
      <numFmt numFmtId="172" formatCode="0.0;\-0.0"/>
    </dxf>
    <dxf>
      <numFmt numFmtId="5" formatCode="#,##0;\-#,##0"/>
    </dxf>
    <dxf>
      <numFmt numFmtId="5" formatCode="#,##0;\-#,##0"/>
    </dxf>
    <dxf>
      <numFmt numFmtId="172" formatCode="0.0;\-0.0"/>
    </dxf>
    <dxf>
      <numFmt numFmtId="164" formatCode="0.0"/>
    </dxf>
    <dxf>
      <numFmt numFmtId="3" formatCode="#,##0"/>
    </dxf>
    <dxf>
      <numFmt numFmtId="164" formatCode="0.0"/>
    </dxf>
    <dxf>
      <numFmt numFmtId="3" formatCode="#,##0"/>
    </dxf>
    <dxf>
      <numFmt numFmtId="3" formatCode="#,##0"/>
    </dxf>
    <dxf>
      <numFmt numFmtId="164" formatCode="0.0"/>
    </dxf>
    <dxf>
      <numFmt numFmtId="164" formatCode="0.0"/>
    </dxf>
    <dxf>
      <numFmt numFmtId="3" formatCode="#,##0"/>
    </dxf>
    <dxf>
      <numFmt numFmtId="164" formatCode="0.0"/>
    </dxf>
    <dxf>
      <numFmt numFmtId="3" formatCode="#,##0"/>
    </dxf>
    <dxf>
      <numFmt numFmtId="3" formatCode="#,##0"/>
    </dxf>
    <dxf>
      <numFmt numFmtId="164" formatCode="0.0"/>
    </dxf>
    <dxf>
      <numFmt numFmtId="3" formatCode="#,##0"/>
    </dxf>
    <dxf>
      <numFmt numFmtId="164" formatCode="0.0"/>
    </dxf>
    <dxf>
      <numFmt numFmtId="3" formatCode="#,##0"/>
    </dxf>
    <dxf>
      <numFmt numFmtId="164" formatCode="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172" formatCode="0.0;\-0.0"/>
    </dxf>
    <dxf>
      <numFmt numFmtId="5" formatCode="#,##0;\-#,##0"/>
    </dxf>
    <dxf>
      <numFmt numFmtId="172" formatCode="0.0;\-0.0"/>
    </dxf>
    <dxf>
      <numFmt numFmtId="5" formatCode="#,##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172" formatCode="0.0;\-0.0"/>
    </dxf>
    <dxf>
      <numFmt numFmtId="5" formatCode="#,##0;\-#,##0"/>
    </dxf>
    <dxf>
      <numFmt numFmtId="5" formatCode="#,##0;\-#,##0"/>
    </dxf>
    <dxf>
      <numFmt numFmtId="5" formatCode="#,##0;\-#,##0"/>
    </dxf>
    <dxf>
      <numFmt numFmtId="172" formatCode="0.0;\-0.0"/>
    </dxf>
    <dxf>
      <numFmt numFmtId="172" formatCode="0.0;\-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64" formatCode="0.0"/>
    </dxf>
    <dxf>
      <numFmt numFmtId="3" formatCode="#,##0"/>
    </dxf>
    <dxf>
      <numFmt numFmtId="172" formatCode="0.0;\-0.0"/>
    </dxf>
    <dxf>
      <numFmt numFmtId="172" formatCode="0.0;\-0.0"/>
    </dxf>
    <dxf>
      <numFmt numFmtId="5" formatCode="#,##0;\-#,##0"/>
    </dxf>
    <dxf>
      <numFmt numFmtId="5" formatCode="#,##0;\-#,##0"/>
    </dxf>
    <dxf>
      <numFmt numFmtId="164" formatCode="0.0"/>
    </dxf>
    <dxf>
      <numFmt numFmtId="3" formatCode="#,##0"/>
    </dxf>
    <dxf>
      <numFmt numFmtId="172" formatCode="0.0;\-0.0"/>
    </dxf>
    <dxf>
      <numFmt numFmtId="5" formatCode="#,##0;\-#,##0"/>
    </dxf>
    <dxf>
      <numFmt numFmtId="172" formatCode="0.0;\-0.0"/>
    </dxf>
    <dxf>
      <numFmt numFmtId="5" formatCode="#,##0;\-#,##0"/>
    </dxf>
    <dxf>
      <numFmt numFmtId="164" formatCode="0.0"/>
    </dxf>
    <dxf>
      <numFmt numFmtId="3" formatCode="#,##0"/>
    </dxf>
    <dxf>
      <numFmt numFmtId="172" formatCode="0.0;\-0.0"/>
    </dxf>
    <dxf>
      <numFmt numFmtId="5" formatCode="#,##0;\-#,##0"/>
    </dxf>
    <dxf>
      <numFmt numFmtId="172" formatCode="0.0;\-0.0"/>
    </dxf>
    <dxf>
      <numFmt numFmtId="5" formatCode="#,##0;\-#,##0"/>
    </dxf>
    <dxf>
      <numFmt numFmtId="164" formatCode="0.0"/>
    </dxf>
    <dxf>
      <numFmt numFmtId="3" formatCode="#,##0"/>
    </dxf>
    <dxf>
      <numFmt numFmtId="3" formatCode="#,##0"/>
    </dxf>
    <dxf>
      <numFmt numFmtId="164" formatCode="0.0"/>
    </dxf>
    <dxf>
      <numFmt numFmtId="164" formatCode="0.0"/>
    </dxf>
    <dxf>
      <numFmt numFmtId="3" formatCode="#,##0"/>
    </dxf>
    <dxf>
      <numFmt numFmtId="5" formatCode="#,##0;\-#,##0"/>
    </dxf>
    <dxf>
      <numFmt numFmtId="172" formatCode="0.0;\-0.0"/>
    </dxf>
    <dxf>
      <numFmt numFmtId="5" formatCode="#,##0;\-#,##0"/>
    </dxf>
    <dxf>
      <numFmt numFmtId="172" formatCode="0.0;\-0.0"/>
    </dxf>
    <dxf>
      <numFmt numFmtId="172" formatCode="0.0;\-0.0"/>
    </dxf>
    <dxf>
      <numFmt numFmtId="5" formatCode="#,##0;\-#,##0"/>
    </dxf>
    <dxf>
      <numFmt numFmtId="172" formatCode="0.0;\-0.0"/>
    </dxf>
    <dxf>
      <numFmt numFmtId="5" formatCode="#,##0;\-#,##0"/>
    </dxf>
    <dxf>
      <numFmt numFmtId="164" formatCode="0.0"/>
    </dxf>
    <dxf>
      <numFmt numFmtId="3" formatCode="#,##0"/>
    </dxf>
    <dxf>
      <numFmt numFmtId="172" formatCode="0.0;\-0.0"/>
    </dxf>
    <dxf>
      <numFmt numFmtId="5" formatCode="#,##0;\-#,##0"/>
    </dxf>
    <dxf>
      <numFmt numFmtId="172" formatCode="0.0;\-0.0"/>
    </dxf>
    <dxf>
      <numFmt numFmtId="5" formatCode="#,##0;\-#,##0"/>
    </dxf>
    <dxf>
      <numFmt numFmtId="3" formatCode="#,##0"/>
    </dxf>
    <dxf>
      <numFmt numFmtId="164" formatCode="0.0"/>
    </dxf>
    <dxf>
      <numFmt numFmtId="5" formatCode="#,##0;\-#,##0"/>
    </dxf>
    <dxf>
      <numFmt numFmtId="172" formatCode="0.0;\-0.0"/>
    </dxf>
    <dxf>
      <numFmt numFmtId="5" formatCode="#,##0;\-#,##0"/>
    </dxf>
    <dxf>
      <numFmt numFmtId="172" formatCode="0.0;\-0.0"/>
    </dxf>
    <dxf>
      <numFmt numFmtId="172" formatCode="0.0;\-0.0"/>
    </dxf>
    <dxf>
      <numFmt numFmtId="5" formatCode="#,##0;\-#,##0"/>
    </dxf>
    <dxf>
      <numFmt numFmtId="172" formatCode="0.0;\-0.0"/>
    </dxf>
    <dxf>
      <numFmt numFmtId="5" formatCode="#,##0;\-#,##0"/>
    </dxf>
    <dxf>
      <numFmt numFmtId="5" formatCode="#,##0;\-#,##0"/>
    </dxf>
    <dxf>
      <numFmt numFmtId="172" formatCode="0.0;\-0.0"/>
    </dxf>
    <dxf>
      <numFmt numFmtId="5" formatCode="#,##0;\-#,##0"/>
    </dxf>
    <dxf>
      <numFmt numFmtId="172" formatCode="0.0;\-0.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3" formatCode="#,##0"/>
    </dxf>
    <dxf>
      <numFmt numFmtId="164" formatCode="0.0"/>
    </dxf>
    <dxf>
      <numFmt numFmtId="172" formatCode="0.0;\-0.0"/>
    </dxf>
    <dxf>
      <numFmt numFmtId="5" formatCode="#,##0;\-#,##0"/>
    </dxf>
    <dxf>
      <numFmt numFmtId="172" formatCode="0.0;\-0.0"/>
    </dxf>
    <dxf>
      <numFmt numFmtId="5" formatCode="#,##0;\-#,##0"/>
    </dxf>
    <dxf>
      <numFmt numFmtId="172" formatCode="0.0;\-0.0"/>
    </dxf>
    <dxf>
      <numFmt numFmtId="5" formatCode="#,##0;\-#,##0"/>
    </dxf>
    <dxf>
      <numFmt numFmtId="5" formatCode="#,##0;\-#,##0"/>
    </dxf>
    <dxf>
      <numFmt numFmtId="172" formatCode="0.0;\-0.0"/>
    </dxf>
    <dxf>
      <numFmt numFmtId="5" formatCode="#,##0;\-#,##0"/>
    </dxf>
    <dxf>
      <numFmt numFmtId="164" formatCode="0.0"/>
    </dxf>
    <dxf>
      <numFmt numFmtId="3" formatCode="#,##0"/>
    </dxf>
    <dxf>
      <numFmt numFmtId="172" formatCode="0.0;\-0.0"/>
    </dxf>
    <dxf>
      <numFmt numFmtId="5" formatCode="#,##0;\-#,##0"/>
    </dxf>
    <dxf>
      <numFmt numFmtId="172" formatCode="0.0;\-0.0"/>
    </dxf>
    <dxf>
      <numFmt numFmtId="5" formatCode="#,##0;\-#,##0"/>
    </dxf>
    <dxf>
      <numFmt numFmtId="164" formatCode="0.0"/>
    </dxf>
    <dxf>
      <numFmt numFmtId="3" formatCode="#,##0"/>
    </dxf>
    <dxf>
      <numFmt numFmtId="172" formatCode="0.0;\-0.0"/>
    </dxf>
    <dxf>
      <numFmt numFmtId="5" formatCode="#,##0;\-#,##0"/>
    </dxf>
    <dxf>
      <numFmt numFmtId="172" formatCode="0.0;\-0.0"/>
    </dxf>
    <dxf>
      <numFmt numFmtId="3" formatCode="#,##0"/>
    </dxf>
    <dxf>
      <numFmt numFmtId="172" formatCode="0.0;\-0.0"/>
    </dxf>
    <dxf>
      <numFmt numFmtId="5" formatCode="#,##0;\-#,##0"/>
    </dxf>
    <dxf>
      <numFmt numFmtId="5" formatCode="#,##0;\-#,##0"/>
    </dxf>
    <dxf>
      <numFmt numFmtId="172" formatCode="0.0;\-0.0"/>
    </dxf>
    <dxf>
      <numFmt numFmtId="164" formatCode="0.0"/>
    </dxf>
    <dxf>
      <numFmt numFmtId="5" formatCode="#,##0;\-#,##0"/>
    </dxf>
    <dxf>
      <numFmt numFmtId="5" formatCode="#,##0;\-#,##0"/>
    </dxf>
    <dxf>
      <numFmt numFmtId="172" formatCode="0.0;\-0.0"/>
    </dxf>
    <dxf>
      <numFmt numFmtId="164" formatCode="0.0"/>
    </dxf>
    <dxf>
      <numFmt numFmtId="3" formatCode="#,##0"/>
    </dxf>
    <dxf>
      <numFmt numFmtId="172" formatCode="0.0;\-0.0"/>
    </dxf>
    <dxf>
      <numFmt numFmtId="164" formatCode="0.0"/>
    </dxf>
    <dxf>
      <numFmt numFmtId="3" formatCode="#,##0"/>
    </dxf>
    <dxf>
      <numFmt numFmtId="172" formatCode="0.0;\-0.0"/>
    </dxf>
    <dxf>
      <numFmt numFmtId="5" formatCode="#,##0;\-#,##0"/>
    </dxf>
    <dxf>
      <numFmt numFmtId="172" formatCode="0.0;\-0.0"/>
    </dxf>
    <dxf>
      <numFmt numFmtId="5" formatCode="#,##0;\-#,##0"/>
    </dxf>
    <dxf>
      <numFmt numFmtId="164" formatCode="0.0"/>
    </dxf>
    <dxf>
      <numFmt numFmtId="5" formatCode="#,##0;\-#,##0"/>
    </dxf>
    <dxf>
      <numFmt numFmtId="3" formatCode="#,##0"/>
    </dxf>
    <dxf>
      <numFmt numFmtId="172" formatCode="0.0;\-0.0"/>
    </dxf>
    <dxf>
      <numFmt numFmtId="5" formatCode="#,##0;\-#,##0"/>
    </dxf>
    <dxf>
      <numFmt numFmtId="172" formatCode="0.0;\-0.0"/>
    </dxf>
    <dxf>
      <numFmt numFmtId="172" formatCode="0.0;\-0.0"/>
    </dxf>
    <dxf>
      <numFmt numFmtId="5" formatCode="#,##0;\-#,##0"/>
    </dxf>
    <dxf>
      <numFmt numFmtId="5" formatCode="#,##0;\-#,##0"/>
    </dxf>
    <dxf>
      <numFmt numFmtId="172" formatCode="0.0;\-0.0"/>
    </dxf>
    <dxf>
      <numFmt numFmtId="3" formatCode="#,##0"/>
    </dxf>
    <dxf>
      <numFmt numFmtId="164" formatCode="0.0"/>
    </dxf>
    <dxf>
      <numFmt numFmtId="172" formatCode="0.0;\-0.0"/>
    </dxf>
    <dxf>
      <numFmt numFmtId="5" formatCode="#,##0;\-#,##0"/>
    </dxf>
    <dxf>
      <numFmt numFmtId="172" formatCode="0.0;\-0.0"/>
    </dxf>
    <dxf>
      <numFmt numFmtId="3" formatCode="#,##0"/>
    </dxf>
    <dxf>
      <numFmt numFmtId="164" formatCode="0.0"/>
    </dxf>
    <dxf>
      <numFmt numFmtId="5" formatCode="#,##0;\-#,##0"/>
    </dxf>
    <dxf>
      <numFmt numFmtId="172" formatCode="0.0;\-0.0"/>
    </dxf>
    <dxf>
      <numFmt numFmtId="5" formatCode="#,##0;\-#,##0"/>
    </dxf>
    <dxf>
      <numFmt numFmtId="172" formatCode="0.0;\-0.0"/>
    </dxf>
    <dxf>
      <numFmt numFmtId="5" formatCode="#,##0;\-#,##0"/>
    </dxf>
    <dxf>
      <numFmt numFmtId="3" formatCode="#,##0"/>
    </dxf>
    <dxf>
      <numFmt numFmtId="164" formatCode="0.0"/>
    </dxf>
    <dxf>
      <numFmt numFmtId="3" formatCode="#,##0"/>
    </dxf>
    <dxf>
      <numFmt numFmtId="164" formatCode="0.0"/>
    </dxf>
    <dxf>
      <numFmt numFmtId="3" formatCode="#,##0"/>
    </dxf>
    <dxf>
      <numFmt numFmtId="164" formatCode="0.0"/>
    </dxf>
    <dxf>
      <numFmt numFmtId="164" formatCode="0.0"/>
    </dxf>
    <dxf>
      <numFmt numFmtId="3" formatCode="#,##0"/>
    </dxf>
    <dxf>
      <numFmt numFmtId="164" formatCode="0.0"/>
    </dxf>
    <dxf>
      <numFmt numFmtId="3" formatCode="#,##0"/>
    </dxf>
    <dxf>
      <numFmt numFmtId="164" formatCode="0.0"/>
    </dxf>
    <dxf>
      <numFmt numFmtId="3" formatCode="#,##0"/>
    </dxf>
    <dxf>
      <numFmt numFmtId="3" formatCode="#,##0"/>
    </dxf>
    <dxf>
      <numFmt numFmtId="164" formatCode="0.0"/>
    </dxf>
    <dxf>
      <numFmt numFmtId="164" formatCode="0.0"/>
    </dxf>
    <dxf>
      <numFmt numFmtId="3" formatCode="#,##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164" formatCode="0.0"/>
    </dxf>
    <dxf>
      <numFmt numFmtId="3" formatCode="#,##0"/>
    </dxf>
    <dxf>
      <numFmt numFmtId="172" formatCode="0.0;\-0.0"/>
    </dxf>
    <dxf>
      <numFmt numFmtId="172" formatCode="0.0;\-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5" formatCode="#,##0;\-#,##0"/>
    </dxf>
    <dxf>
      <numFmt numFmtId="5" formatCode="#,##0;\-#,##0"/>
    </dxf>
    <dxf>
      <numFmt numFmtId="172" formatCode="0.0;\-0.0"/>
    </dxf>
    <dxf>
      <numFmt numFmtId="172" formatCode="0.0;\-0.0"/>
    </dxf>
    <dxf>
      <numFmt numFmtId="3" formatCode="#,##0"/>
    </dxf>
    <dxf>
      <numFmt numFmtId="172" formatCode="0.0;\-0.0"/>
    </dxf>
    <dxf>
      <numFmt numFmtId="5" formatCode="#,##0;\-#,##0"/>
    </dxf>
    <dxf>
      <numFmt numFmtId="5" formatCode="#,##0;\-#,##0"/>
    </dxf>
    <dxf>
      <numFmt numFmtId="164" formatCode="0.0"/>
    </dxf>
    <dxf>
      <numFmt numFmtId="172" formatCode="0.0;\-0.0"/>
    </dxf>
    <dxf>
      <numFmt numFmtId="164" formatCode="0.0"/>
    </dxf>
    <dxf>
      <numFmt numFmtId="3" formatCode="#,##0"/>
    </dxf>
    <dxf>
      <numFmt numFmtId="172" formatCode="0.0;\-0.0"/>
    </dxf>
    <dxf>
      <numFmt numFmtId="5" formatCode="#,##0;\-#,##0"/>
    </dxf>
    <dxf>
      <numFmt numFmtId="5" formatCode="#,##0;\-#,##0"/>
    </dxf>
    <dxf>
      <numFmt numFmtId="172" formatCode="0.0;\-0.0"/>
    </dxf>
    <dxf>
      <numFmt numFmtId="5" formatCode="#,##0;\-#,##0"/>
    </dxf>
    <dxf>
      <numFmt numFmtId="3" formatCode="#,##0"/>
    </dxf>
    <dxf>
      <numFmt numFmtId="164" formatCode="0.0"/>
    </dxf>
    <dxf>
      <numFmt numFmtId="172" formatCode="0.0;\-0.0"/>
    </dxf>
    <dxf>
      <numFmt numFmtId="5" formatCode="#,##0;\-#,##0"/>
    </dxf>
    <dxf>
      <numFmt numFmtId="172" formatCode="0.0;\-0.0"/>
    </dxf>
    <dxf>
      <numFmt numFmtId="5" formatCode="#,##0;\-#,##0"/>
    </dxf>
    <dxf>
      <numFmt numFmtId="164" formatCode="0.0"/>
    </dxf>
    <dxf>
      <numFmt numFmtId="3" formatCode="#,##0"/>
    </dxf>
    <dxf>
      <numFmt numFmtId="172" formatCode="0.0;\-0.0"/>
    </dxf>
    <dxf>
      <numFmt numFmtId="5" formatCode="#,##0;\-#,##0"/>
    </dxf>
    <dxf>
      <numFmt numFmtId="172" formatCode="0.0;\-0.0"/>
    </dxf>
    <dxf>
      <numFmt numFmtId="164" formatCode="0.0"/>
    </dxf>
    <dxf>
      <numFmt numFmtId="3" formatCode="#,##0"/>
    </dxf>
    <dxf>
      <numFmt numFmtId="5" formatCode="#,##0;\-#,##0"/>
    </dxf>
    <dxf>
      <numFmt numFmtId="172" formatCode="0.0;\-0.0"/>
    </dxf>
    <dxf>
      <numFmt numFmtId="5" formatCode="#,##0;\-#,##0"/>
    </dxf>
    <dxf>
      <numFmt numFmtId="164" formatCode="0.0"/>
    </dxf>
    <dxf>
      <numFmt numFmtId="3" formatCode="#,##0"/>
    </dxf>
    <dxf>
      <numFmt numFmtId="172" formatCode="0.0;\-0.0"/>
    </dxf>
    <dxf>
      <numFmt numFmtId="5" formatCode="#,##0;\-#,##0"/>
    </dxf>
    <dxf>
      <numFmt numFmtId="172" formatCode="0.0;\-0.0"/>
    </dxf>
    <dxf>
      <numFmt numFmtId="5" formatCode="#,##0;\-#,##0"/>
    </dxf>
    <dxf>
      <numFmt numFmtId="5" formatCode="#,##0;\-#,##0"/>
    </dxf>
    <dxf>
      <numFmt numFmtId="164" formatCode="0.0"/>
    </dxf>
    <dxf>
      <numFmt numFmtId="3" formatCode="#,##0"/>
    </dxf>
    <dxf>
      <numFmt numFmtId="172" formatCode="0.0;\-0.0"/>
    </dxf>
    <dxf>
      <numFmt numFmtId="172" formatCode="0.0;\-0.0"/>
    </dxf>
    <dxf>
      <numFmt numFmtId="5" formatCode="#,##0;\-#,##0"/>
    </dxf>
    <dxf>
      <numFmt numFmtId="5" formatCode="#,##0;\-#,##0"/>
    </dxf>
    <dxf>
      <numFmt numFmtId="172" formatCode="0.0;\-0.0"/>
    </dxf>
    <dxf>
      <numFmt numFmtId="164" formatCode="0.0"/>
    </dxf>
    <dxf>
      <numFmt numFmtId="3" formatCode="#,##0"/>
    </dxf>
    <dxf>
      <numFmt numFmtId="172" formatCode="0.0;\-0.0"/>
    </dxf>
    <dxf>
      <numFmt numFmtId="5" formatCode="#,##0;\-#,##0"/>
    </dxf>
    <dxf>
      <numFmt numFmtId="3" formatCode="#,##0"/>
    </dxf>
    <dxf>
      <numFmt numFmtId="164" formatCode="0.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3" formatCode="#,##0"/>
    </dxf>
    <dxf>
      <numFmt numFmtId="164" formatCode="0.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3" formatCode="#,##0"/>
    </dxf>
    <dxf>
      <numFmt numFmtId="164" formatCode="0.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3" formatCode="#,##0"/>
    </dxf>
    <dxf>
      <numFmt numFmtId="164" formatCode="0.0"/>
    </dxf>
    <dxf>
      <numFmt numFmtId="164" formatCode="0.0"/>
    </dxf>
    <dxf>
      <numFmt numFmtId="3" formatCode="#,##0"/>
    </dxf>
    <dxf>
      <numFmt numFmtId="164" formatCode="0.0"/>
    </dxf>
    <dxf>
      <numFmt numFmtId="3" formatCode="#,##0"/>
    </dxf>
    <dxf>
      <numFmt numFmtId="164" formatCode="0.0"/>
    </dxf>
    <dxf>
      <numFmt numFmtId="3" formatCode="#,##0"/>
    </dxf>
    <dxf>
      <numFmt numFmtId="5" formatCode="#,##0;\-#,##0"/>
    </dxf>
    <dxf>
      <numFmt numFmtId="172" formatCode="0.0;\-0.0"/>
    </dxf>
    <dxf>
      <numFmt numFmtId="5" formatCode="#,##0;\-#,##0"/>
    </dxf>
    <dxf>
      <numFmt numFmtId="172" formatCode="0.0;\-0.0"/>
    </dxf>
    <dxf>
      <numFmt numFmtId="172" formatCode="0.0;\-0.0"/>
    </dxf>
    <dxf>
      <numFmt numFmtId="172" formatCode="0.0;\-0.0"/>
    </dxf>
    <dxf>
      <numFmt numFmtId="5" formatCode="#,##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64" formatCode="0.0"/>
    </dxf>
    <dxf>
      <numFmt numFmtId="3" formatCode="#,##0"/>
    </dxf>
    <dxf>
      <numFmt numFmtId="172" formatCode="0.0;\-0.0"/>
    </dxf>
    <dxf>
      <numFmt numFmtId="5" formatCode="#,##0;\-#,##0"/>
    </dxf>
    <dxf>
      <numFmt numFmtId="5" formatCode="#,##0;\-#,##0"/>
    </dxf>
    <dxf>
      <numFmt numFmtId="172" formatCode="0.0;\-0.0"/>
    </dxf>
    <dxf>
      <numFmt numFmtId="3" formatCode="#,##0"/>
    </dxf>
    <dxf>
      <numFmt numFmtId="164" formatCode="0.0"/>
    </dxf>
    <dxf>
      <numFmt numFmtId="5" formatCode="#,##0;\-#,##0"/>
    </dxf>
    <dxf>
      <numFmt numFmtId="172" formatCode="0.0;\-0.0"/>
    </dxf>
    <dxf>
      <numFmt numFmtId="164" formatCode="0.0"/>
    </dxf>
    <dxf>
      <numFmt numFmtId="3" formatCode="#,##0"/>
    </dxf>
    <dxf>
      <numFmt numFmtId="3" formatCode="#,##0"/>
    </dxf>
    <dxf>
      <numFmt numFmtId="164" formatCode="0.0"/>
    </dxf>
    <dxf>
      <numFmt numFmtId="164" formatCode="0.0"/>
    </dxf>
    <dxf>
      <numFmt numFmtId="3" formatCode="#,##0"/>
    </dxf>
    <dxf>
      <numFmt numFmtId="164" formatCode="0.0"/>
    </dxf>
    <dxf>
      <numFmt numFmtId="3" formatCode="#,##0"/>
    </dxf>
    <dxf>
      <numFmt numFmtId="164" formatCode="0.0"/>
    </dxf>
    <dxf>
      <numFmt numFmtId="3" formatCode="#,##0"/>
    </dxf>
    <dxf>
      <numFmt numFmtId="3" formatCode="#,##0"/>
    </dxf>
    <dxf>
      <numFmt numFmtId="164" formatCode="0.0"/>
    </dxf>
    <dxf>
      <numFmt numFmtId="164" formatCode="0.0"/>
    </dxf>
    <dxf>
      <numFmt numFmtId="3" formatCode="#,##0"/>
    </dxf>
    <dxf>
      <numFmt numFmtId="3" formatCode="#,##0"/>
    </dxf>
    <dxf>
      <numFmt numFmtId="164" formatCode="0.0"/>
    </dxf>
    <dxf>
      <numFmt numFmtId="3" formatCode="#,##0"/>
    </dxf>
    <dxf>
      <numFmt numFmtId="164" formatCode="0.0"/>
    </dxf>
    <dxf>
      <numFmt numFmtId="3" formatCode="#,##0"/>
    </dxf>
    <dxf>
      <numFmt numFmtId="164" formatCode="0.0"/>
    </dxf>
    <dxf>
      <numFmt numFmtId="164" formatCode="0.0"/>
    </dxf>
    <dxf>
      <numFmt numFmtId="3" formatCode="#,##0"/>
    </dxf>
    <dxf>
      <numFmt numFmtId="5" formatCode="#,##0;\-#,##0"/>
    </dxf>
    <dxf>
      <numFmt numFmtId="172" formatCode="0.0;\-0.0"/>
    </dxf>
    <dxf>
      <numFmt numFmtId="5" formatCode="#,##0;\-#,##0"/>
    </dxf>
    <dxf>
      <numFmt numFmtId="172" formatCode="0.0;\-0.0"/>
    </dxf>
    <dxf>
      <numFmt numFmtId="172" formatCode="0.0;\-0.0"/>
    </dxf>
    <dxf>
      <numFmt numFmtId="5" formatCode="#,##0;\-#,##0"/>
    </dxf>
    <dxf>
      <numFmt numFmtId="172" formatCode="0.0;\-0.0"/>
    </dxf>
    <dxf>
      <numFmt numFmtId="5" formatCode="#,##0;\-#,##0"/>
    </dxf>
    <dxf>
      <numFmt numFmtId="5" formatCode="#,##0;\-#,##0"/>
    </dxf>
    <dxf>
      <numFmt numFmtId="172" formatCode="0.0;\-0.0"/>
    </dxf>
    <dxf>
      <numFmt numFmtId="172" formatCode="0.0;\-0.0"/>
    </dxf>
    <dxf>
      <numFmt numFmtId="5" formatCode="#,##0;\-#,##0"/>
    </dxf>
    <dxf>
      <numFmt numFmtId="5" formatCode="#,##0;\-#,##0"/>
    </dxf>
    <dxf>
      <numFmt numFmtId="172" formatCode="0.0;\-0.0"/>
    </dxf>
    <dxf>
      <numFmt numFmtId="5" formatCode="#,##0;\-#,##0"/>
    </dxf>
    <dxf>
      <numFmt numFmtId="172" formatCode="0.0;\-0.0"/>
    </dxf>
    <dxf>
      <numFmt numFmtId="172" formatCode="0.0;\-0.0"/>
    </dxf>
    <dxf>
      <numFmt numFmtId="5" formatCode="#,##0;\-#,##0"/>
    </dxf>
    <dxf>
      <numFmt numFmtId="5" formatCode="#,##0;\-#,##0"/>
    </dxf>
    <dxf>
      <numFmt numFmtId="172" formatCode="0.0;\-0.0"/>
    </dxf>
    <dxf>
      <numFmt numFmtId="172" formatCode="0.0;\-0.0"/>
    </dxf>
    <dxf>
      <numFmt numFmtId="172" formatCode="0.0;\-0.0"/>
    </dxf>
    <dxf>
      <numFmt numFmtId="5" formatCode="#,##0;\-#,##0"/>
    </dxf>
    <dxf>
      <numFmt numFmtId="5" formatCode="#,##0;\-#,##0"/>
    </dxf>
    <dxf>
      <numFmt numFmtId="3" formatCode="#,##0"/>
    </dxf>
    <dxf>
      <numFmt numFmtId="172" formatCode="0.0;\-0.0"/>
    </dxf>
    <dxf>
      <numFmt numFmtId="5" formatCode="#,##0;\-#,##0"/>
    </dxf>
    <dxf>
      <numFmt numFmtId="172" formatCode="0.0;\-0.0"/>
    </dxf>
    <dxf>
      <numFmt numFmtId="5" formatCode="#,##0;\-#,##0"/>
    </dxf>
    <dxf>
      <numFmt numFmtId="164" formatCode="0.0"/>
    </dxf>
    <dxf>
      <numFmt numFmtId="172" formatCode="0.0;\-0.0"/>
    </dxf>
    <dxf>
      <numFmt numFmtId="5" formatCode="#,##0;\-#,##0"/>
    </dxf>
    <dxf>
      <numFmt numFmtId="172" formatCode="0.0;\-0.0"/>
    </dxf>
    <dxf>
      <numFmt numFmtId="5" formatCode="#,##0;\-#,##0"/>
    </dxf>
    <dxf>
      <numFmt numFmtId="164" formatCode="0.0"/>
    </dxf>
    <dxf>
      <numFmt numFmtId="3" formatCode="#,##0"/>
    </dxf>
    <dxf>
      <numFmt numFmtId="172" formatCode="0.0;\-0.0"/>
    </dxf>
    <dxf>
      <numFmt numFmtId="5" formatCode="#,##0;\-#,##0"/>
    </dxf>
    <dxf>
      <numFmt numFmtId="172" formatCode="0.0;\-0.0"/>
    </dxf>
    <dxf>
      <numFmt numFmtId="5" formatCode="#,##0;\-#,##0"/>
    </dxf>
    <dxf>
      <numFmt numFmtId="164" formatCode="0.0"/>
    </dxf>
    <dxf>
      <numFmt numFmtId="3" formatCode="#,##0"/>
    </dxf>
    <dxf>
      <numFmt numFmtId="5" formatCode="#,##0;\-#,##0"/>
    </dxf>
    <dxf>
      <numFmt numFmtId="172" formatCode="0.0;\-0.0"/>
    </dxf>
    <dxf>
      <numFmt numFmtId="172" formatCode="0.0;\-0.0"/>
    </dxf>
    <dxf>
      <numFmt numFmtId="5" formatCode="#,##0;\-#,##0"/>
    </dxf>
    <dxf>
      <numFmt numFmtId="164" formatCode="0.0"/>
    </dxf>
    <dxf>
      <numFmt numFmtId="3" formatCode="#,##0"/>
    </dxf>
    <dxf>
      <numFmt numFmtId="5" formatCode="#,##0;\-#,##0"/>
    </dxf>
    <dxf>
      <numFmt numFmtId="172" formatCode="0.0;\-0.0"/>
    </dxf>
    <dxf>
      <numFmt numFmtId="5" formatCode="#,##0;\-#,##0"/>
    </dxf>
    <dxf>
      <numFmt numFmtId="172" formatCode="0.0;\-0.0"/>
    </dxf>
    <dxf>
      <numFmt numFmtId="3" formatCode="#,##0"/>
    </dxf>
    <dxf>
      <numFmt numFmtId="164" formatCode="0.0"/>
    </dxf>
    <dxf>
      <numFmt numFmtId="164" formatCode="0.0"/>
    </dxf>
    <dxf>
      <numFmt numFmtId="3" formatCode="#,##0"/>
    </dxf>
    <dxf>
      <numFmt numFmtId="5" formatCode="#,##0;\-#,##0"/>
    </dxf>
    <dxf>
      <numFmt numFmtId="172" formatCode="0.0;\-0.0"/>
    </dxf>
    <dxf>
      <numFmt numFmtId="172" formatCode="0.0;\-0.0"/>
    </dxf>
    <dxf>
      <numFmt numFmtId="5" formatCode="#,##0;\-#,##0"/>
    </dxf>
    <dxf>
      <numFmt numFmtId="164" formatCode="0.0"/>
    </dxf>
    <dxf>
      <numFmt numFmtId="3" formatCode="#,##0"/>
    </dxf>
    <dxf>
      <numFmt numFmtId="172" formatCode="0.0;\-0.0"/>
    </dxf>
    <dxf>
      <numFmt numFmtId="172" formatCode="0.0;\-0.0"/>
    </dxf>
    <dxf>
      <numFmt numFmtId="5" formatCode="#,##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5" formatCode="#,##0;\-#,##0"/>
    </dxf>
    <dxf>
      <numFmt numFmtId="172" formatCode="0.0;\-0.0"/>
    </dxf>
    <dxf>
      <numFmt numFmtId="5" formatCode="#,##0;\-#,##0"/>
    </dxf>
    <dxf>
      <numFmt numFmtId="172" formatCode="0.0;\-0.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3" formatCode="#,##0"/>
    </dxf>
    <dxf>
      <numFmt numFmtId="164" formatCode="0.0"/>
    </dxf>
    <dxf>
      <numFmt numFmtId="3" formatCode="#,##0"/>
    </dxf>
    <dxf>
      <numFmt numFmtId="164" formatCode="0.0"/>
    </dxf>
    <dxf>
      <numFmt numFmtId="172" formatCode="0.0;\-0.0"/>
    </dxf>
    <dxf>
      <numFmt numFmtId="5" formatCode="#,##0;\-#,##0"/>
    </dxf>
    <dxf>
      <numFmt numFmtId="5" formatCode="#,##0;\-#,##0"/>
    </dxf>
    <dxf>
      <numFmt numFmtId="172" formatCode="0.0;\-0.0"/>
    </dxf>
    <dxf>
      <numFmt numFmtId="172" formatCode="0.0;\-0.0"/>
    </dxf>
    <dxf>
      <numFmt numFmtId="5" formatCode="#,##0;\-#,##0"/>
    </dxf>
    <dxf>
      <numFmt numFmtId="5" formatCode="#,##0;\-#,##0"/>
    </dxf>
    <dxf>
      <numFmt numFmtId="172" formatCode="0.0;\-0.0"/>
    </dxf>
    <dxf>
      <numFmt numFmtId="172" formatCode="0.0;\-0.0"/>
    </dxf>
    <dxf>
      <numFmt numFmtId="5" formatCode="#,##0;\-#,##0"/>
    </dxf>
    <dxf>
      <numFmt numFmtId="172" formatCode="0.0;\-0.0"/>
    </dxf>
    <dxf>
      <numFmt numFmtId="5" formatCode="#,##0;\-#,##0"/>
    </dxf>
    <dxf>
      <numFmt numFmtId="5" formatCode="#,##0;\-#,##0"/>
    </dxf>
    <dxf>
      <numFmt numFmtId="172" formatCode="0.0;\-0.0"/>
    </dxf>
    <dxf>
      <numFmt numFmtId="5" formatCode="#,##0;\-#,##0"/>
    </dxf>
    <dxf>
      <numFmt numFmtId="172" formatCode="0.0;\-0.0"/>
    </dxf>
    <dxf>
      <numFmt numFmtId="172" formatCode="0.0;\-0.0"/>
    </dxf>
    <dxf>
      <numFmt numFmtId="172" formatCode="0.0;\-0.0"/>
    </dxf>
    <dxf>
      <numFmt numFmtId="5" formatCode="#,##0;\-#,##0"/>
    </dxf>
    <dxf>
      <numFmt numFmtId="5" formatCode="#,##0;\-#,##0"/>
    </dxf>
    <dxf>
      <numFmt numFmtId="172" formatCode="0.0;\-0.0"/>
    </dxf>
    <dxf>
      <numFmt numFmtId="172" formatCode="0.0;\-0.0"/>
    </dxf>
    <dxf>
      <numFmt numFmtId="5" formatCode="#,##0;\-#,##0"/>
    </dxf>
    <dxf>
      <numFmt numFmtId="5" formatCode="#,##0;\-#,##0"/>
    </dxf>
    <dxf>
      <numFmt numFmtId="172" formatCode="0.0;\-0.0"/>
    </dxf>
    <dxf>
      <numFmt numFmtId="5" formatCode="#,##0;\-#,##0"/>
    </dxf>
    <dxf>
      <numFmt numFmtId="5" formatCode="#,##0;\-#,##0"/>
    </dxf>
    <dxf>
      <numFmt numFmtId="172" formatCode="0.0;\-0.0"/>
    </dxf>
    <dxf>
      <numFmt numFmtId="5" formatCode="#,##0;\-#,##0"/>
    </dxf>
    <dxf>
      <numFmt numFmtId="172" formatCode="0.0;\-0.0"/>
    </dxf>
    <dxf>
      <numFmt numFmtId="5" formatCode="#,##0;\-#,##0"/>
    </dxf>
    <dxf>
      <numFmt numFmtId="172" formatCode="0.0;\-0.0"/>
    </dxf>
    <dxf>
      <numFmt numFmtId="3" formatCode="#,##0"/>
    </dxf>
    <dxf>
      <numFmt numFmtId="164" formatCode="0.0"/>
    </dxf>
    <dxf>
      <numFmt numFmtId="3" formatCode="#,##0"/>
    </dxf>
    <dxf>
      <numFmt numFmtId="164" formatCode="0.0"/>
    </dxf>
    <dxf>
      <numFmt numFmtId="164" formatCode="0.0"/>
    </dxf>
    <dxf>
      <numFmt numFmtId="3" formatCode="#,##0"/>
    </dxf>
    <dxf>
      <numFmt numFmtId="164" formatCode="0.0"/>
    </dxf>
    <dxf>
      <numFmt numFmtId="3" formatCode="#,##0"/>
    </dxf>
    <dxf>
      <numFmt numFmtId="3" formatCode="#,##0"/>
    </dxf>
    <dxf>
      <numFmt numFmtId="164" formatCode="0.0"/>
    </dxf>
    <dxf>
      <numFmt numFmtId="164" formatCode="0.0"/>
    </dxf>
    <dxf>
      <numFmt numFmtId="3" formatCode="#,##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172" formatCode="0.0;\-0.0"/>
    </dxf>
    <dxf>
      <numFmt numFmtId="5" formatCode="#,##0;\-#,##0"/>
    </dxf>
    <dxf>
      <numFmt numFmtId="172" formatCode="0.0;\-0.0"/>
    </dxf>
    <dxf>
      <numFmt numFmtId="5" formatCode="#,##0;\-#,##0"/>
    </dxf>
    <dxf>
      <numFmt numFmtId="5" formatCode="#,##0;\-#,##0"/>
    </dxf>
    <dxf>
      <numFmt numFmtId="172" formatCode="0.0;\-0.0"/>
    </dxf>
    <dxf>
      <numFmt numFmtId="5" formatCode="#,##0;\-#,##0"/>
    </dxf>
    <dxf>
      <numFmt numFmtId="172" formatCode="0.0;\-0.0"/>
    </dxf>
    <dxf>
      <numFmt numFmtId="172" formatCode="0.0;\-0.0"/>
    </dxf>
    <dxf>
      <numFmt numFmtId="172" formatCode="0.0;\-0.0"/>
    </dxf>
    <dxf>
      <numFmt numFmtId="5" formatCode="#,##0;\-#,##0"/>
    </dxf>
    <dxf>
      <numFmt numFmtId="5" formatCode="#,##0;\-#,##0"/>
    </dxf>
    <dxf>
      <numFmt numFmtId="5" formatCode="#,##0;\-#,##0"/>
    </dxf>
    <dxf>
      <numFmt numFmtId="5" formatCode="#,##0;\-#,##0"/>
    </dxf>
    <dxf>
      <numFmt numFmtId="172" formatCode="0.0;\-0.0"/>
    </dxf>
    <dxf>
      <numFmt numFmtId="172" formatCode="0.0;\-0.0"/>
    </dxf>
    <dxf>
      <numFmt numFmtId="5" formatCode="#,##0;\-#,##0"/>
    </dxf>
    <dxf>
      <numFmt numFmtId="172" formatCode="0.0;\-0.0"/>
    </dxf>
    <dxf>
      <numFmt numFmtId="172" formatCode="0.0;\-0.0"/>
    </dxf>
    <dxf>
      <numFmt numFmtId="5" formatCode="#,##0;\-#,##0"/>
    </dxf>
    <dxf>
      <numFmt numFmtId="172" formatCode="0.0;\-0.0"/>
    </dxf>
    <dxf>
      <numFmt numFmtId="5" formatCode="#,##0;\-#,##0"/>
    </dxf>
    <dxf>
      <numFmt numFmtId="172" formatCode="0.0;\-0.0"/>
    </dxf>
    <dxf>
      <numFmt numFmtId="5"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1</xdr:row>
      <xdr:rowOff>57150</xdr:rowOff>
    </xdr:from>
    <xdr:to>
      <xdr:col>11</xdr:col>
      <xdr:colOff>107949</xdr:colOff>
      <xdr:row>6</xdr:row>
      <xdr:rowOff>144295</xdr:rowOff>
    </xdr:to>
    <xdr:pic>
      <xdr:nvPicPr>
        <xdr:cNvPr id="4" name="Picture 2" descr="Department of Agriculture, Fisheries and Forestry: ABARES">
          <a:extLst>
            <a:ext uri="{FF2B5EF4-FFF2-40B4-BE49-F238E27FC236}">
              <a16:creationId xmlns:a16="http://schemas.microsoft.com/office/drawing/2014/main" id="{6CC11AE4-C2D6-4F38-B96B-420632F8A9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7700" y="323850"/>
          <a:ext cx="6165849" cy="10396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504825</xdr:colOff>
      <xdr:row>0</xdr:row>
      <xdr:rowOff>66675</xdr:rowOff>
    </xdr:from>
    <xdr:to>
      <xdr:col>6</xdr:col>
      <xdr:colOff>812799</xdr:colOff>
      <xdr:row>6</xdr:row>
      <xdr:rowOff>1420</xdr:rowOff>
    </xdr:to>
    <xdr:pic>
      <xdr:nvPicPr>
        <xdr:cNvPr id="4" name="Picture 2" descr="Department of Agriculture, Fisheries and Forestry: ABARES">
          <a:extLst>
            <a:ext uri="{FF2B5EF4-FFF2-40B4-BE49-F238E27FC236}">
              <a16:creationId xmlns:a16="http://schemas.microsoft.com/office/drawing/2014/main" id="{55D8DABA-229F-4447-AC4E-DBEB1FAF6C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66675"/>
          <a:ext cx="6442074" cy="9920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514350</xdr:colOff>
      <xdr:row>0</xdr:row>
      <xdr:rowOff>66675</xdr:rowOff>
    </xdr:from>
    <xdr:to>
      <xdr:col>8</xdr:col>
      <xdr:colOff>117474</xdr:colOff>
      <xdr:row>5</xdr:row>
      <xdr:rowOff>150645</xdr:rowOff>
    </xdr:to>
    <xdr:pic>
      <xdr:nvPicPr>
        <xdr:cNvPr id="4" name="Picture 2" descr="Department of Agriculture, Fisheries and Forestry: ABARES">
          <a:extLst>
            <a:ext uri="{FF2B5EF4-FFF2-40B4-BE49-F238E27FC236}">
              <a16:creationId xmlns:a16="http://schemas.microsoft.com/office/drawing/2014/main" id="{08B5EA1A-3C30-41DF-B7D4-CFE95F78B2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66675"/>
          <a:ext cx="6480174" cy="9888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495300</xdr:colOff>
      <xdr:row>0</xdr:row>
      <xdr:rowOff>47625</xdr:rowOff>
    </xdr:from>
    <xdr:to>
      <xdr:col>9</xdr:col>
      <xdr:colOff>117474</xdr:colOff>
      <xdr:row>5</xdr:row>
      <xdr:rowOff>131595</xdr:rowOff>
    </xdr:to>
    <xdr:pic>
      <xdr:nvPicPr>
        <xdr:cNvPr id="4" name="Picture 2" descr="Department of Agriculture, Fisheries and Forestry: ABARES">
          <a:extLst>
            <a:ext uri="{FF2B5EF4-FFF2-40B4-BE49-F238E27FC236}">
              <a16:creationId xmlns:a16="http://schemas.microsoft.com/office/drawing/2014/main" id="{5EC8DD05-3D5D-4E9E-B50D-1504E6DFF6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0" y="47625"/>
          <a:ext cx="6451599" cy="98884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495300</xdr:colOff>
      <xdr:row>0</xdr:row>
      <xdr:rowOff>47625</xdr:rowOff>
    </xdr:from>
    <xdr:to>
      <xdr:col>9</xdr:col>
      <xdr:colOff>514349</xdr:colOff>
      <xdr:row>5</xdr:row>
      <xdr:rowOff>131595</xdr:rowOff>
    </xdr:to>
    <xdr:pic>
      <xdr:nvPicPr>
        <xdr:cNvPr id="4" name="Picture 2" descr="Department of Agriculture, Fisheries and Forestry: ABARES">
          <a:extLst>
            <a:ext uri="{FF2B5EF4-FFF2-40B4-BE49-F238E27FC236}">
              <a16:creationId xmlns:a16="http://schemas.microsoft.com/office/drawing/2014/main" id="{9C7668C4-1BAC-4E80-9856-9F4D5087C1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0" y="47625"/>
          <a:ext cx="6457949" cy="9888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504825</xdr:colOff>
      <xdr:row>0</xdr:row>
      <xdr:rowOff>19050</xdr:rowOff>
    </xdr:from>
    <xdr:to>
      <xdr:col>8</xdr:col>
      <xdr:colOff>219074</xdr:colOff>
      <xdr:row>5</xdr:row>
      <xdr:rowOff>103020</xdr:rowOff>
    </xdr:to>
    <xdr:pic>
      <xdr:nvPicPr>
        <xdr:cNvPr id="4" name="Picture 2" descr="Department of Agriculture, Fisheries and Forestry: ABARES">
          <a:extLst>
            <a:ext uri="{FF2B5EF4-FFF2-40B4-BE49-F238E27FC236}">
              <a16:creationId xmlns:a16="http://schemas.microsoft.com/office/drawing/2014/main" id="{F65084D8-9ABB-4EFF-B3AE-E7DF3ED07F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19050"/>
          <a:ext cx="6165849" cy="103964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28575</xdr:rowOff>
    </xdr:from>
    <xdr:to>
      <xdr:col>9</xdr:col>
      <xdr:colOff>104774</xdr:colOff>
      <xdr:row>5</xdr:row>
      <xdr:rowOff>112545</xdr:rowOff>
    </xdr:to>
    <xdr:pic>
      <xdr:nvPicPr>
        <xdr:cNvPr id="4" name="Picture 2" descr="Department of Agriculture, Fisheries and Forestry: ABARES">
          <a:extLst>
            <a:ext uri="{FF2B5EF4-FFF2-40B4-BE49-F238E27FC236}">
              <a16:creationId xmlns:a16="http://schemas.microsoft.com/office/drawing/2014/main" id="{2DE23A42-4C78-4FDE-8624-3BD0605B6E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0" y="28575"/>
          <a:ext cx="6448424" cy="9888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520700</xdr:colOff>
      <xdr:row>0</xdr:row>
      <xdr:rowOff>38100</xdr:rowOff>
    </xdr:from>
    <xdr:to>
      <xdr:col>9</xdr:col>
      <xdr:colOff>79374</xdr:colOff>
      <xdr:row>5</xdr:row>
      <xdr:rowOff>125245</xdr:rowOff>
    </xdr:to>
    <xdr:pic>
      <xdr:nvPicPr>
        <xdr:cNvPr id="4" name="Picture 2" descr="Department of Agriculture, Fisheries and Forestry: ABARES">
          <a:extLst>
            <a:ext uri="{FF2B5EF4-FFF2-40B4-BE49-F238E27FC236}">
              <a16:creationId xmlns:a16="http://schemas.microsoft.com/office/drawing/2014/main" id="{6ABACC25-3819-425C-A6E5-4C031A0B9D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0700" y="38100"/>
          <a:ext cx="6454774" cy="9888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492125</xdr:colOff>
      <xdr:row>0</xdr:row>
      <xdr:rowOff>44450</xdr:rowOff>
    </xdr:from>
    <xdr:to>
      <xdr:col>8</xdr:col>
      <xdr:colOff>504824</xdr:colOff>
      <xdr:row>5</xdr:row>
      <xdr:rowOff>131595</xdr:rowOff>
    </xdr:to>
    <xdr:pic>
      <xdr:nvPicPr>
        <xdr:cNvPr id="4" name="Picture 2" descr="Department of Agriculture, Fisheries and Forestry: ABARES">
          <a:extLst>
            <a:ext uri="{FF2B5EF4-FFF2-40B4-BE49-F238E27FC236}">
              <a16:creationId xmlns:a16="http://schemas.microsoft.com/office/drawing/2014/main" id="{674C2EF9-8420-429F-A88D-24C4589141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2125" y="44450"/>
          <a:ext cx="6461124" cy="9920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520700</xdr:colOff>
      <xdr:row>0</xdr:row>
      <xdr:rowOff>34925</xdr:rowOff>
    </xdr:from>
    <xdr:to>
      <xdr:col>9</xdr:col>
      <xdr:colOff>155574</xdr:colOff>
      <xdr:row>5</xdr:row>
      <xdr:rowOff>125245</xdr:rowOff>
    </xdr:to>
    <xdr:pic>
      <xdr:nvPicPr>
        <xdr:cNvPr id="4" name="Picture 2" descr="Department of Agriculture, Fisheries and Forestry: ABARES">
          <a:extLst>
            <a:ext uri="{FF2B5EF4-FFF2-40B4-BE49-F238E27FC236}">
              <a16:creationId xmlns:a16="http://schemas.microsoft.com/office/drawing/2014/main" id="{2EB5D54E-4DFC-446E-93DF-3CAE75653A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0700" y="34925"/>
          <a:ext cx="6445249" cy="99519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504825</xdr:colOff>
      <xdr:row>0</xdr:row>
      <xdr:rowOff>28575</xdr:rowOff>
    </xdr:from>
    <xdr:to>
      <xdr:col>9</xdr:col>
      <xdr:colOff>3174</xdr:colOff>
      <xdr:row>5</xdr:row>
      <xdr:rowOff>112545</xdr:rowOff>
    </xdr:to>
    <xdr:pic>
      <xdr:nvPicPr>
        <xdr:cNvPr id="4" name="Picture 2" descr="Department of Agriculture, Fisheries and Forestry: ABARES">
          <a:extLst>
            <a:ext uri="{FF2B5EF4-FFF2-40B4-BE49-F238E27FC236}">
              <a16:creationId xmlns:a16="http://schemas.microsoft.com/office/drawing/2014/main" id="{1C710FCB-E2B2-44DE-9F90-DCCE3D673D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28575"/>
          <a:ext cx="6442074" cy="98884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520700</xdr:colOff>
      <xdr:row>0</xdr:row>
      <xdr:rowOff>47625</xdr:rowOff>
    </xdr:from>
    <xdr:to>
      <xdr:col>8</xdr:col>
      <xdr:colOff>593724</xdr:colOff>
      <xdr:row>5</xdr:row>
      <xdr:rowOff>131595</xdr:rowOff>
    </xdr:to>
    <xdr:pic>
      <xdr:nvPicPr>
        <xdr:cNvPr id="4" name="Picture 2" descr="Department of Agriculture, Fisheries and Forestry: ABARES">
          <a:extLst>
            <a:ext uri="{FF2B5EF4-FFF2-40B4-BE49-F238E27FC236}">
              <a16:creationId xmlns:a16="http://schemas.microsoft.com/office/drawing/2014/main" id="{A9B27A0A-B256-4C5F-8E8E-33246468C8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0700" y="47625"/>
          <a:ext cx="6454774" cy="98884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485043</xdr:colOff>
      <xdr:row>0</xdr:row>
      <xdr:rowOff>0</xdr:rowOff>
    </xdr:from>
    <xdr:to>
      <xdr:col>8</xdr:col>
      <xdr:colOff>278667</xdr:colOff>
      <xdr:row>5</xdr:row>
      <xdr:rowOff>81329</xdr:rowOff>
    </xdr:to>
    <xdr:pic>
      <xdr:nvPicPr>
        <xdr:cNvPr id="4" name="Picture 2" descr="Department of Agriculture, Fisheries and Forestry: ABARES">
          <a:extLst>
            <a:ext uri="{FF2B5EF4-FFF2-40B4-BE49-F238E27FC236}">
              <a16:creationId xmlns:a16="http://schemas.microsoft.com/office/drawing/2014/main" id="{D9B8BC45-6510-49C0-B344-5F544E868B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043" y="0"/>
          <a:ext cx="6146066" cy="10338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504825</xdr:colOff>
      <xdr:row>0</xdr:row>
      <xdr:rowOff>19050</xdr:rowOff>
    </xdr:from>
    <xdr:to>
      <xdr:col>7</xdr:col>
      <xdr:colOff>365124</xdr:colOff>
      <xdr:row>5</xdr:row>
      <xdr:rowOff>106195</xdr:rowOff>
    </xdr:to>
    <xdr:pic>
      <xdr:nvPicPr>
        <xdr:cNvPr id="4" name="Picture 2" descr="Department of Agriculture, Fisheries and Forestry: ABARES">
          <a:extLst>
            <a:ext uri="{FF2B5EF4-FFF2-40B4-BE49-F238E27FC236}">
              <a16:creationId xmlns:a16="http://schemas.microsoft.com/office/drawing/2014/main" id="{D7AC435A-C259-4630-9749-526569515E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19050"/>
          <a:ext cx="6442074" cy="99202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523875</xdr:colOff>
      <xdr:row>0</xdr:row>
      <xdr:rowOff>0</xdr:rowOff>
    </xdr:from>
    <xdr:to>
      <xdr:col>8</xdr:col>
      <xdr:colOff>365124</xdr:colOff>
      <xdr:row>5</xdr:row>
      <xdr:rowOff>87145</xdr:rowOff>
    </xdr:to>
    <xdr:pic>
      <xdr:nvPicPr>
        <xdr:cNvPr id="4" name="Picture 2" descr="Department of Agriculture, Fisheries and Forestry: ABARES">
          <a:extLst>
            <a:ext uri="{FF2B5EF4-FFF2-40B4-BE49-F238E27FC236}">
              <a16:creationId xmlns:a16="http://schemas.microsoft.com/office/drawing/2014/main" id="{90DB5461-DEA7-42E2-8557-79D585F79A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3875" y="0"/>
          <a:ext cx="6423024" cy="98884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492125</xdr:colOff>
      <xdr:row>0</xdr:row>
      <xdr:rowOff>19050</xdr:rowOff>
    </xdr:from>
    <xdr:to>
      <xdr:col>7</xdr:col>
      <xdr:colOff>400422</xdr:colOff>
      <xdr:row>5</xdr:row>
      <xdr:rowOff>106195</xdr:rowOff>
    </xdr:to>
    <xdr:pic>
      <xdr:nvPicPr>
        <xdr:cNvPr id="4" name="Picture 2" descr="Department of Agriculture, Fisheries and Forestry: ABARES">
          <a:extLst>
            <a:ext uri="{FF2B5EF4-FFF2-40B4-BE49-F238E27FC236}">
              <a16:creationId xmlns:a16="http://schemas.microsoft.com/office/drawing/2014/main" id="{D1B0B928-153E-420D-8353-0EED493431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2125" y="19050"/>
          <a:ext cx="6426199" cy="99202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504825</xdr:colOff>
      <xdr:row>0</xdr:row>
      <xdr:rowOff>38100</xdr:rowOff>
    </xdr:from>
    <xdr:to>
      <xdr:col>8</xdr:col>
      <xdr:colOff>571499</xdr:colOff>
      <xdr:row>5</xdr:row>
      <xdr:rowOff>122070</xdr:rowOff>
    </xdr:to>
    <xdr:pic>
      <xdr:nvPicPr>
        <xdr:cNvPr id="4" name="Picture 2" descr="Department of Agriculture, Fisheries and Forestry: ABARES">
          <a:extLst>
            <a:ext uri="{FF2B5EF4-FFF2-40B4-BE49-F238E27FC236}">
              <a16:creationId xmlns:a16="http://schemas.microsoft.com/office/drawing/2014/main" id="{D58B2DE8-26F8-4CD8-9C3E-444CA3D01E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38100"/>
          <a:ext cx="6448424" cy="98884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523875</xdr:colOff>
      <xdr:row>0</xdr:row>
      <xdr:rowOff>0</xdr:rowOff>
    </xdr:from>
    <xdr:to>
      <xdr:col>9</xdr:col>
      <xdr:colOff>514349</xdr:colOff>
      <xdr:row>5</xdr:row>
      <xdr:rowOff>87145</xdr:rowOff>
    </xdr:to>
    <xdr:pic>
      <xdr:nvPicPr>
        <xdr:cNvPr id="4" name="Picture 2" descr="Department of Agriculture, Fisheries and Forestry: ABARES">
          <a:extLst>
            <a:ext uri="{FF2B5EF4-FFF2-40B4-BE49-F238E27FC236}">
              <a16:creationId xmlns:a16="http://schemas.microsoft.com/office/drawing/2014/main" id="{592D83CD-0C24-42EB-AAB9-D7397F98DF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3875" y="0"/>
          <a:ext cx="6457949" cy="99202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523876</xdr:colOff>
      <xdr:row>0</xdr:row>
      <xdr:rowOff>25402</xdr:rowOff>
    </xdr:from>
    <xdr:to>
      <xdr:col>7</xdr:col>
      <xdr:colOff>47625</xdr:colOff>
      <xdr:row>5</xdr:row>
      <xdr:rowOff>160172</xdr:rowOff>
    </xdr:to>
    <xdr:pic>
      <xdr:nvPicPr>
        <xdr:cNvPr id="2" name="Picture 1" descr="Department of Agriculture, Fisheries and Forestry: ABARES">
          <a:extLst>
            <a:ext uri="{FF2B5EF4-FFF2-40B4-BE49-F238E27FC236}">
              <a16:creationId xmlns:a16="http://schemas.microsoft.com/office/drawing/2014/main" id="{B795ADCA-6273-4935-9406-B896D51A73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3876" y="25402"/>
          <a:ext cx="6172199" cy="103964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511175</xdr:colOff>
      <xdr:row>0</xdr:row>
      <xdr:rowOff>47625</xdr:rowOff>
    </xdr:from>
    <xdr:to>
      <xdr:col>8</xdr:col>
      <xdr:colOff>193674</xdr:colOff>
      <xdr:row>5</xdr:row>
      <xdr:rowOff>134770</xdr:rowOff>
    </xdr:to>
    <xdr:pic>
      <xdr:nvPicPr>
        <xdr:cNvPr id="2" name="Picture 2" descr="Department of Agriculture, Fisheries and Forestry: ABARES">
          <a:extLst>
            <a:ext uri="{FF2B5EF4-FFF2-40B4-BE49-F238E27FC236}">
              <a16:creationId xmlns:a16="http://schemas.microsoft.com/office/drawing/2014/main" id="{3BCB77BC-C70E-45FD-8D0A-D5863A029D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175" y="47625"/>
          <a:ext cx="6445249" cy="9920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eptagriculture.sharepoint.com/teams/msteams_d8ab90_319739/Shared%20Documents/ABARES%20DTP/Projects/CaTS/Business%20Analysis%20Documentation/Reporting/Fisheries%20FH%20mapping/18.%20ConsumptionSeafood.xlsx" TargetMode="External"/><Relationship Id="rId1" Type="http://schemas.openxmlformats.org/officeDocument/2006/relationships/externalLinkPath" Target="https://deptagriculture.sharepoint.com/teams/msteams_d8ab90_319739/Shared%20Documents/ABARES%20DTP/Projects/CaTS/Business%20Analysis%20Documentation/Reporting/Fisheries%20FH%20mapping/18.%20ConsumptionSeafoo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TS DATADUMP FROM CHECK SHEET"/>
      <sheetName val="Conversion_Rates"/>
      <sheetName val="WC"/>
      <sheetName val="Aquaculture"/>
      <sheetName val="Imports"/>
      <sheetName val="Exports"/>
      <sheetName val="Consumption"/>
      <sheetName val="Cons_Comparison"/>
      <sheetName val="Cons_summary"/>
      <sheetName val="Meat"/>
      <sheetName val="CPI"/>
      <sheetName val="Infographics_data"/>
      <sheetName val="AFAS_T17"/>
    </sheetNames>
    <sheetDataSet>
      <sheetData sheetId="0" refreshError="1"/>
      <sheetData sheetId="1" refreshError="1"/>
      <sheetData sheetId="2" refreshError="1"/>
      <sheetData sheetId="3" refreshError="1"/>
      <sheetData sheetId="4">
        <row r="4">
          <cell r="E4">
            <v>132396.269</v>
          </cell>
          <cell r="F4">
            <v>139062.16</v>
          </cell>
          <cell r="G4">
            <v>143737.73199999999</v>
          </cell>
          <cell r="H4">
            <v>146053.50099999999</v>
          </cell>
          <cell r="I4">
            <v>164440.24900000001</v>
          </cell>
          <cell r="J4">
            <v>187835.91</v>
          </cell>
          <cell r="K4">
            <v>186214.65900000001</v>
          </cell>
          <cell r="L4">
            <v>188311.58799999999</v>
          </cell>
          <cell r="M4">
            <v>198423.921</v>
          </cell>
          <cell r="N4">
            <v>198273.103</v>
          </cell>
          <cell r="O4">
            <v>193312.10399999999</v>
          </cell>
          <cell r="P4">
            <v>207439.13200000001</v>
          </cell>
          <cell r="Q4">
            <v>211779.30499999999</v>
          </cell>
          <cell r="R4">
            <v>214244.06</v>
          </cell>
          <cell r="S4">
            <v>228390.98</v>
          </cell>
          <cell r="T4">
            <v>237510.6</v>
          </cell>
          <cell r="U4">
            <v>227612.29</v>
          </cell>
          <cell r="V4">
            <v>222778.21100000001</v>
          </cell>
          <cell r="W4">
            <v>226385.84700000001</v>
          </cell>
          <cell r="X4">
            <v>221588.897</v>
          </cell>
          <cell r="Y4">
            <v>221465.87</v>
          </cell>
          <cell r="Z4">
            <v>207047.32127700001</v>
          </cell>
          <cell r="AA4">
            <v>222290.086163</v>
          </cell>
          <cell r="AB4">
            <v>225805.99312699999</v>
          </cell>
          <cell r="AC4">
            <v>230560.108056</v>
          </cell>
          <cell r="AD4">
            <v>215230.913975</v>
          </cell>
        </row>
      </sheetData>
      <sheetData sheetId="5">
        <row r="4">
          <cell r="E4">
            <v>61686.578999999998</v>
          </cell>
        </row>
      </sheetData>
      <sheetData sheetId="6" refreshError="1"/>
      <sheetData sheetId="7" refreshError="1"/>
      <sheetData sheetId="8">
        <row r="8">
          <cell r="C8">
            <v>168467.17285999999</v>
          </cell>
          <cell r="D8">
            <v>167242.88668999998</v>
          </cell>
          <cell r="E8">
            <v>171172.45632999999</v>
          </cell>
          <cell r="F8">
            <v>169108.054</v>
          </cell>
          <cell r="G8">
            <v>172176.33094999997</v>
          </cell>
          <cell r="H8">
            <v>181880.75909999997</v>
          </cell>
          <cell r="I8">
            <v>176713.06910000002</v>
          </cell>
          <cell r="J8">
            <v>164353.02434999999</v>
          </cell>
          <cell r="K8">
            <v>164515.8964</v>
          </cell>
          <cell r="L8">
            <v>162705.70170000001</v>
          </cell>
          <cell r="M8">
            <v>161655.75464999999</v>
          </cell>
          <cell r="N8">
            <v>159848.47355000002</v>
          </cell>
          <cell r="O8">
            <v>158193.93095000001</v>
          </cell>
          <cell r="P8">
            <v>150607.24764999998</v>
          </cell>
          <cell r="Q8">
            <v>151267.71805</v>
          </cell>
          <cell r="R8">
            <v>148368.48294999998</v>
          </cell>
          <cell r="S8">
            <v>155917.79799999998</v>
          </cell>
          <cell r="T8">
            <v>169650.38140000001</v>
          </cell>
          <cell r="U8">
            <v>167490.32034999999</v>
          </cell>
          <cell r="V8">
            <v>170474.7169</v>
          </cell>
          <cell r="W8">
            <v>176649.46273999999</v>
          </cell>
          <cell r="X8">
            <v>176667.34331</v>
          </cell>
          <cell r="Y8">
            <v>196417.04810000001</v>
          </cell>
          <cell r="Z8">
            <v>193321.49460000001</v>
          </cell>
          <cell r="AA8">
            <v>197346.03835000002</v>
          </cell>
          <cell r="AB8">
            <v>188455.09330000001</v>
          </cell>
        </row>
        <row r="11">
          <cell r="C11">
            <v>239176.86286000002</v>
          </cell>
          <cell r="D11">
            <v>241463.39768999998</v>
          </cell>
          <cell r="E11">
            <v>248514.88632999998</v>
          </cell>
          <cell r="F11">
            <v>249231.37299999999</v>
          </cell>
          <cell r="G11">
            <v>274872.93894999998</v>
          </cell>
          <cell r="H11">
            <v>309877.22809999995</v>
          </cell>
          <cell r="I11">
            <v>304579.97510000004</v>
          </cell>
          <cell r="J11">
            <v>299379.23434999993</v>
          </cell>
          <cell r="K11">
            <v>313853.60940000002</v>
          </cell>
          <cell r="L11">
            <v>315946.74669999996</v>
          </cell>
          <cell r="M11">
            <v>306990.86564999993</v>
          </cell>
          <cell r="N11">
            <v>326391.43955000001</v>
          </cell>
          <cell r="O11">
            <v>327610.27095000003</v>
          </cell>
          <cell r="P11">
            <v>324390.14564999996</v>
          </cell>
          <cell r="Q11">
            <v>344355.01805000001</v>
          </cell>
          <cell r="R11">
            <v>346975.24194999994</v>
          </cell>
          <cell r="S11">
            <v>340269.14500000002</v>
          </cell>
          <cell r="T11">
            <v>330373.76940000005</v>
          </cell>
          <cell r="U11">
            <v>342505.06235000002</v>
          </cell>
          <cell r="V11">
            <v>341322.13890000002</v>
          </cell>
          <cell r="W11">
            <v>352352.92573999998</v>
          </cell>
          <cell r="X11">
            <v>327800.95107700001</v>
          </cell>
          <cell r="Y11">
            <v>355746.738923</v>
          </cell>
          <cell r="Z11">
            <v>360434.80694700003</v>
          </cell>
          <cell r="AA11">
            <v>377101.64311599999</v>
          </cell>
          <cell r="AB11">
            <v>352394.93526499998</v>
          </cell>
        </row>
        <row r="68">
          <cell r="C68">
            <v>0.79653639774564089</v>
          </cell>
          <cell r="D68">
            <v>0.91331520502446784</v>
          </cell>
          <cell r="E68">
            <v>1.1209056057471394</v>
          </cell>
          <cell r="F68">
            <v>1.0122458696264365</v>
          </cell>
          <cell r="G68">
            <v>1.0740753350141021</v>
          </cell>
          <cell r="H68">
            <v>1.1836842052982026</v>
          </cell>
          <cell r="I68">
            <v>1.1302890878276108</v>
          </cell>
          <cell r="J68">
            <v>1.2568588300425516</v>
          </cell>
          <cell r="K68">
            <v>1.5093463286399185</v>
          </cell>
          <cell r="L68">
            <v>1.2890729669386596</v>
          </cell>
          <cell r="M68">
            <v>1.2779681105907423</v>
          </cell>
          <cell r="N68">
            <v>1.3926625165953683</v>
          </cell>
          <cell r="O68">
            <v>1.4456294406845758</v>
          </cell>
          <cell r="P68">
            <v>1.7099860998086527</v>
          </cell>
          <cell r="Q68">
            <v>1.8558230369607498</v>
          </cell>
          <cell r="R68">
            <v>1.9197171575731591</v>
          </cell>
          <cell r="S68">
            <v>2.0612541697292088</v>
          </cell>
          <cell r="T68">
            <v>2.1061830298467106</v>
          </cell>
          <cell r="U68">
            <v>2.0660644909444303</v>
          </cell>
          <cell r="V68">
            <v>2.0182741384352232</v>
          </cell>
          <cell r="W68">
            <v>1.9800283337543616</v>
          </cell>
          <cell r="X68">
            <v>1.9533658132979184</v>
          </cell>
          <cell r="Y68">
            <v>2.121604503764785</v>
          </cell>
          <cell r="Z68">
            <v>1.7353225891793784</v>
          </cell>
          <cell r="AA68">
            <v>1.8454280889444934</v>
          </cell>
          <cell r="AB68">
            <v>1.5838957034273808</v>
          </cell>
        </row>
        <row r="69">
          <cell r="C69">
            <v>1.6199190379212198</v>
          </cell>
          <cell r="D69">
            <v>1.173185006602097</v>
          </cell>
          <cell r="E69">
            <v>1.3159234791761487</v>
          </cell>
          <cell r="F69">
            <v>1.4265048491398655</v>
          </cell>
          <cell r="G69">
            <v>1.8205425791135494</v>
          </cell>
          <cell r="H69">
            <v>2.4975591592558208</v>
          </cell>
          <cell r="I69">
            <v>1.9490862297393987</v>
          </cell>
          <cell r="J69">
            <v>1.8876802885496948</v>
          </cell>
          <cell r="K69">
            <v>1.7893414524231326</v>
          </cell>
          <cell r="L69">
            <v>1.9535277165035727</v>
          </cell>
          <cell r="M69">
            <v>1.8884726028025618</v>
          </cell>
          <cell r="N69">
            <v>1.8993705447819624</v>
          </cell>
          <cell r="O69">
            <v>2.1413747988811469</v>
          </cell>
          <cell r="P69">
            <v>1.8995874810301976</v>
          </cell>
          <cell r="Q69">
            <v>2.1359577335460211</v>
          </cell>
          <cell r="R69">
            <v>2.1843009742079533</v>
          </cell>
          <cell r="S69">
            <v>2.1177210106065272</v>
          </cell>
          <cell r="T69">
            <v>1.8972632237393996</v>
          </cell>
          <cell r="U69">
            <v>2.0336496181778259</v>
          </cell>
          <cell r="V69">
            <v>1.901043579975404</v>
          </cell>
          <cell r="W69">
            <v>1.9199136342106509</v>
          </cell>
          <cell r="X69">
            <v>1.8711714768011911</v>
          </cell>
          <cell r="Y69">
            <v>1.6547362485692261</v>
          </cell>
          <cell r="Z69">
            <v>1.7356807970607793</v>
          </cell>
          <cell r="AA69">
            <v>1.8063264026962329</v>
          </cell>
          <cell r="AB69">
            <v>1.671334793424833</v>
          </cell>
        </row>
        <row r="70">
          <cell r="C70">
            <v>1.861256943874485</v>
          </cell>
          <cell r="D70">
            <v>1.6246628663223259</v>
          </cell>
          <cell r="E70">
            <v>1.7448700760649931</v>
          </cell>
          <cell r="F70">
            <v>1.8002399563790288</v>
          </cell>
          <cell r="G70">
            <v>1.7799433155059059</v>
          </cell>
          <cell r="H70">
            <v>2.1409060438408769</v>
          </cell>
          <cell r="I70">
            <v>2.1445651758025193</v>
          </cell>
          <cell r="J70">
            <v>2.2133797982941248</v>
          </cell>
          <cell r="K70">
            <v>2.3194610983433441</v>
          </cell>
          <cell r="L70">
            <v>2.247014440403142</v>
          </cell>
          <cell r="M70">
            <v>2.1261753541788635</v>
          </cell>
          <cell r="N70">
            <v>2.5923797701045088</v>
          </cell>
          <cell r="O70">
            <v>2.3890302445512139</v>
          </cell>
          <cell r="P70">
            <v>2.4050035410297577</v>
          </cell>
          <cell r="Q70">
            <v>2.2532405453117286</v>
          </cell>
          <cell r="R70">
            <v>2.4127034668976237</v>
          </cell>
          <cell r="S70">
            <v>2.1565198094809808</v>
          </cell>
          <cell r="T70">
            <v>2.0581217975828685</v>
          </cell>
          <cell r="U70">
            <v>2.0477343997787951</v>
          </cell>
          <cell r="V70">
            <v>2.1078547708035398</v>
          </cell>
          <cell r="W70">
            <v>2.0011752688002269</v>
          </cell>
          <cell r="X70">
            <v>1.764313657889697</v>
          </cell>
          <cell r="Y70">
            <v>2.1144540653445145</v>
          </cell>
          <cell r="Z70">
            <v>2.1336983744699003</v>
          </cell>
          <cell r="AA70">
            <v>2.0552215920493473</v>
          </cell>
          <cell r="AB70">
            <v>2.105280865637646</v>
          </cell>
        </row>
        <row r="71">
          <cell r="C71">
            <v>0.49462696249638005</v>
          </cell>
          <cell r="D71">
            <v>0.54204894243999169</v>
          </cell>
          <cell r="E71">
            <v>0.51414265777715562</v>
          </cell>
          <cell r="F71">
            <v>0.54567357827897223</v>
          </cell>
          <cell r="G71">
            <v>0.56617468201112353</v>
          </cell>
          <cell r="H71">
            <v>0.66829442561833763</v>
          </cell>
          <cell r="I71">
            <v>0.62341459348151773</v>
          </cell>
          <cell r="J71">
            <v>0.61332369336490022</v>
          </cell>
          <cell r="K71">
            <v>0.7661735938937243</v>
          </cell>
          <cell r="L71">
            <v>0.66044160064574664</v>
          </cell>
          <cell r="M71">
            <v>0.67729785277313814</v>
          </cell>
          <cell r="N71">
            <v>0.70068900563958836</v>
          </cell>
          <cell r="O71">
            <v>0.63175984842272326</v>
          </cell>
          <cell r="P71">
            <v>0.56336739833285687</v>
          </cell>
          <cell r="Q71">
            <v>0.53638330320623862</v>
          </cell>
          <cell r="R71">
            <v>0.49436831281522514</v>
          </cell>
          <cell r="S71">
            <v>0.45705669572067004</v>
          </cell>
          <cell r="T71">
            <v>0.47310596374083869</v>
          </cell>
          <cell r="U71">
            <v>0.49156241836975351</v>
          </cell>
          <cell r="V71">
            <v>0.37040237668897946</v>
          </cell>
          <cell r="W71">
            <v>0.36780992666214057</v>
          </cell>
          <cell r="X71">
            <v>0.36232944763136909</v>
          </cell>
          <cell r="Y71">
            <v>0.45108514019637613</v>
          </cell>
          <cell r="Z71">
            <v>0.46659643448750321</v>
          </cell>
          <cell r="AA71">
            <v>0.49070800453114971</v>
          </cell>
          <cell r="AB71">
            <v>0.46479387317625609</v>
          </cell>
        </row>
        <row r="72">
          <cell r="C72">
            <v>0.38196306409478414</v>
          </cell>
          <cell r="D72">
            <v>0.63681071462092054</v>
          </cell>
          <cell r="E72">
            <v>0.461574734674224</v>
          </cell>
          <cell r="F72">
            <v>0.30043164449113402</v>
          </cell>
          <cell r="G72">
            <v>0.53168200559644396</v>
          </cell>
          <cell r="H72">
            <v>0.50169856379876265</v>
          </cell>
          <cell r="I72">
            <v>0.82423445410986984</v>
          </cell>
          <cell r="J72">
            <v>0.48668234057990217</v>
          </cell>
          <cell r="K72">
            <v>0.56354705304330943</v>
          </cell>
          <cell r="L72">
            <v>0.54738063302997919</v>
          </cell>
          <cell r="M72">
            <v>0.39792605939252307</v>
          </cell>
          <cell r="N72">
            <v>0.4234988596003495</v>
          </cell>
          <cell r="O72">
            <v>0.40182732122400583</v>
          </cell>
          <cell r="P72">
            <v>0.26737585501572569</v>
          </cell>
          <cell r="Q72">
            <v>0.40879908616905419</v>
          </cell>
          <cell r="R72">
            <v>0.31213784338400169</v>
          </cell>
          <cell r="S72">
            <v>0.28929192334815318</v>
          </cell>
          <cell r="T72">
            <v>0.30059108573316412</v>
          </cell>
          <cell r="U72">
            <v>0.3549059473174857</v>
          </cell>
          <cell r="V72">
            <v>0.38882295209367362</v>
          </cell>
          <cell r="W72">
            <v>0.3216823499692123</v>
          </cell>
          <cell r="X72">
            <v>0.32834071731849601</v>
          </cell>
          <cell r="Y72">
            <v>0.33698713677809189</v>
          </cell>
          <cell r="Z72">
            <v>0.27136587162310183</v>
          </cell>
          <cell r="AA72">
            <v>0.24955222674503652</v>
          </cell>
          <cell r="AB72">
            <v>0.26578665237807386</v>
          </cell>
        </row>
        <row r="73">
          <cell r="C73">
            <v>0.24286959825781723</v>
          </cell>
          <cell r="D73">
            <v>0.26667606294920709</v>
          </cell>
          <cell r="E73">
            <v>0.18566275035861779</v>
          </cell>
          <cell r="F73">
            <v>0.18034106839577518</v>
          </cell>
          <cell r="G73">
            <v>0.28105354277581007</v>
          </cell>
          <cell r="H73">
            <v>0.31813798436560742</v>
          </cell>
          <cell r="I73">
            <v>0.28371017786527974</v>
          </cell>
          <cell r="J73">
            <v>0.20545410911152073</v>
          </cell>
          <cell r="K73">
            <v>0.19891930053272519</v>
          </cell>
          <cell r="L73">
            <v>0.24390735857855156</v>
          </cell>
          <cell r="M73">
            <v>0.12113332257343415</v>
          </cell>
          <cell r="N73">
            <v>0.1178141545723785</v>
          </cell>
          <cell r="O73">
            <v>0.14819863219484455</v>
          </cell>
          <cell r="P73">
            <v>0.11447784107154639</v>
          </cell>
          <cell r="Q73">
            <v>0.11960582717261742</v>
          </cell>
          <cell r="R73">
            <v>0.12435236184365389</v>
          </cell>
          <cell r="S73">
            <v>0.11146340935996993</v>
          </cell>
          <cell r="T73">
            <v>9.7990827710593906E-2</v>
          </cell>
          <cell r="U73">
            <v>0.10846657124500866</v>
          </cell>
          <cell r="V73">
            <v>9.4493997187871853E-2</v>
          </cell>
          <cell r="W73">
            <v>8.5068795885501314E-2</v>
          </cell>
          <cell r="X73">
            <v>8.369934175068211E-2</v>
          </cell>
          <cell r="Y73">
            <v>0.18167608952946029</v>
          </cell>
          <cell r="Z73">
            <v>0.16539271125070509</v>
          </cell>
          <cell r="AA73">
            <v>0.19222128302110211</v>
          </cell>
          <cell r="AB73">
            <v>0.17426446122046124</v>
          </cell>
        </row>
        <row r="74">
          <cell r="C74">
            <v>0.22594037591647667</v>
          </cell>
          <cell r="D74">
            <v>0.28140636494089322</v>
          </cell>
          <cell r="E74">
            <v>0.29512094636383718</v>
          </cell>
          <cell r="F74">
            <v>0.28301752071406261</v>
          </cell>
          <cell r="G74">
            <v>0.29766722207187285</v>
          </cell>
          <cell r="H74">
            <v>0.31728300831165962</v>
          </cell>
          <cell r="I74">
            <v>0.28041729420121408</v>
          </cell>
          <cell r="J74">
            <v>0.27064477052086439</v>
          </cell>
          <cell r="K74">
            <v>0.27340802516965207</v>
          </cell>
          <cell r="L74">
            <v>0.26452738289099742</v>
          </cell>
          <cell r="M74">
            <v>0.22910812744422934</v>
          </cell>
          <cell r="N74">
            <v>0.24634820202662067</v>
          </cell>
          <cell r="O74">
            <v>0.27687177059433776</v>
          </cell>
          <cell r="P74">
            <v>0.25007486748630869</v>
          </cell>
          <cell r="Q74">
            <v>0.24859671960494514</v>
          </cell>
          <cell r="R74">
            <v>0.28226736377373596</v>
          </cell>
          <cell r="S74">
            <v>0.27025614508232804</v>
          </cell>
          <cell r="T74">
            <v>0.24812666180726506</v>
          </cell>
          <cell r="U74">
            <v>0.23824418727584717</v>
          </cell>
          <cell r="V74">
            <v>0.22883669226424391</v>
          </cell>
          <cell r="W74">
            <v>0.21909548328780964</v>
          </cell>
          <cell r="X74">
            <v>0.19738421804803011</v>
          </cell>
          <cell r="Y74">
            <v>0.18126782880546924</v>
          </cell>
          <cell r="Z74">
            <v>0.18315913151627483</v>
          </cell>
          <cell r="AA74">
            <v>0.20027279984603233</v>
          </cell>
          <cell r="AB74">
            <v>0.1753216938961373</v>
          </cell>
        </row>
        <row r="75">
          <cell r="C75">
            <v>7.0907673983312174</v>
          </cell>
          <cell r="D75">
            <v>7.2512589752103143</v>
          </cell>
          <cell r="E75">
            <v>7.2551196685230028</v>
          </cell>
          <cell r="F75">
            <v>7.2357818971942329</v>
          </cell>
          <cell r="G75">
            <v>7.5871304074487682</v>
          </cell>
          <cell r="H75">
            <v>7.9185937324566087</v>
          </cell>
          <cell r="I75">
            <v>7.8598041249662254</v>
          </cell>
          <cell r="J75">
            <v>7.7048560322284994</v>
          </cell>
          <cell r="K75">
            <v>7.6489075036986947</v>
          </cell>
          <cell r="L75">
            <v>7.6627705590220101</v>
          </cell>
          <cell r="M75">
            <v>7.4344068868333801</v>
          </cell>
          <cell r="N75">
            <v>7.4418313184381644</v>
          </cell>
          <cell r="O75">
            <v>7.2300312646933609</v>
          </cell>
          <cell r="P75">
            <v>7.0593835485077072</v>
          </cell>
          <cell r="Q75">
            <v>7.3306069513880683</v>
          </cell>
          <cell r="R75">
            <v>7.050348589174348</v>
          </cell>
          <cell r="S75">
            <v>6.8238577485425242</v>
          </cell>
          <cell r="T75">
            <v>6.4755575733477064</v>
          </cell>
          <cell r="U75">
            <v>6.5865318518578766</v>
          </cell>
          <cell r="V75">
            <v>6.563228950098746</v>
          </cell>
          <cell r="W75">
            <v>7.0130891366815584</v>
          </cell>
          <cell r="X75">
            <v>6.2195341865773219</v>
          </cell>
          <cell r="Y75">
            <v>6.8083427289432885</v>
          </cell>
          <cell r="Z75">
            <v>7.1616978388701975</v>
          </cell>
          <cell r="AA75">
            <v>7.3051704876162873</v>
          </cell>
          <cell r="AB75">
            <v>6.5165424851734279</v>
          </cell>
        </row>
        <row r="76">
          <cell r="C76">
            <v>12.713879778638022</v>
          </cell>
          <cell r="D76">
            <v>12.689364138110218</v>
          </cell>
          <cell r="E76">
            <v>12.893319918685119</v>
          </cell>
          <cell r="F76">
            <v>12.784236384219508</v>
          </cell>
          <cell r="G76">
            <v>13.938269089537576</v>
          </cell>
          <cell r="H76">
            <v>15.546157122945877</v>
          </cell>
          <cell r="I76">
            <v>15.095521137993636</v>
          </cell>
          <cell r="J76">
            <v>14.638879862692058</v>
          </cell>
          <cell r="K76">
            <v>15.0691043557445</v>
          </cell>
          <cell r="L76">
            <v>14.868642658012659</v>
          </cell>
          <cell r="M76">
            <v>14.152488316588872</v>
          </cell>
          <cell r="N76">
            <v>14.81459437175894</v>
          </cell>
          <cell r="O76">
            <v>14.664723321246209</v>
          </cell>
          <cell r="P76">
            <v>14.269256632282753</v>
          </cell>
          <cell r="Q76">
            <v>14.889013203359424</v>
          </cell>
          <cell r="R76">
            <v>14.780196069669699</v>
          </cell>
          <cell r="S76">
            <v>14.287420911870361</v>
          </cell>
          <cell r="T76">
            <v>13.656940163508548</v>
          </cell>
          <cell r="U76">
            <v>13.927159484967023</v>
          </cell>
          <cell r="V76">
            <v>13.672957457547682</v>
          </cell>
          <cell r="W76">
            <v>13.907862929251461</v>
          </cell>
          <cell r="X76">
            <v>12.780138859314706</v>
          </cell>
          <cell r="Y76">
            <v>13.850153741931212</v>
          </cell>
          <cell r="Z76">
            <v>13.852913748457841</v>
          </cell>
          <cell r="AA76">
            <v>14.144900885449681</v>
          </cell>
          <cell r="AB76">
            <v>12.957220528334215</v>
          </cell>
        </row>
      </sheetData>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F82DA-FF46-493F-9BEB-CB098D9B5BF4}">
  <sheetPr>
    <pageSetUpPr fitToPage="1"/>
  </sheetPr>
  <dimension ref="B1:O31"/>
  <sheetViews>
    <sheetView tabSelected="1" workbookViewId="0"/>
  </sheetViews>
  <sheetFormatPr defaultRowHeight="15" x14ac:dyDescent="0.25"/>
  <sheetData>
    <row r="1" spans="2:15" ht="21" x14ac:dyDescent="0.35">
      <c r="B1" s="250" t="s">
        <v>558</v>
      </c>
    </row>
    <row r="2" spans="2:15" x14ac:dyDescent="0.25">
      <c r="B2" s="256"/>
      <c r="C2" s="257"/>
      <c r="D2" s="257"/>
      <c r="E2" s="257"/>
      <c r="F2" s="257"/>
      <c r="G2" s="257"/>
      <c r="H2" s="257"/>
      <c r="I2" s="257"/>
      <c r="J2" s="257"/>
      <c r="K2" s="257"/>
      <c r="L2" s="257"/>
      <c r="M2" s="257"/>
      <c r="N2" s="257"/>
      <c r="O2" s="258"/>
    </row>
    <row r="3" spans="2:15" x14ac:dyDescent="0.25">
      <c r="B3" s="251"/>
      <c r="C3" s="20"/>
      <c r="D3" s="20"/>
      <c r="E3" s="20"/>
      <c r="F3" s="20"/>
      <c r="G3" s="20"/>
      <c r="H3" s="20"/>
      <c r="I3" s="20"/>
      <c r="J3" s="20"/>
      <c r="K3" s="20"/>
      <c r="L3" s="20"/>
      <c r="M3" s="20"/>
      <c r="N3" s="20"/>
      <c r="O3" s="252"/>
    </row>
    <row r="4" spans="2:15" x14ac:dyDescent="0.25">
      <c r="B4" s="251"/>
      <c r="C4" s="20"/>
      <c r="D4" s="20"/>
      <c r="E4" s="20"/>
      <c r="F4" s="20"/>
      <c r="G4" s="20"/>
      <c r="H4" s="20"/>
      <c r="I4" s="20"/>
      <c r="J4" s="20"/>
      <c r="K4" s="20"/>
      <c r="L4" s="20"/>
      <c r="M4" s="20"/>
      <c r="N4" s="20"/>
      <c r="O4" s="252"/>
    </row>
    <row r="5" spans="2:15" x14ac:dyDescent="0.25">
      <c r="B5" s="251"/>
      <c r="C5" s="20"/>
      <c r="D5" s="20"/>
      <c r="E5" s="20"/>
      <c r="F5" s="20"/>
      <c r="G5" s="20"/>
      <c r="H5" s="20"/>
      <c r="I5" s="20"/>
      <c r="J5" s="20"/>
      <c r="K5" s="20"/>
      <c r="L5" s="20"/>
      <c r="M5" s="20"/>
      <c r="N5" s="20"/>
      <c r="O5" s="252"/>
    </row>
    <row r="6" spans="2:15" x14ac:dyDescent="0.25">
      <c r="B6" s="251"/>
      <c r="C6" s="20"/>
      <c r="D6" s="20"/>
      <c r="E6" s="20"/>
      <c r="F6" s="20"/>
      <c r="G6" s="20"/>
      <c r="H6" s="20"/>
      <c r="I6" s="20"/>
      <c r="J6" s="20"/>
      <c r="K6" s="20"/>
      <c r="L6" s="20"/>
      <c r="M6" s="20"/>
      <c r="N6" s="20"/>
      <c r="O6" s="252"/>
    </row>
    <row r="7" spans="2:15" x14ac:dyDescent="0.25">
      <c r="B7" s="251"/>
      <c r="C7" s="20"/>
      <c r="D7" s="20"/>
      <c r="E7" s="20"/>
      <c r="F7" s="20"/>
      <c r="G7" s="20"/>
      <c r="H7" s="20"/>
      <c r="I7" s="20"/>
      <c r="J7" s="20"/>
      <c r="K7" s="20"/>
      <c r="L7" s="20"/>
      <c r="M7" s="20"/>
      <c r="N7" s="20"/>
      <c r="O7" s="252"/>
    </row>
    <row r="8" spans="2:15" ht="18.75" x14ac:dyDescent="0.3">
      <c r="B8" s="251"/>
      <c r="C8" s="295" t="s">
        <v>439</v>
      </c>
      <c r="D8" s="20"/>
      <c r="E8" s="20"/>
      <c r="F8" s="20"/>
      <c r="G8" s="20"/>
      <c r="H8" s="20"/>
      <c r="I8" s="20"/>
      <c r="J8" s="20"/>
      <c r="K8" s="20"/>
      <c r="L8" s="20"/>
      <c r="M8" s="20"/>
      <c r="N8" s="20"/>
      <c r="O8" s="252"/>
    </row>
    <row r="9" spans="2:15" x14ac:dyDescent="0.25">
      <c r="B9" s="251"/>
      <c r="C9" s="20"/>
      <c r="D9" s="20"/>
      <c r="E9" s="20"/>
      <c r="F9" s="20"/>
      <c r="G9" s="20"/>
      <c r="H9" s="20"/>
      <c r="I9" s="20"/>
      <c r="J9" s="20"/>
      <c r="K9" s="20"/>
      <c r="L9" s="20"/>
      <c r="M9" s="20"/>
      <c r="N9" s="20"/>
      <c r="O9" s="252"/>
    </row>
    <row r="10" spans="2:15" x14ac:dyDescent="0.25">
      <c r="B10" s="291"/>
      <c r="C10" s="292" t="s">
        <v>422</v>
      </c>
      <c r="D10" s="293"/>
      <c r="E10" s="293" t="s">
        <v>487</v>
      </c>
      <c r="F10" s="293"/>
      <c r="G10" s="293"/>
      <c r="H10" s="293"/>
      <c r="I10" s="293"/>
      <c r="J10" s="293"/>
      <c r="K10" s="293"/>
      <c r="L10" s="293"/>
      <c r="M10" s="293"/>
      <c r="N10" s="293"/>
      <c r="O10" s="294"/>
    </row>
    <row r="11" spans="2:15" x14ac:dyDescent="0.25">
      <c r="B11" s="291"/>
      <c r="C11" s="292" t="s">
        <v>423</v>
      </c>
      <c r="D11" s="293"/>
      <c r="E11" s="293" t="s">
        <v>488</v>
      </c>
      <c r="F11" s="293"/>
      <c r="G11" s="293"/>
      <c r="H11" s="293"/>
      <c r="I11" s="293"/>
      <c r="J11" s="293"/>
      <c r="K11" s="293"/>
      <c r="L11" s="293"/>
      <c r="M11" s="293"/>
      <c r="N11" s="293"/>
      <c r="O11" s="294"/>
    </row>
    <row r="12" spans="2:15" x14ac:dyDescent="0.25">
      <c r="B12" s="291"/>
      <c r="C12" s="292" t="s">
        <v>424</v>
      </c>
      <c r="D12" s="293"/>
      <c r="E12" s="293" t="s">
        <v>493</v>
      </c>
      <c r="F12" s="293"/>
      <c r="G12" s="293"/>
      <c r="H12" s="293"/>
      <c r="I12" s="293"/>
      <c r="J12" s="293"/>
      <c r="K12" s="293"/>
      <c r="L12" s="293"/>
      <c r="M12" s="293"/>
      <c r="N12" s="293"/>
      <c r="O12" s="294"/>
    </row>
    <row r="13" spans="2:15" x14ac:dyDescent="0.25">
      <c r="B13" s="291"/>
      <c r="C13" s="292" t="s">
        <v>425</v>
      </c>
      <c r="D13" s="293"/>
      <c r="E13" s="293" t="s">
        <v>492</v>
      </c>
      <c r="F13" s="293"/>
      <c r="G13" s="293"/>
      <c r="H13" s="293"/>
      <c r="I13" s="293"/>
      <c r="J13" s="293"/>
      <c r="K13" s="293"/>
      <c r="L13" s="293"/>
      <c r="M13" s="293"/>
      <c r="N13" s="293"/>
      <c r="O13" s="294"/>
    </row>
    <row r="14" spans="2:15" x14ac:dyDescent="0.25">
      <c r="B14" s="291"/>
      <c r="C14" s="292" t="s">
        <v>426</v>
      </c>
      <c r="D14" s="293"/>
      <c r="E14" s="293" t="s">
        <v>489</v>
      </c>
      <c r="F14" s="293"/>
      <c r="G14" s="293"/>
      <c r="H14" s="293"/>
      <c r="I14" s="293"/>
      <c r="J14" s="293"/>
      <c r="K14" s="293"/>
      <c r="L14" s="293"/>
      <c r="M14" s="293"/>
      <c r="N14" s="293"/>
      <c r="O14" s="294"/>
    </row>
    <row r="15" spans="2:15" x14ac:dyDescent="0.25">
      <c r="B15" s="291"/>
      <c r="C15" s="292" t="s">
        <v>427</v>
      </c>
      <c r="D15" s="293"/>
      <c r="E15" s="293" t="s">
        <v>490</v>
      </c>
      <c r="F15" s="293"/>
      <c r="G15" s="293"/>
      <c r="H15" s="293"/>
      <c r="I15" s="293"/>
      <c r="J15" s="293"/>
      <c r="K15" s="293"/>
      <c r="L15" s="293"/>
      <c r="M15" s="293"/>
      <c r="N15" s="293"/>
      <c r="O15" s="294"/>
    </row>
    <row r="16" spans="2:15" x14ac:dyDescent="0.25">
      <c r="B16" s="291"/>
      <c r="C16" s="292" t="s">
        <v>428</v>
      </c>
      <c r="D16" s="293"/>
      <c r="E16" s="293" t="s">
        <v>491</v>
      </c>
      <c r="F16" s="293"/>
      <c r="G16" s="293"/>
      <c r="H16" s="293"/>
      <c r="I16" s="293"/>
      <c r="J16" s="293"/>
      <c r="K16" s="293"/>
      <c r="L16" s="293"/>
      <c r="M16" s="293"/>
      <c r="N16" s="293"/>
      <c r="O16" s="294"/>
    </row>
    <row r="17" spans="2:15" x14ac:dyDescent="0.25">
      <c r="B17" s="291"/>
      <c r="C17" s="292" t="s">
        <v>429</v>
      </c>
      <c r="D17" s="293"/>
      <c r="E17" s="293" t="s">
        <v>494</v>
      </c>
      <c r="F17" s="293"/>
      <c r="G17" s="293"/>
      <c r="H17" s="293"/>
      <c r="I17" s="293"/>
      <c r="J17" s="293"/>
      <c r="K17" s="293"/>
      <c r="L17" s="293"/>
      <c r="M17" s="293"/>
      <c r="N17" s="293"/>
      <c r="O17" s="294"/>
    </row>
    <row r="18" spans="2:15" x14ac:dyDescent="0.25">
      <c r="B18" s="291"/>
      <c r="C18" s="292" t="s">
        <v>430</v>
      </c>
      <c r="D18" s="293"/>
      <c r="E18" s="293" t="s">
        <v>495</v>
      </c>
      <c r="F18" s="293"/>
      <c r="G18" s="293"/>
      <c r="H18" s="293"/>
      <c r="I18" s="293"/>
      <c r="J18" s="293"/>
      <c r="K18" s="293"/>
      <c r="L18" s="293"/>
      <c r="M18" s="293"/>
      <c r="N18" s="293"/>
      <c r="O18" s="294"/>
    </row>
    <row r="19" spans="2:15" x14ac:dyDescent="0.25">
      <c r="B19" s="291"/>
      <c r="C19" s="292" t="s">
        <v>431</v>
      </c>
      <c r="D19" s="293"/>
      <c r="E19" s="293" t="s">
        <v>505</v>
      </c>
      <c r="F19" s="293"/>
      <c r="G19" s="293"/>
      <c r="H19" s="293"/>
      <c r="I19" s="293"/>
      <c r="J19" s="293"/>
      <c r="K19" s="293"/>
      <c r="L19" s="293"/>
      <c r="M19" s="293"/>
      <c r="N19" s="293"/>
      <c r="O19" s="294"/>
    </row>
    <row r="20" spans="2:15" x14ac:dyDescent="0.25">
      <c r="B20" s="291"/>
      <c r="C20" s="292" t="s">
        <v>432</v>
      </c>
      <c r="D20" s="293"/>
      <c r="E20" s="293" t="s">
        <v>496</v>
      </c>
      <c r="F20" s="293"/>
      <c r="G20" s="293"/>
      <c r="H20" s="293"/>
      <c r="I20" s="293"/>
      <c r="J20" s="293"/>
      <c r="K20" s="293"/>
      <c r="L20" s="293"/>
      <c r="M20" s="293"/>
      <c r="N20" s="293"/>
      <c r="O20" s="294"/>
    </row>
    <row r="21" spans="2:15" x14ac:dyDescent="0.25">
      <c r="B21" s="291"/>
      <c r="C21" s="292" t="s">
        <v>433</v>
      </c>
      <c r="D21" s="293"/>
      <c r="E21" s="293" t="s">
        <v>497</v>
      </c>
      <c r="F21" s="293"/>
      <c r="G21" s="293"/>
      <c r="H21" s="293"/>
      <c r="I21" s="293"/>
      <c r="J21" s="293"/>
      <c r="K21" s="293"/>
      <c r="L21" s="293"/>
      <c r="M21" s="293"/>
      <c r="N21" s="293"/>
      <c r="O21" s="294"/>
    </row>
    <row r="22" spans="2:15" x14ac:dyDescent="0.25">
      <c r="B22" s="291"/>
      <c r="C22" s="292" t="s">
        <v>434</v>
      </c>
      <c r="D22" s="293"/>
      <c r="E22" s="293" t="s">
        <v>498</v>
      </c>
      <c r="F22" s="293"/>
      <c r="G22" s="293"/>
      <c r="H22" s="293"/>
      <c r="I22" s="293"/>
      <c r="J22" s="293"/>
      <c r="K22" s="293"/>
      <c r="L22" s="293"/>
      <c r="M22" s="293"/>
      <c r="N22" s="293"/>
      <c r="O22" s="294"/>
    </row>
    <row r="23" spans="2:15" x14ac:dyDescent="0.25">
      <c r="B23" s="291"/>
      <c r="C23" s="292" t="s">
        <v>435</v>
      </c>
      <c r="D23" s="293"/>
      <c r="E23" s="293" t="s">
        <v>499</v>
      </c>
      <c r="F23" s="293"/>
      <c r="G23" s="293"/>
      <c r="H23" s="293"/>
      <c r="I23" s="293"/>
      <c r="J23" s="293"/>
      <c r="K23" s="293"/>
      <c r="L23" s="293"/>
      <c r="M23" s="293"/>
      <c r="N23" s="293"/>
      <c r="O23" s="294"/>
    </row>
    <row r="24" spans="2:15" x14ac:dyDescent="0.25">
      <c r="B24" s="291"/>
      <c r="C24" s="292" t="s">
        <v>436</v>
      </c>
      <c r="D24" s="293"/>
      <c r="E24" s="293" t="s">
        <v>500</v>
      </c>
      <c r="F24" s="293"/>
      <c r="G24" s="293"/>
      <c r="H24" s="293"/>
      <c r="I24" s="293"/>
      <c r="J24" s="293"/>
      <c r="K24" s="293"/>
      <c r="L24" s="293"/>
      <c r="M24" s="293"/>
      <c r="N24" s="293"/>
      <c r="O24" s="294"/>
    </row>
    <row r="25" spans="2:15" x14ac:dyDescent="0.25">
      <c r="B25" s="291"/>
      <c r="C25" s="292" t="s">
        <v>437</v>
      </c>
      <c r="D25" s="293"/>
      <c r="E25" s="293" t="s">
        <v>501</v>
      </c>
      <c r="F25" s="293"/>
      <c r="G25" s="293"/>
      <c r="H25" s="293"/>
      <c r="I25" s="293"/>
      <c r="J25" s="293"/>
      <c r="K25" s="293"/>
      <c r="L25" s="293"/>
      <c r="M25" s="293"/>
      <c r="N25" s="293"/>
      <c r="O25" s="294"/>
    </row>
    <row r="26" spans="2:15" x14ac:dyDescent="0.25">
      <c r="B26" s="291"/>
      <c r="C26" s="292" t="s">
        <v>438</v>
      </c>
      <c r="D26" s="293"/>
      <c r="E26" s="293" t="s">
        <v>502</v>
      </c>
      <c r="F26" s="293"/>
      <c r="G26" s="293"/>
      <c r="H26" s="293"/>
      <c r="I26" s="293"/>
      <c r="J26" s="293"/>
      <c r="K26" s="293"/>
      <c r="L26" s="293"/>
      <c r="M26" s="293"/>
      <c r="N26" s="293"/>
      <c r="O26" s="294"/>
    </row>
    <row r="27" spans="2:15" x14ac:dyDescent="0.25">
      <c r="B27" s="291"/>
      <c r="C27" s="292" t="s">
        <v>485</v>
      </c>
      <c r="D27" s="293"/>
      <c r="E27" s="293" t="s">
        <v>503</v>
      </c>
      <c r="F27" s="293"/>
      <c r="G27" s="293"/>
      <c r="H27" s="293"/>
      <c r="I27" s="293"/>
      <c r="J27" s="293"/>
      <c r="K27" s="293"/>
      <c r="L27" s="293"/>
      <c r="M27" s="293"/>
      <c r="N27" s="293"/>
      <c r="O27" s="294"/>
    </row>
    <row r="28" spans="2:15" x14ac:dyDescent="0.25">
      <c r="B28" s="291"/>
      <c r="C28" s="292" t="s">
        <v>486</v>
      </c>
      <c r="D28" s="293"/>
      <c r="E28" s="293" t="s">
        <v>504</v>
      </c>
      <c r="F28" s="293"/>
      <c r="G28" s="293"/>
      <c r="H28" s="293"/>
      <c r="I28" s="293"/>
      <c r="J28" s="293"/>
      <c r="K28" s="293"/>
      <c r="L28" s="293"/>
      <c r="M28" s="293"/>
      <c r="N28" s="293"/>
      <c r="O28" s="294"/>
    </row>
    <row r="29" spans="2:15" x14ac:dyDescent="0.25">
      <c r="B29" s="251"/>
      <c r="C29" s="20"/>
      <c r="D29" s="20"/>
      <c r="E29" s="20"/>
      <c r="F29" s="20"/>
      <c r="G29" s="20"/>
      <c r="H29" s="20"/>
      <c r="I29" s="20"/>
      <c r="J29" s="20"/>
      <c r="K29" s="20"/>
      <c r="L29" s="20"/>
      <c r="M29" s="20"/>
      <c r="N29" s="20"/>
      <c r="O29" s="252"/>
    </row>
    <row r="30" spans="2:15" ht="88.5" customHeight="1" x14ac:dyDescent="0.25">
      <c r="B30" s="319" t="s">
        <v>557</v>
      </c>
      <c r="C30" s="320"/>
      <c r="D30" s="320"/>
      <c r="E30" s="320"/>
      <c r="F30" s="320"/>
      <c r="G30" s="320"/>
      <c r="H30" s="320"/>
      <c r="I30" s="320"/>
      <c r="J30" s="320"/>
      <c r="K30" s="320"/>
      <c r="L30" s="320"/>
      <c r="M30" s="320"/>
      <c r="N30" s="320"/>
      <c r="O30" s="321"/>
    </row>
    <row r="31" spans="2:15" x14ac:dyDescent="0.25">
      <c r="B31" s="253"/>
      <c r="C31" s="254"/>
      <c r="D31" s="254"/>
      <c r="E31" s="254"/>
      <c r="F31" s="254"/>
      <c r="G31" s="254"/>
      <c r="H31" s="254"/>
      <c r="I31" s="254"/>
      <c r="J31" s="254"/>
      <c r="K31" s="254"/>
      <c r="L31" s="254"/>
      <c r="M31" s="254"/>
      <c r="N31" s="254"/>
      <c r="O31" s="255"/>
    </row>
  </sheetData>
  <mergeCells count="1">
    <mergeCell ref="B30:O30"/>
  </mergeCells>
  <hyperlinks>
    <hyperlink ref="C10" location="'Table 1'!A1" display="Table 1" xr:uid="{972F0A93-2D15-43A0-8F4E-FE98222D49DC}"/>
    <hyperlink ref="C11" location="'Table 2'!A1" display="Table 2" xr:uid="{B949A5E4-A50A-4996-8FBD-78A292777D3E}"/>
    <hyperlink ref="C12" location="'Table 3'!A1" display="Table 3" xr:uid="{BB0DEC5F-1A2A-4C52-981F-C1BBB0DEDA86}"/>
    <hyperlink ref="C13" location="'Table 4'!A1" display="Table 4" xr:uid="{3E9C20B8-703E-44D5-9C75-5DD2C32BADA0}"/>
    <hyperlink ref="C14" location="'Table 5'!A1" display="Table 5" xr:uid="{35BCFD70-BEF1-4A67-B7F8-72DF5FDD8F90}"/>
    <hyperlink ref="C15" location="'Table 6'!A1" display="Table 6" xr:uid="{175D268E-40D4-4706-B366-3B747D21C51A}"/>
    <hyperlink ref="C16" location="'Table 7'!A1" display="Table 7" xr:uid="{5BDE32F6-5416-4112-A4B9-1E9E8F7788E8}"/>
    <hyperlink ref="C17" location="'Table 8'!A1" display="Table 8" xr:uid="{E45611E4-620A-434A-9724-2F349CBCD785}"/>
    <hyperlink ref="C18" location="'Table 9'!A1" display="Table 9" xr:uid="{1D878650-A647-4ED1-B8E9-8F775F450295}"/>
    <hyperlink ref="C19" location="'Table 10'!A1" display="Table 10" xr:uid="{894BE9CD-2584-4DA9-A0ED-08E52496DCA6}"/>
    <hyperlink ref="C20" location="'Table 11'!A1" display="Table 11" xr:uid="{A2875907-B2D5-47CD-9507-F0B957FA37BA}"/>
    <hyperlink ref="C21" location="'Table 12'!A1" display="Table 12" xr:uid="{250DCC7C-7998-4932-84B5-68AC16E76391}"/>
    <hyperlink ref="C22" location="'Table 13'!A1" display="Table 13" xr:uid="{5DCC5DED-4160-4C74-94DD-D1E88B6A0170}"/>
    <hyperlink ref="C23" location="'Table 14'!A1" display="Table 14" xr:uid="{3D7FAABE-A8C6-4045-8102-59D7E274489B}"/>
    <hyperlink ref="C24" location="'Table 15'!A1" display="Table 15" xr:uid="{D976C29C-C869-45C5-AFDE-C4C44997DBC5}"/>
    <hyperlink ref="C25" location="'Table 16'!A1" display="Table 16" xr:uid="{90E42E19-50E6-4E17-AEC1-8FF61D6D743F}"/>
    <hyperlink ref="C26" location="'Table 17'!A1" display="Table 17" xr:uid="{66F8D9F4-0C70-4CEC-8983-608438EEAB33}"/>
    <hyperlink ref="C27" location="'Table 18'!A1" display="Table 18" xr:uid="{268B5D72-9F52-4585-B09D-0E3EF3AAFFE8}"/>
    <hyperlink ref="C28" location="'Table 19'!A1" display="Table 19" xr:uid="{539E2DE9-0443-4749-8004-817921447F32}"/>
  </hyperlinks>
  <pageMargins left="0.7" right="0.7" top="0.75" bottom="0.75" header="0.3" footer="0.3"/>
  <pageSetup paperSize="9" fitToHeight="0" orientation="portrait" r:id="rId1"/>
  <headerFooter>
    <oddHeader>&amp;C&amp;"Calibri"&amp;12&amp;KFF0000 OFFICIAL&amp;1#_x000D_</oddHeader>
    <oddFooter>&amp;C_x000D_&amp;1#&amp;"Calibri"&amp;12&amp;KFF0000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B7F03-6FE3-49AE-82ED-83C4820C6AFF}">
  <sheetPr>
    <pageSetUpPr fitToPage="1"/>
  </sheetPr>
  <dimension ref="B6:AD43"/>
  <sheetViews>
    <sheetView zoomScaleNormal="100" workbookViewId="0"/>
  </sheetViews>
  <sheetFormatPr defaultColWidth="9.140625" defaultRowHeight="15" x14ac:dyDescent="0.25"/>
  <cols>
    <col min="1" max="1" width="9.140625" style="20"/>
    <col min="2" max="2" width="36" style="20" customWidth="1"/>
    <col min="3" max="3" width="7.42578125" style="20" customWidth="1"/>
    <col min="4" max="4" width="12.7109375" style="20" customWidth="1"/>
    <col min="5" max="5" width="12.28515625" style="20" customWidth="1"/>
    <col min="6" max="6" width="10.28515625" style="20" customWidth="1"/>
    <col min="7" max="23" width="13.5703125" style="20" customWidth="1"/>
    <col min="24" max="30" width="14.28515625" style="20" customWidth="1"/>
    <col min="31" max="16384" width="9.140625" style="20"/>
  </cols>
  <sheetData>
    <row r="6" spans="2:30" ht="12" customHeight="1" x14ac:dyDescent="0.25">
      <c r="B6" s="16"/>
      <c r="C6" s="16"/>
      <c r="D6" s="16"/>
      <c r="E6" s="16"/>
      <c r="F6" s="16"/>
      <c r="G6" s="17"/>
      <c r="H6" s="17"/>
      <c r="I6" s="17"/>
      <c r="J6" s="17"/>
      <c r="K6" s="17"/>
      <c r="L6" s="17"/>
      <c r="M6" s="17"/>
      <c r="N6" s="17"/>
      <c r="O6" s="17"/>
      <c r="P6" s="17"/>
      <c r="Q6" s="17"/>
      <c r="R6" s="17"/>
      <c r="S6" s="17"/>
      <c r="T6" s="17"/>
      <c r="U6" s="17"/>
      <c r="V6" s="17"/>
      <c r="W6" s="17"/>
      <c r="X6" s="18"/>
      <c r="Y6" s="17"/>
      <c r="Z6" s="17"/>
      <c r="AA6" s="19"/>
      <c r="AB6" s="19"/>
      <c r="AC6" s="19"/>
      <c r="AD6" s="19" t="s">
        <v>0</v>
      </c>
    </row>
    <row r="7" spans="2:30" ht="27" customHeight="1" x14ac:dyDescent="0.25">
      <c r="B7" s="322" t="s">
        <v>1</v>
      </c>
      <c r="C7" s="322"/>
      <c r="D7" s="322"/>
      <c r="E7" s="323"/>
      <c r="F7" s="323"/>
      <c r="G7" s="323"/>
      <c r="H7" s="323"/>
      <c r="I7" s="323"/>
      <c r="J7" s="323"/>
      <c r="K7" s="323"/>
      <c r="L7" s="323"/>
      <c r="M7" s="323"/>
      <c r="N7" s="323"/>
      <c r="O7" s="323"/>
      <c r="P7" s="323"/>
      <c r="Q7" s="323"/>
      <c r="R7" s="323"/>
      <c r="S7" s="323"/>
      <c r="T7" s="323"/>
      <c r="U7" s="323"/>
      <c r="V7" s="323"/>
      <c r="W7" s="323"/>
      <c r="X7" s="323"/>
      <c r="Y7" s="323"/>
      <c r="Z7" s="323"/>
      <c r="AA7" s="2"/>
      <c r="AB7" s="2"/>
      <c r="AC7" s="2"/>
      <c r="AD7" s="2"/>
    </row>
    <row r="8" spans="2:30" ht="12" customHeight="1" x14ac:dyDescent="0.25">
      <c r="B8" s="3" t="s">
        <v>2</v>
      </c>
      <c r="C8" s="4"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547</v>
      </c>
    </row>
    <row r="9" spans="2:30" ht="12.6" customHeight="1" x14ac:dyDescent="0.25">
      <c r="B9" s="324" t="s">
        <v>4</v>
      </c>
      <c r="C9" s="324"/>
      <c r="D9" s="324"/>
      <c r="E9" s="324"/>
      <c r="F9" s="324"/>
      <c r="G9" s="324"/>
      <c r="H9" s="324"/>
      <c r="I9" s="324"/>
      <c r="J9" s="324"/>
      <c r="K9" s="324"/>
      <c r="L9" s="324"/>
      <c r="M9" s="324"/>
      <c r="N9" s="324"/>
      <c r="O9" s="324"/>
      <c r="P9" s="324"/>
      <c r="Q9" s="324"/>
      <c r="R9" s="324"/>
      <c r="S9" s="324"/>
      <c r="T9" s="324"/>
      <c r="U9" s="324"/>
      <c r="V9" s="324"/>
      <c r="W9" s="324"/>
      <c r="X9" s="325"/>
      <c r="Y9" s="325"/>
      <c r="Z9" s="325"/>
      <c r="AA9" s="6"/>
      <c r="AB9" s="6"/>
      <c r="AC9" s="6"/>
      <c r="AD9" s="6"/>
    </row>
    <row r="10" spans="2:30" ht="11.1" customHeight="1" x14ac:dyDescent="0.25">
      <c r="B10" s="7" t="s">
        <v>5</v>
      </c>
      <c r="C10" s="8" t="s">
        <v>6</v>
      </c>
      <c r="D10" s="9">
        <v>82428</v>
      </c>
      <c r="E10" s="9">
        <v>87961.9</v>
      </c>
      <c r="F10" s="9">
        <v>104394.9</v>
      </c>
      <c r="G10" s="9">
        <v>95101.5</v>
      </c>
      <c r="H10" s="9">
        <v>104433.3</v>
      </c>
      <c r="I10" s="9">
        <v>89711.2</v>
      </c>
      <c r="J10" s="9">
        <v>79614</v>
      </c>
      <c r="K10" s="9">
        <v>81017.2</v>
      </c>
      <c r="L10" s="9">
        <v>87400.7</v>
      </c>
      <c r="M10" s="9">
        <v>89044.3</v>
      </c>
      <c r="N10" s="9">
        <v>79110.7</v>
      </c>
      <c r="O10" s="9">
        <v>81851.8</v>
      </c>
      <c r="P10" s="9">
        <v>79149.3</v>
      </c>
      <c r="Q10" s="9">
        <v>77265.3</v>
      </c>
      <c r="R10" s="9">
        <v>80693.7</v>
      </c>
      <c r="S10" s="9">
        <v>92479</v>
      </c>
      <c r="T10" s="9">
        <v>89483.5</v>
      </c>
      <c r="U10" s="9">
        <v>91082</v>
      </c>
      <c r="V10" s="9">
        <v>89305</v>
      </c>
      <c r="W10" s="9">
        <v>99501.1</v>
      </c>
      <c r="X10" s="9">
        <v>106233.7</v>
      </c>
      <c r="Y10" s="9">
        <v>113173.6</v>
      </c>
      <c r="Z10" s="9">
        <v>102927</v>
      </c>
      <c r="AA10" s="10">
        <v>98013.1</v>
      </c>
      <c r="AB10" s="10">
        <v>95706.3</v>
      </c>
      <c r="AC10" s="10">
        <v>102932.9</v>
      </c>
      <c r="AD10" s="10" t="s">
        <v>19</v>
      </c>
    </row>
    <row r="11" spans="2:30" ht="11.1" customHeight="1" x14ac:dyDescent="0.25">
      <c r="B11" s="7" t="s">
        <v>7</v>
      </c>
      <c r="C11" s="8" t="s">
        <v>6</v>
      </c>
      <c r="D11" s="9">
        <v>74386</v>
      </c>
      <c r="E11" s="9">
        <v>89914</v>
      </c>
      <c r="F11" s="9">
        <v>108002</v>
      </c>
      <c r="G11" s="9">
        <v>101656</v>
      </c>
      <c r="H11" s="9">
        <v>89048</v>
      </c>
      <c r="I11" s="9">
        <v>72214</v>
      </c>
      <c r="J11" s="9">
        <v>85859</v>
      </c>
      <c r="K11" s="9">
        <v>77502</v>
      </c>
      <c r="L11" s="9">
        <v>74631</v>
      </c>
      <c r="M11" s="9">
        <v>67830</v>
      </c>
      <c r="N11" s="9">
        <v>54284</v>
      </c>
      <c r="O11" s="9">
        <v>47663</v>
      </c>
      <c r="P11" s="9">
        <v>51258.2</v>
      </c>
      <c r="Q11" s="9">
        <v>55474.5</v>
      </c>
      <c r="R11" s="9">
        <v>55745.1</v>
      </c>
      <c r="S11" s="9">
        <v>54840.5</v>
      </c>
      <c r="T11" s="9">
        <v>58741.7</v>
      </c>
      <c r="U11" s="9">
        <v>57809.9</v>
      </c>
      <c r="V11" s="9">
        <v>54362.3</v>
      </c>
      <c r="W11" s="9">
        <v>62770.1</v>
      </c>
      <c r="X11" s="9">
        <v>71596.2</v>
      </c>
      <c r="Y11" s="9">
        <v>62254.8</v>
      </c>
      <c r="Z11" s="9">
        <v>45110.8</v>
      </c>
      <c r="AA11" s="10">
        <v>49353.3</v>
      </c>
      <c r="AB11" s="10">
        <v>49848.4</v>
      </c>
      <c r="AC11" s="10">
        <v>47210.8</v>
      </c>
      <c r="AD11" s="10" t="s">
        <v>19</v>
      </c>
    </row>
    <row r="12" spans="2:30" ht="11.1" customHeight="1" x14ac:dyDescent="0.25">
      <c r="B12" s="7" t="s">
        <v>8</v>
      </c>
      <c r="C12" s="8" t="s">
        <v>6</v>
      </c>
      <c r="D12" s="9">
        <v>227983.4</v>
      </c>
      <c r="E12" s="9">
        <v>227021.9</v>
      </c>
      <c r="F12" s="9">
        <v>253634.5</v>
      </c>
      <c r="G12" s="9">
        <v>234007.8</v>
      </c>
      <c r="H12" s="9">
        <v>228120</v>
      </c>
      <c r="I12" s="9">
        <v>237792</v>
      </c>
      <c r="J12" s="9">
        <v>198265.2</v>
      </c>
      <c r="K12" s="9">
        <v>218456.1</v>
      </c>
      <c r="L12" s="9">
        <v>206940</v>
      </c>
      <c r="M12" s="9">
        <v>208205</v>
      </c>
      <c r="N12" s="9">
        <v>223024</v>
      </c>
      <c r="O12" s="9">
        <v>222411.1</v>
      </c>
      <c r="P12" s="9">
        <v>194739.5</v>
      </c>
      <c r="Q12" s="9">
        <v>185616.2</v>
      </c>
      <c r="R12" s="9">
        <v>196213.1</v>
      </c>
      <c r="S12" s="9">
        <v>191334</v>
      </c>
      <c r="T12" s="9">
        <v>182208.6</v>
      </c>
      <c r="U12" s="9">
        <v>175897.4</v>
      </c>
      <c r="V12" s="9">
        <v>192908.9</v>
      </c>
      <c r="W12" s="9">
        <v>180198.9</v>
      </c>
      <c r="X12" s="9">
        <v>158942.39999999999</v>
      </c>
      <c r="Y12" s="9">
        <v>156058.5</v>
      </c>
      <c r="Z12" s="9">
        <v>243095.3</v>
      </c>
      <c r="AA12" s="10">
        <v>223764.5</v>
      </c>
      <c r="AB12" s="10">
        <v>268560.59999999998</v>
      </c>
      <c r="AC12" s="10">
        <v>223003.5</v>
      </c>
      <c r="AD12" s="10" t="s">
        <v>19</v>
      </c>
    </row>
    <row r="13" spans="2:30" ht="11.1" customHeight="1" x14ac:dyDescent="0.25">
      <c r="B13" s="7" t="s">
        <v>9</v>
      </c>
      <c r="C13" s="8" t="s">
        <v>6</v>
      </c>
      <c r="D13" s="9">
        <v>165106.20000000001</v>
      </c>
      <c r="E13" s="9">
        <v>182986</v>
      </c>
      <c r="F13" s="9">
        <v>206986.2</v>
      </c>
      <c r="G13" s="9">
        <v>206779</v>
      </c>
      <c r="H13" s="9">
        <v>195219</v>
      </c>
      <c r="I13" s="9">
        <v>182536</v>
      </c>
      <c r="J13" s="9">
        <v>182959</v>
      </c>
      <c r="K13" s="9">
        <v>192674</v>
      </c>
      <c r="L13" s="9">
        <v>218684</v>
      </c>
      <c r="M13" s="9">
        <v>205967</v>
      </c>
      <c r="N13" s="9">
        <v>219285</v>
      </c>
      <c r="O13" s="9">
        <v>199489</v>
      </c>
      <c r="P13" s="9">
        <v>195440</v>
      </c>
      <c r="Q13" s="9">
        <v>208928</v>
      </c>
      <c r="R13" s="9">
        <v>198105</v>
      </c>
      <c r="S13" s="9">
        <v>210410</v>
      </c>
      <c r="T13" s="9">
        <v>240204</v>
      </c>
      <c r="U13" s="9">
        <v>264653</v>
      </c>
      <c r="V13" s="9">
        <v>253107</v>
      </c>
      <c r="W13" s="9">
        <v>264049</v>
      </c>
      <c r="X13" s="9">
        <v>276686</v>
      </c>
      <c r="Y13" s="9">
        <v>232140.2</v>
      </c>
      <c r="Z13" s="9">
        <v>199625.2</v>
      </c>
      <c r="AA13" s="10">
        <v>196194.3</v>
      </c>
      <c r="AB13" s="10">
        <v>203029.6</v>
      </c>
      <c r="AC13" s="10">
        <v>214288.3</v>
      </c>
      <c r="AD13" s="10" t="s">
        <v>19</v>
      </c>
    </row>
    <row r="14" spans="2:30" ht="11.1" customHeight="1" x14ac:dyDescent="0.25">
      <c r="B14" s="7" t="s">
        <v>10</v>
      </c>
      <c r="C14" s="8" t="s">
        <v>6</v>
      </c>
      <c r="D14" s="9">
        <v>403576</v>
      </c>
      <c r="E14" s="9">
        <v>547707</v>
      </c>
      <c r="F14" s="9">
        <v>435926</v>
      </c>
      <c r="G14" s="9">
        <v>434372</v>
      </c>
      <c r="H14" s="9">
        <v>431501</v>
      </c>
      <c r="I14" s="9">
        <v>400742</v>
      </c>
      <c r="J14" s="9">
        <v>414834</v>
      </c>
      <c r="K14" s="9">
        <v>417653</v>
      </c>
      <c r="L14" s="9">
        <v>352382</v>
      </c>
      <c r="M14" s="9">
        <v>323524</v>
      </c>
      <c r="N14" s="9">
        <v>291473</v>
      </c>
      <c r="O14" s="9">
        <v>272368</v>
      </c>
      <c r="P14" s="9">
        <v>285890</v>
      </c>
      <c r="Q14" s="9">
        <v>279877</v>
      </c>
      <c r="R14" s="9">
        <v>330871.7</v>
      </c>
      <c r="S14" s="9">
        <v>416919.3</v>
      </c>
      <c r="T14" s="9">
        <v>488420</v>
      </c>
      <c r="U14" s="9">
        <v>503939</v>
      </c>
      <c r="V14" s="9">
        <v>529336</v>
      </c>
      <c r="W14" s="9">
        <v>554472</v>
      </c>
      <c r="X14" s="9">
        <v>518667.7</v>
      </c>
      <c r="Y14" s="9">
        <v>387975</v>
      </c>
      <c r="Z14" s="9">
        <v>342157</v>
      </c>
      <c r="AA14" s="10">
        <v>326662</v>
      </c>
      <c r="AB14" s="10">
        <v>381254</v>
      </c>
      <c r="AC14" s="10">
        <v>408424</v>
      </c>
      <c r="AD14" s="10" t="s">
        <v>19</v>
      </c>
    </row>
    <row r="15" spans="2:30" ht="11.1" customHeight="1" x14ac:dyDescent="0.25">
      <c r="B15" s="7" t="s">
        <v>11</v>
      </c>
      <c r="C15" s="8" t="s">
        <v>6</v>
      </c>
      <c r="D15" s="9">
        <v>169166.3</v>
      </c>
      <c r="E15" s="9">
        <v>167126</v>
      </c>
      <c r="F15" s="9">
        <v>197128.2</v>
      </c>
      <c r="G15" s="9">
        <v>199895.7</v>
      </c>
      <c r="H15" s="9">
        <v>159306.20000000001</v>
      </c>
      <c r="I15" s="9">
        <v>142733.4</v>
      </c>
      <c r="J15" s="9">
        <v>166502.6</v>
      </c>
      <c r="K15" s="9">
        <v>170164.6</v>
      </c>
      <c r="L15" s="9">
        <v>188364.5</v>
      </c>
      <c r="M15" s="9">
        <v>165562.70000000001</v>
      </c>
      <c r="N15" s="9">
        <v>176326.2</v>
      </c>
      <c r="O15" s="9">
        <v>175135</v>
      </c>
      <c r="P15" s="9">
        <v>163052.9</v>
      </c>
      <c r="Q15" s="9">
        <v>155981.5</v>
      </c>
      <c r="R15" s="9">
        <v>153869.29999999999</v>
      </c>
      <c r="S15" s="9">
        <v>176947.20000000001</v>
      </c>
      <c r="T15" s="9">
        <v>175265.2</v>
      </c>
      <c r="U15" s="9">
        <v>182349</v>
      </c>
      <c r="V15" s="9">
        <v>175934.9</v>
      </c>
      <c r="W15" s="9">
        <v>194316.6</v>
      </c>
      <c r="X15" s="9">
        <v>187410.7</v>
      </c>
      <c r="Y15" s="9">
        <v>147874.9</v>
      </c>
      <c r="Z15" s="9">
        <v>124715.5</v>
      </c>
      <c r="AA15" s="10">
        <v>120687.1</v>
      </c>
      <c r="AB15" s="10">
        <v>119465.7</v>
      </c>
      <c r="AC15" s="10">
        <v>124678.3</v>
      </c>
      <c r="AD15" s="10" t="s">
        <v>19</v>
      </c>
    </row>
    <row r="16" spans="2:30" ht="11.1" customHeight="1" x14ac:dyDescent="0.25">
      <c r="B16" s="7" t="s">
        <v>12</v>
      </c>
      <c r="C16" s="8" t="s">
        <v>6</v>
      </c>
      <c r="D16" s="9">
        <v>22306.5</v>
      </c>
      <c r="E16" s="9">
        <v>32028</v>
      </c>
      <c r="F16" s="9">
        <v>34270.1</v>
      </c>
      <c r="G16" s="9">
        <v>31336.2</v>
      </c>
      <c r="H16" s="9">
        <v>33019</v>
      </c>
      <c r="I16" s="9">
        <v>31514.1</v>
      </c>
      <c r="J16" s="9">
        <v>32766.400000000001</v>
      </c>
      <c r="K16" s="9">
        <v>26249.5</v>
      </c>
      <c r="L16" s="9">
        <v>28917.5</v>
      </c>
      <c r="M16" s="9">
        <v>32948.1</v>
      </c>
      <c r="N16" s="9">
        <v>33717.199999999997</v>
      </c>
      <c r="O16" s="9">
        <v>31241</v>
      </c>
      <c r="P16" s="9">
        <v>32442</v>
      </c>
      <c r="Q16" s="9">
        <v>34103.800000000003</v>
      </c>
      <c r="R16" s="9">
        <v>34089.599999999999</v>
      </c>
      <c r="S16" s="9">
        <v>30358.799999999999</v>
      </c>
      <c r="T16" s="9">
        <v>31071.3</v>
      </c>
      <c r="U16" s="9">
        <v>34894.300000000003</v>
      </c>
      <c r="V16" s="9">
        <v>43859.5</v>
      </c>
      <c r="W16" s="9">
        <v>47824.800000000003</v>
      </c>
      <c r="X16" s="9">
        <v>38538.400000000001</v>
      </c>
      <c r="Y16" s="9">
        <v>40533.800000000003</v>
      </c>
      <c r="Z16" s="9">
        <v>45934</v>
      </c>
      <c r="AA16" s="10">
        <v>59419.7</v>
      </c>
      <c r="AB16" s="10">
        <v>58666.400000000001</v>
      </c>
      <c r="AC16" s="10">
        <v>48411.4</v>
      </c>
      <c r="AD16" s="10" t="s">
        <v>19</v>
      </c>
    </row>
    <row r="17" spans="2:30" ht="11.1" customHeight="1" x14ac:dyDescent="0.25">
      <c r="B17" s="7" t="s">
        <v>13</v>
      </c>
      <c r="C17" s="8" t="s">
        <v>6</v>
      </c>
      <c r="D17" s="9">
        <v>1144952.3999999999</v>
      </c>
      <c r="E17" s="9">
        <v>1334744.8</v>
      </c>
      <c r="F17" s="9">
        <v>1340341.8</v>
      </c>
      <c r="G17" s="9">
        <v>1303148.2</v>
      </c>
      <c r="H17" s="9">
        <v>1240646.3999999999</v>
      </c>
      <c r="I17" s="9">
        <v>1157242.8</v>
      </c>
      <c r="J17" s="9">
        <v>1160800.2</v>
      </c>
      <c r="K17" s="9">
        <v>1183716.5</v>
      </c>
      <c r="L17" s="9">
        <v>1157319.7</v>
      </c>
      <c r="M17" s="9">
        <v>1093081.2</v>
      </c>
      <c r="N17" s="9">
        <v>1077220.1000000001</v>
      </c>
      <c r="O17" s="9">
        <v>1030159</v>
      </c>
      <c r="P17" s="9">
        <v>1001971.8</v>
      </c>
      <c r="Q17" s="9">
        <v>997246.2</v>
      </c>
      <c r="R17" s="9">
        <v>1049587.5</v>
      </c>
      <c r="S17" s="9">
        <v>1173288.8</v>
      </c>
      <c r="T17" s="9">
        <v>1265394.3999999999</v>
      </c>
      <c r="U17" s="9">
        <v>1310624.6000000001</v>
      </c>
      <c r="V17" s="9">
        <v>1338813.6000000001</v>
      </c>
      <c r="W17" s="9">
        <v>1403132.4</v>
      </c>
      <c r="X17" s="9">
        <v>1358075</v>
      </c>
      <c r="Y17" s="9">
        <v>1140010.7</v>
      </c>
      <c r="Z17" s="9">
        <v>1103564.8999999999</v>
      </c>
      <c r="AA17" s="10">
        <v>1074094</v>
      </c>
      <c r="AB17" s="10">
        <v>1176531</v>
      </c>
      <c r="AC17" s="10">
        <v>1168949.3</v>
      </c>
      <c r="AD17" s="10" t="s">
        <v>19</v>
      </c>
    </row>
    <row r="18" spans="2:30" ht="12.6" customHeight="1" x14ac:dyDescent="0.25">
      <c r="B18" s="324" t="s">
        <v>29</v>
      </c>
      <c r="C18" s="324"/>
      <c r="D18" s="324"/>
      <c r="E18" s="324"/>
      <c r="F18" s="324"/>
      <c r="G18" s="324"/>
      <c r="H18" s="324"/>
      <c r="I18" s="324"/>
      <c r="J18" s="324"/>
      <c r="K18" s="324"/>
      <c r="L18" s="324"/>
      <c r="M18" s="324"/>
      <c r="N18" s="324"/>
      <c r="O18" s="324"/>
      <c r="P18" s="324"/>
      <c r="Q18" s="324"/>
      <c r="R18" s="324"/>
      <c r="S18" s="324"/>
      <c r="T18" s="324"/>
      <c r="U18" s="324"/>
      <c r="V18" s="324"/>
      <c r="W18" s="324"/>
      <c r="X18" s="325"/>
      <c r="Y18" s="325"/>
      <c r="Z18" s="325"/>
      <c r="AA18" s="6"/>
      <c r="AB18" s="6"/>
      <c r="AC18" s="6"/>
      <c r="AD18" s="6"/>
    </row>
    <row r="19" spans="2:30" ht="11.1" customHeight="1" x14ac:dyDescent="0.25">
      <c r="B19" s="21" t="s">
        <v>5</v>
      </c>
      <c r="C19" s="22" t="s">
        <v>6</v>
      </c>
      <c r="D19" s="23">
        <v>39488.699999999997</v>
      </c>
      <c r="E19" s="23">
        <v>42041</v>
      </c>
      <c r="F19" s="23">
        <v>42244.6</v>
      </c>
      <c r="G19" s="23">
        <v>43698.5</v>
      </c>
      <c r="H19" s="23">
        <v>48585.7</v>
      </c>
      <c r="I19" s="23">
        <v>49647.5</v>
      </c>
      <c r="J19" s="23">
        <v>48372.2</v>
      </c>
      <c r="K19" s="23">
        <v>45026.9</v>
      </c>
      <c r="L19" s="23">
        <v>45975</v>
      </c>
      <c r="M19" s="23">
        <v>48111</v>
      </c>
      <c r="N19" s="23">
        <v>48681</v>
      </c>
      <c r="O19" s="23">
        <v>52400</v>
      </c>
      <c r="P19" s="23">
        <v>48087</v>
      </c>
      <c r="Q19" s="23">
        <v>46959</v>
      </c>
      <c r="R19" s="23">
        <v>50134.5</v>
      </c>
      <c r="S19" s="23">
        <v>53364.800000000003</v>
      </c>
      <c r="T19" s="23">
        <v>55756.1</v>
      </c>
      <c r="U19" s="23">
        <v>60232.4</v>
      </c>
      <c r="V19" s="23">
        <v>64610.3</v>
      </c>
      <c r="W19" s="23">
        <v>70727.5</v>
      </c>
      <c r="X19" s="23">
        <v>76013</v>
      </c>
      <c r="Y19" s="23">
        <v>84567</v>
      </c>
      <c r="Z19" s="23">
        <v>89331</v>
      </c>
      <c r="AA19" s="24">
        <v>94995</v>
      </c>
      <c r="AB19" s="24">
        <v>103605</v>
      </c>
      <c r="AC19" s="24">
        <v>98446</v>
      </c>
      <c r="AD19" s="10" t="s">
        <v>19</v>
      </c>
    </row>
    <row r="20" spans="2:30" ht="11.1" customHeight="1" x14ac:dyDescent="0.25">
      <c r="B20" s="7" t="s">
        <v>7</v>
      </c>
      <c r="C20" s="8" t="s">
        <v>6</v>
      </c>
      <c r="D20" s="9">
        <v>15059</v>
      </c>
      <c r="E20" s="9">
        <v>16896</v>
      </c>
      <c r="F20" s="9">
        <v>18971</v>
      </c>
      <c r="G20" s="9">
        <v>20740.2</v>
      </c>
      <c r="H20" s="9">
        <v>20700</v>
      </c>
      <c r="I20" s="9">
        <v>23560.6</v>
      </c>
      <c r="J20" s="9">
        <v>23946.2</v>
      </c>
      <c r="K20" s="9">
        <v>21003.200000000001</v>
      </c>
      <c r="L20" s="9">
        <v>20121</v>
      </c>
      <c r="M20" s="9">
        <v>17100.3</v>
      </c>
      <c r="N20" s="9">
        <v>15498.6</v>
      </c>
      <c r="O20" s="9">
        <v>17598.3</v>
      </c>
      <c r="P20" s="9">
        <v>12234.2</v>
      </c>
      <c r="Q20" s="9">
        <v>17881.900000000001</v>
      </c>
      <c r="R20" s="9">
        <v>21198.7</v>
      </c>
      <c r="S20" s="9">
        <v>25394.7</v>
      </c>
      <c r="T20" s="9">
        <v>29054.1</v>
      </c>
      <c r="U20" s="9">
        <v>27584.5</v>
      </c>
      <c r="V20" s="9">
        <v>39319.9</v>
      </c>
      <c r="W20" s="9">
        <v>48269.3</v>
      </c>
      <c r="X20" s="9">
        <v>59633.4</v>
      </c>
      <c r="Y20" s="9">
        <v>48390.1</v>
      </c>
      <c r="Z20" s="9">
        <v>51624.3</v>
      </c>
      <c r="AA20" s="10">
        <v>53937.599999999999</v>
      </c>
      <c r="AB20" s="10">
        <v>55720.4</v>
      </c>
      <c r="AC20" s="10">
        <v>59047</v>
      </c>
      <c r="AD20" s="10" t="s">
        <v>19</v>
      </c>
    </row>
    <row r="21" spans="2:30" ht="11.1" customHeight="1" x14ac:dyDescent="0.25">
      <c r="B21" s="7" t="s">
        <v>8</v>
      </c>
      <c r="C21" s="8" t="s">
        <v>6</v>
      </c>
      <c r="D21" s="9">
        <v>43608</v>
      </c>
      <c r="E21" s="9">
        <v>54481</v>
      </c>
      <c r="F21" s="9">
        <v>53678</v>
      </c>
      <c r="G21" s="9">
        <v>70755</v>
      </c>
      <c r="H21" s="9">
        <v>62912</v>
      </c>
      <c r="I21" s="9">
        <v>68640</v>
      </c>
      <c r="J21" s="9">
        <v>64500</v>
      </c>
      <c r="K21" s="9">
        <v>66723</v>
      </c>
      <c r="L21" s="9">
        <v>72069</v>
      </c>
      <c r="M21" s="9">
        <v>75251</v>
      </c>
      <c r="N21" s="9">
        <v>83552</v>
      </c>
      <c r="O21" s="9">
        <v>99381</v>
      </c>
      <c r="P21" s="9">
        <v>82471</v>
      </c>
      <c r="Q21" s="9">
        <v>82509.3</v>
      </c>
      <c r="R21" s="9">
        <v>81771.3</v>
      </c>
      <c r="S21" s="9">
        <v>89136.1</v>
      </c>
      <c r="T21" s="9">
        <v>114058</v>
      </c>
      <c r="U21" s="9">
        <v>117300</v>
      </c>
      <c r="V21" s="9">
        <v>116500</v>
      </c>
      <c r="W21" s="9">
        <v>114200</v>
      </c>
      <c r="X21" s="9">
        <v>114500</v>
      </c>
      <c r="Y21" s="9">
        <v>161100</v>
      </c>
      <c r="Z21" s="9">
        <v>187430</v>
      </c>
      <c r="AA21" s="10">
        <v>219010</v>
      </c>
      <c r="AB21" s="10">
        <v>263166.3</v>
      </c>
      <c r="AC21" s="10">
        <v>263269.90000000002</v>
      </c>
      <c r="AD21" s="10" t="s">
        <v>19</v>
      </c>
    </row>
    <row r="22" spans="2:30" ht="11.1" customHeight="1" x14ac:dyDescent="0.25">
      <c r="B22" s="7" t="s">
        <v>9</v>
      </c>
      <c r="C22" s="8" t="s">
        <v>6</v>
      </c>
      <c r="D22" s="9">
        <v>180171</v>
      </c>
      <c r="E22" s="9">
        <v>220229</v>
      </c>
      <c r="F22" s="9">
        <v>285350</v>
      </c>
      <c r="G22" s="9">
        <v>282672</v>
      </c>
      <c r="H22" s="9">
        <v>301721</v>
      </c>
      <c r="I22" s="9">
        <v>278973</v>
      </c>
      <c r="J22" s="9">
        <v>186643</v>
      </c>
      <c r="K22" s="9">
        <v>210481.8</v>
      </c>
      <c r="L22" s="9">
        <v>207814.7</v>
      </c>
      <c r="M22" s="9">
        <v>262128.1</v>
      </c>
      <c r="N22" s="9">
        <v>245854.9</v>
      </c>
      <c r="O22" s="9">
        <v>193452.3</v>
      </c>
      <c r="P22" s="9">
        <v>216707.6</v>
      </c>
      <c r="Q22" s="9">
        <v>228519.5</v>
      </c>
      <c r="R22" s="9">
        <v>242740</v>
      </c>
      <c r="S22" s="9">
        <v>181370</v>
      </c>
      <c r="T22" s="9">
        <v>227480</v>
      </c>
      <c r="U22" s="9">
        <v>251520</v>
      </c>
      <c r="V22" s="9">
        <v>230540</v>
      </c>
      <c r="W22" s="9">
        <v>205660</v>
      </c>
      <c r="X22" s="9">
        <v>211703.4</v>
      </c>
      <c r="Y22" s="9">
        <v>228979.1</v>
      </c>
      <c r="Z22" s="9">
        <v>200090</v>
      </c>
      <c r="AA22" s="10">
        <v>237900</v>
      </c>
      <c r="AB22" s="10">
        <v>267050</v>
      </c>
      <c r="AC22" s="10">
        <v>212560</v>
      </c>
      <c r="AD22" s="10" t="s">
        <v>19</v>
      </c>
    </row>
    <row r="23" spans="2:30" ht="11.1" customHeight="1" x14ac:dyDescent="0.25">
      <c r="B23" s="7" t="s">
        <v>10</v>
      </c>
      <c r="C23" s="8" t="s">
        <v>6</v>
      </c>
      <c r="D23" s="9">
        <v>186951</v>
      </c>
      <c r="E23" s="9">
        <v>195887</v>
      </c>
      <c r="F23" s="9">
        <v>156995</v>
      </c>
      <c r="G23" s="9">
        <v>180873</v>
      </c>
      <c r="H23" s="9">
        <v>130303</v>
      </c>
      <c r="I23" s="9">
        <v>129529</v>
      </c>
      <c r="J23" s="9">
        <v>128475</v>
      </c>
      <c r="K23" s="9">
        <v>127913</v>
      </c>
      <c r="L23" s="9">
        <v>129044.8</v>
      </c>
      <c r="M23" s="9">
        <v>123174</v>
      </c>
      <c r="N23" s="9">
        <v>101535</v>
      </c>
      <c r="O23" s="9">
        <v>96395.5</v>
      </c>
      <c r="P23" s="9">
        <v>112447.8</v>
      </c>
      <c r="Q23" s="9">
        <v>109235.3</v>
      </c>
      <c r="R23" s="9">
        <v>96089.3</v>
      </c>
      <c r="S23" s="9">
        <v>73300</v>
      </c>
      <c r="T23" s="9">
        <v>81185.899999999994</v>
      </c>
      <c r="U23" s="9">
        <v>89636.1</v>
      </c>
      <c r="V23" s="9">
        <v>90452.7</v>
      </c>
      <c r="W23" s="9">
        <v>79239.899999999994</v>
      </c>
      <c r="X23" s="9">
        <v>91712.3</v>
      </c>
      <c r="Y23" s="9">
        <v>85130.5</v>
      </c>
      <c r="Z23" s="9">
        <v>82242</v>
      </c>
      <c r="AA23" s="10">
        <v>111008</v>
      </c>
      <c r="AB23" s="10">
        <v>72363</v>
      </c>
      <c r="AC23" s="10">
        <v>123005</v>
      </c>
      <c r="AD23" s="10" t="s">
        <v>19</v>
      </c>
    </row>
    <row r="24" spans="2:30" ht="11.1" customHeight="1" x14ac:dyDescent="0.25">
      <c r="B24" s="7" t="s">
        <v>11</v>
      </c>
      <c r="C24" s="8" t="s">
        <v>6</v>
      </c>
      <c r="D24" s="9">
        <v>85128</v>
      </c>
      <c r="E24" s="9">
        <v>100358</v>
      </c>
      <c r="F24" s="9">
        <v>115011.8</v>
      </c>
      <c r="G24" s="9">
        <v>127799.7</v>
      </c>
      <c r="H24" s="9">
        <v>122744.2</v>
      </c>
      <c r="I24" s="9">
        <v>146447.4</v>
      </c>
      <c r="J24" s="9">
        <v>157346.1</v>
      </c>
      <c r="K24" s="9">
        <v>245195.8</v>
      </c>
      <c r="L24" s="9">
        <v>306390.2</v>
      </c>
      <c r="M24" s="9">
        <v>320923.5</v>
      </c>
      <c r="N24" s="9">
        <v>350690.8</v>
      </c>
      <c r="O24" s="9">
        <v>392892.6</v>
      </c>
      <c r="P24" s="9">
        <v>448739.8</v>
      </c>
      <c r="Q24" s="9">
        <v>536965.1</v>
      </c>
      <c r="R24" s="9">
        <v>539920.1</v>
      </c>
      <c r="S24" s="9">
        <v>559051.9</v>
      </c>
      <c r="T24" s="9">
        <v>650342.9</v>
      </c>
      <c r="U24" s="9">
        <v>730722.7</v>
      </c>
      <c r="V24" s="9">
        <v>770948.5</v>
      </c>
      <c r="W24" s="9">
        <v>873545</v>
      </c>
      <c r="X24" s="9">
        <v>866067.4</v>
      </c>
      <c r="Y24" s="9">
        <v>930725.5</v>
      </c>
      <c r="Z24" s="9">
        <v>1060344.5</v>
      </c>
      <c r="AA24" s="10">
        <v>1189632.6000000001</v>
      </c>
      <c r="AB24" s="10">
        <v>1419173</v>
      </c>
      <c r="AC24" s="10">
        <v>1326996.3</v>
      </c>
      <c r="AD24" s="10" t="s">
        <v>19</v>
      </c>
    </row>
    <row r="25" spans="2:30" ht="11.1" customHeight="1" x14ac:dyDescent="0.25">
      <c r="B25" s="7" t="s">
        <v>12</v>
      </c>
      <c r="C25" s="8" t="s">
        <v>6</v>
      </c>
      <c r="D25" s="9">
        <v>55000</v>
      </c>
      <c r="E25" s="9">
        <v>55000</v>
      </c>
      <c r="F25" s="9">
        <v>34500</v>
      </c>
      <c r="G25" s="9">
        <v>4627</v>
      </c>
      <c r="H25" s="9">
        <v>21900</v>
      </c>
      <c r="I25" s="9">
        <v>27800</v>
      </c>
      <c r="J25" s="9">
        <v>24800</v>
      </c>
      <c r="K25" s="9">
        <v>26000</v>
      </c>
      <c r="L25" s="9">
        <v>24600</v>
      </c>
      <c r="M25" s="9">
        <v>22570</v>
      </c>
      <c r="N25" s="9">
        <v>20900</v>
      </c>
      <c r="O25" s="9">
        <v>25480</v>
      </c>
      <c r="P25" s="9">
        <v>26980</v>
      </c>
      <c r="Q25" s="9">
        <v>17214</v>
      </c>
      <c r="R25" s="9">
        <v>23900</v>
      </c>
      <c r="S25" s="9">
        <v>15200</v>
      </c>
      <c r="T25" s="9">
        <v>24100</v>
      </c>
      <c r="U25" s="9">
        <v>24522</v>
      </c>
      <c r="V25" s="9">
        <v>34447</v>
      </c>
      <c r="W25" s="9">
        <v>25550.7</v>
      </c>
      <c r="X25" s="9">
        <v>29965.599999999999</v>
      </c>
      <c r="Y25" s="9">
        <v>48063.5</v>
      </c>
      <c r="Z25" s="9">
        <v>54340.3</v>
      </c>
      <c r="AA25" s="10">
        <v>62469.7</v>
      </c>
      <c r="AB25" s="10">
        <v>82312.100000000006</v>
      </c>
      <c r="AC25" s="10">
        <v>76654.100000000006</v>
      </c>
      <c r="AD25" s="10" t="s">
        <v>19</v>
      </c>
    </row>
    <row r="26" spans="2:30" ht="11.1" customHeight="1" x14ac:dyDescent="0.25">
      <c r="B26" s="7" t="s">
        <v>13</v>
      </c>
      <c r="C26" s="8" t="s">
        <v>6</v>
      </c>
      <c r="D26" s="9">
        <v>605405.69999999995</v>
      </c>
      <c r="E26" s="9">
        <v>684892</v>
      </c>
      <c r="F26" s="9">
        <v>706750.4</v>
      </c>
      <c r="G26" s="9">
        <v>731165.5</v>
      </c>
      <c r="H26" s="9">
        <v>708865.8</v>
      </c>
      <c r="I26" s="9">
        <v>724597.5</v>
      </c>
      <c r="J26" s="9">
        <v>634082.5</v>
      </c>
      <c r="K26" s="9">
        <v>742343.8</v>
      </c>
      <c r="L26" s="9">
        <v>806014.7</v>
      </c>
      <c r="M26" s="9">
        <v>869257.9</v>
      </c>
      <c r="N26" s="9">
        <v>866712.4</v>
      </c>
      <c r="O26" s="9">
        <v>877599.7</v>
      </c>
      <c r="P26" s="9">
        <v>947667.5</v>
      </c>
      <c r="Q26" s="9">
        <v>1039284</v>
      </c>
      <c r="R26" s="9">
        <v>1055753.8999999999</v>
      </c>
      <c r="S26" s="9">
        <v>996817.5</v>
      </c>
      <c r="T26" s="9">
        <v>1181977</v>
      </c>
      <c r="U26" s="9">
        <v>1301517.6000000001</v>
      </c>
      <c r="V26" s="9">
        <v>1346818.3</v>
      </c>
      <c r="W26" s="9">
        <v>1417192.4</v>
      </c>
      <c r="X26" s="9">
        <v>1449595</v>
      </c>
      <c r="Y26" s="9">
        <v>1586955.6</v>
      </c>
      <c r="Z26" s="9">
        <v>1725402</v>
      </c>
      <c r="AA26" s="10">
        <v>1968953</v>
      </c>
      <c r="AB26" s="10">
        <v>2263389.7999999998</v>
      </c>
      <c r="AC26" s="10">
        <v>2159978.2999999998</v>
      </c>
      <c r="AD26" s="10" t="s">
        <v>19</v>
      </c>
    </row>
    <row r="27" spans="2:30" ht="9.75" customHeight="1" x14ac:dyDescent="0.25">
      <c r="B27" s="326" t="s">
        <v>14</v>
      </c>
      <c r="C27" s="326"/>
      <c r="D27" s="326"/>
      <c r="E27" s="326"/>
      <c r="F27" s="326"/>
      <c r="G27" s="326"/>
      <c r="H27" s="326"/>
      <c r="I27" s="326"/>
      <c r="J27" s="326"/>
      <c r="K27" s="326"/>
      <c r="L27" s="326"/>
      <c r="M27" s="326"/>
      <c r="N27" s="326"/>
      <c r="O27" s="326"/>
      <c r="P27" s="326"/>
      <c r="Q27" s="326"/>
      <c r="R27" s="326"/>
      <c r="S27" s="326"/>
      <c r="T27" s="326"/>
      <c r="U27" s="326"/>
      <c r="V27" s="326"/>
      <c r="W27" s="326"/>
      <c r="X27" s="327"/>
      <c r="Y27" s="327"/>
      <c r="Z27" s="327"/>
      <c r="AA27" s="11"/>
      <c r="AB27" s="11"/>
      <c r="AC27" s="11"/>
      <c r="AD27" s="11"/>
    </row>
    <row r="28" spans="2:30" ht="11.1" customHeight="1" x14ac:dyDescent="0.25">
      <c r="B28" s="7" t="s">
        <v>15</v>
      </c>
      <c r="C28" s="8" t="s">
        <v>6</v>
      </c>
      <c r="D28" s="9">
        <v>111248</v>
      </c>
      <c r="E28" s="9">
        <v>107361.8</v>
      </c>
      <c r="F28" s="9">
        <v>164668</v>
      </c>
      <c r="G28" s="9">
        <v>134634.70000000001</v>
      </c>
      <c r="H28" s="9">
        <v>82539.8</v>
      </c>
      <c r="I28" s="9">
        <v>73978.7</v>
      </c>
      <c r="J28" s="9">
        <v>64999.199999999997</v>
      </c>
      <c r="K28" s="9">
        <v>72846.7</v>
      </c>
      <c r="L28" s="9">
        <v>63750.2</v>
      </c>
      <c r="M28" s="9">
        <v>74450.600000000006</v>
      </c>
      <c r="N28" s="9">
        <v>73986.3</v>
      </c>
      <c r="O28" s="9">
        <v>88828.1</v>
      </c>
      <c r="P28" s="9">
        <v>94827.9</v>
      </c>
      <c r="Q28" s="9">
        <v>64708.3</v>
      </c>
      <c r="R28" s="9">
        <v>71038.899999999994</v>
      </c>
      <c r="S28" s="9">
        <v>115201.5</v>
      </c>
      <c r="T28" s="9">
        <v>106827.1</v>
      </c>
      <c r="U28" s="9">
        <v>124013.8</v>
      </c>
      <c r="V28" s="9">
        <v>118812</v>
      </c>
      <c r="W28" s="9">
        <v>98149.9</v>
      </c>
      <c r="X28" s="9">
        <v>117633.8</v>
      </c>
      <c r="Y28" s="9">
        <v>84843.8</v>
      </c>
      <c r="Z28" s="9">
        <v>76626.3</v>
      </c>
      <c r="AA28" s="10">
        <v>91749.3</v>
      </c>
      <c r="AB28" s="10">
        <v>112360.1</v>
      </c>
      <c r="AC28" s="10">
        <v>77649.2</v>
      </c>
      <c r="AD28" s="10">
        <v>58339.839999999997</v>
      </c>
    </row>
    <row r="29" spans="2:30" ht="11.1" customHeight="1" x14ac:dyDescent="0.25">
      <c r="B29" s="7" t="s">
        <v>16</v>
      </c>
      <c r="C29" s="8" t="s">
        <v>6</v>
      </c>
      <c r="D29" s="9">
        <v>36194.6</v>
      </c>
      <c r="E29" s="9">
        <v>34466</v>
      </c>
      <c r="F29" s="9">
        <v>36504</v>
      </c>
      <c r="G29" s="9">
        <v>34202.9</v>
      </c>
      <c r="H29" s="9">
        <v>36666.400000000001</v>
      </c>
      <c r="I29" s="9">
        <v>32985.5</v>
      </c>
      <c r="J29" s="9">
        <v>34702.300000000003</v>
      </c>
      <c r="K29" s="9">
        <v>27844.2</v>
      </c>
      <c r="L29" s="9">
        <v>24658.799999999999</v>
      </c>
      <c r="M29" s="9">
        <v>21256.1</v>
      </c>
      <c r="N29" s="9">
        <v>15442.9</v>
      </c>
      <c r="O29" s="9">
        <v>14527.5</v>
      </c>
      <c r="P29" s="9">
        <v>33932</v>
      </c>
      <c r="Q29" s="9">
        <v>23914.400000000001</v>
      </c>
      <c r="R29" s="9">
        <v>25056.5</v>
      </c>
      <c r="S29" s="9">
        <v>30460.3</v>
      </c>
      <c r="T29" s="9">
        <v>25108.5</v>
      </c>
      <c r="U29" s="9">
        <v>24354.5</v>
      </c>
      <c r="V29" s="9">
        <v>18069.7</v>
      </c>
      <c r="W29" s="9">
        <v>20631.599999999999</v>
      </c>
      <c r="X29" s="9">
        <v>31807.7</v>
      </c>
      <c r="Y29" s="9">
        <v>18544.5</v>
      </c>
      <c r="Z29" s="9">
        <v>19816.599999999999</v>
      </c>
      <c r="AA29" s="10">
        <v>23161.3</v>
      </c>
      <c r="AB29" s="10">
        <v>17447.3</v>
      </c>
      <c r="AC29" s="10">
        <v>12811.4</v>
      </c>
      <c r="AD29" s="10">
        <v>18197.84</v>
      </c>
    </row>
    <row r="30" spans="2:30" ht="11.1" customHeight="1" x14ac:dyDescent="0.25">
      <c r="B30" s="7" t="s">
        <v>17</v>
      </c>
      <c r="C30" s="8" t="s">
        <v>6</v>
      </c>
      <c r="D30" s="9">
        <v>59331.199999999997</v>
      </c>
      <c r="E30" s="9">
        <v>72057.2</v>
      </c>
      <c r="F30" s="9">
        <v>63812.3</v>
      </c>
      <c r="G30" s="9">
        <v>70047</v>
      </c>
      <c r="H30" s="9">
        <v>65732.5</v>
      </c>
      <c r="I30" s="9">
        <v>54547.199999999997</v>
      </c>
      <c r="J30" s="9">
        <v>58925.9</v>
      </c>
      <c r="K30" s="9">
        <v>43627.3</v>
      </c>
      <c r="L30" s="9">
        <v>54539.3</v>
      </c>
      <c r="M30" s="9">
        <v>46398</v>
      </c>
      <c r="N30" s="9">
        <v>55940.3</v>
      </c>
      <c r="O30" s="9">
        <v>55673.1</v>
      </c>
      <c r="P30" s="9">
        <v>48578.8</v>
      </c>
      <c r="Q30" s="9">
        <v>50644</v>
      </c>
      <c r="R30" s="9">
        <v>56344.7</v>
      </c>
      <c r="S30" s="9">
        <v>40133.199999999997</v>
      </c>
      <c r="T30" s="9">
        <v>38357.4</v>
      </c>
      <c r="U30" s="9">
        <v>42913.4</v>
      </c>
      <c r="V30" s="9">
        <v>47096</v>
      </c>
      <c r="W30" s="9">
        <v>43961.9</v>
      </c>
      <c r="X30" s="9">
        <v>48888.1</v>
      </c>
      <c r="Y30" s="9">
        <v>51601.3</v>
      </c>
      <c r="Z30" s="9">
        <v>70277.899999999994</v>
      </c>
      <c r="AA30" s="10">
        <v>84735.2</v>
      </c>
      <c r="AB30" s="10">
        <v>59948.5</v>
      </c>
      <c r="AC30" s="10">
        <v>55613.2</v>
      </c>
      <c r="AD30" s="10">
        <v>74962.31</v>
      </c>
    </row>
    <row r="31" spans="2:30" ht="11.1" customHeight="1" x14ac:dyDescent="0.25">
      <c r="B31" s="7" t="s">
        <v>18</v>
      </c>
      <c r="C31" s="8" t="s">
        <v>6</v>
      </c>
      <c r="D31" s="9" t="s">
        <v>19</v>
      </c>
      <c r="E31" s="9" t="s">
        <v>19</v>
      </c>
      <c r="F31" s="9" t="s">
        <v>19</v>
      </c>
      <c r="G31" s="9" t="s">
        <v>19</v>
      </c>
      <c r="H31" s="9">
        <v>21593.599999999999</v>
      </c>
      <c r="I31" s="9">
        <v>23498.799999999999</v>
      </c>
      <c r="J31" s="9">
        <v>24591</v>
      </c>
      <c r="K31" s="9">
        <v>21540.400000000001</v>
      </c>
      <c r="L31" s="9">
        <v>23784</v>
      </c>
      <c r="M31" s="9">
        <v>27543.5</v>
      </c>
      <c r="N31" s="9">
        <v>30569.7</v>
      </c>
      <c r="O31" s="9">
        <v>24550.1</v>
      </c>
      <c r="P31" s="9">
        <v>23829.5</v>
      </c>
      <c r="Q31" s="9">
        <v>20860.2</v>
      </c>
      <c r="R31" s="9">
        <v>22022.9</v>
      </c>
      <c r="S31" s="9">
        <v>20396.7</v>
      </c>
      <c r="T31" s="9">
        <v>20914.8</v>
      </c>
      <c r="U31" s="9">
        <v>22378.5</v>
      </c>
      <c r="V31" s="9">
        <v>25286</v>
      </c>
      <c r="W31" s="9">
        <v>23301.200000000001</v>
      </c>
      <c r="X31" s="9">
        <v>29431</v>
      </c>
      <c r="Y31" s="9">
        <v>23898.7</v>
      </c>
      <c r="Z31" s="9">
        <v>28766.400000000001</v>
      </c>
      <c r="AA31" s="10">
        <v>25254.6</v>
      </c>
      <c r="AB31" s="10">
        <v>29851.599999999999</v>
      </c>
      <c r="AC31" s="10">
        <v>33391.9</v>
      </c>
      <c r="AD31" s="10">
        <v>27621.13</v>
      </c>
    </row>
    <row r="32" spans="2:30" ht="11.1" customHeight="1" x14ac:dyDescent="0.25">
      <c r="B32" s="12" t="s">
        <v>20</v>
      </c>
      <c r="C32" s="8" t="s">
        <v>6</v>
      </c>
      <c r="D32" s="9">
        <v>6361.1</v>
      </c>
      <c r="E32" s="9">
        <v>6846</v>
      </c>
      <c r="F32" s="9">
        <v>5754.1</v>
      </c>
      <c r="G32" s="9">
        <v>6353.4</v>
      </c>
      <c r="H32" s="9">
        <v>8575.2000000000007</v>
      </c>
      <c r="I32" s="9">
        <v>14304</v>
      </c>
      <c r="J32" s="9">
        <v>16653.7</v>
      </c>
      <c r="K32" s="9">
        <v>15504.7</v>
      </c>
      <c r="L32" s="9">
        <v>17991.2</v>
      </c>
      <c r="M32" s="9">
        <v>12781</v>
      </c>
      <c r="N32" s="9">
        <v>8976.7999999999993</v>
      </c>
      <c r="O32" s="9">
        <v>11692.4</v>
      </c>
      <c r="P32" s="9">
        <v>11074.3</v>
      </c>
      <c r="Q32" s="9">
        <v>11638.9</v>
      </c>
      <c r="R32" s="9">
        <v>11995.7</v>
      </c>
      <c r="S32" s="9">
        <v>11216.4</v>
      </c>
      <c r="T32" s="9">
        <v>8473.9</v>
      </c>
      <c r="U32" s="9">
        <v>7694.2</v>
      </c>
      <c r="V32" s="9">
        <v>10040.4</v>
      </c>
      <c r="W32" s="9">
        <v>9158.7000000000007</v>
      </c>
      <c r="X32" s="9">
        <v>8475.9</v>
      </c>
      <c r="Y32" s="9">
        <v>10758.9</v>
      </c>
      <c r="Z32" s="9">
        <v>10635.3</v>
      </c>
      <c r="AA32" s="10">
        <v>9452</v>
      </c>
      <c r="AB32" s="10">
        <v>8779</v>
      </c>
      <c r="AC32" s="10">
        <v>9404.6</v>
      </c>
      <c r="AD32" s="10">
        <v>11412</v>
      </c>
    </row>
    <row r="33" spans="2:30" ht="11.1" customHeight="1" x14ac:dyDescent="0.25">
      <c r="B33" s="7" t="s">
        <v>21</v>
      </c>
      <c r="C33" s="8" t="s">
        <v>6</v>
      </c>
      <c r="D33" s="9">
        <v>51601.7</v>
      </c>
      <c r="E33" s="9">
        <v>49877.7</v>
      </c>
      <c r="F33" s="9">
        <v>62694.9</v>
      </c>
      <c r="G33" s="9">
        <v>78942.5</v>
      </c>
      <c r="H33" s="9">
        <v>67912.5</v>
      </c>
      <c r="I33" s="9">
        <v>46830.9</v>
      </c>
      <c r="J33" s="9">
        <v>42470.6</v>
      </c>
      <c r="K33" s="9">
        <v>28704</v>
      </c>
      <c r="L33" s="9">
        <v>32601.4</v>
      </c>
      <c r="M33" s="9">
        <v>31960.2</v>
      </c>
      <c r="N33" s="9">
        <v>38895.1</v>
      </c>
      <c r="O33" s="9">
        <v>30139.5</v>
      </c>
      <c r="P33" s="9">
        <v>30917</v>
      </c>
      <c r="Q33" s="9">
        <v>28034.6</v>
      </c>
      <c r="R33" s="9">
        <v>24841.5</v>
      </c>
      <c r="S33" s="9">
        <v>31215.8</v>
      </c>
      <c r="T33" s="9">
        <v>34974.800000000003</v>
      </c>
      <c r="U33" s="9">
        <v>48754.7</v>
      </c>
      <c r="V33" s="9">
        <v>35673.699999999997</v>
      </c>
      <c r="W33" s="9">
        <v>38401.5</v>
      </c>
      <c r="X33" s="9">
        <v>32078.1</v>
      </c>
      <c r="Y33" s="9">
        <v>39789.699999999997</v>
      </c>
      <c r="Z33" s="9">
        <v>35647.1</v>
      </c>
      <c r="AA33" s="10">
        <v>34684.699999999997</v>
      </c>
      <c r="AB33" s="10">
        <v>40147.599999999999</v>
      </c>
      <c r="AC33" s="10">
        <v>38605.599999999999</v>
      </c>
      <c r="AD33" s="10">
        <v>43083.74</v>
      </c>
    </row>
    <row r="34" spans="2:30" ht="11.1" customHeight="1" x14ac:dyDescent="0.25">
      <c r="B34" s="7" t="s">
        <v>22</v>
      </c>
      <c r="C34" s="8" t="s">
        <v>6</v>
      </c>
      <c r="D34" s="9">
        <v>56874</v>
      </c>
      <c r="E34" s="9">
        <v>56516.9</v>
      </c>
      <c r="F34" s="9">
        <v>62134.1</v>
      </c>
      <c r="G34" s="9">
        <v>72432</v>
      </c>
      <c r="H34" s="9">
        <v>77840</v>
      </c>
      <c r="I34" s="9">
        <v>38155.699999999997</v>
      </c>
      <c r="J34" s="9">
        <v>43807.199999999997</v>
      </c>
      <c r="K34" s="9">
        <v>37524.800000000003</v>
      </c>
      <c r="L34" s="9">
        <v>40975.4</v>
      </c>
      <c r="M34" s="9">
        <v>44567.6</v>
      </c>
      <c r="N34" s="9">
        <v>45341.4</v>
      </c>
      <c r="O34" s="9">
        <v>24220.5</v>
      </c>
      <c r="P34" s="9">
        <v>30551.4</v>
      </c>
      <c r="Q34" s="9">
        <v>40603.300000000003</v>
      </c>
      <c r="R34" s="9">
        <v>38365.699999999997</v>
      </c>
      <c r="S34" s="9">
        <v>39476.699999999997</v>
      </c>
      <c r="T34" s="9">
        <v>36807.4</v>
      </c>
      <c r="U34" s="9">
        <v>35874.800000000003</v>
      </c>
      <c r="V34" s="9">
        <v>38544</v>
      </c>
      <c r="W34" s="9">
        <v>39734.9</v>
      </c>
      <c r="X34" s="9">
        <v>43424.7</v>
      </c>
      <c r="Y34" s="9">
        <v>41268</v>
      </c>
      <c r="Z34" s="9">
        <v>35489.599999999999</v>
      </c>
      <c r="AA34" s="10">
        <v>35447</v>
      </c>
      <c r="AB34" s="10">
        <v>32571</v>
      </c>
      <c r="AC34" s="10">
        <v>46871.7</v>
      </c>
      <c r="AD34" s="10">
        <v>39382.949999999997</v>
      </c>
    </row>
    <row r="35" spans="2:30" ht="11.1" customHeight="1" x14ac:dyDescent="0.25">
      <c r="B35" s="7" t="s">
        <v>23</v>
      </c>
      <c r="C35" s="8" t="s">
        <v>6</v>
      </c>
      <c r="D35" s="9">
        <v>9968</v>
      </c>
      <c r="E35" s="9">
        <v>29061.1</v>
      </c>
      <c r="F35" s="9">
        <v>32729.1</v>
      </c>
      <c r="G35" s="9">
        <v>31826</v>
      </c>
      <c r="H35" s="9">
        <v>19997.8</v>
      </c>
      <c r="I35" s="9">
        <v>8200.7000000000007</v>
      </c>
      <c r="J35" s="9">
        <v>3584.1</v>
      </c>
      <c r="K35" s="9">
        <v>2749.4</v>
      </c>
      <c r="L35" s="9">
        <v>2199.6999999999998</v>
      </c>
      <c r="M35" s="9">
        <v>1655.7</v>
      </c>
      <c r="N35" s="9" t="s">
        <v>24</v>
      </c>
      <c r="O35" s="9" t="s">
        <v>24</v>
      </c>
      <c r="P35" s="9" t="s">
        <v>24</v>
      </c>
      <c r="Q35" s="9" t="s">
        <v>24</v>
      </c>
      <c r="R35" s="9" t="s">
        <v>24</v>
      </c>
      <c r="S35" s="9" t="s">
        <v>24</v>
      </c>
      <c r="T35" s="9" t="s">
        <v>24</v>
      </c>
      <c r="U35" s="9" t="s">
        <v>24</v>
      </c>
      <c r="V35" s="9" t="s">
        <v>24</v>
      </c>
      <c r="W35" s="9" t="s">
        <v>24</v>
      </c>
      <c r="X35" s="9" t="s">
        <v>24</v>
      </c>
      <c r="Y35" s="9" t="s">
        <v>24</v>
      </c>
      <c r="Z35" s="9" t="s">
        <v>24</v>
      </c>
      <c r="AA35" s="10" t="s">
        <v>24</v>
      </c>
      <c r="AB35" s="10" t="s">
        <v>24</v>
      </c>
      <c r="AC35" s="10" t="s">
        <v>24</v>
      </c>
      <c r="AD35" s="10" t="s">
        <v>24</v>
      </c>
    </row>
    <row r="36" spans="2:30" ht="11.1" customHeight="1" x14ac:dyDescent="0.25">
      <c r="B36" s="7" t="s">
        <v>25</v>
      </c>
      <c r="C36" s="8" t="s">
        <v>6</v>
      </c>
      <c r="D36" s="9">
        <v>1725.6</v>
      </c>
      <c r="E36" s="9" t="s">
        <v>19</v>
      </c>
      <c r="F36" s="9" t="s">
        <v>19</v>
      </c>
      <c r="G36" s="9" t="s">
        <v>19</v>
      </c>
      <c r="H36" s="9">
        <v>694.3</v>
      </c>
      <c r="I36" s="9">
        <v>1474.5</v>
      </c>
      <c r="J36" s="9">
        <v>386.8</v>
      </c>
      <c r="K36" s="9">
        <v>191.4</v>
      </c>
      <c r="L36" s="9" t="s">
        <v>19</v>
      </c>
      <c r="M36" s="9" t="s">
        <v>19</v>
      </c>
      <c r="N36" s="9">
        <v>1163.3</v>
      </c>
      <c r="O36" s="9">
        <v>3743.6</v>
      </c>
      <c r="P36" s="9">
        <v>2945.9</v>
      </c>
      <c r="Q36" s="9">
        <v>1026.8</v>
      </c>
      <c r="R36" s="9">
        <v>502.2</v>
      </c>
      <c r="S36" s="9">
        <v>546.20000000000005</v>
      </c>
      <c r="T36" s="9">
        <v>2761.5</v>
      </c>
      <c r="U36" s="9">
        <v>4610.1000000000004</v>
      </c>
      <c r="V36" s="9">
        <v>5998.5</v>
      </c>
      <c r="W36" s="9">
        <v>6715.1</v>
      </c>
      <c r="X36" s="9">
        <v>6334.4</v>
      </c>
      <c r="Y36" s="9">
        <v>5340.3</v>
      </c>
      <c r="Z36" s="9">
        <v>4688.7</v>
      </c>
      <c r="AA36" s="10">
        <v>4437.8999999999996</v>
      </c>
      <c r="AB36" s="10">
        <v>1257.3</v>
      </c>
      <c r="AC36" s="10">
        <v>4046.1</v>
      </c>
      <c r="AD36" s="10">
        <v>2746.23</v>
      </c>
    </row>
    <row r="37" spans="2:30" ht="11.25" customHeight="1" x14ac:dyDescent="0.25">
      <c r="B37" s="7" t="s">
        <v>26</v>
      </c>
      <c r="C37" s="8" t="s">
        <v>6</v>
      </c>
      <c r="D37" s="9">
        <v>1957.2</v>
      </c>
      <c r="E37" s="9">
        <v>443.5</v>
      </c>
      <c r="F37" s="9">
        <v>2858.1</v>
      </c>
      <c r="G37" s="9">
        <v>735.7</v>
      </c>
      <c r="H37" s="9">
        <v>1158.3</v>
      </c>
      <c r="I37" s="9">
        <v>1889.4</v>
      </c>
      <c r="J37" s="9">
        <v>1907.4</v>
      </c>
      <c r="K37" s="9">
        <v>886.9</v>
      </c>
      <c r="L37" s="9">
        <v>1042.0999999999999</v>
      </c>
      <c r="M37" s="9">
        <v>232</v>
      </c>
      <c r="N37" s="9">
        <v>461.4</v>
      </c>
      <c r="O37" s="9">
        <v>92.9</v>
      </c>
      <c r="P37" s="9">
        <v>1656.8</v>
      </c>
      <c r="Q37" s="9">
        <v>2075</v>
      </c>
      <c r="R37" s="9">
        <v>241.6</v>
      </c>
      <c r="S37" s="9" t="s">
        <v>24</v>
      </c>
      <c r="T37" s="9">
        <v>890.5</v>
      </c>
      <c r="U37" s="9">
        <v>1034.9000000000001</v>
      </c>
      <c r="V37" s="9">
        <v>572.1</v>
      </c>
      <c r="W37" s="9">
        <v>2699</v>
      </c>
      <c r="X37" s="9">
        <v>1002.2</v>
      </c>
      <c r="Y37" s="9">
        <v>349.6</v>
      </c>
      <c r="Z37" s="9">
        <v>1607.3</v>
      </c>
      <c r="AA37" s="10">
        <v>620.79999999999995</v>
      </c>
      <c r="AB37" s="10">
        <v>2728.5</v>
      </c>
      <c r="AC37" s="10">
        <v>3630.7</v>
      </c>
      <c r="AD37" s="10">
        <v>3137.5</v>
      </c>
    </row>
    <row r="38" spans="2:30" ht="11.25" customHeight="1" x14ac:dyDescent="0.25">
      <c r="B38" s="7" t="s">
        <v>30</v>
      </c>
      <c r="C38" s="8" t="s">
        <v>6</v>
      </c>
      <c r="D38" s="9">
        <v>15534.2</v>
      </c>
      <c r="E38" s="9">
        <v>9521.1</v>
      </c>
      <c r="F38" s="9">
        <v>13343.6</v>
      </c>
      <c r="G38" s="9">
        <v>15297.7</v>
      </c>
      <c r="H38" s="9" t="s">
        <v>19</v>
      </c>
      <c r="I38" s="9" t="s">
        <v>19</v>
      </c>
      <c r="J38" s="9" t="s">
        <v>19</v>
      </c>
      <c r="K38" s="9" t="s">
        <v>19</v>
      </c>
      <c r="L38" s="9" t="s">
        <v>19</v>
      </c>
      <c r="M38" s="9" t="s">
        <v>19</v>
      </c>
      <c r="N38" s="9" t="s">
        <v>19</v>
      </c>
      <c r="O38" s="9" t="s">
        <v>19</v>
      </c>
      <c r="P38" s="9" t="s">
        <v>19</v>
      </c>
      <c r="Q38" s="9" t="s">
        <v>19</v>
      </c>
      <c r="R38" s="9" t="s">
        <v>19</v>
      </c>
      <c r="S38" s="9" t="s">
        <v>19</v>
      </c>
      <c r="T38" s="9" t="s">
        <v>19</v>
      </c>
      <c r="U38" s="9" t="s">
        <v>19</v>
      </c>
      <c r="V38" s="9" t="s">
        <v>19</v>
      </c>
      <c r="W38" s="9" t="s">
        <v>19</v>
      </c>
      <c r="X38" s="9" t="s">
        <v>19</v>
      </c>
      <c r="Y38" s="9" t="s">
        <v>19</v>
      </c>
      <c r="Z38" s="9" t="s">
        <v>19</v>
      </c>
      <c r="AA38" s="10" t="s">
        <v>19</v>
      </c>
      <c r="AB38" s="10" t="s">
        <v>19</v>
      </c>
      <c r="AC38" s="10" t="s">
        <v>19</v>
      </c>
      <c r="AD38" s="10" t="s">
        <v>19</v>
      </c>
    </row>
    <row r="39" spans="2:30" ht="11.25" customHeight="1" x14ac:dyDescent="0.25">
      <c r="B39" s="7" t="s">
        <v>31</v>
      </c>
      <c r="C39" s="8" t="s">
        <v>6</v>
      </c>
      <c r="D39" s="9">
        <v>4018.2</v>
      </c>
      <c r="E39" s="9">
        <v>5591.4</v>
      </c>
      <c r="F39" s="9">
        <v>5775.8</v>
      </c>
      <c r="G39" s="9">
        <v>5619</v>
      </c>
      <c r="H39" s="9" t="s">
        <v>19</v>
      </c>
      <c r="I39" s="9" t="s">
        <v>19</v>
      </c>
      <c r="J39" s="9" t="s">
        <v>19</v>
      </c>
      <c r="K39" s="9" t="s">
        <v>19</v>
      </c>
      <c r="L39" s="9" t="s">
        <v>19</v>
      </c>
      <c r="M39" s="9" t="s">
        <v>19</v>
      </c>
      <c r="N39" s="9" t="s">
        <v>19</v>
      </c>
      <c r="O39" s="9" t="s">
        <v>19</v>
      </c>
      <c r="P39" s="9" t="s">
        <v>19</v>
      </c>
      <c r="Q39" s="9" t="s">
        <v>19</v>
      </c>
      <c r="R39" s="9" t="s">
        <v>19</v>
      </c>
      <c r="S39" s="9" t="s">
        <v>19</v>
      </c>
      <c r="T39" s="9" t="s">
        <v>19</v>
      </c>
      <c r="U39" s="9" t="s">
        <v>19</v>
      </c>
      <c r="V39" s="9" t="s">
        <v>19</v>
      </c>
      <c r="W39" s="9" t="s">
        <v>19</v>
      </c>
      <c r="X39" s="9" t="s">
        <v>19</v>
      </c>
      <c r="Y39" s="9" t="s">
        <v>19</v>
      </c>
      <c r="Z39" s="9" t="s">
        <v>19</v>
      </c>
      <c r="AA39" s="10" t="s">
        <v>19</v>
      </c>
      <c r="AB39" s="10" t="s">
        <v>19</v>
      </c>
      <c r="AC39" s="10" t="s">
        <v>19</v>
      </c>
      <c r="AD39" s="10" t="s">
        <v>19</v>
      </c>
    </row>
    <row r="40" spans="2:30" ht="11.1" customHeight="1" x14ac:dyDescent="0.25">
      <c r="B40" s="7" t="s">
        <v>32</v>
      </c>
      <c r="C40" s="8" t="s">
        <v>6</v>
      </c>
      <c r="D40" s="9">
        <v>53262.2</v>
      </c>
      <c r="E40" s="9">
        <v>29918.400000000001</v>
      </c>
      <c r="F40" s="9">
        <v>26473.599999999999</v>
      </c>
      <c r="G40" s="9">
        <v>31019.200000000001</v>
      </c>
      <c r="H40" s="9">
        <v>32137.1</v>
      </c>
      <c r="I40" s="9">
        <v>46084.9</v>
      </c>
      <c r="J40" s="9">
        <v>37941.599999999999</v>
      </c>
      <c r="K40" s="9">
        <v>26604.9</v>
      </c>
      <c r="L40" s="9">
        <v>32648.400000000001</v>
      </c>
      <c r="M40" s="9">
        <v>28087.599999999999</v>
      </c>
      <c r="N40" s="9">
        <v>43915.5</v>
      </c>
      <c r="O40" s="9">
        <v>52526.8</v>
      </c>
      <c r="P40" s="9">
        <v>42497.1</v>
      </c>
      <c r="Q40" s="9">
        <v>64738.7</v>
      </c>
      <c r="R40" s="9">
        <v>67404.100000000006</v>
      </c>
      <c r="S40" s="9">
        <v>51806.3</v>
      </c>
      <c r="T40" s="9">
        <v>75160</v>
      </c>
      <c r="U40" s="9">
        <v>127200.6</v>
      </c>
      <c r="V40" s="9">
        <v>103258.2</v>
      </c>
      <c r="W40" s="9">
        <v>107324.5</v>
      </c>
      <c r="X40" s="9">
        <v>117893.4</v>
      </c>
      <c r="Y40" s="9">
        <v>161984.20000000001</v>
      </c>
      <c r="Z40" s="9">
        <v>90069.4</v>
      </c>
      <c r="AA40" s="10">
        <v>127468.7</v>
      </c>
      <c r="AB40" s="10">
        <v>106690.7</v>
      </c>
      <c r="AC40" s="10">
        <v>120708.4</v>
      </c>
      <c r="AD40" s="10">
        <v>120437.6</v>
      </c>
    </row>
    <row r="41" spans="2:30" ht="11.1" customHeight="1" x14ac:dyDescent="0.25">
      <c r="B41" s="7" t="s">
        <v>13</v>
      </c>
      <c r="C41" s="8" t="s">
        <v>6</v>
      </c>
      <c r="D41" s="9">
        <v>408075.9</v>
      </c>
      <c r="E41" s="9">
        <v>401661.1</v>
      </c>
      <c r="F41" s="9">
        <v>476747.6</v>
      </c>
      <c r="G41" s="9">
        <v>481110</v>
      </c>
      <c r="H41" s="9">
        <v>414847.4</v>
      </c>
      <c r="I41" s="9">
        <v>341950.2</v>
      </c>
      <c r="J41" s="9">
        <v>329969.8</v>
      </c>
      <c r="K41" s="9">
        <v>278024.59999999998</v>
      </c>
      <c r="L41" s="9">
        <v>294190.40000000002</v>
      </c>
      <c r="M41" s="9">
        <v>288932.3</v>
      </c>
      <c r="N41" s="9">
        <v>314692.7</v>
      </c>
      <c r="O41" s="9">
        <v>305994.5</v>
      </c>
      <c r="P41" s="9">
        <v>320810.7</v>
      </c>
      <c r="Q41" s="9">
        <v>308244.09999999998</v>
      </c>
      <c r="R41" s="9">
        <v>317813.8</v>
      </c>
      <c r="S41" s="9">
        <v>340453.1</v>
      </c>
      <c r="T41" s="9">
        <v>350275.8</v>
      </c>
      <c r="U41" s="9">
        <v>438829.5</v>
      </c>
      <c r="V41" s="9">
        <v>403350.4</v>
      </c>
      <c r="W41" s="9">
        <v>390078.3</v>
      </c>
      <c r="X41" s="9">
        <v>436969.3</v>
      </c>
      <c r="Y41" s="9">
        <v>438378.9</v>
      </c>
      <c r="Z41" s="9">
        <v>373624.6</v>
      </c>
      <c r="AA41" s="10">
        <v>437011.5</v>
      </c>
      <c r="AB41" s="10">
        <v>411781.6</v>
      </c>
      <c r="AC41" s="10">
        <v>402732.79999999999</v>
      </c>
      <c r="AD41" s="10">
        <v>399321.13</v>
      </c>
    </row>
    <row r="42" spans="2:30" ht="12.6" customHeight="1" x14ac:dyDescent="0.25">
      <c r="B42" s="13" t="s">
        <v>27</v>
      </c>
      <c r="C42" s="14" t="s">
        <v>6</v>
      </c>
      <c r="D42" s="15">
        <v>2109210.2000000002</v>
      </c>
      <c r="E42" s="15">
        <v>2367426.6</v>
      </c>
      <c r="F42" s="15">
        <v>2464479.9</v>
      </c>
      <c r="G42" s="15">
        <v>2444875.2000000002</v>
      </c>
      <c r="H42" s="15">
        <v>2287502.4</v>
      </c>
      <c r="I42" s="15">
        <v>2187595.9</v>
      </c>
      <c r="J42" s="15">
        <v>2085582.1</v>
      </c>
      <c r="K42" s="15">
        <v>2167135.7999999998</v>
      </c>
      <c r="L42" s="15">
        <v>2216710.5</v>
      </c>
      <c r="M42" s="15">
        <v>2207100.6</v>
      </c>
      <c r="N42" s="15">
        <v>2214273</v>
      </c>
      <c r="O42" s="15">
        <v>2192253.2000000002</v>
      </c>
      <c r="P42" s="15">
        <v>2240650.4</v>
      </c>
      <c r="Q42" s="15">
        <v>2304970.9</v>
      </c>
      <c r="R42" s="15">
        <v>2386168.9</v>
      </c>
      <c r="S42" s="15">
        <v>2473090</v>
      </c>
      <c r="T42" s="15">
        <v>2764205.8</v>
      </c>
      <c r="U42" s="15">
        <v>3020401.7</v>
      </c>
      <c r="V42" s="15">
        <v>3057582.5</v>
      </c>
      <c r="W42" s="15">
        <v>3177773.4</v>
      </c>
      <c r="X42" s="15">
        <v>3210125.1</v>
      </c>
      <c r="Y42" s="15">
        <v>3133595.1</v>
      </c>
      <c r="Z42" s="15">
        <v>3174525.1</v>
      </c>
      <c r="AA42" s="10">
        <v>3450102.8</v>
      </c>
      <c r="AB42" s="10">
        <v>3826939.4</v>
      </c>
      <c r="AC42" s="10">
        <v>3701835.4</v>
      </c>
      <c r="AD42" s="297" t="s">
        <v>19</v>
      </c>
    </row>
    <row r="43" spans="2:30" ht="54" customHeight="1" x14ac:dyDescent="0.25">
      <c r="B43" s="328" t="s">
        <v>28</v>
      </c>
      <c r="C43" s="328"/>
      <c r="D43" s="328"/>
      <c r="E43" s="328"/>
      <c r="F43" s="328"/>
      <c r="G43" s="328"/>
      <c r="H43" s="328"/>
      <c r="I43" s="328"/>
      <c r="J43" s="328"/>
      <c r="K43" s="328"/>
      <c r="L43" s="328"/>
      <c r="M43" s="328"/>
      <c r="N43" s="328"/>
      <c r="O43" s="328"/>
      <c r="P43" s="328"/>
      <c r="Q43" s="328"/>
      <c r="R43" s="328"/>
      <c r="S43" s="328"/>
      <c r="T43" s="328"/>
      <c r="U43" s="328"/>
      <c r="V43" s="328"/>
      <c r="W43" s="328"/>
      <c r="X43" s="328"/>
      <c r="Y43" s="328"/>
      <c r="Z43" s="328"/>
      <c r="AA43" s="328"/>
      <c r="AB43" s="328"/>
      <c r="AC43" s="328"/>
    </row>
  </sheetData>
  <mergeCells count="5">
    <mergeCell ref="B7:Z7"/>
    <mergeCell ref="B9:Z9"/>
    <mergeCell ref="B18:Z18"/>
    <mergeCell ref="B27:Z27"/>
    <mergeCell ref="B43:AC43"/>
  </mergeCells>
  <conditionalFormatting sqref="B6:Y6 AA6:AD6 B9:AD42">
    <cfRule type="cellIs" dxfId="953" priority="39" stopIfTrue="1" operator="lessThanOrEqual">
      <formula>-100</formula>
    </cfRule>
    <cfRule type="cellIs" dxfId="952" priority="40" stopIfTrue="1" operator="between">
      <formula>-99.999999999999</formula>
      <formula>99.999999999999</formula>
    </cfRule>
    <cfRule type="cellIs" dxfId="951" priority="41" stopIfTrue="1" operator="greaterThanOrEqual">
      <formula>100</formula>
    </cfRule>
  </conditionalFormatting>
  <conditionalFormatting sqref="B7:AD8">
    <cfRule type="cellIs" dxfId="950" priority="18" stopIfTrue="1" operator="equal">
      <formula>0</formula>
    </cfRule>
    <cfRule type="cellIs" dxfId="949" priority="19" stopIfTrue="1" operator="lessThanOrEqual">
      <formula>-100</formula>
    </cfRule>
    <cfRule type="cellIs" dxfId="948" priority="20" stopIfTrue="1" operator="between">
      <formula>-99.999999999999</formula>
      <formula>99.999999999999</formula>
    </cfRule>
    <cfRule type="cellIs" dxfId="947" priority="21" stopIfTrue="1" operator="greaterThanOrEqual">
      <formula>100</formula>
    </cfRule>
  </conditionalFormatting>
  <conditionalFormatting sqref="B9:AD42 B6:Y6 AA6:AD6">
    <cfRule type="cellIs" dxfId="946" priority="38" stopIfTrue="1" operator="equal">
      <formula>0</formula>
    </cfRule>
  </conditionalFormatting>
  <conditionalFormatting sqref="D10:AD17">
    <cfRule type="cellIs" dxfId="945" priority="16" operator="lessThanOrEqual">
      <formula>99</formula>
    </cfRule>
    <cfRule type="cellIs" dxfId="944" priority="17" operator="greaterThanOrEqual">
      <formula>100</formula>
    </cfRule>
  </conditionalFormatting>
  <conditionalFormatting sqref="D19:AD26">
    <cfRule type="cellIs" dxfId="943" priority="14" operator="lessThanOrEqual">
      <formula>99</formula>
    </cfRule>
    <cfRule type="cellIs" dxfId="942" priority="15" operator="greaterThanOrEqual">
      <formula>100</formula>
    </cfRule>
  </conditionalFormatting>
  <conditionalFormatting sqref="D28:AD42">
    <cfRule type="cellIs" dxfId="941" priority="26" operator="lessThanOrEqual">
      <formula>99</formula>
    </cfRule>
    <cfRule type="cellIs" dxfId="940" priority="27" operator="greaterThanOrEqual">
      <formula>100</formula>
    </cfRule>
  </conditionalFormatting>
  <conditionalFormatting sqref="AD35">
    <cfRule type="cellIs" dxfId="939" priority="7" operator="lessThanOrEqual">
      <formula>99</formula>
    </cfRule>
    <cfRule type="cellIs" dxfId="938" priority="8" operator="greaterThanOrEqual">
      <formula>100</formula>
    </cfRule>
  </conditionalFormatting>
  <conditionalFormatting sqref="AD38:AD39">
    <cfRule type="cellIs" dxfId="937" priority="3" operator="lessThanOrEqual">
      <formula>99</formula>
    </cfRule>
    <cfRule type="cellIs" dxfId="936" priority="4" operator="greaterThanOrEqual">
      <formula>100</formula>
    </cfRule>
  </conditionalFormatting>
  <conditionalFormatting sqref="AD42">
    <cfRule type="cellIs" dxfId="935" priority="1" operator="lessThanOrEqual">
      <formula>99</formula>
    </cfRule>
    <cfRule type="cellIs" dxfId="934" priority="2" operator="greaterThanOrEqual">
      <formula>100</formula>
    </cfRule>
  </conditionalFormatting>
  <pageMargins left="0.7" right="0.7" top="0.75" bottom="0.75" header="0.3" footer="0.3"/>
  <pageSetup paperSize="9" scale="22"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9228-8C1E-4797-BA8F-3A719BD88A58}">
  <sheetPr>
    <pageSetUpPr fitToPage="1"/>
  </sheetPr>
  <dimension ref="B6:AD51"/>
  <sheetViews>
    <sheetView zoomScaleNormal="100" workbookViewId="0"/>
  </sheetViews>
  <sheetFormatPr defaultColWidth="9.140625" defaultRowHeight="15" x14ac:dyDescent="0.25"/>
  <cols>
    <col min="1" max="1" width="9.140625" style="20"/>
    <col min="2" max="2" width="36.5703125" style="20" customWidth="1"/>
    <col min="3" max="3" width="6.28515625" style="20" customWidth="1"/>
    <col min="4" max="4" width="10.42578125" style="20" customWidth="1"/>
    <col min="5" max="30" width="9" style="20" customWidth="1"/>
    <col min="31" max="16384" width="9.140625" style="20"/>
  </cols>
  <sheetData>
    <row r="6" spans="2:30" ht="12" customHeight="1" x14ac:dyDescent="0.25">
      <c r="B6" s="16"/>
      <c r="C6" s="17"/>
      <c r="D6" s="17"/>
      <c r="E6" s="17"/>
      <c r="F6" s="17"/>
      <c r="G6" s="17"/>
      <c r="H6" s="17"/>
      <c r="I6" s="17"/>
      <c r="J6" s="17"/>
      <c r="K6" s="17"/>
      <c r="L6" s="17"/>
      <c r="M6" s="17"/>
      <c r="N6" s="17"/>
      <c r="O6" s="17"/>
      <c r="P6" s="17"/>
      <c r="Q6" s="17"/>
      <c r="R6" s="17"/>
      <c r="S6" s="17"/>
      <c r="T6" s="17"/>
      <c r="U6" s="17"/>
      <c r="V6" s="17"/>
      <c r="W6" s="17"/>
      <c r="X6" s="17"/>
      <c r="Y6" s="17"/>
      <c r="Z6" s="17"/>
      <c r="AA6" s="19"/>
      <c r="AB6" s="19"/>
      <c r="AC6" s="19"/>
      <c r="AD6" s="19" t="s">
        <v>0</v>
      </c>
    </row>
    <row r="7" spans="2:30" ht="27" customHeight="1" x14ac:dyDescent="0.25">
      <c r="B7" s="331" t="s">
        <v>306</v>
      </c>
      <c r="C7" s="331"/>
      <c r="D7" s="331"/>
      <c r="E7" s="331"/>
      <c r="F7" s="331"/>
      <c r="G7" s="331"/>
      <c r="H7" s="331"/>
      <c r="I7" s="331"/>
      <c r="J7" s="331"/>
      <c r="K7" s="331"/>
      <c r="L7" s="331"/>
      <c r="M7" s="331"/>
      <c r="N7" s="331"/>
      <c r="O7" s="331"/>
      <c r="P7" s="331"/>
      <c r="Q7" s="331"/>
      <c r="R7" s="331"/>
      <c r="S7" s="331"/>
      <c r="T7" s="331"/>
      <c r="U7" s="331"/>
      <c r="V7" s="331"/>
      <c r="W7" s="331"/>
      <c r="X7" s="331"/>
      <c r="Y7" s="331"/>
      <c r="Z7" s="331"/>
      <c r="AA7" s="1"/>
      <c r="AB7" s="1"/>
      <c r="AC7" s="1"/>
      <c r="AD7" s="1"/>
    </row>
    <row r="8" spans="2:30" ht="12.6" customHeight="1" x14ac:dyDescent="0.25">
      <c r="B8" s="56" t="s">
        <v>307</v>
      </c>
      <c r="C8" s="180"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547</v>
      </c>
    </row>
    <row r="9" spans="2:30" ht="11.1" customHeight="1" x14ac:dyDescent="0.25">
      <c r="B9" s="332" t="s">
        <v>308</v>
      </c>
      <c r="C9" s="332"/>
      <c r="D9" s="332"/>
      <c r="E9" s="332"/>
      <c r="F9" s="332"/>
      <c r="G9" s="332"/>
      <c r="H9" s="332"/>
      <c r="I9" s="332"/>
      <c r="J9" s="332"/>
      <c r="K9" s="332"/>
      <c r="L9" s="332"/>
      <c r="M9" s="332"/>
      <c r="N9" s="332"/>
      <c r="O9" s="332"/>
      <c r="P9" s="332"/>
      <c r="Q9" s="332"/>
      <c r="R9" s="332"/>
      <c r="S9" s="332"/>
      <c r="T9" s="332"/>
      <c r="U9" s="332"/>
      <c r="V9" s="332"/>
      <c r="W9" s="332"/>
      <c r="X9" s="332"/>
      <c r="Y9" s="332"/>
      <c r="Z9" s="332"/>
      <c r="AA9" s="88"/>
      <c r="AB9" s="88"/>
      <c r="AC9" s="88"/>
      <c r="AD9" s="88"/>
    </row>
    <row r="10" spans="2:30" ht="11.1" customHeight="1" x14ac:dyDescent="0.25">
      <c r="B10" s="329" t="s">
        <v>196</v>
      </c>
      <c r="C10" s="329"/>
      <c r="D10" s="329"/>
      <c r="E10" s="329"/>
      <c r="F10" s="329"/>
      <c r="G10" s="329"/>
      <c r="H10" s="329"/>
      <c r="I10" s="329"/>
      <c r="J10" s="329"/>
      <c r="K10" s="329"/>
      <c r="L10" s="329"/>
      <c r="M10" s="329"/>
      <c r="N10" s="329"/>
      <c r="O10" s="329"/>
      <c r="P10" s="329"/>
      <c r="Q10" s="329"/>
      <c r="R10" s="329"/>
      <c r="S10" s="329"/>
      <c r="T10" s="329"/>
      <c r="U10" s="329"/>
      <c r="V10" s="329"/>
      <c r="W10" s="329"/>
      <c r="X10" s="329"/>
      <c r="Y10" s="329"/>
      <c r="Z10" s="330"/>
      <c r="AA10" s="82"/>
      <c r="AB10" s="82"/>
      <c r="AC10" s="82"/>
      <c r="AD10" s="82"/>
    </row>
    <row r="11" spans="2:30" ht="11.1" customHeight="1" x14ac:dyDescent="0.25">
      <c r="B11" s="21" t="s">
        <v>310</v>
      </c>
      <c r="C11" s="181" t="s">
        <v>6</v>
      </c>
      <c r="D11" s="182">
        <v>221181.4</v>
      </c>
      <c r="E11" s="182">
        <v>256749.4</v>
      </c>
      <c r="F11" s="182">
        <v>328820.2</v>
      </c>
      <c r="G11" s="182">
        <v>322863.40000000002</v>
      </c>
      <c r="H11" s="182">
        <v>317010.09999999998</v>
      </c>
      <c r="I11" s="182">
        <v>279524</v>
      </c>
      <c r="J11" s="182">
        <v>172377.5</v>
      </c>
      <c r="K11" s="182">
        <v>175088.9</v>
      </c>
      <c r="L11" s="182">
        <v>161032.1</v>
      </c>
      <c r="M11" s="182">
        <v>210040.3</v>
      </c>
      <c r="N11" s="182">
        <v>187113.8</v>
      </c>
      <c r="O11" s="182">
        <v>125286.2</v>
      </c>
      <c r="P11" s="182">
        <v>139028.20000000001</v>
      </c>
      <c r="Q11" s="182">
        <v>172302.8</v>
      </c>
      <c r="R11" s="182">
        <v>176004.3</v>
      </c>
      <c r="S11" s="182">
        <v>146726.1</v>
      </c>
      <c r="T11" s="182">
        <v>160881.9</v>
      </c>
      <c r="U11" s="182">
        <v>170727.5</v>
      </c>
      <c r="V11" s="182">
        <v>147827.4</v>
      </c>
      <c r="W11" s="182">
        <v>160259.6</v>
      </c>
      <c r="X11" s="182">
        <v>161037.4</v>
      </c>
      <c r="Y11" s="182">
        <v>177952.9</v>
      </c>
      <c r="Z11" s="182">
        <v>128856.6</v>
      </c>
      <c r="AA11" s="173">
        <v>141727</v>
      </c>
      <c r="AB11" s="173">
        <v>160287.79999999999</v>
      </c>
      <c r="AC11" s="173">
        <v>122406.6</v>
      </c>
      <c r="AD11" s="10" t="s">
        <v>19</v>
      </c>
    </row>
    <row r="12" spans="2:30" ht="11.1" customHeight="1" x14ac:dyDescent="0.25">
      <c r="B12" s="21" t="s">
        <v>311</v>
      </c>
      <c r="C12" s="181" t="s">
        <v>6</v>
      </c>
      <c r="D12" s="182">
        <v>82436.5</v>
      </c>
      <c r="E12" s="182">
        <v>97843.6</v>
      </c>
      <c r="F12" s="182">
        <v>112084.9</v>
      </c>
      <c r="G12" s="182">
        <v>124949.2</v>
      </c>
      <c r="H12" s="182">
        <v>118101</v>
      </c>
      <c r="I12" s="182">
        <v>140387.70000000001</v>
      </c>
      <c r="J12" s="182">
        <v>146921.60000000001</v>
      </c>
      <c r="K12" s="182">
        <v>231452.1</v>
      </c>
      <c r="L12" s="182">
        <v>290734.40000000002</v>
      </c>
      <c r="M12" s="182">
        <v>302309.7</v>
      </c>
      <c r="N12" s="182">
        <v>326218.40000000002</v>
      </c>
      <c r="O12" s="182">
        <v>369490.6</v>
      </c>
      <c r="P12" s="182">
        <v>427433.3</v>
      </c>
      <c r="Q12" s="182">
        <v>513638</v>
      </c>
      <c r="R12" s="182">
        <v>518013.6</v>
      </c>
      <c r="S12" s="182">
        <v>542955.9</v>
      </c>
      <c r="T12" s="182">
        <v>630842.19999999995</v>
      </c>
      <c r="U12" s="182">
        <v>717714.5</v>
      </c>
      <c r="V12" s="182">
        <v>756068.1</v>
      </c>
      <c r="W12" s="182">
        <v>854768.2</v>
      </c>
      <c r="X12" s="182">
        <v>839392.5</v>
      </c>
      <c r="Y12" s="182">
        <v>904079.5</v>
      </c>
      <c r="Z12" s="182">
        <v>1031434</v>
      </c>
      <c r="AA12" s="173">
        <v>1149448.3999999999</v>
      </c>
      <c r="AB12" s="173">
        <v>1376516.3</v>
      </c>
      <c r="AC12" s="173">
        <v>1294977.3999999999</v>
      </c>
      <c r="AD12" s="10" t="s">
        <v>19</v>
      </c>
    </row>
    <row r="13" spans="2:30" ht="11.1" customHeight="1" x14ac:dyDescent="0.25">
      <c r="B13" s="21" t="s">
        <v>312</v>
      </c>
      <c r="C13" s="181" t="s">
        <v>6</v>
      </c>
      <c r="D13" s="182">
        <v>360587.5</v>
      </c>
      <c r="E13" s="182">
        <v>379871.1</v>
      </c>
      <c r="F13" s="182">
        <v>404712.8</v>
      </c>
      <c r="G13" s="182">
        <v>435494.7</v>
      </c>
      <c r="H13" s="182">
        <v>452440.5</v>
      </c>
      <c r="I13" s="182">
        <v>433837.2</v>
      </c>
      <c r="J13" s="182">
        <v>407920.8</v>
      </c>
      <c r="K13" s="182">
        <v>379130.9</v>
      </c>
      <c r="L13" s="182">
        <v>411430.1</v>
      </c>
      <c r="M13" s="182">
        <v>407121.6</v>
      </c>
      <c r="N13" s="182">
        <v>432586</v>
      </c>
      <c r="O13" s="182">
        <v>436229.2</v>
      </c>
      <c r="P13" s="182">
        <v>401288.5</v>
      </c>
      <c r="Q13" s="182">
        <v>474771</v>
      </c>
      <c r="R13" s="182">
        <v>470750.1</v>
      </c>
      <c r="S13" s="182">
        <v>395306.2</v>
      </c>
      <c r="T13" s="182">
        <v>464549.6</v>
      </c>
      <c r="U13" s="182">
        <v>559312</v>
      </c>
      <c r="V13" s="182">
        <v>477018.5</v>
      </c>
      <c r="W13" s="182">
        <v>538792.69999999995</v>
      </c>
      <c r="X13" s="182">
        <v>568306.30000000005</v>
      </c>
      <c r="Y13" s="182">
        <v>629146.6</v>
      </c>
      <c r="Z13" s="182">
        <v>625799.4</v>
      </c>
      <c r="AA13" s="173">
        <v>666228.1</v>
      </c>
      <c r="AB13" s="173">
        <v>712710.2</v>
      </c>
      <c r="AC13" s="173">
        <v>709668.3</v>
      </c>
      <c r="AD13" s="10" t="s">
        <v>19</v>
      </c>
    </row>
    <row r="14" spans="2:30" ht="11.1" customHeight="1" x14ac:dyDescent="0.25">
      <c r="B14" s="21" t="s">
        <v>13</v>
      </c>
      <c r="C14" s="181" t="s">
        <v>6</v>
      </c>
      <c r="D14" s="182">
        <v>664205.5</v>
      </c>
      <c r="E14" s="182">
        <v>734464.1</v>
      </c>
      <c r="F14" s="182">
        <v>845617.9</v>
      </c>
      <c r="G14" s="182">
        <v>883307.3</v>
      </c>
      <c r="H14" s="182">
        <v>887551.5</v>
      </c>
      <c r="I14" s="182">
        <v>853748.8</v>
      </c>
      <c r="J14" s="182">
        <v>727219.9</v>
      </c>
      <c r="K14" s="182">
        <v>785671.9</v>
      </c>
      <c r="L14" s="182">
        <v>863196.6</v>
      </c>
      <c r="M14" s="182">
        <v>919471.6</v>
      </c>
      <c r="N14" s="182">
        <v>945918.2</v>
      </c>
      <c r="O14" s="182">
        <v>931006</v>
      </c>
      <c r="P14" s="182">
        <v>967750</v>
      </c>
      <c r="Q14" s="182">
        <v>1160711.8</v>
      </c>
      <c r="R14" s="182">
        <v>1164768</v>
      </c>
      <c r="S14" s="182">
        <v>1084988.2</v>
      </c>
      <c r="T14" s="182">
        <v>1256273.7</v>
      </c>
      <c r="U14" s="182">
        <v>1447754</v>
      </c>
      <c r="V14" s="182">
        <v>1380914</v>
      </c>
      <c r="W14" s="182">
        <v>1553820.5</v>
      </c>
      <c r="X14" s="182">
        <v>1568736.2</v>
      </c>
      <c r="Y14" s="182">
        <v>1711179</v>
      </c>
      <c r="Z14" s="182">
        <v>1786090</v>
      </c>
      <c r="AA14" s="173">
        <v>1957403.6</v>
      </c>
      <c r="AB14" s="173">
        <v>2249514.2000000002</v>
      </c>
      <c r="AC14" s="173">
        <v>2127052.2000000002</v>
      </c>
      <c r="AD14" s="10" t="s">
        <v>19</v>
      </c>
    </row>
    <row r="15" spans="2:30" ht="9.75" customHeight="1" x14ac:dyDescent="0.25">
      <c r="B15" s="333" t="s">
        <v>36</v>
      </c>
      <c r="C15" s="333"/>
      <c r="D15" s="333"/>
      <c r="E15" s="333"/>
      <c r="F15" s="333"/>
      <c r="G15" s="333"/>
      <c r="H15" s="333"/>
      <c r="I15" s="333"/>
      <c r="J15" s="333"/>
      <c r="K15" s="333"/>
      <c r="L15" s="333"/>
      <c r="M15" s="333"/>
      <c r="N15" s="333"/>
      <c r="O15" s="333"/>
      <c r="P15" s="333"/>
      <c r="Q15" s="333"/>
      <c r="R15" s="333"/>
      <c r="S15" s="333"/>
      <c r="T15" s="333"/>
      <c r="U15" s="333"/>
      <c r="V15" s="333"/>
      <c r="W15" s="333"/>
      <c r="X15" s="333"/>
      <c r="Y15" s="333"/>
      <c r="Z15" s="333"/>
      <c r="AA15" s="174"/>
      <c r="AB15" s="174"/>
      <c r="AC15" s="174"/>
      <c r="AD15" s="174"/>
    </row>
    <row r="16" spans="2:30" ht="11.1" customHeight="1" x14ac:dyDescent="0.25">
      <c r="B16" s="21" t="s">
        <v>87</v>
      </c>
      <c r="C16" s="181" t="s">
        <v>6</v>
      </c>
      <c r="D16" s="182">
        <v>416426.3</v>
      </c>
      <c r="E16" s="182">
        <v>411033.3</v>
      </c>
      <c r="F16" s="182">
        <v>453269.4</v>
      </c>
      <c r="G16" s="182">
        <v>429305</v>
      </c>
      <c r="H16" s="182">
        <v>364679.4</v>
      </c>
      <c r="I16" s="182">
        <v>359837</v>
      </c>
      <c r="J16" s="182">
        <v>307104.40000000002</v>
      </c>
      <c r="K16" s="182">
        <v>304994.40000000002</v>
      </c>
      <c r="L16" s="182">
        <v>267470.8</v>
      </c>
      <c r="M16" s="182">
        <v>272325.5</v>
      </c>
      <c r="N16" s="182">
        <v>289977</v>
      </c>
      <c r="O16" s="182">
        <v>325096.90000000002</v>
      </c>
      <c r="P16" s="182">
        <v>308441.7</v>
      </c>
      <c r="Q16" s="182">
        <v>266645.8</v>
      </c>
      <c r="R16" s="182">
        <v>278248.8</v>
      </c>
      <c r="S16" s="182">
        <v>338588.7</v>
      </c>
      <c r="T16" s="182">
        <v>364807.8</v>
      </c>
      <c r="U16" s="182">
        <v>387991.2</v>
      </c>
      <c r="V16" s="182">
        <v>395941.8</v>
      </c>
      <c r="W16" s="182">
        <v>360607.5</v>
      </c>
      <c r="X16" s="182">
        <v>374399.5</v>
      </c>
      <c r="Y16" s="182">
        <v>370143.4</v>
      </c>
      <c r="Z16" s="182">
        <v>431546.1</v>
      </c>
      <c r="AA16" s="173">
        <v>451082.2</v>
      </c>
      <c r="AB16" s="173">
        <v>501504.2</v>
      </c>
      <c r="AC16" s="173">
        <v>436262.1</v>
      </c>
      <c r="AD16" s="10" t="s">
        <v>19</v>
      </c>
    </row>
    <row r="17" spans="2:30" ht="11.1" customHeight="1" x14ac:dyDescent="0.25">
      <c r="B17" s="21" t="s">
        <v>96</v>
      </c>
      <c r="C17" s="181" t="s">
        <v>6</v>
      </c>
      <c r="D17" s="182">
        <v>430517.7</v>
      </c>
      <c r="E17" s="182">
        <v>540703.4</v>
      </c>
      <c r="F17" s="182">
        <v>477199.8</v>
      </c>
      <c r="G17" s="182">
        <v>499887.7</v>
      </c>
      <c r="H17" s="182">
        <v>454923.7</v>
      </c>
      <c r="I17" s="182">
        <v>401186.5</v>
      </c>
      <c r="J17" s="182">
        <v>414718.1</v>
      </c>
      <c r="K17" s="182">
        <v>463385.1</v>
      </c>
      <c r="L17" s="182">
        <v>449449</v>
      </c>
      <c r="M17" s="182">
        <v>416535.8</v>
      </c>
      <c r="N17" s="182">
        <v>405131.2</v>
      </c>
      <c r="O17" s="182">
        <v>371271.9</v>
      </c>
      <c r="P17" s="182">
        <v>382290.9</v>
      </c>
      <c r="Q17" s="182">
        <v>384253.8</v>
      </c>
      <c r="R17" s="182">
        <v>427740.2</v>
      </c>
      <c r="S17" s="182">
        <v>575757.19999999995</v>
      </c>
      <c r="T17" s="182">
        <v>655303.19999999995</v>
      </c>
      <c r="U17" s="182">
        <v>681292</v>
      </c>
      <c r="V17" s="182">
        <v>661852.5</v>
      </c>
      <c r="W17" s="182">
        <v>713118.3</v>
      </c>
      <c r="X17" s="182">
        <v>701459.1</v>
      </c>
      <c r="Y17" s="182">
        <v>522582.9</v>
      </c>
      <c r="Z17" s="182">
        <v>403393.8</v>
      </c>
      <c r="AA17" s="173">
        <v>382817.6</v>
      </c>
      <c r="AB17" s="173">
        <v>438047.5</v>
      </c>
      <c r="AC17" s="173">
        <v>489192</v>
      </c>
      <c r="AD17" s="10" t="s">
        <v>19</v>
      </c>
    </row>
    <row r="18" spans="2:30" ht="11.1" customHeight="1" x14ac:dyDescent="0.25">
      <c r="B18" s="21" t="s">
        <v>265</v>
      </c>
      <c r="C18" s="181" t="s">
        <v>6</v>
      </c>
      <c r="D18" s="182">
        <v>39895</v>
      </c>
      <c r="E18" s="182">
        <v>50928.7</v>
      </c>
      <c r="F18" s="182">
        <v>57519.3</v>
      </c>
      <c r="G18" s="182">
        <v>55009.8</v>
      </c>
      <c r="H18" s="182">
        <v>51097.9</v>
      </c>
      <c r="I18" s="182">
        <v>54496.1</v>
      </c>
      <c r="J18" s="182">
        <v>47206.400000000001</v>
      </c>
      <c r="K18" s="182">
        <v>52810.3</v>
      </c>
      <c r="L18" s="182">
        <v>54511.3</v>
      </c>
      <c r="M18" s="182">
        <v>56302.5</v>
      </c>
      <c r="N18" s="182">
        <v>57841.1</v>
      </c>
      <c r="O18" s="182">
        <v>57115</v>
      </c>
      <c r="P18" s="182">
        <v>57516.2</v>
      </c>
      <c r="Q18" s="182">
        <v>57970.400000000001</v>
      </c>
      <c r="R18" s="182">
        <v>53083.8</v>
      </c>
      <c r="S18" s="182">
        <v>54514.1</v>
      </c>
      <c r="T18" s="182">
        <v>54950.6</v>
      </c>
      <c r="U18" s="182">
        <v>52763.6</v>
      </c>
      <c r="V18" s="182">
        <v>57151.1</v>
      </c>
      <c r="W18" s="182">
        <v>59935.5</v>
      </c>
      <c r="X18" s="182">
        <v>56862.9</v>
      </c>
      <c r="Y18" s="182">
        <v>52117.4</v>
      </c>
      <c r="Z18" s="182">
        <v>72348.800000000003</v>
      </c>
      <c r="AA18" s="173">
        <v>68423.7</v>
      </c>
      <c r="AB18" s="173">
        <v>75795</v>
      </c>
      <c r="AC18" s="173">
        <v>73015.3</v>
      </c>
      <c r="AD18" s="10" t="s">
        <v>19</v>
      </c>
    </row>
    <row r="19" spans="2:30" ht="11.1" customHeight="1" x14ac:dyDescent="0.25">
      <c r="B19" s="21" t="s">
        <v>68</v>
      </c>
      <c r="C19" s="181" t="s">
        <v>6</v>
      </c>
      <c r="D19" s="182">
        <v>16600.900000000001</v>
      </c>
      <c r="E19" s="182">
        <v>17777.599999999999</v>
      </c>
      <c r="F19" s="182">
        <v>17489.900000000001</v>
      </c>
      <c r="G19" s="182">
        <v>16250</v>
      </c>
      <c r="H19" s="182">
        <v>17714.7</v>
      </c>
      <c r="I19" s="182">
        <v>16457.599999999999</v>
      </c>
      <c r="J19" s="182">
        <v>18543.8</v>
      </c>
      <c r="K19" s="182">
        <v>21095.3</v>
      </c>
      <c r="L19" s="182">
        <v>20325.7</v>
      </c>
      <c r="M19" s="182">
        <v>16620.3</v>
      </c>
      <c r="N19" s="182">
        <v>17867.8</v>
      </c>
      <c r="O19" s="182">
        <v>18453.400000000001</v>
      </c>
      <c r="P19" s="182">
        <v>18323.400000000001</v>
      </c>
      <c r="Q19" s="182">
        <v>19361</v>
      </c>
      <c r="R19" s="182">
        <v>22963.4</v>
      </c>
      <c r="S19" s="182">
        <v>22005</v>
      </c>
      <c r="T19" s="182">
        <v>22509.4</v>
      </c>
      <c r="U19" s="182">
        <v>24637.4</v>
      </c>
      <c r="V19" s="182">
        <v>24548.799999999999</v>
      </c>
      <c r="W19" s="182">
        <v>28329.4</v>
      </c>
      <c r="X19" s="182">
        <v>26960.5</v>
      </c>
      <c r="Y19" s="182">
        <v>24624.400000000001</v>
      </c>
      <c r="Z19" s="182">
        <v>28240.1</v>
      </c>
      <c r="AA19" s="173">
        <v>27559.9</v>
      </c>
      <c r="AB19" s="173">
        <v>39769.9</v>
      </c>
      <c r="AC19" s="173">
        <v>30485.1</v>
      </c>
      <c r="AD19" s="10" t="s">
        <v>19</v>
      </c>
    </row>
    <row r="20" spans="2:30" ht="11.1" customHeight="1" x14ac:dyDescent="0.25">
      <c r="B20" s="21" t="s">
        <v>13</v>
      </c>
      <c r="C20" s="181" t="s">
        <v>6</v>
      </c>
      <c r="D20" s="182">
        <v>903439.9</v>
      </c>
      <c r="E20" s="182">
        <v>1020442.9</v>
      </c>
      <c r="F20" s="182">
        <v>1005478.3</v>
      </c>
      <c r="G20" s="182">
        <v>1000452.4</v>
      </c>
      <c r="H20" s="182">
        <v>888415.7</v>
      </c>
      <c r="I20" s="182">
        <v>831977.2</v>
      </c>
      <c r="J20" s="182">
        <v>787572.6</v>
      </c>
      <c r="K20" s="182">
        <v>842285.1</v>
      </c>
      <c r="L20" s="182">
        <v>791756.80000000005</v>
      </c>
      <c r="M20" s="182">
        <v>761784.2</v>
      </c>
      <c r="N20" s="182">
        <v>770817</v>
      </c>
      <c r="O20" s="182">
        <v>771937.3</v>
      </c>
      <c r="P20" s="182">
        <v>766572.1</v>
      </c>
      <c r="Q20" s="182">
        <v>728231.1</v>
      </c>
      <c r="R20" s="182">
        <v>782036.2</v>
      </c>
      <c r="S20" s="182">
        <v>990865</v>
      </c>
      <c r="T20" s="182">
        <v>1097570.8999999999</v>
      </c>
      <c r="U20" s="182">
        <v>1146684.3</v>
      </c>
      <c r="V20" s="182">
        <v>1139494.2</v>
      </c>
      <c r="W20" s="182">
        <v>1161990.7</v>
      </c>
      <c r="X20" s="182">
        <v>1159681.8999999999</v>
      </c>
      <c r="Y20" s="182">
        <v>969468</v>
      </c>
      <c r="Z20" s="182">
        <v>935528.8</v>
      </c>
      <c r="AA20" s="173">
        <v>929883.3</v>
      </c>
      <c r="AB20" s="173">
        <v>1055116.6000000001</v>
      </c>
      <c r="AC20" s="173">
        <v>1028954.4</v>
      </c>
      <c r="AD20" s="10" t="s">
        <v>19</v>
      </c>
    </row>
    <row r="21" spans="2:30" ht="9.75" customHeight="1" x14ac:dyDescent="0.25">
      <c r="B21" s="329" t="s">
        <v>40</v>
      </c>
      <c r="C21" s="329"/>
      <c r="D21" s="329"/>
      <c r="E21" s="329"/>
      <c r="F21" s="329"/>
      <c r="G21" s="329"/>
      <c r="H21" s="329"/>
      <c r="I21" s="329"/>
      <c r="J21" s="329"/>
      <c r="K21" s="329"/>
      <c r="L21" s="329"/>
      <c r="M21" s="329"/>
      <c r="N21" s="329"/>
      <c r="O21" s="329"/>
      <c r="P21" s="329"/>
      <c r="Q21" s="329"/>
      <c r="R21" s="329"/>
      <c r="S21" s="329"/>
      <c r="T21" s="329"/>
      <c r="U21" s="329"/>
      <c r="V21" s="329"/>
      <c r="W21" s="329"/>
      <c r="X21" s="329"/>
      <c r="Y21" s="329"/>
      <c r="Z21" s="329"/>
      <c r="AA21" s="82"/>
      <c r="AB21" s="82"/>
      <c r="AC21" s="82"/>
      <c r="AD21" s="82"/>
    </row>
    <row r="22" spans="2:30" ht="11.1" customHeight="1" x14ac:dyDescent="0.25">
      <c r="B22" s="21" t="s">
        <v>41</v>
      </c>
      <c r="C22" s="181" t="s">
        <v>6</v>
      </c>
      <c r="D22" s="182">
        <v>172917.7</v>
      </c>
      <c r="E22" s="182">
        <v>220725</v>
      </c>
      <c r="F22" s="182">
        <v>276439.5</v>
      </c>
      <c r="G22" s="182">
        <v>247353.60000000001</v>
      </c>
      <c r="H22" s="182">
        <v>216230.8</v>
      </c>
      <c r="I22" s="182">
        <v>197901.4</v>
      </c>
      <c r="J22" s="182">
        <v>233005.6</v>
      </c>
      <c r="K22" s="182">
        <v>225046.3</v>
      </c>
      <c r="L22" s="182">
        <v>216971.4</v>
      </c>
      <c r="M22" s="182">
        <v>188825.5</v>
      </c>
      <c r="N22" s="182">
        <v>188552.1</v>
      </c>
      <c r="O22" s="182">
        <v>173428.5</v>
      </c>
      <c r="P22" s="182">
        <v>178353.6</v>
      </c>
      <c r="Q22" s="182">
        <v>169637.7</v>
      </c>
      <c r="R22" s="182">
        <v>177725.1</v>
      </c>
      <c r="S22" s="182">
        <v>163916.6</v>
      </c>
      <c r="T22" s="182">
        <v>164379.1</v>
      </c>
      <c r="U22" s="182">
        <v>160148.29999999999</v>
      </c>
      <c r="V22" s="182">
        <v>177047.4</v>
      </c>
      <c r="W22" s="182">
        <v>195063.3</v>
      </c>
      <c r="X22" s="182">
        <v>169726.7</v>
      </c>
      <c r="Y22" s="182">
        <v>139924.9</v>
      </c>
      <c r="Z22" s="182">
        <v>120058.9</v>
      </c>
      <c r="AA22" s="173">
        <v>113189.9</v>
      </c>
      <c r="AB22" s="173">
        <v>110296.5</v>
      </c>
      <c r="AC22" s="173">
        <v>107897.2</v>
      </c>
      <c r="AD22" s="10" t="s">
        <v>19</v>
      </c>
    </row>
    <row r="23" spans="2:30" ht="11.1" customHeight="1" x14ac:dyDescent="0.25">
      <c r="B23" s="21" t="s">
        <v>43</v>
      </c>
      <c r="C23" s="181" t="s">
        <v>6</v>
      </c>
      <c r="D23" s="182">
        <v>37530.9</v>
      </c>
      <c r="E23" s="182">
        <v>42617.2</v>
      </c>
      <c r="F23" s="182">
        <v>38995.1</v>
      </c>
      <c r="G23" s="182">
        <v>23295.3</v>
      </c>
      <c r="H23" s="182">
        <v>34912.400000000001</v>
      </c>
      <c r="I23" s="182">
        <v>25105</v>
      </c>
      <c r="J23" s="182">
        <v>47048.1</v>
      </c>
      <c r="K23" s="182">
        <v>23257.4</v>
      </c>
      <c r="L23" s="182">
        <v>29327.7</v>
      </c>
      <c r="M23" s="182">
        <v>32955.1</v>
      </c>
      <c r="N23" s="182">
        <v>26177</v>
      </c>
      <c r="O23" s="182">
        <v>23396.3</v>
      </c>
      <c r="P23" s="182">
        <v>22061.3</v>
      </c>
      <c r="Q23" s="182">
        <v>8249.7000000000007</v>
      </c>
      <c r="R23" s="182">
        <v>14693.3</v>
      </c>
      <c r="S23" s="182">
        <v>11322.8</v>
      </c>
      <c r="T23" s="182">
        <v>11258.9</v>
      </c>
      <c r="U23" s="182">
        <v>13995.3</v>
      </c>
      <c r="V23" s="182">
        <v>23890.5</v>
      </c>
      <c r="W23" s="182">
        <v>25157.599999999999</v>
      </c>
      <c r="X23" s="182">
        <v>15945</v>
      </c>
      <c r="Y23" s="182">
        <v>18451.2</v>
      </c>
      <c r="Z23" s="182">
        <v>14623.7</v>
      </c>
      <c r="AA23" s="173">
        <v>10624.4</v>
      </c>
      <c r="AB23" s="173">
        <v>22140.1</v>
      </c>
      <c r="AC23" s="173">
        <v>27324.5</v>
      </c>
      <c r="AD23" s="10" t="s">
        <v>19</v>
      </c>
    </row>
    <row r="24" spans="2:30" ht="11.1" customHeight="1" x14ac:dyDescent="0.25">
      <c r="B24" s="21" t="s">
        <v>56</v>
      </c>
      <c r="C24" s="181" t="s">
        <v>6</v>
      </c>
      <c r="D24" s="182">
        <v>45170.9</v>
      </c>
      <c r="E24" s="182">
        <v>53328.3</v>
      </c>
      <c r="F24" s="182">
        <v>55080.5</v>
      </c>
      <c r="G24" s="182">
        <v>56927</v>
      </c>
      <c r="H24" s="182">
        <v>62070.2</v>
      </c>
      <c r="I24" s="182">
        <v>77190.899999999994</v>
      </c>
      <c r="J24" s="182">
        <v>74085.399999999994</v>
      </c>
      <c r="K24" s="182">
        <v>75267.399999999994</v>
      </c>
      <c r="L24" s="182">
        <v>91088</v>
      </c>
      <c r="M24" s="182">
        <v>89127.5</v>
      </c>
      <c r="N24" s="182">
        <v>92988.2</v>
      </c>
      <c r="O24" s="182">
        <v>100917.2</v>
      </c>
      <c r="P24" s="182">
        <v>97322.8</v>
      </c>
      <c r="Q24" s="182">
        <v>90071.4</v>
      </c>
      <c r="R24" s="182">
        <v>93546.5</v>
      </c>
      <c r="S24" s="182">
        <v>91297.1</v>
      </c>
      <c r="T24" s="182">
        <v>91282</v>
      </c>
      <c r="U24" s="182">
        <v>95494.1</v>
      </c>
      <c r="V24" s="182">
        <v>112270.3</v>
      </c>
      <c r="W24" s="182">
        <v>101615.2</v>
      </c>
      <c r="X24" s="182">
        <v>111468.5</v>
      </c>
      <c r="Y24" s="182">
        <v>114447.8</v>
      </c>
      <c r="Z24" s="182">
        <v>137544.9</v>
      </c>
      <c r="AA24" s="173">
        <v>149691.9</v>
      </c>
      <c r="AB24" s="173">
        <v>182713.4</v>
      </c>
      <c r="AC24" s="173">
        <v>173118.5</v>
      </c>
      <c r="AD24" s="10" t="s">
        <v>19</v>
      </c>
    </row>
    <row r="25" spans="2:30" ht="11.1" customHeight="1" x14ac:dyDescent="0.25">
      <c r="B25" s="21" t="s">
        <v>69</v>
      </c>
      <c r="C25" s="181" t="s">
        <v>6</v>
      </c>
      <c r="D25" s="182">
        <v>10787.1</v>
      </c>
      <c r="E25" s="182">
        <v>8126.4</v>
      </c>
      <c r="F25" s="182">
        <v>13040</v>
      </c>
      <c r="G25" s="182">
        <v>7924</v>
      </c>
      <c r="H25" s="182">
        <v>10456.4</v>
      </c>
      <c r="I25" s="182">
        <v>14386.5</v>
      </c>
      <c r="J25" s="182">
        <v>10595.8</v>
      </c>
      <c r="K25" s="182">
        <v>8292.2000000000007</v>
      </c>
      <c r="L25" s="182">
        <v>11403.8</v>
      </c>
      <c r="M25" s="182">
        <v>7238</v>
      </c>
      <c r="N25" s="182">
        <v>7967</v>
      </c>
      <c r="O25" s="182">
        <v>8757.2000000000007</v>
      </c>
      <c r="P25" s="182">
        <v>9650</v>
      </c>
      <c r="Q25" s="182">
        <v>13405.6</v>
      </c>
      <c r="R25" s="182">
        <v>12515.9</v>
      </c>
      <c r="S25" s="182">
        <v>8983.1</v>
      </c>
      <c r="T25" s="182">
        <v>11613.6</v>
      </c>
      <c r="U25" s="182">
        <v>12775.7</v>
      </c>
      <c r="V25" s="182">
        <v>14737.7</v>
      </c>
      <c r="W25" s="182">
        <v>16449.599999999999</v>
      </c>
      <c r="X25" s="182">
        <v>13563.8</v>
      </c>
      <c r="Y25" s="182">
        <v>13200.7</v>
      </c>
      <c r="Z25" s="182">
        <v>16806.599999999999</v>
      </c>
      <c r="AA25" s="173">
        <v>18021.099999999999</v>
      </c>
      <c r="AB25" s="173">
        <v>17717.8</v>
      </c>
      <c r="AC25" s="173">
        <v>17455.599999999999</v>
      </c>
      <c r="AD25" s="10" t="s">
        <v>19</v>
      </c>
    </row>
    <row r="26" spans="2:30" ht="11.1" customHeight="1" x14ac:dyDescent="0.25">
      <c r="B26" s="21" t="s">
        <v>70</v>
      </c>
      <c r="C26" s="181" t="s">
        <v>6</v>
      </c>
      <c r="D26" s="182">
        <v>208855.9</v>
      </c>
      <c r="E26" s="182">
        <v>219429.6</v>
      </c>
      <c r="F26" s="182">
        <v>181099.1</v>
      </c>
      <c r="G26" s="182">
        <v>204648.4</v>
      </c>
      <c r="H26" s="182">
        <v>157424.4</v>
      </c>
      <c r="I26" s="182">
        <v>154534.9</v>
      </c>
      <c r="J26" s="182">
        <v>153674</v>
      </c>
      <c r="K26" s="182">
        <v>153773</v>
      </c>
      <c r="L26" s="182">
        <v>157634</v>
      </c>
      <c r="M26" s="182">
        <v>137478.39999999999</v>
      </c>
      <c r="N26" s="182">
        <v>114864.9</v>
      </c>
      <c r="O26" s="182">
        <v>126229.5</v>
      </c>
      <c r="P26" s="182">
        <v>141200</v>
      </c>
      <c r="Q26" s="182">
        <v>121679.3</v>
      </c>
      <c r="R26" s="182">
        <v>106844</v>
      </c>
      <c r="S26" s="182">
        <v>85339.6</v>
      </c>
      <c r="T26" s="182">
        <v>97111.5</v>
      </c>
      <c r="U26" s="182">
        <v>107143.2</v>
      </c>
      <c r="V26" s="182">
        <v>103243.1</v>
      </c>
      <c r="W26" s="182">
        <v>85449.600000000006</v>
      </c>
      <c r="X26" s="182">
        <v>135916.20000000001</v>
      </c>
      <c r="Y26" s="182">
        <v>125933.3</v>
      </c>
      <c r="Z26" s="182">
        <v>141023.20000000001</v>
      </c>
      <c r="AA26" s="173">
        <v>132703.70000000001</v>
      </c>
      <c r="AB26" s="173">
        <v>171160.2</v>
      </c>
      <c r="AC26" s="173">
        <v>199645.8</v>
      </c>
      <c r="AD26" s="10" t="s">
        <v>19</v>
      </c>
    </row>
    <row r="27" spans="2:30" ht="11.1" customHeight="1" x14ac:dyDescent="0.25">
      <c r="B27" s="21" t="s">
        <v>13</v>
      </c>
      <c r="C27" s="181" t="s">
        <v>6</v>
      </c>
      <c r="D27" s="182">
        <v>475262.6</v>
      </c>
      <c r="E27" s="182">
        <v>544226.5</v>
      </c>
      <c r="F27" s="182">
        <v>564654.19999999995</v>
      </c>
      <c r="G27" s="182">
        <v>540148.19999999995</v>
      </c>
      <c r="H27" s="182">
        <v>481094</v>
      </c>
      <c r="I27" s="182">
        <v>469118.7</v>
      </c>
      <c r="J27" s="182">
        <v>518408.9</v>
      </c>
      <c r="K27" s="182">
        <v>485636.2</v>
      </c>
      <c r="L27" s="182">
        <v>506424.9</v>
      </c>
      <c r="M27" s="182">
        <v>455624.4</v>
      </c>
      <c r="N27" s="182">
        <v>430549.2</v>
      </c>
      <c r="O27" s="182">
        <v>432728.6</v>
      </c>
      <c r="P27" s="182">
        <v>448587.7</v>
      </c>
      <c r="Q27" s="182">
        <v>403043.6</v>
      </c>
      <c r="R27" s="182">
        <v>405324.7</v>
      </c>
      <c r="S27" s="182">
        <v>360859.2</v>
      </c>
      <c r="T27" s="182">
        <v>375645</v>
      </c>
      <c r="U27" s="182">
        <v>389556.6</v>
      </c>
      <c r="V27" s="182">
        <v>431188.9</v>
      </c>
      <c r="W27" s="182">
        <v>423735.2</v>
      </c>
      <c r="X27" s="182">
        <v>446620.3</v>
      </c>
      <c r="Y27" s="182">
        <v>411957.9</v>
      </c>
      <c r="Z27" s="182">
        <v>430057.3</v>
      </c>
      <c r="AA27" s="173">
        <v>424231</v>
      </c>
      <c r="AB27" s="173">
        <v>504027.9</v>
      </c>
      <c r="AC27" s="173">
        <v>525441.5</v>
      </c>
      <c r="AD27" s="10" t="s">
        <v>19</v>
      </c>
    </row>
    <row r="28" spans="2:30" ht="11.1" customHeight="1" x14ac:dyDescent="0.25">
      <c r="B28" s="13" t="s">
        <v>83</v>
      </c>
      <c r="C28" s="175" t="s">
        <v>6</v>
      </c>
      <c r="D28" s="182">
        <v>66302.3</v>
      </c>
      <c r="E28" s="182">
        <v>68293.100000000006</v>
      </c>
      <c r="F28" s="182">
        <v>48729.5</v>
      </c>
      <c r="G28" s="182">
        <v>20967.3</v>
      </c>
      <c r="H28" s="182">
        <v>30441.1</v>
      </c>
      <c r="I28" s="182">
        <v>32751.200000000001</v>
      </c>
      <c r="J28" s="182">
        <v>52380.7</v>
      </c>
      <c r="K28" s="182">
        <v>53542.5</v>
      </c>
      <c r="L28" s="182">
        <v>55332.3</v>
      </c>
      <c r="M28" s="182">
        <v>70220.5</v>
      </c>
      <c r="N28" s="182">
        <v>66988.600000000006</v>
      </c>
      <c r="O28" s="182">
        <v>56581.3</v>
      </c>
      <c r="P28" s="182">
        <v>57740.6</v>
      </c>
      <c r="Q28" s="182">
        <v>12984.4</v>
      </c>
      <c r="R28" s="182">
        <v>34040</v>
      </c>
      <c r="S28" s="182">
        <v>36377.599999999999</v>
      </c>
      <c r="T28" s="182">
        <v>34716.199999999997</v>
      </c>
      <c r="U28" s="182">
        <v>36406.9</v>
      </c>
      <c r="V28" s="182">
        <v>105985.3</v>
      </c>
      <c r="W28" s="182">
        <v>38227</v>
      </c>
      <c r="X28" s="182">
        <v>35086.800000000003</v>
      </c>
      <c r="Y28" s="182">
        <v>40990.199999999997</v>
      </c>
      <c r="Z28" s="182">
        <v>22849</v>
      </c>
      <c r="AA28" s="173">
        <v>138584.9</v>
      </c>
      <c r="AB28" s="173">
        <v>18280.599999999999</v>
      </c>
      <c r="AC28" s="173">
        <v>20387.3</v>
      </c>
      <c r="AD28" s="10" t="s">
        <v>19</v>
      </c>
    </row>
    <row r="29" spans="2:30" ht="11.1" customHeight="1" thickBot="1" x14ac:dyDescent="0.3">
      <c r="B29" s="176" t="s">
        <v>313</v>
      </c>
      <c r="C29" s="177" t="s">
        <v>6</v>
      </c>
      <c r="D29" s="182">
        <v>2109210.2000000002</v>
      </c>
      <c r="E29" s="183">
        <v>2367426.6</v>
      </c>
      <c r="F29" s="183">
        <v>2464479.9</v>
      </c>
      <c r="G29" s="183">
        <v>2444875.2000000002</v>
      </c>
      <c r="H29" s="183">
        <v>2287502.4</v>
      </c>
      <c r="I29" s="183">
        <v>2187595.9</v>
      </c>
      <c r="J29" s="183">
        <v>2085582.1</v>
      </c>
      <c r="K29" s="183">
        <v>2167135.7999999998</v>
      </c>
      <c r="L29" s="183">
        <v>2216710.5</v>
      </c>
      <c r="M29" s="183">
        <v>2207100.6</v>
      </c>
      <c r="N29" s="183">
        <v>2214273</v>
      </c>
      <c r="O29" s="183">
        <v>2192253.2000000002</v>
      </c>
      <c r="P29" s="183">
        <v>2240650.4</v>
      </c>
      <c r="Q29" s="183">
        <v>2304970.9</v>
      </c>
      <c r="R29" s="183">
        <v>2386168.9</v>
      </c>
      <c r="S29" s="183">
        <v>2473090</v>
      </c>
      <c r="T29" s="183">
        <v>2764205.8</v>
      </c>
      <c r="U29" s="183">
        <v>3020401.7</v>
      </c>
      <c r="V29" s="183">
        <v>3057582.5</v>
      </c>
      <c r="W29" s="183">
        <v>3177773.4</v>
      </c>
      <c r="X29" s="183">
        <v>3210125.1</v>
      </c>
      <c r="Y29" s="183">
        <v>3133595.1</v>
      </c>
      <c r="Z29" s="183">
        <v>3174525.1</v>
      </c>
      <c r="AA29" s="178">
        <v>3450102.8</v>
      </c>
      <c r="AB29" s="179">
        <v>3826939.4</v>
      </c>
      <c r="AC29" s="179">
        <v>3701835.4</v>
      </c>
      <c r="AD29" s="298" t="s">
        <v>19</v>
      </c>
    </row>
    <row r="30" spans="2:30" ht="12.6" customHeight="1" thickTop="1" x14ac:dyDescent="0.25">
      <c r="B30" s="334" t="s">
        <v>59</v>
      </c>
      <c r="C30" s="334"/>
      <c r="D30" s="334"/>
      <c r="E30" s="334"/>
      <c r="F30" s="334"/>
      <c r="G30" s="334"/>
      <c r="H30" s="334"/>
      <c r="I30" s="334"/>
      <c r="J30" s="334"/>
      <c r="K30" s="334"/>
      <c r="L30" s="334"/>
      <c r="M30" s="334"/>
      <c r="N30" s="334"/>
      <c r="O30" s="334"/>
      <c r="P30" s="334"/>
      <c r="Q30" s="334"/>
      <c r="R30" s="334"/>
      <c r="S30" s="334"/>
      <c r="T30" s="334"/>
      <c r="U30" s="334"/>
      <c r="V30" s="334"/>
      <c r="W30" s="334"/>
      <c r="X30" s="334"/>
      <c r="Y30" s="334"/>
      <c r="Z30" s="334"/>
      <c r="AA30" s="82"/>
      <c r="AB30" s="82"/>
      <c r="AC30" s="82"/>
      <c r="AD30" s="82"/>
    </row>
    <row r="31" spans="2:30" ht="11.1" customHeight="1" x14ac:dyDescent="0.25">
      <c r="B31" s="329" t="s">
        <v>196</v>
      </c>
      <c r="C31" s="329"/>
      <c r="D31" s="329"/>
      <c r="E31" s="329"/>
      <c r="F31" s="329"/>
      <c r="G31" s="329"/>
      <c r="H31" s="329"/>
      <c r="I31" s="329"/>
      <c r="J31" s="329"/>
      <c r="K31" s="329"/>
      <c r="L31" s="329"/>
      <c r="M31" s="329"/>
      <c r="N31" s="329"/>
      <c r="O31" s="329"/>
      <c r="P31" s="329"/>
      <c r="Q31" s="329"/>
      <c r="R31" s="329"/>
      <c r="S31" s="329"/>
      <c r="T31" s="329"/>
      <c r="U31" s="329"/>
      <c r="V31" s="329"/>
      <c r="W31" s="329"/>
      <c r="X31" s="329"/>
      <c r="Y31" s="329"/>
      <c r="Z31" s="330"/>
      <c r="AA31" s="82"/>
      <c r="AB31" s="82"/>
      <c r="AC31" s="82"/>
      <c r="AD31" s="82"/>
    </row>
    <row r="32" spans="2:30" ht="11.1" customHeight="1" x14ac:dyDescent="0.25">
      <c r="B32" s="21" t="s">
        <v>310</v>
      </c>
      <c r="C32" s="184" t="s">
        <v>35</v>
      </c>
      <c r="D32" s="182">
        <v>16713</v>
      </c>
      <c r="E32" s="182">
        <v>16200.8</v>
      </c>
      <c r="F32" s="182">
        <v>16107.8</v>
      </c>
      <c r="G32" s="182">
        <v>15889.1</v>
      </c>
      <c r="H32" s="182">
        <v>13389.2</v>
      </c>
      <c r="I32" s="182">
        <v>14685.7</v>
      </c>
      <c r="J32" s="182">
        <v>11287.9</v>
      </c>
      <c r="K32" s="182">
        <v>12691.1</v>
      </c>
      <c r="L32" s="182">
        <v>13073.7</v>
      </c>
      <c r="M32" s="182">
        <v>14648.8</v>
      </c>
      <c r="N32" s="182">
        <v>13699.1</v>
      </c>
      <c r="O32" s="182">
        <v>10954.2</v>
      </c>
      <c r="P32" s="182">
        <v>9133</v>
      </c>
      <c r="Q32" s="182">
        <v>10071</v>
      </c>
      <c r="R32" s="182">
        <v>10580.8</v>
      </c>
      <c r="S32" s="182">
        <v>10685.6</v>
      </c>
      <c r="T32" s="182">
        <v>12360.1</v>
      </c>
      <c r="U32" s="182">
        <v>14220.8</v>
      </c>
      <c r="V32" s="182">
        <v>11956.8</v>
      </c>
      <c r="W32" s="182">
        <v>12063.9</v>
      </c>
      <c r="X32" s="182">
        <v>12109.4</v>
      </c>
      <c r="Y32" s="182">
        <v>12483.1</v>
      </c>
      <c r="Z32" s="182">
        <v>12290.2</v>
      </c>
      <c r="AA32" s="173">
        <v>11976.4</v>
      </c>
      <c r="AB32" s="173">
        <v>12473.6</v>
      </c>
      <c r="AC32" s="173">
        <v>11743.5</v>
      </c>
      <c r="AD32" s="10" t="s">
        <v>19</v>
      </c>
    </row>
    <row r="33" spans="2:30" ht="11.1" customHeight="1" x14ac:dyDescent="0.25">
      <c r="B33" s="21" t="s">
        <v>311</v>
      </c>
      <c r="C33" s="184" t="s">
        <v>35</v>
      </c>
      <c r="D33" s="182">
        <v>10841.4</v>
      </c>
      <c r="E33" s="182">
        <v>12794.4</v>
      </c>
      <c r="F33" s="182">
        <v>14673.5</v>
      </c>
      <c r="G33" s="182">
        <v>16220.2</v>
      </c>
      <c r="H33" s="182">
        <v>15425.8</v>
      </c>
      <c r="I33" s="182">
        <v>16685.8</v>
      </c>
      <c r="J33" s="182">
        <v>17063</v>
      </c>
      <c r="K33" s="182">
        <v>20975.599999999999</v>
      </c>
      <c r="L33" s="182">
        <v>25603.3</v>
      </c>
      <c r="M33" s="182">
        <v>25866.9</v>
      </c>
      <c r="N33" s="182">
        <v>30047.599999999999</v>
      </c>
      <c r="O33" s="182">
        <v>31964.3</v>
      </c>
      <c r="P33" s="182">
        <v>36841</v>
      </c>
      <c r="Q33" s="182">
        <v>44151.199999999997</v>
      </c>
      <c r="R33" s="182">
        <v>43027.3</v>
      </c>
      <c r="S33" s="182">
        <v>41846.300000000003</v>
      </c>
      <c r="T33" s="182">
        <v>48613.599999999999</v>
      </c>
      <c r="U33" s="182">
        <v>56319.4</v>
      </c>
      <c r="V33" s="182">
        <v>52799.6</v>
      </c>
      <c r="W33" s="182">
        <v>61412.7</v>
      </c>
      <c r="X33" s="182">
        <v>58355.3</v>
      </c>
      <c r="Y33" s="182">
        <v>67114.8</v>
      </c>
      <c r="Z33" s="182">
        <v>84341.2</v>
      </c>
      <c r="AA33" s="173">
        <v>79274.899999999994</v>
      </c>
      <c r="AB33" s="173">
        <v>75452.5</v>
      </c>
      <c r="AC33" s="173">
        <v>71086.3</v>
      </c>
      <c r="AD33" s="10" t="s">
        <v>19</v>
      </c>
    </row>
    <row r="34" spans="2:30" ht="11.1" customHeight="1" x14ac:dyDescent="0.25">
      <c r="B34" s="21" t="s">
        <v>312</v>
      </c>
      <c r="C34" s="184" t="s">
        <v>35</v>
      </c>
      <c r="D34" s="182">
        <v>115427.5</v>
      </c>
      <c r="E34" s="182">
        <v>101455.5</v>
      </c>
      <c r="F34" s="182">
        <v>107838</v>
      </c>
      <c r="G34" s="182">
        <v>123141.5</v>
      </c>
      <c r="H34" s="182">
        <v>136423.6</v>
      </c>
      <c r="I34" s="182">
        <v>148735.29999999999</v>
      </c>
      <c r="J34" s="182">
        <v>154392</v>
      </c>
      <c r="K34" s="182">
        <v>127922.2</v>
      </c>
      <c r="L34" s="182">
        <v>120434.5</v>
      </c>
      <c r="M34" s="182">
        <v>114969</v>
      </c>
      <c r="N34" s="182">
        <v>111558.1</v>
      </c>
      <c r="O34" s="182">
        <v>116299.7</v>
      </c>
      <c r="P34" s="182">
        <v>108091.1</v>
      </c>
      <c r="Q34" s="182">
        <v>115181.8</v>
      </c>
      <c r="R34" s="182">
        <v>109571.9</v>
      </c>
      <c r="S34" s="182">
        <v>100512.9</v>
      </c>
      <c r="T34" s="182">
        <v>105237.7</v>
      </c>
      <c r="U34" s="182">
        <v>126970</v>
      </c>
      <c r="V34" s="182">
        <v>111399.3</v>
      </c>
      <c r="W34" s="182">
        <v>120840.8</v>
      </c>
      <c r="X34" s="182">
        <v>115482</v>
      </c>
      <c r="Y34" s="182">
        <v>125275.1</v>
      </c>
      <c r="Z34" s="182">
        <v>131731.79999999999</v>
      </c>
      <c r="AA34" s="173">
        <v>136076.29999999999</v>
      </c>
      <c r="AB34" s="173">
        <v>139110.5</v>
      </c>
      <c r="AC34" s="173">
        <v>131894.39999999999</v>
      </c>
      <c r="AD34" s="10" t="s">
        <v>19</v>
      </c>
    </row>
    <row r="35" spans="2:30" ht="11.1" customHeight="1" x14ac:dyDescent="0.25">
      <c r="B35" s="21" t="s">
        <v>13</v>
      </c>
      <c r="C35" s="184" t="s">
        <v>35</v>
      </c>
      <c r="D35" s="182">
        <v>142981.9</v>
      </c>
      <c r="E35" s="182">
        <v>130450.7</v>
      </c>
      <c r="F35" s="182">
        <v>138619.29999999999</v>
      </c>
      <c r="G35" s="182">
        <v>155250.70000000001</v>
      </c>
      <c r="H35" s="182">
        <v>165238.6</v>
      </c>
      <c r="I35" s="182">
        <v>180106.8</v>
      </c>
      <c r="J35" s="182">
        <v>182742.9</v>
      </c>
      <c r="K35" s="182">
        <v>161588.9</v>
      </c>
      <c r="L35" s="182">
        <v>159111.4</v>
      </c>
      <c r="M35" s="182">
        <v>155484.70000000001</v>
      </c>
      <c r="N35" s="182">
        <v>155304.79999999999</v>
      </c>
      <c r="O35" s="182">
        <v>159218.29999999999</v>
      </c>
      <c r="P35" s="182">
        <v>154065.1</v>
      </c>
      <c r="Q35" s="182">
        <v>169404</v>
      </c>
      <c r="R35" s="182">
        <v>163179.9</v>
      </c>
      <c r="S35" s="182">
        <v>153044.9</v>
      </c>
      <c r="T35" s="182">
        <v>166211.5</v>
      </c>
      <c r="U35" s="182">
        <v>197510.2</v>
      </c>
      <c r="V35" s="182">
        <v>176155.6</v>
      </c>
      <c r="W35" s="182">
        <v>194317.3</v>
      </c>
      <c r="X35" s="182">
        <v>185946.7</v>
      </c>
      <c r="Y35" s="182">
        <v>204873.1</v>
      </c>
      <c r="Z35" s="182">
        <v>228363.1</v>
      </c>
      <c r="AA35" s="173">
        <v>227327.6</v>
      </c>
      <c r="AB35" s="173">
        <v>227036.6</v>
      </c>
      <c r="AC35" s="173">
        <v>214725.28</v>
      </c>
      <c r="AD35" s="10" t="s">
        <v>19</v>
      </c>
    </row>
    <row r="36" spans="2:30" ht="11.1" customHeight="1" x14ac:dyDescent="0.25">
      <c r="B36" s="329" t="s">
        <v>36</v>
      </c>
      <c r="C36" s="329"/>
      <c r="D36" s="329"/>
      <c r="E36" s="329"/>
      <c r="F36" s="329"/>
      <c r="G36" s="329"/>
      <c r="H36" s="329"/>
      <c r="I36" s="329"/>
      <c r="J36" s="329"/>
      <c r="K36" s="329"/>
      <c r="L36" s="329"/>
      <c r="M36" s="329"/>
      <c r="N36" s="329"/>
      <c r="O36" s="329"/>
      <c r="P36" s="329"/>
      <c r="Q36" s="329"/>
      <c r="R36" s="329"/>
      <c r="S36" s="329"/>
      <c r="T36" s="329"/>
      <c r="U36" s="329"/>
      <c r="V36" s="329"/>
      <c r="W36" s="329"/>
      <c r="X36" s="329"/>
      <c r="Y36" s="329"/>
      <c r="Z36" s="330"/>
      <c r="AA36" s="82"/>
      <c r="AB36" s="82"/>
      <c r="AC36" s="82"/>
      <c r="AD36" s="82"/>
    </row>
    <row r="37" spans="2:30" ht="11.1" customHeight="1" x14ac:dyDescent="0.25">
      <c r="B37" s="21" t="s">
        <v>87</v>
      </c>
      <c r="C37" s="184" t="s">
        <v>35</v>
      </c>
      <c r="D37" s="182">
        <v>31180.799999999999</v>
      </c>
      <c r="E37" s="182">
        <v>26812.6</v>
      </c>
      <c r="F37" s="182">
        <v>30183.4</v>
      </c>
      <c r="G37" s="182">
        <v>29462.5</v>
      </c>
      <c r="H37" s="182">
        <v>26487.200000000001</v>
      </c>
      <c r="I37" s="182">
        <v>27621.4</v>
      </c>
      <c r="J37" s="182">
        <v>23717.9</v>
      </c>
      <c r="K37" s="182">
        <v>23606</v>
      </c>
      <c r="L37" s="182">
        <v>20778.599999999999</v>
      </c>
      <c r="M37" s="182">
        <v>22845</v>
      </c>
      <c r="N37" s="182">
        <v>24181.7</v>
      </c>
      <c r="O37" s="182">
        <v>27313.3</v>
      </c>
      <c r="P37" s="182">
        <v>27201.9</v>
      </c>
      <c r="Q37" s="182">
        <v>22532.400000000001</v>
      </c>
      <c r="R37" s="182">
        <v>21278.6</v>
      </c>
      <c r="S37" s="182">
        <v>25022.799999999999</v>
      </c>
      <c r="T37" s="182">
        <v>25491.9</v>
      </c>
      <c r="U37" s="182">
        <v>24558.2</v>
      </c>
      <c r="V37" s="182">
        <v>25606.3</v>
      </c>
      <c r="W37" s="182">
        <v>23217.9</v>
      </c>
      <c r="X37" s="182">
        <v>24794.7</v>
      </c>
      <c r="Y37" s="182">
        <v>24540.5</v>
      </c>
      <c r="Z37" s="182">
        <v>25038.7</v>
      </c>
      <c r="AA37" s="173">
        <v>24765.3</v>
      </c>
      <c r="AB37" s="173">
        <v>29192</v>
      </c>
      <c r="AC37" s="173">
        <v>24837.9</v>
      </c>
      <c r="AD37" s="10" t="s">
        <v>19</v>
      </c>
    </row>
    <row r="38" spans="2:30" ht="11.1" customHeight="1" x14ac:dyDescent="0.25">
      <c r="B38" s="21" t="s">
        <v>96</v>
      </c>
      <c r="C38" s="184" t="s">
        <v>35</v>
      </c>
      <c r="D38" s="182">
        <v>18573.400000000001</v>
      </c>
      <c r="E38" s="182">
        <v>19909.2</v>
      </c>
      <c r="F38" s="182">
        <v>16501</v>
      </c>
      <c r="G38" s="182">
        <v>14136.8</v>
      </c>
      <c r="H38" s="182">
        <v>16583.7</v>
      </c>
      <c r="I38" s="182">
        <v>19345</v>
      </c>
      <c r="J38" s="182">
        <v>17888.8</v>
      </c>
      <c r="K38" s="182">
        <v>15568.3</v>
      </c>
      <c r="L38" s="182">
        <v>13750.6</v>
      </c>
      <c r="M38" s="182">
        <v>13865</v>
      </c>
      <c r="N38" s="182">
        <v>11727</v>
      </c>
      <c r="O38" s="182">
        <v>9627.2000000000007</v>
      </c>
      <c r="P38" s="182">
        <v>9463.4</v>
      </c>
      <c r="Q38" s="182">
        <v>8659.4</v>
      </c>
      <c r="R38" s="182">
        <v>9779.1</v>
      </c>
      <c r="S38" s="182">
        <v>9904.6</v>
      </c>
      <c r="T38" s="182">
        <v>9708.9</v>
      </c>
      <c r="U38" s="182">
        <v>9447.9</v>
      </c>
      <c r="V38" s="182">
        <v>10026.799999999999</v>
      </c>
      <c r="W38" s="182">
        <v>10520</v>
      </c>
      <c r="X38" s="182">
        <v>9739.7000000000007</v>
      </c>
      <c r="Y38" s="182">
        <v>8028.3</v>
      </c>
      <c r="Z38" s="182">
        <v>10230.299999999999</v>
      </c>
      <c r="AA38" s="173">
        <v>9902.5</v>
      </c>
      <c r="AB38" s="173">
        <v>10650.8</v>
      </c>
      <c r="AC38" s="173">
        <v>10812.1</v>
      </c>
      <c r="AD38" s="10" t="s">
        <v>19</v>
      </c>
    </row>
    <row r="39" spans="2:30" ht="11.1" customHeight="1" x14ac:dyDescent="0.25">
      <c r="B39" s="21" t="s">
        <v>265</v>
      </c>
      <c r="C39" s="184" t="s">
        <v>35</v>
      </c>
      <c r="D39" s="182">
        <v>5775.9</v>
      </c>
      <c r="E39" s="182">
        <v>6978.3</v>
      </c>
      <c r="F39" s="182">
        <v>7902.9</v>
      </c>
      <c r="G39" s="182">
        <v>7326.3</v>
      </c>
      <c r="H39" s="182">
        <v>7021.3</v>
      </c>
      <c r="I39" s="182">
        <v>7396.5</v>
      </c>
      <c r="J39" s="182">
        <v>6609.3</v>
      </c>
      <c r="K39" s="182">
        <v>6120.3</v>
      </c>
      <c r="L39" s="182">
        <v>5985.9</v>
      </c>
      <c r="M39" s="182">
        <v>5956.4</v>
      </c>
      <c r="N39" s="182">
        <v>5314.1</v>
      </c>
      <c r="O39" s="182">
        <v>5285</v>
      </c>
      <c r="P39" s="182">
        <v>5795.6</v>
      </c>
      <c r="Q39" s="182">
        <v>5019.2</v>
      </c>
      <c r="R39" s="182">
        <v>4668.3999999999996</v>
      </c>
      <c r="S39" s="182">
        <v>4950.3</v>
      </c>
      <c r="T39" s="182">
        <v>5005.8</v>
      </c>
      <c r="U39" s="182">
        <v>4685.3999999999996</v>
      </c>
      <c r="V39" s="182">
        <v>4613.8</v>
      </c>
      <c r="W39" s="182">
        <v>4579.8</v>
      </c>
      <c r="X39" s="182">
        <v>4175</v>
      </c>
      <c r="Y39" s="182">
        <v>3831.9</v>
      </c>
      <c r="Z39" s="182">
        <v>3513.9</v>
      </c>
      <c r="AA39" s="173">
        <v>3454.4</v>
      </c>
      <c r="AB39" s="173">
        <v>3490.6</v>
      </c>
      <c r="AC39" s="173">
        <v>3528.9</v>
      </c>
      <c r="AD39" s="10" t="s">
        <v>19</v>
      </c>
    </row>
    <row r="40" spans="2:30" ht="11.1" customHeight="1" x14ac:dyDescent="0.25">
      <c r="B40" s="21" t="s">
        <v>68</v>
      </c>
      <c r="C40" s="184" t="s">
        <v>35</v>
      </c>
      <c r="D40" s="182">
        <v>1504.5</v>
      </c>
      <c r="E40" s="182">
        <v>1398.7</v>
      </c>
      <c r="F40" s="182">
        <v>1462.3</v>
      </c>
      <c r="G40" s="182">
        <v>1368.9</v>
      </c>
      <c r="H40" s="182">
        <v>1682.4</v>
      </c>
      <c r="I40" s="182">
        <v>1257.2</v>
      </c>
      <c r="J40" s="182">
        <v>1296.8</v>
      </c>
      <c r="K40" s="182">
        <v>1201.4000000000001</v>
      </c>
      <c r="L40" s="182">
        <v>1070.5999999999999</v>
      </c>
      <c r="M40" s="182">
        <v>862.5</v>
      </c>
      <c r="N40" s="182">
        <v>919.9</v>
      </c>
      <c r="O40" s="182">
        <v>1036.4000000000001</v>
      </c>
      <c r="P40" s="182">
        <v>978.9</v>
      </c>
      <c r="Q40" s="182">
        <v>968</v>
      </c>
      <c r="R40" s="182">
        <v>1152.4000000000001</v>
      </c>
      <c r="S40" s="182">
        <v>1139.8</v>
      </c>
      <c r="T40" s="182">
        <v>1197.8</v>
      </c>
      <c r="U40" s="182">
        <v>1191.0999999999999</v>
      </c>
      <c r="V40" s="182">
        <v>1154</v>
      </c>
      <c r="W40" s="182">
        <v>1236.2</v>
      </c>
      <c r="X40" s="182">
        <v>1172.8</v>
      </c>
      <c r="Y40" s="182">
        <v>1201.0999999999999</v>
      </c>
      <c r="Z40" s="182">
        <v>1077.4000000000001</v>
      </c>
      <c r="AA40" s="173">
        <v>1216.0999999999999</v>
      </c>
      <c r="AB40" s="173">
        <v>1220</v>
      </c>
      <c r="AC40" s="173">
        <v>1140.7</v>
      </c>
      <c r="AD40" s="10" t="s">
        <v>19</v>
      </c>
    </row>
    <row r="41" spans="2:30" ht="11.1" customHeight="1" x14ac:dyDescent="0.25">
      <c r="B41" s="21" t="s">
        <v>13</v>
      </c>
      <c r="C41" s="184" t="s">
        <v>35</v>
      </c>
      <c r="D41" s="182">
        <v>57034.5</v>
      </c>
      <c r="E41" s="182">
        <v>55098.8</v>
      </c>
      <c r="F41" s="182">
        <v>56049.599999999999</v>
      </c>
      <c r="G41" s="182">
        <v>52294.400000000001</v>
      </c>
      <c r="H41" s="182">
        <v>51774.6</v>
      </c>
      <c r="I41" s="182">
        <v>55620.1</v>
      </c>
      <c r="J41" s="182">
        <v>49512.9</v>
      </c>
      <c r="K41" s="182">
        <v>46496.1</v>
      </c>
      <c r="L41" s="182">
        <v>41585.699999999997</v>
      </c>
      <c r="M41" s="182">
        <v>43528.9</v>
      </c>
      <c r="N41" s="182">
        <v>42142.8</v>
      </c>
      <c r="O41" s="182">
        <v>43261.9</v>
      </c>
      <c r="P41" s="182">
        <v>43439.8</v>
      </c>
      <c r="Q41" s="182">
        <v>37179</v>
      </c>
      <c r="R41" s="182">
        <v>36878.5</v>
      </c>
      <c r="S41" s="182">
        <v>41017.5</v>
      </c>
      <c r="T41" s="182">
        <v>41404.300000000003</v>
      </c>
      <c r="U41" s="182">
        <v>39882.6</v>
      </c>
      <c r="V41" s="182">
        <v>41400.9</v>
      </c>
      <c r="W41" s="182">
        <v>39553.800000000003</v>
      </c>
      <c r="X41" s="182">
        <v>39882.199999999997</v>
      </c>
      <c r="Y41" s="182">
        <v>37601.800000000003</v>
      </c>
      <c r="Z41" s="182">
        <v>39860.300000000003</v>
      </c>
      <c r="AA41" s="173">
        <v>39338.300000000003</v>
      </c>
      <c r="AB41" s="173">
        <v>44553.4</v>
      </c>
      <c r="AC41" s="173">
        <v>40319.599999999999</v>
      </c>
      <c r="AD41" s="10" t="s">
        <v>19</v>
      </c>
    </row>
    <row r="42" spans="2:30" ht="11.1" customHeight="1" x14ac:dyDescent="0.25">
      <c r="B42" s="329" t="s">
        <v>40</v>
      </c>
      <c r="C42" s="329"/>
      <c r="D42" s="329"/>
      <c r="E42" s="329"/>
      <c r="F42" s="329"/>
      <c r="G42" s="329"/>
      <c r="H42" s="329"/>
      <c r="I42" s="329"/>
      <c r="J42" s="329"/>
      <c r="K42" s="329"/>
      <c r="L42" s="329"/>
      <c r="M42" s="329"/>
      <c r="N42" s="329"/>
      <c r="O42" s="329"/>
      <c r="P42" s="329"/>
      <c r="Q42" s="329"/>
      <c r="R42" s="329"/>
      <c r="S42" s="329"/>
      <c r="T42" s="329"/>
      <c r="U42" s="329"/>
      <c r="V42" s="329"/>
      <c r="W42" s="329"/>
      <c r="X42" s="329"/>
      <c r="Y42" s="329"/>
      <c r="Z42" s="330"/>
      <c r="AA42" s="82"/>
      <c r="AB42" s="82"/>
      <c r="AC42" s="82"/>
      <c r="AD42" s="82"/>
    </row>
    <row r="43" spans="2:30" ht="11.1" customHeight="1" x14ac:dyDescent="0.25">
      <c r="B43" s="21" t="s">
        <v>41</v>
      </c>
      <c r="C43" s="184" t="s">
        <v>35</v>
      </c>
      <c r="D43" s="182">
        <v>5645.7</v>
      </c>
      <c r="E43" s="182">
        <v>5571.5</v>
      </c>
      <c r="F43" s="182">
        <v>5672.7</v>
      </c>
      <c r="G43" s="182">
        <v>5856</v>
      </c>
      <c r="H43" s="182">
        <v>5191.8999999999996</v>
      </c>
      <c r="I43" s="182">
        <v>5837.3</v>
      </c>
      <c r="J43" s="182">
        <v>5984.1</v>
      </c>
      <c r="K43" s="182">
        <v>5516.7</v>
      </c>
      <c r="L43" s="182">
        <v>5469.8</v>
      </c>
      <c r="M43" s="182">
        <v>5325.7</v>
      </c>
      <c r="N43" s="182">
        <v>5641.9</v>
      </c>
      <c r="O43" s="182">
        <v>4980.3999999999996</v>
      </c>
      <c r="P43" s="182">
        <v>5227.5</v>
      </c>
      <c r="Q43" s="182">
        <v>5068.1000000000004</v>
      </c>
      <c r="R43" s="182">
        <v>5036.8</v>
      </c>
      <c r="S43" s="182">
        <v>4747.5</v>
      </c>
      <c r="T43" s="182">
        <v>4602.6000000000004</v>
      </c>
      <c r="U43" s="182">
        <v>4149.7</v>
      </c>
      <c r="V43" s="182">
        <v>4273.8</v>
      </c>
      <c r="W43" s="182">
        <v>4202.8</v>
      </c>
      <c r="X43" s="182">
        <v>3248</v>
      </c>
      <c r="Y43" s="182">
        <v>2859.6</v>
      </c>
      <c r="Z43" s="182">
        <v>3116.7</v>
      </c>
      <c r="AA43" s="173">
        <v>2755.1</v>
      </c>
      <c r="AB43" s="173">
        <v>2651.6</v>
      </c>
      <c r="AC43" s="173">
        <v>2533.5</v>
      </c>
      <c r="AD43" s="10" t="s">
        <v>19</v>
      </c>
    </row>
    <row r="44" spans="2:30" ht="11.1" customHeight="1" x14ac:dyDescent="0.25">
      <c r="B44" s="21" t="s">
        <v>43</v>
      </c>
      <c r="C44" s="184" t="s">
        <v>35</v>
      </c>
      <c r="D44" s="182">
        <v>7598.4</v>
      </c>
      <c r="E44" s="182">
        <v>12107.3</v>
      </c>
      <c r="F44" s="182">
        <v>9186.1</v>
      </c>
      <c r="G44" s="182">
        <v>5727.9</v>
      </c>
      <c r="H44" s="182">
        <v>9626.6</v>
      </c>
      <c r="I44" s="182">
        <v>9360.2000000000007</v>
      </c>
      <c r="J44" s="182">
        <v>15542.5</v>
      </c>
      <c r="K44" s="182">
        <v>9017.2000000000007</v>
      </c>
      <c r="L44" s="182">
        <v>10473.4</v>
      </c>
      <c r="M44" s="182">
        <v>10299.5</v>
      </c>
      <c r="N44" s="182">
        <v>7598.5</v>
      </c>
      <c r="O44" s="182">
        <v>7609</v>
      </c>
      <c r="P44" s="182">
        <v>6949.8</v>
      </c>
      <c r="Q44" s="182">
        <v>3569.2</v>
      </c>
      <c r="R44" s="182">
        <v>6751.3</v>
      </c>
      <c r="S44" s="182">
        <v>4421.2</v>
      </c>
      <c r="T44" s="182">
        <v>4322.8999999999996</v>
      </c>
      <c r="U44" s="182">
        <v>5012.2</v>
      </c>
      <c r="V44" s="182">
        <v>6098.3</v>
      </c>
      <c r="W44" s="182">
        <v>7731.6</v>
      </c>
      <c r="X44" s="182">
        <v>6667.8</v>
      </c>
      <c r="Y44" s="182">
        <v>6789.7</v>
      </c>
      <c r="Z44" s="182">
        <v>5226.6000000000004</v>
      </c>
      <c r="AA44" s="173">
        <v>4239.3999999999996</v>
      </c>
      <c r="AB44" s="173">
        <v>5166.3999999999996</v>
      </c>
      <c r="AC44" s="173">
        <v>5584.2</v>
      </c>
      <c r="AD44" s="10" t="s">
        <v>19</v>
      </c>
    </row>
    <row r="45" spans="2:30" ht="11.1" customHeight="1" x14ac:dyDescent="0.25">
      <c r="B45" s="21" t="s">
        <v>314</v>
      </c>
      <c r="C45" s="184" t="s">
        <v>35</v>
      </c>
      <c r="D45" s="182">
        <v>8683.2999999999993</v>
      </c>
      <c r="E45" s="182">
        <v>9654.2000000000007</v>
      </c>
      <c r="F45" s="182">
        <v>9559.9</v>
      </c>
      <c r="G45" s="182">
        <v>10236.299999999999</v>
      </c>
      <c r="H45" s="182">
        <v>10536.6</v>
      </c>
      <c r="I45" s="182">
        <v>12690.3</v>
      </c>
      <c r="J45" s="182">
        <v>11842.7</v>
      </c>
      <c r="K45" s="182">
        <v>12051.9</v>
      </c>
      <c r="L45" s="182">
        <v>15369.6</v>
      </c>
      <c r="M45" s="182">
        <v>13535.8</v>
      </c>
      <c r="N45" s="182">
        <v>14232.9</v>
      </c>
      <c r="O45" s="182">
        <v>14931.1</v>
      </c>
      <c r="P45" s="182">
        <v>13927.4</v>
      </c>
      <c r="Q45" s="182">
        <v>12559</v>
      </c>
      <c r="R45" s="182">
        <v>12382</v>
      </c>
      <c r="S45" s="182">
        <v>11552.3</v>
      </c>
      <c r="T45" s="182">
        <v>10969.7</v>
      </c>
      <c r="U45" s="182">
        <v>11345.3</v>
      </c>
      <c r="V45" s="182">
        <v>11932.3</v>
      </c>
      <c r="W45" s="182">
        <v>8823.5</v>
      </c>
      <c r="X45" s="182">
        <v>8848.9</v>
      </c>
      <c r="Y45" s="182">
        <v>9011</v>
      </c>
      <c r="Z45" s="182">
        <v>11176.5</v>
      </c>
      <c r="AA45" s="173">
        <v>11736.1</v>
      </c>
      <c r="AB45" s="173">
        <v>13157.5</v>
      </c>
      <c r="AC45" s="173">
        <v>12746.9</v>
      </c>
      <c r="AD45" s="10" t="s">
        <v>19</v>
      </c>
    </row>
    <row r="46" spans="2:30" ht="11.1" customHeight="1" x14ac:dyDescent="0.25">
      <c r="B46" s="21" t="s">
        <v>69</v>
      </c>
      <c r="C46" s="184" t="s">
        <v>35</v>
      </c>
      <c r="D46" s="182">
        <v>4116.5</v>
      </c>
      <c r="E46" s="182">
        <v>3079.6</v>
      </c>
      <c r="F46" s="182">
        <v>4593.3999999999996</v>
      </c>
      <c r="G46" s="182">
        <v>2672.1</v>
      </c>
      <c r="H46" s="182">
        <v>3770.6</v>
      </c>
      <c r="I46" s="182">
        <v>4905.3999999999996</v>
      </c>
      <c r="J46" s="182">
        <v>4031.6</v>
      </c>
      <c r="K46" s="182">
        <v>2753.7</v>
      </c>
      <c r="L46" s="182">
        <v>3621.5</v>
      </c>
      <c r="M46" s="182">
        <v>1771.2</v>
      </c>
      <c r="N46" s="182">
        <v>1855.9</v>
      </c>
      <c r="O46" s="182">
        <v>1638</v>
      </c>
      <c r="P46" s="182">
        <v>2147.6999999999998</v>
      </c>
      <c r="Q46" s="182">
        <v>3071.4</v>
      </c>
      <c r="R46" s="182">
        <v>2924</v>
      </c>
      <c r="S46" s="182">
        <v>1171.5</v>
      </c>
      <c r="T46" s="182">
        <v>1853.5</v>
      </c>
      <c r="U46" s="182">
        <v>2272</v>
      </c>
      <c r="V46" s="182">
        <v>2128.9</v>
      </c>
      <c r="W46" s="182">
        <v>2890.6</v>
      </c>
      <c r="X46" s="182">
        <v>1716.5</v>
      </c>
      <c r="Y46" s="182">
        <v>1431.5</v>
      </c>
      <c r="Z46" s="182">
        <v>2222.9</v>
      </c>
      <c r="AA46" s="173">
        <v>1728.8</v>
      </c>
      <c r="AB46" s="173">
        <v>2020.3</v>
      </c>
      <c r="AC46" s="173">
        <v>1829.4</v>
      </c>
      <c r="AD46" s="10" t="s">
        <v>19</v>
      </c>
    </row>
    <row r="47" spans="2:30" ht="11.1" customHeight="1" x14ac:dyDescent="0.25">
      <c r="B47" s="21" t="s">
        <v>70</v>
      </c>
      <c r="C47" s="184" t="s">
        <v>35</v>
      </c>
      <c r="D47" s="182">
        <v>5127.8</v>
      </c>
      <c r="E47" s="182">
        <v>5433.3</v>
      </c>
      <c r="F47" s="182">
        <v>6339.1</v>
      </c>
      <c r="G47" s="182">
        <v>6086.5</v>
      </c>
      <c r="H47" s="182">
        <v>6171.5</v>
      </c>
      <c r="I47" s="182">
        <v>6141.7</v>
      </c>
      <c r="J47" s="182">
        <v>6222.5</v>
      </c>
      <c r="K47" s="182">
        <v>5872.8</v>
      </c>
      <c r="L47" s="182">
        <v>5733.1</v>
      </c>
      <c r="M47" s="182">
        <v>5162.1000000000004</v>
      </c>
      <c r="N47" s="182">
        <v>4792.8</v>
      </c>
      <c r="O47" s="182">
        <v>4714.7</v>
      </c>
      <c r="P47" s="182">
        <v>4389.5</v>
      </c>
      <c r="Q47" s="182">
        <v>4815.8</v>
      </c>
      <c r="R47" s="182">
        <v>5106.8</v>
      </c>
      <c r="S47" s="182">
        <v>4751.1000000000004</v>
      </c>
      <c r="T47" s="182">
        <v>5310.4</v>
      </c>
      <c r="U47" s="182">
        <v>5342.2</v>
      </c>
      <c r="V47" s="182">
        <v>5785.1</v>
      </c>
      <c r="W47" s="182">
        <v>5756.3</v>
      </c>
      <c r="X47" s="182">
        <v>18327.2</v>
      </c>
      <c r="Y47" s="182">
        <v>6472.5</v>
      </c>
      <c r="Z47" s="182">
        <v>7402.9</v>
      </c>
      <c r="AA47" s="173">
        <v>7514.6</v>
      </c>
      <c r="AB47" s="173">
        <v>9057.2000000000007</v>
      </c>
      <c r="AC47" s="173">
        <v>8457.2999999999993</v>
      </c>
      <c r="AD47" s="10" t="s">
        <v>19</v>
      </c>
    </row>
    <row r="48" spans="2:30" ht="11.1" customHeight="1" x14ac:dyDescent="0.25">
      <c r="B48" s="21" t="s">
        <v>13</v>
      </c>
      <c r="C48" s="184" t="s">
        <v>35</v>
      </c>
      <c r="D48" s="182">
        <v>31171.599999999999</v>
      </c>
      <c r="E48" s="182">
        <v>35845.800000000003</v>
      </c>
      <c r="F48" s="182">
        <v>35351.199999999997</v>
      </c>
      <c r="G48" s="182">
        <v>30578.7</v>
      </c>
      <c r="H48" s="182">
        <v>35297.1</v>
      </c>
      <c r="I48" s="182">
        <v>38934.9</v>
      </c>
      <c r="J48" s="182">
        <v>43623.3</v>
      </c>
      <c r="K48" s="182">
        <v>35212.199999999997</v>
      </c>
      <c r="L48" s="182">
        <v>40667.300000000003</v>
      </c>
      <c r="M48" s="182">
        <v>36094.300000000003</v>
      </c>
      <c r="N48" s="182">
        <v>34122</v>
      </c>
      <c r="O48" s="182">
        <v>33873.199999999997</v>
      </c>
      <c r="P48" s="182">
        <v>32641.9</v>
      </c>
      <c r="Q48" s="182">
        <v>29083.5</v>
      </c>
      <c r="R48" s="182">
        <v>32201</v>
      </c>
      <c r="S48" s="182">
        <v>26643.599999999999</v>
      </c>
      <c r="T48" s="182">
        <v>27059</v>
      </c>
      <c r="U48" s="182">
        <v>28121.4</v>
      </c>
      <c r="V48" s="182">
        <v>30218.400000000001</v>
      </c>
      <c r="W48" s="182">
        <v>29404.9</v>
      </c>
      <c r="X48" s="182">
        <v>38808.5</v>
      </c>
      <c r="Y48" s="182">
        <v>26564.3</v>
      </c>
      <c r="Z48" s="182">
        <v>29145.5</v>
      </c>
      <c r="AA48" s="173">
        <v>27974</v>
      </c>
      <c r="AB48" s="173">
        <v>32052.9</v>
      </c>
      <c r="AC48" s="173">
        <v>31151.200000000001</v>
      </c>
      <c r="AD48" s="10" t="s">
        <v>19</v>
      </c>
    </row>
    <row r="49" spans="2:30" ht="11.25" customHeight="1" x14ac:dyDescent="0.25">
      <c r="B49" s="42" t="s">
        <v>83</v>
      </c>
      <c r="C49" s="184" t="s">
        <v>35</v>
      </c>
      <c r="D49" s="182">
        <v>1571.7</v>
      </c>
      <c r="E49" s="182">
        <v>1343.5</v>
      </c>
      <c r="F49" s="182">
        <v>1561.6</v>
      </c>
      <c r="G49" s="182">
        <v>1985.7</v>
      </c>
      <c r="H49" s="182">
        <v>1827.5</v>
      </c>
      <c r="I49" s="182">
        <v>1310.5999999999999</v>
      </c>
      <c r="J49" s="182">
        <v>3220</v>
      </c>
      <c r="K49" s="182">
        <v>3092.3</v>
      </c>
      <c r="L49" s="182">
        <v>2947.4</v>
      </c>
      <c r="M49" s="182">
        <v>5372</v>
      </c>
      <c r="N49" s="182">
        <v>5984</v>
      </c>
      <c r="O49" s="182">
        <v>7097.7</v>
      </c>
      <c r="P49" s="182">
        <v>7505.5</v>
      </c>
      <c r="Q49" s="182">
        <v>890.1</v>
      </c>
      <c r="R49" s="182">
        <v>887.1</v>
      </c>
      <c r="S49" s="182">
        <v>2779.5</v>
      </c>
      <c r="T49" s="182">
        <v>2128.6</v>
      </c>
      <c r="U49" s="182">
        <v>1055</v>
      </c>
      <c r="V49" s="182">
        <v>7384</v>
      </c>
      <c r="W49" s="182">
        <v>2698.9</v>
      </c>
      <c r="X49" s="182">
        <v>1937.4</v>
      </c>
      <c r="Y49" s="182">
        <v>4947</v>
      </c>
      <c r="Z49" s="182">
        <v>2635</v>
      </c>
      <c r="AA49" s="173">
        <v>7607.2</v>
      </c>
      <c r="AB49" s="173">
        <v>3199.3</v>
      </c>
      <c r="AC49" s="173">
        <v>3221.6</v>
      </c>
      <c r="AD49" s="10" t="s">
        <v>19</v>
      </c>
    </row>
    <row r="50" spans="2:30" ht="11.1" customHeight="1" x14ac:dyDescent="0.25">
      <c r="B50" s="185" t="s">
        <v>309</v>
      </c>
      <c r="C50" s="186" t="s">
        <v>35</v>
      </c>
      <c r="D50" s="187">
        <v>232759.7</v>
      </c>
      <c r="E50" s="187">
        <v>222738.8</v>
      </c>
      <c r="F50" s="187">
        <v>231581.8</v>
      </c>
      <c r="G50" s="187">
        <v>240109.5</v>
      </c>
      <c r="H50" s="187">
        <v>254137.8</v>
      </c>
      <c r="I50" s="187">
        <v>275972.40000000002</v>
      </c>
      <c r="J50" s="187">
        <v>279099.09999999998</v>
      </c>
      <c r="K50" s="187">
        <v>246389.6</v>
      </c>
      <c r="L50" s="187">
        <v>244311.8</v>
      </c>
      <c r="M50" s="187">
        <v>240479.9</v>
      </c>
      <c r="N50" s="187">
        <v>237553.5</v>
      </c>
      <c r="O50" s="187">
        <v>243451</v>
      </c>
      <c r="P50" s="187">
        <v>237652.3</v>
      </c>
      <c r="Q50" s="187">
        <v>236556.5</v>
      </c>
      <c r="R50" s="187">
        <v>233146.5</v>
      </c>
      <c r="S50" s="187">
        <v>223485.5</v>
      </c>
      <c r="T50" s="187">
        <v>236803.3</v>
      </c>
      <c r="U50" s="187">
        <v>266569.09999999998</v>
      </c>
      <c r="V50" s="187">
        <v>255159</v>
      </c>
      <c r="W50" s="187">
        <v>265975</v>
      </c>
      <c r="X50" s="187">
        <v>266574.8</v>
      </c>
      <c r="Y50" s="187">
        <v>273986.2</v>
      </c>
      <c r="Z50" s="187">
        <v>300004</v>
      </c>
      <c r="AA50" s="173">
        <v>302247.09999999998</v>
      </c>
      <c r="AB50" s="173">
        <v>306842.09999999998</v>
      </c>
      <c r="AC50" s="173">
        <v>289416.7</v>
      </c>
      <c r="AD50" s="297" t="s">
        <v>19</v>
      </c>
    </row>
    <row r="51" spans="2:30" ht="66" customHeight="1" x14ac:dyDescent="0.25">
      <c r="B51" s="328" t="s">
        <v>506</v>
      </c>
      <c r="C51" s="328"/>
      <c r="D51" s="328"/>
      <c r="E51" s="328"/>
      <c r="F51" s="328"/>
      <c r="G51" s="328"/>
      <c r="H51" s="328"/>
      <c r="I51" s="328"/>
      <c r="J51" s="328"/>
      <c r="K51" s="328"/>
      <c r="L51" s="328"/>
      <c r="M51" s="328"/>
      <c r="N51" s="328"/>
      <c r="O51" s="328"/>
      <c r="P51" s="328"/>
      <c r="Q51" s="328"/>
      <c r="R51" s="328"/>
      <c r="S51" s="328"/>
      <c r="T51" s="328"/>
      <c r="U51" s="328"/>
      <c r="V51" s="328"/>
      <c r="W51" s="328"/>
      <c r="X51" s="328"/>
      <c r="Y51" s="328"/>
      <c r="Z51" s="328"/>
      <c r="AA51" s="328"/>
      <c r="AB51" s="328"/>
      <c r="AC51" s="328"/>
    </row>
  </sheetData>
  <mergeCells count="10">
    <mergeCell ref="B31:Z31"/>
    <mergeCell ref="B36:Z36"/>
    <mergeCell ref="B42:Z42"/>
    <mergeCell ref="B51:AC51"/>
    <mergeCell ref="B7:Z7"/>
    <mergeCell ref="B9:Z9"/>
    <mergeCell ref="B10:Z10"/>
    <mergeCell ref="B15:Z15"/>
    <mergeCell ref="B21:Z21"/>
    <mergeCell ref="B30:Z30"/>
  </mergeCells>
  <conditionalFormatting sqref="B6:Y6 AA6:AC6">
    <cfRule type="cellIs" dxfId="933" priority="60" stopIfTrue="1" operator="greaterThanOrEqual">
      <formula>100</formula>
    </cfRule>
    <cfRule type="cellIs" dxfId="932" priority="59" stopIfTrue="1" operator="between">
      <formula>-99.999999999999</formula>
      <formula>99.999999999999</formula>
    </cfRule>
    <cfRule type="cellIs" dxfId="931" priority="58" stopIfTrue="1" operator="lessThanOrEqual">
      <formula>-100</formula>
    </cfRule>
    <cfRule type="cellIs" dxfId="930" priority="57" stopIfTrue="1" operator="equal">
      <formula>0</formula>
    </cfRule>
  </conditionalFormatting>
  <conditionalFormatting sqref="B7:AC8">
    <cfRule type="cellIs" dxfId="929" priority="56" stopIfTrue="1" operator="greaterThanOrEqual">
      <formula>100</formula>
    </cfRule>
    <cfRule type="cellIs" dxfId="928" priority="55" stopIfTrue="1" operator="between">
      <formula>-99.999999999999</formula>
      <formula>99.999999999999</formula>
    </cfRule>
    <cfRule type="cellIs" dxfId="927" priority="53" stopIfTrue="1" operator="equal">
      <formula>0</formula>
    </cfRule>
    <cfRule type="cellIs" dxfId="926" priority="54" stopIfTrue="1" operator="lessThanOrEqual">
      <formula>-100</formula>
    </cfRule>
  </conditionalFormatting>
  <conditionalFormatting sqref="B9:AD15">
    <cfRule type="cellIs" dxfId="925" priority="45" stopIfTrue="1" operator="equal">
      <formula>0</formula>
    </cfRule>
    <cfRule type="cellIs" dxfId="924" priority="47" stopIfTrue="1" operator="between">
      <formula>-99.999999999999</formula>
      <formula>99.999999999999</formula>
    </cfRule>
    <cfRule type="cellIs" dxfId="923" priority="48" stopIfTrue="1" operator="greaterThanOrEqual">
      <formula>100</formula>
    </cfRule>
    <cfRule type="cellIs" dxfId="922" priority="46" stopIfTrue="1" operator="lessThanOrEqual">
      <formula>-100</formula>
    </cfRule>
  </conditionalFormatting>
  <conditionalFormatting sqref="B16:AD21">
    <cfRule type="cellIs" dxfId="921" priority="40" stopIfTrue="1" operator="greaterThanOrEqual">
      <formula>100</formula>
    </cfRule>
    <cfRule type="cellIs" dxfId="920" priority="38" stopIfTrue="1" operator="lessThanOrEqual">
      <formula>-100</formula>
    </cfRule>
    <cfRule type="cellIs" dxfId="919" priority="39" stopIfTrue="1" operator="between">
      <formula>-99.999999999999</formula>
      <formula>99.999999999999</formula>
    </cfRule>
    <cfRule type="cellIs" dxfId="918" priority="37" stopIfTrue="1" operator="equal">
      <formula>0</formula>
    </cfRule>
  </conditionalFormatting>
  <conditionalFormatting sqref="B22:AD31">
    <cfRule type="cellIs" dxfId="917" priority="31" stopIfTrue="1" operator="between">
      <formula>-99.999999999999</formula>
      <formula>99.999999999999</formula>
    </cfRule>
    <cfRule type="cellIs" dxfId="916" priority="32" stopIfTrue="1" operator="greaterThanOrEqual">
      <formula>100</formula>
    </cfRule>
    <cfRule type="cellIs" dxfId="915" priority="29" stopIfTrue="1" operator="equal">
      <formula>0</formula>
    </cfRule>
    <cfRule type="cellIs" dxfId="914" priority="30" stopIfTrue="1" operator="lessThanOrEqual">
      <formula>-100</formula>
    </cfRule>
  </conditionalFormatting>
  <conditionalFormatting sqref="B32:AD36">
    <cfRule type="cellIs" dxfId="913" priority="24" stopIfTrue="1" operator="greaterThanOrEqual">
      <formula>100</formula>
    </cfRule>
    <cfRule type="cellIs" dxfId="912" priority="23" stopIfTrue="1" operator="between">
      <formula>-99.999999999999</formula>
      <formula>99.999999999999</formula>
    </cfRule>
    <cfRule type="cellIs" dxfId="911" priority="22" stopIfTrue="1" operator="lessThanOrEqual">
      <formula>-100</formula>
    </cfRule>
    <cfRule type="cellIs" dxfId="910" priority="21" stopIfTrue="1" operator="equal">
      <formula>0</formula>
    </cfRule>
  </conditionalFormatting>
  <conditionalFormatting sqref="B37:AD42">
    <cfRule type="cellIs" dxfId="909" priority="13" stopIfTrue="1" operator="equal">
      <formula>0</formula>
    </cfRule>
    <cfRule type="cellIs" dxfId="908" priority="14" stopIfTrue="1" operator="lessThanOrEqual">
      <formula>-100</formula>
    </cfRule>
    <cfRule type="cellIs" dxfId="907" priority="15" stopIfTrue="1" operator="between">
      <formula>-99.999999999999</formula>
      <formula>99.999999999999</formula>
    </cfRule>
    <cfRule type="cellIs" dxfId="906" priority="16" stopIfTrue="1" operator="greaterThanOrEqual">
      <formula>100</formula>
    </cfRule>
  </conditionalFormatting>
  <conditionalFormatting sqref="B43:AD50">
    <cfRule type="cellIs" dxfId="905" priority="5" stopIfTrue="1" operator="equal">
      <formula>0</formula>
    </cfRule>
    <cfRule type="cellIs" dxfId="904" priority="6" stopIfTrue="1" operator="lessThanOrEqual">
      <formula>-100</formula>
    </cfRule>
    <cfRule type="cellIs" dxfId="903" priority="7" stopIfTrue="1" operator="between">
      <formula>-99.999999999999</formula>
      <formula>99.999999999999</formula>
    </cfRule>
    <cfRule type="cellIs" dxfId="902" priority="8" stopIfTrue="1" operator="greaterThanOrEqual">
      <formula>100</formula>
    </cfRule>
  </conditionalFormatting>
  <conditionalFormatting sqref="AD6:AD8">
    <cfRule type="cellIs" dxfId="901" priority="49" stopIfTrue="1" operator="equal">
      <formula>0</formula>
    </cfRule>
    <cfRule type="cellIs" dxfId="900" priority="50" stopIfTrue="1" operator="lessThanOrEqual">
      <formula>-100</formula>
    </cfRule>
    <cfRule type="cellIs" dxfId="899" priority="51" stopIfTrue="1" operator="between">
      <formula>-99.999999999999</formula>
      <formula>99.999999999999</formula>
    </cfRule>
    <cfRule type="cellIs" dxfId="898" priority="52" stopIfTrue="1" operator="greaterThanOrEqual">
      <formula>100</formula>
    </cfRule>
  </conditionalFormatting>
  <conditionalFormatting sqref="AD11:AD14">
    <cfRule type="cellIs" dxfId="897" priority="42" operator="greaterThanOrEqual">
      <formula>100</formula>
    </cfRule>
    <cfRule type="cellIs" dxfId="896" priority="41" operator="lessThanOrEqual">
      <formula>99</formula>
    </cfRule>
  </conditionalFormatting>
  <conditionalFormatting sqref="AD16:AD20">
    <cfRule type="cellIs" dxfId="895" priority="33" operator="lessThanOrEqual">
      <formula>99</formula>
    </cfRule>
    <cfRule type="cellIs" dxfId="894" priority="34" operator="greaterThanOrEqual">
      <formula>100</formula>
    </cfRule>
  </conditionalFormatting>
  <conditionalFormatting sqref="AD22:AD29">
    <cfRule type="cellIs" dxfId="893" priority="26" operator="greaterThanOrEqual">
      <formula>100</formula>
    </cfRule>
    <cfRule type="cellIs" dxfId="892" priority="25" operator="lessThanOrEqual">
      <formula>99</formula>
    </cfRule>
  </conditionalFormatting>
  <conditionalFormatting sqref="AD32:AD35">
    <cfRule type="cellIs" dxfId="891" priority="18" operator="greaterThanOrEqual">
      <formula>100</formula>
    </cfRule>
    <cfRule type="cellIs" dxfId="890" priority="17" operator="lessThanOrEqual">
      <formula>99</formula>
    </cfRule>
  </conditionalFormatting>
  <conditionalFormatting sqref="AD37:AD41">
    <cfRule type="cellIs" dxfId="889" priority="9" operator="lessThanOrEqual">
      <formula>99</formula>
    </cfRule>
    <cfRule type="cellIs" dxfId="888" priority="10" operator="greaterThanOrEqual">
      <formula>100</formula>
    </cfRule>
  </conditionalFormatting>
  <conditionalFormatting sqref="AD43:AD50">
    <cfRule type="cellIs" dxfId="887" priority="1" operator="lessThanOrEqual">
      <formula>99</formula>
    </cfRule>
    <cfRule type="cellIs" dxfId="886" priority="2" operator="greaterThanOrEqual">
      <formula>100</formula>
    </cfRule>
  </conditionalFormatting>
  <pageMargins left="0.7" right="0.7" top="0.75" bottom="0.75" header="0.3" footer="0.3"/>
  <pageSetup paperSize="9" scale="30"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0D3A9-FF2D-4001-9D74-5EBD29AAAEF4}">
  <sheetPr>
    <pageSetUpPr fitToPage="1"/>
  </sheetPr>
  <dimension ref="B6:AD79"/>
  <sheetViews>
    <sheetView zoomScaleNormal="100" workbookViewId="0"/>
  </sheetViews>
  <sheetFormatPr defaultColWidth="9.140625" defaultRowHeight="15" x14ac:dyDescent="0.25"/>
  <cols>
    <col min="1" max="1" width="9.140625" style="20"/>
    <col min="2" max="2" width="23.5703125" style="20" customWidth="1"/>
    <col min="3" max="3" width="4.85546875" style="20" bestFit="1" customWidth="1"/>
    <col min="4" max="4" width="10.5703125" style="20" customWidth="1"/>
    <col min="5" max="5" width="10" style="20" customWidth="1"/>
    <col min="6" max="6" width="8.28515625" style="20" customWidth="1"/>
    <col min="7" max="30" width="10.5703125" style="20" customWidth="1"/>
    <col min="31" max="16384" width="9.140625" style="20"/>
  </cols>
  <sheetData>
    <row r="6" spans="2:30" ht="12" customHeight="1" x14ac:dyDescent="0.25">
      <c r="B6" s="16"/>
      <c r="C6" s="17"/>
      <c r="D6" s="17"/>
      <c r="E6" s="17"/>
      <c r="F6" s="17"/>
      <c r="G6" s="17"/>
      <c r="H6" s="17"/>
      <c r="I6" s="17"/>
      <c r="J6" s="17"/>
      <c r="K6" s="17"/>
      <c r="L6" s="17"/>
      <c r="M6" s="17"/>
      <c r="N6" s="17"/>
      <c r="O6" s="17"/>
      <c r="P6" s="17"/>
      <c r="Q6" s="17"/>
      <c r="R6" s="17"/>
      <c r="S6" s="17"/>
      <c r="T6" s="17"/>
      <c r="U6" s="17"/>
      <c r="V6" s="17"/>
      <c r="W6" s="17"/>
      <c r="X6" s="17"/>
      <c r="Y6" s="17"/>
      <c r="Z6" s="17"/>
      <c r="AA6" s="19"/>
      <c r="AB6" s="19"/>
      <c r="AC6" s="19"/>
      <c r="AD6" s="19" t="s">
        <v>0</v>
      </c>
    </row>
    <row r="7" spans="2:30" ht="27" customHeight="1" x14ac:dyDescent="0.25">
      <c r="B7" s="322" t="s">
        <v>315</v>
      </c>
      <c r="C7" s="322"/>
      <c r="D7" s="322"/>
      <c r="E7" s="322"/>
      <c r="F7" s="322"/>
      <c r="G7" s="322"/>
      <c r="H7" s="322"/>
      <c r="I7" s="322"/>
      <c r="J7" s="322"/>
      <c r="K7" s="322"/>
      <c r="L7" s="322"/>
      <c r="M7" s="322"/>
      <c r="N7" s="322"/>
      <c r="O7" s="322"/>
      <c r="P7" s="322"/>
      <c r="Q7" s="322"/>
      <c r="R7" s="322"/>
      <c r="S7" s="322"/>
      <c r="T7" s="322"/>
      <c r="U7" s="322"/>
      <c r="V7" s="322"/>
      <c r="W7" s="322"/>
      <c r="X7" s="322"/>
      <c r="Y7" s="322"/>
      <c r="Z7" s="322"/>
      <c r="AA7" s="322"/>
      <c r="AB7" s="322"/>
      <c r="AC7" s="322"/>
      <c r="AD7" s="299"/>
    </row>
    <row r="8" spans="2:30" ht="12" customHeight="1" x14ac:dyDescent="0.25">
      <c r="B8" s="56" t="s">
        <v>307</v>
      </c>
      <c r="C8" s="57"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547</v>
      </c>
    </row>
    <row r="9" spans="2:30" ht="9.75" customHeight="1" x14ac:dyDescent="0.25">
      <c r="B9" s="330" t="s">
        <v>34</v>
      </c>
      <c r="C9" s="330"/>
      <c r="D9" s="330"/>
      <c r="E9" s="330"/>
      <c r="F9" s="330"/>
      <c r="G9" s="330"/>
      <c r="H9" s="330"/>
      <c r="I9" s="330"/>
      <c r="J9" s="330"/>
      <c r="K9" s="330"/>
      <c r="L9" s="330"/>
      <c r="M9" s="330"/>
      <c r="N9" s="330"/>
      <c r="O9" s="330"/>
      <c r="P9" s="330"/>
      <c r="Q9" s="330"/>
      <c r="R9" s="330"/>
      <c r="S9" s="330"/>
      <c r="T9" s="330"/>
      <c r="U9" s="337" t="s">
        <v>66</v>
      </c>
      <c r="V9" s="337" t="s">
        <v>6</v>
      </c>
      <c r="W9" s="337" t="s">
        <v>66</v>
      </c>
      <c r="X9" s="337" t="s">
        <v>6</v>
      </c>
      <c r="Y9" s="337" t="s">
        <v>35</v>
      </c>
      <c r="Z9" s="337" t="s">
        <v>6</v>
      </c>
      <c r="AA9" s="48"/>
      <c r="AB9" s="48"/>
      <c r="AC9" s="48"/>
      <c r="AD9" s="48"/>
    </row>
    <row r="10" spans="2:30" ht="12.6" customHeight="1" x14ac:dyDescent="0.25">
      <c r="B10" s="330" t="s">
        <v>71</v>
      </c>
      <c r="C10" s="330"/>
      <c r="D10" s="330"/>
      <c r="E10" s="330"/>
      <c r="F10" s="330"/>
      <c r="G10" s="330"/>
      <c r="H10" s="330"/>
      <c r="I10" s="330"/>
      <c r="J10" s="330"/>
      <c r="K10" s="330"/>
      <c r="L10" s="330"/>
      <c r="M10" s="330"/>
      <c r="N10" s="330"/>
      <c r="O10" s="330"/>
      <c r="P10" s="330"/>
      <c r="Q10" s="330"/>
      <c r="R10" s="330"/>
      <c r="S10" s="330"/>
      <c r="T10" s="330"/>
      <c r="U10" s="337"/>
      <c r="V10" s="337"/>
      <c r="W10" s="337"/>
      <c r="X10" s="337"/>
      <c r="Y10" s="337"/>
      <c r="Z10" s="337"/>
      <c r="AA10" s="48"/>
      <c r="AB10" s="48"/>
      <c r="AC10" s="48"/>
      <c r="AD10" s="48"/>
    </row>
    <row r="11" spans="2:30" ht="11.1" customHeight="1" x14ac:dyDescent="0.25">
      <c r="B11" s="21" t="s">
        <v>44</v>
      </c>
      <c r="C11" s="22" t="s">
        <v>6</v>
      </c>
      <c r="D11" s="22">
        <v>4142</v>
      </c>
      <c r="E11" s="189">
        <v>5239</v>
      </c>
      <c r="F11" s="189">
        <v>4184</v>
      </c>
      <c r="G11" s="43">
        <v>4982</v>
      </c>
      <c r="H11" s="43">
        <v>4735</v>
      </c>
      <c r="I11" s="43">
        <v>4805</v>
      </c>
      <c r="J11" s="43">
        <v>3760</v>
      </c>
      <c r="K11" s="43">
        <v>3964</v>
      </c>
      <c r="L11" s="43">
        <v>4462</v>
      </c>
      <c r="M11" s="43">
        <v>4220</v>
      </c>
      <c r="N11" s="43">
        <v>4758</v>
      </c>
      <c r="O11" s="43">
        <v>4409</v>
      </c>
      <c r="P11" s="43">
        <v>2058</v>
      </c>
      <c r="Q11" s="43">
        <v>3091</v>
      </c>
      <c r="R11" s="43">
        <v>4032</v>
      </c>
      <c r="S11" s="43">
        <v>3238</v>
      </c>
      <c r="T11" s="43">
        <v>2569</v>
      </c>
      <c r="U11" s="43">
        <v>3306</v>
      </c>
      <c r="V11" s="43">
        <v>3348</v>
      </c>
      <c r="W11" s="43">
        <v>3381</v>
      </c>
      <c r="X11" s="43">
        <v>3781</v>
      </c>
      <c r="Y11" s="43">
        <v>2893</v>
      </c>
      <c r="Z11" s="43">
        <v>3458</v>
      </c>
      <c r="AA11" s="87">
        <v>3918</v>
      </c>
      <c r="AB11" s="87">
        <v>3234</v>
      </c>
      <c r="AC11" s="87">
        <v>3037</v>
      </c>
      <c r="AD11" s="10" t="s">
        <v>19</v>
      </c>
    </row>
    <row r="12" spans="2:30" ht="11.1" customHeight="1" x14ac:dyDescent="0.25">
      <c r="B12" s="21" t="s">
        <v>322</v>
      </c>
      <c r="C12" s="22" t="s">
        <v>6</v>
      </c>
      <c r="D12" s="22">
        <v>6174</v>
      </c>
      <c r="E12" s="189">
        <v>4585</v>
      </c>
      <c r="F12" s="189">
        <v>6829</v>
      </c>
      <c r="G12" s="43">
        <v>12414</v>
      </c>
      <c r="H12" s="43">
        <v>26334</v>
      </c>
      <c r="I12" s="43">
        <v>27591</v>
      </c>
      <c r="J12" s="43">
        <v>25565</v>
      </c>
      <c r="K12" s="43">
        <v>18523</v>
      </c>
      <c r="L12" s="43">
        <v>20819</v>
      </c>
      <c r="M12" s="43">
        <v>19559</v>
      </c>
      <c r="N12" s="43">
        <v>20777</v>
      </c>
      <c r="O12" s="43">
        <v>25606</v>
      </c>
      <c r="P12" s="43">
        <v>22970</v>
      </c>
      <c r="Q12" s="43">
        <v>24541</v>
      </c>
      <c r="R12" s="43">
        <v>23819</v>
      </c>
      <c r="S12" s="43">
        <v>21265</v>
      </c>
      <c r="T12" s="43">
        <v>24786</v>
      </c>
      <c r="U12" s="43">
        <v>29734</v>
      </c>
      <c r="V12" s="43">
        <v>27583</v>
      </c>
      <c r="W12" s="43">
        <v>29648</v>
      </c>
      <c r="X12" s="43">
        <v>29777</v>
      </c>
      <c r="Y12" s="43">
        <v>29622</v>
      </c>
      <c r="Z12" s="43">
        <v>30069</v>
      </c>
      <c r="AA12" s="87">
        <v>34663</v>
      </c>
      <c r="AB12" s="87">
        <v>36846</v>
      </c>
      <c r="AC12" s="87">
        <v>36616</v>
      </c>
      <c r="AD12" s="10" t="s">
        <v>19</v>
      </c>
    </row>
    <row r="13" spans="2:30" ht="11.1" customHeight="1" x14ac:dyDescent="0.25">
      <c r="B13" s="21" t="s">
        <v>75</v>
      </c>
      <c r="C13" s="22" t="s">
        <v>6</v>
      </c>
      <c r="D13" s="22">
        <v>10340</v>
      </c>
      <c r="E13" s="189">
        <v>12166</v>
      </c>
      <c r="F13" s="189">
        <v>13712</v>
      </c>
      <c r="G13" s="43">
        <v>13918</v>
      </c>
      <c r="H13" s="43">
        <v>9829</v>
      </c>
      <c r="I13" s="43">
        <v>10090</v>
      </c>
      <c r="J13" s="43">
        <v>8886</v>
      </c>
      <c r="K13" s="43">
        <v>12518</v>
      </c>
      <c r="L13" s="43">
        <v>11666</v>
      </c>
      <c r="M13" s="43">
        <v>13236</v>
      </c>
      <c r="N13" s="43">
        <v>13869</v>
      </c>
      <c r="O13" s="43">
        <v>13096</v>
      </c>
      <c r="P13" s="43">
        <v>17447</v>
      </c>
      <c r="Q13" s="43">
        <v>18307</v>
      </c>
      <c r="R13" s="43">
        <v>13138</v>
      </c>
      <c r="S13" s="43">
        <v>10207</v>
      </c>
      <c r="T13" s="43">
        <v>8804</v>
      </c>
      <c r="U13" s="43">
        <v>9080</v>
      </c>
      <c r="V13" s="43">
        <v>11241</v>
      </c>
      <c r="W13" s="43">
        <v>10929</v>
      </c>
      <c r="X13" s="43">
        <v>8578</v>
      </c>
      <c r="Y13" s="43">
        <v>7680</v>
      </c>
      <c r="Z13" s="43">
        <v>19446</v>
      </c>
      <c r="AA13" s="87">
        <v>23563</v>
      </c>
      <c r="AB13" s="87">
        <v>16963</v>
      </c>
      <c r="AC13" s="87">
        <v>12786</v>
      </c>
      <c r="AD13" s="10" t="s">
        <v>19</v>
      </c>
    </row>
    <row r="14" spans="2:30" ht="11.1" customHeight="1" x14ac:dyDescent="0.25">
      <c r="B14" s="21" t="s">
        <v>198</v>
      </c>
      <c r="C14" s="22" t="s">
        <v>6</v>
      </c>
      <c r="D14" s="22">
        <v>6067</v>
      </c>
      <c r="E14" s="189">
        <v>5577</v>
      </c>
      <c r="F14" s="189">
        <v>5841</v>
      </c>
      <c r="G14" s="43">
        <v>5909</v>
      </c>
      <c r="H14" s="43">
        <v>5279</v>
      </c>
      <c r="I14" s="43">
        <v>5153</v>
      </c>
      <c r="J14" s="43">
        <v>5533</v>
      </c>
      <c r="K14" s="43">
        <v>6110</v>
      </c>
      <c r="L14" s="43">
        <v>6981</v>
      </c>
      <c r="M14" s="43">
        <v>7610</v>
      </c>
      <c r="N14" s="43">
        <v>5134</v>
      </c>
      <c r="O14" s="43">
        <v>5789</v>
      </c>
      <c r="P14" s="43">
        <v>5656</v>
      </c>
      <c r="Q14" s="43">
        <v>5888</v>
      </c>
      <c r="R14" s="43">
        <v>6144</v>
      </c>
      <c r="S14" s="43">
        <v>6145</v>
      </c>
      <c r="T14" s="43">
        <v>5968</v>
      </c>
      <c r="U14" s="43">
        <v>6238</v>
      </c>
      <c r="V14" s="43">
        <v>5180</v>
      </c>
      <c r="W14" s="43">
        <v>4941</v>
      </c>
      <c r="X14" s="43">
        <v>5502</v>
      </c>
      <c r="Y14" s="43">
        <v>5864</v>
      </c>
      <c r="Z14" s="43">
        <v>5250</v>
      </c>
      <c r="AA14" s="87">
        <v>5534</v>
      </c>
      <c r="AB14" s="87">
        <v>4865</v>
      </c>
      <c r="AC14" s="87">
        <v>4897</v>
      </c>
      <c r="AD14" s="10" t="s">
        <v>19</v>
      </c>
    </row>
    <row r="15" spans="2:30" ht="11.1" customHeight="1" x14ac:dyDescent="0.25">
      <c r="B15" s="21" t="s">
        <v>316</v>
      </c>
      <c r="C15" s="22" t="s">
        <v>6</v>
      </c>
      <c r="D15" s="22">
        <v>16093</v>
      </c>
      <c r="E15" s="189">
        <v>50694</v>
      </c>
      <c r="F15" s="189">
        <v>60096</v>
      </c>
      <c r="G15" s="43">
        <v>32896</v>
      </c>
      <c r="H15" s="43">
        <v>31258</v>
      </c>
      <c r="I15" s="43">
        <v>24989</v>
      </c>
      <c r="J15" s="43">
        <v>16084</v>
      </c>
      <c r="K15" s="43">
        <v>34654</v>
      </c>
      <c r="L15" s="43">
        <v>33789</v>
      </c>
      <c r="M15" s="43">
        <v>35854</v>
      </c>
      <c r="N15" s="43">
        <v>37066</v>
      </c>
      <c r="O15" s="43">
        <v>30986</v>
      </c>
      <c r="P15" s="43">
        <v>26973</v>
      </c>
      <c r="Q15" s="43">
        <v>24268</v>
      </c>
      <c r="R15" s="43">
        <v>24738</v>
      </c>
      <c r="S15" s="43">
        <v>28081</v>
      </c>
      <c r="T15" s="43">
        <v>25043</v>
      </c>
      <c r="U15" s="43">
        <v>27158</v>
      </c>
      <c r="V15" s="43">
        <v>28106</v>
      </c>
      <c r="W15" s="43">
        <v>27444</v>
      </c>
      <c r="X15" s="43">
        <v>24300</v>
      </c>
      <c r="Y15" s="43">
        <v>22986</v>
      </c>
      <c r="Z15" s="43">
        <v>26008</v>
      </c>
      <c r="AA15" s="87">
        <v>18187</v>
      </c>
      <c r="AB15" s="87">
        <v>26438</v>
      </c>
      <c r="AC15" s="87">
        <v>25992</v>
      </c>
      <c r="AD15" s="10" t="s">
        <v>19</v>
      </c>
    </row>
    <row r="16" spans="2:30" ht="11.1" customHeight="1" x14ac:dyDescent="0.25">
      <c r="B16" s="21" t="s">
        <v>317</v>
      </c>
      <c r="C16" s="22" t="s">
        <v>6</v>
      </c>
      <c r="D16" s="22">
        <v>2138</v>
      </c>
      <c r="E16" s="189">
        <v>2149</v>
      </c>
      <c r="F16" s="189">
        <v>2612</v>
      </c>
      <c r="G16" s="43">
        <v>2638</v>
      </c>
      <c r="H16" s="43">
        <v>2952</v>
      </c>
      <c r="I16" s="43">
        <v>3770</v>
      </c>
      <c r="J16" s="43">
        <v>3046</v>
      </c>
      <c r="K16" s="43">
        <v>2946</v>
      </c>
      <c r="L16" s="43">
        <v>2741</v>
      </c>
      <c r="M16" s="43">
        <v>2872</v>
      </c>
      <c r="N16" s="43">
        <v>3575</v>
      </c>
      <c r="O16" s="43">
        <v>2652</v>
      </c>
      <c r="P16" s="43">
        <v>2878</v>
      </c>
      <c r="Q16" s="43">
        <v>3147</v>
      </c>
      <c r="R16" s="43">
        <v>2297</v>
      </c>
      <c r="S16" s="43">
        <v>1972</v>
      </c>
      <c r="T16" s="43">
        <v>2103</v>
      </c>
      <c r="U16" s="43">
        <v>2038</v>
      </c>
      <c r="V16" s="43">
        <v>2788</v>
      </c>
      <c r="W16" s="43">
        <v>2231</v>
      </c>
      <c r="X16" s="43">
        <v>1892</v>
      </c>
      <c r="Y16" s="43">
        <v>1926</v>
      </c>
      <c r="Z16" s="43">
        <v>2542</v>
      </c>
      <c r="AA16" s="87">
        <v>1938</v>
      </c>
      <c r="AB16" s="87">
        <v>2362</v>
      </c>
      <c r="AC16" s="87">
        <v>2320</v>
      </c>
      <c r="AD16" s="10" t="s">
        <v>19</v>
      </c>
    </row>
    <row r="17" spans="2:30" ht="11.1" customHeight="1" x14ac:dyDescent="0.25">
      <c r="B17" s="21" t="s">
        <v>318</v>
      </c>
      <c r="C17" s="22" t="s">
        <v>6</v>
      </c>
      <c r="D17" s="22">
        <v>9722</v>
      </c>
      <c r="E17" s="189">
        <v>11140</v>
      </c>
      <c r="F17" s="189">
        <v>11109</v>
      </c>
      <c r="G17" s="43">
        <v>17079</v>
      </c>
      <c r="H17" s="43">
        <v>15735</v>
      </c>
      <c r="I17" s="43">
        <v>17462</v>
      </c>
      <c r="J17" s="43">
        <v>16465</v>
      </c>
      <c r="K17" s="43">
        <v>13471</v>
      </c>
      <c r="L17" s="43">
        <v>19436</v>
      </c>
      <c r="M17" s="43">
        <v>19062</v>
      </c>
      <c r="N17" s="43">
        <v>17314</v>
      </c>
      <c r="O17" s="43">
        <v>20934</v>
      </c>
      <c r="P17" s="43">
        <v>22450</v>
      </c>
      <c r="Q17" s="43">
        <v>23471</v>
      </c>
      <c r="R17" s="43">
        <v>25711</v>
      </c>
      <c r="S17" s="43">
        <v>21282</v>
      </c>
      <c r="T17" s="43">
        <v>21627</v>
      </c>
      <c r="U17" s="43">
        <v>24471</v>
      </c>
      <c r="V17" s="43">
        <v>26000</v>
      </c>
      <c r="W17" s="43">
        <v>22018</v>
      </c>
      <c r="X17" s="43">
        <v>18804</v>
      </c>
      <c r="Y17" s="43">
        <v>21011</v>
      </c>
      <c r="Z17" s="43">
        <v>25766</v>
      </c>
      <c r="AA17" s="87">
        <v>22667</v>
      </c>
      <c r="AB17" s="87">
        <v>21398</v>
      </c>
      <c r="AC17" s="87">
        <v>21102</v>
      </c>
      <c r="AD17" s="10" t="s">
        <v>19</v>
      </c>
    </row>
    <row r="18" spans="2:30" ht="11.1" customHeight="1" x14ac:dyDescent="0.25">
      <c r="B18" s="21" t="s">
        <v>319</v>
      </c>
      <c r="C18" s="22" t="s">
        <v>6</v>
      </c>
      <c r="D18" s="22">
        <v>1667</v>
      </c>
      <c r="E18" s="189">
        <v>2240</v>
      </c>
      <c r="F18" s="189">
        <v>2247</v>
      </c>
      <c r="G18" s="43">
        <v>1196</v>
      </c>
      <c r="H18" s="43">
        <v>1098</v>
      </c>
      <c r="I18" s="43">
        <v>1683</v>
      </c>
      <c r="J18" s="43">
        <v>1624</v>
      </c>
      <c r="K18" s="43">
        <v>1778</v>
      </c>
      <c r="L18" s="43">
        <v>1794</v>
      </c>
      <c r="M18" s="43">
        <v>1734</v>
      </c>
      <c r="N18" s="43">
        <v>1053</v>
      </c>
      <c r="O18" s="43">
        <v>940</v>
      </c>
      <c r="P18" s="43">
        <v>687</v>
      </c>
      <c r="Q18" s="43">
        <v>643</v>
      </c>
      <c r="R18" s="43">
        <v>422</v>
      </c>
      <c r="S18" s="43">
        <v>348</v>
      </c>
      <c r="T18" s="43">
        <v>279</v>
      </c>
      <c r="U18" s="43">
        <v>287</v>
      </c>
      <c r="V18" s="43">
        <v>272</v>
      </c>
      <c r="W18" s="43">
        <v>257</v>
      </c>
      <c r="X18" s="43">
        <v>304</v>
      </c>
      <c r="Y18" s="43">
        <v>418</v>
      </c>
      <c r="Z18" s="43">
        <v>207</v>
      </c>
      <c r="AA18" s="87">
        <v>272</v>
      </c>
      <c r="AB18" s="87">
        <v>197</v>
      </c>
      <c r="AC18" s="87">
        <v>355</v>
      </c>
      <c r="AD18" s="10" t="s">
        <v>19</v>
      </c>
    </row>
    <row r="19" spans="2:30" ht="11.1" customHeight="1" x14ac:dyDescent="0.25">
      <c r="B19" s="21" t="s">
        <v>108</v>
      </c>
      <c r="C19" s="22" t="s">
        <v>6</v>
      </c>
      <c r="D19" s="22">
        <v>6330</v>
      </c>
      <c r="E19" s="189">
        <v>7691</v>
      </c>
      <c r="F19" s="189">
        <v>7673</v>
      </c>
      <c r="G19" s="43">
        <v>6013</v>
      </c>
      <c r="H19" s="43">
        <v>8475</v>
      </c>
      <c r="I19" s="43">
        <v>7759</v>
      </c>
      <c r="J19" s="43">
        <v>6978</v>
      </c>
      <c r="K19" s="43">
        <v>6861</v>
      </c>
      <c r="L19" s="43">
        <v>6194</v>
      </c>
      <c r="M19" s="43">
        <v>6526</v>
      </c>
      <c r="N19" s="43">
        <v>7763</v>
      </c>
      <c r="O19" s="43">
        <v>4717</v>
      </c>
      <c r="P19" s="43">
        <v>7179</v>
      </c>
      <c r="Q19" s="43">
        <v>6678</v>
      </c>
      <c r="R19" s="43">
        <v>6341</v>
      </c>
      <c r="S19" s="43">
        <v>4366</v>
      </c>
      <c r="T19" s="43">
        <v>4558</v>
      </c>
      <c r="U19" s="43">
        <v>4700</v>
      </c>
      <c r="V19" s="43">
        <v>5233</v>
      </c>
      <c r="W19" s="43">
        <v>5076</v>
      </c>
      <c r="X19" s="43">
        <v>6449</v>
      </c>
      <c r="Y19" s="43">
        <v>6457</v>
      </c>
      <c r="Z19" s="43">
        <v>7252</v>
      </c>
      <c r="AA19" s="87">
        <v>9826</v>
      </c>
      <c r="AB19" s="87">
        <v>8001</v>
      </c>
      <c r="AC19" s="87">
        <v>9916</v>
      </c>
      <c r="AD19" s="10" t="s">
        <v>19</v>
      </c>
    </row>
    <row r="20" spans="2:30" ht="11.1" customHeight="1" x14ac:dyDescent="0.25">
      <c r="B20" s="21" t="s">
        <v>320</v>
      </c>
      <c r="C20" s="22" t="s">
        <v>6</v>
      </c>
      <c r="D20" s="22">
        <v>13858</v>
      </c>
      <c r="E20" s="189">
        <v>10570</v>
      </c>
      <c r="F20" s="189">
        <v>13768</v>
      </c>
      <c r="G20" s="43">
        <v>14056</v>
      </c>
      <c r="H20" s="43">
        <v>14694</v>
      </c>
      <c r="I20" s="43">
        <v>14163</v>
      </c>
      <c r="J20" s="43">
        <v>14517</v>
      </c>
      <c r="K20" s="43">
        <v>12893</v>
      </c>
      <c r="L20" s="43">
        <v>13659</v>
      </c>
      <c r="M20" s="43">
        <v>14565</v>
      </c>
      <c r="N20" s="43">
        <v>10949</v>
      </c>
      <c r="O20" s="43">
        <v>15672</v>
      </c>
      <c r="P20" s="43">
        <v>14169</v>
      </c>
      <c r="Q20" s="43">
        <v>13056</v>
      </c>
      <c r="R20" s="43">
        <v>14394</v>
      </c>
      <c r="S20" s="43">
        <v>19144</v>
      </c>
      <c r="T20" s="43">
        <v>15011</v>
      </c>
      <c r="U20" s="43">
        <v>14638</v>
      </c>
      <c r="V20" s="43">
        <v>14304</v>
      </c>
      <c r="W20" s="43">
        <v>14941</v>
      </c>
      <c r="X20" s="43">
        <v>14136</v>
      </c>
      <c r="Y20" s="43">
        <v>19056</v>
      </c>
      <c r="Z20" s="43">
        <v>17172</v>
      </c>
      <c r="AA20" s="87">
        <v>12836</v>
      </c>
      <c r="AB20" s="87">
        <v>15647</v>
      </c>
      <c r="AC20" s="87">
        <v>15256</v>
      </c>
      <c r="AD20" s="10" t="s">
        <v>19</v>
      </c>
    </row>
    <row r="21" spans="2:30" ht="11.1" customHeight="1" x14ac:dyDescent="0.25">
      <c r="B21" s="21" t="s">
        <v>102</v>
      </c>
      <c r="C21" s="22" t="s">
        <v>6</v>
      </c>
      <c r="D21" s="22">
        <v>24409</v>
      </c>
      <c r="E21" s="189">
        <v>17447</v>
      </c>
      <c r="F21" s="189">
        <v>17565</v>
      </c>
      <c r="G21" s="43">
        <v>14855</v>
      </c>
      <c r="H21" s="43">
        <v>16302</v>
      </c>
      <c r="I21" s="43">
        <v>8665</v>
      </c>
      <c r="J21" s="43">
        <v>15035</v>
      </c>
      <c r="K21" s="43">
        <v>6370</v>
      </c>
      <c r="L21" s="43">
        <v>3603</v>
      </c>
      <c r="M21" s="43">
        <v>720</v>
      </c>
      <c r="N21" s="43">
        <v>2019</v>
      </c>
      <c r="O21" s="43">
        <v>3507</v>
      </c>
      <c r="P21" s="43">
        <v>1025</v>
      </c>
      <c r="Q21" s="43">
        <v>1365</v>
      </c>
      <c r="R21" s="43">
        <v>1036</v>
      </c>
      <c r="S21" s="43">
        <v>795</v>
      </c>
      <c r="T21" s="43">
        <v>1646</v>
      </c>
      <c r="U21" s="43">
        <v>2319</v>
      </c>
      <c r="V21" s="43">
        <v>2217</v>
      </c>
      <c r="W21" s="43">
        <v>2665</v>
      </c>
      <c r="X21" s="43">
        <v>8073</v>
      </c>
      <c r="Y21" s="43">
        <v>5013</v>
      </c>
      <c r="Z21" s="43">
        <v>9271</v>
      </c>
      <c r="AA21" s="87">
        <v>9134</v>
      </c>
      <c r="AB21" s="87">
        <v>10591</v>
      </c>
      <c r="AC21" s="87">
        <v>4841</v>
      </c>
      <c r="AD21" s="10" t="s">
        <v>19</v>
      </c>
    </row>
    <row r="22" spans="2:30" ht="11.1" customHeight="1" x14ac:dyDescent="0.25">
      <c r="B22" s="21" t="s">
        <v>323</v>
      </c>
      <c r="C22" s="22" t="s">
        <v>6</v>
      </c>
      <c r="D22" s="22">
        <v>32068</v>
      </c>
      <c r="E22" s="189">
        <v>22908</v>
      </c>
      <c r="F22" s="189">
        <v>28918</v>
      </c>
      <c r="G22" s="43">
        <v>41864</v>
      </c>
      <c r="H22" s="43">
        <v>44696</v>
      </c>
      <c r="I22" s="43">
        <v>46897</v>
      </c>
      <c r="J22" s="43">
        <v>47988</v>
      </c>
      <c r="K22" s="43">
        <v>31880</v>
      </c>
      <c r="L22" s="43">
        <v>31159</v>
      </c>
      <c r="M22" s="43">
        <v>35483</v>
      </c>
      <c r="N22" s="43">
        <v>36158</v>
      </c>
      <c r="O22" s="43">
        <v>29182</v>
      </c>
      <c r="P22" s="43">
        <v>27681</v>
      </c>
      <c r="Q22" s="43">
        <v>25233</v>
      </c>
      <c r="R22" s="43">
        <v>26678</v>
      </c>
      <c r="S22" s="43">
        <v>24520</v>
      </c>
      <c r="T22" s="43">
        <v>25612</v>
      </c>
      <c r="U22" s="43">
        <v>26932</v>
      </c>
      <c r="V22" s="43">
        <v>28024</v>
      </c>
      <c r="W22" s="43">
        <v>26892</v>
      </c>
      <c r="X22" s="43">
        <v>30874</v>
      </c>
      <c r="Y22" s="43">
        <v>26677</v>
      </c>
      <c r="Z22" s="43">
        <v>32711</v>
      </c>
      <c r="AA22" s="87">
        <v>30376</v>
      </c>
      <c r="AB22" s="87">
        <v>32381</v>
      </c>
      <c r="AC22" s="87">
        <v>35125</v>
      </c>
      <c r="AD22" s="10" t="s">
        <v>19</v>
      </c>
    </row>
    <row r="23" spans="2:30" ht="11.1" customHeight="1" x14ac:dyDescent="0.25">
      <c r="B23" s="21" t="s">
        <v>98</v>
      </c>
      <c r="C23" s="22" t="s">
        <v>6</v>
      </c>
      <c r="D23" s="22">
        <v>9506</v>
      </c>
      <c r="E23" s="189">
        <v>11258</v>
      </c>
      <c r="F23" s="189">
        <v>10483</v>
      </c>
      <c r="G23" s="43">
        <v>9826</v>
      </c>
      <c r="H23" s="43">
        <v>11064</v>
      </c>
      <c r="I23" s="43">
        <v>11229</v>
      </c>
      <c r="J23" s="43">
        <v>9033</v>
      </c>
      <c r="K23" s="43">
        <v>8891</v>
      </c>
      <c r="L23" s="43">
        <v>9138</v>
      </c>
      <c r="M23" s="43">
        <v>8219</v>
      </c>
      <c r="N23" s="43">
        <v>8945</v>
      </c>
      <c r="O23" s="43">
        <v>8858</v>
      </c>
      <c r="P23" s="43">
        <v>8174</v>
      </c>
      <c r="Q23" s="43">
        <v>9022</v>
      </c>
      <c r="R23" s="43">
        <v>9154</v>
      </c>
      <c r="S23" s="43">
        <v>9065</v>
      </c>
      <c r="T23" s="43">
        <v>9331</v>
      </c>
      <c r="U23" s="43">
        <v>9688</v>
      </c>
      <c r="V23" s="43">
        <v>11211</v>
      </c>
      <c r="W23" s="43">
        <v>10024</v>
      </c>
      <c r="X23" s="43">
        <v>9304</v>
      </c>
      <c r="Y23" s="43">
        <v>12864</v>
      </c>
      <c r="Z23" s="43">
        <v>16996</v>
      </c>
      <c r="AA23" s="87">
        <v>18614</v>
      </c>
      <c r="AB23" s="87">
        <v>18090</v>
      </c>
      <c r="AC23" s="87">
        <v>15162</v>
      </c>
      <c r="AD23" s="10" t="s">
        <v>19</v>
      </c>
    </row>
    <row r="24" spans="2:30" ht="11.1" customHeight="1" x14ac:dyDescent="0.25">
      <c r="B24" s="21" t="s">
        <v>216</v>
      </c>
      <c r="C24" s="22" t="s">
        <v>6</v>
      </c>
      <c r="D24" s="22">
        <v>103705</v>
      </c>
      <c r="E24" s="189">
        <v>108621</v>
      </c>
      <c r="F24" s="189">
        <v>124387</v>
      </c>
      <c r="G24" s="43">
        <v>132912</v>
      </c>
      <c r="H24" s="43">
        <v>126525</v>
      </c>
      <c r="I24" s="43">
        <v>72502</v>
      </c>
      <c r="J24" s="43">
        <v>71693</v>
      </c>
      <c r="K24" s="43">
        <v>56243</v>
      </c>
      <c r="L24" s="43">
        <v>64196</v>
      </c>
      <c r="M24" s="43">
        <v>67469</v>
      </c>
      <c r="N24" s="43">
        <v>73689</v>
      </c>
      <c r="O24" s="43">
        <v>44611</v>
      </c>
      <c r="P24" s="43">
        <v>54328</v>
      </c>
      <c r="Q24" s="43">
        <v>62106</v>
      </c>
      <c r="R24" s="43">
        <v>59491</v>
      </c>
      <c r="S24" s="43">
        <v>61796</v>
      </c>
      <c r="T24" s="43">
        <v>63653</v>
      </c>
      <c r="U24" s="43">
        <v>74427</v>
      </c>
      <c r="V24" s="43">
        <v>64227</v>
      </c>
      <c r="W24" s="43">
        <v>66889</v>
      </c>
      <c r="X24" s="43">
        <v>66552</v>
      </c>
      <c r="Y24" s="43">
        <v>72703</v>
      </c>
      <c r="Z24" s="43">
        <v>65923</v>
      </c>
      <c r="AA24" s="87">
        <v>61283</v>
      </c>
      <c r="AB24" s="87">
        <v>65051</v>
      </c>
      <c r="AC24" s="87">
        <v>75261</v>
      </c>
      <c r="AD24" s="10" t="s">
        <v>19</v>
      </c>
    </row>
    <row r="25" spans="2:30" ht="11.1" customHeight="1" x14ac:dyDescent="0.25">
      <c r="B25" s="21" t="s">
        <v>252</v>
      </c>
      <c r="C25" s="22" t="s">
        <v>6</v>
      </c>
      <c r="D25" s="22">
        <v>17921</v>
      </c>
      <c r="E25" s="189">
        <v>17250</v>
      </c>
      <c r="F25" s="189">
        <v>16175</v>
      </c>
      <c r="G25" s="43">
        <v>17638</v>
      </c>
      <c r="H25" s="43">
        <v>19988</v>
      </c>
      <c r="I25" s="43">
        <v>17317</v>
      </c>
      <c r="J25" s="43">
        <v>15341</v>
      </c>
      <c r="K25" s="43">
        <v>18479</v>
      </c>
      <c r="L25" s="43">
        <v>20210</v>
      </c>
      <c r="M25" s="43">
        <v>21282</v>
      </c>
      <c r="N25" s="43">
        <v>20968</v>
      </c>
      <c r="O25" s="43">
        <v>20399</v>
      </c>
      <c r="P25" s="43">
        <v>20468</v>
      </c>
      <c r="Q25" s="43">
        <v>18705</v>
      </c>
      <c r="R25" s="43">
        <v>18984</v>
      </c>
      <c r="S25" s="43">
        <v>16909</v>
      </c>
      <c r="T25" s="43">
        <v>20239</v>
      </c>
      <c r="U25" s="43">
        <v>20753</v>
      </c>
      <c r="V25" s="43">
        <v>17051</v>
      </c>
      <c r="W25" s="43">
        <v>19763</v>
      </c>
      <c r="X25" s="43">
        <v>20747</v>
      </c>
      <c r="Y25" s="43">
        <v>20821</v>
      </c>
      <c r="Z25" s="43">
        <v>19695</v>
      </c>
      <c r="AA25" s="87">
        <v>26251</v>
      </c>
      <c r="AB25" s="87">
        <v>26356</v>
      </c>
      <c r="AC25" s="87">
        <v>19539</v>
      </c>
      <c r="AD25" s="10" t="s">
        <v>19</v>
      </c>
    </row>
    <row r="26" spans="2:30" ht="11.1" customHeight="1" x14ac:dyDescent="0.25">
      <c r="B26" s="21" t="s">
        <v>82</v>
      </c>
      <c r="C26" s="22" t="s">
        <v>6</v>
      </c>
      <c r="D26" s="22">
        <v>183440</v>
      </c>
      <c r="E26" s="189">
        <v>180802</v>
      </c>
      <c r="F26" s="189">
        <v>182773</v>
      </c>
      <c r="G26" s="43">
        <v>217537</v>
      </c>
      <c r="H26" s="43">
        <v>202842</v>
      </c>
      <c r="I26" s="43">
        <v>199655</v>
      </c>
      <c r="J26" s="43">
        <v>193228</v>
      </c>
      <c r="K26" s="43">
        <v>173986</v>
      </c>
      <c r="L26" s="43">
        <v>193890</v>
      </c>
      <c r="M26" s="43">
        <v>180959</v>
      </c>
      <c r="N26" s="43">
        <v>200117</v>
      </c>
      <c r="O26" s="43">
        <v>205095</v>
      </c>
      <c r="P26" s="43">
        <v>176423</v>
      </c>
      <c r="Q26" s="43">
        <v>212519</v>
      </c>
      <c r="R26" s="43">
        <v>212821</v>
      </c>
      <c r="S26" s="43">
        <v>185423</v>
      </c>
      <c r="T26" s="43">
        <v>199401</v>
      </c>
      <c r="U26" s="43">
        <v>260248</v>
      </c>
      <c r="V26" s="43">
        <v>242094</v>
      </c>
      <c r="W26" s="43">
        <v>252725</v>
      </c>
      <c r="X26" s="43">
        <v>261729</v>
      </c>
      <c r="Y26" s="43">
        <v>309658</v>
      </c>
      <c r="Z26" s="43">
        <v>251663</v>
      </c>
      <c r="AA26" s="87">
        <v>317591</v>
      </c>
      <c r="AB26" s="87">
        <v>287652</v>
      </c>
      <c r="AC26" s="87">
        <v>293453</v>
      </c>
      <c r="AD26" s="10" t="s">
        <v>19</v>
      </c>
    </row>
    <row r="27" spans="2:30" ht="11.1" customHeight="1" x14ac:dyDescent="0.25">
      <c r="B27" s="21" t="s">
        <v>13</v>
      </c>
      <c r="C27" s="22" t="s">
        <v>6</v>
      </c>
      <c r="D27" s="22">
        <v>447581</v>
      </c>
      <c r="E27" s="189">
        <v>470336</v>
      </c>
      <c r="F27" s="189">
        <v>508369</v>
      </c>
      <c r="G27" s="43">
        <v>545734</v>
      </c>
      <c r="H27" s="43">
        <v>541804</v>
      </c>
      <c r="I27" s="43">
        <v>473729</v>
      </c>
      <c r="J27" s="43">
        <v>454774</v>
      </c>
      <c r="K27" s="43">
        <v>409566</v>
      </c>
      <c r="L27" s="43">
        <v>443736</v>
      </c>
      <c r="M27" s="43">
        <v>439370</v>
      </c>
      <c r="N27" s="43">
        <v>464154</v>
      </c>
      <c r="O27" s="43">
        <v>436451</v>
      </c>
      <c r="P27" s="43">
        <v>410564</v>
      </c>
      <c r="Q27" s="43">
        <v>452041</v>
      </c>
      <c r="R27" s="43">
        <v>449199</v>
      </c>
      <c r="S27" s="43">
        <v>414554</v>
      </c>
      <c r="T27" s="43">
        <v>430630</v>
      </c>
      <c r="U27" s="43">
        <v>516018</v>
      </c>
      <c r="V27" s="43">
        <v>488879</v>
      </c>
      <c r="W27" s="43">
        <v>499824</v>
      </c>
      <c r="X27" s="43">
        <v>510802</v>
      </c>
      <c r="Y27" s="43">
        <v>565649</v>
      </c>
      <c r="Z27" s="43">
        <v>533428</v>
      </c>
      <c r="AA27" s="87">
        <v>596653</v>
      </c>
      <c r="AB27" s="87">
        <v>576071</v>
      </c>
      <c r="AC27" s="87">
        <v>575659</v>
      </c>
      <c r="AD27" s="10" t="s">
        <v>19</v>
      </c>
    </row>
    <row r="28" spans="2:30" ht="9.75" customHeight="1" x14ac:dyDescent="0.25">
      <c r="B28" s="330" t="s">
        <v>36</v>
      </c>
      <c r="C28" s="330"/>
      <c r="D28" s="330"/>
      <c r="E28" s="330"/>
      <c r="F28" s="330"/>
      <c r="G28" s="330"/>
      <c r="H28" s="330"/>
      <c r="I28" s="330"/>
      <c r="J28" s="330"/>
      <c r="K28" s="330"/>
      <c r="L28" s="330"/>
      <c r="M28" s="330"/>
      <c r="N28" s="330"/>
      <c r="O28" s="330"/>
      <c r="P28" s="330"/>
      <c r="Q28" s="330"/>
      <c r="R28" s="330"/>
      <c r="S28" s="330"/>
      <c r="T28" s="330"/>
      <c r="U28" s="337"/>
      <c r="V28" s="337"/>
      <c r="W28" s="337"/>
      <c r="X28" s="337"/>
      <c r="Y28" s="337"/>
      <c r="Z28" s="337"/>
      <c r="AA28" s="48"/>
      <c r="AB28" s="48"/>
      <c r="AC28" s="48"/>
      <c r="AD28" s="48"/>
    </row>
    <row r="29" spans="2:30" ht="11.1" customHeight="1" x14ac:dyDescent="0.25">
      <c r="B29" s="21" t="s">
        <v>265</v>
      </c>
      <c r="C29" s="22" t="s">
        <v>6</v>
      </c>
      <c r="D29" s="22">
        <v>39895</v>
      </c>
      <c r="E29" s="189">
        <v>50925</v>
      </c>
      <c r="F29" s="189">
        <v>57519</v>
      </c>
      <c r="G29" s="43">
        <v>55010</v>
      </c>
      <c r="H29" s="43">
        <v>51092</v>
      </c>
      <c r="I29" s="43">
        <v>54496</v>
      </c>
      <c r="J29" s="43">
        <v>47206</v>
      </c>
      <c r="K29" s="43">
        <v>52810</v>
      </c>
      <c r="L29" s="43">
        <v>54511</v>
      </c>
      <c r="M29" s="43">
        <v>56303</v>
      </c>
      <c r="N29" s="43">
        <v>57841</v>
      </c>
      <c r="O29" s="43">
        <v>57115</v>
      </c>
      <c r="P29" s="43">
        <v>57516</v>
      </c>
      <c r="Q29" s="43">
        <v>57970</v>
      </c>
      <c r="R29" s="43">
        <v>53084</v>
      </c>
      <c r="S29" s="43">
        <v>54514</v>
      </c>
      <c r="T29" s="43">
        <v>54951</v>
      </c>
      <c r="U29" s="43">
        <v>52764</v>
      </c>
      <c r="V29" s="43">
        <v>57151</v>
      </c>
      <c r="W29" s="43">
        <v>59936</v>
      </c>
      <c r="X29" s="43">
        <v>56863</v>
      </c>
      <c r="Y29" s="43">
        <v>52117</v>
      </c>
      <c r="Z29" s="43">
        <v>72349</v>
      </c>
      <c r="AA29" s="87">
        <v>68424</v>
      </c>
      <c r="AB29" s="87">
        <v>75795</v>
      </c>
      <c r="AC29" s="87">
        <v>73015</v>
      </c>
      <c r="AD29" s="10" t="s">
        <v>19</v>
      </c>
    </row>
    <row r="30" spans="2:30" ht="11.1" customHeight="1" x14ac:dyDescent="0.25">
      <c r="B30" s="21" t="s">
        <v>87</v>
      </c>
      <c r="C30" s="22" t="s">
        <v>6</v>
      </c>
      <c r="D30" s="22">
        <v>374270</v>
      </c>
      <c r="E30" s="189">
        <v>359765</v>
      </c>
      <c r="F30" s="189">
        <v>403735</v>
      </c>
      <c r="G30" s="43">
        <v>363865</v>
      </c>
      <c r="H30" s="43">
        <v>308611</v>
      </c>
      <c r="I30" s="43">
        <v>302075</v>
      </c>
      <c r="J30" s="43">
        <v>256741</v>
      </c>
      <c r="K30" s="43">
        <v>255267</v>
      </c>
      <c r="L30" s="43">
        <v>222351</v>
      </c>
      <c r="M30" s="43">
        <v>228122</v>
      </c>
      <c r="N30" s="43">
        <v>233136</v>
      </c>
      <c r="O30" s="43">
        <v>249697</v>
      </c>
      <c r="P30" s="43">
        <v>251110</v>
      </c>
      <c r="Q30" s="43">
        <v>206192</v>
      </c>
      <c r="R30" s="43">
        <v>218186</v>
      </c>
      <c r="S30" s="43">
        <v>275067</v>
      </c>
      <c r="T30" s="43">
        <v>278520</v>
      </c>
      <c r="U30" s="43">
        <v>301506</v>
      </c>
      <c r="V30" s="43">
        <v>310273</v>
      </c>
      <c r="W30" s="43">
        <v>280086</v>
      </c>
      <c r="X30" s="43">
        <v>290624</v>
      </c>
      <c r="Y30" s="43">
        <v>235651</v>
      </c>
      <c r="Z30" s="43">
        <v>271845</v>
      </c>
      <c r="AA30" s="87">
        <v>270261</v>
      </c>
      <c r="AB30" s="87">
        <v>284006</v>
      </c>
      <c r="AC30" s="87">
        <v>224601</v>
      </c>
      <c r="AD30" s="10" t="s">
        <v>19</v>
      </c>
    </row>
    <row r="31" spans="2:30" ht="11.1" customHeight="1" x14ac:dyDescent="0.25">
      <c r="B31" s="21" t="s">
        <v>96</v>
      </c>
      <c r="C31" s="22" t="s">
        <v>6</v>
      </c>
      <c r="D31" s="22">
        <v>430518</v>
      </c>
      <c r="E31" s="189">
        <v>540703</v>
      </c>
      <c r="F31" s="189">
        <v>477200</v>
      </c>
      <c r="G31" s="43">
        <v>499888</v>
      </c>
      <c r="H31" s="43">
        <v>454924</v>
      </c>
      <c r="I31" s="43">
        <v>401186</v>
      </c>
      <c r="J31" s="43">
        <v>414718</v>
      </c>
      <c r="K31" s="43">
        <v>463385</v>
      </c>
      <c r="L31" s="43">
        <v>449449</v>
      </c>
      <c r="M31" s="43">
        <v>416536</v>
      </c>
      <c r="N31" s="43">
        <v>405131</v>
      </c>
      <c r="O31" s="43">
        <v>371272</v>
      </c>
      <c r="P31" s="43">
        <v>382291</v>
      </c>
      <c r="Q31" s="43">
        <v>384254</v>
      </c>
      <c r="R31" s="43">
        <v>427740</v>
      </c>
      <c r="S31" s="43">
        <v>575757</v>
      </c>
      <c r="T31" s="43">
        <v>655303</v>
      </c>
      <c r="U31" s="43">
        <v>681292</v>
      </c>
      <c r="V31" s="43">
        <v>661853</v>
      </c>
      <c r="W31" s="43">
        <v>713118</v>
      </c>
      <c r="X31" s="43">
        <v>701459</v>
      </c>
      <c r="Y31" s="43">
        <v>522583</v>
      </c>
      <c r="Z31" s="43">
        <v>403394</v>
      </c>
      <c r="AA31" s="87">
        <v>382818</v>
      </c>
      <c r="AB31" s="87">
        <v>438048</v>
      </c>
      <c r="AC31" s="87">
        <v>489192</v>
      </c>
      <c r="AD31" s="10" t="s">
        <v>19</v>
      </c>
    </row>
    <row r="32" spans="2:30" ht="11.1" customHeight="1" x14ac:dyDescent="0.25">
      <c r="B32" s="21" t="s">
        <v>68</v>
      </c>
      <c r="C32" s="22" t="s">
        <v>6</v>
      </c>
      <c r="D32" s="22">
        <v>11829</v>
      </c>
      <c r="E32" s="189">
        <v>12018</v>
      </c>
      <c r="F32" s="189">
        <v>11600</v>
      </c>
      <c r="G32" s="43">
        <v>11784</v>
      </c>
      <c r="H32" s="43">
        <v>13346</v>
      </c>
      <c r="I32" s="43">
        <v>12062</v>
      </c>
      <c r="J32" s="43">
        <v>13324</v>
      </c>
      <c r="K32" s="43">
        <v>16844</v>
      </c>
      <c r="L32" s="43">
        <v>14892</v>
      </c>
      <c r="M32" s="43">
        <v>12081</v>
      </c>
      <c r="N32" s="43">
        <v>13688</v>
      </c>
      <c r="O32" s="43">
        <v>14344</v>
      </c>
      <c r="P32" s="43">
        <v>14328</v>
      </c>
      <c r="Q32" s="43">
        <v>16094</v>
      </c>
      <c r="R32" s="43">
        <v>19609</v>
      </c>
      <c r="S32" s="43">
        <v>18884</v>
      </c>
      <c r="T32" s="43">
        <v>18668</v>
      </c>
      <c r="U32" s="43">
        <v>20385</v>
      </c>
      <c r="V32" s="43">
        <v>20112</v>
      </c>
      <c r="W32" s="43">
        <v>22624</v>
      </c>
      <c r="X32" s="43">
        <v>22421</v>
      </c>
      <c r="Y32" s="43">
        <v>19886</v>
      </c>
      <c r="Z32" s="43">
        <v>24465</v>
      </c>
      <c r="AA32" s="87">
        <v>21447</v>
      </c>
      <c r="AB32" s="87">
        <v>35845</v>
      </c>
      <c r="AC32" s="87">
        <v>27077</v>
      </c>
      <c r="AD32" s="10" t="s">
        <v>19</v>
      </c>
    </row>
    <row r="33" spans="2:30" ht="11.1" customHeight="1" x14ac:dyDescent="0.25">
      <c r="B33" s="21" t="s">
        <v>13</v>
      </c>
      <c r="C33" s="22" t="s">
        <v>6</v>
      </c>
      <c r="D33" s="22">
        <v>856512</v>
      </c>
      <c r="E33" s="189">
        <v>963412</v>
      </c>
      <c r="F33" s="189">
        <v>950055</v>
      </c>
      <c r="G33" s="43">
        <v>930546</v>
      </c>
      <c r="H33" s="43">
        <v>827973</v>
      </c>
      <c r="I33" s="43">
        <v>769820</v>
      </c>
      <c r="J33" s="43">
        <v>731990</v>
      </c>
      <c r="K33" s="43">
        <v>788307</v>
      </c>
      <c r="L33" s="43">
        <v>741203</v>
      </c>
      <c r="M33" s="43">
        <v>713041</v>
      </c>
      <c r="N33" s="43">
        <v>709796</v>
      </c>
      <c r="O33" s="43">
        <v>692428</v>
      </c>
      <c r="P33" s="43">
        <v>705245</v>
      </c>
      <c r="Q33" s="43">
        <v>664510</v>
      </c>
      <c r="R33" s="43">
        <v>718619</v>
      </c>
      <c r="S33" s="43">
        <v>924222</v>
      </c>
      <c r="T33" s="43">
        <v>1007442</v>
      </c>
      <c r="U33" s="43">
        <v>1055947</v>
      </c>
      <c r="V33" s="43">
        <v>1049388</v>
      </c>
      <c r="W33" s="43">
        <v>1075764</v>
      </c>
      <c r="X33" s="43">
        <v>1071367</v>
      </c>
      <c r="Y33" s="43">
        <v>830238</v>
      </c>
      <c r="Z33" s="43">
        <v>772052</v>
      </c>
      <c r="AA33" s="87">
        <v>742949</v>
      </c>
      <c r="AB33" s="87">
        <v>833693</v>
      </c>
      <c r="AC33" s="87">
        <v>813885</v>
      </c>
      <c r="AD33" s="10" t="s">
        <v>19</v>
      </c>
    </row>
    <row r="34" spans="2:30" ht="9.75" customHeight="1" x14ac:dyDescent="0.25">
      <c r="B34" s="330" t="s">
        <v>40</v>
      </c>
      <c r="C34" s="330"/>
      <c r="D34" s="330"/>
      <c r="E34" s="330"/>
      <c r="F34" s="330"/>
      <c r="G34" s="330"/>
      <c r="H34" s="330"/>
      <c r="I34" s="330"/>
      <c r="J34" s="330"/>
      <c r="K34" s="330"/>
      <c r="L34" s="330"/>
      <c r="M34" s="330"/>
      <c r="N34" s="330"/>
      <c r="O34" s="330"/>
      <c r="P34" s="330"/>
      <c r="Q34" s="330"/>
      <c r="R34" s="330"/>
      <c r="S34" s="330"/>
      <c r="T34" s="330"/>
      <c r="U34" s="337"/>
      <c r="V34" s="337"/>
      <c r="W34" s="337"/>
      <c r="X34" s="337"/>
      <c r="Y34" s="337"/>
      <c r="Z34" s="337"/>
      <c r="AA34" s="48"/>
      <c r="AB34" s="48"/>
      <c r="AC34" s="48"/>
      <c r="AD34" s="48"/>
    </row>
    <row r="35" spans="2:30" ht="11.1" customHeight="1" x14ac:dyDescent="0.25">
      <c r="B35" s="21" t="s">
        <v>41</v>
      </c>
      <c r="C35" s="22" t="s">
        <v>6</v>
      </c>
      <c r="D35" s="22">
        <v>172062</v>
      </c>
      <c r="E35" s="189">
        <v>218725</v>
      </c>
      <c r="F35" s="189">
        <v>273531</v>
      </c>
      <c r="G35" s="43">
        <v>244822</v>
      </c>
      <c r="H35" s="43">
        <v>211943</v>
      </c>
      <c r="I35" s="43">
        <v>189560</v>
      </c>
      <c r="J35" s="43">
        <v>219852</v>
      </c>
      <c r="K35" s="43">
        <v>207438</v>
      </c>
      <c r="L35" s="43">
        <v>199483</v>
      </c>
      <c r="M35" s="43">
        <v>171907</v>
      </c>
      <c r="N35" s="43">
        <v>165496</v>
      </c>
      <c r="O35" s="43">
        <v>157988</v>
      </c>
      <c r="P35" s="43">
        <v>161965</v>
      </c>
      <c r="Q35" s="43">
        <v>150446</v>
      </c>
      <c r="R35" s="43">
        <v>154040</v>
      </c>
      <c r="S35" s="43">
        <v>138203</v>
      </c>
      <c r="T35" s="43">
        <v>135681</v>
      </c>
      <c r="U35" s="43">
        <v>131489</v>
      </c>
      <c r="V35" s="43">
        <v>142672</v>
      </c>
      <c r="W35" s="43">
        <v>151469</v>
      </c>
      <c r="X35" s="43">
        <v>148607</v>
      </c>
      <c r="Y35" s="43">
        <v>117923</v>
      </c>
      <c r="Z35" s="43">
        <v>92282</v>
      </c>
      <c r="AA35" s="87">
        <v>86905</v>
      </c>
      <c r="AB35" s="87">
        <v>89298</v>
      </c>
      <c r="AC35" s="87">
        <v>86335</v>
      </c>
      <c r="AD35" s="10" t="s">
        <v>19</v>
      </c>
    </row>
    <row r="36" spans="2:30" ht="11.1" customHeight="1" x14ac:dyDescent="0.25">
      <c r="B36" s="21" t="s">
        <v>42</v>
      </c>
      <c r="C36" s="22" t="s">
        <v>6</v>
      </c>
      <c r="D36" s="22">
        <v>2786</v>
      </c>
      <c r="E36" s="189">
        <v>2374</v>
      </c>
      <c r="F36" s="189">
        <v>3681</v>
      </c>
      <c r="G36" s="43">
        <v>2684</v>
      </c>
      <c r="H36" s="43">
        <v>2570</v>
      </c>
      <c r="I36" s="43">
        <v>3965</v>
      </c>
      <c r="J36" s="43">
        <v>3330</v>
      </c>
      <c r="K36" s="43">
        <v>3196</v>
      </c>
      <c r="L36" s="43">
        <v>3878</v>
      </c>
      <c r="M36" s="43">
        <v>3484</v>
      </c>
      <c r="N36" s="43">
        <v>2772</v>
      </c>
      <c r="O36" s="43">
        <v>3500</v>
      </c>
      <c r="P36" s="43">
        <v>3632</v>
      </c>
      <c r="Q36" s="43">
        <v>3663</v>
      </c>
      <c r="R36" s="43">
        <v>5665</v>
      </c>
      <c r="S36" s="43">
        <v>4944</v>
      </c>
      <c r="T36" s="43">
        <v>5050</v>
      </c>
      <c r="U36" s="43">
        <v>5662</v>
      </c>
      <c r="V36" s="43">
        <v>7643</v>
      </c>
      <c r="W36" s="43">
        <v>6678</v>
      </c>
      <c r="X36" s="43">
        <v>9468</v>
      </c>
      <c r="Y36" s="43">
        <v>10338</v>
      </c>
      <c r="Z36" s="43">
        <v>12077</v>
      </c>
      <c r="AA36" s="87">
        <v>13649</v>
      </c>
      <c r="AB36" s="87">
        <v>14325</v>
      </c>
      <c r="AC36" s="87">
        <v>16682</v>
      </c>
      <c r="AD36" s="10" t="s">
        <v>19</v>
      </c>
    </row>
    <row r="37" spans="2:30" ht="11.1" customHeight="1" x14ac:dyDescent="0.25">
      <c r="B37" s="21" t="s">
        <v>321</v>
      </c>
      <c r="C37" s="22" t="s">
        <v>6</v>
      </c>
      <c r="D37" s="22">
        <v>2312</v>
      </c>
      <c r="E37" s="189">
        <v>3022</v>
      </c>
      <c r="F37" s="189">
        <v>3618</v>
      </c>
      <c r="G37" s="43">
        <v>3311</v>
      </c>
      <c r="H37" s="43">
        <v>3346</v>
      </c>
      <c r="I37" s="43">
        <v>4685</v>
      </c>
      <c r="J37" s="43">
        <v>5047</v>
      </c>
      <c r="K37" s="43">
        <v>5069</v>
      </c>
      <c r="L37" s="43">
        <v>4448</v>
      </c>
      <c r="M37" s="43">
        <v>4917</v>
      </c>
      <c r="N37" s="43">
        <v>5168</v>
      </c>
      <c r="O37" s="43">
        <v>4567</v>
      </c>
      <c r="P37" s="43">
        <v>3749</v>
      </c>
      <c r="Q37" s="43">
        <v>4110</v>
      </c>
      <c r="R37" s="43">
        <v>4895</v>
      </c>
      <c r="S37" s="43">
        <v>4760</v>
      </c>
      <c r="T37" s="43">
        <v>5159</v>
      </c>
      <c r="U37" s="43">
        <v>6298</v>
      </c>
      <c r="V37" s="43">
        <v>7025</v>
      </c>
      <c r="W37" s="43">
        <v>7739</v>
      </c>
      <c r="X37" s="43">
        <v>10354</v>
      </c>
      <c r="Y37" s="43">
        <v>7905</v>
      </c>
      <c r="Z37" s="43">
        <v>9388</v>
      </c>
      <c r="AA37" s="87">
        <v>8742</v>
      </c>
      <c r="AB37" s="87">
        <v>10748</v>
      </c>
      <c r="AC37" s="87">
        <v>10317</v>
      </c>
      <c r="AD37" s="10" t="s">
        <v>19</v>
      </c>
    </row>
    <row r="38" spans="2:30" ht="11.1" customHeight="1" x14ac:dyDescent="0.25">
      <c r="B38" s="21" t="s">
        <v>43</v>
      </c>
      <c r="C38" s="22" t="s">
        <v>6</v>
      </c>
      <c r="D38" s="22">
        <v>37531</v>
      </c>
      <c r="E38" s="189">
        <v>42617</v>
      </c>
      <c r="F38" s="189">
        <v>38995</v>
      </c>
      <c r="G38" s="43">
        <v>23295</v>
      </c>
      <c r="H38" s="43">
        <v>34912</v>
      </c>
      <c r="I38" s="43">
        <v>25105</v>
      </c>
      <c r="J38" s="43">
        <v>47048</v>
      </c>
      <c r="K38" s="43">
        <v>23257</v>
      </c>
      <c r="L38" s="43">
        <v>29328</v>
      </c>
      <c r="M38" s="43">
        <v>32955</v>
      </c>
      <c r="N38" s="43">
        <v>26177</v>
      </c>
      <c r="O38" s="43">
        <v>23396</v>
      </c>
      <c r="P38" s="43">
        <v>22061</v>
      </c>
      <c r="Q38" s="43">
        <v>8250</v>
      </c>
      <c r="R38" s="43">
        <v>14693</v>
      </c>
      <c r="S38" s="43">
        <v>11323</v>
      </c>
      <c r="T38" s="43">
        <v>11259</v>
      </c>
      <c r="U38" s="43">
        <v>13995</v>
      </c>
      <c r="V38" s="43">
        <v>23891</v>
      </c>
      <c r="W38" s="43">
        <v>25158</v>
      </c>
      <c r="X38" s="43">
        <v>15945</v>
      </c>
      <c r="Y38" s="43">
        <v>18451</v>
      </c>
      <c r="Z38" s="43">
        <v>14624</v>
      </c>
      <c r="AA38" s="87">
        <v>10624</v>
      </c>
      <c r="AB38" s="87">
        <v>22140</v>
      </c>
      <c r="AC38" s="87">
        <v>27324</v>
      </c>
      <c r="AD38" s="10" t="s">
        <v>19</v>
      </c>
    </row>
    <row r="39" spans="2:30" ht="11.1" customHeight="1" x14ac:dyDescent="0.25">
      <c r="B39" s="21" t="s">
        <v>69</v>
      </c>
      <c r="C39" s="22" t="s">
        <v>6</v>
      </c>
      <c r="D39" s="22">
        <v>10787</v>
      </c>
      <c r="E39" s="189">
        <v>8126</v>
      </c>
      <c r="F39" s="189">
        <v>13040</v>
      </c>
      <c r="G39" s="43">
        <v>7924</v>
      </c>
      <c r="H39" s="43">
        <v>10456</v>
      </c>
      <c r="I39" s="43">
        <v>14387</v>
      </c>
      <c r="J39" s="43">
        <v>10596</v>
      </c>
      <c r="K39" s="43">
        <v>8292</v>
      </c>
      <c r="L39" s="43">
        <v>11404</v>
      </c>
      <c r="M39" s="43">
        <v>7238</v>
      </c>
      <c r="N39" s="43">
        <v>7967</v>
      </c>
      <c r="O39" s="43">
        <v>8757</v>
      </c>
      <c r="P39" s="43">
        <v>9650</v>
      </c>
      <c r="Q39" s="43">
        <v>13406</v>
      </c>
      <c r="R39" s="43">
        <v>12516</v>
      </c>
      <c r="S39" s="43">
        <v>8983</v>
      </c>
      <c r="T39" s="43">
        <v>11614</v>
      </c>
      <c r="U39" s="43">
        <v>12776</v>
      </c>
      <c r="V39" s="43">
        <v>14738</v>
      </c>
      <c r="W39" s="43">
        <v>16450</v>
      </c>
      <c r="X39" s="43">
        <v>13564</v>
      </c>
      <c r="Y39" s="43">
        <v>13201</v>
      </c>
      <c r="Z39" s="43">
        <v>16807</v>
      </c>
      <c r="AA39" s="87">
        <v>18021</v>
      </c>
      <c r="AB39" s="87">
        <v>17718</v>
      </c>
      <c r="AC39" s="87">
        <v>17456</v>
      </c>
      <c r="AD39" s="10" t="s">
        <v>19</v>
      </c>
    </row>
    <row r="40" spans="2:30" ht="11.1" customHeight="1" x14ac:dyDescent="0.25">
      <c r="B40" s="21" t="s">
        <v>70</v>
      </c>
      <c r="C40" s="22" t="s">
        <v>6</v>
      </c>
      <c r="D40" s="22">
        <v>15536</v>
      </c>
      <c r="E40" s="189">
        <v>18297</v>
      </c>
      <c r="F40" s="189">
        <v>17187</v>
      </c>
      <c r="G40" s="43">
        <v>16452</v>
      </c>
      <c r="H40" s="43">
        <v>19977</v>
      </c>
      <c r="I40" s="43">
        <v>16437</v>
      </c>
      <c r="J40" s="43">
        <v>15659</v>
      </c>
      <c r="K40" s="43">
        <v>14623</v>
      </c>
      <c r="L40" s="43">
        <v>16138</v>
      </c>
      <c r="M40" s="43">
        <v>6367</v>
      </c>
      <c r="N40" s="43">
        <v>8080</v>
      </c>
      <c r="O40" s="43">
        <v>3434</v>
      </c>
      <c r="P40" s="43">
        <v>4446</v>
      </c>
      <c r="Q40" s="43">
        <v>1460</v>
      </c>
      <c r="R40" s="43">
        <v>6671</v>
      </c>
      <c r="S40" s="43">
        <v>5294</v>
      </c>
      <c r="T40" s="43">
        <v>7326</v>
      </c>
      <c r="U40" s="43">
        <v>6095</v>
      </c>
      <c r="V40" s="43">
        <v>6401</v>
      </c>
      <c r="W40" s="43">
        <v>6858</v>
      </c>
      <c r="X40" s="43">
        <v>9940</v>
      </c>
      <c r="Y40" s="43">
        <v>8993</v>
      </c>
      <c r="Z40" s="43">
        <v>14678</v>
      </c>
      <c r="AA40" s="87">
        <v>15635</v>
      </c>
      <c r="AB40" s="87">
        <v>21931</v>
      </c>
      <c r="AC40" s="87">
        <v>19602</v>
      </c>
      <c r="AD40" s="10" t="s">
        <v>19</v>
      </c>
    </row>
    <row r="41" spans="2:30" ht="11.1" customHeight="1" x14ac:dyDescent="0.25">
      <c r="B41" s="21" t="s">
        <v>13</v>
      </c>
      <c r="C41" s="22" t="s">
        <v>6</v>
      </c>
      <c r="D41" s="22">
        <v>241014</v>
      </c>
      <c r="E41" s="189">
        <v>293162</v>
      </c>
      <c r="F41" s="189">
        <v>350052</v>
      </c>
      <c r="G41" s="43">
        <v>298488</v>
      </c>
      <c r="H41" s="43">
        <v>283205</v>
      </c>
      <c r="I41" s="43">
        <v>254138</v>
      </c>
      <c r="J41" s="43">
        <v>301531</v>
      </c>
      <c r="K41" s="43">
        <v>261875</v>
      </c>
      <c r="L41" s="43">
        <v>264678</v>
      </c>
      <c r="M41" s="43">
        <v>226867</v>
      </c>
      <c r="N41" s="43">
        <v>215661</v>
      </c>
      <c r="O41" s="43">
        <v>201642</v>
      </c>
      <c r="P41" s="43">
        <v>205503</v>
      </c>
      <c r="Q41" s="43">
        <v>181334</v>
      </c>
      <c r="R41" s="43">
        <v>198481</v>
      </c>
      <c r="S41" s="43">
        <v>173507</v>
      </c>
      <c r="T41" s="43">
        <v>176088</v>
      </c>
      <c r="U41" s="43">
        <v>176315</v>
      </c>
      <c r="V41" s="43">
        <v>202369</v>
      </c>
      <c r="W41" s="43">
        <v>214352</v>
      </c>
      <c r="X41" s="43">
        <v>207877</v>
      </c>
      <c r="Y41" s="43">
        <v>176811</v>
      </c>
      <c r="Z41" s="43">
        <v>159856</v>
      </c>
      <c r="AA41" s="87">
        <v>153577</v>
      </c>
      <c r="AB41" s="87">
        <v>176158</v>
      </c>
      <c r="AC41" s="87">
        <v>177717</v>
      </c>
      <c r="AD41" s="10" t="s">
        <v>19</v>
      </c>
    </row>
    <row r="42" spans="2:30" ht="11.1" customHeight="1" x14ac:dyDescent="0.25">
      <c r="B42" s="42" t="s">
        <v>83</v>
      </c>
      <c r="C42" s="22" t="s">
        <v>6</v>
      </c>
      <c r="D42" s="22">
        <v>7922</v>
      </c>
      <c r="E42" s="189">
        <v>9495</v>
      </c>
      <c r="F42" s="189">
        <v>8614</v>
      </c>
      <c r="G42" s="43">
        <v>9490</v>
      </c>
      <c r="H42" s="43">
        <v>2511</v>
      </c>
      <c r="I42" s="43">
        <v>1505</v>
      </c>
      <c r="J42" s="43">
        <v>2476</v>
      </c>
      <c r="K42" s="43">
        <v>1993</v>
      </c>
      <c r="L42" s="43">
        <v>1893</v>
      </c>
      <c r="M42" s="43">
        <v>2735</v>
      </c>
      <c r="N42" s="43">
        <v>2301</v>
      </c>
      <c r="O42" s="43">
        <v>5632</v>
      </c>
      <c r="P42" s="43">
        <v>1470</v>
      </c>
      <c r="Q42" s="43">
        <v>7605</v>
      </c>
      <c r="R42" s="43">
        <v>1103</v>
      </c>
      <c r="S42" s="43">
        <v>1459</v>
      </c>
      <c r="T42" s="43">
        <v>1510</v>
      </c>
      <c r="U42" s="43">
        <v>1174</v>
      </c>
      <c r="V42" s="43">
        <v>1528</v>
      </c>
      <c r="W42" s="43">
        <v>3270</v>
      </c>
      <c r="X42" s="43">
        <v>4998</v>
      </c>
      <c r="Y42" s="43">
        <v>5692</v>
      </c>
      <c r="Z42" s="43">
        <v>11854</v>
      </c>
      <c r="AA42" s="87">
        <v>17927</v>
      </c>
      <c r="AB42" s="87">
        <v>2390</v>
      </c>
      <c r="AC42" s="87">
        <v>4422</v>
      </c>
      <c r="AD42" s="10" t="s">
        <v>19</v>
      </c>
    </row>
    <row r="43" spans="2:30" ht="11.1" customHeight="1" thickBot="1" x14ac:dyDescent="0.3">
      <c r="B43" s="190" t="s">
        <v>55</v>
      </c>
      <c r="C43" s="97" t="s">
        <v>6</v>
      </c>
      <c r="D43" s="97">
        <v>1553028</v>
      </c>
      <c r="E43" s="191">
        <v>1736406</v>
      </c>
      <c r="F43" s="191">
        <v>1817089</v>
      </c>
      <c r="G43" s="192">
        <v>1784258</v>
      </c>
      <c r="H43" s="192">
        <v>1655494</v>
      </c>
      <c r="I43" s="192">
        <v>1499193</v>
      </c>
      <c r="J43" s="192">
        <v>1490770</v>
      </c>
      <c r="K43" s="192">
        <v>1461741</v>
      </c>
      <c r="L43" s="192">
        <v>1451510</v>
      </c>
      <c r="M43" s="192">
        <v>1382013</v>
      </c>
      <c r="N43" s="192">
        <v>1391913</v>
      </c>
      <c r="O43" s="192">
        <v>1336153</v>
      </c>
      <c r="P43" s="192">
        <v>1322783</v>
      </c>
      <c r="Q43" s="192">
        <v>1305490</v>
      </c>
      <c r="R43" s="192">
        <v>1367401</v>
      </c>
      <c r="S43" s="192">
        <v>1513742</v>
      </c>
      <c r="T43" s="192">
        <v>1615670</v>
      </c>
      <c r="U43" s="192">
        <v>1749454</v>
      </c>
      <c r="V43" s="192">
        <v>1742164</v>
      </c>
      <c r="W43" s="192">
        <v>1793211</v>
      </c>
      <c r="X43" s="192">
        <v>1795044</v>
      </c>
      <c r="Y43" s="192">
        <v>1578390</v>
      </c>
      <c r="Z43" s="192">
        <v>1477190</v>
      </c>
      <c r="AA43" s="188">
        <v>1511106</v>
      </c>
      <c r="AB43" s="38">
        <v>1588313</v>
      </c>
      <c r="AC43" s="38">
        <v>1571682</v>
      </c>
      <c r="AD43" s="298" t="s">
        <v>19</v>
      </c>
    </row>
    <row r="44" spans="2:30" ht="9.75" customHeight="1" thickTop="1" x14ac:dyDescent="0.25">
      <c r="B44" s="338" t="s">
        <v>59</v>
      </c>
      <c r="C44" s="338"/>
      <c r="D44" s="338"/>
      <c r="E44" s="338"/>
      <c r="F44" s="338"/>
      <c r="G44" s="338"/>
      <c r="H44" s="338"/>
      <c r="I44" s="338"/>
      <c r="J44" s="338"/>
      <c r="K44" s="338"/>
      <c r="L44" s="338"/>
      <c r="M44" s="338"/>
      <c r="N44" s="338"/>
      <c r="O44" s="338"/>
      <c r="P44" s="338"/>
      <c r="Q44" s="338"/>
      <c r="R44" s="338"/>
      <c r="S44" s="338"/>
      <c r="T44" s="338"/>
      <c r="U44" s="339" t="s">
        <v>66</v>
      </c>
      <c r="V44" s="339" t="s">
        <v>6</v>
      </c>
      <c r="W44" s="339" t="s">
        <v>66</v>
      </c>
      <c r="X44" s="339" t="s">
        <v>6</v>
      </c>
      <c r="Y44" s="339" t="s">
        <v>35</v>
      </c>
      <c r="Z44" s="339" t="s">
        <v>6</v>
      </c>
      <c r="AA44" s="30"/>
      <c r="AB44" s="30"/>
      <c r="AC44" s="30"/>
      <c r="AD44" s="30"/>
    </row>
    <row r="45" spans="2:30" ht="12.6" customHeight="1" x14ac:dyDescent="0.25">
      <c r="B45" s="335" t="s">
        <v>71</v>
      </c>
      <c r="C45" s="335"/>
      <c r="D45" s="335"/>
      <c r="E45" s="335"/>
      <c r="F45" s="335"/>
      <c r="G45" s="335"/>
      <c r="H45" s="335"/>
      <c r="I45" s="335"/>
      <c r="J45" s="335"/>
      <c r="K45" s="335"/>
      <c r="L45" s="335"/>
      <c r="M45" s="335"/>
      <c r="N45" s="335"/>
      <c r="O45" s="335"/>
      <c r="P45" s="335"/>
      <c r="Q45" s="335"/>
      <c r="R45" s="335"/>
      <c r="S45" s="335"/>
      <c r="T45" s="335"/>
      <c r="U45" s="336"/>
      <c r="V45" s="336"/>
      <c r="W45" s="336"/>
      <c r="X45" s="336"/>
      <c r="Y45" s="336"/>
      <c r="Z45" s="336"/>
      <c r="AA45" s="30"/>
      <c r="AB45" s="30"/>
      <c r="AC45" s="30"/>
      <c r="AD45" s="30"/>
    </row>
    <row r="46" spans="2:30" ht="11.1" customHeight="1" x14ac:dyDescent="0.25">
      <c r="B46" s="21" t="s">
        <v>44</v>
      </c>
      <c r="C46" s="22" t="s">
        <v>35</v>
      </c>
      <c r="D46" s="22">
        <v>4592</v>
      </c>
      <c r="E46" s="189">
        <v>5824</v>
      </c>
      <c r="F46" s="189">
        <v>5739</v>
      </c>
      <c r="G46" s="43">
        <v>5943</v>
      </c>
      <c r="H46" s="43">
        <v>5260</v>
      </c>
      <c r="I46" s="43">
        <v>5919</v>
      </c>
      <c r="J46" s="43">
        <v>3892</v>
      </c>
      <c r="K46" s="43">
        <v>4306</v>
      </c>
      <c r="L46" s="43">
        <v>3636</v>
      </c>
      <c r="M46" s="43">
        <v>3344</v>
      </c>
      <c r="N46" s="43">
        <v>3715</v>
      </c>
      <c r="O46" s="43">
        <v>3336</v>
      </c>
      <c r="P46" s="43">
        <v>1752</v>
      </c>
      <c r="Q46" s="43">
        <v>2558</v>
      </c>
      <c r="R46" s="43">
        <v>2847</v>
      </c>
      <c r="S46" s="43">
        <v>2226</v>
      </c>
      <c r="T46" s="43">
        <v>1669</v>
      </c>
      <c r="U46" s="43">
        <v>2109</v>
      </c>
      <c r="V46" s="43">
        <v>1633</v>
      </c>
      <c r="W46" s="43">
        <v>1883</v>
      </c>
      <c r="X46" s="43">
        <v>2042</v>
      </c>
      <c r="Y46" s="43">
        <v>1524</v>
      </c>
      <c r="Z46" s="43">
        <v>1553</v>
      </c>
      <c r="AA46" s="87">
        <v>1404</v>
      </c>
      <c r="AB46" s="87">
        <v>1429</v>
      </c>
      <c r="AC46" s="87">
        <v>1506</v>
      </c>
      <c r="AD46" s="10" t="s">
        <v>19</v>
      </c>
    </row>
    <row r="47" spans="2:30" ht="11.1" customHeight="1" x14ac:dyDescent="0.25">
      <c r="B47" s="21" t="s">
        <v>322</v>
      </c>
      <c r="C47" s="22" t="s">
        <v>35</v>
      </c>
      <c r="D47" s="22">
        <v>8632</v>
      </c>
      <c r="E47" s="189">
        <v>5602</v>
      </c>
      <c r="F47" s="189">
        <v>8587</v>
      </c>
      <c r="G47" s="43">
        <v>14584</v>
      </c>
      <c r="H47" s="43">
        <v>25304</v>
      </c>
      <c r="I47" s="43">
        <v>36596</v>
      </c>
      <c r="J47" s="43">
        <v>48866</v>
      </c>
      <c r="K47" s="43">
        <v>31408</v>
      </c>
      <c r="L47" s="43">
        <v>32952</v>
      </c>
      <c r="M47" s="43">
        <v>33647</v>
      </c>
      <c r="N47" s="43">
        <v>31658</v>
      </c>
      <c r="O47" s="43">
        <v>39673</v>
      </c>
      <c r="P47" s="43">
        <v>38225</v>
      </c>
      <c r="Q47" s="43">
        <v>41319</v>
      </c>
      <c r="R47" s="43">
        <v>38436</v>
      </c>
      <c r="S47" s="43">
        <v>35866</v>
      </c>
      <c r="T47" s="43">
        <v>38759</v>
      </c>
      <c r="U47" s="43">
        <v>44898</v>
      </c>
      <c r="V47" s="43">
        <v>44301</v>
      </c>
      <c r="W47" s="43">
        <v>46828</v>
      </c>
      <c r="X47" s="43">
        <v>42546</v>
      </c>
      <c r="Y47" s="43">
        <v>42337</v>
      </c>
      <c r="Z47" s="43">
        <v>40818</v>
      </c>
      <c r="AA47" s="87">
        <v>49825</v>
      </c>
      <c r="AB47" s="87">
        <v>48765</v>
      </c>
      <c r="AC47" s="87">
        <v>46864</v>
      </c>
      <c r="AD47" s="10" t="s">
        <v>19</v>
      </c>
    </row>
    <row r="48" spans="2:30" ht="11.1" customHeight="1" x14ac:dyDescent="0.25">
      <c r="B48" s="21" t="s">
        <v>75</v>
      </c>
      <c r="C48" s="22" t="s">
        <v>35</v>
      </c>
      <c r="D48" s="22">
        <v>1681</v>
      </c>
      <c r="E48" s="189">
        <v>1729</v>
      </c>
      <c r="F48" s="189">
        <v>1952</v>
      </c>
      <c r="G48" s="43">
        <v>2226</v>
      </c>
      <c r="H48" s="43">
        <v>1562</v>
      </c>
      <c r="I48" s="43">
        <v>1632</v>
      </c>
      <c r="J48" s="43">
        <v>1440</v>
      </c>
      <c r="K48" s="43">
        <v>1577</v>
      </c>
      <c r="L48" s="43">
        <v>1468</v>
      </c>
      <c r="M48" s="43">
        <v>1622</v>
      </c>
      <c r="N48" s="43">
        <v>1745</v>
      </c>
      <c r="O48" s="43">
        <v>1658</v>
      </c>
      <c r="P48" s="43">
        <v>2071</v>
      </c>
      <c r="Q48" s="43">
        <v>2261</v>
      </c>
      <c r="R48" s="43">
        <v>1596</v>
      </c>
      <c r="S48" s="43">
        <v>1236</v>
      </c>
      <c r="T48" s="43">
        <v>1074</v>
      </c>
      <c r="U48" s="43">
        <v>1029</v>
      </c>
      <c r="V48" s="43">
        <v>1210</v>
      </c>
      <c r="W48" s="43">
        <v>1132</v>
      </c>
      <c r="X48" s="43">
        <v>944</v>
      </c>
      <c r="Y48" s="43">
        <v>868</v>
      </c>
      <c r="Z48" s="43">
        <v>1009</v>
      </c>
      <c r="AA48" s="87">
        <v>1070</v>
      </c>
      <c r="AB48" s="87">
        <v>1127</v>
      </c>
      <c r="AC48" s="87">
        <v>1042</v>
      </c>
      <c r="AD48" s="10" t="s">
        <v>19</v>
      </c>
    </row>
    <row r="49" spans="2:30" ht="11.1" customHeight="1" x14ac:dyDescent="0.25">
      <c r="B49" s="21" t="s">
        <v>198</v>
      </c>
      <c r="C49" s="22" t="s">
        <v>35</v>
      </c>
      <c r="D49" s="22">
        <v>911</v>
      </c>
      <c r="E49" s="189">
        <v>879</v>
      </c>
      <c r="F49" s="189">
        <v>907</v>
      </c>
      <c r="G49" s="43">
        <v>864</v>
      </c>
      <c r="H49" s="43">
        <v>739</v>
      </c>
      <c r="I49" s="43">
        <v>771</v>
      </c>
      <c r="J49" s="43">
        <v>802</v>
      </c>
      <c r="K49" s="43">
        <v>768</v>
      </c>
      <c r="L49" s="43">
        <v>891</v>
      </c>
      <c r="M49" s="43">
        <v>896</v>
      </c>
      <c r="N49" s="43">
        <v>554</v>
      </c>
      <c r="O49" s="43">
        <v>630</v>
      </c>
      <c r="P49" s="43">
        <v>642</v>
      </c>
      <c r="Q49" s="43">
        <v>599</v>
      </c>
      <c r="R49" s="43">
        <v>638</v>
      </c>
      <c r="S49" s="43">
        <v>643</v>
      </c>
      <c r="T49" s="43">
        <v>615</v>
      </c>
      <c r="U49" s="43">
        <v>633</v>
      </c>
      <c r="V49" s="43">
        <v>554</v>
      </c>
      <c r="W49" s="43">
        <v>506</v>
      </c>
      <c r="X49" s="43">
        <v>573</v>
      </c>
      <c r="Y49" s="43">
        <v>615</v>
      </c>
      <c r="Z49" s="43">
        <v>540</v>
      </c>
      <c r="AA49" s="87">
        <v>514</v>
      </c>
      <c r="AB49" s="87">
        <v>460</v>
      </c>
      <c r="AC49" s="87">
        <v>482</v>
      </c>
      <c r="AD49" s="10" t="s">
        <v>19</v>
      </c>
    </row>
    <row r="50" spans="2:30" ht="11.1" customHeight="1" x14ac:dyDescent="0.25">
      <c r="B50" s="21" t="s">
        <v>316</v>
      </c>
      <c r="C50" s="22" t="s">
        <v>35</v>
      </c>
      <c r="D50" s="22">
        <v>1592</v>
      </c>
      <c r="E50" s="189">
        <v>1694</v>
      </c>
      <c r="F50" s="189">
        <v>2003</v>
      </c>
      <c r="G50" s="43">
        <v>2193</v>
      </c>
      <c r="H50" s="43">
        <v>2084</v>
      </c>
      <c r="I50" s="43">
        <v>1676</v>
      </c>
      <c r="J50" s="43">
        <v>1075</v>
      </c>
      <c r="K50" s="43">
        <v>1091</v>
      </c>
      <c r="L50" s="43">
        <v>1066</v>
      </c>
      <c r="M50" s="43">
        <v>1124</v>
      </c>
      <c r="N50" s="43">
        <v>1146</v>
      </c>
      <c r="O50" s="43">
        <v>959</v>
      </c>
      <c r="P50" s="43">
        <v>846</v>
      </c>
      <c r="Q50" s="43">
        <v>764</v>
      </c>
      <c r="R50" s="43">
        <v>774</v>
      </c>
      <c r="S50" s="43">
        <v>871</v>
      </c>
      <c r="T50" s="43">
        <v>774</v>
      </c>
      <c r="U50" s="43">
        <v>856</v>
      </c>
      <c r="V50" s="43">
        <v>876</v>
      </c>
      <c r="W50" s="43">
        <v>856</v>
      </c>
      <c r="X50" s="43">
        <v>753</v>
      </c>
      <c r="Y50" s="43">
        <v>719</v>
      </c>
      <c r="Z50" s="43">
        <v>809</v>
      </c>
      <c r="AA50" s="87">
        <v>708</v>
      </c>
      <c r="AB50" s="87">
        <v>725</v>
      </c>
      <c r="AC50" s="87">
        <v>657</v>
      </c>
      <c r="AD50" s="10" t="s">
        <v>19</v>
      </c>
    </row>
    <row r="51" spans="2:30" ht="11.1" customHeight="1" x14ac:dyDescent="0.25">
      <c r="B51" s="21" t="s">
        <v>317</v>
      </c>
      <c r="C51" s="22" t="s">
        <v>35</v>
      </c>
      <c r="D51" s="22">
        <v>722</v>
      </c>
      <c r="E51" s="189">
        <v>649</v>
      </c>
      <c r="F51" s="189">
        <v>591</v>
      </c>
      <c r="G51" s="43">
        <v>752</v>
      </c>
      <c r="H51" s="43">
        <v>1025</v>
      </c>
      <c r="I51" s="43">
        <v>1226</v>
      </c>
      <c r="J51" s="43">
        <v>1051</v>
      </c>
      <c r="K51" s="43">
        <v>875</v>
      </c>
      <c r="L51" s="43">
        <v>626</v>
      </c>
      <c r="M51" s="43">
        <v>834</v>
      </c>
      <c r="N51" s="43">
        <v>812</v>
      </c>
      <c r="O51" s="43">
        <v>836</v>
      </c>
      <c r="P51" s="43">
        <v>940</v>
      </c>
      <c r="Q51" s="43">
        <v>820</v>
      </c>
      <c r="R51" s="43">
        <v>559</v>
      </c>
      <c r="S51" s="43">
        <v>410</v>
      </c>
      <c r="T51" s="43">
        <v>466</v>
      </c>
      <c r="U51" s="43">
        <v>466</v>
      </c>
      <c r="V51" s="43">
        <v>532</v>
      </c>
      <c r="W51" s="43">
        <v>365</v>
      </c>
      <c r="X51" s="43">
        <v>327</v>
      </c>
      <c r="Y51" s="43">
        <v>320</v>
      </c>
      <c r="Z51" s="43">
        <v>333</v>
      </c>
      <c r="AA51" s="87">
        <v>284</v>
      </c>
      <c r="AB51" s="87">
        <v>285</v>
      </c>
      <c r="AC51" s="87">
        <v>376</v>
      </c>
      <c r="AD51" s="10" t="s">
        <v>19</v>
      </c>
    </row>
    <row r="52" spans="2:30" ht="11.1" customHeight="1" x14ac:dyDescent="0.25">
      <c r="B52" s="21" t="s">
        <v>318</v>
      </c>
      <c r="C52" s="22" t="s">
        <v>35</v>
      </c>
      <c r="D52" s="22">
        <v>4738</v>
      </c>
      <c r="E52" s="189">
        <v>4818</v>
      </c>
      <c r="F52" s="189">
        <v>4161</v>
      </c>
      <c r="G52" s="43">
        <v>4453</v>
      </c>
      <c r="H52" s="43">
        <v>5817</v>
      </c>
      <c r="I52" s="43">
        <v>7056</v>
      </c>
      <c r="J52" s="43">
        <v>6072</v>
      </c>
      <c r="K52" s="43">
        <v>4347</v>
      </c>
      <c r="L52" s="43">
        <v>3928</v>
      </c>
      <c r="M52" s="43">
        <v>4365</v>
      </c>
      <c r="N52" s="43">
        <v>3812</v>
      </c>
      <c r="O52" s="43">
        <v>3834</v>
      </c>
      <c r="P52" s="43">
        <v>3944</v>
      </c>
      <c r="Q52" s="43">
        <v>4127</v>
      </c>
      <c r="R52" s="43">
        <v>3901</v>
      </c>
      <c r="S52" s="43">
        <v>3458</v>
      </c>
      <c r="T52" s="43">
        <v>3743</v>
      </c>
      <c r="U52" s="43">
        <v>3788</v>
      </c>
      <c r="V52" s="43">
        <v>3787</v>
      </c>
      <c r="W52" s="43">
        <v>3134</v>
      </c>
      <c r="X52" s="43">
        <v>2786</v>
      </c>
      <c r="Y52" s="43">
        <v>2858</v>
      </c>
      <c r="Z52" s="43">
        <v>3200</v>
      </c>
      <c r="AA52" s="87">
        <v>3037</v>
      </c>
      <c r="AB52" s="87">
        <v>2914</v>
      </c>
      <c r="AC52" s="87">
        <v>2812</v>
      </c>
      <c r="AD52" s="10" t="s">
        <v>19</v>
      </c>
    </row>
    <row r="53" spans="2:30" ht="11.1" customHeight="1" x14ac:dyDescent="0.25">
      <c r="B53" s="21" t="s">
        <v>319</v>
      </c>
      <c r="C53" s="22" t="s">
        <v>35</v>
      </c>
      <c r="D53" s="22">
        <v>665</v>
      </c>
      <c r="E53" s="189">
        <v>667</v>
      </c>
      <c r="F53" s="189">
        <v>571</v>
      </c>
      <c r="G53" s="43">
        <v>305</v>
      </c>
      <c r="H53" s="43">
        <v>355</v>
      </c>
      <c r="I53" s="43">
        <v>587</v>
      </c>
      <c r="J53" s="43">
        <v>493</v>
      </c>
      <c r="K53" s="43">
        <v>530</v>
      </c>
      <c r="L53" s="43">
        <v>552</v>
      </c>
      <c r="M53" s="43">
        <v>507</v>
      </c>
      <c r="N53" s="43">
        <v>277</v>
      </c>
      <c r="O53" s="43">
        <v>230</v>
      </c>
      <c r="P53" s="43">
        <v>247</v>
      </c>
      <c r="Q53" s="43">
        <v>208</v>
      </c>
      <c r="R53" s="43">
        <v>144</v>
      </c>
      <c r="S53" s="43">
        <v>143</v>
      </c>
      <c r="T53" s="43">
        <v>117</v>
      </c>
      <c r="U53" s="43">
        <v>118</v>
      </c>
      <c r="V53" s="43">
        <v>114</v>
      </c>
      <c r="W53" s="43">
        <v>101</v>
      </c>
      <c r="X53" s="43">
        <v>139</v>
      </c>
      <c r="Y53" s="43">
        <v>159</v>
      </c>
      <c r="Z53" s="43">
        <v>144</v>
      </c>
      <c r="AA53" s="87">
        <v>143</v>
      </c>
      <c r="AB53" s="87">
        <v>109</v>
      </c>
      <c r="AC53" s="87">
        <v>98</v>
      </c>
      <c r="AD53" s="10" t="s">
        <v>19</v>
      </c>
    </row>
    <row r="54" spans="2:30" ht="11.1" customHeight="1" x14ac:dyDescent="0.25">
      <c r="B54" s="21" t="s">
        <v>108</v>
      </c>
      <c r="C54" s="22" t="s">
        <v>35</v>
      </c>
      <c r="D54" s="22">
        <v>1929</v>
      </c>
      <c r="E54" s="189">
        <v>2088</v>
      </c>
      <c r="F54" s="189">
        <v>1713</v>
      </c>
      <c r="G54" s="43">
        <v>1651</v>
      </c>
      <c r="H54" s="43">
        <v>1612</v>
      </c>
      <c r="I54" s="43">
        <v>1687</v>
      </c>
      <c r="J54" s="43">
        <v>1801</v>
      </c>
      <c r="K54" s="43">
        <v>1324</v>
      </c>
      <c r="L54" s="43">
        <v>1057</v>
      </c>
      <c r="M54" s="43">
        <v>1151</v>
      </c>
      <c r="N54" s="43">
        <v>1046</v>
      </c>
      <c r="O54" s="43">
        <v>871</v>
      </c>
      <c r="P54" s="43">
        <v>1104</v>
      </c>
      <c r="Q54" s="43">
        <v>1217</v>
      </c>
      <c r="R54" s="43">
        <v>1002</v>
      </c>
      <c r="S54" s="43">
        <v>809</v>
      </c>
      <c r="T54" s="43">
        <v>969</v>
      </c>
      <c r="U54" s="43">
        <v>821</v>
      </c>
      <c r="V54" s="43">
        <v>961</v>
      </c>
      <c r="W54" s="43">
        <v>1018</v>
      </c>
      <c r="X54" s="43">
        <v>979</v>
      </c>
      <c r="Y54" s="43">
        <v>840</v>
      </c>
      <c r="Z54" s="43">
        <v>966</v>
      </c>
      <c r="AA54" s="87">
        <v>875</v>
      </c>
      <c r="AB54" s="87">
        <v>1036</v>
      </c>
      <c r="AC54" s="87">
        <v>1010</v>
      </c>
      <c r="AD54" s="10" t="s">
        <v>19</v>
      </c>
    </row>
    <row r="55" spans="2:30" ht="11.1" customHeight="1" x14ac:dyDescent="0.25">
      <c r="B55" s="21" t="s">
        <v>320</v>
      </c>
      <c r="C55" s="22" t="s">
        <v>35</v>
      </c>
      <c r="D55" s="22">
        <v>6624</v>
      </c>
      <c r="E55" s="189">
        <v>5649</v>
      </c>
      <c r="F55" s="189">
        <v>7049</v>
      </c>
      <c r="G55" s="43">
        <v>7117</v>
      </c>
      <c r="H55" s="43">
        <v>6441</v>
      </c>
      <c r="I55" s="43">
        <v>6053</v>
      </c>
      <c r="J55" s="43">
        <v>6285</v>
      </c>
      <c r="K55" s="43">
        <v>5899</v>
      </c>
      <c r="L55" s="43">
        <v>5862</v>
      </c>
      <c r="M55" s="43">
        <v>6097</v>
      </c>
      <c r="N55" s="43">
        <v>4140</v>
      </c>
      <c r="O55" s="43">
        <v>6532</v>
      </c>
      <c r="P55" s="43">
        <v>5529</v>
      </c>
      <c r="Q55" s="43">
        <v>5367</v>
      </c>
      <c r="R55" s="43">
        <v>4957</v>
      </c>
      <c r="S55" s="43">
        <v>6041</v>
      </c>
      <c r="T55" s="43">
        <v>5141</v>
      </c>
      <c r="U55" s="43">
        <v>4739</v>
      </c>
      <c r="V55" s="43">
        <v>4560</v>
      </c>
      <c r="W55" s="43">
        <v>4380</v>
      </c>
      <c r="X55" s="43">
        <v>4444</v>
      </c>
      <c r="Y55" s="43">
        <v>5053</v>
      </c>
      <c r="Z55" s="43">
        <v>4869</v>
      </c>
      <c r="AA55" s="87">
        <v>3323</v>
      </c>
      <c r="AB55" s="87">
        <v>3964</v>
      </c>
      <c r="AC55" s="87">
        <v>3612</v>
      </c>
      <c r="AD55" s="10" t="s">
        <v>19</v>
      </c>
    </row>
    <row r="56" spans="2:30" ht="11.1" customHeight="1" x14ac:dyDescent="0.25">
      <c r="B56" s="21" t="s">
        <v>102</v>
      </c>
      <c r="C56" s="22" t="s">
        <v>35</v>
      </c>
      <c r="D56" s="22">
        <v>7581</v>
      </c>
      <c r="E56" s="189">
        <v>5000</v>
      </c>
      <c r="F56" s="189">
        <v>5213</v>
      </c>
      <c r="G56" s="43">
        <v>4070</v>
      </c>
      <c r="H56" s="43">
        <v>4503</v>
      </c>
      <c r="I56" s="43">
        <v>2609</v>
      </c>
      <c r="J56" s="43">
        <v>3394</v>
      </c>
      <c r="K56" s="43">
        <v>2381</v>
      </c>
      <c r="L56" s="43">
        <v>1129</v>
      </c>
      <c r="M56" s="43">
        <v>288</v>
      </c>
      <c r="N56" s="43">
        <v>661</v>
      </c>
      <c r="O56" s="43">
        <v>653</v>
      </c>
      <c r="P56" s="43">
        <v>280</v>
      </c>
      <c r="Q56" s="43">
        <v>264</v>
      </c>
      <c r="R56" s="43">
        <v>217</v>
      </c>
      <c r="S56" s="43">
        <v>210</v>
      </c>
      <c r="T56" s="43">
        <v>280</v>
      </c>
      <c r="U56" s="43">
        <v>415</v>
      </c>
      <c r="V56" s="43">
        <v>417</v>
      </c>
      <c r="W56" s="43">
        <v>514</v>
      </c>
      <c r="X56" s="43">
        <v>931</v>
      </c>
      <c r="Y56" s="43">
        <v>900</v>
      </c>
      <c r="Z56" s="43">
        <v>1773</v>
      </c>
      <c r="AA56" s="87">
        <v>1974</v>
      </c>
      <c r="AB56" s="87">
        <v>1516</v>
      </c>
      <c r="AC56" s="87">
        <v>588</v>
      </c>
      <c r="AD56" s="10" t="s">
        <v>19</v>
      </c>
    </row>
    <row r="57" spans="2:30" ht="11.1" customHeight="1" x14ac:dyDescent="0.25">
      <c r="B57" s="21" t="s">
        <v>324</v>
      </c>
      <c r="C57" s="22" t="s">
        <v>35</v>
      </c>
      <c r="D57" s="22">
        <v>7757</v>
      </c>
      <c r="E57" s="189">
        <v>7926</v>
      </c>
      <c r="F57" s="189">
        <v>9221</v>
      </c>
      <c r="G57" s="43">
        <v>10068</v>
      </c>
      <c r="H57" s="43">
        <v>10554</v>
      </c>
      <c r="I57" s="43">
        <v>11448</v>
      </c>
      <c r="J57" s="43">
        <v>10909</v>
      </c>
      <c r="K57" s="43">
        <v>9169</v>
      </c>
      <c r="L57" s="43">
        <v>8306</v>
      </c>
      <c r="M57" s="43">
        <v>8893</v>
      </c>
      <c r="N57" s="43">
        <v>8574</v>
      </c>
      <c r="O57" s="43">
        <v>6921</v>
      </c>
      <c r="P57" s="43">
        <v>6672</v>
      </c>
      <c r="Q57" s="43">
        <v>6060</v>
      </c>
      <c r="R57" s="43">
        <v>5805</v>
      </c>
      <c r="S57" s="43">
        <v>5506</v>
      </c>
      <c r="T57" s="43">
        <v>5465</v>
      </c>
      <c r="U57" s="43">
        <v>5622</v>
      </c>
      <c r="V57" s="43">
        <v>5667</v>
      </c>
      <c r="W57" s="43">
        <v>5189</v>
      </c>
      <c r="X57" s="43">
        <v>5251</v>
      </c>
      <c r="Y57" s="43">
        <v>5080</v>
      </c>
      <c r="Z57" s="43">
        <v>5650</v>
      </c>
      <c r="AA57" s="87">
        <v>4826</v>
      </c>
      <c r="AB57" s="87">
        <v>4711</v>
      </c>
      <c r="AC57" s="87">
        <v>4779</v>
      </c>
      <c r="AD57" s="10" t="s">
        <v>19</v>
      </c>
    </row>
    <row r="58" spans="2:30" ht="11.1" customHeight="1" x14ac:dyDescent="0.25">
      <c r="B58" s="21" t="s">
        <v>98</v>
      </c>
      <c r="C58" s="22" t="s">
        <v>35</v>
      </c>
      <c r="D58" s="22">
        <v>1529</v>
      </c>
      <c r="E58" s="189">
        <v>1847</v>
      </c>
      <c r="F58" s="189">
        <v>1704</v>
      </c>
      <c r="G58" s="43">
        <v>1474</v>
      </c>
      <c r="H58" s="43">
        <v>1712</v>
      </c>
      <c r="I58" s="43">
        <v>1770</v>
      </c>
      <c r="J58" s="43">
        <v>1411</v>
      </c>
      <c r="K58" s="43">
        <v>1400</v>
      </c>
      <c r="L58" s="43">
        <v>1420</v>
      </c>
      <c r="M58" s="43">
        <v>1285</v>
      </c>
      <c r="N58" s="43">
        <v>1320</v>
      </c>
      <c r="O58" s="43">
        <v>1254</v>
      </c>
      <c r="P58" s="43">
        <v>1152</v>
      </c>
      <c r="Q58" s="43">
        <v>1196</v>
      </c>
      <c r="R58" s="43">
        <v>1200</v>
      </c>
      <c r="S58" s="43">
        <v>1212</v>
      </c>
      <c r="T58" s="43">
        <v>1244</v>
      </c>
      <c r="U58" s="43">
        <v>1280</v>
      </c>
      <c r="V58" s="43">
        <v>1412</v>
      </c>
      <c r="W58" s="43">
        <v>1265</v>
      </c>
      <c r="X58" s="43">
        <v>1160</v>
      </c>
      <c r="Y58" s="43">
        <v>1231</v>
      </c>
      <c r="Z58" s="43">
        <v>1131</v>
      </c>
      <c r="AA58" s="87">
        <v>1093</v>
      </c>
      <c r="AB58" s="87">
        <v>1023</v>
      </c>
      <c r="AC58" s="87">
        <v>891</v>
      </c>
      <c r="AD58" s="10" t="s">
        <v>19</v>
      </c>
    </row>
    <row r="59" spans="2:30" ht="11.1" customHeight="1" x14ac:dyDescent="0.25">
      <c r="B59" s="21" t="s">
        <v>216</v>
      </c>
      <c r="C59" s="22" t="s">
        <v>35</v>
      </c>
      <c r="D59" s="22">
        <v>15365</v>
      </c>
      <c r="E59" s="189">
        <v>13551</v>
      </c>
      <c r="F59" s="189">
        <v>12218</v>
      </c>
      <c r="G59" s="43">
        <v>11878</v>
      </c>
      <c r="H59" s="43">
        <v>11001</v>
      </c>
      <c r="I59" s="43">
        <v>10130</v>
      </c>
      <c r="J59" s="43">
        <v>9045</v>
      </c>
      <c r="K59" s="43">
        <v>9075</v>
      </c>
      <c r="L59" s="43">
        <v>10930</v>
      </c>
      <c r="M59" s="43">
        <v>10113</v>
      </c>
      <c r="N59" s="43">
        <v>9931</v>
      </c>
      <c r="O59" s="43">
        <v>7601</v>
      </c>
      <c r="P59" s="43">
        <v>7120</v>
      </c>
      <c r="Q59" s="43">
        <v>7554</v>
      </c>
      <c r="R59" s="43">
        <v>7293</v>
      </c>
      <c r="S59" s="43">
        <v>8191</v>
      </c>
      <c r="T59" s="43">
        <v>8889</v>
      </c>
      <c r="U59" s="43">
        <v>10225</v>
      </c>
      <c r="V59" s="43">
        <v>8543</v>
      </c>
      <c r="W59" s="43">
        <v>9194</v>
      </c>
      <c r="X59" s="43">
        <v>9151</v>
      </c>
      <c r="Y59" s="43">
        <v>8708</v>
      </c>
      <c r="Z59" s="43">
        <v>9284</v>
      </c>
      <c r="AA59" s="87">
        <v>8598</v>
      </c>
      <c r="AB59" s="87">
        <v>9172</v>
      </c>
      <c r="AC59" s="87">
        <v>8992</v>
      </c>
      <c r="AD59" s="10" t="s">
        <v>19</v>
      </c>
    </row>
    <row r="60" spans="2:30" ht="11.1" customHeight="1" x14ac:dyDescent="0.25">
      <c r="B60" s="21" t="s">
        <v>252</v>
      </c>
      <c r="C60" s="22" t="s">
        <v>35</v>
      </c>
      <c r="D60" s="22">
        <v>4788</v>
      </c>
      <c r="E60" s="189">
        <v>4133</v>
      </c>
      <c r="F60" s="189">
        <v>3955</v>
      </c>
      <c r="G60" s="43">
        <v>4344</v>
      </c>
      <c r="H60" s="43">
        <v>4833</v>
      </c>
      <c r="I60" s="43">
        <v>4150</v>
      </c>
      <c r="J60" s="43">
        <v>3972</v>
      </c>
      <c r="K60" s="43">
        <v>4358</v>
      </c>
      <c r="L60" s="43">
        <v>4123</v>
      </c>
      <c r="M60" s="43">
        <v>3660</v>
      </c>
      <c r="N60" s="43">
        <v>3351</v>
      </c>
      <c r="O60" s="43">
        <v>3609</v>
      </c>
      <c r="P60" s="43">
        <v>4014</v>
      </c>
      <c r="Q60" s="43">
        <v>3193</v>
      </c>
      <c r="R60" s="43">
        <v>3449</v>
      </c>
      <c r="S60" s="43">
        <v>2924</v>
      </c>
      <c r="T60" s="43">
        <v>3439</v>
      </c>
      <c r="U60" s="43">
        <v>3557</v>
      </c>
      <c r="V60" s="43">
        <v>3411</v>
      </c>
      <c r="W60" s="43">
        <v>4010</v>
      </c>
      <c r="X60" s="43">
        <v>4033</v>
      </c>
      <c r="Y60" s="43">
        <v>3951</v>
      </c>
      <c r="Z60" s="43">
        <v>3313</v>
      </c>
      <c r="AA60" s="87">
        <v>3057</v>
      </c>
      <c r="AB60" s="87">
        <v>2863</v>
      </c>
      <c r="AC60" s="87">
        <v>2476</v>
      </c>
      <c r="AD60" s="10" t="s">
        <v>19</v>
      </c>
    </row>
    <row r="61" spans="2:30" ht="11.1" customHeight="1" x14ac:dyDescent="0.25">
      <c r="B61" s="21" t="s">
        <v>82</v>
      </c>
      <c r="C61" s="22" t="s">
        <v>35</v>
      </c>
      <c r="D61" s="22">
        <v>60148</v>
      </c>
      <c r="E61" s="189">
        <v>51411</v>
      </c>
      <c r="F61" s="189">
        <v>52616</v>
      </c>
      <c r="G61" s="43">
        <v>61111</v>
      </c>
      <c r="H61" s="43">
        <v>60965</v>
      </c>
      <c r="I61" s="43">
        <v>62218</v>
      </c>
      <c r="J61" s="43">
        <v>60190</v>
      </c>
      <c r="K61" s="43">
        <v>55556</v>
      </c>
      <c r="L61" s="43">
        <v>50115</v>
      </c>
      <c r="M61" s="43">
        <v>43821</v>
      </c>
      <c r="N61" s="43">
        <v>44875</v>
      </c>
      <c r="O61" s="43">
        <v>40695</v>
      </c>
      <c r="P61" s="43">
        <v>35497</v>
      </c>
      <c r="Q61" s="43">
        <v>35863</v>
      </c>
      <c r="R61" s="43">
        <v>35405</v>
      </c>
      <c r="S61" s="43">
        <v>34769</v>
      </c>
      <c r="T61" s="43">
        <v>31554</v>
      </c>
      <c r="U61" s="43">
        <v>45489</v>
      </c>
      <c r="V61" s="43">
        <v>36980</v>
      </c>
      <c r="W61" s="43">
        <v>39581</v>
      </c>
      <c r="X61" s="43">
        <v>40917</v>
      </c>
      <c r="Y61" s="43">
        <v>51062</v>
      </c>
      <c r="Z61" s="43">
        <v>52088</v>
      </c>
      <c r="AA61" s="87">
        <v>54862</v>
      </c>
      <c r="AB61" s="87">
        <v>54117</v>
      </c>
      <c r="AC61" s="87">
        <v>54176</v>
      </c>
      <c r="AD61" s="10" t="s">
        <v>19</v>
      </c>
    </row>
    <row r="62" spans="2:30" ht="11.1" customHeight="1" x14ac:dyDescent="0.25">
      <c r="B62" s="21" t="s">
        <v>13</v>
      </c>
      <c r="C62" s="22" t="s">
        <v>35</v>
      </c>
      <c r="D62" s="22">
        <v>129252</v>
      </c>
      <c r="E62" s="189">
        <v>113468</v>
      </c>
      <c r="F62" s="189">
        <v>118201</v>
      </c>
      <c r="G62" s="43">
        <v>133034</v>
      </c>
      <c r="H62" s="43">
        <v>143766</v>
      </c>
      <c r="I62" s="43">
        <v>155528</v>
      </c>
      <c r="J62" s="43">
        <v>160697</v>
      </c>
      <c r="K62" s="43">
        <v>134062</v>
      </c>
      <c r="L62" s="43">
        <v>128061</v>
      </c>
      <c r="M62" s="43">
        <v>121646</v>
      </c>
      <c r="N62" s="43">
        <v>117616</v>
      </c>
      <c r="O62" s="43">
        <v>119292</v>
      </c>
      <c r="P62" s="43">
        <v>110036</v>
      </c>
      <c r="Q62" s="43">
        <v>113370</v>
      </c>
      <c r="R62" s="43">
        <v>108223</v>
      </c>
      <c r="S62" s="43">
        <v>104514</v>
      </c>
      <c r="T62" s="43">
        <v>104197</v>
      </c>
      <c r="U62" s="43">
        <v>126044</v>
      </c>
      <c r="V62" s="43">
        <v>114958</v>
      </c>
      <c r="W62" s="43">
        <v>119955</v>
      </c>
      <c r="X62" s="43">
        <v>116975</v>
      </c>
      <c r="Y62" s="43">
        <v>126226</v>
      </c>
      <c r="Z62" s="43">
        <v>127481</v>
      </c>
      <c r="AA62" s="87">
        <v>135590</v>
      </c>
      <c r="AB62" s="87">
        <v>134218</v>
      </c>
      <c r="AC62" s="87">
        <v>130362</v>
      </c>
      <c r="AD62" s="10" t="s">
        <v>19</v>
      </c>
    </row>
    <row r="63" spans="2:30" ht="9.75" customHeight="1" x14ac:dyDescent="0.25">
      <c r="B63" s="330" t="s">
        <v>36</v>
      </c>
      <c r="C63" s="330"/>
      <c r="D63" s="330"/>
      <c r="E63" s="330"/>
      <c r="F63" s="330"/>
      <c r="G63" s="330"/>
      <c r="H63" s="330"/>
      <c r="I63" s="330"/>
      <c r="J63" s="330"/>
      <c r="K63" s="330"/>
      <c r="L63" s="330"/>
      <c r="M63" s="330"/>
      <c r="N63" s="330"/>
      <c r="O63" s="330"/>
      <c r="P63" s="330"/>
      <c r="Q63" s="330"/>
      <c r="R63" s="330"/>
      <c r="S63" s="330"/>
      <c r="T63" s="330"/>
      <c r="U63" s="337"/>
      <c r="V63" s="337"/>
      <c r="W63" s="337"/>
      <c r="X63" s="337"/>
      <c r="Y63" s="337"/>
      <c r="Z63" s="337"/>
      <c r="AA63" s="48"/>
      <c r="AB63" s="48"/>
      <c r="AC63" s="48"/>
      <c r="AD63" s="48"/>
    </row>
    <row r="64" spans="2:30" ht="11.1" customHeight="1" x14ac:dyDescent="0.25">
      <c r="B64" s="21" t="s">
        <v>265</v>
      </c>
      <c r="C64" s="22" t="s">
        <v>35</v>
      </c>
      <c r="D64" s="22">
        <v>5776</v>
      </c>
      <c r="E64" s="189">
        <v>6978</v>
      </c>
      <c r="F64" s="189">
        <v>7903</v>
      </c>
      <c r="G64" s="43">
        <v>7326</v>
      </c>
      <c r="H64" s="43">
        <v>7021</v>
      </c>
      <c r="I64" s="43">
        <v>7397</v>
      </c>
      <c r="J64" s="43">
        <v>6609</v>
      </c>
      <c r="K64" s="43">
        <v>6120</v>
      </c>
      <c r="L64" s="43">
        <v>5986</v>
      </c>
      <c r="M64" s="43">
        <v>5956</v>
      </c>
      <c r="N64" s="43">
        <v>5314</v>
      </c>
      <c r="O64" s="43">
        <v>5285</v>
      </c>
      <c r="P64" s="43">
        <v>5796</v>
      </c>
      <c r="Q64" s="43">
        <v>5019</v>
      </c>
      <c r="R64" s="43">
        <v>4668</v>
      </c>
      <c r="S64" s="43">
        <v>4950</v>
      </c>
      <c r="T64" s="43">
        <v>5006</v>
      </c>
      <c r="U64" s="43">
        <v>4685</v>
      </c>
      <c r="V64" s="43">
        <v>4614</v>
      </c>
      <c r="W64" s="43">
        <v>4580</v>
      </c>
      <c r="X64" s="43">
        <v>4175</v>
      </c>
      <c r="Y64" s="43">
        <v>3832</v>
      </c>
      <c r="Z64" s="43">
        <v>3514</v>
      </c>
      <c r="AA64" s="87">
        <v>3454</v>
      </c>
      <c r="AB64" s="87">
        <v>3491</v>
      </c>
      <c r="AC64" s="87">
        <v>3529</v>
      </c>
      <c r="AD64" s="10" t="s">
        <v>19</v>
      </c>
    </row>
    <row r="65" spans="2:30" ht="11.1" customHeight="1" x14ac:dyDescent="0.25">
      <c r="B65" s="21" t="s">
        <v>87</v>
      </c>
      <c r="C65" s="22" t="s">
        <v>35</v>
      </c>
      <c r="D65" s="22">
        <v>28862</v>
      </c>
      <c r="E65" s="189">
        <v>23904</v>
      </c>
      <c r="F65" s="189">
        <v>27364</v>
      </c>
      <c r="G65" s="43">
        <v>25706</v>
      </c>
      <c r="H65" s="43">
        <v>23122</v>
      </c>
      <c r="I65" s="43">
        <v>23898</v>
      </c>
      <c r="J65" s="43">
        <v>20459</v>
      </c>
      <c r="K65" s="43">
        <v>20065</v>
      </c>
      <c r="L65" s="43">
        <v>17495</v>
      </c>
      <c r="M65" s="43">
        <v>19757</v>
      </c>
      <c r="N65" s="43">
        <v>20197</v>
      </c>
      <c r="O65" s="43">
        <v>22033</v>
      </c>
      <c r="P65" s="43">
        <v>23232</v>
      </c>
      <c r="Q65" s="43">
        <v>18511</v>
      </c>
      <c r="R65" s="43">
        <v>17537</v>
      </c>
      <c r="S65" s="43">
        <v>21249</v>
      </c>
      <c r="T65" s="43">
        <v>20210</v>
      </c>
      <c r="U65" s="43">
        <v>19930</v>
      </c>
      <c r="V65" s="43">
        <v>20982</v>
      </c>
      <c r="W65" s="43">
        <v>19012</v>
      </c>
      <c r="X65" s="43">
        <v>20001</v>
      </c>
      <c r="Y65" s="43">
        <v>17800</v>
      </c>
      <c r="Z65" s="43">
        <v>16312</v>
      </c>
      <c r="AA65" s="87">
        <v>15316</v>
      </c>
      <c r="AB65" s="87">
        <v>19154</v>
      </c>
      <c r="AC65" s="87">
        <v>15234</v>
      </c>
      <c r="AD65" s="10" t="s">
        <v>19</v>
      </c>
    </row>
    <row r="66" spans="2:30" ht="11.1" customHeight="1" x14ac:dyDescent="0.25">
      <c r="B66" s="21" t="s">
        <v>96</v>
      </c>
      <c r="C66" s="22" t="s">
        <v>35</v>
      </c>
      <c r="D66" s="22">
        <v>18573</v>
      </c>
      <c r="E66" s="189">
        <v>19909</v>
      </c>
      <c r="F66" s="189">
        <v>16501</v>
      </c>
      <c r="G66" s="43">
        <v>14137</v>
      </c>
      <c r="H66" s="43">
        <v>16584</v>
      </c>
      <c r="I66" s="43">
        <v>19345</v>
      </c>
      <c r="J66" s="43">
        <v>17889</v>
      </c>
      <c r="K66" s="43">
        <v>15568</v>
      </c>
      <c r="L66" s="43">
        <v>13751</v>
      </c>
      <c r="M66" s="43">
        <v>13865</v>
      </c>
      <c r="N66" s="43">
        <v>11727</v>
      </c>
      <c r="O66" s="43">
        <v>9627</v>
      </c>
      <c r="P66" s="43">
        <v>9463</v>
      </c>
      <c r="Q66" s="43">
        <v>8659</v>
      </c>
      <c r="R66" s="43">
        <v>9779</v>
      </c>
      <c r="S66" s="43">
        <v>9905</v>
      </c>
      <c r="T66" s="43">
        <v>9709</v>
      </c>
      <c r="U66" s="43">
        <v>9448</v>
      </c>
      <c r="V66" s="43">
        <v>10027</v>
      </c>
      <c r="W66" s="43">
        <v>10520</v>
      </c>
      <c r="X66" s="43">
        <v>9740</v>
      </c>
      <c r="Y66" s="43">
        <v>8028</v>
      </c>
      <c r="Z66" s="43">
        <v>10230</v>
      </c>
      <c r="AA66" s="87">
        <v>9903</v>
      </c>
      <c r="AB66" s="87">
        <v>10651</v>
      </c>
      <c r="AC66" s="87">
        <v>10812</v>
      </c>
      <c r="AD66" s="10" t="s">
        <v>19</v>
      </c>
    </row>
    <row r="67" spans="2:30" ht="11.1" customHeight="1" x14ac:dyDescent="0.25">
      <c r="B67" s="21" t="s">
        <v>68</v>
      </c>
      <c r="C67" s="22" t="s">
        <v>35</v>
      </c>
      <c r="D67" s="22">
        <v>1131</v>
      </c>
      <c r="E67" s="189">
        <v>990</v>
      </c>
      <c r="F67" s="189">
        <v>1040</v>
      </c>
      <c r="G67" s="43">
        <v>1063</v>
      </c>
      <c r="H67" s="43">
        <v>1118</v>
      </c>
      <c r="I67" s="43">
        <v>984</v>
      </c>
      <c r="J67" s="43">
        <v>1000</v>
      </c>
      <c r="K67" s="43">
        <v>941</v>
      </c>
      <c r="L67" s="43">
        <v>765</v>
      </c>
      <c r="M67" s="43">
        <v>639</v>
      </c>
      <c r="N67" s="43">
        <v>716</v>
      </c>
      <c r="O67" s="43">
        <v>844</v>
      </c>
      <c r="P67" s="43">
        <v>797</v>
      </c>
      <c r="Q67" s="43">
        <v>824</v>
      </c>
      <c r="R67" s="43">
        <v>1011</v>
      </c>
      <c r="S67" s="43">
        <v>1011</v>
      </c>
      <c r="T67" s="43">
        <v>1054</v>
      </c>
      <c r="U67" s="43">
        <v>1050</v>
      </c>
      <c r="V67" s="43">
        <v>1005</v>
      </c>
      <c r="W67" s="43">
        <v>1070</v>
      </c>
      <c r="X67" s="43">
        <v>1034</v>
      </c>
      <c r="Y67" s="43">
        <v>1066</v>
      </c>
      <c r="Z67" s="43">
        <v>972</v>
      </c>
      <c r="AA67" s="87">
        <v>1051</v>
      </c>
      <c r="AB67" s="87">
        <v>1122</v>
      </c>
      <c r="AC67" s="87">
        <v>1064</v>
      </c>
      <c r="AD67" s="10" t="s">
        <v>19</v>
      </c>
    </row>
    <row r="68" spans="2:30" ht="11.1" customHeight="1" x14ac:dyDescent="0.25">
      <c r="B68" s="21" t="s">
        <v>13</v>
      </c>
      <c r="C68" s="22" t="s">
        <v>35</v>
      </c>
      <c r="D68" s="22">
        <v>54342</v>
      </c>
      <c r="E68" s="189">
        <v>51781</v>
      </c>
      <c r="F68" s="189">
        <v>52808</v>
      </c>
      <c r="G68" s="43">
        <v>48232</v>
      </c>
      <c r="H68" s="43">
        <v>47844</v>
      </c>
      <c r="I68" s="43">
        <v>51623</v>
      </c>
      <c r="J68" s="43">
        <v>45958</v>
      </c>
      <c r="K68" s="43">
        <v>42695</v>
      </c>
      <c r="L68" s="43">
        <v>37997</v>
      </c>
      <c r="M68" s="43">
        <v>40217</v>
      </c>
      <c r="N68" s="43">
        <v>37954</v>
      </c>
      <c r="O68" s="43">
        <v>37789</v>
      </c>
      <c r="P68" s="43">
        <v>39288</v>
      </c>
      <c r="Q68" s="43">
        <v>33014</v>
      </c>
      <c r="R68" s="43">
        <v>32996</v>
      </c>
      <c r="S68" s="43">
        <v>37114</v>
      </c>
      <c r="T68" s="43">
        <v>35979</v>
      </c>
      <c r="U68" s="43">
        <v>35114</v>
      </c>
      <c r="V68" s="43">
        <v>36627</v>
      </c>
      <c r="W68" s="43">
        <v>35182</v>
      </c>
      <c r="X68" s="43">
        <v>34949</v>
      </c>
      <c r="Y68" s="43">
        <v>30726</v>
      </c>
      <c r="Z68" s="43">
        <v>31028</v>
      </c>
      <c r="AA68" s="87">
        <v>29723</v>
      </c>
      <c r="AB68" s="87">
        <v>34418</v>
      </c>
      <c r="AC68" s="87">
        <v>30639</v>
      </c>
      <c r="AD68" s="10" t="s">
        <v>19</v>
      </c>
    </row>
    <row r="69" spans="2:30" ht="9.75" customHeight="1" x14ac:dyDescent="0.25">
      <c r="B69" s="330" t="s">
        <v>40</v>
      </c>
      <c r="C69" s="330"/>
      <c r="D69" s="330"/>
      <c r="E69" s="330"/>
      <c r="F69" s="330"/>
      <c r="G69" s="330"/>
      <c r="H69" s="330"/>
      <c r="I69" s="330"/>
      <c r="J69" s="330"/>
      <c r="K69" s="330"/>
      <c r="L69" s="330"/>
      <c r="M69" s="330"/>
      <c r="N69" s="330"/>
      <c r="O69" s="330"/>
      <c r="P69" s="330"/>
      <c r="Q69" s="330"/>
      <c r="R69" s="330"/>
      <c r="S69" s="330"/>
      <c r="T69" s="330"/>
      <c r="U69" s="337"/>
      <c r="V69" s="337"/>
      <c r="W69" s="337"/>
      <c r="X69" s="337"/>
      <c r="Y69" s="337"/>
      <c r="Z69" s="337"/>
      <c r="AA69" s="48"/>
      <c r="AB69" s="48"/>
      <c r="AC69" s="48"/>
      <c r="AD69" s="48"/>
    </row>
    <row r="70" spans="2:30" ht="11.1" customHeight="1" x14ac:dyDescent="0.25">
      <c r="B70" s="21" t="s">
        <v>41</v>
      </c>
      <c r="C70" s="22" t="s">
        <v>35</v>
      </c>
      <c r="D70" s="22">
        <v>5625</v>
      </c>
      <c r="E70" s="189">
        <v>5532</v>
      </c>
      <c r="F70" s="189">
        <v>5615</v>
      </c>
      <c r="G70" s="43">
        <v>5809</v>
      </c>
      <c r="H70" s="43">
        <v>5106</v>
      </c>
      <c r="I70" s="43">
        <v>5588</v>
      </c>
      <c r="J70" s="43">
        <v>5594</v>
      </c>
      <c r="K70" s="43">
        <v>5011</v>
      </c>
      <c r="L70" s="43">
        <v>5001</v>
      </c>
      <c r="M70" s="43">
        <v>4822</v>
      </c>
      <c r="N70" s="43">
        <v>4961</v>
      </c>
      <c r="O70" s="43">
        <v>4525</v>
      </c>
      <c r="P70" s="43">
        <v>4737</v>
      </c>
      <c r="Q70" s="43">
        <v>4464</v>
      </c>
      <c r="R70" s="43">
        <v>4313</v>
      </c>
      <c r="S70" s="43">
        <v>3922</v>
      </c>
      <c r="T70" s="43">
        <v>3753</v>
      </c>
      <c r="U70" s="43">
        <v>3392</v>
      </c>
      <c r="V70" s="43">
        <v>3401</v>
      </c>
      <c r="W70" s="43">
        <v>3176</v>
      </c>
      <c r="X70" s="43">
        <v>2728</v>
      </c>
      <c r="Y70" s="43">
        <v>2311</v>
      </c>
      <c r="Z70" s="43">
        <v>2366</v>
      </c>
      <c r="AA70" s="87">
        <v>2066</v>
      </c>
      <c r="AB70" s="87">
        <v>2025</v>
      </c>
      <c r="AC70" s="87">
        <v>1957</v>
      </c>
      <c r="AD70" s="10" t="s">
        <v>19</v>
      </c>
    </row>
    <row r="71" spans="2:30" ht="11.1" customHeight="1" x14ac:dyDescent="0.25">
      <c r="B71" s="21" t="s">
        <v>42</v>
      </c>
      <c r="C71" s="22" t="s">
        <v>35</v>
      </c>
      <c r="D71" s="22">
        <v>647</v>
      </c>
      <c r="E71" s="189">
        <v>432</v>
      </c>
      <c r="F71" s="189">
        <v>737</v>
      </c>
      <c r="G71" s="43">
        <v>618</v>
      </c>
      <c r="H71" s="43">
        <v>698</v>
      </c>
      <c r="I71" s="43">
        <v>903</v>
      </c>
      <c r="J71" s="43">
        <v>619</v>
      </c>
      <c r="K71" s="43">
        <v>470</v>
      </c>
      <c r="L71" s="43">
        <v>658</v>
      </c>
      <c r="M71" s="43">
        <v>579</v>
      </c>
      <c r="N71" s="43">
        <v>428</v>
      </c>
      <c r="O71" s="43">
        <v>594</v>
      </c>
      <c r="P71" s="43">
        <v>660</v>
      </c>
      <c r="Q71" s="43">
        <v>468</v>
      </c>
      <c r="R71" s="43">
        <v>563</v>
      </c>
      <c r="S71" s="43">
        <v>623</v>
      </c>
      <c r="T71" s="43">
        <v>673</v>
      </c>
      <c r="U71" s="43">
        <v>728</v>
      </c>
      <c r="V71" s="43">
        <v>901</v>
      </c>
      <c r="W71" s="43">
        <v>682</v>
      </c>
      <c r="X71" s="43">
        <v>954</v>
      </c>
      <c r="Y71" s="43">
        <v>1062</v>
      </c>
      <c r="Z71" s="43">
        <v>1078</v>
      </c>
      <c r="AA71" s="87">
        <v>1232</v>
      </c>
      <c r="AB71" s="87">
        <v>1221</v>
      </c>
      <c r="AC71" s="87">
        <v>1431</v>
      </c>
      <c r="AD71" s="10" t="s">
        <v>19</v>
      </c>
    </row>
    <row r="72" spans="2:30" ht="11.1" customHeight="1" x14ac:dyDescent="0.25">
      <c r="B72" s="21" t="s">
        <v>321</v>
      </c>
      <c r="C72" s="22" t="s">
        <v>35</v>
      </c>
      <c r="D72" s="22">
        <v>1528</v>
      </c>
      <c r="E72" s="189">
        <v>1758</v>
      </c>
      <c r="F72" s="189">
        <v>1963</v>
      </c>
      <c r="G72" s="43">
        <v>1611</v>
      </c>
      <c r="H72" s="43">
        <v>1516</v>
      </c>
      <c r="I72" s="43">
        <v>1940</v>
      </c>
      <c r="J72" s="43">
        <v>2017</v>
      </c>
      <c r="K72" s="43">
        <v>1709</v>
      </c>
      <c r="L72" s="43">
        <v>1400</v>
      </c>
      <c r="M72" s="43">
        <v>1000</v>
      </c>
      <c r="N72" s="43">
        <v>672</v>
      </c>
      <c r="O72" s="43">
        <v>414</v>
      </c>
      <c r="P72" s="43">
        <v>394</v>
      </c>
      <c r="Q72" s="43">
        <v>464</v>
      </c>
      <c r="R72" s="43">
        <v>561</v>
      </c>
      <c r="S72" s="43">
        <v>584</v>
      </c>
      <c r="T72" s="43">
        <v>615</v>
      </c>
      <c r="U72" s="43">
        <v>722</v>
      </c>
      <c r="V72" s="43">
        <v>775</v>
      </c>
      <c r="W72" s="43">
        <v>843</v>
      </c>
      <c r="X72" s="43">
        <v>851</v>
      </c>
      <c r="Y72" s="43">
        <v>605</v>
      </c>
      <c r="Z72" s="43">
        <v>644</v>
      </c>
      <c r="AA72" s="87">
        <v>558</v>
      </c>
      <c r="AB72" s="87">
        <v>687</v>
      </c>
      <c r="AC72" s="87">
        <v>696</v>
      </c>
      <c r="AD72" s="10" t="s">
        <v>19</v>
      </c>
    </row>
    <row r="73" spans="2:30" ht="11.1" customHeight="1" x14ac:dyDescent="0.25">
      <c r="B73" s="21" t="s">
        <v>43</v>
      </c>
      <c r="C73" s="22" t="s">
        <v>35</v>
      </c>
      <c r="D73" s="22">
        <v>7598</v>
      </c>
      <c r="E73" s="189">
        <v>12107</v>
      </c>
      <c r="F73" s="189">
        <v>9186</v>
      </c>
      <c r="G73" s="43">
        <v>5728</v>
      </c>
      <c r="H73" s="43">
        <v>9627</v>
      </c>
      <c r="I73" s="43">
        <v>9360</v>
      </c>
      <c r="J73" s="43">
        <v>15542</v>
      </c>
      <c r="K73" s="43">
        <v>9017</v>
      </c>
      <c r="L73" s="43">
        <v>10473</v>
      </c>
      <c r="M73" s="43">
        <v>10300</v>
      </c>
      <c r="N73" s="43">
        <v>7599</v>
      </c>
      <c r="O73" s="43">
        <v>7609</v>
      </c>
      <c r="P73" s="43">
        <v>6950</v>
      </c>
      <c r="Q73" s="43">
        <v>3569</v>
      </c>
      <c r="R73" s="43">
        <v>6751</v>
      </c>
      <c r="S73" s="43">
        <v>4421</v>
      </c>
      <c r="T73" s="43">
        <v>4323</v>
      </c>
      <c r="U73" s="43">
        <v>5012</v>
      </c>
      <c r="V73" s="43">
        <v>6098</v>
      </c>
      <c r="W73" s="43">
        <v>7732</v>
      </c>
      <c r="X73" s="43">
        <v>6668</v>
      </c>
      <c r="Y73" s="43">
        <v>6790</v>
      </c>
      <c r="Z73" s="43">
        <v>5227</v>
      </c>
      <c r="AA73" s="87">
        <v>4239</v>
      </c>
      <c r="AB73" s="87">
        <v>5166</v>
      </c>
      <c r="AC73" s="87">
        <v>5584</v>
      </c>
      <c r="AD73" s="10" t="s">
        <v>19</v>
      </c>
    </row>
    <row r="74" spans="2:30" ht="11.1" customHeight="1" x14ac:dyDescent="0.25">
      <c r="B74" s="21" t="s">
        <v>69</v>
      </c>
      <c r="C74" s="22" t="s">
        <v>35</v>
      </c>
      <c r="D74" s="22">
        <v>4116</v>
      </c>
      <c r="E74" s="189">
        <v>3080</v>
      </c>
      <c r="F74" s="189">
        <v>4593</v>
      </c>
      <c r="G74" s="43">
        <v>2672</v>
      </c>
      <c r="H74" s="43">
        <v>3771</v>
      </c>
      <c r="I74" s="43">
        <v>4905</v>
      </c>
      <c r="J74" s="43">
        <v>4032</v>
      </c>
      <c r="K74" s="43">
        <v>2754</v>
      </c>
      <c r="L74" s="43">
        <v>3621</v>
      </c>
      <c r="M74" s="43">
        <v>1771</v>
      </c>
      <c r="N74" s="43">
        <v>1856</v>
      </c>
      <c r="O74" s="43">
        <v>1638</v>
      </c>
      <c r="P74" s="43">
        <v>2148</v>
      </c>
      <c r="Q74" s="43">
        <v>3071</v>
      </c>
      <c r="R74" s="43">
        <v>2924</v>
      </c>
      <c r="S74" s="43">
        <v>1172</v>
      </c>
      <c r="T74" s="43">
        <v>1853</v>
      </c>
      <c r="U74" s="43">
        <v>2272</v>
      </c>
      <c r="V74" s="43">
        <v>2129</v>
      </c>
      <c r="W74" s="43">
        <v>2891</v>
      </c>
      <c r="X74" s="43">
        <v>1716</v>
      </c>
      <c r="Y74" s="43">
        <v>1431</v>
      </c>
      <c r="Z74" s="43">
        <v>2223</v>
      </c>
      <c r="AA74" s="87">
        <v>1729</v>
      </c>
      <c r="AB74" s="87">
        <v>2020</v>
      </c>
      <c r="AC74" s="87">
        <v>1829</v>
      </c>
      <c r="AD74" s="10" t="s">
        <v>19</v>
      </c>
    </row>
    <row r="75" spans="2:30" ht="11.1" customHeight="1" x14ac:dyDescent="0.25">
      <c r="B75" s="21" t="s">
        <v>70</v>
      </c>
      <c r="C75" s="22" t="s">
        <v>35</v>
      </c>
      <c r="D75" s="22">
        <v>1021</v>
      </c>
      <c r="E75" s="189">
        <v>1226</v>
      </c>
      <c r="F75" s="189">
        <v>1130</v>
      </c>
      <c r="G75" s="43">
        <v>1067</v>
      </c>
      <c r="H75" s="43">
        <v>1230</v>
      </c>
      <c r="I75" s="43">
        <v>670</v>
      </c>
      <c r="J75" s="43">
        <v>686</v>
      </c>
      <c r="K75" s="43">
        <v>505</v>
      </c>
      <c r="L75" s="43">
        <v>487</v>
      </c>
      <c r="M75" s="43">
        <v>324</v>
      </c>
      <c r="N75" s="43">
        <v>327</v>
      </c>
      <c r="O75" s="43">
        <v>242</v>
      </c>
      <c r="P75" s="43">
        <v>220</v>
      </c>
      <c r="Q75" s="43">
        <v>212</v>
      </c>
      <c r="R75" s="43">
        <v>303</v>
      </c>
      <c r="S75" s="43">
        <v>307</v>
      </c>
      <c r="T75" s="43">
        <v>344</v>
      </c>
      <c r="U75" s="43">
        <v>267</v>
      </c>
      <c r="V75" s="43">
        <v>298</v>
      </c>
      <c r="W75" s="43">
        <v>450</v>
      </c>
      <c r="X75" s="43">
        <v>12045</v>
      </c>
      <c r="Y75" s="43">
        <v>890</v>
      </c>
      <c r="Z75" s="43">
        <v>1142</v>
      </c>
      <c r="AA75" s="87">
        <v>1199</v>
      </c>
      <c r="AB75" s="87">
        <v>1735</v>
      </c>
      <c r="AC75" s="87">
        <v>1339</v>
      </c>
      <c r="AD75" s="10" t="s">
        <v>19</v>
      </c>
    </row>
    <row r="76" spans="2:30" ht="11.1" customHeight="1" x14ac:dyDescent="0.25">
      <c r="B76" s="21" t="s">
        <v>13</v>
      </c>
      <c r="C76" s="22" t="s">
        <v>35</v>
      </c>
      <c r="D76" s="22">
        <v>20535</v>
      </c>
      <c r="E76" s="189">
        <v>24135</v>
      </c>
      <c r="F76" s="189">
        <v>23225</v>
      </c>
      <c r="G76" s="43">
        <v>17506</v>
      </c>
      <c r="H76" s="43">
        <v>21948</v>
      </c>
      <c r="I76" s="43">
        <v>23367</v>
      </c>
      <c r="J76" s="43">
        <v>28490</v>
      </c>
      <c r="K76" s="43">
        <v>19466</v>
      </c>
      <c r="L76" s="43">
        <v>21641</v>
      </c>
      <c r="M76" s="43">
        <v>18796</v>
      </c>
      <c r="N76" s="43">
        <v>15842</v>
      </c>
      <c r="O76" s="43">
        <v>15022</v>
      </c>
      <c r="P76" s="43">
        <v>15108</v>
      </c>
      <c r="Q76" s="43">
        <v>12248</v>
      </c>
      <c r="R76" s="43">
        <v>15416</v>
      </c>
      <c r="S76" s="43">
        <v>11029</v>
      </c>
      <c r="T76" s="43">
        <v>11561</v>
      </c>
      <c r="U76" s="43">
        <v>12394</v>
      </c>
      <c r="V76" s="43">
        <v>13602</v>
      </c>
      <c r="W76" s="43">
        <v>15773</v>
      </c>
      <c r="X76" s="43">
        <v>24963</v>
      </c>
      <c r="Y76" s="43">
        <v>13089</v>
      </c>
      <c r="Z76" s="43">
        <v>12680</v>
      </c>
      <c r="AA76" s="87">
        <v>11024</v>
      </c>
      <c r="AB76" s="87">
        <v>12854</v>
      </c>
      <c r="AC76" s="87">
        <v>12837</v>
      </c>
      <c r="AD76" s="10" t="s">
        <v>19</v>
      </c>
    </row>
    <row r="77" spans="2:30" ht="11.1" customHeight="1" x14ac:dyDescent="0.25">
      <c r="B77" s="42" t="s">
        <v>83</v>
      </c>
      <c r="C77" s="22" t="s">
        <v>35</v>
      </c>
      <c r="D77" s="22">
        <v>1563</v>
      </c>
      <c r="E77" s="189">
        <v>1272</v>
      </c>
      <c r="F77" s="189">
        <v>1467</v>
      </c>
      <c r="G77" s="43">
        <v>1820</v>
      </c>
      <c r="H77" s="43">
        <v>1770</v>
      </c>
      <c r="I77" s="43">
        <v>1311</v>
      </c>
      <c r="J77" s="43">
        <v>1155</v>
      </c>
      <c r="K77" s="43">
        <v>819</v>
      </c>
      <c r="L77" s="43">
        <v>810</v>
      </c>
      <c r="M77" s="43">
        <v>1009</v>
      </c>
      <c r="N77" s="43">
        <v>1036</v>
      </c>
      <c r="O77" s="43">
        <v>1449</v>
      </c>
      <c r="P77" s="43">
        <v>732</v>
      </c>
      <c r="Q77" s="43">
        <v>662</v>
      </c>
      <c r="R77" s="43">
        <v>649</v>
      </c>
      <c r="S77" s="43">
        <v>846</v>
      </c>
      <c r="T77" s="43">
        <v>696</v>
      </c>
      <c r="U77" s="43">
        <v>695</v>
      </c>
      <c r="V77" s="43">
        <v>841</v>
      </c>
      <c r="W77" s="43">
        <v>2523</v>
      </c>
      <c r="X77" s="43">
        <v>1841</v>
      </c>
      <c r="Y77" s="43">
        <v>2103</v>
      </c>
      <c r="Z77" s="43">
        <v>1899</v>
      </c>
      <c r="AA77" s="87">
        <v>2133</v>
      </c>
      <c r="AB77" s="87">
        <v>2499</v>
      </c>
      <c r="AC77" s="87">
        <v>2548</v>
      </c>
      <c r="AD77" s="10" t="s">
        <v>19</v>
      </c>
    </row>
    <row r="78" spans="2:30" ht="11.1" customHeight="1" x14ac:dyDescent="0.25">
      <c r="B78" s="185" t="s">
        <v>55</v>
      </c>
      <c r="C78" s="45" t="s">
        <v>35</v>
      </c>
      <c r="D78" s="45">
        <v>205692</v>
      </c>
      <c r="E78" s="193">
        <v>190655</v>
      </c>
      <c r="F78" s="193">
        <v>195700</v>
      </c>
      <c r="G78" s="46">
        <v>200592</v>
      </c>
      <c r="H78" s="46">
        <v>215329</v>
      </c>
      <c r="I78" s="46">
        <v>231828</v>
      </c>
      <c r="J78" s="46">
        <v>236300</v>
      </c>
      <c r="K78" s="46">
        <v>197041</v>
      </c>
      <c r="L78" s="46">
        <v>188508</v>
      </c>
      <c r="M78" s="46">
        <v>181669</v>
      </c>
      <c r="N78" s="46">
        <v>172449</v>
      </c>
      <c r="O78" s="46">
        <v>173552</v>
      </c>
      <c r="P78" s="46">
        <v>165163</v>
      </c>
      <c r="Q78" s="46">
        <v>159294</v>
      </c>
      <c r="R78" s="46">
        <v>157283</v>
      </c>
      <c r="S78" s="46">
        <v>153504</v>
      </c>
      <c r="T78" s="46">
        <v>152432</v>
      </c>
      <c r="U78" s="46">
        <v>174246</v>
      </c>
      <c r="V78" s="46">
        <v>166027</v>
      </c>
      <c r="W78" s="46">
        <v>173434</v>
      </c>
      <c r="X78" s="46">
        <v>178727</v>
      </c>
      <c r="Y78" s="46">
        <v>172145</v>
      </c>
      <c r="Z78" s="46">
        <v>173089</v>
      </c>
      <c r="AA78" s="87">
        <v>178470</v>
      </c>
      <c r="AB78" s="87">
        <v>183988</v>
      </c>
      <c r="AC78" s="87">
        <v>176385</v>
      </c>
      <c r="AD78" s="297" t="s">
        <v>19</v>
      </c>
    </row>
    <row r="79" spans="2:30" ht="96" customHeight="1" x14ac:dyDescent="0.25">
      <c r="B79" s="328" t="s">
        <v>510</v>
      </c>
      <c r="C79" s="328"/>
      <c r="D79" s="328"/>
      <c r="E79" s="328"/>
      <c r="F79" s="328"/>
      <c r="G79" s="328"/>
      <c r="H79" s="328"/>
      <c r="I79" s="328"/>
      <c r="J79" s="328"/>
      <c r="K79" s="328"/>
      <c r="L79" s="328"/>
      <c r="M79" s="328"/>
      <c r="N79" s="328"/>
      <c r="O79" s="328"/>
      <c r="P79" s="328"/>
      <c r="Q79" s="328"/>
      <c r="R79" s="328"/>
      <c r="S79" s="328"/>
      <c r="T79" s="328"/>
      <c r="U79" s="328"/>
      <c r="V79" s="328"/>
      <c r="W79" s="328"/>
      <c r="X79" s="328"/>
      <c r="Y79" s="328"/>
      <c r="Z79" s="328"/>
      <c r="AA79" s="328"/>
      <c r="AB79" s="328"/>
      <c r="AC79" s="328"/>
    </row>
  </sheetData>
  <mergeCells count="10">
    <mergeCell ref="B45:Z45"/>
    <mergeCell ref="B63:Z63"/>
    <mergeCell ref="B69:Z69"/>
    <mergeCell ref="B79:AC79"/>
    <mergeCell ref="B7:AC7"/>
    <mergeCell ref="B9:Z9"/>
    <mergeCell ref="B10:Z10"/>
    <mergeCell ref="B28:Z28"/>
    <mergeCell ref="B34:Z34"/>
    <mergeCell ref="B44:Z44"/>
  </mergeCells>
  <phoneticPr fontId="23" type="noConversion"/>
  <conditionalFormatting sqref="B6:Y6 AA6:AD6 B7 B8:C8 B9:AD10 B11:AC27 B28:AD28 B29:AC33 B34:AD34 B35:AC43 B44:AD45 B46:AC62 B63:AD63 B64:AC68 B69:AD69 B70:AC78">
    <cfRule type="cellIs" dxfId="885" priority="79" stopIfTrue="1" operator="between">
      <formula>-99.999999999999</formula>
      <formula>99.999999999999</formula>
    </cfRule>
    <cfRule type="cellIs" dxfId="884" priority="78" stopIfTrue="1" operator="lessThanOrEqual">
      <formula>-100</formula>
    </cfRule>
    <cfRule type="cellIs" dxfId="883" priority="77" stopIfTrue="1" operator="equal">
      <formula>0</formula>
    </cfRule>
    <cfRule type="cellIs" dxfId="882" priority="80" stopIfTrue="1" operator="greaterThanOrEqual">
      <formula>100</formula>
    </cfRule>
  </conditionalFormatting>
  <conditionalFormatting sqref="B6:Y6 AA6:AD6 B7">
    <cfRule type="cellIs" dxfId="881" priority="75" stopIfTrue="1" operator="between">
      <formula>-99.999999999999</formula>
      <formula>99.999999999999</formula>
    </cfRule>
    <cfRule type="cellIs" dxfId="880" priority="76" stopIfTrue="1" operator="greaterThanOrEqual">
      <formula>100</formula>
    </cfRule>
    <cfRule type="cellIs" dxfId="879" priority="74" stopIfTrue="1" operator="lessThanOrEqual">
      <formula>-100</formula>
    </cfRule>
    <cfRule type="cellIs" dxfId="878" priority="73" stopIfTrue="1" operator="equal">
      <formula>0</formula>
    </cfRule>
  </conditionalFormatting>
  <conditionalFormatting sqref="B8:AD28">
    <cfRule type="cellIs" dxfId="877" priority="46" stopIfTrue="1" operator="lessThanOrEqual">
      <formula>-100</formula>
    </cfRule>
    <cfRule type="cellIs" dxfId="876" priority="48" stopIfTrue="1" operator="greaterThanOrEqual">
      <formula>100</formula>
    </cfRule>
    <cfRule type="cellIs" dxfId="875" priority="47" stopIfTrue="1" operator="between">
      <formula>-99.999999999999</formula>
      <formula>99.999999999999</formula>
    </cfRule>
    <cfRule type="cellIs" dxfId="874" priority="45" stopIfTrue="1" operator="equal">
      <formula>0</formula>
    </cfRule>
  </conditionalFormatting>
  <conditionalFormatting sqref="B29:AD34">
    <cfRule type="cellIs" dxfId="873" priority="40" stopIfTrue="1" operator="greaterThanOrEqual">
      <formula>100</formula>
    </cfRule>
    <cfRule type="cellIs" dxfId="872" priority="38" stopIfTrue="1" operator="lessThanOrEqual">
      <formula>-100</formula>
    </cfRule>
    <cfRule type="cellIs" dxfId="871" priority="39" stopIfTrue="1" operator="between">
      <formula>-99.999999999999</formula>
      <formula>99.999999999999</formula>
    </cfRule>
    <cfRule type="cellIs" dxfId="870" priority="37" stopIfTrue="1" operator="equal">
      <formula>0</formula>
    </cfRule>
  </conditionalFormatting>
  <conditionalFormatting sqref="B35:AD45">
    <cfRule type="cellIs" dxfId="869" priority="29" stopIfTrue="1" operator="equal">
      <formula>0</formula>
    </cfRule>
    <cfRule type="cellIs" dxfId="868" priority="30" stopIfTrue="1" operator="lessThanOrEqual">
      <formula>-100</formula>
    </cfRule>
    <cfRule type="cellIs" dxfId="867" priority="31" stopIfTrue="1" operator="between">
      <formula>-99.999999999999</formula>
      <formula>99.999999999999</formula>
    </cfRule>
    <cfRule type="cellIs" dxfId="866" priority="32" stopIfTrue="1" operator="greaterThanOrEqual">
      <formula>100</formula>
    </cfRule>
  </conditionalFormatting>
  <conditionalFormatting sqref="B46:AD63">
    <cfRule type="cellIs" dxfId="865" priority="24" stopIfTrue="1" operator="greaterThanOrEqual">
      <formula>100</formula>
    </cfRule>
    <cfRule type="cellIs" dxfId="864" priority="23" stopIfTrue="1" operator="between">
      <formula>-99.999999999999</formula>
      <formula>99.999999999999</formula>
    </cfRule>
    <cfRule type="cellIs" dxfId="863" priority="22" stopIfTrue="1" operator="lessThanOrEqual">
      <formula>-100</formula>
    </cfRule>
    <cfRule type="cellIs" dxfId="862" priority="21" stopIfTrue="1" operator="equal">
      <formula>0</formula>
    </cfRule>
  </conditionalFormatting>
  <conditionalFormatting sqref="B64:AD69">
    <cfRule type="cellIs" dxfId="861" priority="15" stopIfTrue="1" operator="between">
      <formula>-99.999999999999</formula>
      <formula>99.999999999999</formula>
    </cfRule>
    <cfRule type="cellIs" dxfId="860" priority="16" stopIfTrue="1" operator="greaterThanOrEqual">
      <formula>100</formula>
    </cfRule>
    <cfRule type="cellIs" dxfId="859" priority="14" stopIfTrue="1" operator="lessThanOrEqual">
      <formula>-100</formula>
    </cfRule>
    <cfRule type="cellIs" dxfId="858" priority="13" stopIfTrue="1" operator="equal">
      <formula>0</formula>
    </cfRule>
  </conditionalFormatting>
  <conditionalFormatting sqref="B70:AD78">
    <cfRule type="cellIs" dxfId="857" priority="5" stopIfTrue="1" operator="equal">
      <formula>0</formula>
    </cfRule>
    <cfRule type="cellIs" dxfId="856" priority="6" stopIfTrue="1" operator="lessThanOrEqual">
      <formula>-100</formula>
    </cfRule>
    <cfRule type="cellIs" dxfId="855" priority="8" stopIfTrue="1" operator="greaterThanOrEqual">
      <formula>100</formula>
    </cfRule>
    <cfRule type="cellIs" dxfId="854" priority="7" stopIfTrue="1" operator="between">
      <formula>-99.999999999999</formula>
      <formula>99.999999999999</formula>
    </cfRule>
  </conditionalFormatting>
  <conditionalFormatting sqref="G11:AD27">
    <cfRule type="cellIs" dxfId="853" priority="41" operator="lessThanOrEqual">
      <formula>99</formula>
    </cfRule>
    <cfRule type="cellIs" dxfId="852" priority="42" operator="greaterThanOrEqual">
      <formula>100</formula>
    </cfRule>
  </conditionalFormatting>
  <conditionalFormatting sqref="G29:AD33">
    <cfRule type="cellIs" dxfId="851" priority="33" operator="lessThanOrEqual">
      <formula>99</formula>
    </cfRule>
    <cfRule type="cellIs" dxfId="850" priority="34" operator="greaterThanOrEqual">
      <formula>100</formula>
    </cfRule>
  </conditionalFormatting>
  <conditionalFormatting sqref="G35:AD43">
    <cfRule type="cellIs" dxfId="849" priority="26" operator="greaterThanOrEqual">
      <formula>100</formula>
    </cfRule>
    <cfRule type="cellIs" dxfId="848" priority="25" operator="lessThanOrEqual">
      <formula>99</formula>
    </cfRule>
  </conditionalFormatting>
  <conditionalFormatting sqref="G46:AD62">
    <cfRule type="cellIs" dxfId="847" priority="18" operator="greaterThanOrEqual">
      <formula>100</formula>
    </cfRule>
    <cfRule type="cellIs" dxfId="846" priority="17" operator="lessThanOrEqual">
      <formula>99</formula>
    </cfRule>
  </conditionalFormatting>
  <conditionalFormatting sqref="G64:AD68">
    <cfRule type="cellIs" dxfId="845" priority="10" operator="greaterThanOrEqual">
      <formula>100</formula>
    </cfRule>
    <cfRule type="cellIs" dxfId="844" priority="9" operator="lessThanOrEqual">
      <formula>99</formula>
    </cfRule>
  </conditionalFormatting>
  <conditionalFormatting sqref="G70:AD78">
    <cfRule type="cellIs" dxfId="843" priority="2" operator="greaterThanOrEqual">
      <formula>100</formula>
    </cfRule>
    <cfRule type="cellIs" dxfId="842" priority="1" operator="lessThanOrEqual">
      <formula>99</formula>
    </cfRule>
  </conditionalFormatting>
  <pageMargins left="0.7" right="0.7" top="0.75" bottom="0.75" header="0.3" footer="0.3"/>
  <pageSetup paperSize="9" scale="28"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0D022-C202-4305-8FBE-BD618EC16837}">
  <sheetPr>
    <pageSetUpPr fitToPage="1"/>
  </sheetPr>
  <dimension ref="B6:AD57"/>
  <sheetViews>
    <sheetView zoomScaleNormal="100" workbookViewId="0"/>
  </sheetViews>
  <sheetFormatPr defaultColWidth="9.140625" defaultRowHeight="15" x14ac:dyDescent="0.25"/>
  <cols>
    <col min="1" max="1" width="9.140625" style="20"/>
    <col min="2" max="2" width="19.7109375" style="20" customWidth="1"/>
    <col min="3" max="3" width="5.140625" style="20" customWidth="1"/>
    <col min="4" max="4" width="11.7109375" style="20" customWidth="1"/>
    <col min="5" max="18" width="9.28515625" style="20" customWidth="1"/>
    <col min="19" max="30" width="9.7109375" style="20" customWidth="1"/>
    <col min="31" max="16384" width="9.140625" style="20"/>
  </cols>
  <sheetData>
    <row r="6" spans="2:30" ht="12" customHeight="1" x14ac:dyDescent="0.25">
      <c r="B6" s="209"/>
      <c r="C6" s="210"/>
      <c r="D6" s="210"/>
      <c r="E6" s="210"/>
      <c r="F6" s="210"/>
      <c r="G6" s="210"/>
      <c r="H6" s="210"/>
      <c r="I6" s="210"/>
      <c r="J6" s="210"/>
      <c r="K6" s="210"/>
      <c r="L6" s="210"/>
      <c r="M6" s="210"/>
      <c r="N6" s="210"/>
      <c r="O6" s="210"/>
      <c r="P6" s="210"/>
      <c r="Q6" s="210"/>
      <c r="R6" s="210"/>
      <c r="S6" s="17"/>
      <c r="T6" s="17"/>
      <c r="U6" s="17"/>
      <c r="V6" s="17"/>
      <c r="W6" s="17"/>
      <c r="X6" s="17"/>
      <c r="Y6" s="17"/>
      <c r="Z6" s="17"/>
      <c r="AA6" s="19"/>
      <c r="AB6" s="19"/>
      <c r="AC6" s="19"/>
      <c r="AD6" s="19" t="s">
        <v>0</v>
      </c>
    </row>
    <row r="7" spans="2:30" ht="27" customHeight="1" x14ac:dyDescent="0.25">
      <c r="B7" s="322" t="s">
        <v>325</v>
      </c>
      <c r="C7" s="322"/>
      <c r="D7" s="322"/>
      <c r="E7" s="322"/>
      <c r="F7" s="322"/>
      <c r="G7" s="322"/>
      <c r="H7" s="322"/>
      <c r="I7" s="322"/>
      <c r="J7" s="322"/>
      <c r="K7" s="322"/>
      <c r="L7" s="322"/>
      <c r="M7" s="322"/>
      <c r="N7" s="322"/>
      <c r="O7" s="322"/>
      <c r="P7" s="322"/>
      <c r="Q7" s="322"/>
      <c r="R7" s="322"/>
      <c r="S7" s="322"/>
      <c r="T7" s="322"/>
      <c r="U7" s="322"/>
      <c r="V7" s="322"/>
      <c r="W7" s="322"/>
      <c r="X7" s="322"/>
      <c r="Y7" s="322"/>
      <c r="Z7" s="322"/>
      <c r="AA7" s="47"/>
      <c r="AB7" s="47"/>
      <c r="AC7" s="47"/>
      <c r="AD7" s="47"/>
    </row>
    <row r="8" spans="2:30" ht="12.6" customHeight="1" x14ac:dyDescent="0.25">
      <c r="B8" s="288" t="s">
        <v>307</v>
      </c>
      <c r="C8" s="289"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547</v>
      </c>
    </row>
    <row r="9" spans="2:30" ht="12" customHeight="1" x14ac:dyDescent="0.25">
      <c r="B9" s="344" t="s">
        <v>34</v>
      </c>
      <c r="C9" s="344"/>
      <c r="D9" s="344"/>
      <c r="E9" s="344"/>
      <c r="F9" s="344"/>
      <c r="G9" s="344"/>
      <c r="H9" s="344"/>
      <c r="I9" s="344"/>
      <c r="J9" s="344"/>
      <c r="K9" s="344"/>
      <c r="L9" s="344"/>
      <c r="M9" s="344"/>
      <c r="N9" s="344"/>
      <c r="O9" s="344"/>
      <c r="P9" s="344"/>
      <c r="Q9" s="344"/>
      <c r="R9" s="344"/>
      <c r="S9" s="344"/>
      <c r="T9" s="344"/>
      <c r="U9" s="344"/>
      <c r="V9" s="344"/>
      <c r="W9" s="344"/>
      <c r="X9" s="344"/>
      <c r="Y9" s="344"/>
      <c r="Z9" s="326"/>
      <c r="AA9" s="88"/>
      <c r="AB9" s="88"/>
      <c r="AC9" s="88"/>
      <c r="AD9" s="88"/>
    </row>
    <row r="10" spans="2:30" ht="11.1" customHeight="1" x14ac:dyDescent="0.25">
      <c r="B10" s="326" t="s">
        <v>71</v>
      </c>
      <c r="C10" s="326"/>
      <c r="D10" s="326"/>
      <c r="E10" s="326"/>
      <c r="F10" s="326"/>
      <c r="G10" s="326"/>
      <c r="H10" s="326"/>
      <c r="I10" s="326"/>
      <c r="J10" s="326"/>
      <c r="K10" s="326"/>
      <c r="L10" s="326"/>
      <c r="M10" s="326"/>
      <c r="N10" s="326"/>
      <c r="O10" s="326"/>
      <c r="P10" s="326"/>
      <c r="Q10" s="326"/>
      <c r="R10" s="326"/>
      <c r="S10" s="345"/>
      <c r="T10" s="345"/>
      <c r="U10" s="345"/>
      <c r="V10" s="345"/>
      <c r="W10" s="345"/>
      <c r="X10" s="345"/>
      <c r="Y10" s="345"/>
      <c r="Z10" s="345"/>
      <c r="AA10" s="194"/>
      <c r="AB10" s="194"/>
      <c r="AC10" s="194"/>
      <c r="AD10" s="194"/>
    </row>
    <row r="11" spans="2:30" ht="11.1" customHeight="1" x14ac:dyDescent="0.25">
      <c r="B11" s="7" t="s">
        <v>332</v>
      </c>
      <c r="C11" s="195" t="s">
        <v>6</v>
      </c>
      <c r="D11" s="196">
        <v>82437</v>
      </c>
      <c r="E11" s="196">
        <v>97844</v>
      </c>
      <c r="F11" s="196">
        <v>112085</v>
      </c>
      <c r="G11" s="196">
        <v>124949</v>
      </c>
      <c r="H11" s="196">
        <v>118101</v>
      </c>
      <c r="I11" s="196">
        <v>140388</v>
      </c>
      <c r="J11" s="196">
        <v>146922</v>
      </c>
      <c r="K11" s="196">
        <v>231452</v>
      </c>
      <c r="L11" s="196">
        <v>290734</v>
      </c>
      <c r="M11" s="196">
        <v>302310</v>
      </c>
      <c r="N11" s="196">
        <v>326218</v>
      </c>
      <c r="O11" s="196">
        <v>369491</v>
      </c>
      <c r="P11" s="196">
        <v>427433</v>
      </c>
      <c r="Q11" s="196">
        <v>513638</v>
      </c>
      <c r="R11" s="196">
        <v>518014</v>
      </c>
      <c r="S11" s="196">
        <v>542956</v>
      </c>
      <c r="T11" s="196">
        <v>630842</v>
      </c>
      <c r="U11" s="196">
        <v>717714</v>
      </c>
      <c r="V11" s="196">
        <v>756068</v>
      </c>
      <c r="W11" s="196">
        <v>854768</v>
      </c>
      <c r="X11" s="196">
        <v>839334</v>
      </c>
      <c r="Y11" s="196">
        <v>904080</v>
      </c>
      <c r="Z11" s="196">
        <v>1031434</v>
      </c>
      <c r="AA11" s="173">
        <v>1149408</v>
      </c>
      <c r="AB11" s="173">
        <v>1376516</v>
      </c>
      <c r="AC11" s="173">
        <v>1294977</v>
      </c>
      <c r="AD11" s="10" t="s">
        <v>19</v>
      </c>
    </row>
    <row r="12" spans="2:30" ht="11.1" customHeight="1" x14ac:dyDescent="0.25">
      <c r="B12" s="7" t="s">
        <v>72</v>
      </c>
      <c r="C12" s="195" t="s">
        <v>6</v>
      </c>
      <c r="D12" s="196">
        <v>166700</v>
      </c>
      <c r="E12" s="196">
        <v>202000</v>
      </c>
      <c r="F12" s="196">
        <v>263793</v>
      </c>
      <c r="G12" s="196">
        <v>260500</v>
      </c>
      <c r="H12" s="196">
        <v>267342</v>
      </c>
      <c r="I12" s="196">
        <v>243217</v>
      </c>
      <c r="J12" s="196">
        <v>139955</v>
      </c>
      <c r="K12" s="196">
        <v>155795</v>
      </c>
      <c r="L12" s="196">
        <v>137650</v>
      </c>
      <c r="M12" s="196">
        <v>186742</v>
      </c>
      <c r="N12" s="196">
        <v>157777</v>
      </c>
      <c r="O12" s="196">
        <v>102175</v>
      </c>
      <c r="P12" s="196">
        <v>114500</v>
      </c>
      <c r="Q12" s="196">
        <v>150000</v>
      </c>
      <c r="R12" s="196">
        <v>153500</v>
      </c>
      <c r="S12" s="196">
        <v>122400</v>
      </c>
      <c r="T12" s="196">
        <v>130670</v>
      </c>
      <c r="U12" s="196">
        <v>126870</v>
      </c>
      <c r="V12" s="196">
        <v>115000</v>
      </c>
      <c r="W12" s="196">
        <v>126000</v>
      </c>
      <c r="X12" s="196">
        <v>129000</v>
      </c>
      <c r="Y12" s="196">
        <v>137000</v>
      </c>
      <c r="Z12" s="196">
        <v>91000</v>
      </c>
      <c r="AA12" s="173">
        <v>110400</v>
      </c>
      <c r="AB12" s="173">
        <v>120000</v>
      </c>
      <c r="AC12" s="173">
        <v>76970</v>
      </c>
      <c r="AD12" s="10" t="s">
        <v>19</v>
      </c>
    </row>
    <row r="13" spans="2:30" ht="11.1" customHeight="1" x14ac:dyDescent="0.25">
      <c r="B13" s="7" t="s">
        <v>326</v>
      </c>
      <c r="C13" s="195" t="s">
        <v>6</v>
      </c>
      <c r="D13" s="196">
        <v>1831</v>
      </c>
      <c r="E13" s="196">
        <v>2540</v>
      </c>
      <c r="F13" s="196">
        <v>2554</v>
      </c>
      <c r="G13" s="196">
        <v>2787</v>
      </c>
      <c r="H13" s="196">
        <v>3148</v>
      </c>
      <c r="I13" s="196">
        <v>2772</v>
      </c>
      <c r="J13" s="196">
        <v>2948</v>
      </c>
      <c r="K13" s="196">
        <v>3541</v>
      </c>
      <c r="L13" s="196">
        <v>3502</v>
      </c>
      <c r="M13" s="196">
        <v>2950</v>
      </c>
      <c r="N13" s="196">
        <v>3307</v>
      </c>
      <c r="O13" s="196">
        <v>3864</v>
      </c>
      <c r="P13" s="196">
        <v>4485</v>
      </c>
      <c r="Q13" s="196">
        <v>3835</v>
      </c>
      <c r="R13" s="196">
        <v>3285</v>
      </c>
      <c r="S13" s="196">
        <v>4160</v>
      </c>
      <c r="T13" s="196">
        <v>3949</v>
      </c>
      <c r="U13" s="196">
        <v>4601</v>
      </c>
      <c r="V13" s="196">
        <v>3982</v>
      </c>
      <c r="W13" s="196">
        <v>4201</v>
      </c>
      <c r="X13" s="196">
        <v>2544</v>
      </c>
      <c r="Y13" s="196">
        <v>2331</v>
      </c>
      <c r="Z13" s="196">
        <v>2456</v>
      </c>
      <c r="AA13" s="173">
        <v>2046</v>
      </c>
      <c r="AB13" s="173">
        <v>1646</v>
      </c>
      <c r="AC13" s="173">
        <v>1620</v>
      </c>
      <c r="AD13" s="10" t="s">
        <v>19</v>
      </c>
    </row>
    <row r="14" spans="2:30" ht="11.1" customHeight="1" x14ac:dyDescent="0.25">
      <c r="B14" s="7" t="s">
        <v>75</v>
      </c>
      <c r="C14" s="195" t="s">
        <v>6</v>
      </c>
      <c r="D14" s="196">
        <v>7819</v>
      </c>
      <c r="E14" s="196">
        <v>8380</v>
      </c>
      <c r="F14" s="196">
        <v>8445</v>
      </c>
      <c r="G14" s="196">
        <v>9922</v>
      </c>
      <c r="H14" s="196">
        <v>16079</v>
      </c>
      <c r="I14" s="196">
        <v>13433</v>
      </c>
      <c r="J14" s="196">
        <v>15545</v>
      </c>
      <c r="K14" s="196">
        <v>18801</v>
      </c>
      <c r="L14" s="196">
        <v>23922</v>
      </c>
      <c r="M14" s="196">
        <v>30138</v>
      </c>
      <c r="N14" s="196">
        <v>31661</v>
      </c>
      <c r="O14" s="196">
        <v>32028</v>
      </c>
      <c r="P14" s="196">
        <v>35730</v>
      </c>
      <c r="Q14" s="196">
        <v>40811</v>
      </c>
      <c r="R14" s="196">
        <v>32771</v>
      </c>
      <c r="S14" s="196">
        <v>33857</v>
      </c>
      <c r="T14" s="196">
        <v>37058</v>
      </c>
      <c r="U14" s="196">
        <v>34979</v>
      </c>
      <c r="V14" s="196">
        <v>41076</v>
      </c>
      <c r="W14" s="196">
        <v>53606</v>
      </c>
      <c r="X14" s="196">
        <v>66083</v>
      </c>
      <c r="Y14" s="196">
        <v>78963</v>
      </c>
      <c r="Z14" s="196">
        <v>86239</v>
      </c>
      <c r="AA14" s="173">
        <v>60572</v>
      </c>
      <c r="AB14" s="173">
        <v>111012</v>
      </c>
      <c r="AC14" s="173">
        <v>113815</v>
      </c>
      <c r="AD14" s="10" t="s">
        <v>19</v>
      </c>
    </row>
    <row r="15" spans="2:30" ht="11.1" customHeight="1" x14ac:dyDescent="0.25">
      <c r="B15" s="7" t="s">
        <v>333</v>
      </c>
      <c r="C15" s="195" t="s">
        <v>6</v>
      </c>
      <c r="D15" s="196">
        <v>7062</v>
      </c>
      <c r="E15" s="196">
        <v>7236</v>
      </c>
      <c r="F15" s="196">
        <v>9731</v>
      </c>
      <c r="G15" s="196">
        <v>9964</v>
      </c>
      <c r="H15" s="196">
        <v>17934</v>
      </c>
      <c r="I15" s="196">
        <v>16405</v>
      </c>
      <c r="J15" s="196">
        <v>6347</v>
      </c>
      <c r="K15" s="196">
        <v>3466</v>
      </c>
      <c r="L15" s="196">
        <v>4467</v>
      </c>
      <c r="M15" s="196">
        <v>2132</v>
      </c>
      <c r="N15" s="196">
        <v>7153</v>
      </c>
      <c r="O15" s="196">
        <v>8497</v>
      </c>
      <c r="P15" s="196">
        <v>4837</v>
      </c>
      <c r="Q15" s="196">
        <v>40191</v>
      </c>
      <c r="R15" s="196">
        <v>44985</v>
      </c>
      <c r="S15" s="196">
        <v>4531</v>
      </c>
      <c r="T15" s="196">
        <v>56566</v>
      </c>
      <c r="U15" s="196">
        <v>78142</v>
      </c>
      <c r="V15" s="196">
        <v>7309</v>
      </c>
      <c r="W15" s="196">
        <v>48051</v>
      </c>
      <c r="X15" s="196">
        <v>55488</v>
      </c>
      <c r="Y15" s="196">
        <v>54906</v>
      </c>
      <c r="Z15" s="196">
        <v>69600</v>
      </c>
      <c r="AA15" s="173">
        <v>68281</v>
      </c>
      <c r="AB15" s="173">
        <v>89032</v>
      </c>
      <c r="AC15" s="173">
        <v>93835</v>
      </c>
      <c r="AD15" s="10" t="s">
        <v>19</v>
      </c>
    </row>
    <row r="16" spans="2:30" ht="12" customHeight="1" x14ac:dyDescent="0.25">
      <c r="B16" s="7" t="s">
        <v>13</v>
      </c>
      <c r="C16" s="195" t="s">
        <v>6</v>
      </c>
      <c r="D16" s="196">
        <v>265848</v>
      </c>
      <c r="E16" s="196">
        <v>317999</v>
      </c>
      <c r="F16" s="196">
        <v>396609</v>
      </c>
      <c r="G16" s="196">
        <v>408122</v>
      </c>
      <c r="H16" s="196">
        <v>422604</v>
      </c>
      <c r="I16" s="196">
        <v>416214</v>
      </c>
      <c r="J16" s="196">
        <v>311716</v>
      </c>
      <c r="K16" s="196">
        <v>413055</v>
      </c>
      <c r="L16" s="196">
        <v>460275</v>
      </c>
      <c r="M16" s="196">
        <v>524272</v>
      </c>
      <c r="N16" s="196">
        <v>526116</v>
      </c>
      <c r="O16" s="196">
        <v>516055</v>
      </c>
      <c r="P16" s="196">
        <v>586985</v>
      </c>
      <c r="Q16" s="196">
        <v>748474</v>
      </c>
      <c r="R16" s="196">
        <v>752556</v>
      </c>
      <c r="S16" s="196">
        <v>707904</v>
      </c>
      <c r="T16" s="196">
        <v>859085</v>
      </c>
      <c r="U16" s="196">
        <v>962306</v>
      </c>
      <c r="V16" s="196">
        <v>923435</v>
      </c>
      <c r="W16" s="196">
        <v>1086626</v>
      </c>
      <c r="X16" s="196">
        <v>1092448</v>
      </c>
      <c r="Y16" s="196">
        <v>1177280</v>
      </c>
      <c r="Z16" s="196">
        <v>1280729</v>
      </c>
      <c r="AA16" s="173">
        <v>1390706</v>
      </c>
      <c r="AB16" s="173">
        <v>1698206</v>
      </c>
      <c r="AC16" s="173">
        <v>1581218</v>
      </c>
      <c r="AD16" s="10" t="s">
        <v>19</v>
      </c>
    </row>
    <row r="17" spans="2:30" ht="12" customHeight="1" x14ac:dyDescent="0.25">
      <c r="B17" s="342" t="s">
        <v>36</v>
      </c>
      <c r="C17" s="342"/>
      <c r="D17" s="342"/>
      <c r="E17" s="342"/>
      <c r="F17" s="342"/>
      <c r="G17" s="342"/>
      <c r="H17" s="342"/>
      <c r="I17" s="342"/>
      <c r="J17" s="342"/>
      <c r="K17" s="342"/>
      <c r="L17" s="342"/>
      <c r="M17" s="342"/>
      <c r="N17" s="342"/>
      <c r="O17" s="342"/>
      <c r="P17" s="342"/>
      <c r="Q17" s="342"/>
      <c r="R17" s="342"/>
      <c r="S17" s="342"/>
      <c r="T17" s="342"/>
      <c r="U17" s="342"/>
      <c r="V17" s="342"/>
      <c r="W17" s="342"/>
      <c r="X17" s="342"/>
      <c r="Y17" s="342"/>
      <c r="Z17" s="343"/>
      <c r="AA17" s="174"/>
      <c r="AB17" s="174"/>
      <c r="AC17" s="174"/>
      <c r="AD17" s="174"/>
    </row>
    <row r="18" spans="2:30" ht="11.1" customHeight="1" x14ac:dyDescent="0.25">
      <c r="B18" s="7" t="s">
        <v>87</v>
      </c>
      <c r="C18" s="195" t="s">
        <v>6</v>
      </c>
      <c r="D18" s="196">
        <v>42156</v>
      </c>
      <c r="E18" s="196">
        <v>51268</v>
      </c>
      <c r="F18" s="196">
        <v>49534</v>
      </c>
      <c r="G18" s="196">
        <v>65440</v>
      </c>
      <c r="H18" s="196">
        <v>56068</v>
      </c>
      <c r="I18" s="196">
        <v>57762</v>
      </c>
      <c r="J18" s="196">
        <v>50364</v>
      </c>
      <c r="K18" s="196">
        <v>49727</v>
      </c>
      <c r="L18" s="196">
        <v>45120</v>
      </c>
      <c r="M18" s="196">
        <v>44204</v>
      </c>
      <c r="N18" s="196">
        <v>56841</v>
      </c>
      <c r="O18" s="196">
        <v>75400</v>
      </c>
      <c r="P18" s="196">
        <v>57332</v>
      </c>
      <c r="Q18" s="196">
        <v>60454</v>
      </c>
      <c r="R18" s="196">
        <v>60062</v>
      </c>
      <c r="S18" s="196">
        <v>63522</v>
      </c>
      <c r="T18" s="196">
        <v>86288</v>
      </c>
      <c r="U18" s="196">
        <v>86485</v>
      </c>
      <c r="V18" s="196">
        <v>85669</v>
      </c>
      <c r="W18" s="196">
        <v>80521</v>
      </c>
      <c r="X18" s="196">
        <v>83775</v>
      </c>
      <c r="Y18" s="196">
        <v>134492</v>
      </c>
      <c r="Z18" s="196">
        <v>159701</v>
      </c>
      <c r="AA18" s="173">
        <v>180821</v>
      </c>
      <c r="AB18" s="173">
        <v>217499</v>
      </c>
      <c r="AC18" s="173">
        <v>211661</v>
      </c>
      <c r="AD18" s="10" t="s">
        <v>19</v>
      </c>
    </row>
    <row r="19" spans="2:30" ht="11.25" customHeight="1" x14ac:dyDescent="0.25">
      <c r="B19" s="7" t="s">
        <v>327</v>
      </c>
      <c r="C19" s="195" t="s">
        <v>6</v>
      </c>
      <c r="D19" s="196">
        <v>2419</v>
      </c>
      <c r="E19" s="196">
        <v>3661</v>
      </c>
      <c r="F19" s="196">
        <v>3394</v>
      </c>
      <c r="G19" s="196">
        <v>2078</v>
      </c>
      <c r="H19" s="196">
        <v>1699</v>
      </c>
      <c r="I19" s="196">
        <v>1582</v>
      </c>
      <c r="J19" s="196">
        <v>1866</v>
      </c>
      <c r="K19" s="196">
        <v>1314</v>
      </c>
      <c r="L19" s="196">
        <v>1753</v>
      </c>
      <c r="M19" s="196">
        <v>1351</v>
      </c>
      <c r="N19" s="196">
        <v>1019</v>
      </c>
      <c r="O19" s="196">
        <v>1059</v>
      </c>
      <c r="P19" s="196">
        <v>637</v>
      </c>
      <c r="Q19" s="196">
        <v>688</v>
      </c>
      <c r="R19" s="196">
        <v>720</v>
      </c>
      <c r="S19" s="196">
        <v>599</v>
      </c>
      <c r="T19" s="196">
        <v>785</v>
      </c>
      <c r="U19" s="196">
        <v>1092</v>
      </c>
      <c r="V19" s="196">
        <v>992</v>
      </c>
      <c r="W19" s="196">
        <v>1432</v>
      </c>
      <c r="X19" s="196">
        <v>431</v>
      </c>
      <c r="Y19" s="196">
        <v>556</v>
      </c>
      <c r="Z19" s="196">
        <v>132</v>
      </c>
      <c r="AA19" s="173">
        <v>752</v>
      </c>
      <c r="AB19" s="173">
        <v>576</v>
      </c>
      <c r="AC19" s="173">
        <v>486</v>
      </c>
      <c r="AD19" s="10" t="s">
        <v>19</v>
      </c>
    </row>
    <row r="20" spans="2:30" ht="11.1" customHeight="1" x14ac:dyDescent="0.25">
      <c r="B20" s="7" t="s">
        <v>334</v>
      </c>
      <c r="C20" s="195" t="s">
        <v>6</v>
      </c>
      <c r="D20" s="196">
        <v>1190</v>
      </c>
      <c r="E20" s="196">
        <v>1254</v>
      </c>
      <c r="F20" s="196">
        <v>1379</v>
      </c>
      <c r="G20" s="196">
        <v>1381</v>
      </c>
      <c r="H20" s="196">
        <v>1615</v>
      </c>
      <c r="I20" s="196">
        <v>1571</v>
      </c>
      <c r="J20" s="196">
        <v>2072</v>
      </c>
      <c r="K20" s="196">
        <v>1637</v>
      </c>
      <c r="L20" s="196">
        <v>2215</v>
      </c>
      <c r="M20" s="196">
        <v>2091</v>
      </c>
      <c r="N20" s="196">
        <v>2040</v>
      </c>
      <c r="O20" s="196">
        <v>2094</v>
      </c>
      <c r="P20" s="196">
        <v>2451</v>
      </c>
      <c r="Q20" s="196">
        <v>1787</v>
      </c>
      <c r="R20" s="196">
        <v>1897</v>
      </c>
      <c r="S20" s="196">
        <v>1841</v>
      </c>
      <c r="T20" s="196">
        <v>2013</v>
      </c>
      <c r="U20" s="196">
        <v>1820</v>
      </c>
      <c r="V20" s="196">
        <v>1745</v>
      </c>
      <c r="W20" s="196">
        <v>3074</v>
      </c>
      <c r="X20" s="196">
        <v>2739</v>
      </c>
      <c r="Y20" s="196">
        <v>2202</v>
      </c>
      <c r="Z20" s="196">
        <v>2693</v>
      </c>
      <c r="AA20" s="173">
        <v>4511</v>
      </c>
      <c r="AB20" s="173">
        <v>2649</v>
      </c>
      <c r="AC20" s="173">
        <v>2457</v>
      </c>
      <c r="AD20" s="10" t="s">
        <v>19</v>
      </c>
    </row>
    <row r="21" spans="2:30" ht="11.1" customHeight="1" x14ac:dyDescent="0.25">
      <c r="B21" s="7" t="s">
        <v>328</v>
      </c>
      <c r="C21" s="195" t="s">
        <v>6</v>
      </c>
      <c r="D21" s="196">
        <v>936</v>
      </c>
      <c r="E21" s="196">
        <v>844</v>
      </c>
      <c r="F21" s="196">
        <v>1116</v>
      </c>
      <c r="G21" s="196">
        <v>1007</v>
      </c>
      <c r="H21" s="196">
        <v>1055</v>
      </c>
      <c r="I21" s="196">
        <v>1243</v>
      </c>
      <c r="J21" s="196">
        <v>1282</v>
      </c>
      <c r="K21" s="196">
        <v>1300</v>
      </c>
      <c r="L21" s="196">
        <v>1450</v>
      </c>
      <c r="M21" s="196">
        <v>1097</v>
      </c>
      <c r="N21" s="196">
        <v>1121</v>
      </c>
      <c r="O21" s="196">
        <v>956</v>
      </c>
      <c r="P21" s="196">
        <v>908</v>
      </c>
      <c r="Q21" s="196">
        <v>792</v>
      </c>
      <c r="R21" s="196">
        <v>738</v>
      </c>
      <c r="S21" s="196">
        <v>682</v>
      </c>
      <c r="T21" s="196">
        <v>1043</v>
      </c>
      <c r="U21" s="196">
        <v>1341</v>
      </c>
      <c r="V21" s="196">
        <v>1700</v>
      </c>
      <c r="W21" s="196">
        <v>1200</v>
      </c>
      <c r="X21" s="196">
        <v>1200</v>
      </c>
      <c r="Y21" s="196">
        <v>1800</v>
      </c>
      <c r="Z21" s="196">
        <v>950</v>
      </c>
      <c r="AA21" s="173">
        <v>850</v>
      </c>
      <c r="AB21" s="173">
        <v>700</v>
      </c>
      <c r="AC21" s="173">
        <v>371</v>
      </c>
      <c r="AD21" s="10" t="s">
        <v>19</v>
      </c>
    </row>
    <row r="22" spans="2:30" ht="12" customHeight="1" x14ac:dyDescent="0.25">
      <c r="B22" s="7" t="s">
        <v>68</v>
      </c>
      <c r="C22" s="195" t="s">
        <v>6</v>
      </c>
      <c r="D22" s="196">
        <v>227</v>
      </c>
      <c r="E22" s="197">
        <v>4</v>
      </c>
      <c r="F22" s="197">
        <v>0</v>
      </c>
      <c r="G22" s="197">
        <v>0</v>
      </c>
      <c r="H22" s="197">
        <v>6</v>
      </c>
      <c r="I22" s="197">
        <v>0</v>
      </c>
      <c r="J22" s="197">
        <v>0</v>
      </c>
      <c r="K22" s="197">
        <v>0</v>
      </c>
      <c r="L22" s="197">
        <v>16</v>
      </c>
      <c r="M22" s="197">
        <v>0</v>
      </c>
      <c r="N22" s="197">
        <v>0</v>
      </c>
      <c r="O22" s="197">
        <v>0</v>
      </c>
      <c r="P22" s="197">
        <v>0</v>
      </c>
      <c r="Q22" s="197">
        <v>0</v>
      </c>
      <c r="R22" s="197">
        <v>0</v>
      </c>
      <c r="S22" s="197">
        <v>0</v>
      </c>
      <c r="T22" s="197">
        <v>0</v>
      </c>
      <c r="U22" s="197">
        <v>0</v>
      </c>
      <c r="V22" s="197">
        <v>0</v>
      </c>
      <c r="W22" s="197">
        <v>0</v>
      </c>
      <c r="X22" s="196">
        <v>170</v>
      </c>
      <c r="Y22" s="196">
        <v>180</v>
      </c>
      <c r="Z22" s="197">
        <v>0</v>
      </c>
      <c r="AA22" s="198">
        <v>0</v>
      </c>
      <c r="AB22" s="198">
        <v>0</v>
      </c>
      <c r="AC22" s="198">
        <v>94</v>
      </c>
      <c r="AD22" s="10" t="s">
        <v>19</v>
      </c>
    </row>
    <row r="23" spans="2:30" ht="12" customHeight="1" x14ac:dyDescent="0.25">
      <c r="B23" s="7" t="s">
        <v>13</v>
      </c>
      <c r="C23" s="195" t="s">
        <v>6</v>
      </c>
      <c r="D23" s="196">
        <v>46928</v>
      </c>
      <c r="E23" s="196">
        <v>57031</v>
      </c>
      <c r="F23" s="196">
        <v>55424</v>
      </c>
      <c r="G23" s="196">
        <v>69906</v>
      </c>
      <c r="H23" s="196">
        <v>60442</v>
      </c>
      <c r="I23" s="196">
        <v>62157</v>
      </c>
      <c r="J23" s="196">
        <v>55583</v>
      </c>
      <c r="K23" s="196">
        <v>53978</v>
      </c>
      <c r="L23" s="196">
        <v>50554</v>
      </c>
      <c r="M23" s="196">
        <v>48743</v>
      </c>
      <c r="N23" s="196">
        <v>61021</v>
      </c>
      <c r="O23" s="196">
        <v>79509</v>
      </c>
      <c r="P23" s="196">
        <v>61328</v>
      </c>
      <c r="Q23" s="196">
        <v>63721</v>
      </c>
      <c r="R23" s="196">
        <v>63417</v>
      </c>
      <c r="S23" s="196">
        <v>66643</v>
      </c>
      <c r="T23" s="196">
        <v>90129</v>
      </c>
      <c r="U23" s="196">
        <v>90738</v>
      </c>
      <c r="V23" s="196">
        <v>90106</v>
      </c>
      <c r="W23" s="196">
        <v>86227</v>
      </c>
      <c r="X23" s="196">
        <v>88315</v>
      </c>
      <c r="Y23" s="196">
        <v>139230</v>
      </c>
      <c r="Z23" s="196">
        <v>163476</v>
      </c>
      <c r="AA23" s="173">
        <v>186934</v>
      </c>
      <c r="AB23" s="173">
        <v>221424</v>
      </c>
      <c r="AC23" s="173">
        <v>215070</v>
      </c>
      <c r="AD23" s="10" t="s">
        <v>19</v>
      </c>
    </row>
    <row r="24" spans="2:30" ht="12" customHeight="1" x14ac:dyDescent="0.25">
      <c r="B24" s="342" t="s">
        <v>40</v>
      </c>
      <c r="C24" s="342"/>
      <c r="D24" s="342"/>
      <c r="E24" s="342"/>
      <c r="F24" s="342"/>
      <c r="G24" s="342"/>
      <c r="H24" s="342"/>
      <c r="I24" s="342"/>
      <c r="J24" s="342"/>
      <c r="K24" s="342"/>
      <c r="L24" s="342"/>
      <c r="M24" s="342"/>
      <c r="N24" s="342"/>
      <c r="O24" s="342"/>
      <c r="P24" s="342"/>
      <c r="Q24" s="342"/>
      <c r="R24" s="342"/>
      <c r="S24" s="342"/>
      <c r="T24" s="342"/>
      <c r="U24" s="342"/>
      <c r="V24" s="342"/>
      <c r="W24" s="342"/>
      <c r="X24" s="342"/>
      <c r="Y24" s="342"/>
      <c r="Z24" s="343"/>
      <c r="AA24" s="174"/>
      <c r="AB24" s="174"/>
      <c r="AC24" s="174"/>
      <c r="AD24" s="174"/>
    </row>
    <row r="25" spans="2:30" ht="11.25" customHeight="1" x14ac:dyDescent="0.25">
      <c r="B25" s="7" t="s">
        <v>56</v>
      </c>
      <c r="C25" s="195" t="s">
        <v>6</v>
      </c>
      <c r="D25" s="196">
        <v>45171</v>
      </c>
      <c r="E25" s="196">
        <v>53328</v>
      </c>
      <c r="F25" s="196">
        <v>55080</v>
      </c>
      <c r="G25" s="196">
        <v>56927</v>
      </c>
      <c r="H25" s="196">
        <v>62070</v>
      </c>
      <c r="I25" s="196">
        <v>77191</v>
      </c>
      <c r="J25" s="196">
        <v>74085</v>
      </c>
      <c r="K25" s="196">
        <v>75267</v>
      </c>
      <c r="L25" s="196">
        <v>91088</v>
      </c>
      <c r="M25" s="196">
        <v>89127</v>
      </c>
      <c r="N25" s="196">
        <v>92875</v>
      </c>
      <c r="O25" s="196">
        <v>100917</v>
      </c>
      <c r="P25" s="196">
        <v>97323</v>
      </c>
      <c r="Q25" s="196">
        <v>90071</v>
      </c>
      <c r="R25" s="196">
        <v>93547</v>
      </c>
      <c r="S25" s="196">
        <v>91297</v>
      </c>
      <c r="T25" s="196">
        <v>91282</v>
      </c>
      <c r="U25" s="196">
        <v>95494</v>
      </c>
      <c r="V25" s="196">
        <v>112270</v>
      </c>
      <c r="W25" s="196">
        <v>101615</v>
      </c>
      <c r="X25" s="196">
        <v>111469</v>
      </c>
      <c r="Y25" s="196">
        <v>114448</v>
      </c>
      <c r="Z25" s="196">
        <v>137502</v>
      </c>
      <c r="AA25" s="173">
        <v>149671</v>
      </c>
      <c r="AB25" s="173">
        <v>182658</v>
      </c>
      <c r="AC25" s="173">
        <v>173094</v>
      </c>
      <c r="AD25" s="10" t="s">
        <v>19</v>
      </c>
    </row>
    <row r="26" spans="2:30" ht="11.25" customHeight="1" x14ac:dyDescent="0.25">
      <c r="B26" s="7" t="s">
        <v>100</v>
      </c>
      <c r="C26" s="195" t="s">
        <v>6</v>
      </c>
      <c r="D26" s="196">
        <v>182647</v>
      </c>
      <c r="E26" s="196">
        <v>190468</v>
      </c>
      <c r="F26" s="196">
        <v>150489</v>
      </c>
      <c r="G26" s="196">
        <v>175100</v>
      </c>
      <c r="H26" s="196">
        <v>124000</v>
      </c>
      <c r="I26" s="196">
        <v>122340</v>
      </c>
      <c r="J26" s="196">
        <v>122000</v>
      </c>
      <c r="K26" s="196">
        <v>122000</v>
      </c>
      <c r="L26" s="196">
        <v>123706</v>
      </c>
      <c r="M26" s="196">
        <v>114292</v>
      </c>
      <c r="N26" s="196">
        <v>90099</v>
      </c>
      <c r="O26" s="196">
        <v>104622</v>
      </c>
      <c r="P26" s="196">
        <v>120077</v>
      </c>
      <c r="Q26" s="196">
        <v>102312</v>
      </c>
      <c r="R26" s="196">
        <v>79170</v>
      </c>
      <c r="S26" s="196">
        <v>60728</v>
      </c>
      <c r="T26" s="196">
        <v>67863</v>
      </c>
      <c r="U26" s="196">
        <v>78353</v>
      </c>
      <c r="V26" s="196">
        <v>70364</v>
      </c>
      <c r="W26" s="196">
        <v>52597</v>
      </c>
      <c r="X26" s="196">
        <v>72383</v>
      </c>
      <c r="Y26" s="196">
        <v>71012</v>
      </c>
      <c r="Z26" s="196">
        <v>70542</v>
      </c>
      <c r="AA26" s="173">
        <v>64842</v>
      </c>
      <c r="AB26" s="173">
        <v>75452</v>
      </c>
      <c r="AC26" s="173">
        <v>105956</v>
      </c>
      <c r="AD26" s="10" t="s">
        <v>19</v>
      </c>
    </row>
    <row r="27" spans="2:30" ht="11.1" customHeight="1" x14ac:dyDescent="0.25">
      <c r="B27" s="7" t="s">
        <v>41</v>
      </c>
      <c r="C27" s="195" t="s">
        <v>6</v>
      </c>
      <c r="D27" s="196">
        <v>856</v>
      </c>
      <c r="E27" s="196">
        <v>2000</v>
      </c>
      <c r="F27" s="196">
        <v>2909</v>
      </c>
      <c r="G27" s="196">
        <v>2532</v>
      </c>
      <c r="H27" s="196">
        <v>4288</v>
      </c>
      <c r="I27" s="196">
        <v>8341</v>
      </c>
      <c r="J27" s="196">
        <v>13154</v>
      </c>
      <c r="K27" s="196">
        <v>17608</v>
      </c>
      <c r="L27" s="196">
        <v>17489</v>
      </c>
      <c r="M27" s="196">
        <v>16919</v>
      </c>
      <c r="N27" s="196">
        <v>23056</v>
      </c>
      <c r="O27" s="196">
        <v>15440</v>
      </c>
      <c r="P27" s="196">
        <v>16389</v>
      </c>
      <c r="Q27" s="196">
        <v>19192</v>
      </c>
      <c r="R27" s="196">
        <v>23685</v>
      </c>
      <c r="S27" s="196">
        <v>25714</v>
      </c>
      <c r="T27" s="196">
        <v>28698</v>
      </c>
      <c r="U27" s="196">
        <v>28659</v>
      </c>
      <c r="V27" s="196">
        <v>34376</v>
      </c>
      <c r="W27" s="196">
        <v>43594</v>
      </c>
      <c r="X27" s="196">
        <v>21120</v>
      </c>
      <c r="Y27" s="196">
        <v>22002</v>
      </c>
      <c r="Z27" s="196">
        <v>27777</v>
      </c>
      <c r="AA27" s="173">
        <v>26285</v>
      </c>
      <c r="AB27" s="173">
        <v>20999</v>
      </c>
      <c r="AC27" s="173">
        <v>21562</v>
      </c>
      <c r="AD27" s="10" t="s">
        <v>19</v>
      </c>
    </row>
    <row r="28" spans="2:30" ht="11.1" customHeight="1" x14ac:dyDescent="0.25">
      <c r="B28" s="7" t="s">
        <v>57</v>
      </c>
      <c r="C28" s="195" t="s">
        <v>6</v>
      </c>
      <c r="D28" s="196">
        <v>5575</v>
      </c>
      <c r="E28" s="196">
        <v>5268</v>
      </c>
      <c r="F28" s="196">
        <v>6124</v>
      </c>
      <c r="G28" s="196">
        <v>7099</v>
      </c>
      <c r="H28" s="196">
        <v>7531</v>
      </c>
      <c r="I28" s="196">
        <v>7109</v>
      </c>
      <c r="J28" s="196">
        <v>7639</v>
      </c>
      <c r="K28" s="196">
        <v>8886</v>
      </c>
      <c r="L28" s="196">
        <v>8602</v>
      </c>
      <c r="M28" s="196">
        <v>8419</v>
      </c>
      <c r="N28" s="196">
        <v>8859</v>
      </c>
      <c r="O28" s="196">
        <v>10107</v>
      </c>
      <c r="P28" s="196">
        <v>9296</v>
      </c>
      <c r="Q28" s="196">
        <v>10134</v>
      </c>
      <c r="R28" s="196">
        <v>10442</v>
      </c>
      <c r="S28" s="196">
        <v>9614</v>
      </c>
      <c r="T28" s="196">
        <v>11714</v>
      </c>
      <c r="U28" s="196">
        <v>10735</v>
      </c>
      <c r="V28" s="196">
        <v>11810</v>
      </c>
      <c r="W28" s="196">
        <v>11577</v>
      </c>
      <c r="X28" s="196">
        <v>7197</v>
      </c>
      <c r="Y28" s="196">
        <v>6043</v>
      </c>
      <c r="Z28" s="196">
        <v>5612</v>
      </c>
      <c r="AA28" s="173">
        <v>4984</v>
      </c>
      <c r="AB28" s="173">
        <v>5452</v>
      </c>
      <c r="AC28" s="173">
        <v>4832</v>
      </c>
      <c r="AD28" s="10" t="s">
        <v>19</v>
      </c>
    </row>
    <row r="29" spans="2:30" ht="12" customHeight="1" x14ac:dyDescent="0.25">
      <c r="B29" s="7" t="s">
        <v>70</v>
      </c>
      <c r="C29" s="195" t="s">
        <v>6</v>
      </c>
      <c r="D29" s="197">
        <v>0</v>
      </c>
      <c r="E29" s="196">
        <v>0</v>
      </c>
      <c r="F29" s="196">
        <v>0</v>
      </c>
      <c r="G29" s="196">
        <v>2</v>
      </c>
      <c r="H29" s="196">
        <v>0</v>
      </c>
      <c r="I29" s="196">
        <v>0</v>
      </c>
      <c r="J29" s="196">
        <v>0</v>
      </c>
      <c r="K29" s="196">
        <v>0</v>
      </c>
      <c r="L29" s="196">
        <v>862</v>
      </c>
      <c r="M29" s="196">
        <v>0</v>
      </c>
      <c r="N29" s="196">
        <v>0</v>
      </c>
      <c r="O29" s="196">
        <v>0</v>
      </c>
      <c r="P29" s="196">
        <v>0</v>
      </c>
      <c r="Q29" s="196">
        <v>0</v>
      </c>
      <c r="R29" s="196">
        <v>0</v>
      </c>
      <c r="S29" s="196">
        <v>0</v>
      </c>
      <c r="T29" s="196">
        <v>0</v>
      </c>
      <c r="U29" s="196">
        <v>0</v>
      </c>
      <c r="V29" s="196">
        <v>0</v>
      </c>
      <c r="W29" s="196">
        <v>0</v>
      </c>
      <c r="X29" s="196">
        <v>26575</v>
      </c>
      <c r="Y29" s="196">
        <v>21642</v>
      </c>
      <c r="Z29" s="196">
        <v>28769</v>
      </c>
      <c r="AA29" s="173">
        <v>24872</v>
      </c>
      <c r="AB29" s="173">
        <v>43308</v>
      </c>
      <c r="AC29" s="173">
        <v>42281</v>
      </c>
      <c r="AD29" s="10" t="s">
        <v>19</v>
      </c>
    </row>
    <row r="30" spans="2:30" ht="12" customHeight="1" x14ac:dyDescent="0.25">
      <c r="B30" s="199" t="s">
        <v>13</v>
      </c>
      <c r="C30" s="200" t="s">
        <v>6</v>
      </c>
      <c r="D30" s="196">
        <v>234248</v>
      </c>
      <c r="E30" s="196">
        <v>251064</v>
      </c>
      <c r="F30" s="196">
        <v>214602</v>
      </c>
      <c r="G30" s="196">
        <v>241660</v>
      </c>
      <c r="H30" s="196">
        <v>197889</v>
      </c>
      <c r="I30" s="196">
        <v>214980</v>
      </c>
      <c r="J30" s="196">
        <v>216878</v>
      </c>
      <c r="K30" s="196">
        <v>223761</v>
      </c>
      <c r="L30" s="196">
        <v>241747</v>
      </c>
      <c r="M30" s="196">
        <v>228757</v>
      </c>
      <c r="N30" s="196">
        <v>214888</v>
      </c>
      <c r="O30" s="196">
        <v>231087</v>
      </c>
      <c r="P30" s="196">
        <v>243084</v>
      </c>
      <c r="Q30" s="196">
        <v>221709</v>
      </c>
      <c r="R30" s="196">
        <v>206844</v>
      </c>
      <c r="S30" s="196">
        <v>187353</v>
      </c>
      <c r="T30" s="196">
        <v>199557</v>
      </c>
      <c r="U30" s="196">
        <v>213241</v>
      </c>
      <c r="V30" s="196">
        <v>228820</v>
      </c>
      <c r="W30" s="196">
        <v>209383</v>
      </c>
      <c r="X30" s="196">
        <v>238743</v>
      </c>
      <c r="Y30" s="196">
        <v>235147</v>
      </c>
      <c r="Z30" s="196">
        <v>270202</v>
      </c>
      <c r="AA30" s="173">
        <v>270654</v>
      </c>
      <c r="AB30" s="173">
        <v>327870</v>
      </c>
      <c r="AC30" s="173">
        <v>347725</v>
      </c>
      <c r="AD30" s="10" t="s">
        <v>19</v>
      </c>
    </row>
    <row r="31" spans="2:30" ht="12" customHeight="1" x14ac:dyDescent="0.25">
      <c r="B31" s="174" t="s">
        <v>329</v>
      </c>
      <c r="C31" s="201" t="s">
        <v>6</v>
      </c>
      <c r="D31" s="196">
        <v>58381</v>
      </c>
      <c r="E31" s="196">
        <v>58798</v>
      </c>
      <c r="F31" s="196">
        <v>40116</v>
      </c>
      <c r="G31" s="196">
        <v>11477</v>
      </c>
      <c r="H31" s="196">
        <v>27930</v>
      </c>
      <c r="I31" s="196">
        <v>31246</v>
      </c>
      <c r="J31" s="196">
        <v>49905</v>
      </c>
      <c r="K31" s="196">
        <v>51550</v>
      </c>
      <c r="L31" s="196">
        <v>53439</v>
      </c>
      <c r="M31" s="196">
        <v>67485</v>
      </c>
      <c r="N31" s="196">
        <v>64687</v>
      </c>
      <c r="O31" s="196">
        <v>50949</v>
      </c>
      <c r="P31" s="196">
        <v>56270</v>
      </c>
      <c r="Q31" s="196">
        <v>5380</v>
      </c>
      <c r="R31" s="196">
        <v>32937</v>
      </c>
      <c r="S31" s="196">
        <v>34918</v>
      </c>
      <c r="T31" s="196">
        <v>33206</v>
      </c>
      <c r="U31" s="196">
        <v>35233</v>
      </c>
      <c r="V31" s="196">
        <v>104457</v>
      </c>
      <c r="W31" s="196">
        <v>34957</v>
      </c>
      <c r="X31" s="196">
        <v>30089</v>
      </c>
      <c r="Y31" s="196">
        <v>35298</v>
      </c>
      <c r="Z31" s="196">
        <v>10995</v>
      </c>
      <c r="AA31" s="173">
        <v>120658</v>
      </c>
      <c r="AB31" s="173">
        <v>15891</v>
      </c>
      <c r="AC31" s="173">
        <v>15966</v>
      </c>
      <c r="AD31" s="10" t="s">
        <v>19</v>
      </c>
    </row>
    <row r="32" spans="2:30" ht="12" customHeight="1" thickBot="1" x14ac:dyDescent="0.3">
      <c r="B32" s="202" t="s">
        <v>330</v>
      </c>
      <c r="C32" s="203" t="s">
        <v>6</v>
      </c>
      <c r="D32" s="204">
        <v>605406</v>
      </c>
      <c r="E32" s="179">
        <v>684892</v>
      </c>
      <c r="F32" s="179">
        <v>706750</v>
      </c>
      <c r="G32" s="179">
        <v>731165</v>
      </c>
      <c r="H32" s="179">
        <v>708866</v>
      </c>
      <c r="I32" s="179">
        <v>724597</v>
      </c>
      <c r="J32" s="179">
        <v>634082</v>
      </c>
      <c r="K32" s="179">
        <v>742344</v>
      </c>
      <c r="L32" s="179">
        <v>806015</v>
      </c>
      <c r="M32" s="179">
        <v>869258</v>
      </c>
      <c r="N32" s="179">
        <v>866712</v>
      </c>
      <c r="O32" s="179">
        <v>877600</v>
      </c>
      <c r="P32" s="179">
        <v>947667</v>
      </c>
      <c r="Q32" s="179">
        <v>1039284</v>
      </c>
      <c r="R32" s="179">
        <v>1055754</v>
      </c>
      <c r="S32" s="179">
        <v>996818</v>
      </c>
      <c r="T32" s="179">
        <v>1181977</v>
      </c>
      <c r="U32" s="179">
        <v>1301518</v>
      </c>
      <c r="V32" s="179">
        <v>1346818</v>
      </c>
      <c r="W32" s="179">
        <v>1417192</v>
      </c>
      <c r="X32" s="179">
        <v>1449595</v>
      </c>
      <c r="Y32" s="179">
        <v>1586956</v>
      </c>
      <c r="Z32" s="179">
        <v>1725402</v>
      </c>
      <c r="AA32" s="179">
        <v>1968953</v>
      </c>
      <c r="AB32" s="179">
        <v>2263390</v>
      </c>
      <c r="AC32" s="179">
        <v>2159978</v>
      </c>
      <c r="AD32" s="298" t="s">
        <v>19</v>
      </c>
    </row>
    <row r="33" spans="2:30" ht="12" customHeight="1" thickTop="1" x14ac:dyDescent="0.25">
      <c r="B33" s="346" t="s">
        <v>59</v>
      </c>
      <c r="C33" s="346"/>
      <c r="D33" s="346"/>
      <c r="E33" s="346"/>
      <c r="F33" s="346"/>
      <c r="G33" s="346"/>
      <c r="H33" s="346"/>
      <c r="I33" s="346"/>
      <c r="J33" s="346"/>
      <c r="K33" s="346"/>
      <c r="L33" s="346"/>
      <c r="M33" s="346"/>
      <c r="N33" s="346"/>
      <c r="O33" s="346"/>
      <c r="P33" s="346"/>
      <c r="Q33" s="346"/>
      <c r="R33" s="346"/>
      <c r="S33" s="346"/>
      <c r="T33" s="346"/>
      <c r="U33" s="346"/>
      <c r="V33" s="346"/>
      <c r="W33" s="346"/>
      <c r="X33" s="346"/>
      <c r="Y33" s="346"/>
      <c r="Z33" s="346"/>
      <c r="AA33" s="174"/>
      <c r="AB33" s="174"/>
      <c r="AC33" s="174"/>
      <c r="AD33" s="174"/>
    </row>
    <row r="34" spans="2:30" ht="12" customHeight="1" x14ac:dyDescent="0.25">
      <c r="B34" s="340" t="s">
        <v>71</v>
      </c>
      <c r="C34" s="340"/>
      <c r="D34" s="340"/>
      <c r="E34" s="340"/>
      <c r="F34" s="340"/>
      <c r="G34" s="340"/>
      <c r="H34" s="340"/>
      <c r="I34" s="340"/>
      <c r="J34" s="340"/>
      <c r="K34" s="340"/>
      <c r="L34" s="340"/>
      <c r="M34" s="340"/>
      <c r="N34" s="340"/>
      <c r="O34" s="340"/>
      <c r="P34" s="340"/>
      <c r="Q34" s="340"/>
      <c r="R34" s="340"/>
      <c r="S34" s="340"/>
      <c r="T34" s="340"/>
      <c r="U34" s="340"/>
      <c r="V34" s="340"/>
      <c r="W34" s="340"/>
      <c r="X34" s="340"/>
      <c r="Y34" s="340"/>
      <c r="Z34" s="341"/>
      <c r="AA34" s="88"/>
      <c r="AB34" s="88"/>
      <c r="AC34" s="88"/>
      <c r="AD34" s="88"/>
    </row>
    <row r="35" spans="2:30" ht="11.1" customHeight="1" x14ac:dyDescent="0.25">
      <c r="B35" s="7" t="s">
        <v>332</v>
      </c>
      <c r="C35" s="205" t="s">
        <v>35</v>
      </c>
      <c r="D35" s="196">
        <v>10841</v>
      </c>
      <c r="E35" s="196">
        <v>12794</v>
      </c>
      <c r="F35" s="196">
        <v>14673</v>
      </c>
      <c r="G35" s="196">
        <v>16220</v>
      </c>
      <c r="H35" s="196">
        <v>15426</v>
      </c>
      <c r="I35" s="196">
        <v>16686</v>
      </c>
      <c r="J35" s="196">
        <v>17063</v>
      </c>
      <c r="K35" s="196">
        <v>20976</v>
      </c>
      <c r="L35" s="196">
        <v>25603</v>
      </c>
      <c r="M35" s="196">
        <v>25867</v>
      </c>
      <c r="N35" s="196">
        <v>30048</v>
      </c>
      <c r="O35" s="196">
        <v>31964</v>
      </c>
      <c r="P35" s="196">
        <v>36841</v>
      </c>
      <c r="Q35" s="196">
        <v>44151</v>
      </c>
      <c r="R35" s="196">
        <v>43027</v>
      </c>
      <c r="S35" s="196">
        <v>41846</v>
      </c>
      <c r="T35" s="196">
        <v>48614</v>
      </c>
      <c r="U35" s="196">
        <v>56319</v>
      </c>
      <c r="V35" s="196">
        <v>52800</v>
      </c>
      <c r="W35" s="196">
        <v>61413</v>
      </c>
      <c r="X35" s="196">
        <v>58351</v>
      </c>
      <c r="Y35" s="196">
        <v>67115</v>
      </c>
      <c r="Z35" s="196">
        <v>84341</v>
      </c>
      <c r="AA35" s="173">
        <v>79271</v>
      </c>
      <c r="AB35" s="173">
        <v>75452</v>
      </c>
      <c r="AC35" s="173">
        <v>71086</v>
      </c>
      <c r="AD35" s="10" t="s">
        <v>19</v>
      </c>
    </row>
    <row r="36" spans="2:30" ht="11.1" customHeight="1" x14ac:dyDescent="0.25">
      <c r="B36" s="7" t="s">
        <v>72</v>
      </c>
      <c r="C36" s="205" t="s">
        <v>35</v>
      </c>
      <c r="D36" s="196">
        <v>6365</v>
      </c>
      <c r="E36" s="196">
        <v>7780</v>
      </c>
      <c r="F36" s="196">
        <v>9051</v>
      </c>
      <c r="G36" s="196">
        <v>9245</v>
      </c>
      <c r="H36" s="196">
        <v>7763</v>
      </c>
      <c r="I36" s="196">
        <v>9558</v>
      </c>
      <c r="J36" s="196">
        <v>7458</v>
      </c>
      <c r="K36" s="196">
        <v>8806</v>
      </c>
      <c r="L36" s="196">
        <v>7486</v>
      </c>
      <c r="M36" s="196">
        <v>9757</v>
      </c>
      <c r="N36" s="196">
        <v>8786</v>
      </c>
      <c r="O36" s="196">
        <v>7284</v>
      </c>
      <c r="P36" s="196">
        <v>5800</v>
      </c>
      <c r="Q36" s="196">
        <v>7087</v>
      </c>
      <c r="R36" s="196">
        <v>7486</v>
      </c>
      <c r="S36" s="196">
        <v>7544</v>
      </c>
      <c r="T36" s="196">
        <v>8418</v>
      </c>
      <c r="U36" s="196">
        <v>8895</v>
      </c>
      <c r="V36" s="196">
        <v>8100</v>
      </c>
      <c r="W36" s="196">
        <v>8000</v>
      </c>
      <c r="X36" s="196">
        <v>8252</v>
      </c>
      <c r="Y36" s="196">
        <v>8345</v>
      </c>
      <c r="Z36" s="196">
        <v>7600</v>
      </c>
      <c r="AA36" s="173">
        <v>8322</v>
      </c>
      <c r="AB36" s="173">
        <v>8000</v>
      </c>
      <c r="AC36" s="173">
        <v>7261</v>
      </c>
      <c r="AD36" s="10" t="s">
        <v>19</v>
      </c>
    </row>
    <row r="37" spans="2:30" ht="11.1" customHeight="1" x14ac:dyDescent="0.25">
      <c r="B37" s="7" t="s">
        <v>326</v>
      </c>
      <c r="C37" s="205" t="s">
        <v>35</v>
      </c>
      <c r="D37" s="196">
        <v>195</v>
      </c>
      <c r="E37" s="196">
        <v>270</v>
      </c>
      <c r="F37" s="196">
        <v>285</v>
      </c>
      <c r="G37" s="196">
        <v>322</v>
      </c>
      <c r="H37" s="196">
        <v>345</v>
      </c>
      <c r="I37" s="196">
        <v>295</v>
      </c>
      <c r="J37" s="196">
        <v>332</v>
      </c>
      <c r="K37" s="196">
        <v>383</v>
      </c>
      <c r="L37" s="196">
        <v>349</v>
      </c>
      <c r="M37" s="196">
        <v>276</v>
      </c>
      <c r="N37" s="196">
        <v>297</v>
      </c>
      <c r="O37" s="196">
        <v>321</v>
      </c>
      <c r="P37" s="196">
        <v>372</v>
      </c>
      <c r="Q37" s="196">
        <v>279</v>
      </c>
      <c r="R37" s="196">
        <v>256</v>
      </c>
      <c r="S37" s="196">
        <v>310</v>
      </c>
      <c r="T37" s="196">
        <v>314</v>
      </c>
      <c r="U37" s="196">
        <v>382</v>
      </c>
      <c r="V37" s="196">
        <v>339</v>
      </c>
      <c r="W37" s="196">
        <v>343</v>
      </c>
      <c r="X37" s="196">
        <v>195</v>
      </c>
      <c r="Y37" s="196">
        <v>184</v>
      </c>
      <c r="Z37" s="196">
        <v>149</v>
      </c>
      <c r="AA37" s="173">
        <v>143</v>
      </c>
      <c r="AB37" s="173">
        <v>81</v>
      </c>
      <c r="AC37" s="173">
        <v>77</v>
      </c>
      <c r="AD37" s="10" t="s">
        <v>19</v>
      </c>
    </row>
    <row r="38" spans="2:30" ht="11.1" customHeight="1" x14ac:dyDescent="0.25">
      <c r="B38" s="7" t="s">
        <v>75</v>
      </c>
      <c r="C38" s="205" t="s">
        <v>35</v>
      </c>
      <c r="D38" s="196">
        <v>775</v>
      </c>
      <c r="E38" s="196">
        <v>822</v>
      </c>
      <c r="F38" s="196">
        <v>898</v>
      </c>
      <c r="G38" s="196">
        <v>1150</v>
      </c>
      <c r="H38" s="196">
        <v>1750</v>
      </c>
      <c r="I38" s="196">
        <v>1517</v>
      </c>
      <c r="J38" s="196">
        <v>1775</v>
      </c>
      <c r="K38" s="196">
        <v>2268</v>
      </c>
      <c r="L38" s="196">
        <v>2632</v>
      </c>
      <c r="M38" s="196">
        <v>2996</v>
      </c>
      <c r="N38" s="196">
        <v>2966</v>
      </c>
      <c r="O38" s="196">
        <v>3628</v>
      </c>
      <c r="P38" s="196">
        <v>4352</v>
      </c>
      <c r="Q38" s="196">
        <v>4473</v>
      </c>
      <c r="R38" s="196">
        <v>3560</v>
      </c>
      <c r="S38" s="196">
        <v>3440</v>
      </c>
      <c r="T38" s="196">
        <v>3772</v>
      </c>
      <c r="U38" s="196">
        <v>3542</v>
      </c>
      <c r="V38" s="196">
        <v>4114</v>
      </c>
      <c r="W38" s="196">
        <v>5668</v>
      </c>
      <c r="X38" s="196">
        <v>3365</v>
      </c>
      <c r="Y38" s="196">
        <v>3508</v>
      </c>
      <c r="Z38" s="196">
        <v>7815</v>
      </c>
      <c r="AA38" s="173">
        <v>4741</v>
      </c>
      <c r="AB38" s="173">
        <v>9399</v>
      </c>
      <c r="AC38" s="173">
        <v>5185</v>
      </c>
      <c r="AD38" s="10" t="s">
        <v>19</v>
      </c>
    </row>
    <row r="39" spans="2:30" ht="11.1" customHeight="1" x14ac:dyDescent="0.25">
      <c r="B39" s="7" t="s">
        <v>333</v>
      </c>
      <c r="C39" s="205" t="s">
        <v>35</v>
      </c>
      <c r="D39" s="196">
        <v>571</v>
      </c>
      <c r="E39" s="196">
        <v>446</v>
      </c>
      <c r="F39" s="196">
        <v>673</v>
      </c>
      <c r="G39" s="196">
        <v>513</v>
      </c>
      <c r="H39" s="196">
        <v>1563</v>
      </c>
      <c r="I39" s="196">
        <v>1525</v>
      </c>
      <c r="J39" s="196">
        <v>633</v>
      </c>
      <c r="K39" s="196">
        <v>285</v>
      </c>
      <c r="L39" s="196">
        <v>323</v>
      </c>
      <c r="M39" s="196">
        <v>164</v>
      </c>
      <c r="N39" s="196">
        <v>610</v>
      </c>
      <c r="O39" s="196">
        <v>659</v>
      </c>
      <c r="P39" s="196">
        <v>451</v>
      </c>
      <c r="Q39" s="196">
        <v>4614</v>
      </c>
      <c r="R39" s="196">
        <v>4826</v>
      </c>
      <c r="S39" s="196">
        <v>440</v>
      </c>
      <c r="T39" s="196">
        <v>5844</v>
      </c>
      <c r="U39" s="196">
        <v>7227</v>
      </c>
      <c r="V39" s="196">
        <v>532</v>
      </c>
      <c r="W39" s="196">
        <v>4068</v>
      </c>
      <c r="X39" s="196">
        <v>4102</v>
      </c>
      <c r="Y39" s="196">
        <v>4066</v>
      </c>
      <c r="Z39" s="196">
        <v>5571</v>
      </c>
      <c r="AA39" s="173">
        <v>4204</v>
      </c>
      <c r="AB39" s="173">
        <v>4586</v>
      </c>
      <c r="AC39" s="173">
        <v>5263</v>
      </c>
      <c r="AD39" s="10" t="s">
        <v>19</v>
      </c>
    </row>
    <row r="40" spans="2:30" ht="12" customHeight="1" x14ac:dyDescent="0.25">
      <c r="B40" s="7" t="s">
        <v>13</v>
      </c>
      <c r="C40" s="205" t="s">
        <v>35</v>
      </c>
      <c r="D40" s="196">
        <v>18747</v>
      </c>
      <c r="E40" s="196">
        <v>22113</v>
      </c>
      <c r="F40" s="196">
        <v>25580</v>
      </c>
      <c r="G40" s="196">
        <v>27451</v>
      </c>
      <c r="H40" s="196">
        <v>26847</v>
      </c>
      <c r="I40" s="196">
        <v>29581</v>
      </c>
      <c r="J40" s="196">
        <v>27261</v>
      </c>
      <c r="K40" s="196">
        <v>32716</v>
      </c>
      <c r="L40" s="196">
        <v>36393</v>
      </c>
      <c r="M40" s="196">
        <v>39060</v>
      </c>
      <c r="N40" s="196">
        <v>42706</v>
      </c>
      <c r="O40" s="196">
        <v>43856</v>
      </c>
      <c r="P40" s="196">
        <v>47816</v>
      </c>
      <c r="Q40" s="196">
        <v>60604</v>
      </c>
      <c r="R40" s="196">
        <v>59155</v>
      </c>
      <c r="S40" s="196">
        <v>53581</v>
      </c>
      <c r="T40" s="196">
        <v>66961</v>
      </c>
      <c r="U40" s="196">
        <v>76365</v>
      </c>
      <c r="V40" s="196">
        <v>65884</v>
      </c>
      <c r="W40" s="196">
        <v>79493</v>
      </c>
      <c r="X40" s="196">
        <v>74265</v>
      </c>
      <c r="Y40" s="196">
        <v>83217</v>
      </c>
      <c r="Z40" s="196">
        <v>105476</v>
      </c>
      <c r="AA40" s="173">
        <v>96681</v>
      </c>
      <c r="AB40" s="173">
        <v>97518</v>
      </c>
      <c r="AC40" s="173">
        <v>88872</v>
      </c>
      <c r="AD40" s="10" t="s">
        <v>19</v>
      </c>
    </row>
    <row r="41" spans="2:30" ht="11.1" customHeight="1" x14ac:dyDescent="0.25">
      <c r="B41" s="74" t="s">
        <v>36</v>
      </c>
      <c r="C41" s="74"/>
      <c r="D41" s="196"/>
      <c r="E41" s="196"/>
      <c r="F41" s="196"/>
      <c r="G41" s="196"/>
      <c r="H41" s="196"/>
      <c r="I41" s="196"/>
      <c r="J41" s="196"/>
      <c r="K41" s="196"/>
      <c r="L41" s="196"/>
      <c r="M41" s="196"/>
      <c r="N41" s="196"/>
      <c r="O41" s="196"/>
      <c r="P41" s="196"/>
      <c r="Q41" s="196"/>
      <c r="R41" s="196"/>
      <c r="S41" s="196"/>
      <c r="T41" s="196"/>
      <c r="U41" s="196"/>
      <c r="V41" s="196"/>
      <c r="W41" s="196"/>
      <c r="X41" s="196"/>
      <c r="Y41" s="196"/>
      <c r="Z41" s="196"/>
      <c r="AA41" s="173"/>
      <c r="AB41" s="173"/>
      <c r="AC41" s="173"/>
      <c r="AD41" s="173"/>
    </row>
    <row r="42" spans="2:30" ht="11.1" customHeight="1" x14ac:dyDescent="0.25">
      <c r="B42" s="7" t="s">
        <v>87</v>
      </c>
      <c r="C42" s="205" t="s">
        <v>35</v>
      </c>
      <c r="D42" s="196">
        <v>2319</v>
      </c>
      <c r="E42" s="196">
        <v>2909</v>
      </c>
      <c r="F42" s="196">
        <v>2819</v>
      </c>
      <c r="G42" s="196">
        <v>3757</v>
      </c>
      <c r="H42" s="196">
        <v>3365</v>
      </c>
      <c r="I42" s="196">
        <v>3723</v>
      </c>
      <c r="J42" s="196">
        <v>3258</v>
      </c>
      <c r="K42" s="196">
        <v>3541</v>
      </c>
      <c r="L42" s="196">
        <v>3284</v>
      </c>
      <c r="M42" s="196">
        <v>3088</v>
      </c>
      <c r="N42" s="196">
        <v>3985</v>
      </c>
      <c r="O42" s="196">
        <v>5280</v>
      </c>
      <c r="P42" s="196">
        <v>3970</v>
      </c>
      <c r="Q42" s="196">
        <v>4021</v>
      </c>
      <c r="R42" s="196">
        <v>3742</v>
      </c>
      <c r="S42" s="196">
        <v>3774</v>
      </c>
      <c r="T42" s="196">
        <v>5282</v>
      </c>
      <c r="U42" s="196">
        <v>4628</v>
      </c>
      <c r="V42" s="196">
        <v>4624</v>
      </c>
      <c r="W42" s="196">
        <v>4205</v>
      </c>
      <c r="X42" s="196">
        <v>4794</v>
      </c>
      <c r="Y42" s="196">
        <v>6740</v>
      </c>
      <c r="Z42" s="196">
        <v>8727</v>
      </c>
      <c r="AA42" s="173">
        <v>9450</v>
      </c>
      <c r="AB42" s="173">
        <v>10038</v>
      </c>
      <c r="AC42" s="173">
        <v>9603</v>
      </c>
      <c r="AD42" s="10" t="s">
        <v>19</v>
      </c>
    </row>
    <row r="43" spans="2:30" ht="11.25" customHeight="1" x14ac:dyDescent="0.25">
      <c r="B43" s="7" t="s">
        <v>327</v>
      </c>
      <c r="C43" s="205" t="s">
        <v>35</v>
      </c>
      <c r="D43" s="196">
        <v>246</v>
      </c>
      <c r="E43" s="196">
        <v>284</v>
      </c>
      <c r="F43" s="196">
        <v>276</v>
      </c>
      <c r="G43" s="196">
        <v>172</v>
      </c>
      <c r="H43" s="196">
        <v>121</v>
      </c>
      <c r="I43" s="196">
        <v>114</v>
      </c>
      <c r="J43" s="196">
        <v>120</v>
      </c>
      <c r="K43" s="196">
        <v>91</v>
      </c>
      <c r="L43" s="196">
        <v>116</v>
      </c>
      <c r="M43" s="196">
        <v>84</v>
      </c>
      <c r="N43" s="196">
        <v>60</v>
      </c>
      <c r="O43" s="196">
        <v>59</v>
      </c>
      <c r="P43" s="196">
        <v>42</v>
      </c>
      <c r="Q43" s="196">
        <v>40</v>
      </c>
      <c r="R43" s="196">
        <v>37</v>
      </c>
      <c r="S43" s="196">
        <v>34</v>
      </c>
      <c r="T43" s="196">
        <v>34</v>
      </c>
      <c r="U43" s="196">
        <v>33</v>
      </c>
      <c r="V43" s="196">
        <v>29</v>
      </c>
      <c r="W43" s="196">
        <v>51</v>
      </c>
      <c r="X43" s="196">
        <v>18</v>
      </c>
      <c r="Y43" s="196">
        <v>14</v>
      </c>
      <c r="Z43" s="196">
        <v>4</v>
      </c>
      <c r="AA43" s="173">
        <v>21</v>
      </c>
      <c r="AB43" s="173">
        <v>16</v>
      </c>
      <c r="AC43" s="173">
        <v>10</v>
      </c>
      <c r="AD43" s="10" t="s">
        <v>19</v>
      </c>
    </row>
    <row r="44" spans="2:30" ht="11.1" customHeight="1" x14ac:dyDescent="0.25">
      <c r="B44" s="7" t="s">
        <v>334</v>
      </c>
      <c r="C44" s="205" t="s">
        <v>35</v>
      </c>
      <c r="D44" s="197">
        <v>49</v>
      </c>
      <c r="E44" s="197">
        <v>54</v>
      </c>
      <c r="F44" s="197">
        <v>60</v>
      </c>
      <c r="G44" s="197">
        <v>58</v>
      </c>
      <c r="H44" s="197">
        <v>68</v>
      </c>
      <c r="I44" s="197">
        <v>68</v>
      </c>
      <c r="J44" s="197">
        <v>77</v>
      </c>
      <c r="K44" s="196">
        <v>64</v>
      </c>
      <c r="L44" s="196">
        <v>88</v>
      </c>
      <c r="M44" s="196">
        <v>73</v>
      </c>
      <c r="N44" s="196">
        <v>76</v>
      </c>
      <c r="O44" s="196">
        <v>77</v>
      </c>
      <c r="P44" s="196">
        <v>88</v>
      </c>
      <c r="Q44" s="196">
        <v>62</v>
      </c>
      <c r="R44" s="196">
        <v>63</v>
      </c>
      <c r="S44" s="196">
        <v>60</v>
      </c>
      <c r="T44" s="196">
        <v>64</v>
      </c>
      <c r="U44" s="196">
        <v>56</v>
      </c>
      <c r="V44" s="196">
        <v>55</v>
      </c>
      <c r="W44" s="196">
        <v>66</v>
      </c>
      <c r="X44" s="196">
        <v>73</v>
      </c>
      <c r="Y44" s="196">
        <v>57</v>
      </c>
      <c r="Z44" s="196">
        <v>69</v>
      </c>
      <c r="AA44" s="173">
        <v>113</v>
      </c>
      <c r="AB44" s="173">
        <v>61</v>
      </c>
      <c r="AC44" s="173">
        <v>52</v>
      </c>
      <c r="AD44" s="10" t="s">
        <v>19</v>
      </c>
    </row>
    <row r="45" spans="2:30" ht="11.1" customHeight="1" x14ac:dyDescent="0.25">
      <c r="B45" s="7" t="s">
        <v>328</v>
      </c>
      <c r="C45" s="205" t="s">
        <v>35</v>
      </c>
      <c r="D45" s="197">
        <v>78</v>
      </c>
      <c r="E45" s="197">
        <v>71</v>
      </c>
      <c r="F45" s="197">
        <v>87</v>
      </c>
      <c r="G45" s="197">
        <v>75</v>
      </c>
      <c r="H45" s="197">
        <v>375</v>
      </c>
      <c r="I45" s="197">
        <v>91</v>
      </c>
      <c r="J45" s="197">
        <v>99</v>
      </c>
      <c r="K45" s="196">
        <v>105</v>
      </c>
      <c r="L45" s="196">
        <v>100</v>
      </c>
      <c r="M45" s="196">
        <v>67</v>
      </c>
      <c r="N45" s="196">
        <v>68</v>
      </c>
      <c r="O45" s="196">
        <v>57</v>
      </c>
      <c r="P45" s="196">
        <v>52</v>
      </c>
      <c r="Q45" s="196">
        <v>41</v>
      </c>
      <c r="R45" s="196">
        <v>41</v>
      </c>
      <c r="S45" s="196">
        <v>36</v>
      </c>
      <c r="T45" s="196">
        <v>45</v>
      </c>
      <c r="U45" s="196">
        <v>51</v>
      </c>
      <c r="V45" s="196">
        <v>65</v>
      </c>
      <c r="W45" s="196">
        <v>49</v>
      </c>
      <c r="X45" s="196">
        <v>45</v>
      </c>
      <c r="Y45" s="196">
        <v>62</v>
      </c>
      <c r="Z45" s="196">
        <v>33</v>
      </c>
      <c r="AA45" s="173">
        <v>31</v>
      </c>
      <c r="AB45" s="173">
        <v>22</v>
      </c>
      <c r="AC45" s="173">
        <v>12</v>
      </c>
      <c r="AD45" s="10" t="s">
        <v>19</v>
      </c>
    </row>
    <row r="46" spans="2:30" ht="12" customHeight="1" x14ac:dyDescent="0.25">
      <c r="B46" s="7" t="s">
        <v>68</v>
      </c>
      <c r="C46" s="205" t="s">
        <v>35</v>
      </c>
      <c r="D46" s="197">
        <v>0</v>
      </c>
      <c r="E46" s="197">
        <v>0</v>
      </c>
      <c r="F46" s="197">
        <v>0</v>
      </c>
      <c r="G46" s="196">
        <v>0</v>
      </c>
      <c r="H46" s="197">
        <v>0</v>
      </c>
      <c r="I46" s="196">
        <v>0</v>
      </c>
      <c r="J46" s="196">
        <v>0</v>
      </c>
      <c r="K46" s="196">
        <v>0</v>
      </c>
      <c r="L46" s="196">
        <v>1</v>
      </c>
      <c r="M46" s="196">
        <v>0</v>
      </c>
      <c r="N46" s="196">
        <v>0</v>
      </c>
      <c r="O46" s="196">
        <v>0</v>
      </c>
      <c r="P46" s="196">
        <v>0</v>
      </c>
      <c r="Q46" s="196">
        <v>0</v>
      </c>
      <c r="R46" s="196">
        <v>0</v>
      </c>
      <c r="S46" s="196">
        <v>0</v>
      </c>
      <c r="T46" s="196">
        <v>0</v>
      </c>
      <c r="U46" s="196">
        <v>0</v>
      </c>
      <c r="V46" s="196">
        <v>0</v>
      </c>
      <c r="W46" s="196">
        <v>0</v>
      </c>
      <c r="X46" s="196">
        <v>3</v>
      </c>
      <c r="Y46" s="196">
        <v>3</v>
      </c>
      <c r="Z46" s="196">
        <v>0</v>
      </c>
      <c r="AA46" s="173">
        <v>0</v>
      </c>
      <c r="AB46" s="173">
        <v>0</v>
      </c>
      <c r="AC46" s="173">
        <v>3</v>
      </c>
      <c r="AD46" s="10" t="s">
        <v>19</v>
      </c>
    </row>
    <row r="47" spans="2:30" ht="12" customHeight="1" x14ac:dyDescent="0.25">
      <c r="B47" s="7" t="s">
        <v>13</v>
      </c>
      <c r="C47" s="205" t="s">
        <v>35</v>
      </c>
      <c r="D47" s="196">
        <v>2692</v>
      </c>
      <c r="E47" s="196">
        <v>3318</v>
      </c>
      <c r="F47" s="196">
        <v>3242</v>
      </c>
      <c r="G47" s="196">
        <v>4062</v>
      </c>
      <c r="H47" s="196">
        <v>3930</v>
      </c>
      <c r="I47" s="196">
        <v>3997</v>
      </c>
      <c r="J47" s="196">
        <v>3555</v>
      </c>
      <c r="K47" s="196">
        <v>3801</v>
      </c>
      <c r="L47" s="196">
        <v>3589</v>
      </c>
      <c r="M47" s="196">
        <v>3312</v>
      </c>
      <c r="N47" s="196">
        <v>4189</v>
      </c>
      <c r="O47" s="196">
        <v>5473</v>
      </c>
      <c r="P47" s="196">
        <v>4152</v>
      </c>
      <c r="Q47" s="196">
        <v>4165</v>
      </c>
      <c r="R47" s="196">
        <v>3883</v>
      </c>
      <c r="S47" s="196">
        <v>3903</v>
      </c>
      <c r="T47" s="196">
        <v>5426</v>
      </c>
      <c r="U47" s="196">
        <v>4769</v>
      </c>
      <c r="V47" s="196">
        <v>4774</v>
      </c>
      <c r="W47" s="196">
        <v>4371</v>
      </c>
      <c r="X47" s="196">
        <v>4933</v>
      </c>
      <c r="Y47" s="196">
        <v>6876</v>
      </c>
      <c r="Z47" s="196">
        <v>8832</v>
      </c>
      <c r="AA47" s="173">
        <v>9615</v>
      </c>
      <c r="AB47" s="173">
        <v>10136</v>
      </c>
      <c r="AC47" s="173">
        <v>9680</v>
      </c>
      <c r="AD47" s="10" t="s">
        <v>19</v>
      </c>
    </row>
    <row r="48" spans="2:30" ht="12" customHeight="1" x14ac:dyDescent="0.25">
      <c r="B48" s="342" t="s">
        <v>40</v>
      </c>
      <c r="C48" s="342"/>
      <c r="D48" s="342"/>
      <c r="E48" s="342"/>
      <c r="F48" s="342"/>
      <c r="G48" s="342"/>
      <c r="H48" s="342"/>
      <c r="I48" s="342"/>
      <c r="J48" s="342"/>
      <c r="K48" s="342"/>
      <c r="L48" s="342"/>
      <c r="M48" s="342"/>
      <c r="N48" s="342"/>
      <c r="O48" s="342"/>
      <c r="P48" s="342"/>
      <c r="Q48" s="342"/>
      <c r="R48" s="342"/>
      <c r="S48" s="342"/>
      <c r="T48" s="342"/>
      <c r="U48" s="342"/>
      <c r="V48" s="342"/>
      <c r="W48" s="342"/>
      <c r="X48" s="342"/>
      <c r="Y48" s="342"/>
      <c r="Z48" s="343"/>
      <c r="AA48" s="174"/>
      <c r="AB48" s="174"/>
      <c r="AC48" s="174"/>
      <c r="AD48" s="174"/>
    </row>
    <row r="49" spans="2:30" ht="11.25" customHeight="1" x14ac:dyDescent="0.25">
      <c r="B49" s="7" t="s">
        <v>314</v>
      </c>
      <c r="C49" s="205" t="s">
        <v>35</v>
      </c>
      <c r="D49" s="196">
        <v>8683</v>
      </c>
      <c r="E49" s="196">
        <v>9654</v>
      </c>
      <c r="F49" s="196">
        <v>9560</v>
      </c>
      <c r="G49" s="196">
        <v>10236</v>
      </c>
      <c r="H49" s="196">
        <v>10537</v>
      </c>
      <c r="I49" s="196">
        <v>12690</v>
      </c>
      <c r="J49" s="196">
        <v>11843</v>
      </c>
      <c r="K49" s="196">
        <v>12052</v>
      </c>
      <c r="L49" s="196">
        <v>15370</v>
      </c>
      <c r="M49" s="196">
        <v>13536</v>
      </c>
      <c r="N49" s="196">
        <v>14227</v>
      </c>
      <c r="O49" s="196">
        <v>14931</v>
      </c>
      <c r="P49" s="196">
        <v>13927</v>
      </c>
      <c r="Q49" s="196">
        <v>12559</v>
      </c>
      <c r="R49" s="196">
        <v>12382</v>
      </c>
      <c r="S49" s="196">
        <v>11552</v>
      </c>
      <c r="T49" s="196">
        <v>10970</v>
      </c>
      <c r="U49" s="196">
        <v>11345</v>
      </c>
      <c r="V49" s="196">
        <v>11932</v>
      </c>
      <c r="W49" s="196">
        <v>8824</v>
      </c>
      <c r="X49" s="196">
        <v>8849</v>
      </c>
      <c r="Y49" s="196">
        <v>9011</v>
      </c>
      <c r="Z49" s="196">
        <v>11175</v>
      </c>
      <c r="AA49" s="173">
        <v>11735</v>
      </c>
      <c r="AB49" s="173">
        <v>13151</v>
      </c>
      <c r="AC49" s="173">
        <v>12744</v>
      </c>
      <c r="AD49" s="10" t="s">
        <v>19</v>
      </c>
    </row>
    <row r="50" spans="2:30" ht="11.25" customHeight="1" x14ac:dyDescent="0.25">
      <c r="B50" s="7" t="s">
        <v>100</v>
      </c>
      <c r="C50" s="205" t="s">
        <v>35</v>
      </c>
      <c r="D50" s="43" t="s">
        <v>19</v>
      </c>
      <c r="E50" s="43" t="s">
        <v>19</v>
      </c>
      <c r="F50" s="43" t="s">
        <v>19</v>
      </c>
      <c r="G50" s="43" t="s">
        <v>19</v>
      </c>
      <c r="H50" s="43" t="s">
        <v>19</v>
      </c>
      <c r="I50" s="43" t="s">
        <v>19</v>
      </c>
      <c r="J50" s="43" t="s">
        <v>19</v>
      </c>
      <c r="K50" s="43" t="s">
        <v>19</v>
      </c>
      <c r="L50" s="43" t="s">
        <v>19</v>
      </c>
      <c r="M50" s="43" t="s">
        <v>19</v>
      </c>
      <c r="N50" s="43" t="s">
        <v>19</v>
      </c>
      <c r="O50" s="43" t="s">
        <v>19</v>
      </c>
      <c r="P50" s="43" t="s">
        <v>19</v>
      </c>
      <c r="Q50" s="43" t="s">
        <v>19</v>
      </c>
      <c r="R50" s="43" t="s">
        <v>19</v>
      </c>
      <c r="S50" s="43" t="s">
        <v>19</v>
      </c>
      <c r="T50" s="43" t="s">
        <v>19</v>
      </c>
      <c r="U50" s="43" t="s">
        <v>19</v>
      </c>
      <c r="V50" s="43" t="s">
        <v>19</v>
      </c>
      <c r="W50" s="43" t="s">
        <v>19</v>
      </c>
      <c r="X50" s="43" t="s">
        <v>19</v>
      </c>
      <c r="Y50" s="43" t="s">
        <v>19</v>
      </c>
      <c r="Z50" s="43" t="s">
        <v>19</v>
      </c>
      <c r="AA50" s="43" t="s">
        <v>19</v>
      </c>
      <c r="AB50" s="43" t="s">
        <v>19</v>
      </c>
      <c r="AC50" s="43" t="s">
        <v>19</v>
      </c>
      <c r="AD50" s="10" t="s">
        <v>19</v>
      </c>
    </row>
    <row r="51" spans="2:30" ht="11.1" customHeight="1" x14ac:dyDescent="0.25">
      <c r="B51" s="7" t="s">
        <v>41</v>
      </c>
      <c r="C51" s="205" t="s">
        <v>35</v>
      </c>
      <c r="D51" s="196">
        <v>21</v>
      </c>
      <c r="E51" s="196">
        <v>40</v>
      </c>
      <c r="F51" s="196">
        <v>58</v>
      </c>
      <c r="G51" s="196">
        <v>47</v>
      </c>
      <c r="H51" s="196">
        <v>86</v>
      </c>
      <c r="I51" s="196">
        <v>250</v>
      </c>
      <c r="J51" s="196">
        <v>390</v>
      </c>
      <c r="K51" s="196">
        <v>506</v>
      </c>
      <c r="L51" s="196">
        <v>468</v>
      </c>
      <c r="M51" s="196">
        <v>504</v>
      </c>
      <c r="N51" s="196">
        <v>681</v>
      </c>
      <c r="O51" s="196">
        <v>455</v>
      </c>
      <c r="P51" s="196">
        <v>491</v>
      </c>
      <c r="Q51" s="196">
        <v>604</v>
      </c>
      <c r="R51" s="196">
        <v>724</v>
      </c>
      <c r="S51" s="196">
        <v>825</v>
      </c>
      <c r="T51" s="196">
        <v>850</v>
      </c>
      <c r="U51" s="196">
        <v>757</v>
      </c>
      <c r="V51" s="196">
        <v>873</v>
      </c>
      <c r="W51" s="196">
        <v>1027</v>
      </c>
      <c r="X51" s="196">
        <v>520</v>
      </c>
      <c r="Y51" s="196">
        <v>549</v>
      </c>
      <c r="Z51" s="196">
        <v>750</v>
      </c>
      <c r="AA51" s="173">
        <v>689</v>
      </c>
      <c r="AB51" s="173">
        <v>627</v>
      </c>
      <c r="AC51" s="173">
        <v>577</v>
      </c>
      <c r="AD51" s="10" t="s">
        <v>19</v>
      </c>
    </row>
    <row r="52" spans="2:30" ht="11.1" customHeight="1" x14ac:dyDescent="0.25">
      <c r="B52" s="7" t="s">
        <v>57</v>
      </c>
      <c r="C52" s="205" t="s">
        <v>35</v>
      </c>
      <c r="D52" s="196">
        <v>1932</v>
      </c>
      <c r="E52" s="196">
        <v>2017</v>
      </c>
      <c r="F52" s="196">
        <v>2509</v>
      </c>
      <c r="G52" s="196">
        <v>2789</v>
      </c>
      <c r="H52" s="196">
        <v>2727</v>
      </c>
      <c r="I52" s="196">
        <v>2628</v>
      </c>
      <c r="J52" s="196">
        <v>2900</v>
      </c>
      <c r="K52" s="196">
        <v>3189</v>
      </c>
      <c r="L52" s="196">
        <v>3188</v>
      </c>
      <c r="M52" s="196">
        <v>3259</v>
      </c>
      <c r="N52" s="196">
        <v>3372</v>
      </c>
      <c r="O52" s="196">
        <v>3465</v>
      </c>
      <c r="P52" s="196">
        <v>3115</v>
      </c>
      <c r="Q52" s="196">
        <v>3672</v>
      </c>
      <c r="R52" s="196">
        <v>3679</v>
      </c>
      <c r="S52" s="196">
        <v>3237</v>
      </c>
      <c r="T52" s="196">
        <v>3678</v>
      </c>
      <c r="U52" s="196">
        <v>3625</v>
      </c>
      <c r="V52" s="196">
        <v>3811</v>
      </c>
      <c r="W52" s="196">
        <v>3781</v>
      </c>
      <c r="X52" s="196">
        <v>2711</v>
      </c>
      <c r="Y52" s="196">
        <v>2342</v>
      </c>
      <c r="Z52" s="196">
        <v>2326</v>
      </c>
      <c r="AA52" s="173">
        <v>2173</v>
      </c>
      <c r="AB52" s="173">
        <v>2341</v>
      </c>
      <c r="AC52" s="173">
        <v>2028</v>
      </c>
      <c r="AD52" s="10" t="s">
        <v>19</v>
      </c>
    </row>
    <row r="53" spans="2:30" ht="11.1" customHeight="1" x14ac:dyDescent="0.25">
      <c r="B53" s="7" t="s">
        <v>70</v>
      </c>
      <c r="C53" s="205" t="s">
        <v>35</v>
      </c>
      <c r="D53" s="196">
        <v>0</v>
      </c>
      <c r="E53" s="196">
        <v>0</v>
      </c>
      <c r="F53" s="196">
        <v>0</v>
      </c>
      <c r="G53" s="196">
        <v>0</v>
      </c>
      <c r="H53" s="196">
        <v>0</v>
      </c>
      <c r="I53" s="196">
        <v>0</v>
      </c>
      <c r="J53" s="196">
        <v>0</v>
      </c>
      <c r="K53" s="196">
        <v>0</v>
      </c>
      <c r="L53" s="196">
        <v>0</v>
      </c>
      <c r="M53" s="196">
        <v>0</v>
      </c>
      <c r="N53" s="196">
        <v>0</v>
      </c>
      <c r="O53" s="196">
        <v>0</v>
      </c>
      <c r="P53" s="196">
        <v>0</v>
      </c>
      <c r="Q53" s="196">
        <v>0</v>
      </c>
      <c r="R53" s="196">
        <v>0</v>
      </c>
      <c r="S53" s="196">
        <v>0</v>
      </c>
      <c r="T53" s="196">
        <v>0</v>
      </c>
      <c r="U53" s="196">
        <v>0</v>
      </c>
      <c r="V53" s="196">
        <v>0</v>
      </c>
      <c r="W53" s="196">
        <v>0</v>
      </c>
      <c r="X53" s="196">
        <v>1766</v>
      </c>
      <c r="Y53" s="196">
        <v>1573</v>
      </c>
      <c r="Z53" s="196">
        <v>2215</v>
      </c>
      <c r="AA53" s="173">
        <v>2353</v>
      </c>
      <c r="AB53" s="173">
        <v>3080</v>
      </c>
      <c r="AC53" s="173">
        <v>2966</v>
      </c>
      <c r="AD53" s="10" t="s">
        <v>19</v>
      </c>
    </row>
    <row r="54" spans="2:30" ht="12" customHeight="1" x14ac:dyDescent="0.25">
      <c r="B54" s="199" t="s">
        <v>13</v>
      </c>
      <c r="C54" s="205" t="s">
        <v>35</v>
      </c>
      <c r="D54" s="196">
        <v>10637</v>
      </c>
      <c r="E54" s="196">
        <v>11711</v>
      </c>
      <c r="F54" s="196">
        <v>12126</v>
      </c>
      <c r="G54" s="196">
        <v>13073</v>
      </c>
      <c r="H54" s="196">
        <v>13349</v>
      </c>
      <c r="I54" s="196">
        <v>15568</v>
      </c>
      <c r="J54" s="196">
        <v>15133</v>
      </c>
      <c r="K54" s="196">
        <v>15747</v>
      </c>
      <c r="L54" s="196">
        <v>19026</v>
      </c>
      <c r="M54" s="196">
        <v>17298</v>
      </c>
      <c r="N54" s="196">
        <v>18280</v>
      </c>
      <c r="O54" s="196">
        <v>18851</v>
      </c>
      <c r="P54" s="196">
        <v>17534</v>
      </c>
      <c r="Q54" s="196">
        <v>16836</v>
      </c>
      <c r="R54" s="196">
        <v>16785</v>
      </c>
      <c r="S54" s="196">
        <v>15615</v>
      </c>
      <c r="T54" s="196">
        <v>15498</v>
      </c>
      <c r="U54" s="196">
        <v>15728</v>
      </c>
      <c r="V54" s="196">
        <v>16617</v>
      </c>
      <c r="W54" s="196">
        <v>13632</v>
      </c>
      <c r="X54" s="196">
        <v>13846</v>
      </c>
      <c r="Y54" s="196">
        <v>13475</v>
      </c>
      <c r="Z54" s="196">
        <v>16465</v>
      </c>
      <c r="AA54" s="173">
        <v>16950</v>
      </c>
      <c r="AB54" s="173">
        <v>19199</v>
      </c>
      <c r="AC54" s="173">
        <v>18315</v>
      </c>
      <c r="AD54" s="10" t="s">
        <v>19</v>
      </c>
    </row>
    <row r="55" spans="2:30" ht="12" customHeight="1" x14ac:dyDescent="0.25">
      <c r="B55" s="174" t="s">
        <v>329</v>
      </c>
      <c r="C55" s="206" t="s">
        <v>35</v>
      </c>
      <c r="D55" s="196">
        <v>9</v>
      </c>
      <c r="E55" s="196">
        <v>72</v>
      </c>
      <c r="F55" s="196">
        <v>95</v>
      </c>
      <c r="G55" s="196">
        <v>166</v>
      </c>
      <c r="H55" s="196">
        <v>57</v>
      </c>
      <c r="I55" s="196">
        <v>0</v>
      </c>
      <c r="J55" s="196">
        <v>2065</v>
      </c>
      <c r="K55" s="196">
        <v>2273</v>
      </c>
      <c r="L55" s="196">
        <v>2137</v>
      </c>
      <c r="M55" s="196">
        <v>4363</v>
      </c>
      <c r="N55" s="196">
        <v>4947</v>
      </c>
      <c r="O55" s="196">
        <v>5649</v>
      </c>
      <c r="P55" s="196">
        <v>6774</v>
      </c>
      <c r="Q55" s="196">
        <v>228</v>
      </c>
      <c r="R55" s="196">
        <v>238</v>
      </c>
      <c r="S55" s="196">
        <v>1933</v>
      </c>
      <c r="T55" s="196">
        <v>1433</v>
      </c>
      <c r="U55" s="196">
        <v>360</v>
      </c>
      <c r="V55" s="196">
        <v>6543</v>
      </c>
      <c r="W55" s="196">
        <v>176</v>
      </c>
      <c r="X55" s="196">
        <v>97</v>
      </c>
      <c r="Y55" s="196">
        <v>2844</v>
      </c>
      <c r="Z55" s="196">
        <v>736</v>
      </c>
      <c r="AA55" s="173">
        <v>5474</v>
      </c>
      <c r="AB55" s="173">
        <v>701</v>
      </c>
      <c r="AC55" s="173">
        <v>674</v>
      </c>
      <c r="AD55" s="10" t="s">
        <v>19</v>
      </c>
    </row>
    <row r="56" spans="2:30" ht="12" customHeight="1" x14ac:dyDescent="0.25">
      <c r="B56" s="174" t="s">
        <v>331</v>
      </c>
      <c r="C56" s="207" t="s">
        <v>35</v>
      </c>
      <c r="D56" s="208">
        <v>32084</v>
      </c>
      <c r="E56" s="208">
        <v>37214</v>
      </c>
      <c r="F56" s="208">
        <v>41044</v>
      </c>
      <c r="G56" s="208">
        <v>44751</v>
      </c>
      <c r="H56" s="208">
        <v>44184</v>
      </c>
      <c r="I56" s="208">
        <v>49146</v>
      </c>
      <c r="J56" s="208">
        <v>48014</v>
      </c>
      <c r="K56" s="208">
        <v>54538</v>
      </c>
      <c r="L56" s="208">
        <v>61146</v>
      </c>
      <c r="M56" s="208">
        <v>64032</v>
      </c>
      <c r="N56" s="208">
        <v>70122</v>
      </c>
      <c r="O56" s="208">
        <v>73829</v>
      </c>
      <c r="P56" s="208">
        <v>76275</v>
      </c>
      <c r="Q56" s="208">
        <v>81833</v>
      </c>
      <c r="R56" s="208">
        <v>80061</v>
      </c>
      <c r="S56" s="208">
        <v>75032</v>
      </c>
      <c r="T56" s="208">
        <v>89318</v>
      </c>
      <c r="U56" s="208">
        <v>97222</v>
      </c>
      <c r="V56" s="208">
        <v>93818</v>
      </c>
      <c r="W56" s="208">
        <v>97672</v>
      </c>
      <c r="X56" s="208">
        <v>93141</v>
      </c>
      <c r="Y56" s="208">
        <v>106412</v>
      </c>
      <c r="Z56" s="208">
        <v>131509</v>
      </c>
      <c r="AA56" s="173">
        <v>128720</v>
      </c>
      <c r="AB56" s="173">
        <v>127553</v>
      </c>
      <c r="AC56" s="173">
        <v>117541</v>
      </c>
      <c r="AD56" s="297" t="s">
        <v>19</v>
      </c>
    </row>
    <row r="57" spans="2:30" ht="60" customHeight="1" x14ac:dyDescent="0.25">
      <c r="B57" s="328" t="s">
        <v>511</v>
      </c>
      <c r="C57" s="328"/>
      <c r="D57" s="328"/>
      <c r="E57" s="328"/>
      <c r="F57" s="328"/>
      <c r="G57" s="328"/>
      <c r="H57" s="328"/>
      <c r="I57" s="328"/>
      <c r="J57" s="328"/>
      <c r="K57" s="328"/>
      <c r="L57" s="328"/>
      <c r="M57" s="328"/>
      <c r="N57" s="328"/>
      <c r="O57" s="328"/>
      <c r="P57" s="328"/>
      <c r="Q57" s="328"/>
      <c r="R57" s="328"/>
      <c r="S57" s="328"/>
      <c r="T57" s="328"/>
      <c r="U57" s="328"/>
      <c r="V57" s="328"/>
      <c r="W57" s="328"/>
      <c r="X57" s="328"/>
      <c r="Y57" s="328"/>
      <c r="Z57" s="328"/>
      <c r="AA57" s="328"/>
      <c r="AB57" s="328"/>
      <c r="AC57" s="328"/>
    </row>
  </sheetData>
  <mergeCells count="9">
    <mergeCell ref="B34:Z34"/>
    <mergeCell ref="B48:Z48"/>
    <mergeCell ref="B57:AC57"/>
    <mergeCell ref="B7:Z7"/>
    <mergeCell ref="B9:Z9"/>
    <mergeCell ref="B10:Z10"/>
    <mergeCell ref="B17:Z17"/>
    <mergeCell ref="B24:Z24"/>
    <mergeCell ref="B33:Z33"/>
  </mergeCells>
  <conditionalFormatting sqref="B6:Y6 AA6:AD6 B57">
    <cfRule type="cellIs" dxfId="841" priority="77" stopIfTrue="1" operator="between">
      <formula>-99.999999999999</formula>
      <formula>99.999999999999</formula>
    </cfRule>
    <cfRule type="cellIs" dxfId="840" priority="76" stopIfTrue="1" operator="lessThanOrEqual">
      <formula>-100</formula>
    </cfRule>
    <cfRule type="cellIs" dxfId="839" priority="75" stopIfTrue="1" operator="equal">
      <formula>0</formula>
    </cfRule>
    <cfRule type="cellIs" dxfId="838" priority="78" stopIfTrue="1" operator="greaterThanOrEqual">
      <formula>100</formula>
    </cfRule>
  </conditionalFormatting>
  <conditionalFormatting sqref="B8:AC8">
    <cfRule type="cellIs" dxfId="837" priority="56" stopIfTrue="1" operator="greaterThanOrEqual">
      <formula>100</formula>
    </cfRule>
    <cfRule type="cellIs" dxfId="836" priority="55" stopIfTrue="1" operator="between">
      <formula>-99.999999999999</formula>
      <formula>99.999999999999</formula>
    </cfRule>
    <cfRule type="cellIs" dxfId="835" priority="54" stopIfTrue="1" operator="lessThanOrEqual">
      <formula>-100</formula>
    </cfRule>
    <cfRule type="cellIs" dxfId="834" priority="53" stopIfTrue="1" operator="equal">
      <formula>0</formula>
    </cfRule>
  </conditionalFormatting>
  <conditionalFormatting sqref="B9:AC56">
    <cfRule type="cellIs" dxfId="833" priority="66" stopIfTrue="1" operator="greaterThanOrEqual">
      <formula>100</formula>
    </cfRule>
    <cfRule type="cellIs" dxfId="832" priority="65" stopIfTrue="1" operator="between">
      <formula>-99.999999999999</formula>
      <formula>99.999999999999</formula>
    </cfRule>
    <cfRule type="cellIs" dxfId="831" priority="64" stopIfTrue="1" operator="lessThanOrEqual">
      <formula>-100</formula>
    </cfRule>
    <cfRule type="cellIs" dxfId="830" priority="63" stopIfTrue="1" operator="equal">
      <formula>0</formula>
    </cfRule>
  </conditionalFormatting>
  <conditionalFormatting sqref="B7:AD7">
    <cfRule type="cellIs" dxfId="829" priority="58" stopIfTrue="1" operator="lessThanOrEqual">
      <formula>-100</formula>
    </cfRule>
    <cfRule type="cellIs" dxfId="828" priority="60" stopIfTrue="1" operator="greaterThanOrEqual">
      <formula>100</formula>
    </cfRule>
    <cfRule type="cellIs" dxfId="827" priority="59" stopIfTrue="1" operator="between">
      <formula>-99.999999999999</formula>
      <formula>99.999999999999</formula>
    </cfRule>
    <cfRule type="cellIs" dxfId="826" priority="57" stopIfTrue="1" operator="equal">
      <formula>0</formula>
    </cfRule>
  </conditionalFormatting>
  <conditionalFormatting sqref="D50:AC50">
    <cfRule type="cellIs" dxfId="825" priority="62" operator="greaterThanOrEqual">
      <formula>100</formula>
    </cfRule>
    <cfRule type="cellIs" dxfId="824" priority="61" operator="lessThanOrEqual">
      <formula>99</formula>
    </cfRule>
  </conditionalFormatting>
  <conditionalFormatting sqref="AD8:AD17">
    <cfRule type="cellIs" dxfId="823" priority="48" stopIfTrue="1" operator="greaterThanOrEqual">
      <formula>100</formula>
    </cfRule>
    <cfRule type="cellIs" dxfId="822" priority="47" stopIfTrue="1" operator="between">
      <formula>-99.999999999999</formula>
      <formula>99.999999999999</formula>
    </cfRule>
    <cfRule type="cellIs" dxfId="821" priority="45" stopIfTrue="1" operator="equal">
      <formula>0</formula>
    </cfRule>
    <cfRule type="cellIs" dxfId="820" priority="46" stopIfTrue="1" operator="lessThanOrEqual">
      <formula>-100</formula>
    </cfRule>
  </conditionalFormatting>
  <conditionalFormatting sqref="AD11:AD16">
    <cfRule type="cellIs" dxfId="819" priority="42" operator="greaterThanOrEqual">
      <formula>100</formula>
    </cfRule>
    <cfRule type="cellIs" dxfId="818" priority="41" operator="lessThanOrEqual">
      <formula>99</formula>
    </cfRule>
  </conditionalFormatting>
  <conditionalFormatting sqref="AD18:AD23">
    <cfRule type="cellIs" dxfId="817" priority="33" operator="lessThanOrEqual">
      <formula>99</formula>
    </cfRule>
    <cfRule type="cellIs" dxfId="816" priority="34" operator="greaterThanOrEqual">
      <formula>100</formula>
    </cfRule>
  </conditionalFormatting>
  <conditionalFormatting sqref="AD18:AD24">
    <cfRule type="cellIs" dxfId="815" priority="37" stopIfTrue="1" operator="equal">
      <formula>0</formula>
    </cfRule>
    <cfRule type="cellIs" dxfId="814" priority="38" stopIfTrue="1" operator="lessThanOrEqual">
      <formula>-100</formula>
    </cfRule>
    <cfRule type="cellIs" dxfId="813" priority="39" stopIfTrue="1" operator="between">
      <formula>-99.999999999999</formula>
      <formula>99.999999999999</formula>
    </cfRule>
    <cfRule type="cellIs" dxfId="812" priority="40" stopIfTrue="1" operator="greaterThanOrEqual">
      <formula>100</formula>
    </cfRule>
  </conditionalFormatting>
  <conditionalFormatting sqref="AD25:AD32">
    <cfRule type="cellIs" dxfId="811" priority="26" operator="greaterThanOrEqual">
      <formula>100</formula>
    </cfRule>
    <cfRule type="cellIs" dxfId="810" priority="25" operator="lessThanOrEqual">
      <formula>99</formula>
    </cfRule>
  </conditionalFormatting>
  <conditionalFormatting sqref="AD25:AD34">
    <cfRule type="cellIs" dxfId="809" priority="32" stopIfTrue="1" operator="greaterThanOrEqual">
      <formula>100</formula>
    </cfRule>
    <cfRule type="cellIs" dxfId="808" priority="31" stopIfTrue="1" operator="between">
      <formula>-99.999999999999</formula>
      <formula>99.999999999999</formula>
    </cfRule>
    <cfRule type="cellIs" dxfId="807" priority="29" stopIfTrue="1" operator="equal">
      <formula>0</formula>
    </cfRule>
    <cfRule type="cellIs" dxfId="806" priority="30" stopIfTrue="1" operator="lessThanOrEqual">
      <formula>-100</formula>
    </cfRule>
  </conditionalFormatting>
  <conditionalFormatting sqref="AD35:AD40">
    <cfRule type="cellIs" dxfId="805" priority="18" operator="greaterThanOrEqual">
      <formula>100</formula>
    </cfRule>
    <cfRule type="cellIs" dxfId="804" priority="17" operator="lessThanOrEqual">
      <formula>99</formula>
    </cfRule>
  </conditionalFormatting>
  <conditionalFormatting sqref="AD35:AD41">
    <cfRule type="cellIs" dxfId="803" priority="24" stopIfTrue="1" operator="greaterThanOrEqual">
      <formula>100</formula>
    </cfRule>
    <cfRule type="cellIs" dxfId="802" priority="23" stopIfTrue="1" operator="between">
      <formula>-99.999999999999</formula>
      <formula>99.999999999999</formula>
    </cfRule>
    <cfRule type="cellIs" dxfId="801" priority="22" stopIfTrue="1" operator="lessThanOrEqual">
      <formula>-100</formula>
    </cfRule>
    <cfRule type="cellIs" dxfId="800" priority="21" stopIfTrue="1" operator="equal">
      <formula>0</formula>
    </cfRule>
  </conditionalFormatting>
  <conditionalFormatting sqref="AD42:AD47">
    <cfRule type="cellIs" dxfId="799" priority="10" operator="greaterThanOrEqual">
      <formula>100</formula>
    </cfRule>
    <cfRule type="cellIs" dxfId="798" priority="9" operator="lessThanOrEqual">
      <formula>99</formula>
    </cfRule>
  </conditionalFormatting>
  <conditionalFormatting sqref="AD42:AD48">
    <cfRule type="cellIs" dxfId="797" priority="16" stopIfTrue="1" operator="greaterThanOrEqual">
      <formula>100</formula>
    </cfRule>
    <cfRule type="cellIs" dxfId="796" priority="15" stopIfTrue="1" operator="between">
      <formula>-99.999999999999</formula>
      <formula>99.999999999999</formula>
    </cfRule>
    <cfRule type="cellIs" dxfId="795" priority="14" stopIfTrue="1" operator="lessThanOrEqual">
      <formula>-100</formula>
    </cfRule>
    <cfRule type="cellIs" dxfId="794" priority="13" stopIfTrue="1" operator="equal">
      <formula>0</formula>
    </cfRule>
  </conditionalFormatting>
  <conditionalFormatting sqref="AD49:AD56">
    <cfRule type="cellIs" dxfId="793" priority="1" operator="lessThanOrEqual">
      <formula>99</formula>
    </cfRule>
    <cfRule type="cellIs" dxfId="792" priority="8" stopIfTrue="1" operator="greaterThanOrEqual">
      <formula>100</formula>
    </cfRule>
    <cfRule type="cellIs" dxfId="791" priority="7" stopIfTrue="1" operator="between">
      <formula>-99.999999999999</formula>
      <formula>99.999999999999</formula>
    </cfRule>
    <cfRule type="cellIs" dxfId="790" priority="6" stopIfTrue="1" operator="lessThanOrEqual">
      <formula>-100</formula>
    </cfRule>
    <cfRule type="cellIs" dxfId="789" priority="5" stopIfTrue="1" operator="equal">
      <formula>0</formula>
    </cfRule>
    <cfRule type="cellIs" dxfId="788" priority="2" operator="greaterThanOrEqual">
      <formula>100</formula>
    </cfRule>
  </conditionalFormatting>
  <pageMargins left="0.7" right="0.7" top="0.75" bottom="0.75" header="0.3" footer="0.3"/>
  <pageSetup paperSize="9" scale="31"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FBDC0-2EC3-4CC9-B8BC-F338F4B3C6B6}">
  <sheetPr>
    <pageSetUpPr fitToPage="1"/>
  </sheetPr>
  <dimension ref="B6:AD109"/>
  <sheetViews>
    <sheetView zoomScaleNormal="100" workbookViewId="0"/>
  </sheetViews>
  <sheetFormatPr defaultColWidth="9.140625" defaultRowHeight="15" x14ac:dyDescent="0.25"/>
  <cols>
    <col min="1" max="1" width="9.140625" style="20"/>
    <col min="2" max="2" width="31.85546875" style="20" customWidth="1"/>
    <col min="3" max="30" width="9.28515625" style="20" customWidth="1"/>
    <col min="31" max="16384" width="9.140625" style="20"/>
  </cols>
  <sheetData>
    <row r="6" spans="2:30" ht="12" customHeight="1" x14ac:dyDescent="0.25">
      <c r="B6" s="16"/>
      <c r="C6" s="17"/>
      <c r="D6" s="17"/>
      <c r="E6" s="17"/>
      <c r="F6" s="17"/>
      <c r="G6" s="17"/>
      <c r="H6" s="17"/>
      <c r="I6" s="17"/>
      <c r="J6" s="17"/>
      <c r="K6" s="17"/>
      <c r="L6" s="17"/>
      <c r="M6" s="17"/>
      <c r="N6" s="17"/>
      <c r="O6" s="17"/>
      <c r="P6" s="17"/>
      <c r="Q6" s="17"/>
      <c r="R6" s="17"/>
      <c r="S6" s="17"/>
      <c r="T6" s="17"/>
      <c r="U6" s="17"/>
      <c r="V6" s="17"/>
      <c r="W6" s="17"/>
      <c r="X6" s="17"/>
      <c r="Y6" s="17"/>
      <c r="Z6" s="17"/>
      <c r="AA6" s="19"/>
      <c r="AB6" s="19"/>
      <c r="AC6" s="19"/>
      <c r="AD6" s="19" t="s">
        <v>0</v>
      </c>
    </row>
    <row r="7" spans="2:30" ht="27" customHeight="1" x14ac:dyDescent="0.25">
      <c r="B7" s="331" t="s">
        <v>335</v>
      </c>
      <c r="C7" s="331"/>
      <c r="D7" s="331"/>
      <c r="E7" s="331"/>
      <c r="F7" s="331"/>
      <c r="G7" s="331"/>
      <c r="H7" s="331"/>
      <c r="I7" s="331"/>
      <c r="J7" s="331"/>
      <c r="K7" s="331"/>
      <c r="L7" s="331"/>
      <c r="M7" s="331"/>
      <c r="N7" s="331"/>
      <c r="O7" s="331"/>
      <c r="P7" s="331"/>
      <c r="Q7" s="331"/>
      <c r="R7" s="331"/>
      <c r="S7" s="331"/>
      <c r="T7" s="331"/>
      <c r="U7" s="347"/>
      <c r="V7" s="347"/>
      <c r="W7" s="347"/>
      <c r="X7" s="347"/>
      <c r="Y7" s="347"/>
      <c r="Z7" s="347"/>
      <c r="AA7" s="47"/>
      <c r="AB7" s="47"/>
      <c r="AC7" s="47"/>
      <c r="AD7" s="47"/>
    </row>
    <row r="8" spans="2:30" ht="12.6" customHeight="1" x14ac:dyDescent="0.25">
      <c r="B8" s="56" t="s">
        <v>2</v>
      </c>
      <c r="C8" s="57"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547</v>
      </c>
    </row>
    <row r="9" spans="2:30" ht="11.1" customHeight="1" x14ac:dyDescent="0.25">
      <c r="B9" s="348" t="s">
        <v>34</v>
      </c>
      <c r="C9" s="348"/>
      <c r="D9" s="348"/>
      <c r="E9" s="348"/>
      <c r="F9" s="348"/>
      <c r="G9" s="348"/>
      <c r="H9" s="348"/>
      <c r="I9" s="348"/>
      <c r="J9" s="348"/>
      <c r="K9" s="348"/>
      <c r="L9" s="348"/>
      <c r="M9" s="348"/>
      <c r="N9" s="348"/>
      <c r="O9" s="348"/>
      <c r="P9" s="348"/>
      <c r="Q9" s="348"/>
      <c r="R9" s="348"/>
      <c r="S9" s="348"/>
      <c r="T9" s="348"/>
      <c r="U9" s="349" t="s">
        <v>66</v>
      </c>
      <c r="V9" s="349" t="s">
        <v>6</v>
      </c>
      <c r="W9" s="349" t="s">
        <v>66</v>
      </c>
      <c r="X9" s="349" t="s">
        <v>6</v>
      </c>
      <c r="Y9" s="349" t="s">
        <v>35</v>
      </c>
      <c r="Z9" s="349" t="s">
        <v>6</v>
      </c>
      <c r="AA9" s="211"/>
      <c r="AB9" s="211"/>
      <c r="AC9" s="211"/>
      <c r="AD9" s="211"/>
    </row>
    <row r="10" spans="2:30" ht="11.1" customHeight="1" x14ac:dyDescent="0.25">
      <c r="B10" s="348" t="s">
        <v>36</v>
      </c>
      <c r="C10" s="348"/>
      <c r="D10" s="348"/>
      <c r="E10" s="348"/>
      <c r="F10" s="348"/>
      <c r="G10" s="348"/>
      <c r="H10" s="348"/>
      <c r="I10" s="348"/>
      <c r="J10" s="348"/>
      <c r="K10" s="348"/>
      <c r="L10" s="348"/>
      <c r="M10" s="348"/>
      <c r="N10" s="348"/>
      <c r="O10" s="348"/>
      <c r="P10" s="348"/>
      <c r="Q10" s="348"/>
      <c r="R10" s="348"/>
      <c r="S10" s="348"/>
      <c r="T10" s="348"/>
      <c r="U10" s="349"/>
      <c r="V10" s="349"/>
      <c r="W10" s="349"/>
      <c r="X10" s="349"/>
      <c r="Y10" s="349"/>
      <c r="Z10" s="349"/>
      <c r="AA10" s="30"/>
      <c r="AB10" s="30"/>
      <c r="AC10" s="30"/>
      <c r="AD10" s="30"/>
    </row>
    <row r="11" spans="2:30" ht="11.1" customHeight="1" x14ac:dyDescent="0.25">
      <c r="B11" s="21" t="s">
        <v>336</v>
      </c>
      <c r="C11" s="22" t="s">
        <v>6</v>
      </c>
      <c r="D11" s="212">
        <v>3819.1</v>
      </c>
      <c r="E11" s="212">
        <v>4600.3</v>
      </c>
      <c r="F11" s="212">
        <v>4408.2</v>
      </c>
      <c r="G11" s="43">
        <v>4716.6000000000004</v>
      </c>
      <c r="H11" s="43">
        <v>5445.5</v>
      </c>
      <c r="I11" s="43">
        <v>4218.2</v>
      </c>
      <c r="J11" s="43">
        <v>3769</v>
      </c>
      <c r="K11" s="43">
        <v>4162.3999999999996</v>
      </c>
      <c r="L11" s="43">
        <v>5199</v>
      </c>
      <c r="M11" s="43">
        <v>5583.1</v>
      </c>
      <c r="N11" s="43">
        <v>6677</v>
      </c>
      <c r="O11" s="43">
        <v>6785.4</v>
      </c>
      <c r="P11" s="43">
        <v>7658.7</v>
      </c>
      <c r="Q11" s="43">
        <v>8095.6</v>
      </c>
      <c r="R11" s="43">
        <v>7506.9</v>
      </c>
      <c r="S11" s="43">
        <v>10003.1</v>
      </c>
      <c r="T11" s="43">
        <v>11430.4</v>
      </c>
      <c r="U11" s="43">
        <v>11785</v>
      </c>
      <c r="V11" s="43">
        <v>11275</v>
      </c>
      <c r="W11" s="43">
        <v>11564.5</v>
      </c>
      <c r="X11" s="43">
        <v>13413.8</v>
      </c>
      <c r="Y11" s="43">
        <v>13150.5</v>
      </c>
      <c r="Z11" s="43">
        <v>11684.8</v>
      </c>
      <c r="AA11" s="87">
        <v>11090.9</v>
      </c>
      <c r="AB11" s="87">
        <v>12235.8</v>
      </c>
      <c r="AC11" s="87">
        <v>11590.9</v>
      </c>
      <c r="AD11" s="10" t="s">
        <v>19</v>
      </c>
    </row>
    <row r="12" spans="2:30" ht="11.1" customHeight="1" x14ac:dyDescent="0.25">
      <c r="B12" s="21" t="s">
        <v>92</v>
      </c>
      <c r="C12" s="22" t="s">
        <v>6</v>
      </c>
      <c r="D12" s="212">
        <v>15792.1</v>
      </c>
      <c r="E12" s="212">
        <v>19313</v>
      </c>
      <c r="F12" s="212">
        <v>24276.7</v>
      </c>
      <c r="G12" s="43">
        <v>23257.8</v>
      </c>
      <c r="H12" s="43">
        <v>24109.200000000001</v>
      </c>
      <c r="I12" s="43">
        <v>17794.7</v>
      </c>
      <c r="J12" s="43">
        <v>12487</v>
      </c>
      <c r="K12" s="43">
        <v>10107.299999999999</v>
      </c>
      <c r="L12" s="43">
        <v>10457.299999999999</v>
      </c>
      <c r="M12" s="43">
        <v>14732.8</v>
      </c>
      <c r="N12" s="43">
        <v>10431.6</v>
      </c>
      <c r="O12" s="43">
        <v>10132.4</v>
      </c>
      <c r="P12" s="43">
        <v>9453.7999999999993</v>
      </c>
      <c r="Q12" s="43">
        <v>8778</v>
      </c>
      <c r="R12" s="43">
        <v>11168.1</v>
      </c>
      <c r="S12" s="43">
        <v>11189.4</v>
      </c>
      <c r="T12" s="43">
        <v>12612.3</v>
      </c>
      <c r="U12" s="43">
        <v>10173</v>
      </c>
      <c r="V12" s="43">
        <v>15682</v>
      </c>
      <c r="W12" s="43">
        <v>14667.8</v>
      </c>
      <c r="X12" s="43">
        <v>15903.6</v>
      </c>
      <c r="Y12" s="43">
        <v>16082.2</v>
      </c>
      <c r="Z12" s="43">
        <v>13685.7</v>
      </c>
      <c r="AA12" s="87">
        <v>13212.7</v>
      </c>
      <c r="AB12" s="87">
        <v>13303.3</v>
      </c>
      <c r="AC12" s="87">
        <v>17052</v>
      </c>
      <c r="AD12" s="10" t="s">
        <v>19</v>
      </c>
    </row>
    <row r="13" spans="2:30" ht="11.1" customHeight="1" x14ac:dyDescent="0.25">
      <c r="B13" s="21" t="s">
        <v>337</v>
      </c>
      <c r="C13" s="22" t="s">
        <v>6</v>
      </c>
      <c r="D13" s="212">
        <v>5557.3</v>
      </c>
      <c r="E13" s="212">
        <v>6644.9</v>
      </c>
      <c r="F13" s="212">
        <v>8515.4</v>
      </c>
      <c r="G13" s="43">
        <v>3906.5</v>
      </c>
      <c r="H13" s="43">
        <v>5800.8</v>
      </c>
      <c r="I13" s="43">
        <v>4972.8</v>
      </c>
      <c r="J13" s="43">
        <v>2853</v>
      </c>
      <c r="K13" s="43">
        <v>4185.2</v>
      </c>
      <c r="L13" s="43">
        <v>5335.6</v>
      </c>
      <c r="M13" s="43">
        <v>5322.8</v>
      </c>
      <c r="N13" s="43">
        <v>6148</v>
      </c>
      <c r="O13" s="43">
        <v>5487.3</v>
      </c>
      <c r="P13" s="43">
        <v>6350.4</v>
      </c>
      <c r="Q13" s="43">
        <v>5379.5</v>
      </c>
      <c r="R13" s="43">
        <v>6321</v>
      </c>
      <c r="S13" s="43">
        <v>6240.9</v>
      </c>
      <c r="T13" s="43">
        <v>6889.9</v>
      </c>
      <c r="U13" s="43">
        <v>6740</v>
      </c>
      <c r="V13" s="43">
        <v>4727</v>
      </c>
      <c r="W13" s="43">
        <v>4557.7</v>
      </c>
      <c r="X13" s="43">
        <v>6506.6</v>
      </c>
      <c r="Y13" s="43">
        <v>8210.7999999999993</v>
      </c>
      <c r="Z13" s="43">
        <v>9564.6</v>
      </c>
      <c r="AA13" s="87">
        <v>8240</v>
      </c>
      <c r="AB13" s="87">
        <v>6464.2</v>
      </c>
      <c r="AC13" s="87">
        <v>4651.5</v>
      </c>
      <c r="AD13" s="10" t="s">
        <v>19</v>
      </c>
    </row>
    <row r="14" spans="2:30" ht="11.1" customHeight="1" x14ac:dyDescent="0.25">
      <c r="B14" s="21" t="s">
        <v>358</v>
      </c>
      <c r="C14" s="22" t="s">
        <v>6</v>
      </c>
      <c r="D14" s="212">
        <v>2138</v>
      </c>
      <c r="E14" s="212">
        <v>1552</v>
      </c>
      <c r="F14" s="212">
        <v>1761.6</v>
      </c>
      <c r="G14" s="43">
        <v>1335.1</v>
      </c>
      <c r="H14" s="43">
        <v>1231.4000000000001</v>
      </c>
      <c r="I14" s="43">
        <v>538</v>
      </c>
      <c r="J14" s="43">
        <v>560</v>
      </c>
      <c r="K14" s="43">
        <v>801.5</v>
      </c>
      <c r="L14" s="43">
        <v>444.9</v>
      </c>
      <c r="M14" s="43">
        <v>1293</v>
      </c>
      <c r="N14" s="43">
        <v>850.6</v>
      </c>
      <c r="O14" s="43">
        <v>234.1</v>
      </c>
      <c r="P14" s="43">
        <v>242.1</v>
      </c>
      <c r="Q14" s="43">
        <v>134.4</v>
      </c>
      <c r="R14" s="43">
        <v>157.30000000000001</v>
      </c>
      <c r="S14" s="43">
        <v>250.9</v>
      </c>
      <c r="T14" s="43">
        <v>308.3</v>
      </c>
      <c r="U14" s="43">
        <v>381</v>
      </c>
      <c r="V14" s="43">
        <v>517</v>
      </c>
      <c r="W14" s="43">
        <v>355.5</v>
      </c>
      <c r="X14" s="43">
        <v>205.2</v>
      </c>
      <c r="Y14" s="43">
        <v>473.5</v>
      </c>
      <c r="Z14" s="43">
        <v>1246.3</v>
      </c>
      <c r="AA14" s="87">
        <v>856.5</v>
      </c>
      <c r="AB14" s="87">
        <v>1234.5</v>
      </c>
      <c r="AC14" s="87">
        <v>184.1</v>
      </c>
      <c r="AD14" s="10" t="s">
        <v>19</v>
      </c>
    </row>
    <row r="15" spans="2:30" ht="11.1" customHeight="1" x14ac:dyDescent="0.25">
      <c r="B15" s="21" t="s">
        <v>265</v>
      </c>
      <c r="C15" s="22" t="s">
        <v>6</v>
      </c>
      <c r="D15" s="212">
        <v>4022.2</v>
      </c>
      <c r="E15" s="212">
        <v>4346</v>
      </c>
      <c r="F15" s="212">
        <v>4512.7</v>
      </c>
      <c r="G15" s="43">
        <v>4135.5</v>
      </c>
      <c r="H15" s="43">
        <v>6358.7</v>
      </c>
      <c r="I15" s="43">
        <v>6004.9</v>
      </c>
      <c r="J15" s="43">
        <v>4224</v>
      </c>
      <c r="K15" s="43">
        <v>5458.7</v>
      </c>
      <c r="L15" s="43">
        <v>5298</v>
      </c>
      <c r="M15" s="43">
        <v>5065.8</v>
      </c>
      <c r="N15" s="43">
        <v>3240.9</v>
      </c>
      <c r="O15" s="43">
        <v>4424.5</v>
      </c>
      <c r="P15" s="43">
        <v>4527.7</v>
      </c>
      <c r="Q15" s="43">
        <v>4465.7</v>
      </c>
      <c r="R15" s="43">
        <v>5019.8999999999996</v>
      </c>
      <c r="S15" s="43">
        <v>7602.4</v>
      </c>
      <c r="T15" s="43">
        <v>8033.1</v>
      </c>
      <c r="U15" s="43">
        <v>9514</v>
      </c>
      <c r="V15" s="43">
        <v>9095</v>
      </c>
      <c r="W15" s="43">
        <v>8362</v>
      </c>
      <c r="X15" s="43">
        <v>8184.6</v>
      </c>
      <c r="Y15" s="43">
        <v>7802.4</v>
      </c>
      <c r="Z15" s="43">
        <v>6858.6</v>
      </c>
      <c r="AA15" s="87">
        <v>7023.1</v>
      </c>
      <c r="AB15" s="87">
        <v>5848.3</v>
      </c>
      <c r="AC15" s="87">
        <v>9028.1</v>
      </c>
      <c r="AD15" s="10" t="s">
        <v>19</v>
      </c>
    </row>
    <row r="16" spans="2:30" ht="11.1" customHeight="1" x14ac:dyDescent="0.25">
      <c r="B16" s="21" t="s">
        <v>359</v>
      </c>
      <c r="C16" s="22" t="s">
        <v>6</v>
      </c>
      <c r="D16" s="212">
        <v>1153</v>
      </c>
      <c r="E16" s="212">
        <v>913.8</v>
      </c>
      <c r="F16" s="212">
        <v>895.8</v>
      </c>
      <c r="G16" s="43">
        <v>1590.5</v>
      </c>
      <c r="H16" s="43">
        <v>1207</v>
      </c>
      <c r="I16" s="43">
        <v>1167.5999999999999</v>
      </c>
      <c r="J16" s="43">
        <v>1140</v>
      </c>
      <c r="K16" s="43">
        <v>954.9</v>
      </c>
      <c r="L16" s="43">
        <v>924.5</v>
      </c>
      <c r="M16" s="43">
        <v>621.6</v>
      </c>
      <c r="N16" s="43">
        <v>849</v>
      </c>
      <c r="O16" s="43">
        <v>1278.0999999999999</v>
      </c>
      <c r="P16" s="43">
        <v>1403.2</v>
      </c>
      <c r="Q16" s="43">
        <v>1919.5</v>
      </c>
      <c r="R16" s="43">
        <v>2852.9</v>
      </c>
      <c r="S16" s="43">
        <v>1980.4</v>
      </c>
      <c r="T16" s="43">
        <v>1261.5999999999999</v>
      </c>
      <c r="U16" s="43">
        <v>1522</v>
      </c>
      <c r="V16" s="43">
        <v>1615</v>
      </c>
      <c r="W16" s="43">
        <v>4004.1</v>
      </c>
      <c r="X16" s="43">
        <v>2395</v>
      </c>
      <c r="Y16" s="43">
        <v>2068.6</v>
      </c>
      <c r="Z16" s="43">
        <v>2211.1</v>
      </c>
      <c r="AA16" s="87">
        <v>2980.8</v>
      </c>
      <c r="AB16" s="87">
        <v>2946.3</v>
      </c>
      <c r="AC16" s="87">
        <v>1946.2</v>
      </c>
      <c r="AD16" s="10" t="s">
        <v>19</v>
      </c>
    </row>
    <row r="17" spans="2:30" ht="11.1" customHeight="1" x14ac:dyDescent="0.25">
      <c r="B17" s="21" t="s">
        <v>360</v>
      </c>
      <c r="C17" s="22" t="s">
        <v>6</v>
      </c>
      <c r="D17" s="212">
        <v>32481.7</v>
      </c>
      <c r="E17" s="212">
        <v>37370</v>
      </c>
      <c r="F17" s="212">
        <v>44370.400000000001</v>
      </c>
      <c r="G17" s="43">
        <v>38942.1</v>
      </c>
      <c r="H17" s="43">
        <v>44152.6</v>
      </c>
      <c r="I17" s="43">
        <v>34696.199999999997</v>
      </c>
      <c r="J17" s="43">
        <v>25033</v>
      </c>
      <c r="K17" s="43">
        <v>25670</v>
      </c>
      <c r="L17" s="43">
        <v>27659.3</v>
      </c>
      <c r="M17" s="43">
        <v>32619.1</v>
      </c>
      <c r="N17" s="43">
        <v>28197.1</v>
      </c>
      <c r="O17" s="43">
        <v>28341.8</v>
      </c>
      <c r="P17" s="43">
        <v>29635.9</v>
      </c>
      <c r="Q17" s="43">
        <v>28772.7</v>
      </c>
      <c r="R17" s="43">
        <v>33026</v>
      </c>
      <c r="S17" s="43">
        <v>37267.1</v>
      </c>
      <c r="T17" s="43">
        <v>40535.599999999999</v>
      </c>
      <c r="U17" s="43">
        <v>40115</v>
      </c>
      <c r="V17" s="43">
        <v>42911</v>
      </c>
      <c r="W17" s="43">
        <v>43511.5</v>
      </c>
      <c r="X17" s="43">
        <v>46608.800000000003</v>
      </c>
      <c r="Y17" s="43">
        <v>47788.1</v>
      </c>
      <c r="Z17" s="43">
        <v>45251.1</v>
      </c>
      <c r="AA17" s="87">
        <v>43403.9</v>
      </c>
      <c r="AB17" s="87">
        <v>42032.4</v>
      </c>
      <c r="AC17" s="87">
        <v>44452.800000000003</v>
      </c>
      <c r="AD17" s="10" t="s">
        <v>19</v>
      </c>
    </row>
    <row r="18" spans="2:30" ht="11.1" customHeight="1" x14ac:dyDescent="0.25">
      <c r="B18" s="350" t="s">
        <v>40</v>
      </c>
      <c r="C18" s="350"/>
      <c r="D18" s="350"/>
      <c r="E18" s="350"/>
      <c r="F18" s="350"/>
      <c r="G18" s="350"/>
      <c r="H18" s="350"/>
      <c r="I18" s="350"/>
      <c r="J18" s="350"/>
      <c r="K18" s="350"/>
      <c r="L18" s="350"/>
      <c r="M18" s="350"/>
      <c r="N18" s="350"/>
      <c r="O18" s="350"/>
      <c r="P18" s="350"/>
      <c r="Q18" s="350"/>
      <c r="R18" s="350"/>
      <c r="S18" s="350"/>
      <c r="T18" s="350"/>
      <c r="U18" s="351"/>
      <c r="V18" s="351"/>
      <c r="W18" s="351"/>
      <c r="X18" s="351"/>
      <c r="Y18" s="351"/>
      <c r="Z18" s="351"/>
      <c r="AA18" s="50"/>
      <c r="AB18" s="50"/>
      <c r="AC18" s="50"/>
      <c r="AD18" s="50"/>
    </row>
    <row r="19" spans="2:30" ht="11.1" customHeight="1" x14ac:dyDescent="0.25">
      <c r="B19" s="21" t="s">
        <v>43</v>
      </c>
      <c r="C19" s="22" t="s">
        <v>6</v>
      </c>
      <c r="D19" s="31">
        <v>4.5999999999999996</v>
      </c>
      <c r="E19" s="31">
        <v>0.5</v>
      </c>
      <c r="F19" s="31">
        <v>9</v>
      </c>
      <c r="G19" s="31">
        <v>0</v>
      </c>
      <c r="H19" s="31">
        <v>0.1</v>
      </c>
      <c r="I19" s="31">
        <v>0</v>
      </c>
      <c r="J19" s="31">
        <v>0</v>
      </c>
      <c r="K19" s="31">
        <v>0.2</v>
      </c>
      <c r="L19" s="31">
        <v>3.4</v>
      </c>
      <c r="M19" s="31">
        <v>3</v>
      </c>
      <c r="N19" s="31">
        <v>1.7</v>
      </c>
      <c r="O19" s="31">
        <v>0</v>
      </c>
      <c r="P19" s="31">
        <v>0</v>
      </c>
      <c r="Q19" s="31">
        <v>0</v>
      </c>
      <c r="R19" s="31">
        <v>0</v>
      </c>
      <c r="S19" s="31">
        <v>0</v>
      </c>
      <c r="T19" s="31">
        <v>0</v>
      </c>
      <c r="U19" s="31">
        <v>0</v>
      </c>
      <c r="V19" s="31">
        <v>0</v>
      </c>
      <c r="W19" s="31">
        <v>0</v>
      </c>
      <c r="X19" s="31">
        <v>0</v>
      </c>
      <c r="Y19" s="31">
        <v>0</v>
      </c>
      <c r="Z19" s="31">
        <v>2.2000000000000002</v>
      </c>
      <c r="AA19" s="87">
        <v>1.7</v>
      </c>
      <c r="AB19" s="87">
        <v>12</v>
      </c>
      <c r="AC19" s="87">
        <v>2.6</v>
      </c>
      <c r="AD19" s="10" t="s">
        <v>19</v>
      </c>
    </row>
    <row r="20" spans="2:30" ht="11.1" customHeight="1" x14ac:dyDescent="0.25">
      <c r="B20" s="21" t="s">
        <v>338</v>
      </c>
      <c r="C20" s="22" t="s">
        <v>6</v>
      </c>
      <c r="D20" s="212">
        <v>12597</v>
      </c>
      <c r="E20" s="212">
        <v>12680</v>
      </c>
      <c r="F20" s="212">
        <v>15531.5</v>
      </c>
      <c r="G20" s="43">
        <v>12531</v>
      </c>
      <c r="H20" s="43">
        <v>10963.7</v>
      </c>
      <c r="I20" s="43">
        <v>8668.4</v>
      </c>
      <c r="J20" s="43">
        <v>7849</v>
      </c>
      <c r="K20" s="43">
        <v>5495.9</v>
      </c>
      <c r="L20" s="43">
        <v>4983.7</v>
      </c>
      <c r="M20" s="43">
        <v>3666.8</v>
      </c>
      <c r="N20" s="43">
        <v>3098.5</v>
      </c>
      <c r="O20" s="43">
        <v>1940.2</v>
      </c>
      <c r="P20" s="43">
        <v>2828.6</v>
      </c>
      <c r="Q20" s="43">
        <v>3372.3</v>
      </c>
      <c r="R20" s="43">
        <v>3838.2</v>
      </c>
      <c r="S20" s="43">
        <v>3876</v>
      </c>
      <c r="T20" s="43">
        <v>3514.9</v>
      </c>
      <c r="U20" s="43">
        <v>3582</v>
      </c>
      <c r="V20" s="43">
        <v>3663</v>
      </c>
      <c r="W20" s="43">
        <v>5484.1</v>
      </c>
      <c r="X20" s="43">
        <v>4445.1000000000004</v>
      </c>
      <c r="Y20" s="43">
        <v>4564.5</v>
      </c>
      <c r="Z20" s="43">
        <v>4671.8999999999996</v>
      </c>
      <c r="AA20" s="87">
        <v>5209.3999999999996</v>
      </c>
      <c r="AB20" s="87">
        <v>4918.1000000000004</v>
      </c>
      <c r="AC20" s="87">
        <v>3188.4</v>
      </c>
      <c r="AD20" s="10" t="s">
        <v>19</v>
      </c>
    </row>
    <row r="21" spans="2:30" ht="11.1" customHeight="1" x14ac:dyDescent="0.25">
      <c r="B21" s="21" t="s">
        <v>339</v>
      </c>
      <c r="C21" s="22" t="s">
        <v>6</v>
      </c>
      <c r="D21" s="212">
        <v>544.1</v>
      </c>
      <c r="E21" s="212">
        <v>547.4</v>
      </c>
      <c r="F21" s="212">
        <v>503.2</v>
      </c>
      <c r="G21" s="43">
        <v>535.20000000000005</v>
      </c>
      <c r="H21" s="43">
        <v>687.5</v>
      </c>
      <c r="I21" s="43">
        <v>849.8</v>
      </c>
      <c r="J21" s="43">
        <v>656</v>
      </c>
      <c r="K21" s="43">
        <v>540.4</v>
      </c>
      <c r="L21" s="43">
        <v>394.8</v>
      </c>
      <c r="M21" s="43">
        <v>378.2</v>
      </c>
      <c r="N21" s="43">
        <v>257</v>
      </c>
      <c r="O21" s="43">
        <v>344.6</v>
      </c>
      <c r="P21" s="43">
        <v>328.1</v>
      </c>
      <c r="Q21" s="43">
        <v>295.5</v>
      </c>
      <c r="R21" s="43">
        <v>225.1</v>
      </c>
      <c r="S21" s="43">
        <v>297.60000000000002</v>
      </c>
      <c r="T21" s="43">
        <v>362.4</v>
      </c>
      <c r="U21" s="43">
        <v>343</v>
      </c>
      <c r="V21" s="43">
        <v>393</v>
      </c>
      <c r="W21" s="43">
        <v>529.70000000000005</v>
      </c>
      <c r="X21" s="43">
        <v>577.9</v>
      </c>
      <c r="Y21" s="43">
        <v>585.20000000000005</v>
      </c>
      <c r="Z21" s="43">
        <v>389.5</v>
      </c>
      <c r="AA21" s="87">
        <v>301.39999999999998</v>
      </c>
      <c r="AB21" s="87">
        <v>363</v>
      </c>
      <c r="AC21" s="87">
        <v>502.5</v>
      </c>
      <c r="AD21" s="10" t="s">
        <v>19</v>
      </c>
    </row>
    <row r="22" spans="2:30" ht="11.1" customHeight="1" x14ac:dyDescent="0.25">
      <c r="B22" s="21" t="s">
        <v>340</v>
      </c>
      <c r="C22" s="22" t="s">
        <v>6</v>
      </c>
      <c r="D22" s="212">
        <v>1197.9000000000001</v>
      </c>
      <c r="E22" s="212">
        <v>2029.8</v>
      </c>
      <c r="F22" s="212">
        <v>2272.6</v>
      </c>
      <c r="G22" s="43">
        <v>2130.6999999999998</v>
      </c>
      <c r="H22" s="43">
        <v>1878.4</v>
      </c>
      <c r="I22" s="43">
        <v>2367.3000000000002</v>
      </c>
      <c r="J22" s="43">
        <v>2470</v>
      </c>
      <c r="K22" s="43">
        <v>2162.6999999999998</v>
      </c>
      <c r="L22" s="43">
        <v>1245.8</v>
      </c>
      <c r="M22" s="43">
        <v>1135.0999999999999</v>
      </c>
      <c r="N22" s="43">
        <v>649.29999999999995</v>
      </c>
      <c r="O22" s="43">
        <v>432.6</v>
      </c>
      <c r="P22" s="43">
        <v>318.89999999999998</v>
      </c>
      <c r="Q22" s="43">
        <v>327.2</v>
      </c>
      <c r="R22" s="43">
        <v>591.1</v>
      </c>
      <c r="S22" s="43">
        <v>648.29999999999995</v>
      </c>
      <c r="T22" s="43">
        <v>1207.9000000000001</v>
      </c>
      <c r="U22" s="43">
        <v>1943</v>
      </c>
      <c r="V22" s="43">
        <v>1962</v>
      </c>
      <c r="W22" s="43">
        <v>1777.3</v>
      </c>
      <c r="X22" s="43">
        <v>1779.7</v>
      </c>
      <c r="Y22" s="43">
        <v>2162.4</v>
      </c>
      <c r="Z22" s="43">
        <v>2763.4</v>
      </c>
      <c r="AA22" s="87">
        <v>1957.6</v>
      </c>
      <c r="AB22" s="87">
        <v>2167.9</v>
      </c>
      <c r="AC22" s="87">
        <v>2286.4</v>
      </c>
      <c r="AD22" s="10" t="s">
        <v>19</v>
      </c>
    </row>
    <row r="23" spans="2:30" ht="11.1" customHeight="1" x14ac:dyDescent="0.25">
      <c r="B23" s="21" t="s">
        <v>42</v>
      </c>
      <c r="C23" s="22" t="s">
        <v>6</v>
      </c>
      <c r="D23" s="212">
        <v>1817.3</v>
      </c>
      <c r="E23" s="212">
        <v>1673.7</v>
      </c>
      <c r="F23" s="212">
        <v>2872.2</v>
      </c>
      <c r="G23" s="43">
        <v>2005</v>
      </c>
      <c r="H23" s="43">
        <v>1973.4</v>
      </c>
      <c r="I23" s="43">
        <v>2103.4</v>
      </c>
      <c r="J23" s="43">
        <v>1933</v>
      </c>
      <c r="K23" s="43">
        <v>1706.1</v>
      </c>
      <c r="L23" s="43">
        <v>1559.3</v>
      </c>
      <c r="M23" s="43">
        <v>1373.6</v>
      </c>
      <c r="N23" s="43">
        <v>873.4</v>
      </c>
      <c r="O23" s="43">
        <v>1504</v>
      </c>
      <c r="P23" s="43">
        <v>959.9</v>
      </c>
      <c r="Q23" s="43">
        <v>810.5</v>
      </c>
      <c r="R23" s="43">
        <v>821.5</v>
      </c>
      <c r="S23" s="43">
        <v>1368.4</v>
      </c>
      <c r="T23" s="43">
        <v>1329.2</v>
      </c>
      <c r="U23" s="43">
        <v>1100</v>
      </c>
      <c r="V23" s="43">
        <v>1444</v>
      </c>
      <c r="W23" s="43">
        <v>1196</v>
      </c>
      <c r="X23" s="43">
        <v>2439.5</v>
      </c>
      <c r="Y23" s="43">
        <v>2884.4</v>
      </c>
      <c r="Z23" s="43">
        <v>1646.2</v>
      </c>
      <c r="AA23" s="87">
        <v>2134.1999999999998</v>
      </c>
      <c r="AB23" s="87">
        <v>1675.2</v>
      </c>
      <c r="AC23" s="87">
        <v>2769.9</v>
      </c>
      <c r="AD23" s="10" t="s">
        <v>19</v>
      </c>
    </row>
    <row r="24" spans="2:30" ht="11.1" customHeight="1" x14ac:dyDescent="0.25">
      <c r="B24" s="21" t="s">
        <v>69</v>
      </c>
      <c r="C24" s="22" t="s">
        <v>6</v>
      </c>
      <c r="D24" s="212">
        <v>948.8</v>
      </c>
      <c r="E24" s="212">
        <v>887.6</v>
      </c>
      <c r="F24" s="212">
        <v>950.2</v>
      </c>
      <c r="G24" s="43">
        <v>779.8</v>
      </c>
      <c r="H24" s="43">
        <v>972.7</v>
      </c>
      <c r="I24" s="43">
        <v>953.7</v>
      </c>
      <c r="J24" s="43">
        <v>769</v>
      </c>
      <c r="K24" s="43">
        <v>827.9</v>
      </c>
      <c r="L24" s="43">
        <v>594.1</v>
      </c>
      <c r="M24" s="43">
        <v>681.4</v>
      </c>
      <c r="N24" s="43">
        <v>589.5</v>
      </c>
      <c r="O24" s="43">
        <v>672.7</v>
      </c>
      <c r="P24" s="43">
        <v>487.3</v>
      </c>
      <c r="Q24" s="43">
        <v>596.4</v>
      </c>
      <c r="R24" s="43">
        <v>553.5</v>
      </c>
      <c r="S24" s="43">
        <v>533.29999999999995</v>
      </c>
      <c r="T24" s="43">
        <v>600.6</v>
      </c>
      <c r="U24" s="43">
        <v>772</v>
      </c>
      <c r="V24" s="43">
        <v>597</v>
      </c>
      <c r="W24" s="43">
        <v>610.5</v>
      </c>
      <c r="X24" s="43">
        <v>794.5</v>
      </c>
      <c r="Y24" s="43">
        <v>550.29999999999995</v>
      </c>
      <c r="Z24" s="43">
        <v>1408.2</v>
      </c>
      <c r="AA24" s="87">
        <v>1120</v>
      </c>
      <c r="AB24" s="87">
        <v>627.4</v>
      </c>
      <c r="AC24" s="87">
        <v>970.6</v>
      </c>
      <c r="AD24" s="10" t="s">
        <v>19</v>
      </c>
    </row>
    <row r="25" spans="2:30" ht="11.1" customHeight="1" x14ac:dyDescent="0.25">
      <c r="B25" s="21" t="s">
        <v>361</v>
      </c>
      <c r="C25" s="22" t="s">
        <v>6</v>
      </c>
      <c r="D25" s="212">
        <v>215.5</v>
      </c>
      <c r="E25" s="212">
        <v>144.80000000000001</v>
      </c>
      <c r="F25" s="212">
        <v>226</v>
      </c>
      <c r="G25" s="43">
        <v>247</v>
      </c>
      <c r="H25" s="43">
        <v>1417.3</v>
      </c>
      <c r="I25" s="43">
        <v>1407.2</v>
      </c>
      <c r="J25" s="43">
        <v>97</v>
      </c>
      <c r="K25" s="43">
        <v>277</v>
      </c>
      <c r="L25" s="43">
        <v>272.2</v>
      </c>
      <c r="M25" s="43">
        <v>518.29999999999995</v>
      </c>
      <c r="N25" s="43">
        <v>156.19999999999999</v>
      </c>
      <c r="O25" s="43">
        <v>41.3</v>
      </c>
      <c r="P25" s="43">
        <v>52.2</v>
      </c>
      <c r="Q25" s="43">
        <v>110.4</v>
      </c>
      <c r="R25" s="43">
        <v>70.8</v>
      </c>
      <c r="S25" s="43">
        <v>93.1</v>
      </c>
      <c r="T25" s="43">
        <v>82.2</v>
      </c>
      <c r="U25" s="43">
        <v>90</v>
      </c>
      <c r="V25" s="43">
        <v>134</v>
      </c>
      <c r="W25" s="43">
        <v>102.5</v>
      </c>
      <c r="X25" s="43">
        <v>136.30000000000001</v>
      </c>
      <c r="Y25" s="43">
        <v>121.8</v>
      </c>
      <c r="Z25" s="43">
        <v>713.8</v>
      </c>
      <c r="AA25" s="87">
        <v>882.3</v>
      </c>
      <c r="AB25" s="87">
        <v>1243.4000000000001</v>
      </c>
      <c r="AC25" s="87">
        <v>1375.2</v>
      </c>
      <c r="AD25" s="10" t="s">
        <v>19</v>
      </c>
    </row>
    <row r="26" spans="2:30" ht="11.1" customHeight="1" x14ac:dyDescent="0.25">
      <c r="B26" s="21" t="s">
        <v>362</v>
      </c>
      <c r="C26" s="22" t="s">
        <v>6</v>
      </c>
      <c r="D26" s="212">
        <v>17325.2</v>
      </c>
      <c r="E26" s="212">
        <v>17963.8</v>
      </c>
      <c r="F26" s="212">
        <v>22364.799999999999</v>
      </c>
      <c r="G26" s="43">
        <v>18228.8</v>
      </c>
      <c r="H26" s="43">
        <v>17893.2</v>
      </c>
      <c r="I26" s="43">
        <v>16349.7</v>
      </c>
      <c r="J26" s="43">
        <v>13774</v>
      </c>
      <c r="K26" s="43">
        <v>11010.1</v>
      </c>
      <c r="L26" s="43">
        <v>9053.2000000000007</v>
      </c>
      <c r="M26" s="43">
        <v>7756.2</v>
      </c>
      <c r="N26" s="43">
        <v>5625.4</v>
      </c>
      <c r="O26" s="43">
        <v>4935.3999999999996</v>
      </c>
      <c r="P26" s="43">
        <v>4975</v>
      </c>
      <c r="Q26" s="43">
        <v>5512.2</v>
      </c>
      <c r="R26" s="43">
        <v>6100.1</v>
      </c>
      <c r="S26" s="43">
        <v>6816.8</v>
      </c>
      <c r="T26" s="43">
        <v>7097.3</v>
      </c>
      <c r="U26" s="43">
        <v>7830</v>
      </c>
      <c r="V26" s="43">
        <v>8193</v>
      </c>
      <c r="W26" s="43">
        <v>9700.1</v>
      </c>
      <c r="X26" s="43">
        <v>10173</v>
      </c>
      <c r="Y26" s="43">
        <v>10868.7</v>
      </c>
      <c r="Z26" s="43">
        <v>11595</v>
      </c>
      <c r="AA26" s="87">
        <v>11606.5</v>
      </c>
      <c r="AB26" s="87">
        <v>11007</v>
      </c>
      <c r="AC26" s="87">
        <v>11095.6</v>
      </c>
      <c r="AD26" s="10" t="s">
        <v>19</v>
      </c>
    </row>
    <row r="27" spans="2:30" ht="11.1" customHeight="1" x14ac:dyDescent="0.25">
      <c r="B27" s="350" t="s">
        <v>71</v>
      </c>
      <c r="C27" s="350"/>
      <c r="D27" s="350"/>
      <c r="E27" s="350"/>
      <c r="F27" s="350"/>
      <c r="G27" s="350"/>
      <c r="H27" s="350"/>
      <c r="I27" s="350"/>
      <c r="J27" s="350"/>
      <c r="K27" s="350"/>
      <c r="L27" s="350"/>
      <c r="M27" s="350"/>
      <c r="N27" s="350"/>
      <c r="O27" s="350"/>
      <c r="P27" s="350"/>
      <c r="Q27" s="350"/>
      <c r="R27" s="350"/>
      <c r="S27" s="350"/>
      <c r="T27" s="350"/>
      <c r="U27" s="351"/>
      <c r="V27" s="351"/>
      <c r="W27" s="351"/>
      <c r="X27" s="351"/>
      <c r="Y27" s="351"/>
      <c r="Z27" s="351"/>
      <c r="AA27" s="50"/>
      <c r="AB27" s="50"/>
      <c r="AC27" s="50"/>
      <c r="AD27" s="50"/>
    </row>
    <row r="28" spans="2:30" ht="11.1" customHeight="1" x14ac:dyDescent="0.25">
      <c r="B28" s="21" t="s">
        <v>341</v>
      </c>
      <c r="C28" s="22" t="s">
        <v>6</v>
      </c>
      <c r="D28" s="212">
        <v>616.1</v>
      </c>
      <c r="E28" s="212">
        <v>810.7</v>
      </c>
      <c r="F28" s="212">
        <v>1266.5999999999999</v>
      </c>
      <c r="G28" s="43">
        <v>278.8</v>
      </c>
      <c r="H28" s="43">
        <v>98.5</v>
      </c>
      <c r="I28" s="43">
        <v>18.7</v>
      </c>
      <c r="J28" s="43">
        <v>0</v>
      </c>
      <c r="K28" s="43">
        <v>1.2</v>
      </c>
      <c r="L28" s="43">
        <v>0</v>
      </c>
      <c r="M28" s="43">
        <v>27.7</v>
      </c>
      <c r="N28" s="43">
        <v>0</v>
      </c>
      <c r="O28" s="43">
        <v>0</v>
      </c>
      <c r="P28" s="43">
        <v>0</v>
      </c>
      <c r="Q28" s="43">
        <v>0</v>
      </c>
      <c r="R28" s="43">
        <v>0</v>
      </c>
      <c r="S28" s="43">
        <v>0</v>
      </c>
      <c r="T28" s="43">
        <v>0</v>
      </c>
      <c r="U28" s="43">
        <v>0</v>
      </c>
      <c r="V28" s="43">
        <v>0</v>
      </c>
      <c r="W28" s="43">
        <v>0</v>
      </c>
      <c r="X28" s="43">
        <v>0</v>
      </c>
      <c r="Y28" s="43">
        <v>0</v>
      </c>
      <c r="Z28" s="43">
        <v>0</v>
      </c>
      <c r="AA28" s="87">
        <v>0</v>
      </c>
      <c r="AB28" s="87">
        <v>0</v>
      </c>
      <c r="AC28" s="87">
        <v>0</v>
      </c>
      <c r="AD28" s="10" t="s">
        <v>19</v>
      </c>
    </row>
    <row r="29" spans="2:30" ht="11.1" customHeight="1" x14ac:dyDescent="0.25">
      <c r="B29" s="21" t="s">
        <v>342</v>
      </c>
      <c r="C29" s="22" t="s">
        <v>6</v>
      </c>
      <c r="D29" s="212">
        <v>4425.1000000000004</v>
      </c>
      <c r="E29" s="212">
        <v>4521.2</v>
      </c>
      <c r="F29" s="212">
        <v>5742.2</v>
      </c>
      <c r="G29" s="43">
        <v>6465.3</v>
      </c>
      <c r="H29" s="43">
        <v>6534.7</v>
      </c>
      <c r="I29" s="43">
        <v>5598.4</v>
      </c>
      <c r="J29" s="43">
        <v>8152</v>
      </c>
      <c r="K29" s="43">
        <v>7256.6</v>
      </c>
      <c r="L29" s="43">
        <v>8620.5</v>
      </c>
      <c r="M29" s="43">
        <v>8633.7000000000007</v>
      </c>
      <c r="N29" s="43">
        <v>4898.8</v>
      </c>
      <c r="O29" s="43">
        <v>9181.4</v>
      </c>
      <c r="P29" s="43">
        <v>8313.7000000000007</v>
      </c>
      <c r="Q29" s="43">
        <v>7355.3</v>
      </c>
      <c r="R29" s="43">
        <v>7609.3</v>
      </c>
      <c r="S29" s="43">
        <v>13338.5</v>
      </c>
      <c r="T29" s="43">
        <v>8940.7999999999993</v>
      </c>
      <c r="U29" s="43">
        <v>9552</v>
      </c>
      <c r="V29" s="43">
        <v>8116</v>
      </c>
      <c r="W29" s="43">
        <v>10236.5</v>
      </c>
      <c r="X29" s="43">
        <v>9301.2999999999993</v>
      </c>
      <c r="Y29" s="43">
        <v>13638.1</v>
      </c>
      <c r="Z29" s="43">
        <v>9947.7000000000007</v>
      </c>
      <c r="AA29" s="87">
        <v>7831.2</v>
      </c>
      <c r="AB29" s="87">
        <v>9776.7999999999993</v>
      </c>
      <c r="AC29" s="87">
        <v>10798.6</v>
      </c>
      <c r="AD29" s="10" t="s">
        <v>19</v>
      </c>
    </row>
    <row r="30" spans="2:30" ht="11.1" customHeight="1" x14ac:dyDescent="0.25">
      <c r="B30" s="21" t="s">
        <v>343</v>
      </c>
      <c r="C30" s="22" t="s">
        <v>6</v>
      </c>
      <c r="D30" s="212">
        <v>887</v>
      </c>
      <c r="E30" s="212">
        <v>847.6</v>
      </c>
      <c r="F30" s="212">
        <v>858.2</v>
      </c>
      <c r="G30" s="43">
        <v>814.3</v>
      </c>
      <c r="H30" s="43">
        <v>909.4</v>
      </c>
      <c r="I30" s="43">
        <v>1139</v>
      </c>
      <c r="J30" s="43">
        <v>818</v>
      </c>
      <c r="K30" s="43">
        <v>886</v>
      </c>
      <c r="L30" s="43">
        <v>890.1</v>
      </c>
      <c r="M30" s="43">
        <v>675</v>
      </c>
      <c r="N30" s="43">
        <v>464.8</v>
      </c>
      <c r="O30" s="43">
        <v>455.4</v>
      </c>
      <c r="P30" s="43">
        <v>340.9</v>
      </c>
      <c r="Q30" s="43">
        <v>559.4</v>
      </c>
      <c r="R30" s="43">
        <v>693.8</v>
      </c>
      <c r="S30" s="43">
        <v>666</v>
      </c>
      <c r="T30" s="43">
        <v>452.8</v>
      </c>
      <c r="U30" s="43">
        <v>473</v>
      </c>
      <c r="V30" s="43">
        <v>384</v>
      </c>
      <c r="W30" s="43">
        <v>461.2</v>
      </c>
      <c r="X30" s="43">
        <v>405.2</v>
      </c>
      <c r="Y30" s="43">
        <v>764.7</v>
      </c>
      <c r="Z30" s="43">
        <v>426</v>
      </c>
      <c r="AA30" s="87">
        <v>379.8</v>
      </c>
      <c r="AB30" s="87">
        <v>252.8</v>
      </c>
      <c r="AC30" s="87">
        <v>246</v>
      </c>
      <c r="AD30" s="10" t="s">
        <v>19</v>
      </c>
    </row>
    <row r="31" spans="2:30" ht="11.1" customHeight="1" x14ac:dyDescent="0.25">
      <c r="B31" s="21" t="s">
        <v>344</v>
      </c>
      <c r="C31" s="22" t="s">
        <v>6</v>
      </c>
      <c r="D31" s="212">
        <v>807</v>
      </c>
      <c r="E31" s="212">
        <v>1014.4</v>
      </c>
      <c r="F31" s="212">
        <v>1080.8</v>
      </c>
      <c r="G31" s="43">
        <v>1793.7</v>
      </c>
      <c r="H31" s="43">
        <v>1744.4</v>
      </c>
      <c r="I31" s="43">
        <v>1009.1</v>
      </c>
      <c r="J31" s="43">
        <v>606</v>
      </c>
      <c r="K31" s="43">
        <v>1088.9000000000001</v>
      </c>
      <c r="L31" s="43">
        <v>1376.4</v>
      </c>
      <c r="M31" s="43">
        <v>1174.0999999999999</v>
      </c>
      <c r="N31" s="43">
        <v>1088.7</v>
      </c>
      <c r="O31" s="43">
        <v>1884.4</v>
      </c>
      <c r="P31" s="43">
        <v>1729.2</v>
      </c>
      <c r="Q31" s="43">
        <v>2556.9</v>
      </c>
      <c r="R31" s="43">
        <v>1497.4</v>
      </c>
      <c r="S31" s="43">
        <v>1246.8</v>
      </c>
      <c r="T31" s="43">
        <v>1109.3</v>
      </c>
      <c r="U31" s="43">
        <v>947</v>
      </c>
      <c r="V31" s="43">
        <v>669</v>
      </c>
      <c r="W31" s="43">
        <v>803.9</v>
      </c>
      <c r="X31" s="43">
        <v>752.5</v>
      </c>
      <c r="Y31" s="43">
        <v>1190.7</v>
      </c>
      <c r="Z31" s="43">
        <v>739.7</v>
      </c>
      <c r="AA31" s="87">
        <v>1016.5</v>
      </c>
      <c r="AB31" s="87">
        <v>1085.9000000000001</v>
      </c>
      <c r="AC31" s="87">
        <v>1463.9</v>
      </c>
      <c r="AD31" s="10" t="s">
        <v>19</v>
      </c>
    </row>
    <row r="32" spans="2:30" ht="11.1" customHeight="1" x14ac:dyDescent="0.25">
      <c r="B32" s="21" t="s">
        <v>345</v>
      </c>
      <c r="C32" s="22" t="s">
        <v>6</v>
      </c>
      <c r="D32" s="212">
        <v>19.2</v>
      </c>
      <c r="E32" s="213">
        <v>30.6</v>
      </c>
      <c r="F32" s="213">
        <v>65.900000000000006</v>
      </c>
      <c r="G32" s="43">
        <v>1438.4</v>
      </c>
      <c r="H32" s="43">
        <v>2088</v>
      </c>
      <c r="I32" s="43">
        <v>293.3</v>
      </c>
      <c r="J32" s="43">
        <v>38</v>
      </c>
      <c r="K32" s="43">
        <v>32.5</v>
      </c>
      <c r="L32" s="43">
        <v>36.700000000000003</v>
      </c>
      <c r="M32" s="43">
        <v>6.8</v>
      </c>
      <c r="N32" s="43">
        <v>9.3000000000000007</v>
      </c>
      <c r="O32" s="43">
        <v>6</v>
      </c>
      <c r="P32" s="43">
        <v>0.3</v>
      </c>
      <c r="Q32" s="43">
        <v>4.4000000000000004</v>
      </c>
      <c r="R32" s="43">
        <v>1.3</v>
      </c>
      <c r="S32" s="43">
        <v>2.6</v>
      </c>
      <c r="T32" s="43">
        <v>0.3</v>
      </c>
      <c r="U32" s="43">
        <v>1</v>
      </c>
      <c r="V32" s="43">
        <v>0</v>
      </c>
      <c r="W32" s="43">
        <v>2</v>
      </c>
      <c r="X32" s="43">
        <v>8.1</v>
      </c>
      <c r="Y32" s="43">
        <v>4.5999999999999996</v>
      </c>
      <c r="Z32" s="43">
        <v>19.7</v>
      </c>
      <c r="AA32" s="87">
        <v>25.6</v>
      </c>
      <c r="AB32" s="87">
        <v>20.399999999999999</v>
      </c>
      <c r="AC32" s="87">
        <v>15.9</v>
      </c>
      <c r="AD32" s="10" t="s">
        <v>19</v>
      </c>
    </row>
    <row r="33" spans="2:30" ht="11.1" customHeight="1" x14ac:dyDescent="0.25">
      <c r="B33" s="21" t="s">
        <v>346</v>
      </c>
      <c r="C33" s="22" t="s">
        <v>6</v>
      </c>
      <c r="D33" s="212">
        <v>3156.8</v>
      </c>
      <c r="E33" s="212">
        <v>2765.2</v>
      </c>
      <c r="F33" s="212">
        <v>2941.6</v>
      </c>
      <c r="G33" s="43">
        <v>3098.5</v>
      </c>
      <c r="H33" s="43">
        <v>3566.2</v>
      </c>
      <c r="I33" s="43">
        <v>3102</v>
      </c>
      <c r="J33" s="43">
        <v>3561</v>
      </c>
      <c r="K33" s="43">
        <v>3472.9</v>
      </c>
      <c r="L33" s="43">
        <v>4301.2</v>
      </c>
      <c r="M33" s="43">
        <v>3627.5</v>
      </c>
      <c r="N33" s="43">
        <v>2768.7</v>
      </c>
      <c r="O33" s="43">
        <v>3382.4</v>
      </c>
      <c r="P33" s="43">
        <v>3767.9</v>
      </c>
      <c r="Q33" s="43">
        <v>3129.6</v>
      </c>
      <c r="R33" s="43">
        <v>3462.8</v>
      </c>
      <c r="S33" s="43">
        <v>4007.6</v>
      </c>
      <c r="T33" s="43">
        <v>3617.1</v>
      </c>
      <c r="U33" s="43">
        <v>3565</v>
      </c>
      <c r="V33" s="43">
        <v>2674</v>
      </c>
      <c r="W33" s="43">
        <v>3208.3</v>
      </c>
      <c r="X33" s="43">
        <v>3817.9</v>
      </c>
      <c r="Y33" s="43">
        <v>4050.5</v>
      </c>
      <c r="Z33" s="43">
        <v>3247.8</v>
      </c>
      <c r="AA33" s="87">
        <v>3596.2</v>
      </c>
      <c r="AB33" s="87">
        <v>3076.1</v>
      </c>
      <c r="AC33" s="87">
        <v>3543.3</v>
      </c>
      <c r="AD33" s="10" t="s">
        <v>19</v>
      </c>
    </row>
    <row r="34" spans="2:30" ht="11.1" customHeight="1" x14ac:dyDescent="0.25">
      <c r="B34" s="21" t="s">
        <v>347</v>
      </c>
      <c r="C34" s="22" t="s">
        <v>6</v>
      </c>
      <c r="D34" s="212">
        <v>189.3</v>
      </c>
      <c r="E34" s="212">
        <v>403.7</v>
      </c>
      <c r="F34" s="212">
        <v>921</v>
      </c>
      <c r="G34" s="43">
        <v>925.2</v>
      </c>
      <c r="H34" s="43">
        <v>1688.4</v>
      </c>
      <c r="I34" s="43">
        <v>2508.1999999999998</v>
      </c>
      <c r="J34" s="43">
        <v>1449</v>
      </c>
      <c r="K34" s="43">
        <v>866.6</v>
      </c>
      <c r="L34" s="43">
        <v>1651.5</v>
      </c>
      <c r="M34" s="43">
        <v>2050</v>
      </c>
      <c r="N34" s="43">
        <v>2289.8000000000002</v>
      </c>
      <c r="O34" s="43">
        <v>1928.8</v>
      </c>
      <c r="P34" s="43">
        <v>943</v>
      </c>
      <c r="Q34" s="43">
        <v>1209.4000000000001</v>
      </c>
      <c r="R34" s="43">
        <v>1857</v>
      </c>
      <c r="S34" s="43">
        <v>1827.9</v>
      </c>
      <c r="T34" s="43">
        <v>1201.5</v>
      </c>
      <c r="U34" s="43">
        <v>1302</v>
      </c>
      <c r="V34" s="43">
        <v>1980</v>
      </c>
      <c r="W34" s="43">
        <v>1666.8</v>
      </c>
      <c r="X34" s="43">
        <v>2162.1999999999998</v>
      </c>
      <c r="Y34" s="43">
        <v>1496.6</v>
      </c>
      <c r="Z34" s="43">
        <v>2297.5</v>
      </c>
      <c r="AA34" s="87">
        <v>2400.9</v>
      </c>
      <c r="AB34" s="87">
        <v>589.79999999999995</v>
      </c>
      <c r="AC34" s="87">
        <v>847.8</v>
      </c>
      <c r="AD34" s="10" t="s">
        <v>19</v>
      </c>
    </row>
    <row r="35" spans="2:30" ht="11.1" customHeight="1" x14ac:dyDescent="0.25">
      <c r="B35" s="21" t="s">
        <v>348</v>
      </c>
      <c r="C35" s="22" t="s">
        <v>6</v>
      </c>
      <c r="D35" s="212">
        <v>2508.5</v>
      </c>
      <c r="E35" s="212">
        <v>2584.6999999999998</v>
      </c>
      <c r="F35" s="212">
        <v>2526.9</v>
      </c>
      <c r="G35" s="43">
        <v>1839.2</v>
      </c>
      <c r="H35" s="43">
        <v>1813</v>
      </c>
      <c r="I35" s="43">
        <v>2249</v>
      </c>
      <c r="J35" s="43">
        <v>2125</v>
      </c>
      <c r="K35" s="43">
        <v>2168.3000000000002</v>
      </c>
      <c r="L35" s="43">
        <v>2579.6</v>
      </c>
      <c r="M35" s="43">
        <v>3293.9</v>
      </c>
      <c r="N35" s="43">
        <v>2567</v>
      </c>
      <c r="O35" s="43">
        <v>2810.7</v>
      </c>
      <c r="P35" s="43">
        <v>2916.2</v>
      </c>
      <c r="Q35" s="43">
        <v>3204.7</v>
      </c>
      <c r="R35" s="43">
        <v>2547.1</v>
      </c>
      <c r="S35" s="43">
        <v>2058.3000000000002</v>
      </c>
      <c r="T35" s="43">
        <v>1736.9</v>
      </c>
      <c r="U35" s="43">
        <v>2003</v>
      </c>
      <c r="V35" s="43">
        <v>1860</v>
      </c>
      <c r="W35" s="43">
        <v>1895.3</v>
      </c>
      <c r="X35" s="43">
        <v>1789.1</v>
      </c>
      <c r="Y35" s="43">
        <v>2486.3000000000002</v>
      </c>
      <c r="Z35" s="43">
        <v>2229.9</v>
      </c>
      <c r="AA35" s="87">
        <v>2431.9</v>
      </c>
      <c r="AB35" s="87">
        <v>2126.8000000000002</v>
      </c>
      <c r="AC35" s="87">
        <v>2089.4</v>
      </c>
      <c r="AD35" s="10" t="s">
        <v>19</v>
      </c>
    </row>
    <row r="36" spans="2:30" ht="11.1" customHeight="1" x14ac:dyDescent="0.25">
      <c r="B36" s="21" t="s">
        <v>349</v>
      </c>
      <c r="C36" s="22" t="s">
        <v>6</v>
      </c>
      <c r="D36" s="212">
        <v>403.9</v>
      </c>
      <c r="E36" s="212">
        <v>385.4</v>
      </c>
      <c r="F36" s="212">
        <v>335.2</v>
      </c>
      <c r="G36" s="43">
        <v>259.8</v>
      </c>
      <c r="H36" s="43">
        <v>197</v>
      </c>
      <c r="I36" s="43">
        <v>235.6</v>
      </c>
      <c r="J36" s="43">
        <v>193</v>
      </c>
      <c r="K36" s="43">
        <v>203</v>
      </c>
      <c r="L36" s="43">
        <v>176.2</v>
      </c>
      <c r="M36" s="43">
        <v>190.7</v>
      </c>
      <c r="N36" s="43">
        <v>204.9</v>
      </c>
      <c r="O36" s="43">
        <v>216.7</v>
      </c>
      <c r="P36" s="43">
        <v>161.6</v>
      </c>
      <c r="Q36" s="43">
        <v>192.4</v>
      </c>
      <c r="R36" s="43">
        <v>183.2</v>
      </c>
      <c r="S36" s="43">
        <v>148.9</v>
      </c>
      <c r="T36" s="43">
        <v>93.4</v>
      </c>
      <c r="U36" s="43">
        <v>106</v>
      </c>
      <c r="V36" s="43">
        <v>108</v>
      </c>
      <c r="W36" s="43">
        <v>117.9</v>
      </c>
      <c r="X36" s="43">
        <v>90.4</v>
      </c>
      <c r="Y36" s="43">
        <v>118.1</v>
      </c>
      <c r="Z36" s="43">
        <v>151</v>
      </c>
      <c r="AA36" s="87">
        <v>136.19999999999999</v>
      </c>
      <c r="AB36" s="87">
        <v>108.5</v>
      </c>
      <c r="AC36" s="87">
        <v>119.2</v>
      </c>
      <c r="AD36" s="10" t="s">
        <v>19</v>
      </c>
    </row>
    <row r="37" spans="2:30" ht="11.1" customHeight="1" x14ac:dyDescent="0.25">
      <c r="B37" s="21" t="s">
        <v>350</v>
      </c>
      <c r="C37" s="22" t="s">
        <v>6</v>
      </c>
      <c r="D37" s="212">
        <v>661.2</v>
      </c>
      <c r="E37" s="212">
        <v>656.4</v>
      </c>
      <c r="F37" s="212">
        <v>528.1</v>
      </c>
      <c r="G37" s="43">
        <v>542.6</v>
      </c>
      <c r="H37" s="43">
        <v>500.4</v>
      </c>
      <c r="I37" s="43">
        <v>697.1</v>
      </c>
      <c r="J37" s="43">
        <v>417</v>
      </c>
      <c r="K37" s="43">
        <v>432.2</v>
      </c>
      <c r="L37" s="43">
        <v>404.8</v>
      </c>
      <c r="M37" s="43">
        <v>451.3</v>
      </c>
      <c r="N37" s="43">
        <v>313.89999999999998</v>
      </c>
      <c r="O37" s="43">
        <v>445.5</v>
      </c>
      <c r="P37" s="43">
        <v>668.9</v>
      </c>
      <c r="Q37" s="43">
        <v>731.5</v>
      </c>
      <c r="R37" s="43">
        <v>794.1</v>
      </c>
      <c r="S37" s="43">
        <v>605</v>
      </c>
      <c r="T37" s="43">
        <v>708.4</v>
      </c>
      <c r="U37" s="43">
        <v>818</v>
      </c>
      <c r="V37" s="43">
        <v>766</v>
      </c>
      <c r="W37" s="43">
        <v>774.3</v>
      </c>
      <c r="X37" s="43">
        <v>611.4</v>
      </c>
      <c r="Y37" s="43">
        <v>622.4</v>
      </c>
      <c r="Z37" s="43">
        <v>982.6</v>
      </c>
      <c r="AA37" s="87">
        <v>1042.7</v>
      </c>
      <c r="AB37" s="87">
        <v>1415.5</v>
      </c>
      <c r="AC37" s="87">
        <v>870.2</v>
      </c>
      <c r="AD37" s="10" t="s">
        <v>19</v>
      </c>
    </row>
    <row r="38" spans="2:30" ht="11.1" customHeight="1" x14ac:dyDescent="0.25">
      <c r="B38" s="21" t="s">
        <v>351</v>
      </c>
      <c r="C38" s="22" t="s">
        <v>6</v>
      </c>
      <c r="D38" s="212">
        <v>1621.6</v>
      </c>
      <c r="E38" s="212">
        <v>1348.6</v>
      </c>
      <c r="F38" s="212">
        <v>1550.2</v>
      </c>
      <c r="G38" s="43">
        <v>1661.9</v>
      </c>
      <c r="H38" s="43">
        <v>1816.6</v>
      </c>
      <c r="I38" s="43">
        <v>1894.2</v>
      </c>
      <c r="J38" s="43">
        <v>1507</v>
      </c>
      <c r="K38" s="43">
        <v>2169.8000000000002</v>
      </c>
      <c r="L38" s="43">
        <v>1991.6</v>
      </c>
      <c r="M38" s="43">
        <v>2161.8000000000002</v>
      </c>
      <c r="N38" s="43">
        <v>1555.8</v>
      </c>
      <c r="O38" s="43">
        <v>1597.3</v>
      </c>
      <c r="P38" s="43">
        <v>1931.1</v>
      </c>
      <c r="Q38" s="43">
        <v>1452.2</v>
      </c>
      <c r="R38" s="43">
        <v>1233.7</v>
      </c>
      <c r="S38" s="43">
        <v>1193.3</v>
      </c>
      <c r="T38" s="43">
        <v>1681.2</v>
      </c>
      <c r="U38" s="43">
        <v>1514</v>
      </c>
      <c r="V38" s="43">
        <v>1246</v>
      </c>
      <c r="W38" s="43">
        <v>1076</v>
      </c>
      <c r="X38" s="43">
        <v>1222.9000000000001</v>
      </c>
      <c r="Y38" s="43">
        <v>1456.4</v>
      </c>
      <c r="Z38" s="43">
        <v>1517.9</v>
      </c>
      <c r="AA38" s="87">
        <v>1199</v>
      </c>
      <c r="AB38" s="87">
        <v>1052.5999999999999</v>
      </c>
      <c r="AC38" s="87">
        <v>1291.0999999999999</v>
      </c>
      <c r="AD38" s="10" t="s">
        <v>19</v>
      </c>
    </row>
    <row r="39" spans="2:30" ht="11.1" customHeight="1" x14ac:dyDescent="0.25">
      <c r="B39" s="21" t="s">
        <v>352</v>
      </c>
      <c r="C39" s="22" t="s">
        <v>6</v>
      </c>
      <c r="D39" s="212">
        <v>589.29999999999995</v>
      </c>
      <c r="E39" s="212">
        <v>667.3</v>
      </c>
      <c r="F39" s="212">
        <v>743.2</v>
      </c>
      <c r="G39" s="43">
        <v>808.4</v>
      </c>
      <c r="H39" s="43">
        <v>797.1</v>
      </c>
      <c r="I39" s="43">
        <v>626.29999999999995</v>
      </c>
      <c r="J39" s="43">
        <v>459</v>
      </c>
      <c r="K39" s="43">
        <v>551.5</v>
      </c>
      <c r="L39" s="43">
        <v>633.79999999999995</v>
      </c>
      <c r="M39" s="43">
        <v>692.1</v>
      </c>
      <c r="N39" s="43">
        <v>659.5</v>
      </c>
      <c r="O39" s="43">
        <v>574.9</v>
      </c>
      <c r="P39" s="43">
        <v>588.1</v>
      </c>
      <c r="Q39" s="43">
        <v>610.29999999999995</v>
      </c>
      <c r="R39" s="43">
        <v>620.5</v>
      </c>
      <c r="S39" s="43">
        <v>593.9</v>
      </c>
      <c r="T39" s="43">
        <v>666.1</v>
      </c>
      <c r="U39" s="43">
        <v>707</v>
      </c>
      <c r="V39" s="43">
        <v>489</v>
      </c>
      <c r="W39" s="43">
        <v>535.5</v>
      </c>
      <c r="X39" s="43">
        <v>614.4</v>
      </c>
      <c r="Y39" s="43">
        <v>634.6</v>
      </c>
      <c r="Z39" s="43">
        <v>653.4</v>
      </c>
      <c r="AA39" s="87">
        <v>546</v>
      </c>
      <c r="AB39" s="87">
        <v>604.9</v>
      </c>
      <c r="AC39" s="87">
        <v>594.4</v>
      </c>
      <c r="AD39" s="10" t="s">
        <v>19</v>
      </c>
    </row>
    <row r="40" spans="2:30" ht="11.1" customHeight="1" x14ac:dyDescent="0.25">
      <c r="B40" s="21" t="s">
        <v>52</v>
      </c>
      <c r="C40" s="22" t="s">
        <v>6</v>
      </c>
      <c r="D40" s="212">
        <v>3481.7</v>
      </c>
      <c r="E40" s="212">
        <v>2002.6</v>
      </c>
      <c r="F40" s="212">
        <v>3049.2</v>
      </c>
      <c r="G40" s="43">
        <v>2786.3</v>
      </c>
      <c r="H40" s="43">
        <v>4719.7</v>
      </c>
      <c r="I40" s="43">
        <v>3723.9</v>
      </c>
      <c r="J40" s="43">
        <v>2819</v>
      </c>
      <c r="K40" s="43">
        <v>2876.5</v>
      </c>
      <c r="L40" s="43">
        <v>3680.3</v>
      </c>
      <c r="M40" s="43">
        <v>3648.5</v>
      </c>
      <c r="N40" s="43">
        <v>3014.7</v>
      </c>
      <c r="O40" s="43">
        <v>2390.1</v>
      </c>
      <c r="P40" s="43">
        <v>3322</v>
      </c>
      <c r="Q40" s="43">
        <v>3862.2</v>
      </c>
      <c r="R40" s="43">
        <v>3323.8</v>
      </c>
      <c r="S40" s="43">
        <v>2687.4</v>
      </c>
      <c r="T40" s="43">
        <v>2666.9</v>
      </c>
      <c r="U40" s="43">
        <v>2828</v>
      </c>
      <c r="V40" s="43">
        <v>2754</v>
      </c>
      <c r="W40" s="43">
        <v>4956.2</v>
      </c>
      <c r="X40" s="43">
        <v>5408.6</v>
      </c>
      <c r="Y40" s="43">
        <v>5130.6000000000004</v>
      </c>
      <c r="Z40" s="43">
        <v>2865.7</v>
      </c>
      <c r="AA40" s="87">
        <v>2924.3</v>
      </c>
      <c r="AB40" s="87">
        <v>3238.9</v>
      </c>
      <c r="AC40" s="87">
        <v>4529.8</v>
      </c>
      <c r="AD40" s="10" t="s">
        <v>19</v>
      </c>
    </row>
    <row r="41" spans="2:30" ht="11.1" customHeight="1" x14ac:dyDescent="0.25">
      <c r="B41" s="21" t="s">
        <v>353</v>
      </c>
      <c r="C41" s="22" t="s">
        <v>6</v>
      </c>
      <c r="D41" s="212">
        <v>745.9</v>
      </c>
      <c r="E41" s="212">
        <v>803.6</v>
      </c>
      <c r="F41" s="212">
        <v>862.8</v>
      </c>
      <c r="G41" s="43">
        <v>781</v>
      </c>
      <c r="H41" s="43">
        <v>847.1</v>
      </c>
      <c r="I41" s="43">
        <v>748</v>
      </c>
      <c r="J41" s="43">
        <v>677</v>
      </c>
      <c r="K41" s="43">
        <v>860.8</v>
      </c>
      <c r="L41" s="43">
        <v>1101.9000000000001</v>
      </c>
      <c r="M41" s="43">
        <v>1290.2</v>
      </c>
      <c r="N41" s="43">
        <v>1029.4000000000001</v>
      </c>
      <c r="O41" s="43">
        <v>1121.2</v>
      </c>
      <c r="P41" s="43">
        <v>1242.5</v>
      </c>
      <c r="Q41" s="43">
        <v>1261.8</v>
      </c>
      <c r="R41" s="43">
        <v>1185.5</v>
      </c>
      <c r="S41" s="43">
        <v>1176.4000000000001</v>
      </c>
      <c r="T41" s="43">
        <v>1320.8</v>
      </c>
      <c r="U41" s="43">
        <v>1353</v>
      </c>
      <c r="V41" s="43">
        <v>1240</v>
      </c>
      <c r="W41" s="43">
        <v>1257.7</v>
      </c>
      <c r="X41" s="43">
        <v>1293.5</v>
      </c>
      <c r="Y41" s="43">
        <v>1367.9</v>
      </c>
      <c r="Z41" s="43">
        <v>1366</v>
      </c>
      <c r="AA41" s="87">
        <v>1613.1</v>
      </c>
      <c r="AB41" s="87">
        <v>1443</v>
      </c>
      <c r="AC41" s="87">
        <v>1202</v>
      </c>
      <c r="AD41" s="10" t="s">
        <v>19</v>
      </c>
    </row>
    <row r="42" spans="2:30" ht="11.1" customHeight="1" x14ac:dyDescent="0.25">
      <c r="B42" s="21" t="s">
        <v>363</v>
      </c>
      <c r="C42" s="22" t="s">
        <v>6</v>
      </c>
      <c r="D42" s="212">
        <v>12358.6</v>
      </c>
      <c r="E42" s="212">
        <v>13604.1</v>
      </c>
      <c r="F42" s="212">
        <v>13554.4</v>
      </c>
      <c r="G42" s="43">
        <v>12703.1</v>
      </c>
      <c r="H42" s="43">
        <v>14913.5</v>
      </c>
      <c r="I42" s="43">
        <v>14731.9</v>
      </c>
      <c r="J42" s="43">
        <v>16760</v>
      </c>
      <c r="K42" s="43">
        <v>20599.3</v>
      </c>
      <c r="L42" s="43">
        <v>22456.400000000001</v>
      </c>
      <c r="M42" s="43">
        <v>19909.400000000001</v>
      </c>
      <c r="N42" s="43">
        <v>23525.8</v>
      </c>
      <c r="O42" s="43">
        <v>21692.7</v>
      </c>
      <c r="P42" s="43">
        <v>17920.099999999999</v>
      </c>
      <c r="Q42" s="43">
        <v>16166.6</v>
      </c>
      <c r="R42" s="43">
        <v>15915.4</v>
      </c>
      <c r="S42" s="43">
        <v>18182.3</v>
      </c>
      <c r="T42" s="43">
        <v>17094.099999999999</v>
      </c>
      <c r="U42" s="43">
        <v>17383</v>
      </c>
      <c r="V42" s="43">
        <v>15350</v>
      </c>
      <c r="W42" s="43">
        <v>18613.2</v>
      </c>
      <c r="X42" s="43">
        <v>21157.1</v>
      </c>
      <c r="Y42" s="43">
        <v>20942</v>
      </c>
      <c r="Z42" s="43">
        <v>18850.3</v>
      </c>
      <c r="AA42" s="87">
        <v>17525.8</v>
      </c>
      <c r="AB42" s="87">
        <v>17628.2</v>
      </c>
      <c r="AC42" s="87">
        <v>19360.2</v>
      </c>
      <c r="AD42" s="10" t="s">
        <v>19</v>
      </c>
    </row>
    <row r="43" spans="2:30" ht="11.1" customHeight="1" x14ac:dyDescent="0.25">
      <c r="B43" s="21" t="s">
        <v>364</v>
      </c>
      <c r="C43" s="22" t="s">
        <v>6</v>
      </c>
      <c r="D43" s="212">
        <v>32471.3</v>
      </c>
      <c r="E43" s="212">
        <v>32445.9</v>
      </c>
      <c r="F43" s="212">
        <v>36026.1</v>
      </c>
      <c r="G43" s="43">
        <v>36196.5</v>
      </c>
      <c r="H43" s="43">
        <v>42234</v>
      </c>
      <c r="I43" s="43">
        <v>38574.699999999997</v>
      </c>
      <c r="J43" s="43">
        <v>39581</v>
      </c>
      <c r="K43" s="43">
        <v>43466.2</v>
      </c>
      <c r="L43" s="43">
        <v>49901</v>
      </c>
      <c r="M43" s="43">
        <v>47832.7</v>
      </c>
      <c r="N43" s="43">
        <v>44391</v>
      </c>
      <c r="O43" s="43">
        <v>47687.5</v>
      </c>
      <c r="P43" s="43">
        <v>43845.4</v>
      </c>
      <c r="Q43" s="43">
        <v>42296.6</v>
      </c>
      <c r="R43" s="43">
        <v>40924.800000000003</v>
      </c>
      <c r="S43" s="43">
        <v>47734.8</v>
      </c>
      <c r="T43" s="43">
        <v>41289.5</v>
      </c>
      <c r="U43" s="43">
        <v>42552</v>
      </c>
      <c r="V43" s="43">
        <v>37636</v>
      </c>
      <c r="W43" s="43">
        <v>45605</v>
      </c>
      <c r="X43" s="43">
        <v>48634.6</v>
      </c>
      <c r="Y43" s="43">
        <v>53903.5</v>
      </c>
      <c r="Z43" s="43">
        <v>45295.4</v>
      </c>
      <c r="AA43" s="87">
        <v>42669.2</v>
      </c>
      <c r="AB43" s="87">
        <v>42420.3</v>
      </c>
      <c r="AC43" s="87">
        <v>46971.7</v>
      </c>
      <c r="AD43" s="10" t="s">
        <v>19</v>
      </c>
    </row>
    <row r="44" spans="2:30" ht="12" customHeight="1" x14ac:dyDescent="0.25">
      <c r="B44" s="42" t="s">
        <v>354</v>
      </c>
      <c r="C44" s="22" t="s">
        <v>6</v>
      </c>
      <c r="D44" s="212">
        <v>149.80000000000001</v>
      </c>
      <c r="E44" s="213">
        <v>182.3</v>
      </c>
      <c r="F44" s="213">
        <v>1633.7</v>
      </c>
      <c r="G44" s="43">
        <v>1734.2</v>
      </c>
      <c r="H44" s="43">
        <v>153.5</v>
      </c>
      <c r="I44" s="43">
        <v>90.6</v>
      </c>
      <c r="J44" s="43">
        <v>1226</v>
      </c>
      <c r="K44" s="43">
        <v>871</v>
      </c>
      <c r="L44" s="43">
        <v>787.1</v>
      </c>
      <c r="M44" s="43">
        <v>836.3</v>
      </c>
      <c r="N44" s="43">
        <v>897.2</v>
      </c>
      <c r="O44" s="43">
        <v>887.1</v>
      </c>
      <c r="P44" s="43">
        <v>693</v>
      </c>
      <c r="Q44" s="43">
        <v>683.8</v>
      </c>
      <c r="R44" s="43">
        <v>642.70000000000005</v>
      </c>
      <c r="S44" s="43">
        <v>660.2</v>
      </c>
      <c r="T44" s="43">
        <v>561</v>
      </c>
      <c r="U44" s="43">
        <v>585</v>
      </c>
      <c r="V44" s="43">
        <v>565</v>
      </c>
      <c r="W44" s="43">
        <v>684.6</v>
      </c>
      <c r="X44" s="43">
        <v>817.3</v>
      </c>
      <c r="Y44" s="43">
        <v>613.4</v>
      </c>
      <c r="Z44" s="43">
        <v>785.6</v>
      </c>
      <c r="AA44" s="87">
        <v>333.5</v>
      </c>
      <c r="AB44" s="87">
        <v>246.5</v>
      </c>
      <c r="AC44" s="87">
        <v>412.8</v>
      </c>
      <c r="AD44" s="10" t="s">
        <v>19</v>
      </c>
    </row>
    <row r="45" spans="2:30" ht="11.1" customHeight="1" x14ac:dyDescent="0.25">
      <c r="B45" s="42" t="s">
        <v>55</v>
      </c>
      <c r="C45" s="22" t="s">
        <v>6</v>
      </c>
      <c r="D45" s="212">
        <v>82428</v>
      </c>
      <c r="E45" s="212">
        <v>87961.9</v>
      </c>
      <c r="F45" s="212">
        <v>104394.9</v>
      </c>
      <c r="G45" s="43">
        <v>95101.5</v>
      </c>
      <c r="H45" s="43">
        <v>104433.3</v>
      </c>
      <c r="I45" s="43">
        <v>89711.2</v>
      </c>
      <c r="J45" s="43">
        <v>79614</v>
      </c>
      <c r="K45" s="43">
        <v>81017.2</v>
      </c>
      <c r="L45" s="43">
        <v>87400.7</v>
      </c>
      <c r="M45" s="43">
        <v>89044.3</v>
      </c>
      <c r="N45" s="43">
        <v>79110.7</v>
      </c>
      <c r="O45" s="43">
        <v>81851.8</v>
      </c>
      <c r="P45" s="43">
        <v>79149.3</v>
      </c>
      <c r="Q45" s="43">
        <v>77265.3</v>
      </c>
      <c r="R45" s="43">
        <v>80693.7</v>
      </c>
      <c r="S45" s="43">
        <v>92479</v>
      </c>
      <c r="T45" s="43">
        <v>89483.5</v>
      </c>
      <c r="U45" s="43">
        <v>91082</v>
      </c>
      <c r="V45" s="43">
        <v>89305</v>
      </c>
      <c r="W45" s="43">
        <v>99501.1</v>
      </c>
      <c r="X45" s="43">
        <v>106233.7</v>
      </c>
      <c r="Y45" s="43">
        <v>113173.6</v>
      </c>
      <c r="Z45" s="43">
        <v>102927</v>
      </c>
      <c r="AA45" s="87">
        <v>98013.1</v>
      </c>
      <c r="AB45" s="87">
        <v>95706.3</v>
      </c>
      <c r="AC45" s="87">
        <v>102932.9</v>
      </c>
      <c r="AD45" s="10" t="s">
        <v>19</v>
      </c>
    </row>
    <row r="46" spans="2:30" ht="11.1" customHeight="1" x14ac:dyDescent="0.25">
      <c r="B46" s="350" t="s">
        <v>355</v>
      </c>
      <c r="C46" s="350"/>
      <c r="D46" s="350"/>
      <c r="E46" s="350"/>
      <c r="F46" s="350"/>
      <c r="G46" s="350"/>
      <c r="H46" s="350"/>
      <c r="I46" s="350"/>
      <c r="J46" s="350"/>
      <c r="K46" s="350"/>
      <c r="L46" s="350"/>
      <c r="M46" s="350"/>
      <c r="N46" s="350"/>
      <c r="O46" s="350"/>
      <c r="P46" s="350"/>
      <c r="Q46" s="350"/>
      <c r="R46" s="350"/>
      <c r="S46" s="350"/>
      <c r="T46" s="350"/>
      <c r="U46" s="351"/>
      <c r="V46" s="351"/>
      <c r="W46" s="351"/>
      <c r="X46" s="351"/>
      <c r="Y46" s="351"/>
      <c r="Z46" s="351"/>
      <c r="AA46" s="50"/>
      <c r="AB46" s="50"/>
      <c r="AC46" s="50"/>
      <c r="AD46" s="50"/>
    </row>
    <row r="47" spans="2:30" ht="11.1" customHeight="1" x14ac:dyDescent="0.25">
      <c r="B47" s="21" t="s">
        <v>87</v>
      </c>
      <c r="C47" s="22" t="s">
        <v>6</v>
      </c>
      <c r="D47" s="212">
        <v>6846.4</v>
      </c>
      <c r="E47" s="212">
        <v>6067.9</v>
      </c>
      <c r="F47" s="212">
        <v>4934.3</v>
      </c>
      <c r="G47" s="43">
        <v>5440.4</v>
      </c>
      <c r="H47" s="43">
        <v>6178.2</v>
      </c>
      <c r="I47" s="43">
        <v>4431.7</v>
      </c>
      <c r="J47" s="43">
        <v>4463.6000000000004</v>
      </c>
      <c r="K47" s="43">
        <v>3387.1</v>
      </c>
      <c r="L47" s="43">
        <v>2580</v>
      </c>
      <c r="M47" s="43">
        <v>2700</v>
      </c>
      <c r="N47" s="43">
        <v>2279</v>
      </c>
      <c r="O47" s="43">
        <v>2400</v>
      </c>
      <c r="P47" s="43">
        <v>1732</v>
      </c>
      <c r="Q47" s="43">
        <v>3665</v>
      </c>
      <c r="R47" s="43">
        <v>3484</v>
      </c>
      <c r="S47" s="43">
        <v>4495</v>
      </c>
      <c r="T47" s="43">
        <v>5109.7</v>
      </c>
      <c r="U47" s="43">
        <v>5984.8</v>
      </c>
      <c r="V47" s="43">
        <v>7868.5</v>
      </c>
      <c r="W47" s="43">
        <v>5821.1</v>
      </c>
      <c r="X47" s="43">
        <v>3375</v>
      </c>
      <c r="Y47" s="43">
        <v>9892</v>
      </c>
      <c r="Z47" s="43">
        <v>13101</v>
      </c>
      <c r="AA47" s="87">
        <v>13721</v>
      </c>
      <c r="AB47" s="87">
        <v>4622</v>
      </c>
      <c r="AC47" s="87">
        <v>0</v>
      </c>
      <c r="AD47" s="10" t="s">
        <v>19</v>
      </c>
    </row>
    <row r="48" spans="2:30" ht="11.1" customHeight="1" x14ac:dyDescent="0.25">
      <c r="B48" s="21" t="s">
        <v>327</v>
      </c>
      <c r="C48" s="22" t="s">
        <v>6</v>
      </c>
      <c r="D48" s="212">
        <v>499.9</v>
      </c>
      <c r="E48" s="212">
        <v>566.20000000000005</v>
      </c>
      <c r="F48" s="212">
        <v>467.5</v>
      </c>
      <c r="G48" s="43">
        <v>367</v>
      </c>
      <c r="H48" s="43">
        <v>437.2</v>
      </c>
      <c r="I48" s="43">
        <v>356.7</v>
      </c>
      <c r="J48" s="43">
        <v>363.7</v>
      </c>
      <c r="K48" s="43">
        <v>213.7</v>
      </c>
      <c r="L48" s="43">
        <v>257</v>
      </c>
      <c r="M48" s="43">
        <v>281</v>
      </c>
      <c r="N48" s="43">
        <v>176</v>
      </c>
      <c r="O48" s="43">
        <v>175</v>
      </c>
      <c r="P48" s="43">
        <v>217</v>
      </c>
      <c r="Q48" s="43">
        <v>271</v>
      </c>
      <c r="R48" s="43">
        <v>275</v>
      </c>
      <c r="S48" s="43">
        <v>285</v>
      </c>
      <c r="T48" s="43">
        <v>337.5</v>
      </c>
      <c r="U48" s="43">
        <v>336.2</v>
      </c>
      <c r="V48" s="43">
        <v>380.5</v>
      </c>
      <c r="W48" s="43">
        <v>412.9</v>
      </c>
      <c r="X48" s="43">
        <v>478</v>
      </c>
      <c r="Y48" s="43">
        <v>359</v>
      </c>
      <c r="Z48" s="43">
        <v>467</v>
      </c>
      <c r="AA48" s="87">
        <v>483</v>
      </c>
      <c r="AB48" s="87">
        <v>300</v>
      </c>
      <c r="AC48" s="87">
        <v>311</v>
      </c>
      <c r="AD48" s="10" t="s">
        <v>19</v>
      </c>
    </row>
    <row r="49" spans="2:30" ht="11.1" customHeight="1" x14ac:dyDescent="0.25">
      <c r="B49" s="21" t="s">
        <v>365</v>
      </c>
      <c r="C49" s="22" t="s">
        <v>6</v>
      </c>
      <c r="D49" s="212">
        <v>27434.9</v>
      </c>
      <c r="E49" s="212">
        <v>30089.3</v>
      </c>
      <c r="F49" s="212">
        <v>31620.799999999999</v>
      </c>
      <c r="G49" s="43">
        <v>31538.2</v>
      </c>
      <c r="H49" s="43">
        <v>34700.1</v>
      </c>
      <c r="I49" s="43">
        <v>37921.199999999997</v>
      </c>
      <c r="J49" s="43">
        <v>35886.1</v>
      </c>
      <c r="K49" s="43">
        <v>34093.199999999997</v>
      </c>
      <c r="L49" s="43">
        <v>36446</v>
      </c>
      <c r="M49" s="43">
        <v>39000</v>
      </c>
      <c r="N49" s="43">
        <v>40029</v>
      </c>
      <c r="O49" s="43">
        <v>43000</v>
      </c>
      <c r="P49" s="43">
        <v>38305</v>
      </c>
      <c r="Q49" s="43">
        <v>35182</v>
      </c>
      <c r="R49" s="43">
        <v>35907</v>
      </c>
      <c r="S49" s="43">
        <v>36007</v>
      </c>
      <c r="T49" s="43">
        <v>38908.300000000003</v>
      </c>
      <c r="U49" s="43">
        <v>42773.9</v>
      </c>
      <c r="V49" s="43">
        <v>45413.1</v>
      </c>
      <c r="W49" s="43">
        <v>51832.2</v>
      </c>
      <c r="X49" s="43">
        <v>58693</v>
      </c>
      <c r="Y49" s="43">
        <v>58242</v>
      </c>
      <c r="Z49" s="43">
        <v>58270</v>
      </c>
      <c r="AA49" s="87">
        <v>58428</v>
      </c>
      <c r="AB49" s="87">
        <v>77578</v>
      </c>
      <c r="AC49" s="87">
        <v>78005</v>
      </c>
      <c r="AD49" s="10" t="s">
        <v>19</v>
      </c>
    </row>
    <row r="50" spans="2:30" ht="11.1" customHeight="1" x14ac:dyDescent="0.25">
      <c r="B50" s="21" t="s">
        <v>356</v>
      </c>
      <c r="C50" s="22" t="s">
        <v>6</v>
      </c>
      <c r="D50" s="212">
        <v>4.0999999999999996</v>
      </c>
      <c r="E50" s="213">
        <v>9.3000000000000007</v>
      </c>
      <c r="F50" s="213">
        <v>137.5</v>
      </c>
      <c r="G50" s="43">
        <v>219.6</v>
      </c>
      <c r="H50" s="43">
        <v>135.1</v>
      </c>
      <c r="I50" s="43">
        <v>0.2</v>
      </c>
      <c r="J50" s="43">
        <v>1.5</v>
      </c>
      <c r="K50" s="43">
        <v>0</v>
      </c>
      <c r="L50" s="43">
        <v>0</v>
      </c>
      <c r="M50" s="43">
        <v>0</v>
      </c>
      <c r="N50" s="43">
        <v>0</v>
      </c>
      <c r="O50" s="43">
        <v>0</v>
      </c>
      <c r="P50" s="43">
        <v>0</v>
      </c>
      <c r="Q50" s="43">
        <v>0</v>
      </c>
      <c r="R50" s="43">
        <v>0</v>
      </c>
      <c r="S50" s="43">
        <v>0</v>
      </c>
      <c r="T50" s="43">
        <v>0</v>
      </c>
      <c r="U50" s="43">
        <v>0</v>
      </c>
      <c r="V50" s="43">
        <v>0</v>
      </c>
      <c r="W50" s="43">
        <v>0</v>
      </c>
      <c r="X50" s="43">
        <v>0</v>
      </c>
      <c r="Y50" s="43">
        <v>0</v>
      </c>
      <c r="Z50" s="43">
        <v>0</v>
      </c>
      <c r="AA50" s="87">
        <v>0</v>
      </c>
      <c r="AB50" s="87">
        <v>0</v>
      </c>
      <c r="AC50" s="87">
        <v>0</v>
      </c>
      <c r="AD50" s="10" t="s">
        <v>19</v>
      </c>
    </row>
    <row r="51" spans="2:30" ht="11.1" customHeight="1" x14ac:dyDescent="0.25">
      <c r="B51" s="21" t="s">
        <v>326</v>
      </c>
      <c r="C51" s="22" t="s">
        <v>6</v>
      </c>
      <c r="D51" s="212">
        <v>1557.4</v>
      </c>
      <c r="E51" s="212">
        <v>2268.1999999999998</v>
      </c>
      <c r="F51" s="212">
        <v>2115.3000000000002</v>
      </c>
      <c r="G51" s="43">
        <v>2450.3000000000002</v>
      </c>
      <c r="H51" s="43">
        <v>2812.3</v>
      </c>
      <c r="I51" s="43">
        <v>2322</v>
      </c>
      <c r="J51" s="43">
        <v>2431.6</v>
      </c>
      <c r="K51" s="43">
        <v>2770</v>
      </c>
      <c r="L51" s="43">
        <v>2393</v>
      </c>
      <c r="M51" s="43">
        <v>2250</v>
      </c>
      <c r="N51" s="43">
        <v>1870</v>
      </c>
      <c r="O51" s="43">
        <v>2336</v>
      </c>
      <c r="P51" s="43">
        <v>2814</v>
      </c>
      <c r="Q51" s="43">
        <v>2695</v>
      </c>
      <c r="R51" s="43">
        <v>1879</v>
      </c>
      <c r="S51" s="43">
        <v>2718</v>
      </c>
      <c r="T51" s="43">
        <v>3010</v>
      </c>
      <c r="U51" s="43">
        <v>2967.7</v>
      </c>
      <c r="V51" s="43">
        <v>2397.6999999999998</v>
      </c>
      <c r="W51" s="43">
        <v>2753.2</v>
      </c>
      <c r="X51" s="43">
        <v>2219</v>
      </c>
      <c r="Y51" s="43">
        <v>2108</v>
      </c>
      <c r="Z51" s="43">
        <v>2092</v>
      </c>
      <c r="AA51" s="87">
        <v>1879</v>
      </c>
      <c r="AB51" s="87">
        <v>1566</v>
      </c>
      <c r="AC51" s="87">
        <v>1414</v>
      </c>
      <c r="AD51" s="10" t="s">
        <v>19</v>
      </c>
    </row>
    <row r="52" spans="2:30" ht="11.1" customHeight="1" x14ac:dyDescent="0.25">
      <c r="B52" s="21" t="s">
        <v>223</v>
      </c>
      <c r="C52" s="22" t="s">
        <v>6</v>
      </c>
      <c r="D52" s="212">
        <v>227.5</v>
      </c>
      <c r="E52" s="212">
        <v>210</v>
      </c>
      <c r="F52" s="212">
        <v>157.69999999999999</v>
      </c>
      <c r="G52" s="43">
        <v>382.9</v>
      </c>
      <c r="H52" s="43">
        <v>333.6</v>
      </c>
      <c r="I52" s="43">
        <v>260.89999999999998</v>
      </c>
      <c r="J52" s="43">
        <v>214.9</v>
      </c>
      <c r="K52" s="43">
        <v>206.5</v>
      </c>
      <c r="L52" s="43" t="s">
        <v>24</v>
      </c>
      <c r="M52" s="43" t="s">
        <v>24</v>
      </c>
      <c r="N52" s="43" t="s">
        <v>24</v>
      </c>
      <c r="O52" s="43" t="s">
        <v>24</v>
      </c>
      <c r="P52" s="43" t="s">
        <v>24</v>
      </c>
      <c r="Q52" s="43" t="s">
        <v>24</v>
      </c>
      <c r="R52" s="43" t="s">
        <v>24</v>
      </c>
      <c r="S52" s="43" t="s">
        <v>24</v>
      </c>
      <c r="T52" s="43" t="s">
        <v>24</v>
      </c>
      <c r="U52" s="31" t="s">
        <v>24</v>
      </c>
      <c r="V52" s="31" t="s">
        <v>24</v>
      </c>
      <c r="W52" s="31" t="s">
        <v>24</v>
      </c>
      <c r="X52" s="43" t="s">
        <v>24</v>
      </c>
      <c r="Y52" s="43" t="s">
        <v>24</v>
      </c>
      <c r="Z52" s="43" t="s">
        <v>24</v>
      </c>
      <c r="AA52" s="87" t="s">
        <v>24</v>
      </c>
      <c r="AB52" s="87" t="s">
        <v>19</v>
      </c>
      <c r="AC52" s="87" t="s">
        <v>19</v>
      </c>
      <c r="AD52" s="10" t="s">
        <v>19</v>
      </c>
    </row>
    <row r="53" spans="2:30" ht="11.1" customHeight="1" x14ac:dyDescent="0.25">
      <c r="B53" s="21" t="s">
        <v>357</v>
      </c>
      <c r="C53" s="22" t="s">
        <v>6</v>
      </c>
      <c r="D53" s="212">
        <v>1996.5</v>
      </c>
      <c r="E53" s="212">
        <v>2046.6</v>
      </c>
      <c r="F53" s="212">
        <v>1525.9</v>
      </c>
      <c r="G53" s="43">
        <v>2019.7</v>
      </c>
      <c r="H53" s="43">
        <v>1440.1</v>
      </c>
      <c r="I53" s="43">
        <v>1552.4</v>
      </c>
      <c r="J53" s="43">
        <v>1783.5</v>
      </c>
      <c r="K53" s="43">
        <v>1742.2</v>
      </c>
      <c r="L53" s="43">
        <v>1668</v>
      </c>
      <c r="M53" s="43">
        <v>1400</v>
      </c>
      <c r="N53" s="43">
        <v>1536</v>
      </c>
      <c r="O53" s="43">
        <v>1602</v>
      </c>
      <c r="P53" s="43">
        <v>1964</v>
      </c>
      <c r="Q53" s="43">
        <v>1839</v>
      </c>
      <c r="R53" s="43">
        <v>2189</v>
      </c>
      <c r="S53" s="43">
        <v>2739</v>
      </c>
      <c r="T53" s="43">
        <v>2837.8</v>
      </c>
      <c r="U53" s="43">
        <v>2289.6</v>
      </c>
      <c r="V53" s="43">
        <v>2623.4</v>
      </c>
      <c r="W53" s="43">
        <v>2681.8</v>
      </c>
      <c r="X53" s="43">
        <v>2612</v>
      </c>
      <c r="Y53" s="43">
        <v>2702</v>
      </c>
      <c r="Z53" s="43">
        <v>3232</v>
      </c>
      <c r="AA53" s="87">
        <v>3171</v>
      </c>
      <c r="AB53" s="87">
        <v>2364</v>
      </c>
      <c r="AC53" s="87">
        <v>2660</v>
      </c>
      <c r="AD53" s="10" t="s">
        <v>19</v>
      </c>
    </row>
    <row r="54" spans="2:30" ht="11.1" customHeight="1" x14ac:dyDescent="0.25">
      <c r="B54" s="21" t="s">
        <v>75</v>
      </c>
      <c r="C54" s="22" t="s">
        <v>6</v>
      </c>
      <c r="D54" s="212">
        <v>112.1</v>
      </c>
      <c r="E54" s="212">
        <v>188.6</v>
      </c>
      <c r="F54" s="212">
        <v>586.1</v>
      </c>
      <c r="G54" s="43">
        <v>588.70000000000005</v>
      </c>
      <c r="H54" s="43">
        <v>905.1</v>
      </c>
      <c r="I54" s="43">
        <v>1127.5999999999999</v>
      </c>
      <c r="J54" s="43">
        <v>1359.7</v>
      </c>
      <c r="K54" s="43">
        <v>1237.5</v>
      </c>
      <c r="L54" s="43">
        <v>1207</v>
      </c>
      <c r="M54" s="43">
        <v>1318</v>
      </c>
      <c r="N54" s="43">
        <v>1304</v>
      </c>
      <c r="O54" s="43">
        <v>1046</v>
      </c>
      <c r="P54" s="43">
        <v>938</v>
      </c>
      <c r="Q54" s="43">
        <v>700</v>
      </c>
      <c r="R54" s="43">
        <v>601</v>
      </c>
      <c r="S54" s="43">
        <v>938</v>
      </c>
      <c r="T54" s="43">
        <v>941.2</v>
      </c>
      <c r="U54" s="43">
        <v>981.5</v>
      </c>
      <c r="V54" s="43">
        <v>653.6</v>
      </c>
      <c r="W54" s="43">
        <v>684.4</v>
      </c>
      <c r="X54" s="43">
        <v>885</v>
      </c>
      <c r="Y54" s="43">
        <v>816</v>
      </c>
      <c r="Z54" s="43">
        <v>759</v>
      </c>
      <c r="AA54" s="87">
        <v>972</v>
      </c>
      <c r="AB54" s="87">
        <v>992</v>
      </c>
      <c r="AC54" s="87">
        <v>914</v>
      </c>
      <c r="AD54" s="10" t="s">
        <v>19</v>
      </c>
    </row>
    <row r="55" spans="2:30" ht="11.1" customHeight="1" x14ac:dyDescent="0.25">
      <c r="B55" s="21" t="s">
        <v>232</v>
      </c>
      <c r="C55" s="22" t="s">
        <v>6</v>
      </c>
      <c r="D55" s="212">
        <v>539.5</v>
      </c>
      <c r="E55" s="212">
        <v>355.1</v>
      </c>
      <c r="F55" s="212">
        <v>575.5</v>
      </c>
      <c r="G55" s="43">
        <v>337.8</v>
      </c>
      <c r="H55" s="43">
        <v>620.4</v>
      </c>
      <c r="I55" s="43">
        <v>553.70000000000005</v>
      </c>
      <c r="J55" s="43">
        <v>547.29999999999995</v>
      </c>
      <c r="K55" s="43">
        <v>428.6</v>
      </c>
      <c r="L55" s="43">
        <v>378</v>
      </c>
      <c r="M55" s="43">
        <v>390</v>
      </c>
      <c r="N55" s="43">
        <v>557</v>
      </c>
      <c r="O55" s="43">
        <v>557</v>
      </c>
      <c r="P55" s="43">
        <v>436</v>
      </c>
      <c r="Q55" s="43">
        <v>453</v>
      </c>
      <c r="R55" s="43">
        <v>355</v>
      </c>
      <c r="S55" s="43">
        <v>411</v>
      </c>
      <c r="T55" s="43">
        <v>437</v>
      </c>
      <c r="U55" s="43">
        <v>474.3</v>
      </c>
      <c r="V55" s="43">
        <v>262.60000000000002</v>
      </c>
      <c r="W55" s="43">
        <v>303</v>
      </c>
      <c r="X55" s="43">
        <v>222</v>
      </c>
      <c r="Y55" s="43">
        <v>454</v>
      </c>
      <c r="Z55" s="43">
        <v>655</v>
      </c>
      <c r="AA55" s="87">
        <v>289</v>
      </c>
      <c r="AB55" s="87">
        <v>475</v>
      </c>
      <c r="AC55" s="87">
        <v>331</v>
      </c>
      <c r="AD55" s="10" t="s">
        <v>19</v>
      </c>
    </row>
    <row r="56" spans="2:30" ht="11.1" customHeight="1" x14ac:dyDescent="0.25">
      <c r="B56" s="21" t="s">
        <v>366</v>
      </c>
      <c r="C56" s="22" t="s">
        <v>6</v>
      </c>
      <c r="D56" s="212">
        <v>270.39999999999998</v>
      </c>
      <c r="E56" s="212">
        <v>239.9</v>
      </c>
      <c r="F56" s="212">
        <v>124</v>
      </c>
      <c r="G56" s="43">
        <v>354</v>
      </c>
      <c r="H56" s="43">
        <v>1023.6</v>
      </c>
      <c r="I56" s="43">
        <v>1121.3</v>
      </c>
      <c r="J56" s="43">
        <v>1320.5</v>
      </c>
      <c r="K56" s="43">
        <v>948.1</v>
      </c>
      <c r="L56" s="43">
        <v>1046</v>
      </c>
      <c r="M56" s="43">
        <v>772</v>
      </c>
      <c r="N56" s="43">
        <v>930</v>
      </c>
      <c r="O56" s="43">
        <v>1284</v>
      </c>
      <c r="P56" s="43">
        <v>1681</v>
      </c>
      <c r="Q56" s="43">
        <v>2154</v>
      </c>
      <c r="R56" s="43">
        <v>5444.5</v>
      </c>
      <c r="S56" s="43">
        <v>5771.8</v>
      </c>
      <c r="T56" s="43">
        <v>4174.5</v>
      </c>
      <c r="U56" s="43">
        <v>4424.3999999999996</v>
      </c>
      <c r="V56" s="43">
        <v>5011</v>
      </c>
      <c r="W56" s="43">
        <v>6239.1</v>
      </c>
      <c r="X56" s="43">
        <v>7529</v>
      </c>
      <c r="Y56" s="43">
        <v>9994</v>
      </c>
      <c r="Z56" s="43">
        <v>10755</v>
      </c>
      <c r="AA56" s="87">
        <v>16052</v>
      </c>
      <c r="AB56" s="87">
        <v>15708</v>
      </c>
      <c r="AC56" s="87">
        <v>14811</v>
      </c>
      <c r="AD56" s="10" t="s">
        <v>19</v>
      </c>
    </row>
    <row r="57" spans="2:30" ht="11.1" customHeight="1" x14ac:dyDescent="0.25">
      <c r="B57" s="21" t="s">
        <v>13</v>
      </c>
      <c r="C57" s="22" t="s">
        <v>6</v>
      </c>
      <c r="D57" s="212">
        <v>39488.699999999997</v>
      </c>
      <c r="E57" s="212">
        <v>42041</v>
      </c>
      <c r="F57" s="212">
        <v>42244.6</v>
      </c>
      <c r="G57" s="43">
        <v>43698.5</v>
      </c>
      <c r="H57" s="43">
        <v>48585.7</v>
      </c>
      <c r="I57" s="43">
        <v>49647.5</v>
      </c>
      <c r="J57" s="43">
        <v>48372.2</v>
      </c>
      <c r="K57" s="43">
        <v>45026.9</v>
      </c>
      <c r="L57" s="43">
        <v>45975</v>
      </c>
      <c r="M57" s="43">
        <v>48111</v>
      </c>
      <c r="N57" s="43">
        <v>48681</v>
      </c>
      <c r="O57" s="43">
        <v>52400</v>
      </c>
      <c r="P57" s="43">
        <v>48087</v>
      </c>
      <c r="Q57" s="43">
        <v>46959</v>
      </c>
      <c r="R57" s="43">
        <v>50134.5</v>
      </c>
      <c r="S57" s="43">
        <v>53364.800000000003</v>
      </c>
      <c r="T57" s="43">
        <v>55756.1</v>
      </c>
      <c r="U57" s="43">
        <v>60232.4</v>
      </c>
      <c r="V57" s="43">
        <v>64610.3</v>
      </c>
      <c r="W57" s="43">
        <v>70727.5</v>
      </c>
      <c r="X57" s="43">
        <v>76013</v>
      </c>
      <c r="Y57" s="43">
        <v>84567</v>
      </c>
      <c r="Z57" s="43">
        <v>89331</v>
      </c>
      <c r="AA57" s="87">
        <v>94995</v>
      </c>
      <c r="AB57" s="87">
        <v>103605</v>
      </c>
      <c r="AC57" s="87">
        <v>98446</v>
      </c>
      <c r="AD57" s="10" t="s">
        <v>19</v>
      </c>
    </row>
    <row r="58" spans="2:30" ht="11.1" customHeight="1" thickBot="1" x14ac:dyDescent="0.3">
      <c r="B58" s="190" t="s">
        <v>367</v>
      </c>
      <c r="C58" s="97" t="s">
        <v>6</v>
      </c>
      <c r="D58" s="214">
        <v>121916.8</v>
      </c>
      <c r="E58" s="214">
        <v>130002.9</v>
      </c>
      <c r="F58" s="214">
        <v>146639.5</v>
      </c>
      <c r="G58" s="192">
        <v>138800</v>
      </c>
      <c r="H58" s="192">
        <v>153019</v>
      </c>
      <c r="I58" s="192">
        <v>139358.70000000001</v>
      </c>
      <c r="J58" s="192">
        <v>127986.2</v>
      </c>
      <c r="K58" s="192">
        <v>126044.2</v>
      </c>
      <c r="L58" s="192">
        <v>133375.70000000001</v>
      </c>
      <c r="M58" s="192">
        <v>137155.29999999999</v>
      </c>
      <c r="N58" s="192">
        <v>127791.7</v>
      </c>
      <c r="O58" s="192">
        <v>134251.79999999999</v>
      </c>
      <c r="P58" s="192">
        <v>127236.3</v>
      </c>
      <c r="Q58" s="192">
        <v>124224.3</v>
      </c>
      <c r="R58" s="192">
        <v>130828.2</v>
      </c>
      <c r="S58" s="192">
        <v>145843.79999999999</v>
      </c>
      <c r="T58" s="192">
        <v>145239.6</v>
      </c>
      <c r="U58" s="192">
        <v>151314.4</v>
      </c>
      <c r="V58" s="192">
        <v>153915.29999999999</v>
      </c>
      <c r="W58" s="192">
        <v>170228.6</v>
      </c>
      <c r="X58" s="192">
        <v>182246.7</v>
      </c>
      <c r="Y58" s="192">
        <v>197740.6</v>
      </c>
      <c r="Z58" s="192">
        <v>192258</v>
      </c>
      <c r="AA58" s="188">
        <v>193008.1</v>
      </c>
      <c r="AB58" s="38">
        <v>199311.3</v>
      </c>
      <c r="AC58" s="38">
        <v>201378.9</v>
      </c>
      <c r="AD58" s="298" t="s">
        <v>19</v>
      </c>
    </row>
    <row r="59" spans="2:30" ht="11.1" customHeight="1" thickTop="1" x14ac:dyDescent="0.25">
      <c r="B59" s="338" t="s">
        <v>59</v>
      </c>
      <c r="C59" s="338"/>
      <c r="D59" s="338"/>
      <c r="E59" s="338"/>
      <c r="F59" s="338"/>
      <c r="G59" s="338"/>
      <c r="H59" s="338"/>
      <c r="I59" s="338"/>
      <c r="J59" s="338"/>
      <c r="K59" s="338"/>
      <c r="L59" s="338"/>
      <c r="M59" s="338"/>
      <c r="N59" s="338"/>
      <c r="O59" s="338"/>
      <c r="P59" s="338"/>
      <c r="Q59" s="338"/>
      <c r="R59" s="338"/>
      <c r="S59" s="338"/>
      <c r="T59" s="338"/>
      <c r="U59" s="339" t="s">
        <v>66</v>
      </c>
      <c r="V59" s="339" t="s">
        <v>6</v>
      </c>
      <c r="W59" s="339" t="s">
        <v>66</v>
      </c>
      <c r="X59" s="339" t="s">
        <v>6</v>
      </c>
      <c r="Y59" s="339" t="s">
        <v>35</v>
      </c>
      <c r="Z59" s="339" t="s">
        <v>6</v>
      </c>
      <c r="AA59" s="30"/>
      <c r="AB59" s="30"/>
      <c r="AC59" s="30"/>
      <c r="AD59" s="30"/>
    </row>
    <row r="60" spans="2:30" ht="11.1" customHeight="1" x14ac:dyDescent="0.25">
      <c r="B60" s="335" t="s">
        <v>36</v>
      </c>
      <c r="C60" s="335"/>
      <c r="D60" s="335"/>
      <c r="E60" s="335"/>
      <c r="F60" s="335"/>
      <c r="G60" s="335"/>
      <c r="H60" s="335"/>
      <c r="I60" s="335"/>
      <c r="J60" s="335"/>
      <c r="K60" s="335"/>
      <c r="L60" s="335"/>
      <c r="M60" s="335"/>
      <c r="N60" s="335"/>
      <c r="O60" s="335"/>
      <c r="P60" s="335"/>
      <c r="Q60" s="335"/>
      <c r="R60" s="335"/>
      <c r="S60" s="335"/>
      <c r="T60" s="335"/>
      <c r="U60" s="336"/>
      <c r="V60" s="336"/>
      <c r="W60" s="336"/>
      <c r="X60" s="336"/>
      <c r="Y60" s="336"/>
      <c r="Z60" s="336"/>
      <c r="AA60" s="30"/>
      <c r="AB60" s="30"/>
      <c r="AC60" s="30"/>
      <c r="AD60" s="30"/>
    </row>
    <row r="61" spans="2:30" ht="11.1" customHeight="1" x14ac:dyDescent="0.25">
      <c r="B61" s="21" t="s">
        <v>336</v>
      </c>
      <c r="C61" s="22" t="s">
        <v>35</v>
      </c>
      <c r="D61" s="212">
        <v>110</v>
      </c>
      <c r="E61" s="212">
        <v>117</v>
      </c>
      <c r="F61" s="212">
        <v>103</v>
      </c>
      <c r="G61" s="43">
        <v>102.7</v>
      </c>
      <c r="H61" s="43">
        <v>122.1</v>
      </c>
      <c r="I61" s="43">
        <v>108.9</v>
      </c>
      <c r="J61" s="43">
        <v>98</v>
      </c>
      <c r="K61" s="43">
        <v>100.8</v>
      </c>
      <c r="L61" s="43">
        <v>109.5</v>
      </c>
      <c r="M61" s="43">
        <v>121.9</v>
      </c>
      <c r="N61" s="43">
        <v>122.1</v>
      </c>
      <c r="O61" s="43">
        <v>122.3</v>
      </c>
      <c r="P61" s="43">
        <v>128.69999999999999</v>
      </c>
      <c r="Q61" s="43">
        <v>142.30000000000001</v>
      </c>
      <c r="R61" s="43">
        <v>138.1</v>
      </c>
      <c r="S61" s="43">
        <v>145.6</v>
      </c>
      <c r="T61" s="43">
        <v>153.6</v>
      </c>
      <c r="U61" s="43">
        <v>158</v>
      </c>
      <c r="V61" s="43">
        <v>155.5</v>
      </c>
      <c r="W61" s="43">
        <v>156.69999999999999</v>
      </c>
      <c r="X61" s="43">
        <v>169</v>
      </c>
      <c r="Y61" s="43">
        <v>173.2</v>
      </c>
      <c r="Z61" s="43">
        <v>179.7</v>
      </c>
      <c r="AA61" s="87">
        <v>177.8</v>
      </c>
      <c r="AB61" s="87">
        <v>197</v>
      </c>
      <c r="AC61" s="87">
        <v>162.69999999999999</v>
      </c>
      <c r="AD61" s="10" t="s">
        <v>19</v>
      </c>
    </row>
    <row r="62" spans="2:30" ht="11.1" customHeight="1" x14ac:dyDescent="0.25">
      <c r="B62" s="21" t="s">
        <v>92</v>
      </c>
      <c r="C62" s="22" t="s">
        <v>35</v>
      </c>
      <c r="D62" s="212">
        <v>870.9</v>
      </c>
      <c r="E62" s="212">
        <v>959.5</v>
      </c>
      <c r="F62" s="212">
        <v>1170.4000000000001</v>
      </c>
      <c r="G62" s="43">
        <v>1112.9000000000001</v>
      </c>
      <c r="H62" s="43">
        <v>1180.2</v>
      </c>
      <c r="I62" s="43">
        <v>848.6</v>
      </c>
      <c r="J62" s="43">
        <v>606</v>
      </c>
      <c r="K62" s="43">
        <v>524.4</v>
      </c>
      <c r="L62" s="43">
        <v>542.9</v>
      </c>
      <c r="M62" s="43">
        <v>770.1</v>
      </c>
      <c r="N62" s="43">
        <v>566.9</v>
      </c>
      <c r="O62" s="43">
        <v>579.29999999999995</v>
      </c>
      <c r="P62" s="43">
        <v>499.2</v>
      </c>
      <c r="Q62" s="43">
        <v>491.5</v>
      </c>
      <c r="R62" s="43">
        <v>664.5</v>
      </c>
      <c r="S62" s="43">
        <v>588.4</v>
      </c>
      <c r="T62" s="43">
        <v>619.1</v>
      </c>
      <c r="U62" s="43">
        <v>525</v>
      </c>
      <c r="V62" s="43">
        <v>766.5</v>
      </c>
      <c r="W62" s="43">
        <v>560.4</v>
      </c>
      <c r="X62" s="43">
        <v>633.29999999999995</v>
      </c>
      <c r="Y62" s="43">
        <v>701.9</v>
      </c>
      <c r="Z62" s="43">
        <v>535.20000000000005</v>
      </c>
      <c r="AA62" s="87">
        <v>490.9</v>
      </c>
      <c r="AB62" s="87">
        <v>587.5</v>
      </c>
      <c r="AC62" s="87">
        <v>725.6</v>
      </c>
      <c r="AD62" s="10" t="s">
        <v>19</v>
      </c>
    </row>
    <row r="63" spans="2:30" ht="11.1" customHeight="1" x14ac:dyDescent="0.25">
      <c r="B63" s="21" t="s">
        <v>337</v>
      </c>
      <c r="C63" s="22" t="s">
        <v>35</v>
      </c>
      <c r="D63" s="212">
        <v>770.3</v>
      </c>
      <c r="E63" s="212">
        <v>1007.6</v>
      </c>
      <c r="F63" s="212">
        <v>1239.9000000000001</v>
      </c>
      <c r="G63" s="43">
        <v>522.4</v>
      </c>
      <c r="H63" s="43">
        <v>563.20000000000005</v>
      </c>
      <c r="I63" s="43">
        <v>634.5</v>
      </c>
      <c r="J63" s="43">
        <v>540</v>
      </c>
      <c r="K63" s="43">
        <v>580.9</v>
      </c>
      <c r="L63" s="43">
        <v>694.5</v>
      </c>
      <c r="M63" s="43">
        <v>876.6</v>
      </c>
      <c r="N63" s="43">
        <v>999.3</v>
      </c>
      <c r="O63" s="43">
        <v>794.9</v>
      </c>
      <c r="P63" s="43">
        <v>1012.9</v>
      </c>
      <c r="Q63" s="43">
        <v>852.9</v>
      </c>
      <c r="R63" s="43">
        <v>914.7</v>
      </c>
      <c r="S63" s="43">
        <v>818.9</v>
      </c>
      <c r="T63" s="43">
        <v>701.6</v>
      </c>
      <c r="U63" s="43">
        <v>692</v>
      </c>
      <c r="V63" s="43">
        <v>483.3</v>
      </c>
      <c r="W63" s="43">
        <v>362.5</v>
      </c>
      <c r="X63" s="43">
        <v>493.8</v>
      </c>
      <c r="Y63" s="43">
        <v>713</v>
      </c>
      <c r="Z63" s="43">
        <v>1058.5</v>
      </c>
      <c r="AA63" s="87">
        <v>887.6</v>
      </c>
      <c r="AB63" s="87">
        <v>823.1</v>
      </c>
      <c r="AC63" s="87">
        <v>326.3</v>
      </c>
      <c r="AD63" s="10" t="s">
        <v>19</v>
      </c>
    </row>
    <row r="64" spans="2:30" ht="11.1" customHeight="1" x14ac:dyDescent="0.25">
      <c r="B64" s="21" t="s">
        <v>358</v>
      </c>
      <c r="C64" s="22" t="s">
        <v>35</v>
      </c>
      <c r="D64" s="212">
        <v>362.1</v>
      </c>
      <c r="E64" s="212">
        <v>270.8</v>
      </c>
      <c r="F64" s="212">
        <v>322.60000000000002</v>
      </c>
      <c r="G64" s="43">
        <v>276.5</v>
      </c>
      <c r="H64" s="43">
        <v>257.60000000000002</v>
      </c>
      <c r="I64" s="43">
        <v>154.6</v>
      </c>
      <c r="J64" s="43">
        <v>155</v>
      </c>
      <c r="K64" s="43">
        <v>98.5</v>
      </c>
      <c r="L64" s="43">
        <v>67.099999999999994</v>
      </c>
      <c r="M64" s="43">
        <v>83.9</v>
      </c>
      <c r="N64" s="43">
        <v>58.2</v>
      </c>
      <c r="O64" s="43">
        <v>36.799999999999997</v>
      </c>
      <c r="P64" s="43">
        <v>27.5</v>
      </c>
      <c r="Q64" s="43">
        <v>12.6</v>
      </c>
      <c r="R64" s="43">
        <v>15.5</v>
      </c>
      <c r="S64" s="43">
        <v>36.5</v>
      </c>
      <c r="T64" s="43">
        <v>23.4</v>
      </c>
      <c r="U64" s="43">
        <v>31</v>
      </c>
      <c r="V64" s="43">
        <v>76.400000000000006</v>
      </c>
      <c r="W64" s="43">
        <v>21.3</v>
      </c>
      <c r="X64" s="43">
        <v>12</v>
      </c>
      <c r="Y64" s="43">
        <v>50.1</v>
      </c>
      <c r="Z64" s="43">
        <v>210.1</v>
      </c>
      <c r="AA64" s="87">
        <v>75.7</v>
      </c>
      <c r="AB64" s="87">
        <v>80.599999999999994</v>
      </c>
      <c r="AC64" s="87">
        <v>12.7</v>
      </c>
      <c r="AD64" s="10" t="s">
        <v>19</v>
      </c>
    </row>
    <row r="65" spans="2:30" ht="11.1" customHeight="1" x14ac:dyDescent="0.25">
      <c r="B65" s="21" t="s">
        <v>265</v>
      </c>
      <c r="C65" s="22" t="s">
        <v>35</v>
      </c>
      <c r="D65" s="212">
        <v>625.5</v>
      </c>
      <c r="E65" s="212">
        <v>612.4</v>
      </c>
      <c r="F65" s="212">
        <v>553.1</v>
      </c>
      <c r="G65" s="43">
        <v>447.5</v>
      </c>
      <c r="H65" s="43">
        <v>605.20000000000005</v>
      </c>
      <c r="I65" s="43">
        <v>633</v>
      </c>
      <c r="J65" s="43">
        <v>387</v>
      </c>
      <c r="K65" s="43">
        <v>441.5</v>
      </c>
      <c r="L65" s="43">
        <v>421.2</v>
      </c>
      <c r="M65" s="43">
        <v>348.5</v>
      </c>
      <c r="N65" s="43">
        <v>240.8</v>
      </c>
      <c r="O65" s="43">
        <v>338.8</v>
      </c>
      <c r="P65" s="43">
        <v>351.1</v>
      </c>
      <c r="Q65" s="43">
        <v>305.7</v>
      </c>
      <c r="R65" s="43">
        <v>360.8</v>
      </c>
      <c r="S65" s="43">
        <v>523.4</v>
      </c>
      <c r="T65" s="43">
        <v>532</v>
      </c>
      <c r="U65" s="43">
        <v>532</v>
      </c>
      <c r="V65" s="43">
        <v>462.4</v>
      </c>
      <c r="W65" s="43">
        <v>405.2</v>
      </c>
      <c r="X65" s="43">
        <v>337.1</v>
      </c>
      <c r="Y65" s="43">
        <v>285.3</v>
      </c>
      <c r="Z65" s="43">
        <v>282.3</v>
      </c>
      <c r="AA65" s="87">
        <v>260.7</v>
      </c>
      <c r="AB65" s="87">
        <v>217.6</v>
      </c>
      <c r="AC65" s="87">
        <v>370.5</v>
      </c>
      <c r="AD65" s="10" t="s">
        <v>19</v>
      </c>
    </row>
    <row r="66" spans="2:30" ht="11.1" customHeight="1" x14ac:dyDescent="0.25">
      <c r="B66" s="21" t="s">
        <v>359</v>
      </c>
      <c r="C66" s="22" t="s">
        <v>35</v>
      </c>
      <c r="D66" s="212">
        <v>124.1</v>
      </c>
      <c r="E66" s="212">
        <v>112.3</v>
      </c>
      <c r="F66" s="212">
        <v>88.6</v>
      </c>
      <c r="G66" s="43">
        <v>171.7</v>
      </c>
      <c r="H66" s="43">
        <v>86.9</v>
      </c>
      <c r="I66" s="43">
        <v>85.1</v>
      </c>
      <c r="J66" s="43">
        <v>88</v>
      </c>
      <c r="K66" s="43">
        <v>58.6</v>
      </c>
      <c r="L66" s="43">
        <v>49.3</v>
      </c>
      <c r="M66" s="43">
        <v>30.3</v>
      </c>
      <c r="N66" s="43">
        <v>50.7</v>
      </c>
      <c r="O66" s="43">
        <v>102.1</v>
      </c>
      <c r="P66" s="43">
        <v>120.7</v>
      </c>
      <c r="Q66" s="43">
        <v>156.69999999999999</v>
      </c>
      <c r="R66" s="43">
        <v>213.2</v>
      </c>
      <c r="S66" s="43">
        <v>159.80000000000001</v>
      </c>
      <c r="T66" s="43">
        <v>129.80000000000001</v>
      </c>
      <c r="U66" s="43">
        <v>114</v>
      </c>
      <c r="V66" s="43">
        <v>139.19999999999999</v>
      </c>
      <c r="W66" s="43">
        <v>192</v>
      </c>
      <c r="X66" s="43">
        <v>168</v>
      </c>
      <c r="Y66" s="43">
        <v>122.5</v>
      </c>
      <c r="Z66" s="43">
        <v>92.2</v>
      </c>
      <c r="AA66" s="87">
        <v>124</v>
      </c>
      <c r="AB66" s="87">
        <v>167.7</v>
      </c>
      <c r="AC66" s="87">
        <v>108.4</v>
      </c>
      <c r="AD66" s="10" t="s">
        <v>19</v>
      </c>
    </row>
    <row r="67" spans="2:30" ht="11.1" customHeight="1" x14ac:dyDescent="0.25">
      <c r="B67" s="21" t="s">
        <v>364</v>
      </c>
      <c r="C67" s="22" t="s">
        <v>35</v>
      </c>
      <c r="D67" s="212">
        <v>2862.8</v>
      </c>
      <c r="E67" s="212">
        <v>3079.6</v>
      </c>
      <c r="F67" s="212">
        <v>3477.5</v>
      </c>
      <c r="G67" s="43">
        <v>2633.7</v>
      </c>
      <c r="H67" s="43">
        <v>2815.2</v>
      </c>
      <c r="I67" s="43">
        <v>2464.6999999999998</v>
      </c>
      <c r="J67" s="43">
        <v>1874</v>
      </c>
      <c r="K67" s="43">
        <v>1804.7</v>
      </c>
      <c r="L67" s="43">
        <v>1884.4</v>
      </c>
      <c r="M67" s="43">
        <v>2231.1999999999998</v>
      </c>
      <c r="N67" s="43">
        <v>2038</v>
      </c>
      <c r="O67" s="43">
        <v>1974.3</v>
      </c>
      <c r="P67" s="43">
        <v>2140.1999999999998</v>
      </c>
      <c r="Q67" s="43">
        <v>1961.7</v>
      </c>
      <c r="R67" s="43">
        <v>2306.8000000000002</v>
      </c>
      <c r="S67" s="43">
        <v>2272.6</v>
      </c>
      <c r="T67" s="43">
        <v>2159.4</v>
      </c>
      <c r="U67" s="43">
        <v>2052</v>
      </c>
      <c r="V67" s="43">
        <v>2083.3000000000002</v>
      </c>
      <c r="W67" s="43">
        <v>1697.9</v>
      </c>
      <c r="X67" s="43">
        <v>1813.2</v>
      </c>
      <c r="Y67" s="43">
        <v>2046</v>
      </c>
      <c r="Z67" s="43">
        <v>2358</v>
      </c>
      <c r="AA67" s="87">
        <v>2016.6</v>
      </c>
      <c r="AB67" s="87">
        <v>2073.6</v>
      </c>
      <c r="AC67" s="87">
        <v>1706.2</v>
      </c>
      <c r="AD67" s="10" t="s">
        <v>19</v>
      </c>
    </row>
    <row r="68" spans="2:30" ht="11.1" customHeight="1" x14ac:dyDescent="0.25">
      <c r="B68" s="350" t="s">
        <v>40</v>
      </c>
      <c r="C68" s="350"/>
      <c r="D68" s="350"/>
      <c r="E68" s="350"/>
      <c r="F68" s="350"/>
      <c r="G68" s="350"/>
      <c r="H68" s="350"/>
      <c r="I68" s="350"/>
      <c r="J68" s="350"/>
      <c r="K68" s="350"/>
      <c r="L68" s="350"/>
      <c r="M68" s="350"/>
      <c r="N68" s="350"/>
      <c r="O68" s="350"/>
      <c r="P68" s="350"/>
      <c r="Q68" s="350"/>
      <c r="R68" s="350"/>
      <c r="S68" s="350"/>
      <c r="T68" s="350"/>
      <c r="U68" s="351"/>
      <c r="V68" s="351"/>
      <c r="W68" s="351"/>
      <c r="X68" s="351"/>
      <c r="Y68" s="351"/>
      <c r="Z68" s="351"/>
      <c r="AA68" s="50"/>
      <c r="AB68" s="50"/>
      <c r="AC68" s="50"/>
      <c r="AD68" s="50"/>
    </row>
    <row r="69" spans="2:30" ht="11.1" customHeight="1" x14ac:dyDescent="0.25">
      <c r="B69" s="21" t="s">
        <v>43</v>
      </c>
      <c r="C69" s="22" t="s">
        <v>35</v>
      </c>
      <c r="D69" s="31">
        <v>1.3</v>
      </c>
      <c r="E69" s="31">
        <v>0.1</v>
      </c>
      <c r="F69" s="31">
        <v>0.6</v>
      </c>
      <c r="G69" s="31">
        <v>0</v>
      </c>
      <c r="H69" s="31">
        <v>0</v>
      </c>
      <c r="I69" s="31">
        <v>0</v>
      </c>
      <c r="J69" s="31">
        <v>0</v>
      </c>
      <c r="K69" s="31">
        <v>0</v>
      </c>
      <c r="L69" s="31">
        <v>0.6</v>
      </c>
      <c r="M69" s="31">
        <v>0.6</v>
      </c>
      <c r="N69" s="31">
        <v>0.2</v>
      </c>
      <c r="O69" s="31">
        <v>0</v>
      </c>
      <c r="P69" s="31">
        <v>0</v>
      </c>
      <c r="Q69" s="31">
        <v>0</v>
      </c>
      <c r="R69" s="31">
        <v>0</v>
      </c>
      <c r="S69" s="31">
        <v>0</v>
      </c>
      <c r="T69" s="31">
        <v>0</v>
      </c>
      <c r="U69" s="31">
        <v>0</v>
      </c>
      <c r="V69" s="31">
        <v>0</v>
      </c>
      <c r="W69" s="31">
        <v>0</v>
      </c>
      <c r="X69" s="31">
        <v>0</v>
      </c>
      <c r="Y69" s="31">
        <v>0</v>
      </c>
      <c r="Z69" s="31">
        <v>0.2</v>
      </c>
      <c r="AA69" s="87">
        <v>0.3</v>
      </c>
      <c r="AB69" s="87">
        <v>0.5</v>
      </c>
      <c r="AC69" s="87">
        <v>0.2</v>
      </c>
      <c r="AD69" s="10" t="s">
        <v>19</v>
      </c>
    </row>
    <row r="70" spans="2:30" ht="11.1" customHeight="1" x14ac:dyDescent="0.25">
      <c r="B70" s="21" t="s">
        <v>338</v>
      </c>
      <c r="C70" s="22" t="s">
        <v>35</v>
      </c>
      <c r="D70" s="212">
        <v>323</v>
      </c>
      <c r="E70" s="212">
        <v>325</v>
      </c>
      <c r="F70" s="212">
        <v>310.60000000000002</v>
      </c>
      <c r="G70" s="43">
        <v>284.8</v>
      </c>
      <c r="H70" s="43">
        <v>276.3</v>
      </c>
      <c r="I70" s="43">
        <v>252</v>
      </c>
      <c r="J70" s="43">
        <v>189</v>
      </c>
      <c r="K70" s="43">
        <v>129</v>
      </c>
      <c r="L70" s="43">
        <v>121.9</v>
      </c>
      <c r="M70" s="43">
        <v>109.4</v>
      </c>
      <c r="N70" s="43">
        <v>103.3</v>
      </c>
      <c r="O70" s="43">
        <v>74.599999999999994</v>
      </c>
      <c r="P70" s="43">
        <v>94.3</v>
      </c>
      <c r="Q70" s="43">
        <v>109.8</v>
      </c>
      <c r="R70" s="43">
        <v>119.9</v>
      </c>
      <c r="S70" s="43">
        <v>130.19999999999999</v>
      </c>
      <c r="T70" s="43">
        <v>123.7</v>
      </c>
      <c r="U70" s="43">
        <v>128</v>
      </c>
      <c r="V70" s="43">
        <v>127.6</v>
      </c>
      <c r="W70" s="43">
        <v>113.4</v>
      </c>
      <c r="X70" s="43">
        <v>101</v>
      </c>
      <c r="Y70" s="43">
        <v>83</v>
      </c>
      <c r="Z70" s="43">
        <v>94.3</v>
      </c>
      <c r="AA70" s="87">
        <v>104.5</v>
      </c>
      <c r="AB70" s="87">
        <v>98.9</v>
      </c>
      <c r="AC70" s="87">
        <v>99.6</v>
      </c>
      <c r="AD70" s="10" t="s">
        <v>19</v>
      </c>
    </row>
    <row r="71" spans="2:30" ht="11.1" customHeight="1" x14ac:dyDescent="0.25">
      <c r="B71" s="21" t="s">
        <v>339</v>
      </c>
      <c r="C71" s="22" t="s">
        <v>35</v>
      </c>
      <c r="D71" s="212">
        <v>316.8</v>
      </c>
      <c r="E71" s="212">
        <v>205.6</v>
      </c>
      <c r="F71" s="212">
        <v>194.3</v>
      </c>
      <c r="G71" s="43">
        <v>242.3</v>
      </c>
      <c r="H71" s="43">
        <v>279.5</v>
      </c>
      <c r="I71" s="43">
        <v>334.5</v>
      </c>
      <c r="J71" s="43">
        <v>256</v>
      </c>
      <c r="K71" s="43">
        <v>168.9</v>
      </c>
      <c r="L71" s="43">
        <v>104.2</v>
      </c>
      <c r="M71" s="43">
        <v>106.4</v>
      </c>
      <c r="N71" s="43">
        <v>60</v>
      </c>
      <c r="O71" s="43">
        <v>93.2</v>
      </c>
      <c r="P71" s="43">
        <v>95.6</v>
      </c>
      <c r="Q71" s="43">
        <v>78.099999999999994</v>
      </c>
      <c r="R71" s="43">
        <v>48.7</v>
      </c>
      <c r="S71" s="43">
        <v>64.2</v>
      </c>
      <c r="T71" s="43">
        <v>78</v>
      </c>
      <c r="U71" s="43">
        <v>64</v>
      </c>
      <c r="V71" s="43">
        <v>73.8</v>
      </c>
      <c r="W71" s="43">
        <v>87</v>
      </c>
      <c r="X71" s="43">
        <v>88.2</v>
      </c>
      <c r="Y71" s="43">
        <v>94</v>
      </c>
      <c r="Z71" s="43">
        <v>55.8</v>
      </c>
      <c r="AA71" s="87">
        <v>34.9</v>
      </c>
      <c r="AB71" s="87">
        <v>34.299999999999997</v>
      </c>
      <c r="AC71" s="87">
        <v>57.1</v>
      </c>
      <c r="AD71" s="10" t="s">
        <v>19</v>
      </c>
    </row>
    <row r="72" spans="2:30" ht="11.1" customHeight="1" x14ac:dyDescent="0.25">
      <c r="B72" s="21" t="s">
        <v>340</v>
      </c>
      <c r="C72" s="22" t="s">
        <v>35</v>
      </c>
      <c r="D72" s="212">
        <v>512.6</v>
      </c>
      <c r="E72" s="212">
        <v>627.79999999999995</v>
      </c>
      <c r="F72" s="212">
        <v>660.2</v>
      </c>
      <c r="G72" s="43">
        <v>478.6</v>
      </c>
      <c r="H72" s="43">
        <v>300.89999999999998</v>
      </c>
      <c r="I72" s="43">
        <v>570.79999999999995</v>
      </c>
      <c r="J72" s="43">
        <v>568</v>
      </c>
      <c r="K72" s="43">
        <v>299.39999999999998</v>
      </c>
      <c r="L72" s="43">
        <v>123.6</v>
      </c>
      <c r="M72" s="43">
        <v>73.099999999999994</v>
      </c>
      <c r="N72" s="43">
        <v>31.8</v>
      </c>
      <c r="O72" s="43">
        <v>14.9</v>
      </c>
      <c r="P72" s="43">
        <v>9.1</v>
      </c>
      <c r="Q72" s="43">
        <v>17.7</v>
      </c>
      <c r="R72" s="43">
        <v>48</v>
      </c>
      <c r="S72" s="43">
        <v>69.400000000000006</v>
      </c>
      <c r="T72" s="43">
        <v>120.7</v>
      </c>
      <c r="U72" s="43">
        <v>168</v>
      </c>
      <c r="V72" s="43">
        <v>175</v>
      </c>
      <c r="W72" s="43">
        <v>138.5</v>
      </c>
      <c r="X72" s="43">
        <v>136.80000000000001</v>
      </c>
      <c r="Y72" s="43">
        <v>112.2</v>
      </c>
      <c r="Z72" s="43">
        <v>128.80000000000001</v>
      </c>
      <c r="AA72" s="87">
        <v>82.9</v>
      </c>
      <c r="AB72" s="87">
        <v>102.4</v>
      </c>
      <c r="AC72" s="87">
        <v>136</v>
      </c>
      <c r="AD72" s="10" t="s">
        <v>19</v>
      </c>
    </row>
    <row r="73" spans="2:30" ht="11.1" customHeight="1" x14ac:dyDescent="0.25">
      <c r="B73" s="21" t="s">
        <v>42</v>
      </c>
      <c r="C73" s="22" t="s">
        <v>35</v>
      </c>
      <c r="D73" s="212">
        <v>438.7</v>
      </c>
      <c r="E73" s="212">
        <v>264.3</v>
      </c>
      <c r="F73" s="212">
        <v>557.6</v>
      </c>
      <c r="G73" s="43">
        <v>461.5</v>
      </c>
      <c r="H73" s="43">
        <v>562.1</v>
      </c>
      <c r="I73" s="43">
        <v>486.6</v>
      </c>
      <c r="J73" s="43">
        <v>293</v>
      </c>
      <c r="K73" s="43">
        <v>203</v>
      </c>
      <c r="L73" s="43">
        <v>188.2</v>
      </c>
      <c r="M73" s="43">
        <v>164.8</v>
      </c>
      <c r="N73" s="43">
        <v>96</v>
      </c>
      <c r="O73" s="43">
        <v>256.5</v>
      </c>
      <c r="P73" s="43">
        <v>121.4</v>
      </c>
      <c r="Q73" s="43">
        <v>75.5</v>
      </c>
      <c r="R73" s="43">
        <v>84.5</v>
      </c>
      <c r="S73" s="43">
        <v>177.1</v>
      </c>
      <c r="T73" s="43">
        <v>210.9</v>
      </c>
      <c r="U73" s="43">
        <v>145</v>
      </c>
      <c r="V73" s="43">
        <v>194.9</v>
      </c>
      <c r="W73" s="43">
        <v>100.1</v>
      </c>
      <c r="X73" s="43">
        <v>215.8</v>
      </c>
      <c r="Y73" s="43">
        <v>262.39999999999998</v>
      </c>
      <c r="Z73" s="43">
        <v>131.1</v>
      </c>
      <c r="AA73" s="87">
        <v>147.9</v>
      </c>
      <c r="AB73" s="87">
        <v>120</v>
      </c>
      <c r="AC73" s="87">
        <v>236.6</v>
      </c>
      <c r="AD73" s="10" t="s">
        <v>19</v>
      </c>
    </row>
    <row r="74" spans="2:30" ht="11.1" customHeight="1" x14ac:dyDescent="0.25">
      <c r="B74" s="21" t="s">
        <v>69</v>
      </c>
      <c r="C74" s="22" t="s">
        <v>35</v>
      </c>
      <c r="D74" s="212">
        <v>230.4</v>
      </c>
      <c r="E74" s="212">
        <v>218</v>
      </c>
      <c r="F74" s="212">
        <v>198.8</v>
      </c>
      <c r="G74" s="43">
        <v>134.69999999999999</v>
      </c>
      <c r="H74" s="43">
        <v>174.5</v>
      </c>
      <c r="I74" s="43">
        <v>183.3</v>
      </c>
      <c r="J74" s="43">
        <v>143</v>
      </c>
      <c r="K74" s="43">
        <v>128</v>
      </c>
      <c r="L74" s="43">
        <v>82.2</v>
      </c>
      <c r="M74" s="43">
        <v>92.7</v>
      </c>
      <c r="N74" s="43">
        <v>71</v>
      </c>
      <c r="O74" s="43">
        <v>56.5</v>
      </c>
      <c r="P74" s="43">
        <v>35.700000000000003</v>
      </c>
      <c r="Q74" s="43">
        <v>46.4</v>
      </c>
      <c r="R74" s="43">
        <v>42.2</v>
      </c>
      <c r="S74" s="43">
        <v>38.299999999999997</v>
      </c>
      <c r="T74" s="43">
        <v>39.6</v>
      </c>
      <c r="U74" s="43">
        <v>45</v>
      </c>
      <c r="V74" s="43">
        <v>37.4</v>
      </c>
      <c r="W74" s="43">
        <v>36.200000000000003</v>
      </c>
      <c r="X74" s="43">
        <v>44.5</v>
      </c>
      <c r="Y74" s="43">
        <v>37.1</v>
      </c>
      <c r="Z74" s="43">
        <v>95.8</v>
      </c>
      <c r="AA74" s="87">
        <v>72.400000000000006</v>
      </c>
      <c r="AB74" s="87">
        <v>44.2</v>
      </c>
      <c r="AC74" s="87">
        <v>72.5</v>
      </c>
      <c r="AD74" s="10" t="s">
        <v>19</v>
      </c>
    </row>
    <row r="75" spans="2:30" ht="11.1" customHeight="1" x14ac:dyDescent="0.25">
      <c r="B75" s="21" t="s">
        <v>361</v>
      </c>
      <c r="C75" s="22" t="s">
        <v>35</v>
      </c>
      <c r="D75" s="212">
        <v>46.8</v>
      </c>
      <c r="E75" s="212">
        <v>52.7</v>
      </c>
      <c r="F75" s="212">
        <v>63.4</v>
      </c>
      <c r="G75" s="43">
        <v>67.900000000000006</v>
      </c>
      <c r="H75" s="43">
        <v>69.400000000000006</v>
      </c>
      <c r="I75" s="43">
        <v>69.599999999999994</v>
      </c>
      <c r="J75" s="43">
        <v>55</v>
      </c>
      <c r="K75" s="43">
        <v>50.9</v>
      </c>
      <c r="L75" s="43">
        <v>42.7</v>
      </c>
      <c r="M75" s="43">
        <v>71</v>
      </c>
      <c r="N75" s="43">
        <v>26.9</v>
      </c>
      <c r="O75" s="43">
        <v>9</v>
      </c>
      <c r="P75" s="43">
        <v>10.7</v>
      </c>
      <c r="Q75" s="43">
        <v>13.4</v>
      </c>
      <c r="R75" s="43">
        <v>11.3</v>
      </c>
      <c r="S75" s="43">
        <v>10.7</v>
      </c>
      <c r="T75" s="43">
        <v>8.6999999999999993</v>
      </c>
      <c r="U75" s="43">
        <v>13</v>
      </c>
      <c r="V75" s="43">
        <v>21.2</v>
      </c>
      <c r="W75" s="43">
        <v>15</v>
      </c>
      <c r="X75" s="43">
        <v>17.5</v>
      </c>
      <c r="Y75" s="43">
        <v>15.8</v>
      </c>
      <c r="Z75" s="43">
        <v>200.5</v>
      </c>
      <c r="AA75" s="87">
        <v>193.3</v>
      </c>
      <c r="AB75" s="87">
        <v>335.9</v>
      </c>
      <c r="AC75" s="87">
        <v>387</v>
      </c>
      <c r="AD75" s="10" t="s">
        <v>19</v>
      </c>
    </row>
    <row r="76" spans="2:30" ht="11.1" customHeight="1" x14ac:dyDescent="0.25">
      <c r="B76" s="21" t="s">
        <v>362</v>
      </c>
      <c r="C76" s="22" t="s">
        <v>35</v>
      </c>
      <c r="D76" s="212">
        <v>1869.5</v>
      </c>
      <c r="E76" s="212">
        <v>1693.5</v>
      </c>
      <c r="F76" s="212">
        <v>1985.5</v>
      </c>
      <c r="G76" s="43">
        <v>1669.8</v>
      </c>
      <c r="H76" s="43">
        <v>1662.7</v>
      </c>
      <c r="I76" s="43">
        <v>1896.7</v>
      </c>
      <c r="J76" s="43">
        <v>1504</v>
      </c>
      <c r="K76" s="43">
        <v>979.2</v>
      </c>
      <c r="L76" s="43">
        <v>663.3</v>
      </c>
      <c r="M76" s="43">
        <v>618</v>
      </c>
      <c r="N76" s="43">
        <v>389.3</v>
      </c>
      <c r="O76" s="43">
        <v>504.6</v>
      </c>
      <c r="P76" s="43">
        <v>366.7</v>
      </c>
      <c r="Q76" s="43">
        <v>340.9</v>
      </c>
      <c r="R76" s="43">
        <v>354.8</v>
      </c>
      <c r="S76" s="43">
        <v>489.9</v>
      </c>
      <c r="T76" s="43">
        <v>581.5</v>
      </c>
      <c r="U76" s="43">
        <v>563</v>
      </c>
      <c r="V76" s="43">
        <v>629.9</v>
      </c>
      <c r="W76" s="43">
        <v>490.1</v>
      </c>
      <c r="X76" s="43">
        <v>603.9</v>
      </c>
      <c r="Y76" s="43">
        <v>604.6</v>
      </c>
      <c r="Z76" s="43">
        <v>706.5</v>
      </c>
      <c r="AA76" s="87">
        <v>636.20000000000005</v>
      </c>
      <c r="AB76" s="87">
        <v>736.1</v>
      </c>
      <c r="AC76" s="87">
        <v>989.1</v>
      </c>
      <c r="AD76" s="10" t="s">
        <v>19</v>
      </c>
    </row>
    <row r="77" spans="2:30" ht="11.1" customHeight="1" x14ac:dyDescent="0.25">
      <c r="B77" s="350" t="s">
        <v>71</v>
      </c>
      <c r="C77" s="350"/>
      <c r="D77" s="350"/>
      <c r="E77" s="350"/>
      <c r="F77" s="350"/>
      <c r="G77" s="350"/>
      <c r="H77" s="350"/>
      <c r="I77" s="350"/>
      <c r="J77" s="350"/>
      <c r="K77" s="350"/>
      <c r="L77" s="350"/>
      <c r="M77" s="350"/>
      <c r="N77" s="350"/>
      <c r="O77" s="350"/>
      <c r="P77" s="350"/>
      <c r="Q77" s="350"/>
      <c r="R77" s="350"/>
      <c r="S77" s="350"/>
      <c r="T77" s="350"/>
      <c r="U77" s="351"/>
      <c r="V77" s="351"/>
      <c r="W77" s="351"/>
      <c r="X77" s="351"/>
      <c r="Y77" s="351"/>
      <c r="Z77" s="351"/>
      <c r="AA77" s="50"/>
      <c r="AB77" s="50"/>
      <c r="AC77" s="50"/>
      <c r="AD77" s="50"/>
    </row>
    <row r="78" spans="2:30" ht="11.1" customHeight="1" x14ac:dyDescent="0.25">
      <c r="B78" s="21" t="s">
        <v>341</v>
      </c>
      <c r="C78" s="22" t="s">
        <v>35</v>
      </c>
      <c r="D78" s="212">
        <v>53</v>
      </c>
      <c r="E78" s="213">
        <v>65.5</v>
      </c>
      <c r="F78" s="213">
        <v>107.1</v>
      </c>
      <c r="G78" s="43">
        <v>26.1</v>
      </c>
      <c r="H78" s="43">
        <v>5.9</v>
      </c>
      <c r="I78" s="43">
        <v>1.1000000000000001</v>
      </c>
      <c r="J78" s="43">
        <v>0</v>
      </c>
      <c r="K78" s="43">
        <v>0.1</v>
      </c>
      <c r="L78" s="43">
        <v>0</v>
      </c>
      <c r="M78" s="43">
        <v>1.6</v>
      </c>
      <c r="N78" s="43">
        <v>0</v>
      </c>
      <c r="O78" s="43">
        <v>0</v>
      </c>
      <c r="P78" s="43">
        <v>0</v>
      </c>
      <c r="Q78" s="43">
        <v>0</v>
      </c>
      <c r="R78" s="43">
        <v>0</v>
      </c>
      <c r="S78" s="43">
        <v>0</v>
      </c>
      <c r="T78" s="43">
        <v>0</v>
      </c>
      <c r="U78" s="43">
        <v>0</v>
      </c>
      <c r="V78" s="43">
        <v>0</v>
      </c>
      <c r="W78" s="43">
        <v>0</v>
      </c>
      <c r="X78" s="43">
        <v>0</v>
      </c>
      <c r="Y78" s="43">
        <v>0</v>
      </c>
      <c r="Z78" s="43">
        <v>0</v>
      </c>
      <c r="AA78" s="87">
        <v>0</v>
      </c>
      <c r="AB78" s="87">
        <v>0</v>
      </c>
      <c r="AC78" s="87">
        <v>0</v>
      </c>
      <c r="AD78" s="10" t="s">
        <v>19</v>
      </c>
    </row>
    <row r="79" spans="2:30" ht="11.1" customHeight="1" x14ac:dyDescent="0.25">
      <c r="B79" s="21" t="s">
        <v>342</v>
      </c>
      <c r="C79" s="22" t="s">
        <v>35</v>
      </c>
      <c r="D79" s="212">
        <v>3111.6</v>
      </c>
      <c r="E79" s="212">
        <v>2811.5</v>
      </c>
      <c r="F79" s="212">
        <v>3567.9</v>
      </c>
      <c r="G79" s="43">
        <v>4153.7</v>
      </c>
      <c r="H79" s="43">
        <v>3235.9</v>
      </c>
      <c r="I79" s="43">
        <v>2872.2</v>
      </c>
      <c r="J79" s="43">
        <v>4003</v>
      </c>
      <c r="K79" s="43">
        <v>3605.6</v>
      </c>
      <c r="L79" s="43">
        <v>3832</v>
      </c>
      <c r="M79" s="43">
        <v>3720.7</v>
      </c>
      <c r="N79" s="43">
        <v>1766.2</v>
      </c>
      <c r="O79" s="43">
        <v>4059.7</v>
      </c>
      <c r="P79" s="43">
        <v>3324.8</v>
      </c>
      <c r="Q79" s="43">
        <v>3228.6</v>
      </c>
      <c r="R79" s="43">
        <v>2441.1</v>
      </c>
      <c r="S79" s="43">
        <v>3926.2</v>
      </c>
      <c r="T79" s="43">
        <v>2841.1</v>
      </c>
      <c r="U79" s="43">
        <v>2843</v>
      </c>
      <c r="V79" s="43">
        <v>2280.6</v>
      </c>
      <c r="W79" s="43">
        <v>2679.1</v>
      </c>
      <c r="X79" s="43">
        <v>2737.2</v>
      </c>
      <c r="Y79" s="43">
        <v>3221.5</v>
      </c>
      <c r="Z79" s="43">
        <v>2518.1999999999998</v>
      </c>
      <c r="AA79" s="87">
        <v>1910.6</v>
      </c>
      <c r="AB79" s="87">
        <v>2351.6</v>
      </c>
      <c r="AC79" s="87">
        <v>2371.6999999999998</v>
      </c>
      <c r="AD79" s="10" t="s">
        <v>19</v>
      </c>
    </row>
    <row r="80" spans="2:30" ht="11.1" customHeight="1" x14ac:dyDescent="0.25">
      <c r="B80" s="21" t="s">
        <v>343</v>
      </c>
      <c r="C80" s="22" t="s">
        <v>35</v>
      </c>
      <c r="D80" s="212">
        <v>388.1</v>
      </c>
      <c r="E80" s="212">
        <v>309.8</v>
      </c>
      <c r="F80" s="212">
        <v>294.8</v>
      </c>
      <c r="G80" s="43">
        <v>315.89999999999998</v>
      </c>
      <c r="H80" s="43">
        <v>346.8</v>
      </c>
      <c r="I80" s="43">
        <v>550.1</v>
      </c>
      <c r="J80" s="43">
        <v>352</v>
      </c>
      <c r="K80" s="43">
        <v>342.5</v>
      </c>
      <c r="L80" s="43">
        <v>275.8</v>
      </c>
      <c r="M80" s="43">
        <v>133.9</v>
      </c>
      <c r="N80" s="43">
        <v>98.9</v>
      </c>
      <c r="O80" s="43">
        <v>119</v>
      </c>
      <c r="P80" s="43">
        <v>100.5</v>
      </c>
      <c r="Q80" s="43">
        <v>152.1</v>
      </c>
      <c r="R80" s="43">
        <v>167.7</v>
      </c>
      <c r="S80" s="43">
        <v>168</v>
      </c>
      <c r="T80" s="43">
        <v>84.7</v>
      </c>
      <c r="U80" s="43">
        <v>89</v>
      </c>
      <c r="V80" s="43">
        <v>59.8</v>
      </c>
      <c r="W80" s="43">
        <v>67.599999999999994</v>
      </c>
      <c r="X80" s="43">
        <v>42.5</v>
      </c>
      <c r="Y80" s="43">
        <v>93.7</v>
      </c>
      <c r="Z80" s="43">
        <v>50.3</v>
      </c>
      <c r="AA80" s="87">
        <v>41.9</v>
      </c>
      <c r="AB80" s="87">
        <v>39.1</v>
      </c>
      <c r="AC80" s="87">
        <v>28.6</v>
      </c>
      <c r="AD80" s="10" t="s">
        <v>19</v>
      </c>
    </row>
    <row r="81" spans="2:30" ht="11.1" customHeight="1" x14ac:dyDescent="0.25">
      <c r="B81" s="21" t="s">
        <v>344</v>
      </c>
      <c r="C81" s="22" t="s">
        <v>35</v>
      </c>
      <c r="D81" s="212">
        <v>97.5</v>
      </c>
      <c r="E81" s="213">
        <v>135.30000000000001</v>
      </c>
      <c r="F81" s="212">
        <v>137.30000000000001</v>
      </c>
      <c r="G81" s="43">
        <v>258.3</v>
      </c>
      <c r="H81" s="43">
        <v>249.9</v>
      </c>
      <c r="I81" s="43">
        <v>144.6</v>
      </c>
      <c r="J81" s="43">
        <v>85</v>
      </c>
      <c r="K81" s="43">
        <v>141.1</v>
      </c>
      <c r="L81" s="43">
        <v>165.2</v>
      </c>
      <c r="M81" s="43">
        <v>135.6</v>
      </c>
      <c r="N81" s="43">
        <v>132.80000000000001</v>
      </c>
      <c r="O81" s="43">
        <v>266</v>
      </c>
      <c r="P81" s="43">
        <v>242.7</v>
      </c>
      <c r="Q81" s="43">
        <v>244.7</v>
      </c>
      <c r="R81" s="43">
        <v>123.6</v>
      </c>
      <c r="S81" s="43">
        <v>108.3</v>
      </c>
      <c r="T81" s="43">
        <v>117.8</v>
      </c>
      <c r="U81" s="43">
        <v>100</v>
      </c>
      <c r="V81" s="43">
        <v>65.7</v>
      </c>
      <c r="W81" s="43">
        <v>77.5</v>
      </c>
      <c r="X81" s="43">
        <v>78.2</v>
      </c>
      <c r="Y81" s="43">
        <v>120.7</v>
      </c>
      <c r="Z81" s="43">
        <v>68.900000000000006</v>
      </c>
      <c r="AA81" s="87">
        <v>75.599999999999994</v>
      </c>
      <c r="AB81" s="87">
        <v>79.3</v>
      </c>
      <c r="AC81" s="87">
        <v>120.7</v>
      </c>
      <c r="AD81" s="10" t="s">
        <v>19</v>
      </c>
    </row>
    <row r="82" spans="2:30" ht="11.1" customHeight="1" x14ac:dyDescent="0.25">
      <c r="B82" s="21" t="s">
        <v>345</v>
      </c>
      <c r="C82" s="22" t="s">
        <v>35</v>
      </c>
      <c r="D82" s="212">
        <v>16</v>
      </c>
      <c r="E82" s="213">
        <v>27.1</v>
      </c>
      <c r="F82" s="213">
        <v>58.9</v>
      </c>
      <c r="G82" s="43">
        <v>318.39999999999998</v>
      </c>
      <c r="H82" s="43">
        <v>418.6</v>
      </c>
      <c r="I82" s="43">
        <v>127.2</v>
      </c>
      <c r="J82" s="43">
        <v>43</v>
      </c>
      <c r="K82" s="43">
        <v>36.6</v>
      </c>
      <c r="L82" s="43">
        <v>33.1</v>
      </c>
      <c r="M82" s="43">
        <v>6.8</v>
      </c>
      <c r="N82" s="43">
        <v>7.2</v>
      </c>
      <c r="O82" s="43">
        <v>6.1</v>
      </c>
      <c r="P82" s="43">
        <v>0.3</v>
      </c>
      <c r="Q82" s="43">
        <v>3.9</v>
      </c>
      <c r="R82" s="43">
        <v>1.4</v>
      </c>
      <c r="S82" s="43">
        <v>1.9</v>
      </c>
      <c r="T82" s="43">
        <v>0.3</v>
      </c>
      <c r="U82" s="43">
        <v>0</v>
      </c>
      <c r="V82" s="43">
        <v>0</v>
      </c>
      <c r="W82" s="43">
        <v>1.2</v>
      </c>
      <c r="X82" s="43">
        <v>4.5999999999999996</v>
      </c>
      <c r="Y82" s="43">
        <v>2.9</v>
      </c>
      <c r="Z82" s="43">
        <v>6.2</v>
      </c>
      <c r="AA82" s="87">
        <v>5</v>
      </c>
      <c r="AB82" s="87">
        <v>3.2</v>
      </c>
      <c r="AC82" s="87">
        <v>2.8</v>
      </c>
      <c r="AD82" s="10" t="s">
        <v>19</v>
      </c>
    </row>
    <row r="83" spans="2:30" ht="11.1" customHeight="1" x14ac:dyDescent="0.25">
      <c r="B83" s="21" t="s">
        <v>346</v>
      </c>
      <c r="C83" s="22" t="s">
        <v>35</v>
      </c>
      <c r="D83" s="212">
        <v>377.7</v>
      </c>
      <c r="E83" s="212">
        <v>319.89999999999998</v>
      </c>
      <c r="F83" s="212">
        <v>331.1</v>
      </c>
      <c r="G83" s="43">
        <v>335.1</v>
      </c>
      <c r="H83" s="43">
        <v>387.6</v>
      </c>
      <c r="I83" s="43">
        <v>333.5</v>
      </c>
      <c r="J83" s="43">
        <v>392</v>
      </c>
      <c r="K83" s="43">
        <v>393.3</v>
      </c>
      <c r="L83" s="43">
        <v>513.9</v>
      </c>
      <c r="M83" s="43">
        <v>354.1</v>
      </c>
      <c r="N83" s="43">
        <v>229.9</v>
      </c>
      <c r="O83" s="43">
        <v>306.39999999999998</v>
      </c>
      <c r="P83" s="43">
        <v>343.3</v>
      </c>
      <c r="Q83" s="43">
        <v>261.89999999999998</v>
      </c>
      <c r="R83" s="43">
        <v>293.60000000000002</v>
      </c>
      <c r="S83" s="43">
        <v>358.8</v>
      </c>
      <c r="T83" s="43">
        <v>328.2</v>
      </c>
      <c r="U83" s="43">
        <v>282</v>
      </c>
      <c r="V83" s="43">
        <v>212</v>
      </c>
      <c r="W83" s="43">
        <v>247.1</v>
      </c>
      <c r="X83" s="43">
        <v>312.60000000000002</v>
      </c>
      <c r="Y83" s="43">
        <v>320.5</v>
      </c>
      <c r="Z83" s="43">
        <v>222.5</v>
      </c>
      <c r="AA83" s="87">
        <v>229.1</v>
      </c>
      <c r="AB83" s="87">
        <v>208.5</v>
      </c>
      <c r="AC83" s="87">
        <v>288.10000000000002</v>
      </c>
      <c r="AD83" s="10" t="s">
        <v>19</v>
      </c>
    </row>
    <row r="84" spans="2:30" ht="11.1" customHeight="1" x14ac:dyDescent="0.25">
      <c r="B84" s="21" t="s">
        <v>347</v>
      </c>
      <c r="C84" s="22" t="s">
        <v>35</v>
      </c>
      <c r="D84" s="212">
        <v>172.2</v>
      </c>
      <c r="E84" s="212">
        <v>449.1</v>
      </c>
      <c r="F84" s="212">
        <v>814.9</v>
      </c>
      <c r="G84" s="43">
        <v>810.3</v>
      </c>
      <c r="H84" s="43">
        <v>1346.1</v>
      </c>
      <c r="I84" s="43">
        <v>2130.8000000000002</v>
      </c>
      <c r="J84" s="43">
        <v>1134</v>
      </c>
      <c r="K84" s="43">
        <v>660.3</v>
      </c>
      <c r="L84" s="43">
        <v>1069</v>
      </c>
      <c r="M84" s="43">
        <v>1448.9</v>
      </c>
      <c r="N84" s="43">
        <v>1531.3</v>
      </c>
      <c r="O84" s="43">
        <v>1384.2</v>
      </c>
      <c r="P84" s="43">
        <v>741.5</v>
      </c>
      <c r="Q84" s="43">
        <v>909.6</v>
      </c>
      <c r="R84" s="43">
        <v>1342.4</v>
      </c>
      <c r="S84" s="43">
        <v>1057.5999999999999</v>
      </c>
      <c r="T84" s="43">
        <v>764.6</v>
      </c>
      <c r="U84" s="43">
        <v>836</v>
      </c>
      <c r="V84" s="43">
        <v>754.3</v>
      </c>
      <c r="W84" s="43">
        <v>894.4</v>
      </c>
      <c r="X84" s="43">
        <v>1007.8</v>
      </c>
      <c r="Y84" s="43">
        <v>795.9</v>
      </c>
      <c r="Z84" s="43">
        <v>926</v>
      </c>
      <c r="AA84" s="87">
        <v>640.9</v>
      </c>
      <c r="AB84" s="87">
        <v>286</v>
      </c>
      <c r="AC84" s="87">
        <v>305.7</v>
      </c>
      <c r="AD84" s="10" t="s">
        <v>19</v>
      </c>
    </row>
    <row r="85" spans="2:30" ht="11.1" customHeight="1" x14ac:dyDescent="0.25">
      <c r="B85" s="21" t="s">
        <v>348</v>
      </c>
      <c r="C85" s="22" t="s">
        <v>35</v>
      </c>
      <c r="D85" s="212">
        <v>297.7</v>
      </c>
      <c r="E85" s="212">
        <v>290.3</v>
      </c>
      <c r="F85" s="212">
        <v>307.10000000000002</v>
      </c>
      <c r="G85" s="43">
        <v>213.5</v>
      </c>
      <c r="H85" s="43">
        <v>206.1</v>
      </c>
      <c r="I85" s="43">
        <v>241.2</v>
      </c>
      <c r="J85" s="43">
        <v>227</v>
      </c>
      <c r="K85" s="43">
        <v>228.6</v>
      </c>
      <c r="L85" s="43">
        <v>245.4</v>
      </c>
      <c r="M85" s="43">
        <v>323.10000000000002</v>
      </c>
      <c r="N85" s="43">
        <v>244.2</v>
      </c>
      <c r="O85" s="43">
        <v>274.89999999999998</v>
      </c>
      <c r="P85" s="43">
        <v>301.39999999999998</v>
      </c>
      <c r="Q85" s="43">
        <v>306.8</v>
      </c>
      <c r="R85" s="43">
        <v>240.6</v>
      </c>
      <c r="S85" s="43">
        <v>204.9</v>
      </c>
      <c r="T85" s="43">
        <v>165.7</v>
      </c>
      <c r="U85" s="43">
        <v>175</v>
      </c>
      <c r="V85" s="43">
        <v>167.2</v>
      </c>
      <c r="W85" s="43">
        <v>172</v>
      </c>
      <c r="X85" s="43">
        <v>162</v>
      </c>
      <c r="Y85" s="43">
        <v>203.4</v>
      </c>
      <c r="Z85" s="43">
        <v>187.3</v>
      </c>
      <c r="AA85" s="87">
        <v>170.5</v>
      </c>
      <c r="AB85" s="87">
        <v>147.69999999999999</v>
      </c>
      <c r="AC85" s="87">
        <v>155.1</v>
      </c>
      <c r="AD85" s="10" t="s">
        <v>19</v>
      </c>
    </row>
    <row r="86" spans="2:30" ht="11.1" customHeight="1" x14ac:dyDescent="0.25">
      <c r="B86" s="21" t="s">
        <v>349</v>
      </c>
      <c r="C86" s="22" t="s">
        <v>35</v>
      </c>
      <c r="D86" s="212">
        <v>121.5</v>
      </c>
      <c r="E86" s="212">
        <v>101.5</v>
      </c>
      <c r="F86" s="212">
        <v>85.8</v>
      </c>
      <c r="G86" s="43">
        <v>68.400000000000006</v>
      </c>
      <c r="H86" s="43">
        <v>54.5</v>
      </c>
      <c r="I86" s="43">
        <v>67.5</v>
      </c>
      <c r="J86" s="43">
        <v>63</v>
      </c>
      <c r="K86" s="43">
        <v>58</v>
      </c>
      <c r="L86" s="43">
        <v>40.6</v>
      </c>
      <c r="M86" s="43">
        <v>41.8</v>
      </c>
      <c r="N86" s="43">
        <v>39.4</v>
      </c>
      <c r="O86" s="43">
        <v>44.8</v>
      </c>
      <c r="P86" s="43">
        <v>33.1</v>
      </c>
      <c r="Q86" s="43">
        <v>37.4</v>
      </c>
      <c r="R86" s="43">
        <v>33.799999999999997</v>
      </c>
      <c r="S86" s="43">
        <v>27.3</v>
      </c>
      <c r="T86" s="43">
        <v>21.2</v>
      </c>
      <c r="U86" s="43">
        <v>21</v>
      </c>
      <c r="V86" s="43">
        <v>23.6</v>
      </c>
      <c r="W86" s="43">
        <v>24.3</v>
      </c>
      <c r="X86" s="43">
        <v>19.600000000000001</v>
      </c>
      <c r="Y86" s="43">
        <v>23.8</v>
      </c>
      <c r="Z86" s="43">
        <v>30.7</v>
      </c>
      <c r="AA86" s="87">
        <v>29.5</v>
      </c>
      <c r="AB86" s="87">
        <v>21.4</v>
      </c>
      <c r="AC86" s="87">
        <v>25.5</v>
      </c>
      <c r="AD86" s="10" t="s">
        <v>19</v>
      </c>
    </row>
    <row r="87" spans="2:30" ht="11.1" customHeight="1" x14ac:dyDescent="0.25">
      <c r="B87" s="21" t="s">
        <v>350</v>
      </c>
      <c r="C87" s="22" t="s">
        <v>35</v>
      </c>
      <c r="D87" s="212">
        <v>94.2</v>
      </c>
      <c r="E87" s="213">
        <v>78.599999999999994</v>
      </c>
      <c r="F87" s="213">
        <v>72.900000000000006</v>
      </c>
      <c r="G87" s="43">
        <v>69.900000000000006</v>
      </c>
      <c r="H87" s="43">
        <v>73.599999999999994</v>
      </c>
      <c r="I87" s="43">
        <v>101.1</v>
      </c>
      <c r="J87" s="43">
        <v>54</v>
      </c>
      <c r="K87" s="43">
        <v>60.9</v>
      </c>
      <c r="L87" s="43">
        <v>46.3</v>
      </c>
      <c r="M87" s="43">
        <v>47.6</v>
      </c>
      <c r="N87" s="43">
        <v>35.9</v>
      </c>
      <c r="O87" s="43">
        <v>53.2</v>
      </c>
      <c r="P87" s="43">
        <v>83.5</v>
      </c>
      <c r="Q87" s="43">
        <v>79.099999999999994</v>
      </c>
      <c r="R87" s="43">
        <v>78.5</v>
      </c>
      <c r="S87" s="43">
        <v>57.8</v>
      </c>
      <c r="T87" s="43">
        <v>76.099999999999994</v>
      </c>
      <c r="U87" s="43">
        <v>76</v>
      </c>
      <c r="V87" s="43">
        <v>71.8</v>
      </c>
      <c r="W87" s="43">
        <v>71</v>
      </c>
      <c r="X87" s="43">
        <v>50.4</v>
      </c>
      <c r="Y87" s="43">
        <v>54.6</v>
      </c>
      <c r="Z87" s="43">
        <v>87.4</v>
      </c>
      <c r="AA87" s="87">
        <v>83.7</v>
      </c>
      <c r="AB87" s="87">
        <v>104.8</v>
      </c>
      <c r="AC87" s="87">
        <v>63.3</v>
      </c>
      <c r="AD87" s="10" t="s">
        <v>19</v>
      </c>
    </row>
    <row r="88" spans="2:30" ht="11.1" customHeight="1" x14ac:dyDescent="0.25">
      <c r="B88" s="21" t="s">
        <v>351</v>
      </c>
      <c r="C88" s="22" t="s">
        <v>35</v>
      </c>
      <c r="D88" s="212">
        <v>181.8</v>
      </c>
      <c r="E88" s="212">
        <v>145.19999999999999</v>
      </c>
      <c r="F88" s="212">
        <v>160.19999999999999</v>
      </c>
      <c r="G88" s="43">
        <v>160.4</v>
      </c>
      <c r="H88" s="43">
        <v>170</v>
      </c>
      <c r="I88" s="43">
        <v>179.2</v>
      </c>
      <c r="J88" s="43">
        <v>142</v>
      </c>
      <c r="K88" s="43">
        <v>191.5</v>
      </c>
      <c r="L88" s="43">
        <v>155.19999999999999</v>
      </c>
      <c r="M88" s="43">
        <v>167.8</v>
      </c>
      <c r="N88" s="43">
        <v>112.8</v>
      </c>
      <c r="O88" s="43">
        <v>119.8</v>
      </c>
      <c r="P88" s="43">
        <v>145.30000000000001</v>
      </c>
      <c r="Q88" s="43">
        <v>110.3</v>
      </c>
      <c r="R88" s="43">
        <v>84</v>
      </c>
      <c r="S88" s="43">
        <v>80.599999999999994</v>
      </c>
      <c r="T88" s="43">
        <v>120.3</v>
      </c>
      <c r="U88" s="43">
        <v>99</v>
      </c>
      <c r="V88" s="43">
        <v>83.5</v>
      </c>
      <c r="W88" s="43">
        <v>67.599999999999994</v>
      </c>
      <c r="X88" s="43">
        <v>76.599999999999994</v>
      </c>
      <c r="Y88" s="43">
        <v>98.3</v>
      </c>
      <c r="Z88" s="43">
        <v>84.9</v>
      </c>
      <c r="AA88" s="87">
        <v>60.9</v>
      </c>
      <c r="AB88" s="87">
        <v>52.8</v>
      </c>
      <c r="AC88" s="87">
        <v>71.3</v>
      </c>
      <c r="AD88" s="10" t="s">
        <v>19</v>
      </c>
    </row>
    <row r="89" spans="2:30" ht="11.1" customHeight="1" x14ac:dyDescent="0.25">
      <c r="B89" s="21" t="s">
        <v>352</v>
      </c>
      <c r="C89" s="22" t="s">
        <v>35</v>
      </c>
      <c r="D89" s="212">
        <v>503.4</v>
      </c>
      <c r="E89" s="212">
        <v>541</v>
      </c>
      <c r="F89" s="212">
        <v>558.6</v>
      </c>
      <c r="G89" s="43">
        <v>525</v>
      </c>
      <c r="H89" s="43">
        <v>484.1</v>
      </c>
      <c r="I89" s="43">
        <v>390.1</v>
      </c>
      <c r="J89" s="43">
        <v>326</v>
      </c>
      <c r="K89" s="43">
        <v>394.4</v>
      </c>
      <c r="L89" s="43">
        <v>455.7</v>
      </c>
      <c r="M89" s="43">
        <v>390.5</v>
      </c>
      <c r="N89" s="43">
        <v>302.10000000000002</v>
      </c>
      <c r="O89" s="43">
        <v>301.5</v>
      </c>
      <c r="P89" s="43">
        <v>367.1</v>
      </c>
      <c r="Q89" s="43">
        <v>429.1</v>
      </c>
      <c r="R89" s="43">
        <v>398</v>
      </c>
      <c r="S89" s="43">
        <v>372.2</v>
      </c>
      <c r="T89" s="43">
        <v>389.2</v>
      </c>
      <c r="U89" s="43">
        <v>291</v>
      </c>
      <c r="V89" s="43">
        <v>196.6</v>
      </c>
      <c r="W89" s="43">
        <v>209.1</v>
      </c>
      <c r="X89" s="43">
        <v>281.8</v>
      </c>
      <c r="Y89" s="43">
        <v>288.3</v>
      </c>
      <c r="Z89" s="43">
        <v>249.9</v>
      </c>
      <c r="AA89" s="87">
        <v>222</v>
      </c>
      <c r="AB89" s="87">
        <v>244.1</v>
      </c>
      <c r="AC89" s="87">
        <v>240.5</v>
      </c>
      <c r="AD89" s="10" t="s">
        <v>19</v>
      </c>
    </row>
    <row r="90" spans="2:30" ht="11.1" customHeight="1" x14ac:dyDescent="0.25">
      <c r="B90" s="21" t="s">
        <v>52</v>
      </c>
      <c r="C90" s="22" t="s">
        <v>35</v>
      </c>
      <c r="D90" s="212">
        <v>1544.5</v>
      </c>
      <c r="E90" s="212">
        <v>831.9</v>
      </c>
      <c r="F90" s="212">
        <v>1159.5999999999999</v>
      </c>
      <c r="G90" s="43">
        <v>1238.3</v>
      </c>
      <c r="H90" s="43">
        <v>1840</v>
      </c>
      <c r="I90" s="43">
        <v>1588.9</v>
      </c>
      <c r="J90" s="43">
        <v>1304</v>
      </c>
      <c r="K90" s="43">
        <v>1412.5</v>
      </c>
      <c r="L90" s="43">
        <v>1301.0999999999999</v>
      </c>
      <c r="M90" s="43">
        <v>1195.7</v>
      </c>
      <c r="N90" s="43">
        <v>931.7</v>
      </c>
      <c r="O90" s="43">
        <v>900.7</v>
      </c>
      <c r="P90" s="43">
        <v>1254.5999999999999</v>
      </c>
      <c r="Q90" s="43">
        <v>1109.9000000000001</v>
      </c>
      <c r="R90" s="43">
        <v>908.2</v>
      </c>
      <c r="S90" s="43">
        <v>625.4</v>
      </c>
      <c r="T90" s="43">
        <v>785</v>
      </c>
      <c r="U90" s="43">
        <v>869</v>
      </c>
      <c r="V90" s="43">
        <v>953.3</v>
      </c>
      <c r="W90" s="43">
        <v>1369.1</v>
      </c>
      <c r="X90" s="43">
        <v>1394.4</v>
      </c>
      <c r="Y90" s="43">
        <v>1251.5</v>
      </c>
      <c r="Z90" s="43">
        <v>696.1</v>
      </c>
      <c r="AA90" s="87">
        <v>675.7</v>
      </c>
      <c r="AB90" s="87">
        <v>810.5</v>
      </c>
      <c r="AC90" s="87">
        <v>1059</v>
      </c>
      <c r="AD90" s="10" t="s">
        <v>19</v>
      </c>
    </row>
    <row r="91" spans="2:30" ht="11.1" customHeight="1" x14ac:dyDescent="0.25">
      <c r="B91" s="21" t="s">
        <v>353</v>
      </c>
      <c r="C91" s="22" t="s">
        <v>35</v>
      </c>
      <c r="D91" s="212">
        <v>226</v>
      </c>
      <c r="E91" s="212">
        <v>231.9</v>
      </c>
      <c r="F91" s="212">
        <v>189.4</v>
      </c>
      <c r="G91" s="43">
        <v>142.1</v>
      </c>
      <c r="H91" s="43">
        <v>156.5</v>
      </c>
      <c r="I91" s="43">
        <v>132.80000000000001</v>
      </c>
      <c r="J91" s="43">
        <v>114</v>
      </c>
      <c r="K91" s="43">
        <v>145.1</v>
      </c>
      <c r="L91" s="43">
        <v>153.5</v>
      </c>
      <c r="M91" s="43">
        <v>187</v>
      </c>
      <c r="N91" s="43">
        <v>122.8</v>
      </c>
      <c r="O91" s="43">
        <v>124.7</v>
      </c>
      <c r="P91" s="43">
        <v>174.6</v>
      </c>
      <c r="Q91" s="43">
        <v>172.8</v>
      </c>
      <c r="R91" s="43">
        <v>126.1</v>
      </c>
      <c r="S91" s="43">
        <v>118</v>
      </c>
      <c r="T91" s="43">
        <v>139.19999999999999</v>
      </c>
      <c r="U91" s="43">
        <v>143</v>
      </c>
      <c r="V91" s="43">
        <v>136</v>
      </c>
      <c r="W91" s="43">
        <v>124.4</v>
      </c>
      <c r="X91" s="43">
        <v>123.5</v>
      </c>
      <c r="Y91" s="43">
        <v>121.5</v>
      </c>
      <c r="Z91" s="43">
        <v>120.8</v>
      </c>
      <c r="AA91" s="87">
        <v>133.30000000000001</v>
      </c>
      <c r="AB91" s="87">
        <v>120.3</v>
      </c>
      <c r="AC91" s="87">
        <v>101.9</v>
      </c>
      <c r="AD91" s="10" t="s">
        <v>19</v>
      </c>
    </row>
    <row r="92" spans="2:30" ht="11.1" customHeight="1" x14ac:dyDescent="0.25">
      <c r="B92" s="21" t="s">
        <v>363</v>
      </c>
      <c r="C92" s="22" t="s">
        <v>35</v>
      </c>
      <c r="D92" s="212">
        <v>4390.5</v>
      </c>
      <c r="E92" s="212">
        <v>4482.7</v>
      </c>
      <c r="F92" s="212">
        <v>4230.3</v>
      </c>
      <c r="G92" s="43">
        <v>4124.8999999999996</v>
      </c>
      <c r="H92" s="43">
        <v>4585.7</v>
      </c>
      <c r="I92" s="43">
        <v>4965.7</v>
      </c>
      <c r="J92" s="43">
        <v>5048</v>
      </c>
      <c r="K92" s="43">
        <v>5723.8</v>
      </c>
      <c r="L92" s="43">
        <v>6006.8</v>
      </c>
      <c r="M92" s="43">
        <v>5030.1000000000004</v>
      </c>
      <c r="N92" s="43">
        <v>5775</v>
      </c>
      <c r="O92" s="43">
        <v>5411.9</v>
      </c>
      <c r="P92" s="43">
        <v>4531.7</v>
      </c>
      <c r="Q92" s="43">
        <v>3714.9</v>
      </c>
      <c r="R92" s="43">
        <v>3408.4</v>
      </c>
      <c r="S92" s="43">
        <v>3654.7</v>
      </c>
      <c r="T92" s="43">
        <v>3367.2</v>
      </c>
      <c r="U92" s="43">
        <v>3178</v>
      </c>
      <c r="V92" s="43">
        <v>2766.9</v>
      </c>
      <c r="W92" s="43">
        <v>3023.2</v>
      </c>
      <c r="X92" s="43">
        <v>3656.5</v>
      </c>
      <c r="Y92" s="43">
        <v>3513.3</v>
      </c>
      <c r="Z92" s="43">
        <v>3092.6</v>
      </c>
      <c r="AA92" s="87">
        <v>2464.3000000000002</v>
      </c>
      <c r="AB92" s="87">
        <v>2675.1</v>
      </c>
      <c r="AC92" s="87">
        <v>2896.1</v>
      </c>
      <c r="AD92" s="10" t="s">
        <v>19</v>
      </c>
    </row>
    <row r="93" spans="2:30" ht="11.1" customHeight="1" x14ac:dyDescent="0.25">
      <c r="B93" s="21" t="s">
        <v>364</v>
      </c>
      <c r="C93" s="22" t="s">
        <v>35</v>
      </c>
      <c r="D93" s="212">
        <v>11575.7</v>
      </c>
      <c r="E93" s="212">
        <v>10821.4</v>
      </c>
      <c r="F93" s="212">
        <v>12076</v>
      </c>
      <c r="G93" s="43">
        <v>12760.2</v>
      </c>
      <c r="H93" s="43">
        <v>13561.1</v>
      </c>
      <c r="I93" s="43">
        <v>13826.1</v>
      </c>
      <c r="J93" s="43">
        <v>13287</v>
      </c>
      <c r="K93" s="43">
        <v>13394.4</v>
      </c>
      <c r="L93" s="43">
        <v>14293.4</v>
      </c>
      <c r="M93" s="43">
        <v>13185.2</v>
      </c>
      <c r="N93" s="43">
        <v>11330.3</v>
      </c>
      <c r="O93" s="43">
        <v>13373</v>
      </c>
      <c r="P93" s="43">
        <v>11644.3</v>
      </c>
      <c r="Q93" s="43">
        <v>10761.1</v>
      </c>
      <c r="R93" s="43">
        <v>9647.2000000000007</v>
      </c>
      <c r="S93" s="43">
        <v>10761.6</v>
      </c>
      <c r="T93" s="43">
        <v>9200.6</v>
      </c>
      <c r="U93" s="43">
        <v>9002</v>
      </c>
      <c r="V93" s="43">
        <v>7771.3</v>
      </c>
      <c r="W93" s="43">
        <v>9027.5</v>
      </c>
      <c r="X93" s="43">
        <v>9947.7000000000007</v>
      </c>
      <c r="Y93" s="43">
        <v>10109.799999999999</v>
      </c>
      <c r="Z93" s="43">
        <v>8341.7999999999993</v>
      </c>
      <c r="AA93" s="87">
        <v>6742.8</v>
      </c>
      <c r="AB93" s="87">
        <v>7144.4</v>
      </c>
      <c r="AC93" s="87">
        <v>7730.4</v>
      </c>
      <c r="AD93" s="10" t="s">
        <v>19</v>
      </c>
    </row>
    <row r="94" spans="2:30" ht="12" customHeight="1" x14ac:dyDescent="0.25">
      <c r="B94" s="42" t="s">
        <v>354</v>
      </c>
      <c r="C94" s="22" t="s">
        <v>35</v>
      </c>
      <c r="D94" s="212">
        <v>91.5</v>
      </c>
      <c r="E94" s="213">
        <v>128.6</v>
      </c>
      <c r="F94" s="213">
        <v>120.8</v>
      </c>
      <c r="G94" s="43">
        <v>116.9</v>
      </c>
      <c r="H94" s="43">
        <v>85.1</v>
      </c>
      <c r="I94" s="43">
        <v>52.8</v>
      </c>
      <c r="J94" s="43">
        <v>20</v>
      </c>
      <c r="K94" s="43">
        <v>15.8</v>
      </c>
      <c r="L94" s="43">
        <v>18.600000000000001</v>
      </c>
      <c r="M94" s="43">
        <v>23.7</v>
      </c>
      <c r="N94" s="43">
        <v>48.7</v>
      </c>
      <c r="O94" s="43">
        <v>74.599999999999994</v>
      </c>
      <c r="P94" s="43">
        <v>49.7</v>
      </c>
      <c r="Q94" s="43">
        <v>87</v>
      </c>
      <c r="R94" s="43">
        <v>80.900000000000006</v>
      </c>
      <c r="S94" s="43">
        <v>90.4</v>
      </c>
      <c r="T94" s="43">
        <v>82.1</v>
      </c>
      <c r="U94" s="43">
        <v>125</v>
      </c>
      <c r="V94" s="43">
        <v>89.9</v>
      </c>
      <c r="W94" s="43">
        <v>96.5</v>
      </c>
      <c r="X94" s="43">
        <v>86.5</v>
      </c>
      <c r="Y94" s="43">
        <v>126.1</v>
      </c>
      <c r="Z94" s="43">
        <v>141.5</v>
      </c>
      <c r="AA94" s="87">
        <v>24.1</v>
      </c>
      <c r="AB94" s="87">
        <v>6.3</v>
      </c>
      <c r="AC94" s="87">
        <v>45.6</v>
      </c>
      <c r="AD94" s="10" t="s">
        <v>19</v>
      </c>
    </row>
    <row r="95" spans="2:30" ht="11.1" customHeight="1" x14ac:dyDescent="0.25">
      <c r="B95" s="42" t="s">
        <v>55</v>
      </c>
      <c r="C95" s="22" t="s">
        <v>35</v>
      </c>
      <c r="D95" s="212">
        <v>16399.5</v>
      </c>
      <c r="E95" s="212">
        <v>15723.1</v>
      </c>
      <c r="F95" s="212">
        <v>17659.8</v>
      </c>
      <c r="G95" s="43">
        <v>17180.7</v>
      </c>
      <c r="H95" s="43">
        <v>18124.099999999999</v>
      </c>
      <c r="I95" s="43">
        <v>18240.3</v>
      </c>
      <c r="J95" s="43">
        <v>16685</v>
      </c>
      <c r="K95" s="43">
        <v>16194.2</v>
      </c>
      <c r="L95" s="43">
        <v>16859.7</v>
      </c>
      <c r="M95" s="43">
        <v>16058.1</v>
      </c>
      <c r="N95" s="43">
        <v>13806.3</v>
      </c>
      <c r="O95" s="43">
        <v>15926.5</v>
      </c>
      <c r="P95" s="43">
        <v>14200.9</v>
      </c>
      <c r="Q95" s="43">
        <v>13150.7</v>
      </c>
      <c r="R95" s="43">
        <v>12389.6</v>
      </c>
      <c r="S95" s="43">
        <v>13614.5</v>
      </c>
      <c r="T95" s="43">
        <v>12023.6</v>
      </c>
      <c r="U95" s="43">
        <v>11742</v>
      </c>
      <c r="V95" s="43">
        <v>10574.4</v>
      </c>
      <c r="W95" s="43">
        <v>11312</v>
      </c>
      <c r="X95" s="43">
        <v>12451.3</v>
      </c>
      <c r="Y95" s="43">
        <v>12886.5</v>
      </c>
      <c r="Z95" s="43">
        <v>11547.7</v>
      </c>
      <c r="AA95" s="87">
        <v>9419.7999999999993</v>
      </c>
      <c r="AB95" s="87">
        <v>9960.4</v>
      </c>
      <c r="AC95" s="87">
        <v>10471.4</v>
      </c>
      <c r="AD95" s="10" t="s">
        <v>19</v>
      </c>
    </row>
    <row r="96" spans="2:30" ht="11.1" customHeight="1" x14ac:dyDescent="0.25">
      <c r="B96" s="350" t="s">
        <v>355</v>
      </c>
      <c r="C96" s="350"/>
      <c r="D96" s="350"/>
      <c r="E96" s="350"/>
      <c r="F96" s="350"/>
      <c r="G96" s="350"/>
      <c r="H96" s="350"/>
      <c r="I96" s="350"/>
      <c r="J96" s="350"/>
      <c r="K96" s="350"/>
      <c r="L96" s="350"/>
      <c r="M96" s="350"/>
      <c r="N96" s="350"/>
      <c r="O96" s="350"/>
      <c r="P96" s="350"/>
      <c r="Q96" s="350"/>
      <c r="R96" s="350"/>
      <c r="S96" s="350"/>
      <c r="T96" s="350"/>
      <c r="U96" s="351"/>
      <c r="V96" s="351"/>
      <c r="W96" s="351"/>
      <c r="X96" s="351"/>
      <c r="Y96" s="351"/>
      <c r="Z96" s="351"/>
      <c r="AA96" s="50"/>
      <c r="AB96" s="50"/>
      <c r="AC96" s="50"/>
      <c r="AD96" s="50"/>
    </row>
    <row r="97" spans="2:30" ht="11.1" customHeight="1" x14ac:dyDescent="0.25">
      <c r="B97" s="21" t="s">
        <v>87</v>
      </c>
      <c r="C97" s="22" t="s">
        <v>35</v>
      </c>
      <c r="D97" s="212">
        <v>462.6</v>
      </c>
      <c r="E97" s="212">
        <v>403.6</v>
      </c>
      <c r="F97" s="212">
        <v>294.5</v>
      </c>
      <c r="G97" s="43">
        <v>345.6</v>
      </c>
      <c r="H97" s="43">
        <v>408.8</v>
      </c>
      <c r="I97" s="43">
        <v>363.4</v>
      </c>
      <c r="J97" s="43">
        <v>294.39999999999998</v>
      </c>
      <c r="K97" s="43">
        <v>241</v>
      </c>
      <c r="L97" s="43">
        <v>199</v>
      </c>
      <c r="M97" s="43">
        <v>200</v>
      </c>
      <c r="N97" s="43">
        <v>164</v>
      </c>
      <c r="O97" s="43">
        <v>165</v>
      </c>
      <c r="P97" s="43">
        <v>148</v>
      </c>
      <c r="Q97" s="43">
        <v>270</v>
      </c>
      <c r="R97" s="43">
        <v>223</v>
      </c>
      <c r="S97" s="43">
        <v>287</v>
      </c>
      <c r="T97" s="43">
        <v>331.4</v>
      </c>
      <c r="U97" s="43">
        <v>326.2</v>
      </c>
      <c r="V97" s="43">
        <v>360.4</v>
      </c>
      <c r="W97" s="43">
        <v>284.2</v>
      </c>
      <c r="X97" s="43">
        <v>164</v>
      </c>
      <c r="Y97" s="43">
        <v>495</v>
      </c>
      <c r="Z97" s="43">
        <v>724</v>
      </c>
      <c r="AA97" s="87">
        <v>722</v>
      </c>
      <c r="AB97" s="87">
        <v>212</v>
      </c>
      <c r="AC97" s="87">
        <v>0</v>
      </c>
      <c r="AD97" s="10" t="s">
        <v>19</v>
      </c>
    </row>
    <row r="98" spans="2:30" ht="11.1" customHeight="1" x14ac:dyDescent="0.25">
      <c r="B98" s="21" t="s">
        <v>327</v>
      </c>
      <c r="C98" s="22" t="s">
        <v>35</v>
      </c>
      <c r="D98" s="212">
        <v>41.7</v>
      </c>
      <c r="E98" s="213">
        <v>42.8</v>
      </c>
      <c r="F98" s="213">
        <v>35.4</v>
      </c>
      <c r="G98" s="43">
        <v>31.8</v>
      </c>
      <c r="H98" s="43">
        <v>331.9</v>
      </c>
      <c r="I98" s="43">
        <v>28.6</v>
      </c>
      <c r="J98" s="43">
        <v>23</v>
      </c>
      <c r="K98" s="43">
        <v>18.5</v>
      </c>
      <c r="L98" s="43">
        <v>21</v>
      </c>
      <c r="M98" s="43">
        <v>22</v>
      </c>
      <c r="N98" s="43">
        <v>14</v>
      </c>
      <c r="O98" s="43">
        <v>10</v>
      </c>
      <c r="P98" s="43">
        <v>19</v>
      </c>
      <c r="Q98" s="43">
        <v>17</v>
      </c>
      <c r="R98" s="43">
        <v>15</v>
      </c>
      <c r="S98" s="43">
        <v>18</v>
      </c>
      <c r="T98" s="43">
        <v>14.6</v>
      </c>
      <c r="U98" s="43">
        <v>7.5</v>
      </c>
      <c r="V98" s="43">
        <v>6.3</v>
      </c>
      <c r="W98" s="43">
        <v>15.2</v>
      </c>
      <c r="X98" s="43">
        <v>10</v>
      </c>
      <c r="Y98" s="43">
        <v>7</v>
      </c>
      <c r="Z98" s="43">
        <v>7</v>
      </c>
      <c r="AA98" s="87">
        <v>7</v>
      </c>
      <c r="AB98" s="87">
        <v>5</v>
      </c>
      <c r="AC98" s="87">
        <v>4</v>
      </c>
      <c r="AD98" s="10" t="s">
        <v>19</v>
      </c>
    </row>
    <row r="99" spans="2:30" ht="11.1" customHeight="1" x14ac:dyDescent="0.25">
      <c r="B99" s="21" t="s">
        <v>368</v>
      </c>
      <c r="C99" s="22" t="s">
        <v>35</v>
      </c>
      <c r="D99" s="212">
        <v>5334.6</v>
      </c>
      <c r="E99" s="212">
        <v>5240.8</v>
      </c>
      <c r="F99" s="212">
        <v>5142.1000000000004</v>
      </c>
      <c r="G99" s="43">
        <v>5507.3</v>
      </c>
      <c r="H99" s="43">
        <v>5602.8</v>
      </c>
      <c r="I99" s="43">
        <v>5852.4</v>
      </c>
      <c r="J99" s="43">
        <v>4727.3999999999996</v>
      </c>
      <c r="K99" s="43">
        <v>4266.6000000000004</v>
      </c>
      <c r="L99" s="43">
        <v>4330</v>
      </c>
      <c r="M99" s="43">
        <v>4500</v>
      </c>
      <c r="N99" s="43">
        <v>4690</v>
      </c>
      <c r="O99" s="43">
        <v>4960</v>
      </c>
      <c r="P99" s="43">
        <v>3883</v>
      </c>
      <c r="Q99" s="43">
        <v>3417</v>
      </c>
      <c r="R99" s="43">
        <v>3371</v>
      </c>
      <c r="S99" s="43">
        <v>3266</v>
      </c>
      <c r="T99" s="43">
        <v>3713</v>
      </c>
      <c r="U99" s="43">
        <v>3726.9</v>
      </c>
      <c r="V99" s="43">
        <v>3770</v>
      </c>
      <c r="W99" s="43">
        <v>3582</v>
      </c>
      <c r="X99" s="43">
        <v>3602</v>
      </c>
      <c r="Y99" s="43">
        <v>3432</v>
      </c>
      <c r="Z99" s="43">
        <v>3306</v>
      </c>
      <c r="AA99" s="87">
        <v>3208</v>
      </c>
      <c r="AB99" s="87">
        <v>3275</v>
      </c>
      <c r="AC99" s="87">
        <v>3653</v>
      </c>
      <c r="AD99" s="10" t="s">
        <v>19</v>
      </c>
    </row>
    <row r="100" spans="2:30" ht="11.1" customHeight="1" x14ac:dyDescent="0.25">
      <c r="B100" s="21" t="s">
        <v>326</v>
      </c>
      <c r="C100" s="22" t="s">
        <v>35</v>
      </c>
      <c r="D100" s="212">
        <v>163.5</v>
      </c>
      <c r="E100" s="212">
        <v>240.4</v>
      </c>
      <c r="F100" s="212">
        <v>229.6</v>
      </c>
      <c r="G100" s="43">
        <v>278.10000000000002</v>
      </c>
      <c r="H100" s="43">
        <v>301.60000000000002</v>
      </c>
      <c r="I100" s="43">
        <v>239.2</v>
      </c>
      <c r="J100" s="43">
        <v>269.60000000000002</v>
      </c>
      <c r="K100" s="43">
        <v>300.7</v>
      </c>
      <c r="L100" s="43">
        <v>232</v>
      </c>
      <c r="M100" s="43">
        <v>200</v>
      </c>
      <c r="N100" s="43">
        <v>180</v>
      </c>
      <c r="O100" s="43">
        <v>194</v>
      </c>
      <c r="P100" s="43">
        <v>240</v>
      </c>
      <c r="Q100" s="43">
        <v>190</v>
      </c>
      <c r="R100" s="43">
        <v>149</v>
      </c>
      <c r="S100" s="43">
        <v>195</v>
      </c>
      <c r="T100" s="43">
        <v>246.5</v>
      </c>
      <c r="U100" s="43">
        <v>254.1</v>
      </c>
      <c r="V100" s="43">
        <v>193.6</v>
      </c>
      <c r="W100" s="43">
        <v>220.7</v>
      </c>
      <c r="X100" s="43">
        <v>179</v>
      </c>
      <c r="Y100" s="43">
        <v>174</v>
      </c>
      <c r="Z100" s="43">
        <v>134</v>
      </c>
      <c r="AA100" s="87">
        <v>135</v>
      </c>
      <c r="AB100" s="87">
        <v>78</v>
      </c>
      <c r="AC100" s="87">
        <v>70</v>
      </c>
      <c r="AD100" s="10" t="s">
        <v>19</v>
      </c>
    </row>
    <row r="101" spans="2:30" ht="11.1" customHeight="1" x14ac:dyDescent="0.25">
      <c r="B101" s="21" t="s">
        <v>357</v>
      </c>
      <c r="C101" s="22" t="s">
        <v>35</v>
      </c>
      <c r="D101" s="212">
        <v>338</v>
      </c>
      <c r="E101" s="212">
        <v>267.39999999999998</v>
      </c>
      <c r="F101" s="212">
        <v>204.6</v>
      </c>
      <c r="G101" s="43">
        <v>251.2</v>
      </c>
      <c r="H101" s="43">
        <v>200</v>
      </c>
      <c r="I101" s="43">
        <v>169.7</v>
      </c>
      <c r="J101" s="43">
        <v>217.9</v>
      </c>
      <c r="K101" s="43">
        <v>196.2</v>
      </c>
      <c r="L101" s="43">
        <v>217</v>
      </c>
      <c r="M101" s="43">
        <v>130</v>
      </c>
      <c r="N101" s="43">
        <v>143</v>
      </c>
      <c r="O101" s="43">
        <v>150</v>
      </c>
      <c r="P101" s="43">
        <v>168</v>
      </c>
      <c r="Q101" s="43">
        <v>165</v>
      </c>
      <c r="R101" s="43">
        <v>198</v>
      </c>
      <c r="S101" s="43">
        <v>253</v>
      </c>
      <c r="T101" s="43">
        <v>277.3</v>
      </c>
      <c r="U101" s="43">
        <v>195.7</v>
      </c>
      <c r="V101" s="43">
        <v>211</v>
      </c>
      <c r="W101" s="43">
        <v>181.6</v>
      </c>
      <c r="X101" s="43">
        <v>245</v>
      </c>
      <c r="Y101" s="43">
        <v>207</v>
      </c>
      <c r="Z101" s="43">
        <v>287</v>
      </c>
      <c r="AA101" s="87">
        <v>229</v>
      </c>
      <c r="AB101" s="87">
        <v>163</v>
      </c>
      <c r="AC101" s="87">
        <v>171</v>
      </c>
      <c r="AD101" s="10" t="s">
        <v>19</v>
      </c>
    </row>
    <row r="102" spans="2:30" ht="11.1" customHeight="1" x14ac:dyDescent="0.25">
      <c r="B102" s="21" t="s">
        <v>223</v>
      </c>
      <c r="C102" s="22" t="s">
        <v>35</v>
      </c>
      <c r="D102" s="212">
        <v>45.4</v>
      </c>
      <c r="E102" s="212">
        <v>42</v>
      </c>
      <c r="F102" s="212">
        <v>31.5</v>
      </c>
      <c r="G102" s="43">
        <v>76.7</v>
      </c>
      <c r="H102" s="43">
        <v>66.7</v>
      </c>
      <c r="I102" s="43">
        <v>43.8</v>
      </c>
      <c r="J102" s="43">
        <v>36.4</v>
      </c>
      <c r="K102" s="43">
        <v>34.1</v>
      </c>
      <c r="L102" s="43" t="s">
        <v>24</v>
      </c>
      <c r="M102" s="43" t="s">
        <v>24</v>
      </c>
      <c r="N102" s="43" t="s">
        <v>24</v>
      </c>
      <c r="O102" s="43" t="s">
        <v>24</v>
      </c>
      <c r="P102" s="43" t="s">
        <v>24</v>
      </c>
      <c r="Q102" s="43" t="s">
        <v>24</v>
      </c>
      <c r="R102" s="43" t="s">
        <v>24</v>
      </c>
      <c r="S102" s="43" t="s">
        <v>24</v>
      </c>
      <c r="T102" s="43" t="s">
        <v>24</v>
      </c>
      <c r="U102" s="43" t="s">
        <v>24</v>
      </c>
      <c r="V102" s="43" t="s">
        <v>24</v>
      </c>
      <c r="W102" s="43" t="s">
        <v>24</v>
      </c>
      <c r="X102" s="43" t="s">
        <v>24</v>
      </c>
      <c r="Y102" s="43" t="s">
        <v>24</v>
      </c>
      <c r="Z102" s="43" t="s">
        <v>24</v>
      </c>
      <c r="AA102" s="87" t="s">
        <v>24</v>
      </c>
      <c r="AB102" s="87" t="s">
        <v>19</v>
      </c>
      <c r="AC102" s="87" t="s">
        <v>19</v>
      </c>
      <c r="AD102" s="10" t="s">
        <v>19</v>
      </c>
    </row>
    <row r="103" spans="2:30" ht="11.1" customHeight="1" x14ac:dyDescent="0.25">
      <c r="B103" s="21" t="s">
        <v>348</v>
      </c>
      <c r="C103" s="22" t="s">
        <v>35</v>
      </c>
      <c r="D103" s="212">
        <v>0.4</v>
      </c>
      <c r="E103" s="213">
        <v>0.9</v>
      </c>
      <c r="F103" s="213">
        <v>13.4</v>
      </c>
      <c r="G103" s="43">
        <v>24.2</v>
      </c>
      <c r="H103" s="43">
        <v>15</v>
      </c>
      <c r="I103" s="43">
        <v>0</v>
      </c>
      <c r="J103" s="43">
        <v>0.2</v>
      </c>
      <c r="K103" s="43" t="s">
        <v>19</v>
      </c>
      <c r="L103" s="43" t="s">
        <v>19</v>
      </c>
      <c r="M103" s="43" t="s">
        <v>19</v>
      </c>
      <c r="N103" s="43" t="s">
        <v>19</v>
      </c>
      <c r="O103" s="43" t="s">
        <v>19</v>
      </c>
      <c r="P103" s="43" t="s">
        <v>19</v>
      </c>
      <c r="Q103" s="43" t="s">
        <v>19</v>
      </c>
      <c r="R103" s="43" t="s">
        <v>19</v>
      </c>
      <c r="S103" s="43" t="s">
        <v>19</v>
      </c>
      <c r="T103" s="43" t="s">
        <v>19</v>
      </c>
      <c r="U103" s="43" t="s">
        <v>19</v>
      </c>
      <c r="V103" s="43" t="s">
        <v>19</v>
      </c>
      <c r="W103" s="43" t="s">
        <v>19</v>
      </c>
      <c r="X103" s="43" t="s">
        <v>19</v>
      </c>
      <c r="Y103" s="43" t="s">
        <v>19</v>
      </c>
      <c r="Z103" s="43" t="s">
        <v>19</v>
      </c>
      <c r="AA103" s="87" t="s">
        <v>19</v>
      </c>
      <c r="AB103" s="87" t="s">
        <v>19</v>
      </c>
      <c r="AC103" s="87" t="s">
        <v>19</v>
      </c>
      <c r="AD103" s="10" t="s">
        <v>19</v>
      </c>
    </row>
    <row r="104" spans="2:30" ht="11.1" customHeight="1" x14ac:dyDescent="0.25">
      <c r="B104" s="21" t="s">
        <v>75</v>
      </c>
      <c r="C104" s="22" t="s">
        <v>35</v>
      </c>
      <c r="D104" s="212">
        <v>11.2</v>
      </c>
      <c r="E104" s="212">
        <v>16.899999999999999</v>
      </c>
      <c r="F104" s="213">
        <v>65.400000000000006</v>
      </c>
      <c r="G104" s="43">
        <v>54.9</v>
      </c>
      <c r="H104" s="43">
        <v>85.2</v>
      </c>
      <c r="I104" s="43">
        <v>101.2</v>
      </c>
      <c r="J104" s="43">
        <v>121.4</v>
      </c>
      <c r="K104" s="43">
        <v>103.6</v>
      </c>
      <c r="L104" s="43">
        <v>114</v>
      </c>
      <c r="M104" s="43">
        <v>111</v>
      </c>
      <c r="N104" s="43">
        <v>111</v>
      </c>
      <c r="O104" s="43">
        <v>86</v>
      </c>
      <c r="P104" s="43">
        <v>75</v>
      </c>
      <c r="Q104" s="43">
        <v>50</v>
      </c>
      <c r="R104" s="43">
        <v>50</v>
      </c>
      <c r="S104" s="43">
        <v>59</v>
      </c>
      <c r="T104" s="43">
        <v>61.9</v>
      </c>
      <c r="U104" s="43">
        <v>67.8</v>
      </c>
      <c r="V104" s="43">
        <v>43.7</v>
      </c>
      <c r="W104" s="43">
        <v>46.5</v>
      </c>
      <c r="X104" s="43">
        <v>64</v>
      </c>
      <c r="Y104" s="43">
        <v>59</v>
      </c>
      <c r="Z104" s="43">
        <v>57</v>
      </c>
      <c r="AA104" s="87">
        <v>69</v>
      </c>
      <c r="AB104" s="87">
        <v>64</v>
      </c>
      <c r="AC104" s="87">
        <v>59</v>
      </c>
      <c r="AD104" s="10" t="s">
        <v>19</v>
      </c>
    </row>
    <row r="105" spans="2:30" ht="11.1" customHeight="1" x14ac:dyDescent="0.25">
      <c r="B105" s="21" t="s">
        <v>232</v>
      </c>
      <c r="C105" s="22" t="s">
        <v>35</v>
      </c>
      <c r="D105" s="31" t="s">
        <v>19</v>
      </c>
      <c r="E105" s="31" t="s">
        <v>19</v>
      </c>
      <c r="F105" s="31" t="s">
        <v>19</v>
      </c>
      <c r="G105" s="31" t="s">
        <v>19</v>
      </c>
      <c r="H105" s="31" t="s">
        <v>19</v>
      </c>
      <c r="I105" s="31" t="s">
        <v>19</v>
      </c>
      <c r="J105" s="31" t="s">
        <v>19</v>
      </c>
      <c r="K105" s="31" t="s">
        <v>19</v>
      </c>
      <c r="L105" s="31" t="s">
        <v>19</v>
      </c>
      <c r="M105" s="31" t="s">
        <v>19</v>
      </c>
      <c r="N105" s="31" t="s">
        <v>19</v>
      </c>
      <c r="O105" s="31" t="s">
        <v>19</v>
      </c>
      <c r="P105" s="31" t="s">
        <v>19</v>
      </c>
      <c r="Q105" s="31" t="s">
        <v>19</v>
      </c>
      <c r="R105" s="31" t="s">
        <v>19</v>
      </c>
      <c r="S105" s="31" t="s">
        <v>19</v>
      </c>
      <c r="T105" s="31" t="s">
        <v>19</v>
      </c>
      <c r="U105" s="31" t="s">
        <v>19</v>
      </c>
      <c r="V105" s="31" t="s">
        <v>19</v>
      </c>
      <c r="W105" s="31" t="s">
        <v>19</v>
      </c>
      <c r="X105" s="31" t="s">
        <v>19</v>
      </c>
      <c r="Y105" s="31" t="s">
        <v>19</v>
      </c>
      <c r="Z105" s="31" t="s">
        <v>19</v>
      </c>
      <c r="AA105" s="87" t="s">
        <v>19</v>
      </c>
      <c r="AB105" s="87" t="s">
        <v>19</v>
      </c>
      <c r="AC105" s="87" t="s">
        <v>19</v>
      </c>
      <c r="AD105" s="10" t="s">
        <v>19</v>
      </c>
    </row>
    <row r="106" spans="2:30" ht="11.1" customHeight="1" x14ac:dyDescent="0.25">
      <c r="B106" s="21" t="s">
        <v>366</v>
      </c>
      <c r="C106" s="22" t="s">
        <v>35</v>
      </c>
      <c r="D106" s="212">
        <v>23.9</v>
      </c>
      <c r="E106" s="212">
        <v>29.5</v>
      </c>
      <c r="F106" s="213">
        <v>10.5</v>
      </c>
      <c r="G106" s="43">
        <v>19.100000000000001</v>
      </c>
      <c r="H106" s="43">
        <v>48.5</v>
      </c>
      <c r="I106" s="43">
        <v>39.700000000000003</v>
      </c>
      <c r="J106" s="43">
        <v>51.8</v>
      </c>
      <c r="K106" s="43">
        <v>51.6</v>
      </c>
      <c r="L106" s="43">
        <v>87</v>
      </c>
      <c r="M106" s="43">
        <v>66</v>
      </c>
      <c r="N106" s="43">
        <v>113</v>
      </c>
      <c r="O106" s="43">
        <v>151</v>
      </c>
      <c r="P106" s="43">
        <v>136</v>
      </c>
      <c r="Q106" s="43">
        <v>180</v>
      </c>
      <c r="R106" s="43">
        <v>180</v>
      </c>
      <c r="S106" s="43">
        <v>253</v>
      </c>
      <c r="T106" s="43">
        <v>258.89999999999998</v>
      </c>
      <c r="U106" s="43">
        <v>205.3</v>
      </c>
      <c r="V106" s="43">
        <v>265.89999999999998</v>
      </c>
      <c r="W106" s="43">
        <v>269.2</v>
      </c>
      <c r="X106" s="43">
        <v>430</v>
      </c>
      <c r="Y106" s="43">
        <v>453</v>
      </c>
      <c r="Z106" s="43">
        <v>492</v>
      </c>
      <c r="AA106" s="87">
        <v>719</v>
      </c>
      <c r="AB106" s="87">
        <v>602</v>
      </c>
      <c r="AC106" s="87">
        <v>482</v>
      </c>
      <c r="AD106" s="10" t="s">
        <v>19</v>
      </c>
    </row>
    <row r="107" spans="2:30" ht="11.1" customHeight="1" x14ac:dyDescent="0.25">
      <c r="B107" s="21" t="s">
        <v>13</v>
      </c>
      <c r="C107" s="22" t="s">
        <v>35</v>
      </c>
      <c r="D107" s="212">
        <v>6421.4</v>
      </c>
      <c r="E107" s="212">
        <v>6284.3</v>
      </c>
      <c r="F107" s="212">
        <v>6027</v>
      </c>
      <c r="G107" s="43">
        <v>6588.9</v>
      </c>
      <c r="H107" s="43">
        <v>7060.5</v>
      </c>
      <c r="I107" s="43">
        <v>6837.9</v>
      </c>
      <c r="J107" s="43">
        <v>5742.2</v>
      </c>
      <c r="K107" s="43">
        <v>5212.3</v>
      </c>
      <c r="L107" s="43">
        <v>5200</v>
      </c>
      <c r="M107" s="43">
        <v>5229</v>
      </c>
      <c r="N107" s="43">
        <v>5415</v>
      </c>
      <c r="O107" s="43">
        <v>5716</v>
      </c>
      <c r="P107" s="43">
        <v>4669</v>
      </c>
      <c r="Q107" s="43">
        <v>4289</v>
      </c>
      <c r="R107" s="43">
        <v>4186</v>
      </c>
      <c r="S107" s="43">
        <v>4331</v>
      </c>
      <c r="T107" s="43">
        <v>4903.6000000000004</v>
      </c>
      <c r="U107" s="43">
        <v>4783.6000000000004</v>
      </c>
      <c r="V107" s="43">
        <v>4850.8999999999996</v>
      </c>
      <c r="W107" s="43">
        <v>4599.2</v>
      </c>
      <c r="X107" s="43">
        <v>4694</v>
      </c>
      <c r="Y107" s="43">
        <v>4827</v>
      </c>
      <c r="Z107" s="43">
        <v>5007</v>
      </c>
      <c r="AA107" s="87">
        <v>5089</v>
      </c>
      <c r="AB107" s="87">
        <v>4399</v>
      </c>
      <c r="AC107" s="87">
        <v>4439</v>
      </c>
      <c r="AD107" s="10" t="s">
        <v>19</v>
      </c>
    </row>
    <row r="108" spans="2:30" ht="11.1" customHeight="1" x14ac:dyDescent="0.25">
      <c r="B108" s="215" t="s">
        <v>367</v>
      </c>
      <c r="C108" s="99" t="s">
        <v>35</v>
      </c>
      <c r="D108" s="216">
        <v>22820.9</v>
      </c>
      <c r="E108" s="216">
        <v>22007.3</v>
      </c>
      <c r="F108" s="216">
        <v>23686.7</v>
      </c>
      <c r="G108" s="101">
        <v>23769.599999999999</v>
      </c>
      <c r="H108" s="101">
        <v>25184.6</v>
      </c>
      <c r="I108" s="101">
        <v>25078.2</v>
      </c>
      <c r="J108" s="101">
        <v>22427.200000000001</v>
      </c>
      <c r="K108" s="101">
        <v>21406.400000000001</v>
      </c>
      <c r="L108" s="101">
        <v>22059.7</v>
      </c>
      <c r="M108" s="101">
        <v>21287.1</v>
      </c>
      <c r="N108" s="101">
        <v>19221.3</v>
      </c>
      <c r="O108" s="101">
        <v>21642.5</v>
      </c>
      <c r="P108" s="101">
        <v>18869.900000000001</v>
      </c>
      <c r="Q108" s="101">
        <v>17439.7</v>
      </c>
      <c r="R108" s="101">
        <v>16575.599999999999</v>
      </c>
      <c r="S108" s="101">
        <v>17945.5</v>
      </c>
      <c r="T108" s="101">
        <v>16927.2</v>
      </c>
      <c r="U108" s="101">
        <v>16525.599999999999</v>
      </c>
      <c r="V108" s="101">
        <v>15425.3</v>
      </c>
      <c r="W108" s="101">
        <v>15911.2</v>
      </c>
      <c r="X108" s="101">
        <v>17145.3</v>
      </c>
      <c r="Y108" s="101">
        <v>17713.5</v>
      </c>
      <c r="Z108" s="101">
        <v>16554.7</v>
      </c>
      <c r="AA108" s="89">
        <v>14508.8</v>
      </c>
      <c r="AB108" s="89">
        <v>14359.4</v>
      </c>
      <c r="AC108" s="89">
        <v>14910.4</v>
      </c>
      <c r="AD108" s="297" t="s">
        <v>19</v>
      </c>
    </row>
    <row r="109" spans="2:30" ht="67.5" customHeight="1" x14ac:dyDescent="0.25">
      <c r="B109" s="328" t="s">
        <v>512</v>
      </c>
      <c r="C109" s="328"/>
      <c r="D109" s="328"/>
      <c r="E109" s="328"/>
      <c r="F109" s="328"/>
      <c r="G109" s="328"/>
      <c r="H109" s="328"/>
      <c r="I109" s="328"/>
      <c r="J109" s="328"/>
      <c r="K109" s="328"/>
      <c r="L109" s="328"/>
      <c r="M109" s="328"/>
      <c r="N109" s="328"/>
      <c r="O109" s="328"/>
      <c r="P109" s="328"/>
      <c r="Q109" s="328"/>
      <c r="R109" s="328"/>
      <c r="S109" s="328"/>
      <c r="T109" s="328"/>
      <c r="U109" s="328"/>
      <c r="V109" s="328"/>
      <c r="W109" s="328"/>
      <c r="X109" s="328"/>
      <c r="Y109" s="328"/>
      <c r="Z109" s="328"/>
      <c r="AA109" s="328"/>
      <c r="AB109" s="328"/>
      <c r="AC109" s="328"/>
    </row>
  </sheetData>
  <mergeCells count="12">
    <mergeCell ref="B109:AC109"/>
    <mergeCell ref="B7:Z7"/>
    <mergeCell ref="B9:Z9"/>
    <mergeCell ref="B10:Z10"/>
    <mergeCell ref="B18:Z18"/>
    <mergeCell ref="B27:Z27"/>
    <mergeCell ref="B46:Z46"/>
    <mergeCell ref="B59:Z59"/>
    <mergeCell ref="B60:Z60"/>
    <mergeCell ref="B68:Z68"/>
    <mergeCell ref="B77:Z77"/>
    <mergeCell ref="B96:Z96"/>
  </mergeCells>
  <conditionalFormatting sqref="B6:Y6 AA6:AD6 B19:AC26 B69:AC76 B97:AC108 B109">
    <cfRule type="cellIs" dxfId="787" priority="124" stopIfTrue="1" operator="greaterThanOrEqual">
      <formula>100</formula>
    </cfRule>
    <cfRule type="cellIs" dxfId="786" priority="122" stopIfTrue="1" operator="lessThanOrEqual">
      <formula>-100</formula>
    </cfRule>
    <cfRule type="cellIs" dxfId="785" priority="123" stopIfTrue="1" operator="between">
      <formula>-99.999999999999</formula>
      <formula>99.999999999999</formula>
    </cfRule>
  </conditionalFormatting>
  <conditionalFormatting sqref="B19:AC26 B69:AC76 B97:AC108 B6:Y6 AA6:AD6 B109">
    <cfRule type="cellIs" dxfId="784" priority="121" stopIfTrue="1" operator="equal">
      <formula>0</formula>
    </cfRule>
  </conditionalFormatting>
  <conditionalFormatting sqref="B7:AD18">
    <cfRule type="cellIs" dxfId="783" priority="63" stopIfTrue="1" operator="between">
      <formula>-99.999999999999</formula>
      <formula>99.999999999999</formula>
    </cfRule>
    <cfRule type="cellIs" dxfId="782" priority="64" stopIfTrue="1" operator="greaterThanOrEqual">
      <formula>100</formula>
    </cfRule>
    <cfRule type="cellIs" dxfId="781" priority="62" stopIfTrue="1" operator="lessThanOrEqual">
      <formula>-100</formula>
    </cfRule>
    <cfRule type="cellIs" dxfId="780" priority="61" stopIfTrue="1" operator="equal">
      <formula>0</formula>
    </cfRule>
  </conditionalFormatting>
  <conditionalFormatting sqref="B27:AD46">
    <cfRule type="cellIs" dxfId="779" priority="45" stopIfTrue="1" operator="equal">
      <formula>0</formula>
    </cfRule>
    <cfRule type="cellIs" dxfId="778" priority="48" stopIfTrue="1" operator="greaterThanOrEqual">
      <formula>100</formula>
    </cfRule>
    <cfRule type="cellIs" dxfId="777" priority="47" stopIfTrue="1" operator="between">
      <formula>-99.999999999999</formula>
      <formula>99.999999999999</formula>
    </cfRule>
    <cfRule type="cellIs" dxfId="776" priority="46" stopIfTrue="1" operator="lessThanOrEqual">
      <formula>-100</formula>
    </cfRule>
  </conditionalFormatting>
  <conditionalFormatting sqref="B47:AD60">
    <cfRule type="cellIs" dxfId="775" priority="38" stopIfTrue="1" operator="lessThanOrEqual">
      <formula>-100</formula>
    </cfRule>
    <cfRule type="cellIs" dxfId="774" priority="37" stopIfTrue="1" operator="equal">
      <formula>0</formula>
    </cfRule>
    <cfRule type="cellIs" dxfId="773" priority="39" stopIfTrue="1" operator="between">
      <formula>-99.999999999999</formula>
      <formula>99.999999999999</formula>
    </cfRule>
    <cfRule type="cellIs" dxfId="772" priority="40" stopIfTrue="1" operator="greaterThanOrEqual">
      <formula>100</formula>
    </cfRule>
  </conditionalFormatting>
  <conditionalFormatting sqref="B61:AD68">
    <cfRule type="cellIs" dxfId="771" priority="32" stopIfTrue="1" operator="greaterThanOrEqual">
      <formula>100</formula>
    </cfRule>
    <cfRule type="cellIs" dxfId="770" priority="31" stopIfTrue="1" operator="between">
      <formula>-99.999999999999</formula>
      <formula>99.999999999999</formula>
    </cfRule>
    <cfRule type="cellIs" dxfId="769" priority="30" stopIfTrue="1" operator="lessThanOrEqual">
      <formula>-100</formula>
    </cfRule>
    <cfRule type="cellIs" dxfId="768" priority="29" stopIfTrue="1" operator="equal">
      <formula>0</formula>
    </cfRule>
  </conditionalFormatting>
  <conditionalFormatting sqref="B77:AD96">
    <cfRule type="cellIs" dxfId="767" priority="13" stopIfTrue="1" operator="equal">
      <formula>0</formula>
    </cfRule>
    <cfRule type="cellIs" dxfId="766" priority="14" stopIfTrue="1" operator="lessThanOrEqual">
      <formula>-100</formula>
    </cfRule>
    <cfRule type="cellIs" dxfId="765" priority="15" stopIfTrue="1" operator="between">
      <formula>-99.999999999999</formula>
      <formula>99.999999999999</formula>
    </cfRule>
    <cfRule type="cellIs" dxfId="764" priority="16" stopIfTrue="1" operator="greaterThanOrEqual">
      <formula>100</formula>
    </cfRule>
  </conditionalFormatting>
  <conditionalFormatting sqref="D105:F105">
    <cfRule type="cellIs" dxfId="763" priority="108" operator="greaterThanOrEqual">
      <formula>100</formula>
    </cfRule>
    <cfRule type="cellIs" dxfId="762" priority="107" operator="lessThanOrEqual">
      <formula>99</formula>
    </cfRule>
  </conditionalFormatting>
  <conditionalFormatting sqref="D19:AC19">
    <cfRule type="cellIs" dxfId="761" priority="101" operator="lessThanOrEqual">
      <formula>99</formula>
    </cfRule>
    <cfRule type="cellIs" dxfId="760" priority="102" operator="greaterThanOrEqual">
      <formula>100</formula>
    </cfRule>
  </conditionalFormatting>
  <conditionalFormatting sqref="D69:AC69">
    <cfRule type="cellIs" dxfId="759" priority="105" operator="lessThanOrEqual">
      <formula>99</formula>
    </cfRule>
    <cfRule type="cellIs" dxfId="758" priority="106" operator="greaterThanOrEqual">
      <formula>100</formula>
    </cfRule>
  </conditionalFormatting>
  <conditionalFormatting sqref="G20:AC26">
    <cfRule type="cellIs" dxfId="757" priority="115" operator="lessThanOrEqual">
      <formula>99</formula>
    </cfRule>
    <cfRule type="cellIs" dxfId="756" priority="116" operator="greaterThanOrEqual">
      <formula>100</formula>
    </cfRule>
  </conditionalFormatting>
  <conditionalFormatting sqref="G70:AC76">
    <cfRule type="cellIs" dxfId="755" priority="112" operator="greaterThanOrEqual">
      <formula>100</formula>
    </cfRule>
    <cfRule type="cellIs" dxfId="754" priority="111" operator="lessThanOrEqual">
      <formula>99</formula>
    </cfRule>
  </conditionalFormatting>
  <conditionalFormatting sqref="G11:AD17">
    <cfRule type="cellIs" dxfId="753" priority="57" operator="lessThanOrEqual">
      <formula>99</formula>
    </cfRule>
    <cfRule type="cellIs" dxfId="752" priority="58" operator="greaterThanOrEqual">
      <formula>100</formula>
    </cfRule>
  </conditionalFormatting>
  <conditionalFormatting sqref="G28:AD45">
    <cfRule type="cellIs" dxfId="751" priority="42" operator="greaterThanOrEqual">
      <formula>100</formula>
    </cfRule>
    <cfRule type="cellIs" dxfId="750" priority="41" operator="lessThanOrEqual">
      <formula>99</formula>
    </cfRule>
  </conditionalFormatting>
  <conditionalFormatting sqref="G47:AD58">
    <cfRule type="cellIs" dxfId="749" priority="34" operator="greaterThanOrEqual">
      <formula>100</formula>
    </cfRule>
    <cfRule type="cellIs" dxfId="748" priority="33" operator="lessThanOrEqual">
      <formula>99</formula>
    </cfRule>
  </conditionalFormatting>
  <conditionalFormatting sqref="G61:AD67">
    <cfRule type="cellIs" dxfId="747" priority="26" operator="greaterThanOrEqual">
      <formula>100</formula>
    </cfRule>
    <cfRule type="cellIs" dxfId="746" priority="25" operator="lessThanOrEqual">
      <formula>99</formula>
    </cfRule>
  </conditionalFormatting>
  <conditionalFormatting sqref="G78:AD95">
    <cfRule type="cellIs" dxfId="745" priority="9" operator="lessThanOrEqual">
      <formula>99</formula>
    </cfRule>
    <cfRule type="cellIs" dxfId="744" priority="10" operator="greaterThanOrEqual">
      <formula>100</formula>
    </cfRule>
  </conditionalFormatting>
  <conditionalFormatting sqref="G97:AD108">
    <cfRule type="cellIs" dxfId="743" priority="2" operator="greaterThanOrEqual">
      <formula>100</formula>
    </cfRule>
    <cfRule type="cellIs" dxfId="742" priority="1" operator="lessThanOrEqual">
      <formula>99</formula>
    </cfRule>
  </conditionalFormatting>
  <conditionalFormatting sqref="AD19:AD26">
    <cfRule type="cellIs" dxfId="741" priority="55" stopIfTrue="1" operator="between">
      <formula>-99.999999999999</formula>
      <formula>99.999999999999</formula>
    </cfRule>
    <cfRule type="cellIs" dxfId="740" priority="56" stopIfTrue="1" operator="greaterThanOrEqual">
      <formula>100</formula>
    </cfRule>
    <cfRule type="cellIs" dxfId="739" priority="49" operator="lessThanOrEqual">
      <formula>99</formula>
    </cfRule>
    <cfRule type="cellIs" dxfId="738" priority="50" operator="greaterThanOrEqual">
      <formula>100</formula>
    </cfRule>
    <cfRule type="cellIs" dxfId="737" priority="53" stopIfTrue="1" operator="equal">
      <formula>0</formula>
    </cfRule>
    <cfRule type="cellIs" dxfId="736" priority="54" stopIfTrue="1" operator="lessThanOrEqual">
      <formula>-100</formula>
    </cfRule>
  </conditionalFormatting>
  <conditionalFormatting sqref="AD69:AD76">
    <cfRule type="cellIs" dxfId="735" priority="22" stopIfTrue="1" operator="lessThanOrEqual">
      <formula>-100</formula>
    </cfRule>
    <cfRule type="cellIs" dxfId="734" priority="21" stopIfTrue="1" operator="equal">
      <formula>0</formula>
    </cfRule>
    <cfRule type="cellIs" dxfId="733" priority="18" operator="greaterThanOrEqual">
      <formula>100</formula>
    </cfRule>
    <cfRule type="cellIs" dxfId="732" priority="17" operator="lessThanOrEqual">
      <formula>99</formula>
    </cfRule>
    <cfRule type="cellIs" dxfId="731" priority="24" stopIfTrue="1" operator="greaterThanOrEqual">
      <formula>100</formula>
    </cfRule>
    <cfRule type="cellIs" dxfId="730" priority="23" stopIfTrue="1" operator="between">
      <formula>-99.999999999999</formula>
      <formula>99.999999999999</formula>
    </cfRule>
  </conditionalFormatting>
  <conditionalFormatting sqref="AD97:AD108">
    <cfRule type="cellIs" dxfId="729" priority="8" stopIfTrue="1" operator="greaterThanOrEqual">
      <formula>100</formula>
    </cfRule>
    <cfRule type="cellIs" dxfId="728" priority="7" stopIfTrue="1" operator="between">
      <formula>-99.999999999999</formula>
      <formula>99.999999999999</formula>
    </cfRule>
    <cfRule type="cellIs" dxfId="727" priority="6" stopIfTrue="1" operator="lessThanOrEqual">
      <formula>-100</formula>
    </cfRule>
    <cfRule type="cellIs" dxfId="726" priority="5" stopIfTrue="1" operator="equal">
      <formula>0</formula>
    </cfRule>
  </conditionalFormatting>
  <pageMargins left="0.7" right="0.7" top="0.75" bottom="0.75" header="0.3" footer="0.3"/>
  <pageSetup paperSize="9" scale="30"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CC852-B8E0-4CB7-86A2-9F7C94F8F556}">
  <sheetPr>
    <pageSetUpPr fitToPage="1"/>
  </sheetPr>
  <dimension ref="B6:AD87"/>
  <sheetViews>
    <sheetView zoomScaleNormal="100" workbookViewId="0"/>
  </sheetViews>
  <sheetFormatPr defaultColWidth="9.140625" defaultRowHeight="15" x14ac:dyDescent="0.25"/>
  <cols>
    <col min="1" max="1" width="9.140625" style="20"/>
    <col min="2" max="2" width="29.85546875" style="20" customWidth="1"/>
    <col min="3" max="3" width="4.42578125" style="20" customWidth="1"/>
    <col min="4" max="4" width="9" style="20" customWidth="1"/>
    <col min="5" max="5" width="8.28515625" style="20" customWidth="1"/>
    <col min="6" max="6" width="8.85546875" style="20" customWidth="1"/>
    <col min="7" max="24" width="9.42578125" style="20" customWidth="1"/>
    <col min="25" max="25" width="9" style="20" customWidth="1"/>
    <col min="26" max="28" width="9.42578125" style="20" customWidth="1"/>
    <col min="29" max="30" width="8" style="20" customWidth="1"/>
    <col min="31" max="16384" width="9.140625" style="20"/>
  </cols>
  <sheetData>
    <row r="6" spans="2:30" ht="12" customHeight="1" x14ac:dyDescent="0.25">
      <c r="B6" s="16"/>
      <c r="C6" s="16"/>
      <c r="D6" s="16"/>
      <c r="E6" s="16"/>
      <c r="F6" s="223"/>
      <c r="G6" s="223"/>
      <c r="H6" s="223"/>
      <c r="I6" s="223"/>
      <c r="J6" s="223"/>
      <c r="K6" s="223"/>
      <c r="L6" s="223"/>
      <c r="M6" s="223"/>
      <c r="N6" s="223"/>
      <c r="O6" s="223"/>
      <c r="P6" s="223"/>
      <c r="Q6" s="223"/>
      <c r="R6" s="223"/>
      <c r="S6" s="223"/>
      <c r="T6" s="223"/>
      <c r="U6" s="17"/>
      <c r="V6" s="17"/>
      <c r="W6" s="17"/>
      <c r="X6" s="17"/>
      <c r="Y6" s="17"/>
      <c r="Z6" s="17"/>
      <c r="AA6" s="19"/>
      <c r="AB6" s="19"/>
      <c r="AC6" s="17"/>
      <c r="AD6" s="17" t="s">
        <v>0</v>
      </c>
    </row>
    <row r="7" spans="2:30" ht="27" customHeight="1" x14ac:dyDescent="0.25">
      <c r="B7" s="322" t="s">
        <v>369</v>
      </c>
      <c r="C7" s="322"/>
      <c r="D7" s="322"/>
      <c r="E7" s="322"/>
      <c r="F7" s="322"/>
      <c r="G7" s="322"/>
      <c r="H7" s="322"/>
      <c r="I7" s="322"/>
      <c r="J7" s="322"/>
      <c r="K7" s="322"/>
      <c r="L7" s="322"/>
      <c r="M7" s="322"/>
      <c r="N7" s="322"/>
      <c r="O7" s="322"/>
      <c r="P7" s="322"/>
      <c r="Q7" s="322"/>
      <c r="R7" s="322"/>
      <c r="S7" s="322"/>
      <c r="T7" s="322"/>
      <c r="U7" s="352"/>
      <c r="V7" s="352"/>
      <c r="W7" s="352"/>
      <c r="X7" s="352"/>
      <c r="Y7" s="352"/>
      <c r="Z7" s="352"/>
      <c r="AA7" s="224"/>
      <c r="AB7" s="224"/>
      <c r="AC7" s="225"/>
      <c r="AD7" s="225"/>
    </row>
    <row r="8" spans="2:30" ht="12" customHeight="1" x14ac:dyDescent="0.25">
      <c r="B8" s="217" t="s">
        <v>2</v>
      </c>
      <c r="C8" s="28"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547</v>
      </c>
    </row>
    <row r="9" spans="2:30" ht="11.1" customHeight="1" x14ac:dyDescent="0.25">
      <c r="B9" s="326" t="s">
        <v>34</v>
      </c>
      <c r="C9" s="326"/>
      <c r="D9" s="326"/>
      <c r="E9" s="326"/>
      <c r="F9" s="326"/>
      <c r="G9" s="326"/>
      <c r="H9" s="326"/>
      <c r="I9" s="326"/>
      <c r="J9" s="326"/>
      <c r="K9" s="326"/>
      <c r="L9" s="326"/>
      <c r="M9" s="326"/>
      <c r="N9" s="326"/>
      <c r="O9" s="326"/>
      <c r="P9" s="326"/>
      <c r="Q9" s="326"/>
      <c r="R9" s="326"/>
      <c r="S9" s="326"/>
      <c r="T9" s="326"/>
      <c r="U9" s="353" t="s">
        <v>35</v>
      </c>
      <c r="V9" s="353" t="s">
        <v>6</v>
      </c>
      <c r="W9" s="353" t="s">
        <v>35</v>
      </c>
      <c r="X9" s="353" t="s">
        <v>6</v>
      </c>
      <c r="Y9" s="353" t="s">
        <v>35</v>
      </c>
      <c r="Z9" s="353" t="s">
        <v>6</v>
      </c>
      <c r="AA9" s="226"/>
      <c r="AB9" s="226"/>
      <c r="AC9" s="17"/>
      <c r="AD9" s="17"/>
    </row>
    <row r="10" spans="2:30" ht="11.1" customHeight="1" x14ac:dyDescent="0.25">
      <c r="B10" s="326" t="s">
        <v>36</v>
      </c>
      <c r="C10" s="326"/>
      <c r="D10" s="326"/>
      <c r="E10" s="326"/>
      <c r="F10" s="326"/>
      <c r="G10" s="326"/>
      <c r="H10" s="326"/>
      <c r="I10" s="326"/>
      <c r="J10" s="326"/>
      <c r="K10" s="326"/>
      <c r="L10" s="326"/>
      <c r="M10" s="326"/>
      <c r="N10" s="326"/>
      <c r="O10" s="326"/>
      <c r="P10" s="326"/>
      <c r="Q10" s="326"/>
      <c r="R10" s="326"/>
      <c r="S10" s="326"/>
      <c r="T10" s="326"/>
      <c r="U10" s="353"/>
      <c r="V10" s="353"/>
      <c r="W10" s="353"/>
      <c r="X10" s="353"/>
      <c r="Y10" s="353"/>
      <c r="Z10" s="353"/>
      <c r="AA10" s="226"/>
      <c r="AB10" s="226"/>
      <c r="AC10" s="17"/>
      <c r="AD10" s="17"/>
    </row>
    <row r="11" spans="2:30" ht="11.1" customHeight="1" x14ac:dyDescent="0.25">
      <c r="B11" s="7" t="s">
        <v>37</v>
      </c>
      <c r="C11" s="8" t="s">
        <v>6</v>
      </c>
      <c r="D11" s="31">
        <v>16744</v>
      </c>
      <c r="E11" s="31">
        <v>18313</v>
      </c>
      <c r="F11" s="31">
        <v>21809</v>
      </c>
      <c r="G11" s="31">
        <v>21813</v>
      </c>
      <c r="H11" s="31">
        <v>17723</v>
      </c>
      <c r="I11" s="31">
        <v>13830</v>
      </c>
      <c r="J11" s="31">
        <v>14183</v>
      </c>
      <c r="K11" s="31">
        <v>14580</v>
      </c>
      <c r="L11" s="31">
        <v>15613</v>
      </c>
      <c r="M11" s="31">
        <v>13905</v>
      </c>
      <c r="N11" s="31">
        <v>14405</v>
      </c>
      <c r="O11" s="31">
        <v>14454</v>
      </c>
      <c r="P11" s="31">
        <v>15393</v>
      </c>
      <c r="Q11" s="31">
        <v>17875</v>
      </c>
      <c r="R11" s="31">
        <v>17000</v>
      </c>
      <c r="S11" s="31">
        <v>21710</v>
      </c>
      <c r="T11" s="31">
        <v>24296</v>
      </c>
      <c r="U11" s="31">
        <v>24516</v>
      </c>
      <c r="V11" s="31">
        <v>22856</v>
      </c>
      <c r="W11" s="31">
        <v>23277.1</v>
      </c>
      <c r="X11" s="31">
        <v>26047</v>
      </c>
      <c r="Y11" s="31">
        <v>22573.8</v>
      </c>
      <c r="Z11" s="31">
        <v>13615.1</v>
      </c>
      <c r="AA11" s="103">
        <v>13980.3</v>
      </c>
      <c r="AB11" s="103">
        <v>15110.6</v>
      </c>
      <c r="AC11" s="17">
        <v>17368</v>
      </c>
      <c r="AD11" s="10" t="s">
        <v>19</v>
      </c>
    </row>
    <row r="12" spans="2:30" ht="11.1" customHeight="1" x14ac:dyDescent="0.25">
      <c r="B12" s="7" t="s">
        <v>87</v>
      </c>
      <c r="C12" s="8" t="s">
        <v>6</v>
      </c>
      <c r="D12" s="31">
        <v>834</v>
      </c>
      <c r="E12" s="31">
        <v>1564</v>
      </c>
      <c r="F12" s="31">
        <v>2304</v>
      </c>
      <c r="G12" s="31">
        <v>1602</v>
      </c>
      <c r="H12" s="31">
        <v>1140</v>
      </c>
      <c r="I12" s="31">
        <v>765</v>
      </c>
      <c r="J12" s="31">
        <v>306</v>
      </c>
      <c r="K12" s="31">
        <v>330</v>
      </c>
      <c r="L12" s="31">
        <v>675</v>
      </c>
      <c r="M12" s="31">
        <v>239</v>
      </c>
      <c r="N12" s="31">
        <v>189</v>
      </c>
      <c r="O12" s="31">
        <v>743</v>
      </c>
      <c r="P12" s="31">
        <v>911.3</v>
      </c>
      <c r="Q12" s="31">
        <v>911.3</v>
      </c>
      <c r="R12" s="31">
        <v>453.7</v>
      </c>
      <c r="S12" s="31">
        <v>1876</v>
      </c>
      <c r="T12" s="31">
        <v>1904.1</v>
      </c>
      <c r="U12" s="31">
        <v>2164.9</v>
      </c>
      <c r="V12" s="31">
        <v>931.3</v>
      </c>
      <c r="W12" s="31">
        <v>1758</v>
      </c>
      <c r="X12" s="31">
        <v>1927.2</v>
      </c>
      <c r="Y12" s="31">
        <v>565.1</v>
      </c>
      <c r="Z12" s="31">
        <v>1078.8</v>
      </c>
      <c r="AA12" s="103">
        <v>532.9</v>
      </c>
      <c r="AB12" s="103">
        <v>561.70000000000005</v>
      </c>
      <c r="AC12" s="17">
        <v>2242.9</v>
      </c>
      <c r="AD12" s="10" t="s">
        <v>19</v>
      </c>
    </row>
    <row r="13" spans="2:30" ht="11.1" customHeight="1" x14ac:dyDescent="0.25">
      <c r="B13" s="7" t="s">
        <v>265</v>
      </c>
      <c r="C13" s="8" t="s">
        <v>6</v>
      </c>
      <c r="D13" s="31">
        <v>1578</v>
      </c>
      <c r="E13" s="31">
        <v>766</v>
      </c>
      <c r="F13" s="31">
        <v>601</v>
      </c>
      <c r="G13" s="31">
        <v>495</v>
      </c>
      <c r="H13" s="31">
        <v>352</v>
      </c>
      <c r="I13" s="31">
        <v>368</v>
      </c>
      <c r="J13" s="31">
        <v>753</v>
      </c>
      <c r="K13" s="31">
        <v>724</v>
      </c>
      <c r="L13" s="31">
        <v>748</v>
      </c>
      <c r="M13" s="31">
        <v>725</v>
      </c>
      <c r="N13" s="31">
        <v>859</v>
      </c>
      <c r="O13" s="31">
        <v>719</v>
      </c>
      <c r="P13" s="31">
        <v>604.20000000000005</v>
      </c>
      <c r="Q13" s="31">
        <v>604.20000000000005</v>
      </c>
      <c r="R13" s="31">
        <v>119.9</v>
      </c>
      <c r="S13" s="31">
        <v>85.2</v>
      </c>
      <c r="T13" s="31" t="s">
        <v>19</v>
      </c>
      <c r="U13" s="31">
        <v>112.6</v>
      </c>
      <c r="V13" s="31">
        <v>127.4</v>
      </c>
      <c r="W13" s="31" t="s">
        <v>19</v>
      </c>
      <c r="X13" s="31" t="s">
        <v>19</v>
      </c>
      <c r="Y13" s="31" t="s">
        <v>19</v>
      </c>
      <c r="Z13" s="31" t="s">
        <v>19</v>
      </c>
      <c r="AA13" s="103" t="s">
        <v>19</v>
      </c>
      <c r="AB13" s="103" t="s">
        <v>19</v>
      </c>
      <c r="AC13" s="103" t="s">
        <v>19</v>
      </c>
      <c r="AD13" s="10" t="s">
        <v>19</v>
      </c>
    </row>
    <row r="14" spans="2:30" ht="11.1" customHeight="1" x14ac:dyDescent="0.25">
      <c r="B14" s="7" t="s">
        <v>68</v>
      </c>
      <c r="C14" s="8" t="s">
        <v>6</v>
      </c>
      <c r="D14" s="31">
        <v>362</v>
      </c>
      <c r="E14" s="31">
        <v>385</v>
      </c>
      <c r="F14" s="31">
        <v>398</v>
      </c>
      <c r="G14" s="31">
        <v>365</v>
      </c>
      <c r="H14" s="31">
        <v>236</v>
      </c>
      <c r="I14" s="31">
        <v>163</v>
      </c>
      <c r="J14" s="31">
        <v>150</v>
      </c>
      <c r="K14" s="31">
        <v>206</v>
      </c>
      <c r="L14" s="31">
        <v>109</v>
      </c>
      <c r="M14" s="31">
        <v>120</v>
      </c>
      <c r="N14" s="31">
        <v>264</v>
      </c>
      <c r="O14" s="31">
        <v>383</v>
      </c>
      <c r="P14" s="31">
        <v>309.89999999999998</v>
      </c>
      <c r="Q14" s="31">
        <v>309.89999999999998</v>
      </c>
      <c r="R14" s="31">
        <v>304.39999999999998</v>
      </c>
      <c r="S14" s="31">
        <v>411</v>
      </c>
      <c r="T14" s="31">
        <v>1318.1</v>
      </c>
      <c r="U14" s="31">
        <v>713.6</v>
      </c>
      <c r="V14" s="31">
        <v>964.2</v>
      </c>
      <c r="W14" s="31">
        <v>842.7</v>
      </c>
      <c r="X14" s="31">
        <v>632.1</v>
      </c>
      <c r="Y14" s="31">
        <v>1576</v>
      </c>
      <c r="Z14" s="31">
        <v>1589.1</v>
      </c>
      <c r="AA14" s="103">
        <v>1817.2</v>
      </c>
      <c r="AB14" s="103">
        <v>473.7</v>
      </c>
      <c r="AC14" s="17">
        <v>313.89999999999998</v>
      </c>
      <c r="AD14" s="10" t="s">
        <v>19</v>
      </c>
    </row>
    <row r="15" spans="2:30" ht="11.1" customHeight="1" x14ac:dyDescent="0.25">
      <c r="B15" s="7" t="s">
        <v>13</v>
      </c>
      <c r="C15" s="8" t="s">
        <v>6</v>
      </c>
      <c r="D15" s="31">
        <v>19518</v>
      </c>
      <c r="E15" s="31">
        <v>21028</v>
      </c>
      <c r="F15" s="31">
        <v>25112</v>
      </c>
      <c r="G15" s="31">
        <v>24275</v>
      </c>
      <c r="H15" s="31">
        <v>19451</v>
      </c>
      <c r="I15" s="31">
        <v>15126</v>
      </c>
      <c r="J15" s="31">
        <v>15392</v>
      </c>
      <c r="K15" s="31">
        <v>15840</v>
      </c>
      <c r="L15" s="31">
        <v>17145</v>
      </c>
      <c r="M15" s="31">
        <v>14989</v>
      </c>
      <c r="N15" s="31">
        <v>15717</v>
      </c>
      <c r="O15" s="31">
        <v>16299</v>
      </c>
      <c r="P15" s="31">
        <v>17218.400000000001</v>
      </c>
      <c r="Q15" s="31">
        <v>19700.400000000001</v>
      </c>
      <c r="R15" s="31">
        <v>17878</v>
      </c>
      <c r="S15" s="31">
        <v>24082.2</v>
      </c>
      <c r="T15" s="31">
        <v>27518.2</v>
      </c>
      <c r="U15" s="31">
        <v>27507</v>
      </c>
      <c r="V15" s="31">
        <v>24878.9</v>
      </c>
      <c r="W15" s="31">
        <v>25877.7</v>
      </c>
      <c r="X15" s="31">
        <v>28606.3</v>
      </c>
      <c r="Y15" s="31">
        <v>24714.9</v>
      </c>
      <c r="Z15" s="31">
        <v>16283</v>
      </c>
      <c r="AA15" s="103">
        <v>16330.5</v>
      </c>
      <c r="AB15" s="103">
        <v>16146</v>
      </c>
      <c r="AC15" s="17">
        <v>19924.900000000001</v>
      </c>
      <c r="AD15" s="10" t="s">
        <v>19</v>
      </c>
    </row>
    <row r="16" spans="2:30" ht="9.75" customHeight="1" x14ac:dyDescent="0.25">
      <c r="B16" s="343" t="s">
        <v>40</v>
      </c>
      <c r="C16" s="343"/>
      <c r="D16" s="343"/>
      <c r="E16" s="343"/>
      <c r="F16" s="343"/>
      <c r="G16" s="343"/>
      <c r="H16" s="343"/>
      <c r="I16" s="343"/>
      <c r="J16" s="343"/>
      <c r="K16" s="343"/>
      <c r="L16" s="343"/>
      <c r="M16" s="343"/>
      <c r="N16" s="343"/>
      <c r="O16" s="343"/>
      <c r="P16" s="343"/>
      <c r="Q16" s="343"/>
      <c r="R16" s="343"/>
      <c r="S16" s="343"/>
      <c r="T16" s="343"/>
      <c r="U16" s="354"/>
      <c r="V16" s="354"/>
      <c r="W16" s="354"/>
      <c r="X16" s="354"/>
      <c r="Y16" s="354"/>
      <c r="Z16" s="354"/>
      <c r="AA16" s="227"/>
      <c r="AB16" s="227"/>
      <c r="AC16" s="17"/>
      <c r="AD16" s="17"/>
    </row>
    <row r="17" spans="2:30" ht="11.1" customHeight="1" x14ac:dyDescent="0.25">
      <c r="B17" s="7" t="s">
        <v>41</v>
      </c>
      <c r="C17" s="8" t="s">
        <v>6</v>
      </c>
      <c r="D17" s="31">
        <v>45053</v>
      </c>
      <c r="E17" s="31">
        <v>57715</v>
      </c>
      <c r="F17" s="31">
        <v>70387</v>
      </c>
      <c r="G17" s="31">
        <v>62486</v>
      </c>
      <c r="H17" s="31">
        <v>53658</v>
      </c>
      <c r="I17" s="31">
        <v>46549</v>
      </c>
      <c r="J17" s="31">
        <v>60135</v>
      </c>
      <c r="K17" s="31">
        <v>50912</v>
      </c>
      <c r="L17" s="31">
        <v>45932</v>
      </c>
      <c r="M17" s="31">
        <v>37983</v>
      </c>
      <c r="N17" s="31">
        <v>26556</v>
      </c>
      <c r="O17" s="31">
        <v>21933</v>
      </c>
      <c r="P17" s="31">
        <v>23887</v>
      </c>
      <c r="Q17" s="31">
        <v>23606</v>
      </c>
      <c r="R17" s="31">
        <v>26424</v>
      </c>
      <c r="S17" s="31">
        <v>21474</v>
      </c>
      <c r="T17" s="31">
        <v>20200</v>
      </c>
      <c r="U17" s="31">
        <v>19740.2</v>
      </c>
      <c r="V17" s="31">
        <v>20499</v>
      </c>
      <c r="W17" s="31">
        <v>26915.8</v>
      </c>
      <c r="X17" s="31">
        <v>31309.7</v>
      </c>
      <c r="Y17" s="31">
        <v>27670.9</v>
      </c>
      <c r="Z17" s="31">
        <v>16838.3</v>
      </c>
      <c r="AA17" s="103">
        <v>17337</v>
      </c>
      <c r="AB17" s="103">
        <v>18375.099999999999</v>
      </c>
      <c r="AC17" s="17">
        <v>16493</v>
      </c>
      <c r="AD17" s="10" t="s">
        <v>19</v>
      </c>
    </row>
    <row r="18" spans="2:30" ht="11.1" customHeight="1" x14ac:dyDescent="0.25">
      <c r="B18" s="7" t="s">
        <v>43</v>
      </c>
      <c r="C18" s="8" t="s">
        <v>6</v>
      </c>
      <c r="D18" s="31">
        <v>37</v>
      </c>
      <c r="E18" s="31">
        <v>584</v>
      </c>
      <c r="F18" s="31">
        <v>1619</v>
      </c>
      <c r="G18" s="31">
        <v>1283</v>
      </c>
      <c r="H18" s="31">
        <v>1357</v>
      </c>
      <c r="I18" s="31">
        <v>395</v>
      </c>
      <c r="J18" s="31">
        <v>424</v>
      </c>
      <c r="K18" s="31">
        <v>1062</v>
      </c>
      <c r="L18" s="31">
        <v>908</v>
      </c>
      <c r="M18" s="31">
        <v>1882</v>
      </c>
      <c r="N18" s="31">
        <v>1026</v>
      </c>
      <c r="O18" s="31" t="s">
        <v>19</v>
      </c>
      <c r="P18" s="31" t="s">
        <v>19</v>
      </c>
      <c r="Q18" s="31" t="s">
        <v>19</v>
      </c>
      <c r="R18" s="31" t="s">
        <v>19</v>
      </c>
      <c r="S18" s="31" t="s">
        <v>19</v>
      </c>
      <c r="T18" s="31" t="s">
        <v>19</v>
      </c>
      <c r="U18" s="31" t="s">
        <v>19</v>
      </c>
      <c r="V18" s="31" t="s">
        <v>19</v>
      </c>
      <c r="W18" s="31" t="s">
        <v>19</v>
      </c>
      <c r="X18" s="31" t="s">
        <v>19</v>
      </c>
      <c r="Y18" s="31" t="s">
        <v>19</v>
      </c>
      <c r="Z18" s="31">
        <v>403.4</v>
      </c>
      <c r="AA18" s="103">
        <v>1001.6</v>
      </c>
      <c r="AB18" s="103">
        <v>85.5</v>
      </c>
      <c r="AC18" s="103" t="s">
        <v>19</v>
      </c>
      <c r="AD18" s="10" t="s">
        <v>19</v>
      </c>
    </row>
    <row r="19" spans="2:30" ht="11.1" customHeight="1" x14ac:dyDescent="0.25">
      <c r="B19" s="218" t="s">
        <v>69</v>
      </c>
      <c r="C19" s="8" t="s">
        <v>6</v>
      </c>
      <c r="D19" s="31">
        <v>280</v>
      </c>
      <c r="E19" s="31">
        <v>474</v>
      </c>
      <c r="F19" s="31">
        <v>618</v>
      </c>
      <c r="G19" s="31">
        <v>749</v>
      </c>
      <c r="H19" s="31">
        <v>776</v>
      </c>
      <c r="I19" s="31">
        <v>781</v>
      </c>
      <c r="J19" s="31">
        <v>735</v>
      </c>
      <c r="K19" s="31">
        <v>669</v>
      </c>
      <c r="L19" s="31">
        <v>791</v>
      </c>
      <c r="M19" s="31">
        <v>679</v>
      </c>
      <c r="N19" s="31">
        <v>715</v>
      </c>
      <c r="O19" s="31">
        <v>850</v>
      </c>
      <c r="P19" s="31">
        <v>806.7</v>
      </c>
      <c r="Q19" s="31">
        <v>806.7</v>
      </c>
      <c r="R19" s="31">
        <v>456.7</v>
      </c>
      <c r="S19" s="31">
        <v>409.9</v>
      </c>
      <c r="T19" s="31">
        <v>742</v>
      </c>
      <c r="U19" s="31">
        <v>508.5</v>
      </c>
      <c r="V19" s="31">
        <v>363.1</v>
      </c>
      <c r="W19" s="31">
        <v>459.9</v>
      </c>
      <c r="X19" s="31">
        <v>239.4</v>
      </c>
      <c r="Y19" s="31">
        <v>272.5</v>
      </c>
      <c r="Z19" s="31">
        <v>493.8</v>
      </c>
      <c r="AA19" s="103">
        <v>786.1</v>
      </c>
      <c r="AB19" s="103">
        <v>428.6</v>
      </c>
      <c r="AC19" s="17">
        <v>849.6</v>
      </c>
      <c r="AD19" s="10" t="s">
        <v>19</v>
      </c>
    </row>
    <row r="20" spans="2:30" ht="11.1" customHeight="1" x14ac:dyDescent="0.25">
      <c r="B20" s="7" t="s">
        <v>42</v>
      </c>
      <c r="C20" s="8" t="s">
        <v>6</v>
      </c>
      <c r="D20" s="31">
        <v>81</v>
      </c>
      <c r="E20" s="31">
        <v>181</v>
      </c>
      <c r="F20" s="31">
        <v>187</v>
      </c>
      <c r="G20" s="31">
        <v>116</v>
      </c>
      <c r="H20" s="31">
        <v>122</v>
      </c>
      <c r="I20" s="31">
        <v>117</v>
      </c>
      <c r="J20" s="31">
        <v>78</v>
      </c>
      <c r="K20" s="31">
        <v>86</v>
      </c>
      <c r="L20" s="31">
        <v>128</v>
      </c>
      <c r="M20" s="31">
        <v>145</v>
      </c>
      <c r="N20" s="31">
        <v>160</v>
      </c>
      <c r="O20" s="31">
        <v>131</v>
      </c>
      <c r="P20" s="31">
        <v>175.8</v>
      </c>
      <c r="Q20" s="31">
        <v>175.8</v>
      </c>
      <c r="R20" s="31">
        <v>214.8</v>
      </c>
      <c r="S20" s="31">
        <v>155.5</v>
      </c>
      <c r="T20" s="31">
        <v>86</v>
      </c>
      <c r="U20" s="31">
        <v>60.3</v>
      </c>
      <c r="V20" s="31">
        <v>149.4</v>
      </c>
      <c r="W20" s="31">
        <v>138.69999999999999</v>
      </c>
      <c r="X20" s="31">
        <v>908</v>
      </c>
      <c r="Y20" s="31">
        <v>1337.9</v>
      </c>
      <c r="Z20" s="31">
        <v>1572.5</v>
      </c>
      <c r="AA20" s="103">
        <v>1480.6</v>
      </c>
      <c r="AB20" s="103">
        <v>1469.3</v>
      </c>
      <c r="AC20" s="17">
        <v>996.6</v>
      </c>
      <c r="AD20" s="10" t="s">
        <v>19</v>
      </c>
    </row>
    <row r="21" spans="2:30" ht="11.1" customHeight="1" x14ac:dyDescent="0.25">
      <c r="B21" s="7" t="s">
        <v>70</v>
      </c>
      <c r="C21" s="8" t="s">
        <v>6</v>
      </c>
      <c r="D21" s="31">
        <v>124</v>
      </c>
      <c r="E21" s="31">
        <v>154</v>
      </c>
      <c r="F21" s="31">
        <v>115</v>
      </c>
      <c r="G21" s="31">
        <v>149</v>
      </c>
      <c r="H21" s="31">
        <v>174</v>
      </c>
      <c r="I21" s="31">
        <v>212</v>
      </c>
      <c r="J21" s="31">
        <v>233</v>
      </c>
      <c r="K21" s="31">
        <v>77</v>
      </c>
      <c r="L21" s="31">
        <v>73</v>
      </c>
      <c r="M21" s="31">
        <v>86</v>
      </c>
      <c r="N21" s="31">
        <v>97</v>
      </c>
      <c r="O21" s="31">
        <v>96</v>
      </c>
      <c r="P21" s="31">
        <v>113.3</v>
      </c>
      <c r="Q21" s="31">
        <v>113.3</v>
      </c>
      <c r="R21" s="31">
        <v>440.4</v>
      </c>
      <c r="S21" s="31">
        <v>730.5</v>
      </c>
      <c r="T21" s="31">
        <v>698.3</v>
      </c>
      <c r="U21" s="31">
        <v>385.1</v>
      </c>
      <c r="V21" s="31">
        <v>265</v>
      </c>
      <c r="W21" s="31">
        <v>1210.4000000000001</v>
      </c>
      <c r="X21" s="31">
        <v>1557.4</v>
      </c>
      <c r="Y21" s="31">
        <v>1564.6</v>
      </c>
      <c r="Z21" s="31">
        <v>2072.5</v>
      </c>
      <c r="AA21" s="103">
        <v>1370.5</v>
      </c>
      <c r="AB21" s="103">
        <v>1868.1</v>
      </c>
      <c r="AC21" s="103" t="s">
        <v>19</v>
      </c>
      <c r="AD21" s="10" t="s">
        <v>19</v>
      </c>
    </row>
    <row r="22" spans="2:30" ht="11.1" customHeight="1" x14ac:dyDescent="0.25">
      <c r="B22" s="7" t="s">
        <v>13</v>
      </c>
      <c r="C22" s="8" t="s">
        <v>6</v>
      </c>
      <c r="D22" s="31">
        <v>45575</v>
      </c>
      <c r="E22" s="31">
        <v>59108</v>
      </c>
      <c r="F22" s="31">
        <v>72926</v>
      </c>
      <c r="G22" s="31">
        <v>64783</v>
      </c>
      <c r="H22" s="31">
        <v>56087</v>
      </c>
      <c r="I22" s="31">
        <v>48054</v>
      </c>
      <c r="J22" s="31">
        <v>61605</v>
      </c>
      <c r="K22" s="31">
        <v>52806</v>
      </c>
      <c r="L22" s="31">
        <v>47832</v>
      </c>
      <c r="M22" s="31">
        <v>40775</v>
      </c>
      <c r="N22" s="31">
        <v>28554</v>
      </c>
      <c r="O22" s="31">
        <v>23010</v>
      </c>
      <c r="P22" s="31">
        <v>24982.9</v>
      </c>
      <c r="Q22" s="31">
        <v>24701.9</v>
      </c>
      <c r="R22" s="31">
        <v>27535.9</v>
      </c>
      <c r="S22" s="31">
        <v>22769.9</v>
      </c>
      <c r="T22" s="31">
        <v>21726.3</v>
      </c>
      <c r="U22" s="31">
        <v>20694.099999999999</v>
      </c>
      <c r="V22" s="31">
        <v>21276.400000000001</v>
      </c>
      <c r="W22" s="31">
        <v>28724.799999999999</v>
      </c>
      <c r="X22" s="31">
        <v>34014.5</v>
      </c>
      <c r="Y22" s="31">
        <v>30845.9</v>
      </c>
      <c r="Z22" s="31">
        <v>21380.5</v>
      </c>
      <c r="AA22" s="103">
        <v>21975.7</v>
      </c>
      <c r="AB22" s="103">
        <v>22226.6</v>
      </c>
      <c r="AC22" s="17">
        <v>18339.2</v>
      </c>
      <c r="AD22" s="10" t="s">
        <v>19</v>
      </c>
    </row>
    <row r="23" spans="2:30" ht="9.75" customHeight="1" x14ac:dyDescent="0.25">
      <c r="B23" s="343" t="s">
        <v>71</v>
      </c>
      <c r="C23" s="343"/>
      <c r="D23" s="343"/>
      <c r="E23" s="343"/>
      <c r="F23" s="343"/>
      <c r="G23" s="343"/>
      <c r="H23" s="343"/>
      <c r="I23" s="343"/>
      <c r="J23" s="343"/>
      <c r="K23" s="343"/>
      <c r="L23" s="343"/>
      <c r="M23" s="343"/>
      <c r="N23" s="343"/>
      <c r="O23" s="343"/>
      <c r="P23" s="343"/>
      <c r="Q23" s="343"/>
      <c r="R23" s="343"/>
      <c r="S23" s="343"/>
      <c r="T23" s="343"/>
      <c r="U23" s="354"/>
      <c r="V23" s="354"/>
      <c r="W23" s="354"/>
      <c r="X23" s="354"/>
      <c r="Y23" s="354"/>
      <c r="Z23" s="354"/>
      <c r="AA23" s="227"/>
      <c r="AB23" s="227"/>
      <c r="AC23" s="17"/>
      <c r="AD23" s="17"/>
    </row>
    <row r="24" spans="2:30" ht="11.1" customHeight="1" x14ac:dyDescent="0.25">
      <c r="B24" s="7" t="s">
        <v>370</v>
      </c>
      <c r="C24" s="8" t="s">
        <v>6</v>
      </c>
      <c r="D24" s="31">
        <v>681</v>
      </c>
      <c r="E24" s="31">
        <v>334</v>
      </c>
      <c r="F24" s="31">
        <v>654</v>
      </c>
      <c r="G24" s="31">
        <v>2119</v>
      </c>
      <c r="H24" s="31">
        <v>4865</v>
      </c>
      <c r="I24" s="31">
        <v>1175</v>
      </c>
      <c r="J24" s="31">
        <v>708</v>
      </c>
      <c r="K24" s="31">
        <v>653</v>
      </c>
      <c r="L24" s="31">
        <v>616</v>
      </c>
      <c r="M24" s="31">
        <v>1419</v>
      </c>
      <c r="N24" s="31">
        <v>1288</v>
      </c>
      <c r="O24" s="31">
        <v>847</v>
      </c>
      <c r="P24" s="31">
        <v>1550</v>
      </c>
      <c r="Q24" s="31">
        <v>1096</v>
      </c>
      <c r="R24" s="31">
        <v>669</v>
      </c>
      <c r="S24" s="31">
        <v>560</v>
      </c>
      <c r="T24" s="31">
        <v>1536</v>
      </c>
      <c r="U24" s="31">
        <v>1682.1</v>
      </c>
      <c r="V24" s="31">
        <v>1711</v>
      </c>
      <c r="W24" s="31">
        <v>841.4</v>
      </c>
      <c r="X24" s="31">
        <v>1984.9</v>
      </c>
      <c r="Y24" s="31">
        <v>787</v>
      </c>
      <c r="Z24" s="31">
        <v>584.70000000000005</v>
      </c>
      <c r="AA24" s="103">
        <v>731.9</v>
      </c>
      <c r="AB24" s="103">
        <v>1356.5</v>
      </c>
      <c r="AC24" s="17">
        <v>0</v>
      </c>
      <c r="AD24" s="10" t="s">
        <v>19</v>
      </c>
    </row>
    <row r="25" spans="2:30" ht="11.1" customHeight="1" x14ac:dyDescent="0.25">
      <c r="B25" s="7" t="s">
        <v>371</v>
      </c>
      <c r="C25" s="8" t="s">
        <v>6</v>
      </c>
      <c r="D25" s="31">
        <v>1596</v>
      </c>
      <c r="E25" s="31">
        <v>1401</v>
      </c>
      <c r="F25" s="31">
        <v>1280</v>
      </c>
      <c r="G25" s="31">
        <v>1424</v>
      </c>
      <c r="H25" s="31">
        <v>500</v>
      </c>
      <c r="I25" s="31">
        <v>438</v>
      </c>
      <c r="J25" s="31">
        <v>390</v>
      </c>
      <c r="K25" s="31">
        <v>435</v>
      </c>
      <c r="L25" s="31">
        <v>628</v>
      </c>
      <c r="M25" s="31">
        <v>1330</v>
      </c>
      <c r="N25" s="31">
        <v>510</v>
      </c>
      <c r="O25" s="31">
        <v>499</v>
      </c>
      <c r="P25" s="31">
        <v>455.6</v>
      </c>
      <c r="Q25" s="31">
        <v>1056.8</v>
      </c>
      <c r="R25" s="31">
        <v>779.3</v>
      </c>
      <c r="S25" s="31">
        <v>445</v>
      </c>
      <c r="T25" s="31">
        <v>720</v>
      </c>
      <c r="U25" s="31">
        <v>438.8</v>
      </c>
      <c r="V25" s="31">
        <v>537.79999999999995</v>
      </c>
      <c r="W25" s="31">
        <v>199.4</v>
      </c>
      <c r="X25" s="31">
        <v>197.3</v>
      </c>
      <c r="Y25" s="31">
        <v>118.9</v>
      </c>
      <c r="Z25" s="31">
        <v>83.3</v>
      </c>
      <c r="AA25" s="103">
        <v>56.5</v>
      </c>
      <c r="AB25" s="103">
        <v>0</v>
      </c>
      <c r="AC25" s="17">
        <v>1.1000000000000001</v>
      </c>
      <c r="AD25" s="10" t="s">
        <v>19</v>
      </c>
    </row>
    <row r="26" spans="2:30" ht="11.1" customHeight="1" x14ac:dyDescent="0.25">
      <c r="B26" s="7" t="s">
        <v>372</v>
      </c>
      <c r="C26" s="8" t="s">
        <v>6</v>
      </c>
      <c r="D26" s="31">
        <v>363</v>
      </c>
      <c r="E26" s="31">
        <v>497</v>
      </c>
      <c r="F26" s="31">
        <v>534</v>
      </c>
      <c r="G26" s="31">
        <v>500</v>
      </c>
      <c r="H26" s="31">
        <v>613</v>
      </c>
      <c r="I26" s="31">
        <v>619</v>
      </c>
      <c r="J26" s="31">
        <v>666</v>
      </c>
      <c r="K26" s="31">
        <v>426</v>
      </c>
      <c r="L26" s="31">
        <v>599</v>
      </c>
      <c r="M26" s="31">
        <v>510</v>
      </c>
      <c r="N26" s="31">
        <v>465</v>
      </c>
      <c r="O26" s="31">
        <v>445</v>
      </c>
      <c r="P26" s="31">
        <v>320.60000000000002</v>
      </c>
      <c r="Q26" s="31">
        <v>353.4</v>
      </c>
      <c r="R26" s="31">
        <v>313.60000000000002</v>
      </c>
      <c r="S26" s="31">
        <v>539.5</v>
      </c>
      <c r="T26" s="31">
        <v>252</v>
      </c>
      <c r="U26" s="31">
        <v>168.2</v>
      </c>
      <c r="V26" s="31">
        <v>459.8</v>
      </c>
      <c r="W26" s="31">
        <v>772</v>
      </c>
      <c r="X26" s="31">
        <v>275.60000000000002</v>
      </c>
      <c r="Y26" s="31">
        <v>280.2</v>
      </c>
      <c r="Z26" s="31">
        <v>234.7</v>
      </c>
      <c r="AA26" s="103">
        <v>530</v>
      </c>
      <c r="AB26" s="103">
        <v>792.6</v>
      </c>
      <c r="AC26" s="17">
        <v>535</v>
      </c>
      <c r="AD26" s="10" t="s">
        <v>19</v>
      </c>
    </row>
    <row r="27" spans="2:30" ht="11.1" customHeight="1" x14ac:dyDescent="0.25">
      <c r="B27" s="7" t="s">
        <v>375</v>
      </c>
      <c r="C27" s="8" t="s">
        <v>6</v>
      </c>
      <c r="D27" s="31">
        <v>532</v>
      </c>
      <c r="E27" s="31">
        <v>190</v>
      </c>
      <c r="F27" s="31">
        <v>200</v>
      </c>
      <c r="G27" s="31">
        <v>324</v>
      </c>
      <c r="H27" s="31">
        <v>314</v>
      </c>
      <c r="I27" s="31">
        <v>229</v>
      </c>
      <c r="J27" s="31">
        <v>360</v>
      </c>
      <c r="K27" s="31">
        <v>383</v>
      </c>
      <c r="L27" s="31">
        <v>389</v>
      </c>
      <c r="M27" s="31">
        <v>379</v>
      </c>
      <c r="N27" s="31">
        <v>284</v>
      </c>
      <c r="O27" s="31">
        <v>242</v>
      </c>
      <c r="P27" s="31">
        <v>195.6</v>
      </c>
      <c r="Q27" s="31">
        <v>38.1</v>
      </c>
      <c r="R27" s="31">
        <v>111</v>
      </c>
      <c r="S27" s="31">
        <v>108.3</v>
      </c>
      <c r="T27" s="31">
        <v>225</v>
      </c>
      <c r="U27" s="31">
        <v>177</v>
      </c>
      <c r="V27" s="31">
        <v>105.1</v>
      </c>
      <c r="W27" s="31">
        <v>388.4</v>
      </c>
      <c r="X27" s="31">
        <v>69.599999999999994</v>
      </c>
      <c r="Y27" s="31">
        <v>54.3</v>
      </c>
      <c r="Z27" s="31">
        <v>0</v>
      </c>
      <c r="AA27" s="103">
        <v>0</v>
      </c>
      <c r="AB27" s="103">
        <v>219.2</v>
      </c>
      <c r="AC27" s="17">
        <v>70.599999999999994</v>
      </c>
      <c r="AD27" s="10" t="s">
        <v>19</v>
      </c>
    </row>
    <row r="28" spans="2:30" ht="11.1" customHeight="1" x14ac:dyDescent="0.25">
      <c r="B28" s="7" t="s">
        <v>348</v>
      </c>
      <c r="C28" s="8" t="s">
        <v>6</v>
      </c>
      <c r="D28" s="31">
        <v>628</v>
      </c>
      <c r="E28" s="31">
        <v>421</v>
      </c>
      <c r="F28" s="31">
        <v>561</v>
      </c>
      <c r="G28" s="31">
        <v>551</v>
      </c>
      <c r="H28" s="31">
        <v>571</v>
      </c>
      <c r="I28" s="31">
        <v>707</v>
      </c>
      <c r="J28" s="31">
        <v>785</v>
      </c>
      <c r="K28" s="31">
        <v>651</v>
      </c>
      <c r="L28" s="31">
        <v>810</v>
      </c>
      <c r="M28" s="31">
        <v>806</v>
      </c>
      <c r="N28" s="31">
        <v>816</v>
      </c>
      <c r="O28" s="31">
        <v>697</v>
      </c>
      <c r="P28" s="31">
        <v>758.4</v>
      </c>
      <c r="Q28" s="31">
        <v>1363.5</v>
      </c>
      <c r="R28" s="31">
        <v>1080.7</v>
      </c>
      <c r="S28" s="31">
        <v>1059.8</v>
      </c>
      <c r="T28" s="31">
        <v>1385</v>
      </c>
      <c r="U28" s="31">
        <v>999.7</v>
      </c>
      <c r="V28" s="31">
        <v>517.5</v>
      </c>
      <c r="W28" s="31">
        <v>490</v>
      </c>
      <c r="X28" s="31">
        <v>371.1</v>
      </c>
      <c r="Y28" s="31">
        <v>306</v>
      </c>
      <c r="Z28" s="31">
        <v>356.5</v>
      </c>
      <c r="AA28" s="103">
        <v>606.1</v>
      </c>
      <c r="AB28" s="103">
        <v>724</v>
      </c>
      <c r="AC28" s="17">
        <v>727.9</v>
      </c>
      <c r="AD28" s="10" t="s">
        <v>19</v>
      </c>
    </row>
    <row r="29" spans="2:30" ht="11.1" customHeight="1" x14ac:dyDescent="0.25">
      <c r="B29" s="7" t="s">
        <v>373</v>
      </c>
      <c r="C29" s="8" t="s">
        <v>6</v>
      </c>
      <c r="D29" s="31">
        <v>1147</v>
      </c>
      <c r="E29" s="31">
        <v>1439</v>
      </c>
      <c r="F29" s="31">
        <v>1836</v>
      </c>
      <c r="G29" s="31">
        <v>1804</v>
      </c>
      <c r="H29" s="31">
        <v>1174</v>
      </c>
      <c r="I29" s="31">
        <v>1115</v>
      </c>
      <c r="J29" s="31">
        <v>929</v>
      </c>
      <c r="K29" s="31">
        <v>877</v>
      </c>
      <c r="L29" s="31">
        <v>667</v>
      </c>
      <c r="M29" s="31">
        <v>956</v>
      </c>
      <c r="N29" s="31">
        <v>774</v>
      </c>
      <c r="O29" s="31">
        <v>471</v>
      </c>
      <c r="P29" s="31">
        <v>521</v>
      </c>
      <c r="Q29" s="31">
        <v>1391</v>
      </c>
      <c r="R29" s="31">
        <v>1145</v>
      </c>
      <c r="S29" s="31">
        <v>1348</v>
      </c>
      <c r="T29" s="31">
        <v>930</v>
      </c>
      <c r="U29" s="31">
        <v>758.3</v>
      </c>
      <c r="V29" s="31">
        <v>1307.9000000000001</v>
      </c>
      <c r="W29" s="31">
        <v>642.6</v>
      </c>
      <c r="X29" s="31">
        <v>770.8</v>
      </c>
      <c r="Y29" s="31">
        <v>531.20000000000005</v>
      </c>
      <c r="Z29" s="31">
        <v>240.4</v>
      </c>
      <c r="AA29" s="103">
        <v>210.1</v>
      </c>
      <c r="AB29" s="103">
        <v>232.2</v>
      </c>
      <c r="AC29" s="17">
        <v>114.6</v>
      </c>
      <c r="AD29" s="10" t="s">
        <v>19</v>
      </c>
    </row>
    <row r="30" spans="2:30" ht="11.1" customHeight="1" x14ac:dyDescent="0.25">
      <c r="B30" s="7" t="s">
        <v>44</v>
      </c>
      <c r="C30" s="8" t="s">
        <v>6</v>
      </c>
      <c r="D30" s="31">
        <v>805</v>
      </c>
      <c r="E30" s="31">
        <v>796</v>
      </c>
      <c r="F30" s="31">
        <v>501</v>
      </c>
      <c r="G30" s="31">
        <v>522</v>
      </c>
      <c r="H30" s="31">
        <v>468</v>
      </c>
      <c r="I30" s="31">
        <v>280</v>
      </c>
      <c r="J30" s="31">
        <v>553</v>
      </c>
      <c r="K30" s="31">
        <v>937</v>
      </c>
      <c r="L30" s="31">
        <v>1400</v>
      </c>
      <c r="M30" s="31">
        <v>607</v>
      </c>
      <c r="N30" s="31">
        <v>368</v>
      </c>
      <c r="O30" s="31">
        <v>436</v>
      </c>
      <c r="P30" s="31">
        <v>220</v>
      </c>
      <c r="Q30" s="31">
        <v>448</v>
      </c>
      <c r="R30" s="31">
        <v>200</v>
      </c>
      <c r="S30" s="31">
        <v>217</v>
      </c>
      <c r="T30" s="31">
        <v>141</v>
      </c>
      <c r="U30" s="31">
        <v>251.4</v>
      </c>
      <c r="V30" s="31">
        <v>162</v>
      </c>
      <c r="W30" s="31">
        <v>159.6</v>
      </c>
      <c r="X30" s="31">
        <v>556.29999999999995</v>
      </c>
      <c r="Y30" s="31">
        <v>375.4</v>
      </c>
      <c r="Z30" s="31">
        <v>120</v>
      </c>
      <c r="AA30" s="103">
        <v>147.19999999999999</v>
      </c>
      <c r="AB30" s="103">
        <v>1001.2</v>
      </c>
      <c r="AC30" s="17">
        <v>573.6</v>
      </c>
      <c r="AD30" s="10" t="s">
        <v>19</v>
      </c>
    </row>
    <row r="31" spans="2:30" ht="11.1" customHeight="1" x14ac:dyDescent="0.25">
      <c r="B31" s="7" t="s">
        <v>374</v>
      </c>
      <c r="C31" s="8" t="s">
        <v>6</v>
      </c>
      <c r="D31" s="31">
        <v>1714</v>
      </c>
      <c r="E31" s="31">
        <v>2241</v>
      </c>
      <c r="F31" s="31">
        <v>1629</v>
      </c>
      <c r="G31" s="31">
        <v>1376</v>
      </c>
      <c r="H31" s="31">
        <v>1312</v>
      </c>
      <c r="I31" s="31">
        <v>1611</v>
      </c>
      <c r="J31" s="31">
        <v>1788</v>
      </c>
      <c r="K31" s="31">
        <v>1689</v>
      </c>
      <c r="L31" s="31">
        <v>1420</v>
      </c>
      <c r="M31" s="31">
        <v>3028</v>
      </c>
      <c r="N31" s="31">
        <v>2579</v>
      </c>
      <c r="O31" s="31">
        <v>2138</v>
      </c>
      <c r="P31" s="31">
        <v>2700.5</v>
      </c>
      <c r="Q31" s="31">
        <v>2877.9</v>
      </c>
      <c r="R31" s="31">
        <v>1593.3</v>
      </c>
      <c r="S31" s="31">
        <v>1281.8</v>
      </c>
      <c r="T31" s="31">
        <v>2522</v>
      </c>
      <c r="U31" s="31">
        <v>3618.4</v>
      </c>
      <c r="V31" s="31">
        <v>1990.1</v>
      </c>
      <c r="W31" s="31">
        <v>954.3</v>
      </c>
      <c r="X31" s="31">
        <v>2143.8000000000002</v>
      </c>
      <c r="Y31" s="31">
        <v>2659.1</v>
      </c>
      <c r="Z31" s="31">
        <v>3098.2</v>
      </c>
      <c r="AA31" s="103">
        <v>4386.7</v>
      </c>
      <c r="AB31" s="103">
        <v>4292.5</v>
      </c>
      <c r="AC31" s="17">
        <v>3053.3</v>
      </c>
      <c r="AD31" s="10" t="s">
        <v>19</v>
      </c>
    </row>
    <row r="32" spans="2:30" ht="11.1" customHeight="1" x14ac:dyDescent="0.25">
      <c r="B32" s="7" t="s">
        <v>82</v>
      </c>
      <c r="C32" s="8" t="s">
        <v>6</v>
      </c>
      <c r="D32" s="31">
        <v>1827</v>
      </c>
      <c r="E32" s="31">
        <v>2459</v>
      </c>
      <c r="F32" s="31">
        <v>2769</v>
      </c>
      <c r="G32" s="31">
        <v>3461</v>
      </c>
      <c r="H32" s="31">
        <v>2846</v>
      </c>
      <c r="I32" s="31">
        <v>2224</v>
      </c>
      <c r="J32" s="31">
        <v>2084</v>
      </c>
      <c r="K32" s="31">
        <v>2805</v>
      </c>
      <c r="L32" s="31">
        <v>3125</v>
      </c>
      <c r="M32" s="31">
        <v>3031</v>
      </c>
      <c r="N32" s="31">
        <v>2929</v>
      </c>
      <c r="O32" s="31">
        <v>2579</v>
      </c>
      <c r="P32" s="31">
        <v>2335.1999999999998</v>
      </c>
      <c r="Q32" s="31">
        <v>2447.4</v>
      </c>
      <c r="R32" s="31">
        <v>4439.2</v>
      </c>
      <c r="S32" s="31">
        <v>2429</v>
      </c>
      <c r="T32" s="31">
        <v>1786.3</v>
      </c>
      <c r="U32" s="31">
        <v>1515</v>
      </c>
      <c r="V32" s="31">
        <v>1415.8</v>
      </c>
      <c r="W32" s="31">
        <v>3719.8</v>
      </c>
      <c r="X32" s="31">
        <v>2606.1</v>
      </c>
      <c r="Y32" s="31">
        <v>1581.8</v>
      </c>
      <c r="Z32" s="31">
        <v>2729.4</v>
      </c>
      <c r="AA32" s="103">
        <v>4378.6000000000004</v>
      </c>
      <c r="AB32" s="103">
        <v>2857.7</v>
      </c>
      <c r="AC32" s="17">
        <v>3870.6</v>
      </c>
      <c r="AD32" s="10" t="s">
        <v>19</v>
      </c>
    </row>
    <row r="33" spans="2:30" ht="11.1" customHeight="1" x14ac:dyDescent="0.25">
      <c r="B33" s="7" t="s">
        <v>13</v>
      </c>
      <c r="C33" s="8" t="s">
        <v>6</v>
      </c>
      <c r="D33" s="31">
        <v>9293</v>
      </c>
      <c r="E33" s="31">
        <v>9778</v>
      </c>
      <c r="F33" s="31">
        <v>9964</v>
      </c>
      <c r="G33" s="31">
        <v>12081</v>
      </c>
      <c r="H33" s="31">
        <v>12663</v>
      </c>
      <c r="I33" s="31">
        <v>8398</v>
      </c>
      <c r="J33" s="31">
        <v>8263</v>
      </c>
      <c r="K33" s="31">
        <v>8856</v>
      </c>
      <c r="L33" s="31">
        <v>9654</v>
      </c>
      <c r="M33" s="31">
        <v>12066</v>
      </c>
      <c r="N33" s="31">
        <v>10013</v>
      </c>
      <c r="O33" s="31">
        <v>8354</v>
      </c>
      <c r="P33" s="31">
        <v>9056.9</v>
      </c>
      <c r="Q33" s="31">
        <v>11072.2</v>
      </c>
      <c r="R33" s="31">
        <v>10331.200000000001</v>
      </c>
      <c r="S33" s="31">
        <v>7988.4</v>
      </c>
      <c r="T33" s="31">
        <v>9497.2999999999993</v>
      </c>
      <c r="U33" s="31">
        <v>9608.7999999999993</v>
      </c>
      <c r="V33" s="31">
        <v>8207</v>
      </c>
      <c r="W33" s="31">
        <v>8167.6</v>
      </c>
      <c r="X33" s="31">
        <v>8975.4</v>
      </c>
      <c r="Y33" s="31">
        <v>6694</v>
      </c>
      <c r="Z33" s="31">
        <v>7447.2</v>
      </c>
      <c r="AA33" s="103">
        <v>11047.2</v>
      </c>
      <c r="AB33" s="103">
        <v>11475.9</v>
      </c>
      <c r="AC33" s="17">
        <v>8946.7999999999993</v>
      </c>
      <c r="AD33" s="10" t="s">
        <v>19</v>
      </c>
    </row>
    <row r="34" spans="2:30" ht="11.1" customHeight="1" x14ac:dyDescent="0.25">
      <c r="B34" s="7" t="s">
        <v>83</v>
      </c>
      <c r="C34" s="8" t="s">
        <v>6</v>
      </c>
      <c r="D34" s="31">
        <v>0</v>
      </c>
      <c r="E34" s="31">
        <v>0</v>
      </c>
      <c r="F34" s="87">
        <v>0</v>
      </c>
      <c r="G34" s="31">
        <v>517</v>
      </c>
      <c r="H34" s="31">
        <v>847</v>
      </c>
      <c r="I34" s="31">
        <v>636</v>
      </c>
      <c r="J34" s="31">
        <v>599</v>
      </c>
      <c r="K34" s="31">
        <v>0</v>
      </c>
      <c r="L34" s="31">
        <v>0</v>
      </c>
      <c r="M34" s="31">
        <v>0</v>
      </c>
      <c r="N34" s="31">
        <v>0</v>
      </c>
      <c r="O34" s="31">
        <v>0</v>
      </c>
      <c r="P34" s="31">
        <v>0</v>
      </c>
      <c r="Q34" s="31">
        <v>0</v>
      </c>
      <c r="R34" s="31">
        <v>0</v>
      </c>
      <c r="S34" s="31">
        <v>0</v>
      </c>
      <c r="T34" s="31">
        <v>0</v>
      </c>
      <c r="U34" s="31">
        <v>0</v>
      </c>
      <c r="V34" s="31">
        <v>0</v>
      </c>
      <c r="W34" s="31">
        <v>0</v>
      </c>
      <c r="X34" s="31">
        <v>0</v>
      </c>
      <c r="Y34" s="31">
        <v>0</v>
      </c>
      <c r="Z34" s="31">
        <v>0</v>
      </c>
      <c r="AA34" s="103">
        <v>0</v>
      </c>
      <c r="AB34" s="103">
        <v>0</v>
      </c>
      <c r="AC34" s="17">
        <v>0</v>
      </c>
      <c r="AD34" s="10" t="s">
        <v>19</v>
      </c>
    </row>
    <row r="35" spans="2:30" ht="11.1" customHeight="1" x14ac:dyDescent="0.25">
      <c r="B35" s="42" t="s">
        <v>55</v>
      </c>
      <c r="C35" s="22" t="s">
        <v>6</v>
      </c>
      <c r="D35" s="43">
        <v>74386</v>
      </c>
      <c r="E35" s="43">
        <v>89914</v>
      </c>
      <c r="F35" s="17">
        <v>108002</v>
      </c>
      <c r="G35" s="43">
        <v>101656</v>
      </c>
      <c r="H35" s="43">
        <v>89048</v>
      </c>
      <c r="I35" s="43">
        <v>72214</v>
      </c>
      <c r="J35" s="43">
        <v>85859</v>
      </c>
      <c r="K35" s="43">
        <v>77502</v>
      </c>
      <c r="L35" s="43">
        <v>74631</v>
      </c>
      <c r="M35" s="43">
        <v>67830</v>
      </c>
      <c r="N35" s="43">
        <v>54284</v>
      </c>
      <c r="O35" s="43">
        <v>47663</v>
      </c>
      <c r="P35" s="43">
        <v>51258.2</v>
      </c>
      <c r="Q35" s="43">
        <v>55474.5</v>
      </c>
      <c r="R35" s="43">
        <v>55745.1</v>
      </c>
      <c r="S35" s="43">
        <v>54840.5</v>
      </c>
      <c r="T35" s="43">
        <v>58741.7</v>
      </c>
      <c r="U35" s="43">
        <v>57809.9</v>
      </c>
      <c r="V35" s="43">
        <v>54362.3</v>
      </c>
      <c r="W35" s="43">
        <v>62770.1</v>
      </c>
      <c r="X35" s="43">
        <v>71596.2</v>
      </c>
      <c r="Y35" s="43">
        <v>62254.8</v>
      </c>
      <c r="Z35" s="43">
        <v>45110.8</v>
      </c>
      <c r="AA35" s="103">
        <v>49353.3</v>
      </c>
      <c r="AB35" s="103">
        <v>49848.4</v>
      </c>
      <c r="AC35" s="17">
        <v>47210.8</v>
      </c>
      <c r="AD35" s="10" t="s">
        <v>19</v>
      </c>
    </row>
    <row r="36" spans="2:30" ht="11.1" customHeight="1" x14ac:dyDescent="0.25">
      <c r="B36" s="343" t="s">
        <v>376</v>
      </c>
      <c r="C36" s="343"/>
      <c r="D36" s="343"/>
      <c r="E36" s="343"/>
      <c r="F36" s="343"/>
      <c r="G36" s="343"/>
      <c r="H36" s="343"/>
      <c r="I36" s="343"/>
      <c r="J36" s="343"/>
      <c r="K36" s="343"/>
      <c r="L36" s="343"/>
      <c r="M36" s="343"/>
      <c r="N36" s="343"/>
      <c r="O36" s="343"/>
      <c r="P36" s="343"/>
      <c r="Q36" s="343"/>
      <c r="R36" s="343"/>
      <c r="S36" s="343"/>
      <c r="T36" s="343"/>
      <c r="U36" s="354"/>
      <c r="V36" s="354"/>
      <c r="W36" s="354"/>
      <c r="X36" s="354"/>
      <c r="Y36" s="354"/>
      <c r="Z36" s="354"/>
      <c r="AA36" s="227"/>
      <c r="AB36" s="227"/>
      <c r="AC36" s="17"/>
      <c r="AD36" s="17"/>
    </row>
    <row r="37" spans="2:30" ht="11.1" customHeight="1" x14ac:dyDescent="0.25">
      <c r="B37" s="7" t="s">
        <v>41</v>
      </c>
      <c r="C37" s="8" t="s">
        <v>6</v>
      </c>
      <c r="D37" s="31" t="s">
        <v>19</v>
      </c>
      <c r="E37" s="31" t="s">
        <v>19</v>
      </c>
      <c r="F37" s="31">
        <v>232</v>
      </c>
      <c r="G37" s="31">
        <v>631</v>
      </c>
      <c r="H37" s="31">
        <v>1208</v>
      </c>
      <c r="I37" s="31">
        <v>3561</v>
      </c>
      <c r="J37" s="31">
        <v>4454</v>
      </c>
      <c r="K37" s="31">
        <v>5633.2</v>
      </c>
      <c r="L37" s="31">
        <v>4344</v>
      </c>
      <c r="M37" s="31">
        <v>5964.4</v>
      </c>
      <c r="N37" s="31">
        <v>6623</v>
      </c>
      <c r="O37" s="31" t="s">
        <v>19</v>
      </c>
      <c r="P37" s="31" t="s">
        <v>19</v>
      </c>
      <c r="Q37" s="31">
        <v>9680.7000000000007</v>
      </c>
      <c r="R37" s="31">
        <v>11150.8</v>
      </c>
      <c r="S37" s="31">
        <v>12777.9</v>
      </c>
      <c r="T37" s="31">
        <v>14741.2</v>
      </c>
      <c r="U37" s="31">
        <v>11084</v>
      </c>
      <c r="V37" s="31">
        <v>17716</v>
      </c>
      <c r="W37" s="31">
        <v>25216</v>
      </c>
      <c r="X37" s="31" t="s">
        <v>19</v>
      </c>
      <c r="Y37" s="31" t="s">
        <v>19</v>
      </c>
      <c r="Z37" s="31" t="s">
        <v>19</v>
      </c>
      <c r="AA37" s="103" t="s">
        <v>19</v>
      </c>
      <c r="AB37" s="103" t="s">
        <v>19</v>
      </c>
      <c r="AC37" s="103" t="s">
        <v>19</v>
      </c>
      <c r="AD37" s="10" t="s">
        <v>19</v>
      </c>
    </row>
    <row r="38" spans="2:30" ht="11.1" customHeight="1" x14ac:dyDescent="0.25">
      <c r="B38" s="7" t="s">
        <v>75</v>
      </c>
      <c r="C38" s="8" t="s">
        <v>6</v>
      </c>
      <c r="D38" s="31" t="s">
        <v>19</v>
      </c>
      <c r="E38" s="31" t="s">
        <v>19</v>
      </c>
      <c r="F38" s="31" t="s">
        <v>19</v>
      </c>
      <c r="G38" s="31" t="s">
        <v>19</v>
      </c>
      <c r="H38" s="31" t="s">
        <v>19</v>
      </c>
      <c r="I38" s="31" t="s">
        <v>19</v>
      </c>
      <c r="J38" s="31" t="s">
        <v>19</v>
      </c>
      <c r="K38" s="31" t="s">
        <v>19</v>
      </c>
      <c r="L38" s="31" t="s">
        <v>19</v>
      </c>
      <c r="M38" s="31" t="s">
        <v>19</v>
      </c>
      <c r="N38" s="31" t="s">
        <v>19</v>
      </c>
      <c r="O38" s="31" t="s">
        <v>19</v>
      </c>
      <c r="P38" s="31" t="s">
        <v>19</v>
      </c>
      <c r="Q38" s="31" t="s">
        <v>19</v>
      </c>
      <c r="R38" s="31" t="s">
        <v>19</v>
      </c>
      <c r="S38" s="31" t="s">
        <v>19</v>
      </c>
      <c r="T38" s="31" t="s">
        <v>19</v>
      </c>
      <c r="U38" s="31" t="s">
        <v>19</v>
      </c>
      <c r="V38" s="31" t="s">
        <v>19</v>
      </c>
      <c r="W38" s="31">
        <v>3225.1</v>
      </c>
      <c r="X38" s="31">
        <v>17591.099999999999</v>
      </c>
      <c r="Y38" s="31">
        <v>11173.6</v>
      </c>
      <c r="Z38" s="31">
        <v>11543.3</v>
      </c>
      <c r="AA38" s="103">
        <v>13299.5</v>
      </c>
      <c r="AB38" s="103">
        <v>9040.2999999999993</v>
      </c>
      <c r="AC38" s="17">
        <v>8568</v>
      </c>
      <c r="AD38" s="10" t="s">
        <v>19</v>
      </c>
    </row>
    <row r="39" spans="2:30" ht="12" customHeight="1" x14ac:dyDescent="0.25">
      <c r="B39" s="7" t="s">
        <v>57</v>
      </c>
      <c r="C39" s="8" t="s">
        <v>6</v>
      </c>
      <c r="D39" s="31">
        <v>2536</v>
      </c>
      <c r="E39" s="31">
        <v>2362</v>
      </c>
      <c r="F39" s="31">
        <v>2681</v>
      </c>
      <c r="G39" s="31">
        <v>3734</v>
      </c>
      <c r="H39" s="31">
        <v>4042</v>
      </c>
      <c r="I39" s="31">
        <v>2837</v>
      </c>
      <c r="J39" s="31">
        <v>2816</v>
      </c>
      <c r="K39" s="31">
        <v>1865.3</v>
      </c>
      <c r="L39" s="31">
        <v>2255</v>
      </c>
      <c r="M39" s="31">
        <v>1791.2</v>
      </c>
      <c r="N39" s="31">
        <v>1338</v>
      </c>
      <c r="O39" s="31">
        <v>1984.5</v>
      </c>
      <c r="P39" s="31">
        <v>3368.4</v>
      </c>
      <c r="Q39" s="31">
        <v>1987</v>
      </c>
      <c r="R39" s="31">
        <v>2251.6</v>
      </c>
      <c r="S39" s="31">
        <v>2149.8000000000002</v>
      </c>
      <c r="T39" s="31">
        <v>4238.5</v>
      </c>
      <c r="U39" s="31">
        <v>3237.6</v>
      </c>
      <c r="V39" s="31">
        <v>4316</v>
      </c>
      <c r="W39" s="31">
        <v>5189</v>
      </c>
      <c r="X39" s="31" t="s">
        <v>19</v>
      </c>
      <c r="Y39" s="31" t="s">
        <v>19</v>
      </c>
      <c r="Z39" s="31" t="s">
        <v>19</v>
      </c>
      <c r="AA39" s="103" t="s">
        <v>19</v>
      </c>
      <c r="AB39" s="103" t="s">
        <v>19</v>
      </c>
      <c r="AC39" s="103" t="s">
        <v>19</v>
      </c>
      <c r="AD39" s="10" t="s">
        <v>19</v>
      </c>
    </row>
    <row r="40" spans="2:30" ht="15" customHeight="1" x14ac:dyDescent="0.25">
      <c r="B40" s="7" t="s">
        <v>327</v>
      </c>
      <c r="C40" s="8" t="s">
        <v>6</v>
      </c>
      <c r="D40" s="31">
        <v>125</v>
      </c>
      <c r="E40" s="31">
        <v>174</v>
      </c>
      <c r="F40" s="31">
        <v>254</v>
      </c>
      <c r="G40" s="31">
        <v>337.7</v>
      </c>
      <c r="H40" s="31">
        <v>134.5</v>
      </c>
      <c r="I40" s="31">
        <v>64.599999999999994</v>
      </c>
      <c r="J40" s="31">
        <v>77.900000000000006</v>
      </c>
      <c r="K40" s="31">
        <v>79.599999999999994</v>
      </c>
      <c r="L40" s="31">
        <v>26</v>
      </c>
      <c r="M40" s="31">
        <v>10</v>
      </c>
      <c r="N40" s="31">
        <v>32</v>
      </c>
      <c r="O40" s="31" t="s">
        <v>19</v>
      </c>
      <c r="P40" s="31">
        <v>29.6</v>
      </c>
      <c r="Q40" s="31">
        <v>39.9</v>
      </c>
      <c r="R40" s="31">
        <v>29.9</v>
      </c>
      <c r="S40" s="31">
        <v>10</v>
      </c>
      <c r="T40" s="31">
        <v>15.5</v>
      </c>
      <c r="U40" s="31">
        <v>5.9</v>
      </c>
      <c r="V40" s="31">
        <v>17.899999999999999</v>
      </c>
      <c r="W40" s="31">
        <v>24.3</v>
      </c>
      <c r="X40" s="31" t="s">
        <v>19</v>
      </c>
      <c r="Y40" s="31" t="s">
        <v>19</v>
      </c>
      <c r="Z40" s="31">
        <v>56.4</v>
      </c>
      <c r="AA40" s="103">
        <v>58.1</v>
      </c>
      <c r="AB40" s="103">
        <v>63</v>
      </c>
      <c r="AC40" s="103" t="s">
        <v>19</v>
      </c>
      <c r="AD40" s="10" t="s">
        <v>19</v>
      </c>
    </row>
    <row r="41" spans="2:30" ht="11.1" customHeight="1" x14ac:dyDescent="0.25">
      <c r="B41" s="7" t="s">
        <v>377</v>
      </c>
      <c r="C41" s="8" t="s">
        <v>6</v>
      </c>
      <c r="D41" s="31">
        <v>8821</v>
      </c>
      <c r="E41" s="31">
        <v>10903</v>
      </c>
      <c r="F41" s="31">
        <v>11136</v>
      </c>
      <c r="G41" s="31">
        <v>10665.7</v>
      </c>
      <c r="H41" s="31">
        <v>10404</v>
      </c>
      <c r="I41" s="31">
        <v>12316</v>
      </c>
      <c r="J41" s="31">
        <v>10533.2</v>
      </c>
      <c r="K41" s="31">
        <v>8163.4</v>
      </c>
      <c r="L41" s="31">
        <v>6955</v>
      </c>
      <c r="M41" s="31">
        <v>7775.5</v>
      </c>
      <c r="N41" s="31">
        <v>5367.2</v>
      </c>
      <c r="O41" s="31">
        <v>5364.8</v>
      </c>
      <c r="P41" s="31">
        <v>7464.3</v>
      </c>
      <c r="Q41" s="31">
        <v>5292.3</v>
      </c>
      <c r="R41" s="31">
        <v>5846.5</v>
      </c>
      <c r="S41" s="31">
        <v>8863</v>
      </c>
      <c r="T41" s="31">
        <v>7489.9</v>
      </c>
      <c r="U41" s="31">
        <v>10980.5</v>
      </c>
      <c r="V41" s="31">
        <v>14674</v>
      </c>
      <c r="W41" s="31">
        <v>13740.4</v>
      </c>
      <c r="X41" s="31">
        <v>12656</v>
      </c>
      <c r="Y41" s="31">
        <v>13611.7</v>
      </c>
      <c r="Z41" s="31">
        <v>14424.5</v>
      </c>
      <c r="AA41" s="103">
        <v>11137.5</v>
      </c>
      <c r="AB41" s="103">
        <v>7938.3</v>
      </c>
      <c r="AC41" s="17">
        <v>11695.1</v>
      </c>
      <c r="AD41" s="10" t="s">
        <v>19</v>
      </c>
    </row>
    <row r="42" spans="2:30" ht="12" customHeight="1" x14ac:dyDescent="0.25">
      <c r="B42" s="7" t="s">
        <v>378</v>
      </c>
      <c r="C42" s="8" t="s">
        <v>6</v>
      </c>
      <c r="D42" s="31" t="s">
        <v>19</v>
      </c>
      <c r="E42" s="31" t="s">
        <v>19</v>
      </c>
      <c r="F42" s="31" t="s">
        <v>19</v>
      </c>
      <c r="G42" s="31" t="s">
        <v>19</v>
      </c>
      <c r="H42" s="31">
        <v>1727</v>
      </c>
      <c r="I42" s="31">
        <v>1766.1</v>
      </c>
      <c r="J42" s="31">
        <v>1862.6</v>
      </c>
      <c r="K42" s="31">
        <v>1629</v>
      </c>
      <c r="L42" s="31">
        <v>1873</v>
      </c>
      <c r="M42" s="31">
        <v>1559.3</v>
      </c>
      <c r="N42" s="31">
        <v>2138.4</v>
      </c>
      <c r="O42" s="31">
        <v>3405</v>
      </c>
      <c r="P42" s="31">
        <v>1372</v>
      </c>
      <c r="Q42" s="31">
        <v>882</v>
      </c>
      <c r="R42" s="31">
        <v>1920</v>
      </c>
      <c r="S42" s="31">
        <v>1594</v>
      </c>
      <c r="T42" s="31">
        <v>2569</v>
      </c>
      <c r="U42" s="31">
        <v>2276.5</v>
      </c>
      <c r="V42" s="31" t="s">
        <v>19</v>
      </c>
      <c r="W42" s="31" t="s">
        <v>19</v>
      </c>
      <c r="X42" s="31" t="s">
        <v>19</v>
      </c>
      <c r="Y42" s="31" t="s">
        <v>19</v>
      </c>
      <c r="Z42" s="31" t="s">
        <v>19</v>
      </c>
      <c r="AA42" s="103" t="s">
        <v>19</v>
      </c>
      <c r="AB42" s="103" t="s">
        <v>19</v>
      </c>
      <c r="AC42" s="103" t="s">
        <v>19</v>
      </c>
      <c r="AD42" s="10" t="s">
        <v>19</v>
      </c>
    </row>
    <row r="43" spans="2:30" ht="12" customHeight="1" x14ac:dyDescent="0.25">
      <c r="B43" s="7" t="s">
        <v>373</v>
      </c>
      <c r="C43" s="8" t="s">
        <v>6</v>
      </c>
      <c r="D43" s="31">
        <v>874</v>
      </c>
      <c r="E43" s="31">
        <v>447</v>
      </c>
      <c r="F43" s="31">
        <v>678</v>
      </c>
      <c r="G43" s="31">
        <v>434.9</v>
      </c>
      <c r="H43" s="31">
        <v>181.4</v>
      </c>
      <c r="I43" s="31">
        <v>449.7</v>
      </c>
      <c r="J43" s="31">
        <v>1461.9</v>
      </c>
      <c r="K43" s="31">
        <v>1154.8</v>
      </c>
      <c r="L43" s="31">
        <v>2138</v>
      </c>
      <c r="M43" s="31" t="s">
        <v>19</v>
      </c>
      <c r="N43" s="31" t="s">
        <v>19</v>
      </c>
      <c r="O43" s="31" t="s">
        <v>19</v>
      </c>
      <c r="P43" s="31" t="s">
        <v>19</v>
      </c>
      <c r="Q43" s="31" t="s">
        <v>19</v>
      </c>
      <c r="R43" s="31" t="s">
        <v>19</v>
      </c>
      <c r="S43" s="31" t="s">
        <v>19</v>
      </c>
      <c r="T43" s="31" t="s">
        <v>19</v>
      </c>
      <c r="U43" s="31" t="s">
        <v>19</v>
      </c>
      <c r="V43" s="31">
        <v>84.4</v>
      </c>
      <c r="W43" s="31">
        <v>124</v>
      </c>
      <c r="X43" s="31" t="s">
        <v>19</v>
      </c>
      <c r="Y43" s="31" t="s">
        <v>19</v>
      </c>
      <c r="Z43" s="31" t="s">
        <v>19</v>
      </c>
      <c r="AA43" s="103" t="s">
        <v>19</v>
      </c>
      <c r="AB43" s="103" t="s">
        <v>19</v>
      </c>
      <c r="AC43" s="103" t="s">
        <v>19</v>
      </c>
      <c r="AD43" s="10" t="s">
        <v>19</v>
      </c>
    </row>
    <row r="44" spans="2:30" ht="11.1" customHeight="1" x14ac:dyDescent="0.25">
      <c r="B44" s="7" t="s">
        <v>232</v>
      </c>
      <c r="C44" s="8" t="s">
        <v>6</v>
      </c>
      <c r="D44" s="31">
        <v>2673</v>
      </c>
      <c r="E44" s="31">
        <v>2673</v>
      </c>
      <c r="F44" s="31">
        <v>2713</v>
      </c>
      <c r="G44" s="31">
        <v>3006</v>
      </c>
      <c r="H44" s="31">
        <v>3003.1</v>
      </c>
      <c r="I44" s="31">
        <v>2566.3000000000002</v>
      </c>
      <c r="J44" s="31">
        <v>2740.6</v>
      </c>
      <c r="K44" s="31">
        <v>2478</v>
      </c>
      <c r="L44" s="31">
        <v>2530</v>
      </c>
      <c r="M44" s="31" t="s">
        <v>19</v>
      </c>
      <c r="N44" s="31" t="s">
        <v>19</v>
      </c>
      <c r="O44" s="31" t="s">
        <v>19</v>
      </c>
      <c r="P44" s="31" t="s">
        <v>19</v>
      </c>
      <c r="Q44" s="31" t="s">
        <v>19</v>
      </c>
      <c r="R44" s="31" t="s">
        <v>19</v>
      </c>
      <c r="S44" s="31" t="s">
        <v>19</v>
      </c>
      <c r="T44" s="31" t="s">
        <v>19</v>
      </c>
      <c r="U44" s="31" t="s">
        <v>19</v>
      </c>
      <c r="V44" s="31" t="s">
        <v>19</v>
      </c>
      <c r="W44" s="31" t="s">
        <v>19</v>
      </c>
      <c r="X44" s="31">
        <v>1120.8</v>
      </c>
      <c r="Y44" s="31">
        <v>749</v>
      </c>
      <c r="Z44" s="31">
        <v>631.29999999999995</v>
      </c>
      <c r="AA44" s="103">
        <v>772.6</v>
      </c>
      <c r="AB44" s="103">
        <v>765</v>
      </c>
      <c r="AC44" s="17">
        <v>804.9</v>
      </c>
      <c r="AD44" s="10" t="s">
        <v>19</v>
      </c>
    </row>
    <row r="45" spans="2:30" ht="11.1" customHeight="1" x14ac:dyDescent="0.25">
      <c r="B45" s="7" t="s">
        <v>379</v>
      </c>
      <c r="C45" s="8" t="s">
        <v>6</v>
      </c>
      <c r="D45" s="31">
        <v>30</v>
      </c>
      <c r="E45" s="31">
        <v>337</v>
      </c>
      <c r="F45" s="31">
        <v>1277</v>
      </c>
      <c r="G45" s="31">
        <v>1930.9</v>
      </c>
      <c r="H45" s="31" t="s">
        <v>19</v>
      </c>
      <c r="I45" s="31" t="s">
        <v>19</v>
      </c>
      <c r="J45" s="31" t="s">
        <v>19</v>
      </c>
      <c r="K45" s="31" t="s">
        <v>19</v>
      </c>
      <c r="L45" s="31" t="s">
        <v>19</v>
      </c>
      <c r="M45" s="31" t="s">
        <v>19</v>
      </c>
      <c r="N45" s="31" t="s">
        <v>19</v>
      </c>
      <c r="O45" s="31">
        <v>6844</v>
      </c>
      <c r="P45" s="31" t="s">
        <v>19</v>
      </c>
      <c r="Q45" s="31" t="s">
        <v>19</v>
      </c>
      <c r="R45" s="31" t="s">
        <v>19</v>
      </c>
      <c r="S45" s="31" t="s">
        <v>19</v>
      </c>
      <c r="T45" s="31" t="s">
        <v>19</v>
      </c>
      <c r="U45" s="31" t="s">
        <v>19</v>
      </c>
      <c r="V45" s="31">
        <v>2511.6</v>
      </c>
      <c r="W45" s="31">
        <v>750.5</v>
      </c>
      <c r="X45" s="31">
        <v>28265.5</v>
      </c>
      <c r="Y45" s="31">
        <v>22855.8</v>
      </c>
      <c r="Z45" s="31">
        <v>24968.7</v>
      </c>
      <c r="AA45" s="103">
        <v>28669.9</v>
      </c>
      <c r="AB45" s="103">
        <v>37913.800000000003</v>
      </c>
      <c r="AC45" s="17">
        <v>37979</v>
      </c>
      <c r="AD45" s="10" t="s">
        <v>19</v>
      </c>
    </row>
    <row r="46" spans="2:30" ht="11.1" customHeight="1" x14ac:dyDescent="0.25">
      <c r="B46" s="21" t="s">
        <v>13</v>
      </c>
      <c r="C46" s="22" t="s">
        <v>6</v>
      </c>
      <c r="D46" s="43">
        <v>15059</v>
      </c>
      <c r="E46" s="43">
        <v>16896</v>
      </c>
      <c r="F46" s="43">
        <v>18971</v>
      </c>
      <c r="G46" s="43">
        <v>20740.2</v>
      </c>
      <c r="H46" s="43">
        <v>20700</v>
      </c>
      <c r="I46" s="43">
        <v>23560.6</v>
      </c>
      <c r="J46" s="43">
        <v>23946.2</v>
      </c>
      <c r="K46" s="43">
        <v>21003.200000000001</v>
      </c>
      <c r="L46" s="43">
        <v>20121</v>
      </c>
      <c r="M46" s="43">
        <v>17100.3</v>
      </c>
      <c r="N46" s="43">
        <v>15498.6</v>
      </c>
      <c r="O46" s="43">
        <v>17598.3</v>
      </c>
      <c r="P46" s="43">
        <v>12234.2</v>
      </c>
      <c r="Q46" s="43">
        <v>17881.900000000001</v>
      </c>
      <c r="R46" s="43">
        <v>21198.7</v>
      </c>
      <c r="S46" s="43">
        <v>25394.7</v>
      </c>
      <c r="T46" s="43">
        <v>29054.1</v>
      </c>
      <c r="U46" s="43">
        <v>27584.5</v>
      </c>
      <c r="V46" s="43">
        <v>39319.9</v>
      </c>
      <c r="W46" s="43">
        <v>48269.3</v>
      </c>
      <c r="X46" s="43">
        <v>59633.4</v>
      </c>
      <c r="Y46" s="43">
        <v>48390.1</v>
      </c>
      <c r="Z46" s="43">
        <v>51624.3</v>
      </c>
      <c r="AA46" s="103">
        <v>53937.599999999999</v>
      </c>
      <c r="AB46" s="103">
        <v>55720.4</v>
      </c>
      <c r="AC46" s="17">
        <v>59047</v>
      </c>
      <c r="AD46" s="10" t="s">
        <v>19</v>
      </c>
    </row>
    <row r="47" spans="2:30" ht="11.1" customHeight="1" thickBot="1" x14ac:dyDescent="0.3">
      <c r="B47" s="219" t="s">
        <v>58</v>
      </c>
      <c r="C47" s="220" t="s">
        <v>6</v>
      </c>
      <c r="D47" s="37">
        <v>89445</v>
      </c>
      <c r="E47" s="37">
        <v>106810</v>
      </c>
      <c r="F47" s="37">
        <v>126973</v>
      </c>
      <c r="G47" s="37">
        <v>122396.2</v>
      </c>
      <c r="H47" s="37">
        <v>109748</v>
      </c>
      <c r="I47" s="37">
        <v>95774.6</v>
      </c>
      <c r="J47" s="37">
        <v>109805.2</v>
      </c>
      <c r="K47" s="37">
        <v>98505.2</v>
      </c>
      <c r="L47" s="37">
        <v>94752</v>
      </c>
      <c r="M47" s="37">
        <v>84930.3</v>
      </c>
      <c r="N47" s="37">
        <v>69782.600000000006</v>
      </c>
      <c r="O47" s="37">
        <v>65261.3</v>
      </c>
      <c r="P47" s="37">
        <v>63492.4</v>
      </c>
      <c r="Q47" s="37">
        <v>73356.3</v>
      </c>
      <c r="R47" s="37">
        <v>76943.8</v>
      </c>
      <c r="S47" s="37">
        <v>80235.100000000006</v>
      </c>
      <c r="T47" s="37">
        <v>87795.8</v>
      </c>
      <c r="U47" s="37">
        <v>85394.4</v>
      </c>
      <c r="V47" s="37">
        <v>93682.1</v>
      </c>
      <c r="W47" s="37">
        <v>111039.4</v>
      </c>
      <c r="X47" s="37">
        <v>131229.6</v>
      </c>
      <c r="Y47" s="37">
        <v>110644.9</v>
      </c>
      <c r="Z47" s="37">
        <v>96735.1</v>
      </c>
      <c r="AA47" s="228">
        <v>103291</v>
      </c>
      <c r="AB47" s="229">
        <v>105568.9</v>
      </c>
      <c r="AC47" s="230">
        <v>106257.9</v>
      </c>
      <c r="AD47" s="307" t="s">
        <v>19</v>
      </c>
    </row>
    <row r="48" spans="2:30" ht="11.1" customHeight="1" thickTop="1" x14ac:dyDescent="0.25">
      <c r="B48" s="338" t="s">
        <v>59</v>
      </c>
      <c r="C48" s="338"/>
      <c r="D48" s="338"/>
      <c r="E48" s="338"/>
      <c r="F48" s="338"/>
      <c r="G48" s="338"/>
      <c r="H48" s="338"/>
      <c r="I48" s="338"/>
      <c r="J48" s="338"/>
      <c r="K48" s="338"/>
      <c r="L48" s="338"/>
      <c r="M48" s="338"/>
      <c r="N48" s="338"/>
      <c r="O48" s="338"/>
      <c r="P48" s="338"/>
      <c r="Q48" s="338"/>
      <c r="R48" s="338"/>
      <c r="S48" s="338"/>
      <c r="T48" s="338"/>
      <c r="U48" s="339" t="s">
        <v>35</v>
      </c>
      <c r="V48" s="339" t="s">
        <v>6</v>
      </c>
      <c r="W48" s="339" t="s">
        <v>35</v>
      </c>
      <c r="X48" s="339" t="s">
        <v>6</v>
      </c>
      <c r="Y48" s="339" t="s">
        <v>35</v>
      </c>
      <c r="Z48" s="339" t="s">
        <v>6</v>
      </c>
      <c r="AA48" s="226"/>
      <c r="AB48" s="226"/>
      <c r="AC48" s="17"/>
      <c r="AD48" s="17"/>
    </row>
    <row r="49" spans="2:30" ht="11.1" customHeight="1" x14ac:dyDescent="0.25">
      <c r="B49" s="341" t="s">
        <v>36</v>
      </c>
      <c r="C49" s="341"/>
      <c r="D49" s="341"/>
      <c r="E49" s="341"/>
      <c r="F49" s="341"/>
      <c r="G49" s="341"/>
      <c r="H49" s="341"/>
      <c r="I49" s="341"/>
      <c r="J49" s="341"/>
      <c r="K49" s="341"/>
      <c r="L49" s="341"/>
      <c r="M49" s="341"/>
      <c r="N49" s="341"/>
      <c r="O49" s="341"/>
      <c r="P49" s="341"/>
      <c r="Q49" s="341"/>
      <c r="R49" s="341"/>
      <c r="S49" s="341"/>
      <c r="T49" s="341"/>
      <c r="U49" s="355"/>
      <c r="V49" s="355"/>
      <c r="W49" s="355"/>
      <c r="X49" s="355"/>
      <c r="Y49" s="355"/>
      <c r="Z49" s="355"/>
      <c r="AA49" s="226"/>
      <c r="AB49" s="226"/>
      <c r="AC49" s="17"/>
      <c r="AD49" s="17"/>
    </row>
    <row r="50" spans="2:30" ht="11.1" customHeight="1" x14ac:dyDescent="0.25">
      <c r="B50" s="7" t="s">
        <v>37</v>
      </c>
      <c r="C50" s="8" t="s">
        <v>35</v>
      </c>
      <c r="D50" s="31">
        <v>573</v>
      </c>
      <c r="E50" s="31">
        <v>573</v>
      </c>
      <c r="F50" s="31">
        <v>596</v>
      </c>
      <c r="G50" s="31">
        <v>500</v>
      </c>
      <c r="H50" s="31">
        <v>490</v>
      </c>
      <c r="I50" s="31">
        <v>499</v>
      </c>
      <c r="J50" s="31">
        <v>472</v>
      </c>
      <c r="K50" s="31">
        <v>411</v>
      </c>
      <c r="L50" s="31">
        <v>395</v>
      </c>
      <c r="M50" s="31">
        <v>357</v>
      </c>
      <c r="N50" s="31">
        <v>276</v>
      </c>
      <c r="O50" s="31">
        <v>274</v>
      </c>
      <c r="P50" s="31">
        <v>300</v>
      </c>
      <c r="Q50" s="31">
        <v>300</v>
      </c>
      <c r="R50" s="31">
        <v>307</v>
      </c>
      <c r="S50" s="31">
        <v>312</v>
      </c>
      <c r="T50" s="31">
        <v>289</v>
      </c>
      <c r="U50" s="31">
        <v>287.60000000000002</v>
      </c>
      <c r="V50" s="31">
        <v>262</v>
      </c>
      <c r="W50" s="31">
        <v>287</v>
      </c>
      <c r="X50" s="31">
        <v>289.5</v>
      </c>
      <c r="Y50" s="31">
        <v>257.7</v>
      </c>
      <c r="Z50" s="31">
        <v>290.10000000000002</v>
      </c>
      <c r="AA50" s="103">
        <v>270</v>
      </c>
      <c r="AB50" s="103">
        <v>261</v>
      </c>
      <c r="AC50" s="17">
        <v>263.2</v>
      </c>
      <c r="AD50" s="10" t="s">
        <v>19</v>
      </c>
    </row>
    <row r="51" spans="2:30" ht="11.1" customHeight="1" x14ac:dyDescent="0.25">
      <c r="B51" s="7" t="s">
        <v>87</v>
      </c>
      <c r="C51" s="8" t="s">
        <v>35</v>
      </c>
      <c r="D51" s="31">
        <v>88</v>
      </c>
      <c r="E51" s="31">
        <v>124</v>
      </c>
      <c r="F51" s="31">
        <v>178</v>
      </c>
      <c r="G51" s="31">
        <v>124</v>
      </c>
      <c r="H51" s="31">
        <v>89</v>
      </c>
      <c r="I51" s="31">
        <v>60</v>
      </c>
      <c r="J51" s="31">
        <v>23</v>
      </c>
      <c r="K51" s="31">
        <v>25</v>
      </c>
      <c r="L51" s="31">
        <v>55</v>
      </c>
      <c r="M51" s="31">
        <v>34</v>
      </c>
      <c r="N51" s="31">
        <v>27</v>
      </c>
      <c r="O51" s="31">
        <v>107</v>
      </c>
      <c r="P51" s="31">
        <v>92</v>
      </c>
      <c r="Q51" s="31">
        <v>92</v>
      </c>
      <c r="R51" s="31">
        <v>46</v>
      </c>
      <c r="S51" s="31">
        <v>159</v>
      </c>
      <c r="T51" s="31">
        <v>156</v>
      </c>
      <c r="U51" s="31">
        <v>175</v>
      </c>
      <c r="V51" s="31">
        <v>74</v>
      </c>
      <c r="W51" s="31">
        <v>137</v>
      </c>
      <c r="X51" s="31">
        <v>132.4</v>
      </c>
      <c r="Y51" s="31">
        <v>44.5</v>
      </c>
      <c r="Z51" s="31">
        <v>72.5</v>
      </c>
      <c r="AA51" s="103">
        <v>31.3</v>
      </c>
      <c r="AB51" s="103">
        <v>46.3</v>
      </c>
      <c r="AC51" s="17">
        <v>124</v>
      </c>
      <c r="AD51" s="10" t="s">
        <v>19</v>
      </c>
    </row>
    <row r="52" spans="2:30" ht="11.1" customHeight="1" x14ac:dyDescent="0.25">
      <c r="B52" s="7" t="s">
        <v>265</v>
      </c>
      <c r="C52" s="8" t="s">
        <v>35</v>
      </c>
      <c r="D52" s="31">
        <v>51</v>
      </c>
      <c r="E52" s="31">
        <v>20</v>
      </c>
      <c r="F52" s="31">
        <v>20</v>
      </c>
      <c r="G52" s="31">
        <v>51</v>
      </c>
      <c r="H52" s="31">
        <v>26</v>
      </c>
      <c r="I52" s="31">
        <v>40</v>
      </c>
      <c r="J52" s="31">
        <v>36</v>
      </c>
      <c r="K52" s="31">
        <v>22</v>
      </c>
      <c r="L52" s="31">
        <v>23</v>
      </c>
      <c r="M52" s="31">
        <v>26</v>
      </c>
      <c r="N52" s="31">
        <v>26</v>
      </c>
      <c r="O52" s="31">
        <v>18</v>
      </c>
      <c r="P52" s="31">
        <v>12</v>
      </c>
      <c r="Q52" s="31">
        <v>12</v>
      </c>
      <c r="R52" s="31">
        <v>10</v>
      </c>
      <c r="S52" s="31">
        <v>7</v>
      </c>
      <c r="T52" s="31" t="s">
        <v>19</v>
      </c>
      <c r="U52" s="31">
        <v>9</v>
      </c>
      <c r="V52" s="31">
        <v>10</v>
      </c>
      <c r="W52" s="31" t="s">
        <v>19</v>
      </c>
      <c r="X52" s="31" t="s">
        <v>19</v>
      </c>
      <c r="Y52" s="31" t="s">
        <v>19</v>
      </c>
      <c r="Z52" s="31" t="s">
        <v>19</v>
      </c>
      <c r="AA52" s="103" t="s">
        <v>19</v>
      </c>
      <c r="AB52" s="103" t="s">
        <v>19</v>
      </c>
      <c r="AC52" s="103" t="s">
        <v>19</v>
      </c>
      <c r="AD52" s="10" t="s">
        <v>19</v>
      </c>
    </row>
    <row r="53" spans="2:30" ht="11.1" customHeight="1" x14ac:dyDescent="0.25">
      <c r="B53" s="7" t="s">
        <v>68</v>
      </c>
      <c r="C53" s="8" t="s">
        <v>35</v>
      </c>
      <c r="D53" s="31">
        <v>72</v>
      </c>
      <c r="E53" s="31">
        <v>108</v>
      </c>
      <c r="F53" s="31">
        <v>111</v>
      </c>
      <c r="G53" s="31">
        <v>44</v>
      </c>
      <c r="H53" s="31">
        <v>28</v>
      </c>
      <c r="I53" s="31">
        <v>17</v>
      </c>
      <c r="J53" s="31">
        <v>16</v>
      </c>
      <c r="K53" s="31">
        <v>20</v>
      </c>
      <c r="L53" s="31">
        <v>11</v>
      </c>
      <c r="M53" s="31">
        <v>20</v>
      </c>
      <c r="N53" s="31">
        <v>28</v>
      </c>
      <c r="O53" s="31">
        <v>76</v>
      </c>
      <c r="P53" s="31">
        <v>43</v>
      </c>
      <c r="Q53" s="31">
        <v>43</v>
      </c>
      <c r="R53" s="31">
        <v>27</v>
      </c>
      <c r="S53" s="31">
        <v>64</v>
      </c>
      <c r="T53" s="31">
        <v>148</v>
      </c>
      <c r="U53" s="31">
        <v>79</v>
      </c>
      <c r="V53" s="31">
        <v>105</v>
      </c>
      <c r="W53" s="31">
        <v>90</v>
      </c>
      <c r="X53" s="31">
        <v>73.2</v>
      </c>
      <c r="Y53" s="31">
        <v>150</v>
      </c>
      <c r="Z53" s="31">
        <v>114.1</v>
      </c>
      <c r="AA53" s="103">
        <v>115.5</v>
      </c>
      <c r="AB53" s="103">
        <v>43.5</v>
      </c>
      <c r="AC53" s="17">
        <v>70.900000000000006</v>
      </c>
      <c r="AD53" s="10" t="s">
        <v>19</v>
      </c>
    </row>
    <row r="54" spans="2:30" ht="11.1" customHeight="1" x14ac:dyDescent="0.25">
      <c r="B54" s="7" t="s">
        <v>13</v>
      </c>
      <c r="C54" s="8" t="s">
        <v>35</v>
      </c>
      <c r="D54" s="31">
        <v>784</v>
      </c>
      <c r="E54" s="31">
        <v>825</v>
      </c>
      <c r="F54" s="31">
        <v>905</v>
      </c>
      <c r="G54" s="31">
        <v>719</v>
      </c>
      <c r="H54" s="31">
        <v>633</v>
      </c>
      <c r="I54" s="31">
        <v>616</v>
      </c>
      <c r="J54" s="31">
        <v>547</v>
      </c>
      <c r="K54" s="31">
        <v>478</v>
      </c>
      <c r="L54" s="31">
        <v>484</v>
      </c>
      <c r="M54" s="31">
        <v>437</v>
      </c>
      <c r="N54" s="31">
        <v>357</v>
      </c>
      <c r="O54" s="31">
        <v>475</v>
      </c>
      <c r="P54" s="31">
        <v>447</v>
      </c>
      <c r="Q54" s="31">
        <v>447</v>
      </c>
      <c r="R54" s="31">
        <v>390</v>
      </c>
      <c r="S54" s="31">
        <v>542</v>
      </c>
      <c r="T54" s="31">
        <v>593</v>
      </c>
      <c r="U54" s="31">
        <v>550.6</v>
      </c>
      <c r="V54" s="31">
        <v>451</v>
      </c>
      <c r="W54" s="31">
        <v>514</v>
      </c>
      <c r="X54" s="31">
        <v>495.1</v>
      </c>
      <c r="Y54" s="31">
        <v>452.1</v>
      </c>
      <c r="Z54" s="31">
        <v>476.7</v>
      </c>
      <c r="AA54" s="103">
        <v>416.9</v>
      </c>
      <c r="AB54" s="103">
        <v>350.8</v>
      </c>
      <c r="AC54" s="17">
        <v>458.1</v>
      </c>
      <c r="AD54" s="10" t="s">
        <v>19</v>
      </c>
    </row>
    <row r="55" spans="2:30" ht="9.75" customHeight="1" x14ac:dyDescent="0.25">
      <c r="B55" s="342" t="s">
        <v>40</v>
      </c>
      <c r="C55" s="342"/>
      <c r="D55" s="342"/>
      <c r="E55" s="342"/>
      <c r="F55" s="342"/>
      <c r="G55" s="342"/>
      <c r="H55" s="342"/>
      <c r="I55" s="342"/>
      <c r="J55" s="342"/>
      <c r="K55" s="342"/>
      <c r="L55" s="342"/>
      <c r="M55" s="342"/>
      <c r="N55" s="342"/>
      <c r="O55" s="342"/>
      <c r="P55" s="342"/>
      <c r="Q55" s="342"/>
      <c r="R55" s="342"/>
      <c r="S55" s="342"/>
      <c r="T55" s="342"/>
      <c r="U55" s="342"/>
      <c r="V55" s="342"/>
      <c r="W55" s="342"/>
      <c r="X55" s="342"/>
      <c r="Y55" s="342"/>
      <c r="Z55" s="343"/>
      <c r="AA55" s="227"/>
      <c r="AB55" s="227"/>
      <c r="AC55" s="17"/>
      <c r="AD55" s="17"/>
    </row>
    <row r="56" spans="2:30" ht="11.1" customHeight="1" x14ac:dyDescent="0.25">
      <c r="B56" s="7" t="s">
        <v>41</v>
      </c>
      <c r="C56" s="8" t="s">
        <v>35</v>
      </c>
      <c r="D56" s="31">
        <v>1464</v>
      </c>
      <c r="E56" s="31">
        <v>1417</v>
      </c>
      <c r="F56" s="31">
        <v>1409</v>
      </c>
      <c r="G56" s="31">
        <v>1449</v>
      </c>
      <c r="H56" s="31">
        <v>1281</v>
      </c>
      <c r="I56" s="31">
        <v>1463</v>
      </c>
      <c r="J56" s="31">
        <v>1490</v>
      </c>
      <c r="K56" s="31">
        <v>1246</v>
      </c>
      <c r="L56" s="31">
        <v>1221</v>
      </c>
      <c r="M56" s="31">
        <v>1219</v>
      </c>
      <c r="N56" s="31">
        <v>913</v>
      </c>
      <c r="O56" s="31">
        <v>883</v>
      </c>
      <c r="P56" s="31">
        <v>827</v>
      </c>
      <c r="Q56" s="31">
        <v>827</v>
      </c>
      <c r="R56" s="31">
        <v>832</v>
      </c>
      <c r="S56" s="31">
        <v>734</v>
      </c>
      <c r="T56" s="31">
        <v>739</v>
      </c>
      <c r="U56" s="31">
        <v>728</v>
      </c>
      <c r="V56" s="31">
        <v>716</v>
      </c>
      <c r="W56" s="31">
        <v>755.6</v>
      </c>
      <c r="X56" s="31">
        <v>693.1</v>
      </c>
      <c r="Y56" s="31">
        <v>621.4</v>
      </c>
      <c r="Z56" s="31">
        <v>610.1</v>
      </c>
      <c r="AA56" s="103">
        <v>636.20000000000005</v>
      </c>
      <c r="AB56" s="103">
        <v>647</v>
      </c>
      <c r="AC56" s="17">
        <v>496.5</v>
      </c>
      <c r="AD56" s="10" t="s">
        <v>19</v>
      </c>
    </row>
    <row r="57" spans="2:30" ht="11.1" customHeight="1" x14ac:dyDescent="0.25">
      <c r="B57" s="7" t="s">
        <v>43</v>
      </c>
      <c r="C57" s="8" t="s">
        <v>35</v>
      </c>
      <c r="D57" s="31">
        <v>19</v>
      </c>
      <c r="E57" s="31">
        <v>292</v>
      </c>
      <c r="F57" s="31">
        <v>810</v>
      </c>
      <c r="G57" s="31">
        <v>550</v>
      </c>
      <c r="H57" s="31">
        <v>632</v>
      </c>
      <c r="I57" s="31">
        <v>261</v>
      </c>
      <c r="J57" s="31">
        <v>266</v>
      </c>
      <c r="K57" s="31">
        <v>747</v>
      </c>
      <c r="L57" s="31">
        <v>427</v>
      </c>
      <c r="M57" s="31">
        <v>907</v>
      </c>
      <c r="N57" s="31">
        <v>403</v>
      </c>
      <c r="O57" s="31" t="s">
        <v>19</v>
      </c>
      <c r="P57" s="31" t="s">
        <v>19</v>
      </c>
      <c r="Q57" s="31" t="s">
        <v>19</v>
      </c>
      <c r="R57" s="31" t="s">
        <v>19</v>
      </c>
      <c r="S57" s="31" t="s">
        <v>19</v>
      </c>
      <c r="T57" s="31" t="s">
        <v>19</v>
      </c>
      <c r="U57" s="31" t="s">
        <v>19</v>
      </c>
      <c r="V57" s="31" t="s">
        <v>19</v>
      </c>
      <c r="W57" s="31" t="s">
        <v>19</v>
      </c>
      <c r="X57" s="31" t="s">
        <v>19</v>
      </c>
      <c r="Y57" s="31" t="s">
        <v>19</v>
      </c>
      <c r="Z57" s="31">
        <v>241.6</v>
      </c>
      <c r="AA57" s="103">
        <v>547.29999999999995</v>
      </c>
      <c r="AB57" s="103">
        <v>16.5</v>
      </c>
      <c r="AC57" s="103" t="s">
        <v>19</v>
      </c>
      <c r="AD57" s="10" t="s">
        <v>19</v>
      </c>
    </row>
    <row r="58" spans="2:30" ht="11.1" customHeight="1" x14ac:dyDescent="0.25">
      <c r="B58" s="218" t="s">
        <v>69</v>
      </c>
      <c r="C58" s="8" t="s">
        <v>35</v>
      </c>
      <c r="D58" s="31">
        <v>57</v>
      </c>
      <c r="E58" s="31">
        <v>85</v>
      </c>
      <c r="F58" s="31">
        <v>101</v>
      </c>
      <c r="G58" s="31">
        <v>104</v>
      </c>
      <c r="H58" s="31">
        <v>74</v>
      </c>
      <c r="I58" s="31">
        <v>84</v>
      </c>
      <c r="J58" s="31">
        <v>100</v>
      </c>
      <c r="K58" s="31">
        <v>75</v>
      </c>
      <c r="L58" s="31">
        <v>63</v>
      </c>
      <c r="M58" s="31">
        <v>67</v>
      </c>
      <c r="N58" s="31">
        <v>56</v>
      </c>
      <c r="O58" s="31">
        <v>67</v>
      </c>
      <c r="P58" s="31">
        <v>75</v>
      </c>
      <c r="Q58" s="31">
        <v>75</v>
      </c>
      <c r="R58" s="31">
        <v>37</v>
      </c>
      <c r="S58" s="31">
        <v>37</v>
      </c>
      <c r="T58" s="31">
        <v>59</v>
      </c>
      <c r="U58" s="31">
        <v>47</v>
      </c>
      <c r="V58" s="31">
        <v>33</v>
      </c>
      <c r="W58" s="31">
        <v>41</v>
      </c>
      <c r="X58" s="31">
        <v>62.5</v>
      </c>
      <c r="Y58" s="31">
        <v>44.9</v>
      </c>
      <c r="Z58" s="31">
        <v>49.4</v>
      </c>
      <c r="AA58" s="103">
        <v>40.299999999999997</v>
      </c>
      <c r="AB58" s="103">
        <v>27.8</v>
      </c>
      <c r="AC58" s="17">
        <v>38.5</v>
      </c>
      <c r="AD58" s="10" t="s">
        <v>19</v>
      </c>
    </row>
    <row r="59" spans="2:30" ht="11.1" customHeight="1" x14ac:dyDescent="0.25">
      <c r="B59" s="7" t="s">
        <v>42</v>
      </c>
      <c r="C59" s="8" t="s">
        <v>35</v>
      </c>
      <c r="D59" s="31">
        <v>25</v>
      </c>
      <c r="E59" s="31">
        <v>51</v>
      </c>
      <c r="F59" s="31">
        <v>51</v>
      </c>
      <c r="G59" s="31">
        <v>33</v>
      </c>
      <c r="H59" s="31">
        <v>29</v>
      </c>
      <c r="I59" s="31">
        <v>41</v>
      </c>
      <c r="J59" s="31">
        <v>19</v>
      </c>
      <c r="K59" s="31">
        <v>17</v>
      </c>
      <c r="L59" s="31">
        <v>21</v>
      </c>
      <c r="M59" s="31">
        <v>24</v>
      </c>
      <c r="N59" s="31">
        <v>24</v>
      </c>
      <c r="O59" s="31">
        <v>21</v>
      </c>
      <c r="P59" s="31">
        <v>28</v>
      </c>
      <c r="Q59" s="31">
        <v>28</v>
      </c>
      <c r="R59" s="31">
        <v>24</v>
      </c>
      <c r="S59" s="31">
        <v>23</v>
      </c>
      <c r="T59" s="31">
        <v>21</v>
      </c>
      <c r="U59" s="31">
        <v>18.5</v>
      </c>
      <c r="V59" s="31">
        <v>45</v>
      </c>
      <c r="W59" s="31">
        <v>41</v>
      </c>
      <c r="X59" s="31">
        <v>88.8</v>
      </c>
      <c r="Y59" s="31">
        <v>133.9</v>
      </c>
      <c r="Z59" s="31">
        <v>157.30000000000001</v>
      </c>
      <c r="AA59" s="103">
        <v>140.69999999999999</v>
      </c>
      <c r="AB59" s="103">
        <v>131.80000000000001</v>
      </c>
      <c r="AC59" s="17">
        <v>106.2</v>
      </c>
      <c r="AD59" s="10" t="s">
        <v>19</v>
      </c>
    </row>
    <row r="60" spans="2:30" ht="11.1" customHeight="1" x14ac:dyDescent="0.25">
      <c r="B60" s="7" t="s">
        <v>70</v>
      </c>
      <c r="C60" s="8" t="s">
        <v>35</v>
      </c>
      <c r="D60" s="31">
        <v>83</v>
      </c>
      <c r="E60" s="31">
        <v>83</v>
      </c>
      <c r="F60" s="31">
        <v>65</v>
      </c>
      <c r="G60" s="31">
        <v>64</v>
      </c>
      <c r="H60" s="31">
        <v>73</v>
      </c>
      <c r="I60" s="31">
        <v>67</v>
      </c>
      <c r="J60" s="31">
        <v>63</v>
      </c>
      <c r="K60" s="31">
        <v>42</v>
      </c>
      <c r="L60" s="31">
        <v>47</v>
      </c>
      <c r="M60" s="31">
        <v>29</v>
      </c>
      <c r="N60" s="31">
        <v>33</v>
      </c>
      <c r="O60" s="31">
        <v>30</v>
      </c>
      <c r="P60" s="31">
        <v>38</v>
      </c>
      <c r="Q60" s="31">
        <v>38</v>
      </c>
      <c r="R60" s="31">
        <v>147</v>
      </c>
      <c r="S60" s="31">
        <v>133</v>
      </c>
      <c r="T60" s="31">
        <v>125</v>
      </c>
      <c r="U60" s="31">
        <v>68</v>
      </c>
      <c r="V60" s="31">
        <v>46</v>
      </c>
      <c r="W60" s="31">
        <v>206.1</v>
      </c>
      <c r="X60" s="31">
        <v>192.6</v>
      </c>
      <c r="Y60" s="31">
        <v>178</v>
      </c>
      <c r="Z60" s="31">
        <v>176.3</v>
      </c>
      <c r="AA60" s="103">
        <v>139.4</v>
      </c>
      <c r="AB60" s="103">
        <v>188.4</v>
      </c>
      <c r="AC60" s="103" t="s">
        <v>19</v>
      </c>
      <c r="AD60" s="10" t="s">
        <v>19</v>
      </c>
    </row>
    <row r="61" spans="2:30" ht="11.1" customHeight="1" x14ac:dyDescent="0.25">
      <c r="B61" s="7" t="s">
        <v>13</v>
      </c>
      <c r="C61" s="8" t="s">
        <v>35</v>
      </c>
      <c r="D61" s="31">
        <v>1648</v>
      </c>
      <c r="E61" s="31">
        <v>1928</v>
      </c>
      <c r="F61" s="31">
        <v>2436</v>
      </c>
      <c r="G61" s="31">
        <v>2200</v>
      </c>
      <c r="H61" s="31">
        <v>2089</v>
      </c>
      <c r="I61" s="31">
        <v>1916</v>
      </c>
      <c r="J61" s="31">
        <v>1938</v>
      </c>
      <c r="K61" s="31">
        <v>2127</v>
      </c>
      <c r="L61" s="31">
        <v>1779</v>
      </c>
      <c r="M61" s="31">
        <v>2246</v>
      </c>
      <c r="N61" s="31">
        <v>1429</v>
      </c>
      <c r="O61" s="31">
        <v>1001</v>
      </c>
      <c r="P61" s="31">
        <v>968</v>
      </c>
      <c r="Q61" s="31">
        <v>968</v>
      </c>
      <c r="R61" s="31">
        <v>1040</v>
      </c>
      <c r="S61" s="31">
        <v>927</v>
      </c>
      <c r="T61" s="31">
        <v>944</v>
      </c>
      <c r="U61" s="31">
        <v>861.5</v>
      </c>
      <c r="V61" s="31">
        <v>840</v>
      </c>
      <c r="W61" s="31">
        <v>1043.7</v>
      </c>
      <c r="X61" s="31">
        <v>1037</v>
      </c>
      <c r="Y61" s="31">
        <v>978.2</v>
      </c>
      <c r="Z61" s="31">
        <v>1234.7</v>
      </c>
      <c r="AA61" s="103">
        <v>1504</v>
      </c>
      <c r="AB61" s="103">
        <v>1011.6</v>
      </c>
      <c r="AC61" s="17">
        <v>641.20000000000005</v>
      </c>
      <c r="AD61" s="10" t="s">
        <v>19</v>
      </c>
    </row>
    <row r="62" spans="2:30" ht="9.75" customHeight="1" x14ac:dyDescent="0.25">
      <c r="B62" s="343" t="s">
        <v>71</v>
      </c>
      <c r="C62" s="343"/>
      <c r="D62" s="343"/>
      <c r="E62" s="343"/>
      <c r="F62" s="343"/>
      <c r="G62" s="343"/>
      <c r="H62" s="343"/>
      <c r="I62" s="343"/>
      <c r="J62" s="343"/>
      <c r="K62" s="343"/>
      <c r="L62" s="343"/>
      <c r="M62" s="343"/>
      <c r="N62" s="343"/>
      <c r="O62" s="343"/>
      <c r="P62" s="343"/>
      <c r="Q62" s="343"/>
      <c r="R62" s="343"/>
      <c r="S62" s="343"/>
      <c r="T62" s="343"/>
      <c r="U62" s="354"/>
      <c r="V62" s="354"/>
      <c r="W62" s="354"/>
      <c r="X62" s="354"/>
      <c r="Y62" s="354"/>
      <c r="Z62" s="354"/>
      <c r="AA62" s="227"/>
      <c r="AB62" s="227"/>
      <c r="AC62" s="17"/>
      <c r="AD62" s="17"/>
    </row>
    <row r="63" spans="2:30" ht="11.1" customHeight="1" x14ac:dyDescent="0.25">
      <c r="B63" s="7" t="s">
        <v>370</v>
      </c>
      <c r="C63" s="8" t="s">
        <v>35</v>
      </c>
      <c r="D63" s="31">
        <v>277</v>
      </c>
      <c r="E63" s="31">
        <v>200</v>
      </c>
      <c r="F63" s="31">
        <v>287</v>
      </c>
      <c r="G63" s="31">
        <v>685</v>
      </c>
      <c r="H63" s="31">
        <v>1196</v>
      </c>
      <c r="I63" s="31">
        <v>1013</v>
      </c>
      <c r="J63" s="31">
        <v>644</v>
      </c>
      <c r="K63" s="31">
        <v>742</v>
      </c>
      <c r="L63" s="31">
        <v>724</v>
      </c>
      <c r="M63" s="31">
        <v>1594</v>
      </c>
      <c r="N63" s="31">
        <v>1552</v>
      </c>
      <c r="O63" s="31">
        <v>1512</v>
      </c>
      <c r="P63" s="31">
        <v>2628</v>
      </c>
      <c r="Q63" s="31">
        <v>1923</v>
      </c>
      <c r="R63" s="31">
        <v>1134</v>
      </c>
      <c r="S63" s="31">
        <v>1076</v>
      </c>
      <c r="T63" s="31">
        <v>863</v>
      </c>
      <c r="U63" s="31">
        <v>1524.4</v>
      </c>
      <c r="V63" s="31">
        <v>2344</v>
      </c>
      <c r="W63" s="31">
        <v>1216.9000000000001</v>
      </c>
      <c r="X63" s="31">
        <v>1287.9000000000001</v>
      </c>
      <c r="Y63" s="31">
        <v>508.3</v>
      </c>
      <c r="Z63" s="31">
        <v>651.4</v>
      </c>
      <c r="AA63" s="103">
        <v>563</v>
      </c>
      <c r="AB63" s="103">
        <v>269</v>
      </c>
      <c r="AC63" s="17">
        <v>0</v>
      </c>
      <c r="AD63" s="10" t="s">
        <v>19</v>
      </c>
    </row>
    <row r="64" spans="2:30" ht="11.1" customHeight="1" x14ac:dyDescent="0.25">
      <c r="B64" s="7" t="s">
        <v>371</v>
      </c>
      <c r="C64" s="8" t="s">
        <v>35</v>
      </c>
      <c r="D64" s="31">
        <v>209</v>
      </c>
      <c r="E64" s="31">
        <v>210</v>
      </c>
      <c r="F64" s="31">
        <v>186</v>
      </c>
      <c r="G64" s="31">
        <v>200</v>
      </c>
      <c r="H64" s="31">
        <v>57</v>
      </c>
      <c r="I64" s="31">
        <v>42</v>
      </c>
      <c r="J64" s="31">
        <v>42</v>
      </c>
      <c r="K64" s="31">
        <v>43</v>
      </c>
      <c r="L64" s="31">
        <v>58</v>
      </c>
      <c r="M64" s="31">
        <v>154</v>
      </c>
      <c r="N64" s="31">
        <v>46</v>
      </c>
      <c r="O64" s="31">
        <v>43</v>
      </c>
      <c r="P64" s="31">
        <v>75</v>
      </c>
      <c r="Q64" s="31">
        <v>111</v>
      </c>
      <c r="R64" s="31">
        <v>93</v>
      </c>
      <c r="S64" s="31">
        <v>55</v>
      </c>
      <c r="T64" s="31">
        <v>66</v>
      </c>
      <c r="U64" s="31">
        <v>45</v>
      </c>
      <c r="V64" s="31">
        <v>48</v>
      </c>
      <c r="W64" s="31">
        <v>20.399999999999999</v>
      </c>
      <c r="X64" s="31">
        <v>34.4</v>
      </c>
      <c r="Y64" s="31">
        <v>21.8</v>
      </c>
      <c r="Z64" s="31">
        <v>8.5</v>
      </c>
      <c r="AA64" s="103">
        <v>4.4000000000000004</v>
      </c>
      <c r="AB64" s="103">
        <v>0</v>
      </c>
      <c r="AC64" s="17">
        <v>0.1</v>
      </c>
      <c r="AD64" s="10" t="s">
        <v>19</v>
      </c>
    </row>
    <row r="65" spans="2:30" ht="11.1" customHeight="1" x14ac:dyDescent="0.25">
      <c r="B65" s="7" t="s">
        <v>372</v>
      </c>
      <c r="C65" s="8" t="s">
        <v>35</v>
      </c>
      <c r="D65" s="31">
        <v>101</v>
      </c>
      <c r="E65" s="31">
        <v>124</v>
      </c>
      <c r="F65" s="31">
        <v>132</v>
      </c>
      <c r="G65" s="31">
        <v>120</v>
      </c>
      <c r="H65" s="31">
        <v>88</v>
      </c>
      <c r="I65" s="31">
        <v>85</v>
      </c>
      <c r="J65" s="31">
        <v>112</v>
      </c>
      <c r="K65" s="31">
        <v>72</v>
      </c>
      <c r="L65" s="31">
        <v>81</v>
      </c>
      <c r="M65" s="31">
        <v>72</v>
      </c>
      <c r="N65" s="31">
        <v>64</v>
      </c>
      <c r="O65" s="31">
        <v>60</v>
      </c>
      <c r="P65" s="31">
        <v>70</v>
      </c>
      <c r="Q65" s="31">
        <v>63</v>
      </c>
      <c r="R65" s="31">
        <v>49</v>
      </c>
      <c r="S65" s="31">
        <v>48</v>
      </c>
      <c r="T65" s="31">
        <v>34</v>
      </c>
      <c r="U65" s="31">
        <v>27.9</v>
      </c>
      <c r="V65" s="31">
        <v>61</v>
      </c>
      <c r="W65" s="31">
        <v>53.8</v>
      </c>
      <c r="X65" s="31">
        <v>58.9</v>
      </c>
      <c r="Y65" s="31">
        <v>45.6</v>
      </c>
      <c r="Z65" s="31">
        <v>32.700000000000003</v>
      </c>
      <c r="AA65" s="103">
        <v>63.2</v>
      </c>
      <c r="AB65" s="103">
        <v>62.9</v>
      </c>
      <c r="AC65" s="17">
        <v>64</v>
      </c>
      <c r="AD65" s="10" t="s">
        <v>19</v>
      </c>
    </row>
    <row r="66" spans="2:30" ht="11.1" customHeight="1" x14ac:dyDescent="0.25">
      <c r="B66" s="7" t="s">
        <v>375</v>
      </c>
      <c r="C66" s="8" t="s">
        <v>35</v>
      </c>
      <c r="D66" s="31">
        <v>141</v>
      </c>
      <c r="E66" s="31">
        <v>60</v>
      </c>
      <c r="F66" s="31">
        <v>59</v>
      </c>
      <c r="G66" s="31">
        <v>49</v>
      </c>
      <c r="H66" s="31">
        <v>49</v>
      </c>
      <c r="I66" s="31">
        <v>35</v>
      </c>
      <c r="J66" s="31">
        <v>51</v>
      </c>
      <c r="K66" s="31">
        <v>61</v>
      </c>
      <c r="L66" s="31">
        <v>63</v>
      </c>
      <c r="M66" s="31">
        <v>58</v>
      </c>
      <c r="N66" s="31">
        <v>44</v>
      </c>
      <c r="O66" s="31">
        <v>39</v>
      </c>
      <c r="P66" s="31">
        <v>49</v>
      </c>
      <c r="Q66" s="31">
        <v>49</v>
      </c>
      <c r="R66" s="31">
        <v>44</v>
      </c>
      <c r="S66" s="31">
        <v>43</v>
      </c>
      <c r="T66" s="31">
        <v>41</v>
      </c>
      <c r="U66" s="31">
        <v>38</v>
      </c>
      <c r="V66" s="31">
        <v>19</v>
      </c>
      <c r="W66" s="31">
        <v>34</v>
      </c>
      <c r="X66" s="31">
        <v>40</v>
      </c>
      <c r="Y66" s="31">
        <v>43.8</v>
      </c>
      <c r="Z66" s="31">
        <v>0</v>
      </c>
      <c r="AA66" s="103">
        <v>0</v>
      </c>
      <c r="AB66" s="103">
        <v>47.2</v>
      </c>
      <c r="AC66" s="17">
        <v>57.8</v>
      </c>
      <c r="AD66" s="10" t="s">
        <v>19</v>
      </c>
    </row>
    <row r="67" spans="2:30" ht="11.1" customHeight="1" x14ac:dyDescent="0.25">
      <c r="B67" s="7" t="s">
        <v>348</v>
      </c>
      <c r="C67" s="8" t="s">
        <v>35</v>
      </c>
      <c r="D67" s="31">
        <v>92</v>
      </c>
      <c r="E67" s="31">
        <v>61</v>
      </c>
      <c r="F67" s="31">
        <v>83</v>
      </c>
      <c r="G67" s="31">
        <v>77</v>
      </c>
      <c r="H67" s="31">
        <v>76</v>
      </c>
      <c r="I67" s="31">
        <v>96</v>
      </c>
      <c r="J67" s="31">
        <v>115</v>
      </c>
      <c r="K67" s="31">
        <v>92</v>
      </c>
      <c r="L67" s="31">
        <v>108</v>
      </c>
      <c r="M67" s="31">
        <v>113</v>
      </c>
      <c r="N67" s="31">
        <v>101</v>
      </c>
      <c r="O67" s="31">
        <v>90</v>
      </c>
      <c r="P67" s="31">
        <v>120</v>
      </c>
      <c r="Q67" s="31">
        <v>202</v>
      </c>
      <c r="R67" s="31">
        <v>152</v>
      </c>
      <c r="S67" s="31">
        <v>144</v>
      </c>
      <c r="T67" s="31">
        <v>147</v>
      </c>
      <c r="U67" s="31">
        <v>107.8</v>
      </c>
      <c r="V67" s="31">
        <v>54</v>
      </c>
      <c r="W67" s="31">
        <v>63.7</v>
      </c>
      <c r="X67" s="31">
        <v>48.5</v>
      </c>
      <c r="Y67" s="31">
        <v>38.9</v>
      </c>
      <c r="Z67" s="31">
        <v>45.4</v>
      </c>
      <c r="AA67" s="103">
        <v>55</v>
      </c>
      <c r="AB67" s="103">
        <v>65</v>
      </c>
      <c r="AC67" s="17">
        <v>62.1</v>
      </c>
      <c r="AD67" s="10" t="s">
        <v>19</v>
      </c>
    </row>
    <row r="68" spans="2:30" ht="11.1" customHeight="1" x14ac:dyDescent="0.25">
      <c r="B68" s="7" t="s">
        <v>373</v>
      </c>
      <c r="C68" s="8" t="s">
        <v>35</v>
      </c>
      <c r="D68" s="31">
        <v>129</v>
      </c>
      <c r="E68" s="31">
        <v>137</v>
      </c>
      <c r="F68" s="31">
        <v>175</v>
      </c>
      <c r="G68" s="31">
        <v>172</v>
      </c>
      <c r="H68" s="31">
        <v>106</v>
      </c>
      <c r="I68" s="31">
        <v>105</v>
      </c>
      <c r="J68" s="31">
        <v>87</v>
      </c>
      <c r="K68" s="31">
        <v>80</v>
      </c>
      <c r="L68" s="31">
        <v>70</v>
      </c>
      <c r="M68" s="31">
        <v>84</v>
      </c>
      <c r="N68" s="31">
        <v>57</v>
      </c>
      <c r="O68" s="31">
        <v>44</v>
      </c>
      <c r="P68" s="31">
        <v>42</v>
      </c>
      <c r="Q68" s="31">
        <v>113</v>
      </c>
      <c r="R68" s="31">
        <v>86</v>
      </c>
      <c r="S68" s="31">
        <v>94</v>
      </c>
      <c r="T68" s="31">
        <v>66</v>
      </c>
      <c r="U68" s="31">
        <v>54.8</v>
      </c>
      <c r="V68" s="31">
        <v>93</v>
      </c>
      <c r="W68" s="31">
        <v>58.6</v>
      </c>
      <c r="X68" s="31">
        <v>67.400000000000006</v>
      </c>
      <c r="Y68" s="31">
        <v>49.7</v>
      </c>
      <c r="Z68" s="31">
        <v>63.6</v>
      </c>
      <c r="AA68" s="103">
        <v>57.2</v>
      </c>
      <c r="AB68" s="103">
        <v>63.5</v>
      </c>
      <c r="AC68" s="17">
        <v>36.799999999999997</v>
      </c>
      <c r="AD68" s="10" t="s">
        <v>19</v>
      </c>
    </row>
    <row r="69" spans="2:30" ht="11.1" customHeight="1" x14ac:dyDescent="0.25">
      <c r="B69" s="7" t="s">
        <v>44</v>
      </c>
      <c r="C69" s="8" t="s">
        <v>35</v>
      </c>
      <c r="D69" s="31">
        <v>690</v>
      </c>
      <c r="E69" s="31">
        <v>809</v>
      </c>
      <c r="F69" s="31">
        <v>450</v>
      </c>
      <c r="G69" s="31">
        <v>590</v>
      </c>
      <c r="H69" s="31">
        <v>327</v>
      </c>
      <c r="I69" s="31">
        <v>385</v>
      </c>
      <c r="J69" s="31">
        <v>531</v>
      </c>
      <c r="K69" s="31">
        <v>643</v>
      </c>
      <c r="L69" s="31">
        <v>907</v>
      </c>
      <c r="M69" s="31">
        <v>436</v>
      </c>
      <c r="N69" s="31">
        <v>404</v>
      </c>
      <c r="O69" s="31">
        <v>641</v>
      </c>
      <c r="P69" s="31">
        <v>415</v>
      </c>
      <c r="Q69" s="31">
        <v>773</v>
      </c>
      <c r="R69" s="31">
        <v>364</v>
      </c>
      <c r="S69" s="31">
        <v>381</v>
      </c>
      <c r="T69" s="31">
        <v>211</v>
      </c>
      <c r="U69" s="31">
        <v>449.8</v>
      </c>
      <c r="V69" s="31">
        <v>265</v>
      </c>
      <c r="W69" s="31">
        <v>241.9</v>
      </c>
      <c r="X69" s="31">
        <v>442.6</v>
      </c>
      <c r="Y69" s="31">
        <v>256.7</v>
      </c>
      <c r="Z69" s="31">
        <v>170.8</v>
      </c>
      <c r="AA69" s="103">
        <v>82.4</v>
      </c>
      <c r="AB69" s="103">
        <v>549.6</v>
      </c>
      <c r="AC69" s="17">
        <v>309.8</v>
      </c>
      <c r="AD69" s="10" t="s">
        <v>19</v>
      </c>
    </row>
    <row r="70" spans="2:30" ht="11.1" customHeight="1" x14ac:dyDescent="0.25">
      <c r="B70" s="7" t="s">
        <v>374</v>
      </c>
      <c r="C70" s="8" t="s">
        <v>35</v>
      </c>
      <c r="D70" s="31">
        <v>238</v>
      </c>
      <c r="E70" s="31">
        <v>231</v>
      </c>
      <c r="F70" s="31">
        <v>176</v>
      </c>
      <c r="G70" s="31">
        <v>105</v>
      </c>
      <c r="H70" s="31">
        <v>113</v>
      </c>
      <c r="I70" s="31">
        <v>140</v>
      </c>
      <c r="J70" s="31">
        <v>141</v>
      </c>
      <c r="K70" s="31">
        <v>133</v>
      </c>
      <c r="L70" s="31">
        <v>166</v>
      </c>
      <c r="M70" s="31">
        <v>215</v>
      </c>
      <c r="N70" s="31">
        <v>141</v>
      </c>
      <c r="O70" s="31">
        <v>131</v>
      </c>
      <c r="P70" s="31">
        <v>173</v>
      </c>
      <c r="Q70" s="31">
        <v>187</v>
      </c>
      <c r="R70" s="31">
        <v>104</v>
      </c>
      <c r="S70" s="31">
        <v>85</v>
      </c>
      <c r="T70" s="31">
        <v>115</v>
      </c>
      <c r="U70" s="31">
        <v>212.7</v>
      </c>
      <c r="V70" s="31">
        <v>115</v>
      </c>
      <c r="W70" s="31">
        <v>54.1</v>
      </c>
      <c r="X70" s="31">
        <v>117.8</v>
      </c>
      <c r="Y70" s="31">
        <v>163.4</v>
      </c>
      <c r="Z70" s="31">
        <v>176</v>
      </c>
      <c r="AA70" s="103">
        <v>208.3</v>
      </c>
      <c r="AB70" s="103">
        <v>168.3</v>
      </c>
      <c r="AC70" s="17">
        <v>124.1</v>
      </c>
      <c r="AD70" s="10" t="s">
        <v>19</v>
      </c>
    </row>
    <row r="71" spans="2:30" ht="11.1" customHeight="1" x14ac:dyDescent="0.25">
      <c r="B71" s="7" t="s">
        <v>82</v>
      </c>
      <c r="C71" s="8" t="s">
        <v>35</v>
      </c>
      <c r="D71" s="31">
        <v>992</v>
      </c>
      <c r="E71" s="31">
        <v>896</v>
      </c>
      <c r="F71" s="31">
        <v>1210</v>
      </c>
      <c r="G71" s="31">
        <v>1263</v>
      </c>
      <c r="H71" s="31">
        <v>898</v>
      </c>
      <c r="I71" s="31">
        <v>711</v>
      </c>
      <c r="J71" s="31">
        <v>666</v>
      </c>
      <c r="K71" s="31">
        <v>1004</v>
      </c>
      <c r="L71" s="31">
        <v>1080</v>
      </c>
      <c r="M71" s="31">
        <v>995</v>
      </c>
      <c r="N71" s="31">
        <v>691</v>
      </c>
      <c r="O71" s="31">
        <v>576</v>
      </c>
      <c r="P71" s="31">
        <v>562</v>
      </c>
      <c r="Q71" s="31">
        <v>565</v>
      </c>
      <c r="R71" s="31">
        <v>1048</v>
      </c>
      <c r="S71" s="31">
        <v>961</v>
      </c>
      <c r="T71" s="31">
        <v>722</v>
      </c>
      <c r="U71" s="31">
        <v>604</v>
      </c>
      <c r="V71" s="31">
        <v>555</v>
      </c>
      <c r="W71" s="31">
        <v>659.5</v>
      </c>
      <c r="X71" s="31">
        <v>592.29999999999995</v>
      </c>
      <c r="Y71" s="31">
        <v>385.8</v>
      </c>
      <c r="Z71" s="31">
        <v>460.2</v>
      </c>
      <c r="AA71" s="103">
        <v>602.1</v>
      </c>
      <c r="AB71" s="103">
        <v>613.6</v>
      </c>
      <c r="AC71" s="17">
        <v>912.1</v>
      </c>
      <c r="AD71" s="10" t="s">
        <v>19</v>
      </c>
    </row>
    <row r="72" spans="2:30" ht="11.1" customHeight="1" x14ac:dyDescent="0.25">
      <c r="B72" s="7" t="s">
        <v>13</v>
      </c>
      <c r="C72" s="8" t="s">
        <v>35</v>
      </c>
      <c r="D72" s="31">
        <v>2869</v>
      </c>
      <c r="E72" s="31">
        <v>2728</v>
      </c>
      <c r="F72" s="31">
        <v>2758</v>
      </c>
      <c r="G72" s="31">
        <v>3261</v>
      </c>
      <c r="H72" s="31">
        <v>2910</v>
      </c>
      <c r="I72" s="31">
        <v>2612</v>
      </c>
      <c r="J72" s="31">
        <v>2389</v>
      </c>
      <c r="K72" s="31">
        <v>2870</v>
      </c>
      <c r="L72" s="31">
        <v>3257</v>
      </c>
      <c r="M72" s="31">
        <v>3721</v>
      </c>
      <c r="N72" s="31">
        <v>3100</v>
      </c>
      <c r="O72" s="31">
        <v>3136</v>
      </c>
      <c r="P72" s="31">
        <v>4134</v>
      </c>
      <c r="Q72" s="31">
        <v>3986</v>
      </c>
      <c r="R72" s="31">
        <v>3074</v>
      </c>
      <c r="S72" s="31">
        <v>2887</v>
      </c>
      <c r="T72" s="31">
        <v>2265</v>
      </c>
      <c r="U72" s="31">
        <v>3064.4</v>
      </c>
      <c r="V72" s="31">
        <v>3554</v>
      </c>
      <c r="W72" s="31">
        <v>2403</v>
      </c>
      <c r="X72" s="31">
        <v>2689.7</v>
      </c>
      <c r="Y72" s="31">
        <v>1513.9</v>
      </c>
      <c r="Z72" s="31">
        <v>1608.7</v>
      </c>
      <c r="AA72" s="103">
        <v>1635.7</v>
      </c>
      <c r="AB72" s="103">
        <v>1839</v>
      </c>
      <c r="AC72" s="17">
        <v>1566.9</v>
      </c>
      <c r="AD72" s="10" t="s">
        <v>19</v>
      </c>
    </row>
    <row r="73" spans="2:30" ht="11.1" customHeight="1" x14ac:dyDescent="0.25">
      <c r="B73" s="7" t="s">
        <v>83</v>
      </c>
      <c r="C73" s="8" t="s">
        <v>35</v>
      </c>
      <c r="D73" s="31" t="s">
        <v>19</v>
      </c>
      <c r="E73" s="31" t="s">
        <v>19</v>
      </c>
      <c r="F73" s="31" t="s">
        <v>19</v>
      </c>
      <c r="G73" s="31">
        <v>576</v>
      </c>
      <c r="H73" s="31">
        <v>723</v>
      </c>
      <c r="I73" s="31">
        <v>530</v>
      </c>
      <c r="J73" s="31">
        <v>480</v>
      </c>
      <c r="K73" s="31" t="s">
        <v>19</v>
      </c>
      <c r="L73" s="31" t="s">
        <v>19</v>
      </c>
      <c r="M73" s="31" t="s">
        <v>19</v>
      </c>
      <c r="N73" s="31" t="s">
        <v>19</v>
      </c>
      <c r="O73" s="31" t="s">
        <v>19</v>
      </c>
      <c r="P73" s="31" t="s">
        <v>19</v>
      </c>
      <c r="Q73" s="31" t="s">
        <v>19</v>
      </c>
      <c r="R73" s="31" t="s">
        <v>19</v>
      </c>
      <c r="S73" s="31" t="s">
        <v>19</v>
      </c>
      <c r="T73" s="31" t="s">
        <v>19</v>
      </c>
      <c r="U73" s="31" t="s">
        <v>19</v>
      </c>
      <c r="V73" s="31" t="s">
        <v>19</v>
      </c>
      <c r="W73" s="31" t="s">
        <v>19</v>
      </c>
      <c r="X73" s="31" t="s">
        <v>19</v>
      </c>
      <c r="Y73" s="31" t="s">
        <v>19</v>
      </c>
      <c r="Z73" s="31" t="s">
        <v>19</v>
      </c>
      <c r="AA73" s="103" t="s">
        <v>19</v>
      </c>
      <c r="AB73" s="103" t="s">
        <v>19</v>
      </c>
      <c r="AC73" s="19" t="s">
        <v>19</v>
      </c>
      <c r="AD73" s="10" t="s">
        <v>19</v>
      </c>
    </row>
    <row r="74" spans="2:30" ht="11.1" customHeight="1" x14ac:dyDescent="0.25">
      <c r="B74" s="34" t="s">
        <v>55</v>
      </c>
      <c r="C74" s="8" t="s">
        <v>35</v>
      </c>
      <c r="D74" s="31">
        <v>5301</v>
      </c>
      <c r="E74" s="31">
        <v>5481</v>
      </c>
      <c r="F74" s="31">
        <v>6099</v>
      </c>
      <c r="G74" s="31">
        <v>6756</v>
      </c>
      <c r="H74" s="31">
        <v>6355</v>
      </c>
      <c r="I74" s="31">
        <v>5674</v>
      </c>
      <c r="J74" s="31">
        <v>5354</v>
      </c>
      <c r="K74" s="31">
        <v>5475</v>
      </c>
      <c r="L74" s="31">
        <v>5520</v>
      </c>
      <c r="M74" s="31">
        <v>6404</v>
      </c>
      <c r="N74" s="31">
        <v>4886</v>
      </c>
      <c r="O74" s="31">
        <v>4612</v>
      </c>
      <c r="P74" s="31">
        <v>5549</v>
      </c>
      <c r="Q74" s="31">
        <v>5401</v>
      </c>
      <c r="R74" s="31">
        <v>4504</v>
      </c>
      <c r="S74" s="31">
        <v>4356</v>
      </c>
      <c r="T74" s="31">
        <v>3802</v>
      </c>
      <c r="U74" s="31">
        <v>4476.5</v>
      </c>
      <c r="V74" s="31">
        <v>4845</v>
      </c>
      <c r="W74" s="31">
        <v>3960.8</v>
      </c>
      <c r="X74" s="31">
        <v>4221.8999999999996</v>
      </c>
      <c r="Y74" s="31">
        <v>2944.2</v>
      </c>
      <c r="Z74" s="31">
        <v>3320</v>
      </c>
      <c r="AA74" s="103">
        <v>3556.5</v>
      </c>
      <c r="AB74" s="103">
        <v>3201.3</v>
      </c>
      <c r="AC74" s="17">
        <v>2666.1</v>
      </c>
      <c r="AD74" s="10" t="s">
        <v>19</v>
      </c>
    </row>
    <row r="75" spans="2:30" ht="11.1" customHeight="1" x14ac:dyDescent="0.25">
      <c r="B75" s="343" t="s">
        <v>376</v>
      </c>
      <c r="C75" s="343"/>
      <c r="D75" s="343"/>
      <c r="E75" s="343"/>
      <c r="F75" s="343"/>
      <c r="G75" s="343"/>
      <c r="H75" s="343"/>
      <c r="I75" s="343"/>
      <c r="J75" s="343"/>
      <c r="K75" s="343"/>
      <c r="L75" s="343"/>
      <c r="M75" s="343"/>
      <c r="N75" s="343"/>
      <c r="O75" s="343"/>
      <c r="P75" s="343"/>
      <c r="Q75" s="343"/>
      <c r="R75" s="343"/>
      <c r="S75" s="343"/>
      <c r="T75" s="343"/>
      <c r="U75" s="354"/>
      <c r="V75" s="354"/>
      <c r="W75" s="354"/>
      <c r="X75" s="354"/>
      <c r="Y75" s="354"/>
      <c r="Z75" s="354"/>
      <c r="AA75" s="227"/>
      <c r="AB75" s="227"/>
      <c r="AC75" s="17"/>
      <c r="AD75" s="17"/>
    </row>
    <row r="76" spans="2:30" ht="11.1" customHeight="1" x14ac:dyDescent="0.25">
      <c r="B76" s="7" t="s">
        <v>41</v>
      </c>
      <c r="C76" s="8" t="s">
        <v>35</v>
      </c>
      <c r="D76" s="31" t="s">
        <v>19</v>
      </c>
      <c r="E76" s="31" t="s">
        <v>19</v>
      </c>
      <c r="F76" s="31">
        <v>5</v>
      </c>
      <c r="G76" s="31">
        <v>13</v>
      </c>
      <c r="H76" s="31">
        <v>27</v>
      </c>
      <c r="I76" s="31">
        <v>102</v>
      </c>
      <c r="J76" s="31">
        <v>124</v>
      </c>
      <c r="K76" s="31">
        <v>160.9</v>
      </c>
      <c r="L76" s="31">
        <v>121</v>
      </c>
      <c r="M76" s="31">
        <v>166</v>
      </c>
      <c r="N76" s="31">
        <v>209</v>
      </c>
      <c r="O76" s="31" t="s">
        <v>19</v>
      </c>
      <c r="P76" s="31" t="s">
        <v>19</v>
      </c>
      <c r="Q76" s="31">
        <v>329.5</v>
      </c>
      <c r="R76" s="31">
        <v>365</v>
      </c>
      <c r="S76" s="31">
        <v>431.2</v>
      </c>
      <c r="T76" s="31">
        <v>436</v>
      </c>
      <c r="U76" s="31">
        <v>326</v>
      </c>
      <c r="V76" s="31">
        <v>462</v>
      </c>
      <c r="W76" s="31">
        <v>525</v>
      </c>
      <c r="X76" s="31" t="s">
        <v>19</v>
      </c>
      <c r="Y76" s="31" t="s">
        <v>19</v>
      </c>
      <c r="Z76" s="31" t="s">
        <v>19</v>
      </c>
      <c r="AA76" s="103" t="s">
        <v>19</v>
      </c>
      <c r="AB76" s="103" t="s">
        <v>19</v>
      </c>
      <c r="AC76" s="103" t="s">
        <v>19</v>
      </c>
      <c r="AD76" s="10" t="s">
        <v>19</v>
      </c>
    </row>
    <row r="77" spans="2:30" ht="11.1" customHeight="1" x14ac:dyDescent="0.25">
      <c r="B77" s="7" t="s">
        <v>75</v>
      </c>
      <c r="C77" s="8" t="s">
        <v>35</v>
      </c>
      <c r="D77" s="31" t="s">
        <v>19</v>
      </c>
      <c r="E77" s="31" t="s">
        <v>19</v>
      </c>
      <c r="F77" s="31" t="s">
        <v>19</v>
      </c>
      <c r="G77" s="31" t="s">
        <v>19</v>
      </c>
      <c r="H77" s="31" t="s">
        <v>19</v>
      </c>
      <c r="I77" s="31" t="s">
        <v>19</v>
      </c>
      <c r="J77" s="31" t="s">
        <v>19</v>
      </c>
      <c r="K77" s="31" t="s">
        <v>19</v>
      </c>
      <c r="L77" s="31" t="s">
        <v>19</v>
      </c>
      <c r="M77" s="31" t="s">
        <v>19</v>
      </c>
      <c r="N77" s="31" t="s">
        <v>19</v>
      </c>
      <c r="O77" s="31" t="s">
        <v>19</v>
      </c>
      <c r="P77" s="31" t="s">
        <v>19</v>
      </c>
      <c r="Q77" s="31" t="s">
        <v>19</v>
      </c>
      <c r="R77" s="31" t="s">
        <v>19</v>
      </c>
      <c r="S77" s="31" t="s">
        <v>19</v>
      </c>
      <c r="T77" s="31" t="s">
        <v>19</v>
      </c>
      <c r="U77" s="31" t="s">
        <v>19</v>
      </c>
      <c r="V77" s="31" t="s">
        <v>19</v>
      </c>
      <c r="W77" s="31">
        <v>218.9</v>
      </c>
      <c r="X77" s="31">
        <v>350.4</v>
      </c>
      <c r="Y77" s="31">
        <v>544.4</v>
      </c>
      <c r="Z77" s="31">
        <v>614.70000000000005</v>
      </c>
      <c r="AA77" s="103">
        <v>680.8</v>
      </c>
      <c r="AB77" s="103">
        <v>658.2</v>
      </c>
      <c r="AC77" s="17">
        <v>688.6</v>
      </c>
      <c r="AD77" s="10" t="s">
        <v>19</v>
      </c>
    </row>
    <row r="78" spans="2:30" ht="11.1" customHeight="1" x14ac:dyDescent="0.25">
      <c r="B78" s="7" t="s">
        <v>57</v>
      </c>
      <c r="C78" s="8" t="s">
        <v>35</v>
      </c>
      <c r="D78" s="31">
        <v>888</v>
      </c>
      <c r="E78" s="31">
        <v>972</v>
      </c>
      <c r="F78" s="31">
        <v>1186</v>
      </c>
      <c r="G78" s="31">
        <v>1582</v>
      </c>
      <c r="H78" s="31">
        <v>1444</v>
      </c>
      <c r="I78" s="31">
        <v>1064</v>
      </c>
      <c r="J78" s="31">
        <v>1260</v>
      </c>
      <c r="K78" s="31">
        <v>932.6</v>
      </c>
      <c r="L78" s="31">
        <v>805</v>
      </c>
      <c r="M78" s="31">
        <v>642</v>
      </c>
      <c r="N78" s="31">
        <v>446</v>
      </c>
      <c r="O78" s="31">
        <v>567</v>
      </c>
      <c r="P78" s="31">
        <v>982</v>
      </c>
      <c r="Q78" s="31">
        <v>811</v>
      </c>
      <c r="R78" s="31">
        <v>866</v>
      </c>
      <c r="S78" s="31">
        <v>643.70000000000005</v>
      </c>
      <c r="T78" s="31">
        <v>1014</v>
      </c>
      <c r="U78" s="31">
        <v>764</v>
      </c>
      <c r="V78" s="31">
        <v>1136</v>
      </c>
      <c r="W78" s="31">
        <v>1346</v>
      </c>
      <c r="X78" s="31" t="s">
        <v>19</v>
      </c>
      <c r="Y78" s="31" t="s">
        <v>19</v>
      </c>
      <c r="Z78" s="31" t="s">
        <v>19</v>
      </c>
      <c r="AA78" s="103" t="s">
        <v>19</v>
      </c>
      <c r="AB78" s="103" t="s">
        <v>19</v>
      </c>
      <c r="AC78" s="103" t="s">
        <v>19</v>
      </c>
      <c r="AD78" s="10" t="s">
        <v>19</v>
      </c>
    </row>
    <row r="79" spans="2:30" ht="11.1" customHeight="1" x14ac:dyDescent="0.25">
      <c r="B79" s="7" t="s">
        <v>327</v>
      </c>
      <c r="C79" s="8" t="s">
        <v>35</v>
      </c>
      <c r="D79" s="31">
        <v>13</v>
      </c>
      <c r="E79" s="31">
        <v>15</v>
      </c>
      <c r="F79" s="31">
        <v>23</v>
      </c>
      <c r="G79" s="31">
        <v>30.7</v>
      </c>
      <c r="H79" s="31">
        <v>7.5</v>
      </c>
      <c r="I79" s="31">
        <v>5</v>
      </c>
      <c r="J79" s="31">
        <v>4.5</v>
      </c>
      <c r="K79" s="31">
        <v>4.8</v>
      </c>
      <c r="L79" s="31">
        <v>2</v>
      </c>
      <c r="M79" s="31">
        <v>1</v>
      </c>
      <c r="N79" s="31">
        <v>2</v>
      </c>
      <c r="O79" s="31">
        <v>2</v>
      </c>
      <c r="P79" s="31">
        <v>3</v>
      </c>
      <c r="Q79" s="31">
        <v>4.5999999999999996</v>
      </c>
      <c r="R79" s="31">
        <v>3</v>
      </c>
      <c r="S79" s="31">
        <v>1</v>
      </c>
      <c r="T79" s="31">
        <v>2.7</v>
      </c>
      <c r="U79" s="31">
        <v>1</v>
      </c>
      <c r="V79" s="31">
        <v>3</v>
      </c>
      <c r="W79" s="31">
        <v>4</v>
      </c>
      <c r="X79" s="31" t="s">
        <v>19</v>
      </c>
      <c r="Y79" s="31" t="s">
        <v>19</v>
      </c>
      <c r="Z79" s="31">
        <v>1.8</v>
      </c>
      <c r="AA79" s="103">
        <v>8.3000000000000007</v>
      </c>
      <c r="AB79" s="103">
        <v>3.5</v>
      </c>
      <c r="AC79" s="103" t="s">
        <v>19</v>
      </c>
      <c r="AD79" s="10" t="s">
        <v>19</v>
      </c>
    </row>
    <row r="80" spans="2:30" ht="11.1" customHeight="1" x14ac:dyDescent="0.25">
      <c r="B80" s="7" t="s">
        <v>377</v>
      </c>
      <c r="C80" s="8" t="s">
        <v>35</v>
      </c>
      <c r="D80" s="31">
        <v>1294</v>
      </c>
      <c r="E80" s="31">
        <v>1612</v>
      </c>
      <c r="F80" s="31">
        <v>1732</v>
      </c>
      <c r="G80" s="31">
        <v>1587</v>
      </c>
      <c r="H80" s="31">
        <v>1605.1</v>
      </c>
      <c r="I80" s="31">
        <v>1647.6</v>
      </c>
      <c r="J80" s="31">
        <v>1631.1</v>
      </c>
      <c r="K80" s="31">
        <v>1490.5</v>
      </c>
      <c r="L80" s="31">
        <v>1361</v>
      </c>
      <c r="M80" s="31">
        <v>1309</v>
      </c>
      <c r="N80" s="31">
        <v>877</v>
      </c>
      <c r="O80" s="31">
        <v>857</v>
      </c>
      <c r="P80" s="31">
        <v>977</v>
      </c>
      <c r="Q80" s="31">
        <v>733</v>
      </c>
      <c r="R80" s="31">
        <v>1063</v>
      </c>
      <c r="S80" s="31">
        <v>1185.9000000000001</v>
      </c>
      <c r="T80" s="31">
        <v>1147</v>
      </c>
      <c r="U80" s="31">
        <v>1343</v>
      </c>
      <c r="V80" s="31">
        <v>1282</v>
      </c>
      <c r="W80" s="31">
        <v>1179</v>
      </c>
      <c r="X80" s="31">
        <v>1117</v>
      </c>
      <c r="Y80" s="31">
        <v>1099.8</v>
      </c>
      <c r="Z80" s="31">
        <v>989.4</v>
      </c>
      <c r="AA80" s="103">
        <v>1084</v>
      </c>
      <c r="AB80" s="103">
        <v>632.5</v>
      </c>
      <c r="AC80" s="17">
        <v>936</v>
      </c>
      <c r="AD80" s="10" t="s">
        <v>19</v>
      </c>
    </row>
    <row r="81" spans="2:30" ht="12" customHeight="1" x14ac:dyDescent="0.25">
      <c r="B81" s="7" t="s">
        <v>378</v>
      </c>
      <c r="C81" s="8" t="s">
        <v>35</v>
      </c>
      <c r="D81" s="31" t="s">
        <v>19</v>
      </c>
      <c r="E81" s="31" t="s">
        <v>19</v>
      </c>
      <c r="F81" s="31" t="s">
        <v>19</v>
      </c>
      <c r="G81" s="31" t="s">
        <v>19</v>
      </c>
      <c r="H81" s="31">
        <v>109.9</v>
      </c>
      <c r="I81" s="31">
        <v>104.9</v>
      </c>
      <c r="J81" s="31">
        <v>110.3</v>
      </c>
      <c r="K81" s="31">
        <v>159</v>
      </c>
      <c r="L81" s="31">
        <v>131</v>
      </c>
      <c r="M81" s="31">
        <v>105</v>
      </c>
      <c r="N81" s="31">
        <v>144</v>
      </c>
      <c r="O81" s="31">
        <v>227</v>
      </c>
      <c r="P81" s="31">
        <v>196</v>
      </c>
      <c r="Q81" s="31">
        <v>126</v>
      </c>
      <c r="R81" s="31">
        <v>160</v>
      </c>
      <c r="S81" s="31">
        <v>156.69999999999999</v>
      </c>
      <c r="T81" s="31">
        <v>270</v>
      </c>
      <c r="U81" s="31">
        <v>236</v>
      </c>
      <c r="V81" s="31" t="s">
        <v>19</v>
      </c>
      <c r="W81" s="31" t="s">
        <v>19</v>
      </c>
      <c r="X81" s="31" t="s">
        <v>19</v>
      </c>
      <c r="Y81" s="31" t="s">
        <v>19</v>
      </c>
      <c r="Z81" s="31" t="s">
        <v>19</v>
      </c>
      <c r="AA81" s="103" t="s">
        <v>19</v>
      </c>
      <c r="AB81" s="103" t="s">
        <v>19</v>
      </c>
      <c r="AC81" s="103" t="s">
        <v>19</v>
      </c>
      <c r="AD81" s="10" t="s">
        <v>19</v>
      </c>
    </row>
    <row r="82" spans="2:30" ht="12" customHeight="1" x14ac:dyDescent="0.25">
      <c r="B82" s="7" t="s">
        <v>373</v>
      </c>
      <c r="C82" s="8" t="s">
        <v>35</v>
      </c>
      <c r="D82" s="31">
        <v>107</v>
      </c>
      <c r="E82" s="31">
        <v>45</v>
      </c>
      <c r="F82" s="31">
        <v>68</v>
      </c>
      <c r="G82" s="31">
        <v>48.8</v>
      </c>
      <c r="H82" s="31">
        <v>18.100000000000001</v>
      </c>
      <c r="I82" s="31">
        <v>42.8</v>
      </c>
      <c r="J82" s="31">
        <v>116</v>
      </c>
      <c r="K82" s="31">
        <v>82.6</v>
      </c>
      <c r="L82" s="31">
        <v>141</v>
      </c>
      <c r="M82" s="31" t="s">
        <v>19</v>
      </c>
      <c r="N82" s="31" t="s">
        <v>19</v>
      </c>
      <c r="O82" s="31" t="s">
        <v>19</v>
      </c>
      <c r="P82" s="31" t="s">
        <v>19</v>
      </c>
      <c r="Q82" s="31" t="s">
        <v>19</v>
      </c>
      <c r="R82" s="31" t="s">
        <v>19</v>
      </c>
      <c r="S82" s="31" t="s">
        <v>19</v>
      </c>
      <c r="T82" s="31" t="s">
        <v>19</v>
      </c>
      <c r="U82" s="31" t="s">
        <v>19</v>
      </c>
      <c r="V82" s="31">
        <v>6</v>
      </c>
      <c r="W82" s="31">
        <v>14</v>
      </c>
      <c r="X82" s="31" t="s">
        <v>19</v>
      </c>
      <c r="Y82" s="31" t="s">
        <v>19</v>
      </c>
      <c r="Z82" s="31" t="s">
        <v>19</v>
      </c>
      <c r="AA82" s="103" t="s">
        <v>19</v>
      </c>
      <c r="AB82" s="103" t="s">
        <v>19</v>
      </c>
      <c r="AC82" s="103" t="s">
        <v>19</v>
      </c>
      <c r="AD82" s="10" t="s">
        <v>19</v>
      </c>
    </row>
    <row r="83" spans="2:30" ht="11.1" customHeight="1" x14ac:dyDescent="0.25">
      <c r="B83" s="7" t="s">
        <v>232</v>
      </c>
      <c r="C83" s="8" t="s">
        <v>35</v>
      </c>
      <c r="D83" s="31" t="s">
        <v>19</v>
      </c>
      <c r="E83" s="31" t="s">
        <v>19</v>
      </c>
      <c r="F83" s="31" t="s">
        <v>19</v>
      </c>
      <c r="G83" s="31" t="s">
        <v>19</v>
      </c>
      <c r="H83" s="31" t="s">
        <v>19</v>
      </c>
      <c r="I83" s="31" t="s">
        <v>19</v>
      </c>
      <c r="J83" s="31" t="s">
        <v>19</v>
      </c>
      <c r="K83" s="31" t="s">
        <v>19</v>
      </c>
      <c r="L83" s="31" t="s">
        <v>19</v>
      </c>
      <c r="M83" s="31" t="s">
        <v>19</v>
      </c>
      <c r="N83" s="31" t="s">
        <v>19</v>
      </c>
      <c r="O83" s="31" t="s">
        <v>19</v>
      </c>
      <c r="P83" s="31" t="s">
        <v>19</v>
      </c>
      <c r="Q83" s="31" t="s">
        <v>19</v>
      </c>
      <c r="R83" s="31" t="s">
        <v>19</v>
      </c>
      <c r="S83" s="31" t="s">
        <v>19</v>
      </c>
      <c r="T83" s="31" t="s">
        <v>19</v>
      </c>
      <c r="U83" s="31" t="s">
        <v>19</v>
      </c>
      <c r="V83" s="31" t="s">
        <v>19</v>
      </c>
      <c r="W83" s="31" t="s">
        <v>19</v>
      </c>
      <c r="X83" s="31" t="s">
        <v>19</v>
      </c>
      <c r="Y83" s="31" t="s">
        <v>19</v>
      </c>
      <c r="Z83" s="31" t="s">
        <v>19</v>
      </c>
      <c r="AA83" s="103" t="s">
        <v>19</v>
      </c>
      <c r="AB83" s="103" t="s">
        <v>19</v>
      </c>
      <c r="AC83" s="103" t="s">
        <v>19</v>
      </c>
      <c r="AD83" s="10" t="s">
        <v>19</v>
      </c>
    </row>
    <row r="84" spans="2:30" ht="11.1" customHeight="1" x14ac:dyDescent="0.25">
      <c r="B84" s="7" t="s">
        <v>379</v>
      </c>
      <c r="C84" s="8" t="s">
        <v>35</v>
      </c>
      <c r="D84" s="31">
        <v>2</v>
      </c>
      <c r="E84" s="31">
        <v>23</v>
      </c>
      <c r="F84" s="31">
        <v>77</v>
      </c>
      <c r="G84" s="31">
        <v>105.3</v>
      </c>
      <c r="H84" s="31" t="s">
        <v>19</v>
      </c>
      <c r="I84" s="31" t="s">
        <v>19</v>
      </c>
      <c r="J84" s="31" t="s">
        <v>19</v>
      </c>
      <c r="K84" s="31" t="s">
        <v>19</v>
      </c>
      <c r="L84" s="31" t="s">
        <v>19</v>
      </c>
      <c r="M84" s="31" t="s">
        <v>19</v>
      </c>
      <c r="N84" s="31" t="s">
        <v>19</v>
      </c>
      <c r="O84" s="31">
        <v>316</v>
      </c>
      <c r="P84" s="31" t="s">
        <v>19</v>
      </c>
      <c r="Q84" s="31" t="s">
        <v>19</v>
      </c>
      <c r="R84" s="31" t="s">
        <v>19</v>
      </c>
      <c r="S84" s="31" t="s">
        <v>19</v>
      </c>
      <c r="T84" s="31" t="s">
        <v>19</v>
      </c>
      <c r="U84" s="31" t="s">
        <v>19</v>
      </c>
      <c r="V84" s="31">
        <v>258</v>
      </c>
      <c r="W84" s="31">
        <v>75</v>
      </c>
      <c r="X84" s="31">
        <v>1860</v>
      </c>
      <c r="Y84" s="31">
        <v>1644.7</v>
      </c>
      <c r="Z84" s="31">
        <v>1917.1</v>
      </c>
      <c r="AA84" s="103">
        <v>2427.1999999999998</v>
      </c>
      <c r="AB84" s="103">
        <v>2648.3</v>
      </c>
      <c r="AC84" s="17">
        <v>2386</v>
      </c>
      <c r="AD84" s="10" t="s">
        <v>19</v>
      </c>
    </row>
    <row r="85" spans="2:30" ht="11.1" customHeight="1" x14ac:dyDescent="0.25">
      <c r="B85" s="7" t="s">
        <v>13</v>
      </c>
      <c r="C85" s="8" t="s">
        <v>35</v>
      </c>
      <c r="D85" s="31">
        <v>2304</v>
      </c>
      <c r="E85" s="31">
        <v>2667</v>
      </c>
      <c r="F85" s="31">
        <v>3091</v>
      </c>
      <c r="G85" s="31">
        <v>3366.8</v>
      </c>
      <c r="H85" s="31">
        <v>3211.6</v>
      </c>
      <c r="I85" s="31">
        <v>2966.3</v>
      </c>
      <c r="J85" s="31">
        <v>3245.8</v>
      </c>
      <c r="K85" s="31">
        <v>2830.5</v>
      </c>
      <c r="L85" s="31">
        <v>2561</v>
      </c>
      <c r="M85" s="31">
        <v>2223</v>
      </c>
      <c r="N85" s="31">
        <v>1678</v>
      </c>
      <c r="O85" s="31">
        <v>1969</v>
      </c>
      <c r="P85" s="31">
        <v>2158</v>
      </c>
      <c r="Q85" s="31">
        <v>2004.1</v>
      </c>
      <c r="R85" s="31">
        <v>2457</v>
      </c>
      <c r="S85" s="31">
        <v>2418.5</v>
      </c>
      <c r="T85" s="31">
        <v>2869.7</v>
      </c>
      <c r="U85" s="31">
        <v>2670</v>
      </c>
      <c r="V85" s="31">
        <v>3147</v>
      </c>
      <c r="W85" s="31">
        <v>3362</v>
      </c>
      <c r="X85" s="31">
        <v>3327.4</v>
      </c>
      <c r="Y85" s="31">
        <v>3288.9</v>
      </c>
      <c r="Z85" s="31">
        <v>3522.9</v>
      </c>
      <c r="AA85" s="103">
        <v>4200.3</v>
      </c>
      <c r="AB85" s="103">
        <v>3942.4</v>
      </c>
      <c r="AC85" s="17">
        <v>4010.6</v>
      </c>
      <c r="AD85" s="10" t="s">
        <v>19</v>
      </c>
    </row>
    <row r="86" spans="2:30" ht="11.1" customHeight="1" x14ac:dyDescent="0.25">
      <c r="B86" s="221" t="s">
        <v>58</v>
      </c>
      <c r="C86" s="158" t="s">
        <v>35</v>
      </c>
      <c r="D86" s="222">
        <v>7605</v>
      </c>
      <c r="E86" s="222">
        <v>8148</v>
      </c>
      <c r="F86" s="222">
        <v>9190</v>
      </c>
      <c r="G86" s="222">
        <v>10122.799999999999</v>
      </c>
      <c r="H86" s="222">
        <v>9566.6</v>
      </c>
      <c r="I86" s="222">
        <v>8640.2999999999993</v>
      </c>
      <c r="J86" s="222">
        <v>8599.7999999999993</v>
      </c>
      <c r="K86" s="222">
        <v>8305.5</v>
      </c>
      <c r="L86" s="222">
        <v>8081</v>
      </c>
      <c r="M86" s="222">
        <v>8627</v>
      </c>
      <c r="N86" s="222">
        <v>6564</v>
      </c>
      <c r="O86" s="222">
        <v>6581</v>
      </c>
      <c r="P86" s="222">
        <v>7707</v>
      </c>
      <c r="Q86" s="222">
        <v>7405.1</v>
      </c>
      <c r="R86" s="222">
        <v>6961</v>
      </c>
      <c r="S86" s="222">
        <v>6774.5</v>
      </c>
      <c r="T86" s="222">
        <v>6671.7</v>
      </c>
      <c r="U86" s="222">
        <v>7146.5</v>
      </c>
      <c r="V86" s="222">
        <v>7992</v>
      </c>
      <c r="W86" s="222">
        <v>7322.7</v>
      </c>
      <c r="X86" s="222">
        <v>7549.3</v>
      </c>
      <c r="Y86" s="222">
        <v>6233.2</v>
      </c>
      <c r="Z86" s="222">
        <v>6843</v>
      </c>
      <c r="AA86" s="103">
        <v>7756.9</v>
      </c>
      <c r="AB86" s="103">
        <v>7143.7</v>
      </c>
      <c r="AC86" s="17">
        <v>6676.7</v>
      </c>
      <c r="AD86" s="297" t="s">
        <v>19</v>
      </c>
    </row>
    <row r="87" spans="2:30" ht="65.25" customHeight="1" x14ac:dyDescent="0.25">
      <c r="B87" s="328" t="s">
        <v>513</v>
      </c>
      <c r="C87" s="328"/>
      <c r="D87" s="328"/>
      <c r="E87" s="328"/>
      <c r="F87" s="328"/>
      <c r="G87" s="328"/>
      <c r="H87" s="328"/>
      <c r="I87" s="328"/>
      <c r="J87" s="328"/>
      <c r="K87" s="328"/>
      <c r="L87" s="328"/>
      <c r="M87" s="328"/>
      <c r="N87" s="328"/>
      <c r="O87" s="328"/>
      <c r="P87" s="328"/>
      <c r="Q87" s="328"/>
      <c r="R87" s="328"/>
      <c r="S87" s="328"/>
      <c r="T87" s="328"/>
      <c r="U87" s="328"/>
      <c r="V87" s="328"/>
      <c r="W87" s="328"/>
      <c r="X87" s="328"/>
      <c r="Y87" s="328"/>
      <c r="Z87" s="328"/>
      <c r="AA87" s="328"/>
      <c r="AB87" s="328"/>
      <c r="AC87" s="328"/>
    </row>
  </sheetData>
  <mergeCells count="12">
    <mergeCell ref="B87:AC87"/>
    <mergeCell ref="B7:Z7"/>
    <mergeCell ref="B9:Z9"/>
    <mergeCell ref="B10:Z10"/>
    <mergeCell ref="B16:Z16"/>
    <mergeCell ref="B23:Z23"/>
    <mergeCell ref="B36:Z36"/>
    <mergeCell ref="B48:Z48"/>
    <mergeCell ref="B49:Z49"/>
    <mergeCell ref="B55:Z55"/>
    <mergeCell ref="B62:Z62"/>
    <mergeCell ref="B75:Z75"/>
  </mergeCells>
  <phoneticPr fontId="23" type="noConversion"/>
  <conditionalFormatting sqref="B6:Y6 AA6:AD6 B11:AC15 B16:AD16 B17:AC22 B23:AD23 B24:AC35 B36:AD36 B37:AC47 B48:AD49 B50:AC54 B55:AD55 B56:AC61 B62:AD62 B63:AC74 B75:AD75 B76:AC86 B87">
    <cfRule type="cellIs" dxfId="725" priority="142" stopIfTrue="1" operator="lessThanOrEqual">
      <formula>-100</formula>
    </cfRule>
    <cfRule type="cellIs" dxfId="724" priority="144" stopIfTrue="1" operator="greaterThanOrEqual">
      <formula>100</formula>
    </cfRule>
    <cfRule type="cellIs" dxfId="723" priority="143" stopIfTrue="1" operator="between">
      <formula>-99.999999999999</formula>
      <formula>99.999999999999</formula>
    </cfRule>
  </conditionalFormatting>
  <conditionalFormatting sqref="B24:AC35 B76:AC86 B11:AC15 B17:AC22 B37:AC47 B50:AC54 B56:AC61 B63:AC74 B6:Y6 AA6:AD6 B16:AD16 B23:AD23 B36:AD36 B48:AD49 B55:AD55 B62:AD62 B75:AD75 B87">
    <cfRule type="cellIs" dxfId="722" priority="141" stopIfTrue="1" operator="equal">
      <formula>0</formula>
    </cfRule>
  </conditionalFormatting>
  <conditionalFormatting sqref="B7:AD10">
    <cfRule type="cellIs" dxfId="721" priority="65" stopIfTrue="1" operator="equal">
      <formula>0</formula>
    </cfRule>
    <cfRule type="cellIs" dxfId="720" priority="66" stopIfTrue="1" operator="lessThanOrEqual">
      <formula>-100</formula>
    </cfRule>
    <cfRule type="cellIs" dxfId="719" priority="67" stopIfTrue="1" operator="between">
      <formula>-99.999999999999</formula>
      <formula>99.999999999999</formula>
    </cfRule>
    <cfRule type="cellIs" dxfId="718" priority="68" stopIfTrue="1" operator="greaterThanOrEqual">
      <formula>100</formula>
    </cfRule>
  </conditionalFormatting>
  <conditionalFormatting sqref="D24:D35">
    <cfRule type="cellIs" dxfId="717" priority="128" operator="greaterThanOrEqual">
      <formula>100</formula>
    </cfRule>
    <cfRule type="cellIs" dxfId="716" priority="127" operator="lessThanOrEqual">
      <formula>99</formula>
    </cfRule>
  </conditionalFormatting>
  <conditionalFormatting sqref="D76:Z86">
    <cfRule type="cellIs" dxfId="715" priority="118" operator="greaterThanOrEqual">
      <formula>100</formula>
    </cfRule>
    <cfRule type="cellIs" dxfId="714" priority="117" operator="lessThanOrEqual">
      <formula>99</formula>
    </cfRule>
  </conditionalFormatting>
  <conditionalFormatting sqref="D11:AB15">
    <cfRule type="cellIs" dxfId="713" priority="132" operator="greaterThanOrEqual">
      <formula>100</formula>
    </cfRule>
    <cfRule type="cellIs" dxfId="712" priority="131" operator="lessThanOrEqual">
      <formula>99</formula>
    </cfRule>
  </conditionalFormatting>
  <conditionalFormatting sqref="D17:AB22">
    <cfRule type="cellIs" dxfId="711" priority="129" operator="lessThanOrEqual">
      <formula>99</formula>
    </cfRule>
    <cfRule type="cellIs" dxfId="710" priority="130" operator="greaterThanOrEqual">
      <formula>100</formula>
    </cfRule>
  </conditionalFormatting>
  <conditionalFormatting sqref="D37:AB47">
    <cfRule type="cellIs" dxfId="709" priority="126" operator="greaterThanOrEqual">
      <formula>100</formula>
    </cfRule>
    <cfRule type="cellIs" dxfId="708" priority="125" operator="lessThanOrEqual">
      <formula>99</formula>
    </cfRule>
  </conditionalFormatting>
  <conditionalFormatting sqref="D50:AB54">
    <cfRule type="cellIs" dxfId="707" priority="124" operator="greaterThanOrEqual">
      <formula>100</formula>
    </cfRule>
    <cfRule type="cellIs" dxfId="706" priority="123" operator="lessThanOrEqual">
      <formula>99</formula>
    </cfRule>
  </conditionalFormatting>
  <conditionalFormatting sqref="D56:AB61">
    <cfRule type="cellIs" dxfId="705" priority="122" operator="greaterThanOrEqual">
      <formula>100</formula>
    </cfRule>
    <cfRule type="cellIs" dxfId="704" priority="121" operator="lessThanOrEqual">
      <formula>99</formula>
    </cfRule>
  </conditionalFormatting>
  <conditionalFormatting sqref="D63:AB74">
    <cfRule type="cellIs" dxfId="703" priority="120" operator="greaterThanOrEqual">
      <formula>100</formula>
    </cfRule>
    <cfRule type="cellIs" dxfId="702" priority="119" operator="lessThanOrEqual">
      <formula>99</formula>
    </cfRule>
  </conditionalFormatting>
  <conditionalFormatting sqref="E35">
    <cfRule type="cellIs" dxfId="701" priority="134" operator="greaterThanOrEqual">
      <formula>100</formula>
    </cfRule>
    <cfRule type="cellIs" dxfId="700" priority="133" operator="lessThanOrEqual">
      <formula>99</formula>
    </cfRule>
  </conditionalFormatting>
  <conditionalFormatting sqref="E24:AB34">
    <cfRule type="cellIs" dxfId="699" priority="138" operator="greaterThanOrEqual">
      <formula>100</formula>
    </cfRule>
    <cfRule type="cellIs" dxfId="698" priority="137" operator="lessThanOrEqual">
      <formula>99</formula>
    </cfRule>
  </conditionalFormatting>
  <conditionalFormatting sqref="G35:AB35">
    <cfRule type="cellIs" dxfId="697" priority="140" operator="greaterThanOrEqual">
      <formula>100</formula>
    </cfRule>
    <cfRule type="cellIs" dxfId="696" priority="139" operator="lessThanOrEqual">
      <formula>99</formula>
    </cfRule>
  </conditionalFormatting>
  <conditionalFormatting sqref="AA76:AB85">
    <cfRule type="cellIs" dxfId="695" priority="135" operator="lessThanOrEqual">
      <formula>99</formula>
    </cfRule>
    <cfRule type="cellIs" dxfId="694" priority="136" operator="greaterThanOrEqual">
      <formula>100</formula>
    </cfRule>
  </conditionalFormatting>
  <conditionalFormatting sqref="AC13">
    <cfRule type="cellIs" dxfId="693" priority="116" operator="greaterThanOrEqual">
      <formula>100</formula>
    </cfRule>
    <cfRule type="cellIs" dxfId="692" priority="115" operator="lessThanOrEqual">
      <formula>99</formula>
    </cfRule>
  </conditionalFormatting>
  <conditionalFormatting sqref="AC18">
    <cfRule type="cellIs" dxfId="691" priority="114" operator="greaterThanOrEqual">
      <formula>100</formula>
    </cfRule>
    <cfRule type="cellIs" dxfId="690" priority="113" operator="lessThanOrEqual">
      <formula>99</formula>
    </cfRule>
  </conditionalFormatting>
  <conditionalFormatting sqref="AC21">
    <cfRule type="cellIs" dxfId="689" priority="112" operator="greaterThanOrEqual">
      <formula>100</formula>
    </cfRule>
    <cfRule type="cellIs" dxfId="688" priority="111" operator="lessThanOrEqual">
      <formula>99</formula>
    </cfRule>
  </conditionalFormatting>
  <conditionalFormatting sqref="AC37">
    <cfRule type="cellIs" dxfId="687" priority="110" operator="greaterThanOrEqual">
      <formula>100</formula>
    </cfRule>
    <cfRule type="cellIs" dxfId="686" priority="109" operator="lessThanOrEqual">
      <formula>99</formula>
    </cfRule>
  </conditionalFormatting>
  <conditionalFormatting sqref="AC39:AC40">
    <cfRule type="cellIs" dxfId="685" priority="108" operator="greaterThanOrEqual">
      <formula>100</formula>
    </cfRule>
    <cfRule type="cellIs" dxfId="684" priority="107" operator="lessThanOrEqual">
      <formula>99</formula>
    </cfRule>
  </conditionalFormatting>
  <conditionalFormatting sqref="AC42:AC43">
    <cfRule type="cellIs" dxfId="683" priority="105" operator="lessThanOrEqual">
      <formula>99</formula>
    </cfRule>
    <cfRule type="cellIs" dxfId="682" priority="106" operator="greaterThanOrEqual">
      <formula>100</formula>
    </cfRule>
  </conditionalFormatting>
  <conditionalFormatting sqref="AC52">
    <cfRule type="cellIs" dxfId="681" priority="104" operator="greaterThanOrEqual">
      <formula>100</formula>
    </cfRule>
    <cfRule type="cellIs" dxfId="680" priority="103" operator="lessThanOrEqual">
      <formula>99</formula>
    </cfRule>
  </conditionalFormatting>
  <conditionalFormatting sqref="AC57">
    <cfRule type="cellIs" dxfId="679" priority="102" operator="greaterThanOrEqual">
      <formula>100</formula>
    </cfRule>
    <cfRule type="cellIs" dxfId="678" priority="101" operator="lessThanOrEqual">
      <formula>99</formula>
    </cfRule>
  </conditionalFormatting>
  <conditionalFormatting sqref="AC60">
    <cfRule type="cellIs" dxfId="677" priority="100" operator="greaterThanOrEqual">
      <formula>100</formula>
    </cfRule>
    <cfRule type="cellIs" dxfId="676" priority="99" operator="lessThanOrEqual">
      <formula>99</formula>
    </cfRule>
  </conditionalFormatting>
  <conditionalFormatting sqref="AC76">
    <cfRule type="cellIs" dxfId="675" priority="98" operator="greaterThanOrEqual">
      <formula>100</formula>
    </cfRule>
    <cfRule type="cellIs" dxfId="674" priority="97" operator="lessThanOrEqual">
      <formula>99</formula>
    </cfRule>
  </conditionalFormatting>
  <conditionalFormatting sqref="AC78:AC79">
    <cfRule type="cellIs" dxfId="673" priority="96" operator="greaterThanOrEqual">
      <formula>100</formula>
    </cfRule>
    <cfRule type="cellIs" dxfId="672" priority="95" operator="lessThanOrEqual">
      <formula>99</formula>
    </cfRule>
  </conditionalFormatting>
  <conditionalFormatting sqref="AC81:AC83">
    <cfRule type="cellIs" dxfId="671" priority="93" operator="lessThanOrEqual">
      <formula>99</formula>
    </cfRule>
    <cfRule type="cellIs" dxfId="670" priority="94" operator="greaterThanOrEqual">
      <formula>100</formula>
    </cfRule>
  </conditionalFormatting>
  <conditionalFormatting sqref="AD11:AD15">
    <cfRule type="cellIs" dxfId="669" priority="62" stopIfTrue="1" operator="lessThanOrEqual">
      <formula>-100</formula>
    </cfRule>
    <cfRule type="cellIs" dxfId="668" priority="61" stopIfTrue="1" operator="equal">
      <formula>0</formula>
    </cfRule>
    <cfRule type="cellIs" dxfId="667" priority="58" operator="greaterThanOrEqual">
      <formula>100</formula>
    </cfRule>
    <cfRule type="cellIs" dxfId="666" priority="57" operator="lessThanOrEqual">
      <formula>99</formula>
    </cfRule>
    <cfRule type="cellIs" dxfId="665" priority="63" stopIfTrue="1" operator="between">
      <formula>-99.999999999999</formula>
      <formula>99.999999999999</formula>
    </cfRule>
    <cfRule type="cellIs" dxfId="664" priority="64" stopIfTrue="1" operator="greaterThanOrEqual">
      <formula>100</formula>
    </cfRule>
  </conditionalFormatting>
  <conditionalFormatting sqref="AD17:AD22">
    <cfRule type="cellIs" dxfId="663" priority="56" stopIfTrue="1" operator="greaterThanOrEqual">
      <formula>100</formula>
    </cfRule>
    <cfRule type="cellIs" dxfId="662" priority="55" stopIfTrue="1" operator="between">
      <formula>-99.999999999999</formula>
      <formula>99.999999999999</formula>
    </cfRule>
    <cfRule type="cellIs" dxfId="661" priority="53" stopIfTrue="1" operator="equal">
      <formula>0</formula>
    </cfRule>
    <cfRule type="cellIs" dxfId="660" priority="50" operator="greaterThanOrEqual">
      <formula>100</formula>
    </cfRule>
    <cfRule type="cellIs" dxfId="659" priority="49" operator="lessThanOrEqual">
      <formula>99</formula>
    </cfRule>
    <cfRule type="cellIs" dxfId="658" priority="54" stopIfTrue="1" operator="lessThanOrEqual">
      <formula>-100</formula>
    </cfRule>
  </conditionalFormatting>
  <conditionalFormatting sqref="AD24:AD35">
    <cfRule type="cellIs" dxfId="657" priority="48" stopIfTrue="1" operator="greaterThanOrEqual">
      <formula>100</formula>
    </cfRule>
    <cfRule type="cellIs" dxfId="656" priority="47" stopIfTrue="1" operator="between">
      <formula>-99.999999999999</formula>
      <formula>99.999999999999</formula>
    </cfRule>
    <cfRule type="cellIs" dxfId="655" priority="46" stopIfTrue="1" operator="lessThanOrEqual">
      <formula>-100</formula>
    </cfRule>
    <cfRule type="cellIs" dxfId="654" priority="45" stopIfTrue="1" operator="equal">
      <formula>0</formula>
    </cfRule>
    <cfRule type="cellIs" dxfId="653" priority="42" operator="greaterThanOrEqual">
      <formula>100</formula>
    </cfRule>
    <cfRule type="cellIs" dxfId="652" priority="41" operator="lessThanOrEqual">
      <formula>99</formula>
    </cfRule>
  </conditionalFormatting>
  <conditionalFormatting sqref="AD37:AD47">
    <cfRule type="cellIs" dxfId="651" priority="40" stopIfTrue="1" operator="greaterThanOrEqual">
      <formula>100</formula>
    </cfRule>
    <cfRule type="cellIs" dxfId="650" priority="39" stopIfTrue="1" operator="between">
      <formula>-99.999999999999</formula>
      <formula>99.999999999999</formula>
    </cfRule>
    <cfRule type="cellIs" dxfId="649" priority="38" stopIfTrue="1" operator="lessThanOrEqual">
      <formula>-100</formula>
    </cfRule>
    <cfRule type="cellIs" dxfId="648" priority="34" operator="greaterThanOrEqual">
      <formula>100</formula>
    </cfRule>
    <cfRule type="cellIs" dxfId="647" priority="33" operator="lessThanOrEqual">
      <formula>99</formula>
    </cfRule>
    <cfRule type="cellIs" dxfId="646" priority="37" stopIfTrue="1" operator="equal">
      <formula>0</formula>
    </cfRule>
  </conditionalFormatting>
  <conditionalFormatting sqref="AD50:AD54">
    <cfRule type="cellIs" dxfId="645" priority="30" stopIfTrue="1" operator="lessThanOrEqual">
      <formula>-100</formula>
    </cfRule>
    <cfRule type="cellIs" dxfId="644" priority="29" stopIfTrue="1" operator="equal">
      <formula>0</formula>
    </cfRule>
    <cfRule type="cellIs" dxfId="643" priority="26" operator="greaterThanOrEqual">
      <formula>100</formula>
    </cfRule>
    <cfRule type="cellIs" dxfId="642" priority="25" operator="lessThanOrEqual">
      <formula>99</formula>
    </cfRule>
    <cfRule type="cellIs" dxfId="641" priority="32" stopIfTrue="1" operator="greaterThanOrEqual">
      <formula>100</formula>
    </cfRule>
    <cfRule type="cellIs" dxfId="640" priority="31" stopIfTrue="1" operator="between">
      <formula>-99.999999999999</formula>
      <formula>99.999999999999</formula>
    </cfRule>
  </conditionalFormatting>
  <conditionalFormatting sqref="AD56:AD61">
    <cfRule type="cellIs" dxfId="639" priority="22" stopIfTrue="1" operator="lessThanOrEqual">
      <formula>-100</formula>
    </cfRule>
    <cfRule type="cellIs" dxfId="638" priority="21" stopIfTrue="1" operator="equal">
      <formula>0</formula>
    </cfRule>
    <cfRule type="cellIs" dxfId="637" priority="17" operator="lessThanOrEqual">
      <formula>99</formula>
    </cfRule>
    <cfRule type="cellIs" dxfId="636" priority="18" operator="greaterThanOrEqual">
      <formula>100</formula>
    </cfRule>
    <cfRule type="cellIs" dxfId="635" priority="24" stopIfTrue="1" operator="greaterThanOrEqual">
      <formula>100</formula>
    </cfRule>
    <cfRule type="cellIs" dxfId="634" priority="23" stopIfTrue="1" operator="between">
      <formula>-99.999999999999</formula>
      <formula>99.999999999999</formula>
    </cfRule>
  </conditionalFormatting>
  <conditionalFormatting sqref="AD63:AD74">
    <cfRule type="cellIs" dxfId="633" priority="16" stopIfTrue="1" operator="greaterThanOrEqual">
      <formula>100</formula>
    </cfRule>
    <cfRule type="cellIs" dxfId="632" priority="14" stopIfTrue="1" operator="lessThanOrEqual">
      <formula>-100</formula>
    </cfRule>
    <cfRule type="cellIs" dxfId="631" priority="13" stopIfTrue="1" operator="equal">
      <formula>0</formula>
    </cfRule>
    <cfRule type="cellIs" dxfId="630" priority="10" operator="greaterThanOrEqual">
      <formula>100</formula>
    </cfRule>
    <cfRule type="cellIs" dxfId="629" priority="9" operator="lessThanOrEqual">
      <formula>99</formula>
    </cfRule>
    <cfRule type="cellIs" dxfId="628" priority="15" stopIfTrue="1" operator="between">
      <formula>-99.999999999999</formula>
      <formula>99.999999999999</formula>
    </cfRule>
  </conditionalFormatting>
  <conditionalFormatting sqref="AD76:AD86">
    <cfRule type="cellIs" dxfId="627" priority="1" operator="lessThanOrEqual">
      <formula>99</formula>
    </cfRule>
    <cfRule type="cellIs" dxfId="626" priority="8" stopIfTrue="1" operator="greaterThanOrEqual">
      <formula>100</formula>
    </cfRule>
    <cfRule type="cellIs" dxfId="625" priority="6" stopIfTrue="1" operator="lessThanOrEqual">
      <formula>-100</formula>
    </cfRule>
    <cfRule type="cellIs" dxfId="624" priority="5" stopIfTrue="1" operator="equal">
      <formula>0</formula>
    </cfRule>
    <cfRule type="cellIs" dxfId="623" priority="2" operator="greaterThanOrEqual">
      <formula>100</formula>
    </cfRule>
    <cfRule type="cellIs" dxfId="622" priority="7" stopIfTrue="1" operator="between">
      <formula>-99.999999999999</formula>
      <formula>99.999999999999</formula>
    </cfRule>
  </conditionalFormatting>
  <pageMargins left="0.7" right="0.7" top="0.75" bottom="0.75" header="0.3" footer="0.3"/>
  <pageSetup paperSize="9" scale="31"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1C1C1-1AC4-4A5B-AE87-03BF2801A07C}">
  <sheetPr>
    <pageSetUpPr fitToPage="1"/>
  </sheetPr>
  <dimension ref="B6:AD111"/>
  <sheetViews>
    <sheetView zoomScaleNormal="100" workbookViewId="0"/>
  </sheetViews>
  <sheetFormatPr defaultColWidth="9.140625" defaultRowHeight="15" x14ac:dyDescent="0.25"/>
  <cols>
    <col min="1" max="1" width="9.140625" style="20"/>
    <col min="2" max="2" width="29" style="20" customWidth="1"/>
    <col min="3" max="3" width="6.85546875" style="20" customWidth="1"/>
    <col min="4" max="4" width="8" style="20" customWidth="1"/>
    <col min="5" max="20" width="9.140625" style="20"/>
    <col min="21" max="30" width="9.7109375" style="20" customWidth="1"/>
    <col min="31" max="16384" width="9.140625" style="20"/>
  </cols>
  <sheetData>
    <row r="6" spans="2:30" ht="12" customHeight="1" x14ac:dyDescent="0.25">
      <c r="B6" s="16"/>
      <c r="C6" s="16"/>
      <c r="D6" s="16"/>
      <c r="E6" s="17"/>
      <c r="F6" s="17"/>
      <c r="G6" s="17"/>
      <c r="H6" s="17"/>
      <c r="I6" s="17"/>
      <c r="J6" s="17"/>
      <c r="K6" s="17"/>
      <c r="L6" s="17"/>
      <c r="M6" s="17"/>
      <c r="N6" s="17"/>
      <c r="O6" s="17"/>
      <c r="P6" s="17"/>
      <c r="Q6" s="17"/>
      <c r="R6" s="17"/>
      <c r="S6" s="17"/>
      <c r="T6" s="17"/>
      <c r="U6" s="17"/>
      <c r="V6" s="17"/>
      <c r="W6" s="17"/>
      <c r="X6" s="17"/>
      <c r="Y6" s="17"/>
      <c r="Z6" s="17"/>
      <c r="AA6" s="19"/>
      <c r="AB6" s="19"/>
      <c r="AC6" s="19"/>
      <c r="AD6" s="19" t="s">
        <v>0</v>
      </c>
    </row>
    <row r="7" spans="2:30" ht="27" customHeight="1" x14ac:dyDescent="0.25">
      <c r="B7" s="322" t="s">
        <v>380</v>
      </c>
      <c r="C7" s="322"/>
      <c r="D7" s="322"/>
      <c r="E7" s="322"/>
      <c r="F7" s="322"/>
      <c r="G7" s="322"/>
      <c r="H7" s="322"/>
      <c r="I7" s="322"/>
      <c r="J7" s="322"/>
      <c r="K7" s="322"/>
      <c r="L7" s="322"/>
      <c r="M7" s="322"/>
      <c r="N7" s="322"/>
      <c r="O7" s="322"/>
      <c r="P7" s="322"/>
      <c r="Q7" s="322"/>
      <c r="R7" s="322"/>
      <c r="S7" s="322"/>
      <c r="T7" s="322"/>
      <c r="U7" s="322"/>
      <c r="V7" s="322"/>
      <c r="W7" s="322"/>
      <c r="X7" s="322"/>
      <c r="Y7" s="322"/>
      <c r="Z7" s="322"/>
      <c r="AA7" s="1"/>
      <c r="AB7" s="1"/>
      <c r="AC7" s="1"/>
      <c r="AD7" s="1"/>
    </row>
    <row r="8" spans="2:30" ht="12.6" customHeight="1" x14ac:dyDescent="0.25">
      <c r="B8" s="217" t="s">
        <v>2</v>
      </c>
      <c r="C8" s="28"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547</v>
      </c>
    </row>
    <row r="9" spans="2:30" ht="9.75" customHeight="1" x14ac:dyDescent="0.25">
      <c r="B9" s="356" t="s">
        <v>34</v>
      </c>
      <c r="C9" s="356"/>
      <c r="D9" s="356"/>
      <c r="E9" s="356"/>
      <c r="F9" s="356"/>
      <c r="G9" s="356"/>
      <c r="H9" s="356"/>
      <c r="I9" s="356"/>
      <c r="J9" s="356"/>
      <c r="K9" s="356"/>
      <c r="L9" s="356"/>
      <c r="M9" s="356"/>
      <c r="N9" s="356"/>
      <c r="O9" s="356"/>
      <c r="P9" s="356"/>
      <c r="Q9" s="356"/>
      <c r="R9" s="356"/>
      <c r="S9" s="356"/>
      <c r="T9" s="356"/>
      <c r="U9" s="356"/>
      <c r="V9" s="356"/>
      <c r="W9" s="356"/>
      <c r="X9" s="356"/>
      <c r="Y9" s="356"/>
      <c r="Z9" s="356"/>
      <c r="AA9" s="231"/>
      <c r="AB9" s="231"/>
      <c r="AC9" s="17"/>
      <c r="AD9" s="17"/>
    </row>
    <row r="10" spans="2:30" ht="9.75" customHeight="1" x14ac:dyDescent="0.25">
      <c r="B10" s="357" t="s">
        <v>36</v>
      </c>
      <c r="C10" s="357"/>
      <c r="D10" s="357"/>
      <c r="E10" s="357"/>
      <c r="F10" s="357"/>
      <c r="G10" s="357"/>
      <c r="H10" s="357"/>
      <c r="I10" s="357"/>
      <c r="J10" s="357"/>
      <c r="K10" s="357"/>
      <c r="L10" s="357"/>
      <c r="M10" s="357"/>
      <c r="N10" s="357"/>
      <c r="O10" s="357"/>
      <c r="P10" s="357"/>
      <c r="Q10" s="357"/>
      <c r="R10" s="357"/>
      <c r="S10" s="357"/>
      <c r="T10" s="357"/>
      <c r="U10" s="357"/>
      <c r="V10" s="357"/>
      <c r="W10" s="357"/>
      <c r="X10" s="357"/>
      <c r="Y10" s="357"/>
      <c r="Z10" s="357"/>
      <c r="AA10" s="231"/>
      <c r="AB10" s="231"/>
      <c r="AC10" s="231"/>
      <c r="AD10" s="231"/>
    </row>
    <row r="11" spans="2:30" ht="11.1" customHeight="1" x14ac:dyDescent="0.25">
      <c r="B11" s="232" t="s">
        <v>87</v>
      </c>
      <c r="C11" s="233"/>
      <c r="D11" s="233"/>
      <c r="E11" s="8"/>
      <c r="F11" s="151"/>
      <c r="G11" s="151"/>
      <c r="H11" s="151"/>
      <c r="I11" s="151"/>
      <c r="J11" s="151"/>
      <c r="K11" s="151"/>
      <c r="L11" s="151"/>
      <c r="M11" s="151"/>
      <c r="N11" s="151"/>
      <c r="O11" s="151"/>
      <c r="P11" s="151"/>
      <c r="Q11" s="151"/>
      <c r="R11" s="151"/>
      <c r="S11" s="151"/>
      <c r="T11" s="234"/>
      <c r="U11" s="234"/>
      <c r="V11" s="234"/>
      <c r="W11" s="234"/>
      <c r="X11" s="234"/>
      <c r="Y11" s="234"/>
      <c r="Z11" s="33"/>
      <c r="AA11" s="33"/>
      <c r="AB11" s="33"/>
      <c r="AC11" s="33"/>
      <c r="AD11" s="33"/>
    </row>
    <row r="12" spans="2:30" ht="11.1" customHeight="1" x14ac:dyDescent="0.25">
      <c r="B12" s="235" t="s">
        <v>90</v>
      </c>
      <c r="C12" s="8" t="s">
        <v>6</v>
      </c>
      <c r="D12" s="31">
        <v>7932</v>
      </c>
      <c r="E12" s="31">
        <v>3343</v>
      </c>
      <c r="F12" s="31">
        <v>3271</v>
      </c>
      <c r="G12" s="31">
        <v>3789</v>
      </c>
      <c r="H12" s="31">
        <v>4323</v>
      </c>
      <c r="I12" s="31">
        <v>8607</v>
      </c>
      <c r="J12" s="31">
        <v>4494</v>
      </c>
      <c r="K12" s="31">
        <v>3172</v>
      </c>
      <c r="L12" s="31">
        <v>3401</v>
      </c>
      <c r="M12" s="31">
        <v>4720</v>
      </c>
      <c r="N12" s="31">
        <v>7327</v>
      </c>
      <c r="O12" s="31">
        <v>6670</v>
      </c>
      <c r="P12" s="31">
        <v>10342</v>
      </c>
      <c r="Q12" s="31">
        <v>4429</v>
      </c>
      <c r="R12" s="31">
        <v>6930</v>
      </c>
      <c r="S12" s="31">
        <v>7612</v>
      </c>
      <c r="T12" s="31">
        <v>5831</v>
      </c>
      <c r="U12" s="31">
        <v>3911</v>
      </c>
      <c r="V12" s="31">
        <v>5407</v>
      </c>
      <c r="W12" s="31">
        <v>6404</v>
      </c>
      <c r="X12" s="31">
        <v>3785</v>
      </c>
      <c r="Y12" s="31">
        <v>4441</v>
      </c>
      <c r="Z12" s="33">
        <v>4027</v>
      </c>
      <c r="AA12" s="33">
        <v>2826</v>
      </c>
      <c r="AB12" s="33">
        <v>5970</v>
      </c>
      <c r="AC12" s="33">
        <v>4573</v>
      </c>
      <c r="AD12" s="10" t="s">
        <v>19</v>
      </c>
    </row>
    <row r="13" spans="2:30" ht="11.1" customHeight="1" x14ac:dyDescent="0.25">
      <c r="B13" s="235" t="s">
        <v>91</v>
      </c>
      <c r="C13" s="8" t="s">
        <v>6</v>
      </c>
      <c r="D13" s="31">
        <v>19604</v>
      </c>
      <c r="E13" s="31">
        <v>10657</v>
      </c>
      <c r="F13" s="31">
        <v>9998</v>
      </c>
      <c r="G13" s="31">
        <v>11297</v>
      </c>
      <c r="H13" s="31">
        <v>11668</v>
      </c>
      <c r="I13" s="31">
        <v>13689</v>
      </c>
      <c r="J13" s="31">
        <v>9881</v>
      </c>
      <c r="K13" s="31">
        <v>7020</v>
      </c>
      <c r="L13" s="31">
        <v>4553</v>
      </c>
      <c r="M13" s="31">
        <v>3533</v>
      </c>
      <c r="N13" s="31">
        <v>4784</v>
      </c>
      <c r="O13" s="31">
        <v>4176</v>
      </c>
      <c r="P13" s="31">
        <v>3768</v>
      </c>
      <c r="Q13" s="31">
        <v>3617</v>
      </c>
      <c r="R13" s="31">
        <v>3534</v>
      </c>
      <c r="S13" s="31">
        <v>3076</v>
      </c>
      <c r="T13" s="31">
        <v>3898</v>
      </c>
      <c r="U13" s="31">
        <v>3476</v>
      </c>
      <c r="V13" s="31">
        <v>3375</v>
      </c>
      <c r="W13" s="31">
        <v>3381</v>
      </c>
      <c r="X13" s="31">
        <v>3101</v>
      </c>
      <c r="Y13" s="31">
        <v>2630</v>
      </c>
      <c r="Z13" s="33">
        <v>4639</v>
      </c>
      <c r="AA13" s="33">
        <v>4036</v>
      </c>
      <c r="AB13" s="33">
        <v>4878</v>
      </c>
      <c r="AC13" s="33">
        <v>4086</v>
      </c>
      <c r="AD13" s="10" t="s">
        <v>19</v>
      </c>
    </row>
    <row r="14" spans="2:30" ht="11.1" customHeight="1" x14ac:dyDescent="0.25">
      <c r="B14" s="235" t="s">
        <v>92</v>
      </c>
      <c r="C14" s="8" t="s">
        <v>6</v>
      </c>
      <c r="D14" s="31">
        <v>39767</v>
      </c>
      <c r="E14" s="31">
        <v>33943</v>
      </c>
      <c r="F14" s="31">
        <v>43200</v>
      </c>
      <c r="G14" s="31">
        <v>39211</v>
      </c>
      <c r="H14" s="31">
        <v>44948</v>
      </c>
      <c r="I14" s="31">
        <v>39817</v>
      </c>
      <c r="J14" s="31">
        <v>35638</v>
      </c>
      <c r="K14" s="31">
        <v>36551</v>
      </c>
      <c r="L14" s="31">
        <v>31744</v>
      </c>
      <c r="M14" s="31">
        <v>35631</v>
      </c>
      <c r="N14" s="31">
        <v>38499</v>
      </c>
      <c r="O14" s="31">
        <v>47333</v>
      </c>
      <c r="P14" s="31">
        <v>29415</v>
      </c>
      <c r="Q14" s="31">
        <v>34615</v>
      </c>
      <c r="R14" s="31">
        <v>40921</v>
      </c>
      <c r="S14" s="31">
        <v>40460</v>
      </c>
      <c r="T14" s="31">
        <v>33772</v>
      </c>
      <c r="U14" s="31">
        <v>33044</v>
      </c>
      <c r="V14" s="31">
        <v>42954</v>
      </c>
      <c r="W14" s="31">
        <v>36081</v>
      </c>
      <c r="X14" s="31">
        <v>34206</v>
      </c>
      <c r="Y14" s="31">
        <v>39193</v>
      </c>
      <c r="Z14" s="33">
        <v>62863</v>
      </c>
      <c r="AA14" s="33">
        <v>57253</v>
      </c>
      <c r="AB14" s="33">
        <v>45349</v>
      </c>
      <c r="AC14" s="33">
        <v>26435</v>
      </c>
      <c r="AD14" s="10" t="s">
        <v>19</v>
      </c>
    </row>
    <row r="15" spans="2:30" ht="11.1" customHeight="1" x14ac:dyDescent="0.25">
      <c r="B15" s="235" t="s">
        <v>88</v>
      </c>
      <c r="C15" s="8" t="s">
        <v>6</v>
      </c>
      <c r="D15" s="31">
        <v>38242</v>
      </c>
      <c r="E15" s="31">
        <v>26029</v>
      </c>
      <c r="F15" s="31">
        <v>21818</v>
      </c>
      <c r="G15" s="31">
        <v>23032</v>
      </c>
      <c r="H15" s="31">
        <v>28094</v>
      </c>
      <c r="I15" s="31">
        <v>34089</v>
      </c>
      <c r="J15" s="31">
        <v>27869</v>
      </c>
      <c r="K15" s="31">
        <v>29246</v>
      </c>
      <c r="L15" s="31">
        <v>18236</v>
      </c>
      <c r="M15" s="31">
        <v>11392</v>
      </c>
      <c r="N15" s="31">
        <v>19996</v>
      </c>
      <c r="O15" s="31">
        <v>18744</v>
      </c>
      <c r="P15" s="31">
        <v>20175</v>
      </c>
      <c r="Q15" s="31">
        <v>14105</v>
      </c>
      <c r="R15" s="31">
        <v>13208</v>
      </c>
      <c r="S15" s="31">
        <v>16882</v>
      </c>
      <c r="T15" s="31">
        <v>22824</v>
      </c>
      <c r="U15" s="31">
        <v>19870</v>
      </c>
      <c r="V15" s="31">
        <v>25302</v>
      </c>
      <c r="W15" s="31">
        <v>22282</v>
      </c>
      <c r="X15" s="31">
        <v>18243</v>
      </c>
      <c r="Y15" s="31">
        <v>18157</v>
      </c>
      <c r="Z15" s="33">
        <v>22899</v>
      </c>
      <c r="AA15" s="33">
        <v>21704</v>
      </c>
      <c r="AB15" s="33">
        <v>31811</v>
      </c>
      <c r="AC15" s="33">
        <v>40092</v>
      </c>
      <c r="AD15" s="10" t="s">
        <v>19</v>
      </c>
    </row>
    <row r="16" spans="2:30" ht="11.1" customHeight="1" x14ac:dyDescent="0.25">
      <c r="B16" s="235" t="s">
        <v>39</v>
      </c>
      <c r="C16" s="8" t="s">
        <v>6</v>
      </c>
      <c r="D16" s="31">
        <v>4597</v>
      </c>
      <c r="E16" s="31">
        <v>2480</v>
      </c>
      <c r="F16" s="31">
        <v>3153</v>
      </c>
      <c r="G16" s="31">
        <v>3280</v>
      </c>
      <c r="H16" s="31">
        <v>2977</v>
      </c>
      <c r="I16" s="31">
        <v>4345</v>
      </c>
      <c r="J16" s="31">
        <v>3250</v>
      </c>
      <c r="K16" s="31">
        <v>2621</v>
      </c>
      <c r="L16" s="31">
        <v>2184</v>
      </c>
      <c r="M16" s="31">
        <v>2622</v>
      </c>
      <c r="N16" s="31">
        <v>2760</v>
      </c>
      <c r="O16" s="31">
        <v>4622</v>
      </c>
      <c r="P16" s="31">
        <v>3160</v>
      </c>
      <c r="Q16" s="31">
        <v>3002</v>
      </c>
      <c r="R16" s="31">
        <v>4131</v>
      </c>
      <c r="S16" s="31">
        <v>2150</v>
      </c>
      <c r="T16" s="31">
        <v>2507</v>
      </c>
      <c r="U16" s="31">
        <v>2349</v>
      </c>
      <c r="V16" s="31">
        <v>2197</v>
      </c>
      <c r="W16" s="31">
        <v>1932</v>
      </c>
      <c r="X16" s="31">
        <v>1402</v>
      </c>
      <c r="Y16" s="31">
        <v>1667</v>
      </c>
      <c r="Z16" s="33">
        <v>1058</v>
      </c>
      <c r="AA16" s="33">
        <v>2095</v>
      </c>
      <c r="AB16" s="33">
        <v>833</v>
      </c>
      <c r="AC16" s="33">
        <v>733</v>
      </c>
      <c r="AD16" s="10" t="s">
        <v>19</v>
      </c>
    </row>
    <row r="17" spans="2:30" ht="11.45" customHeight="1" x14ac:dyDescent="0.25">
      <c r="B17" s="235" t="s">
        <v>13</v>
      </c>
      <c r="C17" s="8" t="s">
        <v>6</v>
      </c>
      <c r="D17" s="31">
        <v>110142</v>
      </c>
      <c r="E17" s="31">
        <v>76452</v>
      </c>
      <c r="F17" s="31">
        <v>81440</v>
      </c>
      <c r="G17" s="31">
        <v>80608</v>
      </c>
      <c r="H17" s="31">
        <v>92011</v>
      </c>
      <c r="I17" s="31">
        <v>100546</v>
      </c>
      <c r="J17" s="31">
        <v>81132</v>
      </c>
      <c r="K17" s="31">
        <v>78610</v>
      </c>
      <c r="L17" s="31">
        <v>60118</v>
      </c>
      <c r="M17" s="31">
        <v>57898</v>
      </c>
      <c r="N17" s="31">
        <v>73366</v>
      </c>
      <c r="O17" s="31">
        <v>81544</v>
      </c>
      <c r="P17" s="31">
        <v>66859</v>
      </c>
      <c r="Q17" s="31">
        <v>59769</v>
      </c>
      <c r="R17" s="31">
        <v>68724</v>
      </c>
      <c r="S17" s="31">
        <v>70179</v>
      </c>
      <c r="T17" s="31">
        <v>68832</v>
      </c>
      <c r="U17" s="31">
        <v>62650</v>
      </c>
      <c r="V17" s="31">
        <v>79236</v>
      </c>
      <c r="W17" s="31">
        <v>70080</v>
      </c>
      <c r="X17" s="31">
        <v>60737</v>
      </c>
      <c r="Y17" s="31">
        <v>66088</v>
      </c>
      <c r="Z17" s="33">
        <v>95486</v>
      </c>
      <c r="AA17" s="33">
        <v>87914</v>
      </c>
      <c r="AB17" s="33">
        <v>88842</v>
      </c>
      <c r="AC17" s="33">
        <v>75920</v>
      </c>
      <c r="AD17" s="10" t="s">
        <v>19</v>
      </c>
    </row>
    <row r="18" spans="2:30" ht="11.1" customHeight="1" x14ac:dyDescent="0.25">
      <c r="B18" s="236" t="s">
        <v>265</v>
      </c>
      <c r="C18" s="8" t="s">
        <v>6</v>
      </c>
      <c r="D18" s="31">
        <v>19061</v>
      </c>
      <c r="E18" s="31">
        <v>23839</v>
      </c>
      <c r="F18" s="31">
        <v>28704</v>
      </c>
      <c r="G18" s="31">
        <v>25486</v>
      </c>
      <c r="H18" s="31">
        <v>25876</v>
      </c>
      <c r="I18" s="31">
        <v>30577</v>
      </c>
      <c r="J18" s="31">
        <v>24299</v>
      </c>
      <c r="K18" s="31">
        <v>29230</v>
      </c>
      <c r="L18" s="31">
        <v>28000</v>
      </c>
      <c r="M18" s="31">
        <v>29292</v>
      </c>
      <c r="N18" s="31">
        <v>29621</v>
      </c>
      <c r="O18" s="31">
        <v>28945</v>
      </c>
      <c r="P18" s="31">
        <v>30534</v>
      </c>
      <c r="Q18" s="31">
        <v>31054</v>
      </c>
      <c r="R18" s="31">
        <v>29748</v>
      </c>
      <c r="S18" s="31">
        <v>29608</v>
      </c>
      <c r="T18" s="31">
        <v>29122</v>
      </c>
      <c r="U18" s="31">
        <v>24170</v>
      </c>
      <c r="V18" s="31">
        <v>23271</v>
      </c>
      <c r="W18" s="31">
        <v>23607</v>
      </c>
      <c r="X18" s="31">
        <v>19825</v>
      </c>
      <c r="Y18" s="31">
        <v>15714</v>
      </c>
      <c r="Z18" s="33">
        <v>33569</v>
      </c>
      <c r="AA18" s="33">
        <v>29962</v>
      </c>
      <c r="AB18" s="33">
        <v>35891</v>
      </c>
      <c r="AC18" s="33">
        <v>33582</v>
      </c>
      <c r="AD18" s="10" t="s">
        <v>19</v>
      </c>
    </row>
    <row r="19" spans="2:30" ht="11.1" customHeight="1" x14ac:dyDescent="0.25">
      <c r="B19" s="236" t="s">
        <v>391</v>
      </c>
      <c r="C19" s="8" t="s">
        <v>6</v>
      </c>
      <c r="D19" s="31" t="s">
        <v>19</v>
      </c>
      <c r="E19" s="31">
        <v>977</v>
      </c>
      <c r="F19" s="31">
        <v>1132</v>
      </c>
      <c r="G19" s="31">
        <v>2923</v>
      </c>
      <c r="H19" s="31">
        <v>1586</v>
      </c>
      <c r="I19" s="31">
        <v>2186</v>
      </c>
      <c r="J19" s="31">
        <v>2254</v>
      </c>
      <c r="K19" s="31">
        <v>6242</v>
      </c>
      <c r="L19" s="31">
        <v>8328</v>
      </c>
      <c r="M19" s="31">
        <v>11491</v>
      </c>
      <c r="N19" s="31">
        <v>7418</v>
      </c>
      <c r="O19" s="31">
        <v>5014</v>
      </c>
      <c r="P19" s="31">
        <v>5619</v>
      </c>
      <c r="Q19" s="31">
        <v>5552</v>
      </c>
      <c r="R19" s="31">
        <v>6195</v>
      </c>
      <c r="S19" s="31">
        <v>7610</v>
      </c>
      <c r="T19" s="31">
        <v>5401</v>
      </c>
      <c r="U19" s="31">
        <v>5895</v>
      </c>
      <c r="V19" s="31">
        <v>10268</v>
      </c>
      <c r="W19" s="31">
        <v>5410</v>
      </c>
      <c r="X19" s="31">
        <v>4427</v>
      </c>
      <c r="Y19" s="31">
        <v>4282</v>
      </c>
      <c r="Z19" s="33">
        <v>5758</v>
      </c>
      <c r="AA19" s="33">
        <v>5176</v>
      </c>
      <c r="AB19" s="33">
        <v>2776</v>
      </c>
      <c r="AC19" s="33">
        <v>1952</v>
      </c>
      <c r="AD19" s="10" t="s">
        <v>19</v>
      </c>
    </row>
    <row r="20" spans="2:30" ht="11.1" customHeight="1" x14ac:dyDescent="0.25">
      <c r="B20" s="236" t="s">
        <v>68</v>
      </c>
      <c r="C20" s="8" t="s">
        <v>6</v>
      </c>
      <c r="D20" s="31">
        <v>7792</v>
      </c>
      <c r="E20" s="31">
        <v>8133</v>
      </c>
      <c r="F20" s="31">
        <v>6154</v>
      </c>
      <c r="G20" s="31">
        <v>5133</v>
      </c>
      <c r="H20" s="31">
        <v>7413</v>
      </c>
      <c r="I20" s="31">
        <v>6439</v>
      </c>
      <c r="J20" s="31">
        <v>7012</v>
      </c>
      <c r="K20" s="31">
        <v>13403</v>
      </c>
      <c r="L20" s="31">
        <v>11717</v>
      </c>
      <c r="M20" s="31">
        <v>9529</v>
      </c>
      <c r="N20" s="31">
        <v>9699</v>
      </c>
      <c r="O20" s="31">
        <v>10050</v>
      </c>
      <c r="P20" s="31">
        <v>9462</v>
      </c>
      <c r="Q20" s="31">
        <v>10043</v>
      </c>
      <c r="R20" s="31">
        <v>11600</v>
      </c>
      <c r="S20" s="31">
        <v>12641</v>
      </c>
      <c r="T20" s="31">
        <v>12390</v>
      </c>
      <c r="U20" s="31">
        <v>13545</v>
      </c>
      <c r="V20" s="31">
        <v>11276</v>
      </c>
      <c r="W20" s="31">
        <v>12520</v>
      </c>
      <c r="X20" s="31">
        <v>12477</v>
      </c>
      <c r="Y20" s="31">
        <v>12446</v>
      </c>
      <c r="Z20" s="33">
        <v>17354</v>
      </c>
      <c r="AA20" s="33">
        <v>13183</v>
      </c>
      <c r="AB20" s="33">
        <v>29519</v>
      </c>
      <c r="AC20" s="33">
        <v>19755</v>
      </c>
      <c r="AD20" s="10" t="s">
        <v>19</v>
      </c>
    </row>
    <row r="21" spans="2:30" ht="11.45" customHeight="1" x14ac:dyDescent="0.25">
      <c r="B21" s="236" t="s">
        <v>13</v>
      </c>
      <c r="C21" s="8" t="s">
        <v>6</v>
      </c>
      <c r="D21" s="31">
        <v>136996</v>
      </c>
      <c r="E21" s="31">
        <v>109401</v>
      </c>
      <c r="F21" s="31">
        <v>117430</v>
      </c>
      <c r="G21" s="31">
        <v>114150</v>
      </c>
      <c r="H21" s="31">
        <v>126886</v>
      </c>
      <c r="I21" s="31">
        <v>139748</v>
      </c>
      <c r="J21" s="31">
        <v>114697</v>
      </c>
      <c r="K21" s="31">
        <v>127484</v>
      </c>
      <c r="L21" s="31">
        <v>108163</v>
      </c>
      <c r="M21" s="31">
        <v>108210</v>
      </c>
      <c r="N21" s="31">
        <v>120104</v>
      </c>
      <c r="O21" s="31">
        <v>125552</v>
      </c>
      <c r="P21" s="31">
        <v>112474</v>
      </c>
      <c r="Q21" s="31">
        <v>106418</v>
      </c>
      <c r="R21" s="31">
        <v>116266</v>
      </c>
      <c r="S21" s="31">
        <v>120038</v>
      </c>
      <c r="T21" s="31">
        <v>115745</v>
      </c>
      <c r="U21" s="31">
        <v>106260</v>
      </c>
      <c r="V21" s="31">
        <v>124050</v>
      </c>
      <c r="W21" s="31">
        <v>111616</v>
      </c>
      <c r="X21" s="31">
        <v>97465</v>
      </c>
      <c r="Y21" s="31">
        <v>98530</v>
      </c>
      <c r="Z21" s="33">
        <v>152167</v>
      </c>
      <c r="AA21" s="33">
        <v>136234</v>
      </c>
      <c r="AB21" s="33">
        <v>157027</v>
      </c>
      <c r="AC21" s="33">
        <v>131209</v>
      </c>
      <c r="AD21" s="10" t="s">
        <v>19</v>
      </c>
    </row>
    <row r="22" spans="2:30" ht="9.75" customHeight="1" x14ac:dyDescent="0.25">
      <c r="B22" s="358" t="s">
        <v>40</v>
      </c>
      <c r="C22" s="358"/>
      <c r="D22" s="358"/>
      <c r="E22" s="358"/>
      <c r="F22" s="358"/>
      <c r="G22" s="358"/>
      <c r="H22" s="358"/>
      <c r="I22" s="358"/>
      <c r="J22" s="358"/>
      <c r="K22" s="358"/>
      <c r="L22" s="358"/>
      <c r="M22" s="358"/>
      <c r="N22" s="358"/>
      <c r="O22" s="358"/>
      <c r="P22" s="358"/>
      <c r="Q22" s="358"/>
      <c r="R22" s="358"/>
      <c r="S22" s="358"/>
      <c r="T22" s="358"/>
      <c r="U22" s="358"/>
      <c r="V22" s="358"/>
      <c r="W22" s="358"/>
      <c r="X22" s="358"/>
      <c r="Y22" s="358"/>
      <c r="Z22" s="358"/>
      <c r="AA22" s="237"/>
      <c r="AB22" s="237"/>
      <c r="AC22" s="237"/>
      <c r="AD22" s="237"/>
    </row>
    <row r="23" spans="2:30" ht="11.1" customHeight="1" x14ac:dyDescent="0.25">
      <c r="B23" s="236" t="s">
        <v>43</v>
      </c>
      <c r="C23" s="8" t="s">
        <v>6</v>
      </c>
      <c r="D23" s="31">
        <v>19343</v>
      </c>
      <c r="E23" s="31">
        <v>18229</v>
      </c>
      <c r="F23" s="31">
        <v>22636</v>
      </c>
      <c r="G23" s="31">
        <v>15349</v>
      </c>
      <c r="H23" s="31">
        <v>7831</v>
      </c>
      <c r="I23" s="31">
        <v>10412</v>
      </c>
      <c r="J23" s="31">
        <v>16069</v>
      </c>
      <c r="K23" s="31">
        <v>6312</v>
      </c>
      <c r="L23" s="31">
        <v>12289</v>
      </c>
      <c r="M23" s="31">
        <v>10415</v>
      </c>
      <c r="N23" s="31">
        <v>9345</v>
      </c>
      <c r="O23" s="31">
        <v>10509</v>
      </c>
      <c r="P23" s="31">
        <v>3993</v>
      </c>
      <c r="Q23" s="31">
        <v>6127</v>
      </c>
      <c r="R23" s="31">
        <v>11657</v>
      </c>
      <c r="S23" s="31">
        <v>5435</v>
      </c>
      <c r="T23" s="31">
        <v>4413</v>
      </c>
      <c r="U23" s="31">
        <v>3040</v>
      </c>
      <c r="V23" s="31">
        <v>2492</v>
      </c>
      <c r="W23" s="31">
        <v>5290</v>
      </c>
      <c r="X23" s="31">
        <v>4093</v>
      </c>
      <c r="Y23" s="31">
        <v>3664</v>
      </c>
      <c r="Z23" s="33">
        <v>1486</v>
      </c>
      <c r="AA23" s="33">
        <v>189</v>
      </c>
      <c r="AB23" s="33">
        <v>37</v>
      </c>
      <c r="AC23" s="33">
        <v>1129</v>
      </c>
      <c r="AD23" s="10" t="s">
        <v>19</v>
      </c>
    </row>
    <row r="24" spans="2:30" ht="11.1" customHeight="1" x14ac:dyDescent="0.25">
      <c r="B24" s="236" t="s">
        <v>392</v>
      </c>
      <c r="C24" s="8" t="s">
        <v>6</v>
      </c>
      <c r="D24" s="31">
        <v>726</v>
      </c>
      <c r="E24" s="31">
        <v>1191</v>
      </c>
      <c r="F24" s="31">
        <v>1492</v>
      </c>
      <c r="G24" s="31">
        <v>1027</v>
      </c>
      <c r="H24" s="31">
        <v>972</v>
      </c>
      <c r="I24" s="31">
        <v>1025</v>
      </c>
      <c r="J24" s="31">
        <v>1192</v>
      </c>
      <c r="K24" s="31">
        <v>812</v>
      </c>
      <c r="L24" s="31">
        <v>550</v>
      </c>
      <c r="M24" s="31">
        <v>302</v>
      </c>
      <c r="N24" s="31">
        <v>494</v>
      </c>
      <c r="O24" s="31">
        <v>715</v>
      </c>
      <c r="P24" s="31">
        <v>510</v>
      </c>
      <c r="Q24" s="31">
        <v>758</v>
      </c>
      <c r="R24" s="31">
        <v>662</v>
      </c>
      <c r="S24" s="31">
        <v>657</v>
      </c>
      <c r="T24" s="31">
        <v>608</v>
      </c>
      <c r="U24" s="31">
        <v>673</v>
      </c>
      <c r="V24" s="31">
        <v>715</v>
      </c>
      <c r="W24" s="31">
        <v>719</v>
      </c>
      <c r="X24" s="31">
        <v>921</v>
      </c>
      <c r="Y24" s="31">
        <v>1137</v>
      </c>
      <c r="Z24" s="33">
        <v>1583</v>
      </c>
      <c r="AA24" s="33">
        <v>2012</v>
      </c>
      <c r="AB24" s="33">
        <v>1749</v>
      </c>
      <c r="AC24" s="33">
        <v>1609</v>
      </c>
      <c r="AD24" s="10" t="s">
        <v>19</v>
      </c>
    </row>
    <row r="25" spans="2:30" ht="11.1" customHeight="1" x14ac:dyDescent="0.25">
      <c r="B25" s="236" t="s">
        <v>70</v>
      </c>
      <c r="C25" s="8" t="s">
        <v>6</v>
      </c>
      <c r="D25" s="31">
        <v>101</v>
      </c>
      <c r="E25" s="31" t="s">
        <v>19</v>
      </c>
      <c r="F25" s="31" t="s">
        <v>19</v>
      </c>
      <c r="G25" s="31" t="s">
        <v>19</v>
      </c>
      <c r="H25" s="31" t="s">
        <v>19</v>
      </c>
      <c r="I25" s="31" t="s">
        <v>19</v>
      </c>
      <c r="J25" s="31" t="s">
        <v>19</v>
      </c>
      <c r="K25" s="31" t="s">
        <v>19</v>
      </c>
      <c r="L25" s="31" t="s">
        <v>19</v>
      </c>
      <c r="M25" s="31" t="s">
        <v>19</v>
      </c>
      <c r="N25" s="31" t="s">
        <v>19</v>
      </c>
      <c r="O25" s="31" t="s">
        <v>19</v>
      </c>
      <c r="P25" s="31" t="s">
        <v>19</v>
      </c>
      <c r="Q25" s="31" t="s">
        <v>19</v>
      </c>
      <c r="R25" s="31" t="s">
        <v>19</v>
      </c>
      <c r="S25" s="31" t="s">
        <v>19</v>
      </c>
      <c r="T25" s="31" t="s">
        <v>19</v>
      </c>
      <c r="U25" s="31" t="s">
        <v>19</v>
      </c>
      <c r="V25" s="31" t="s">
        <v>19</v>
      </c>
      <c r="W25" s="31" t="s">
        <v>19</v>
      </c>
      <c r="X25" s="31" t="s">
        <v>19</v>
      </c>
      <c r="Y25" s="31" t="s">
        <v>19</v>
      </c>
      <c r="Z25" s="33">
        <v>212</v>
      </c>
      <c r="AA25" s="33">
        <v>248</v>
      </c>
      <c r="AB25" s="33">
        <v>8642</v>
      </c>
      <c r="AC25" s="33">
        <v>7977</v>
      </c>
      <c r="AD25" s="10" t="s">
        <v>19</v>
      </c>
    </row>
    <row r="26" spans="2:30" ht="11.1" customHeight="1" x14ac:dyDescent="0.25">
      <c r="B26" s="236" t="s">
        <v>13</v>
      </c>
      <c r="C26" s="8" t="s">
        <v>6</v>
      </c>
      <c r="D26" s="31">
        <v>20170</v>
      </c>
      <c r="E26" s="31">
        <v>19420</v>
      </c>
      <c r="F26" s="31">
        <v>24128</v>
      </c>
      <c r="G26" s="31">
        <v>16376</v>
      </c>
      <c r="H26" s="31">
        <v>8803</v>
      </c>
      <c r="I26" s="31">
        <v>11437</v>
      </c>
      <c r="J26" s="31">
        <v>17261</v>
      </c>
      <c r="K26" s="31">
        <v>7124</v>
      </c>
      <c r="L26" s="31">
        <v>12839</v>
      </c>
      <c r="M26" s="31">
        <v>10717</v>
      </c>
      <c r="N26" s="31">
        <v>9839</v>
      </c>
      <c r="O26" s="31">
        <v>11224</v>
      </c>
      <c r="P26" s="31">
        <v>4503</v>
      </c>
      <c r="Q26" s="31">
        <v>6885</v>
      </c>
      <c r="R26" s="31">
        <v>12318</v>
      </c>
      <c r="S26" s="31">
        <v>6092</v>
      </c>
      <c r="T26" s="31">
        <v>5021</v>
      </c>
      <c r="U26" s="31">
        <v>3713</v>
      </c>
      <c r="V26" s="31">
        <v>3207</v>
      </c>
      <c r="W26" s="31">
        <v>6008</v>
      </c>
      <c r="X26" s="31">
        <v>5014</v>
      </c>
      <c r="Y26" s="31">
        <v>4801</v>
      </c>
      <c r="Z26" s="33">
        <v>3282</v>
      </c>
      <c r="AA26" s="33">
        <v>2449</v>
      </c>
      <c r="AB26" s="33">
        <v>10427</v>
      </c>
      <c r="AC26" s="33">
        <v>10716</v>
      </c>
      <c r="AD26" s="10" t="s">
        <v>19</v>
      </c>
    </row>
    <row r="27" spans="2:30" ht="11.1" customHeight="1" x14ac:dyDescent="0.25">
      <c r="B27" s="358" t="s">
        <v>71</v>
      </c>
      <c r="C27" s="358"/>
      <c r="D27" s="358"/>
      <c r="E27" s="358"/>
      <c r="F27" s="358"/>
      <c r="G27" s="358"/>
      <c r="H27" s="358"/>
      <c r="I27" s="358"/>
      <c r="J27" s="358"/>
      <c r="K27" s="358"/>
      <c r="L27" s="358"/>
      <c r="M27" s="358"/>
      <c r="N27" s="358"/>
      <c r="O27" s="358"/>
      <c r="P27" s="358"/>
      <c r="Q27" s="358"/>
      <c r="R27" s="358"/>
      <c r="S27" s="358"/>
      <c r="T27" s="358"/>
      <c r="U27" s="358"/>
      <c r="V27" s="358"/>
      <c r="W27" s="358"/>
      <c r="X27" s="358"/>
      <c r="Y27" s="358"/>
      <c r="Z27" s="358"/>
      <c r="AA27" s="237"/>
      <c r="AB27" s="237"/>
      <c r="AC27" s="237"/>
      <c r="AD27" s="237"/>
    </row>
    <row r="28" spans="2:30" ht="11.1" customHeight="1" x14ac:dyDescent="0.25">
      <c r="B28" s="236" t="s">
        <v>348</v>
      </c>
      <c r="C28" s="8" t="s">
        <v>6</v>
      </c>
      <c r="D28" s="31">
        <v>1126</v>
      </c>
      <c r="E28" s="31">
        <v>722</v>
      </c>
      <c r="F28" s="31">
        <v>780</v>
      </c>
      <c r="G28" s="31">
        <v>800</v>
      </c>
      <c r="H28" s="31">
        <v>741</v>
      </c>
      <c r="I28" s="31">
        <v>1279</v>
      </c>
      <c r="J28" s="31">
        <v>1706</v>
      </c>
      <c r="K28" s="31">
        <v>1856</v>
      </c>
      <c r="L28" s="31">
        <v>1525</v>
      </c>
      <c r="M28" s="31">
        <v>1213</v>
      </c>
      <c r="N28" s="31">
        <v>865</v>
      </c>
      <c r="O28" s="31">
        <v>774</v>
      </c>
      <c r="P28" s="31">
        <v>627</v>
      </c>
      <c r="Q28" s="31">
        <v>530</v>
      </c>
      <c r="R28" s="31">
        <v>461</v>
      </c>
      <c r="S28" s="31">
        <v>523</v>
      </c>
      <c r="T28" s="31">
        <v>487</v>
      </c>
      <c r="U28" s="31">
        <v>543</v>
      </c>
      <c r="V28" s="31">
        <v>591</v>
      </c>
      <c r="W28" s="31">
        <v>412</v>
      </c>
      <c r="X28" s="31">
        <v>313</v>
      </c>
      <c r="Y28" s="31">
        <v>159</v>
      </c>
      <c r="Z28" s="33">
        <v>152</v>
      </c>
      <c r="AA28" s="33">
        <v>147</v>
      </c>
      <c r="AB28" s="33">
        <v>390</v>
      </c>
      <c r="AC28" s="33">
        <v>372</v>
      </c>
      <c r="AD28" s="10" t="s">
        <v>19</v>
      </c>
    </row>
    <row r="29" spans="2:30" ht="11.1" customHeight="1" x14ac:dyDescent="0.25">
      <c r="B29" s="236" t="s">
        <v>381</v>
      </c>
      <c r="C29" s="8" t="s">
        <v>6</v>
      </c>
      <c r="D29" s="31" t="s">
        <v>19</v>
      </c>
      <c r="E29" s="31" t="s">
        <v>19</v>
      </c>
      <c r="F29" s="31" t="s">
        <v>19</v>
      </c>
      <c r="G29" s="31">
        <v>3777</v>
      </c>
      <c r="H29" s="31">
        <v>3216</v>
      </c>
      <c r="I29" s="31">
        <v>3672</v>
      </c>
      <c r="J29" s="31">
        <v>3226</v>
      </c>
      <c r="K29" s="31">
        <v>2680</v>
      </c>
      <c r="L29" s="31">
        <v>5301</v>
      </c>
      <c r="M29" s="31">
        <v>5551</v>
      </c>
      <c r="N29" s="31">
        <v>5841</v>
      </c>
      <c r="O29" s="31">
        <v>6247</v>
      </c>
      <c r="P29" s="31">
        <v>4252</v>
      </c>
      <c r="Q29" s="31">
        <v>3738</v>
      </c>
      <c r="R29" s="31">
        <v>1309</v>
      </c>
      <c r="S29" s="31">
        <v>1246</v>
      </c>
      <c r="T29" s="31">
        <v>1362</v>
      </c>
      <c r="U29" s="31">
        <v>2912</v>
      </c>
      <c r="V29" s="31">
        <v>1407</v>
      </c>
      <c r="W29" s="31">
        <v>1470</v>
      </c>
      <c r="X29" s="31">
        <v>1169</v>
      </c>
      <c r="Y29" s="31">
        <v>1065</v>
      </c>
      <c r="Z29" s="33">
        <v>2612</v>
      </c>
      <c r="AA29" s="33">
        <v>3222</v>
      </c>
      <c r="AB29" s="33">
        <v>6586</v>
      </c>
      <c r="AC29" s="33">
        <v>5786</v>
      </c>
      <c r="AD29" s="10" t="s">
        <v>19</v>
      </c>
    </row>
    <row r="30" spans="2:30" ht="11.1" customHeight="1" x14ac:dyDescent="0.25">
      <c r="B30" s="236" t="s">
        <v>75</v>
      </c>
      <c r="C30" s="8" t="s">
        <v>6</v>
      </c>
      <c r="D30" s="31">
        <v>6484</v>
      </c>
      <c r="E30" s="31">
        <v>7660</v>
      </c>
      <c r="F30" s="31">
        <v>8202</v>
      </c>
      <c r="G30" s="31">
        <v>8792</v>
      </c>
      <c r="H30" s="31">
        <v>6246</v>
      </c>
      <c r="I30" s="31">
        <v>6515</v>
      </c>
      <c r="J30" s="31">
        <v>5417</v>
      </c>
      <c r="K30" s="31">
        <v>8647</v>
      </c>
      <c r="L30" s="31">
        <v>8068</v>
      </c>
      <c r="M30" s="31">
        <v>8971</v>
      </c>
      <c r="N30" s="31">
        <v>9908</v>
      </c>
      <c r="O30" s="31">
        <v>9206</v>
      </c>
      <c r="P30" s="31">
        <v>12509</v>
      </c>
      <c r="Q30" s="31">
        <v>13773</v>
      </c>
      <c r="R30" s="31">
        <v>9549</v>
      </c>
      <c r="S30" s="31">
        <v>7580</v>
      </c>
      <c r="T30" s="31">
        <v>6367</v>
      </c>
      <c r="U30" s="31">
        <v>6480</v>
      </c>
      <c r="V30" s="31">
        <v>8103</v>
      </c>
      <c r="W30" s="31">
        <v>7344</v>
      </c>
      <c r="X30" s="31">
        <v>6006</v>
      </c>
      <c r="Y30" s="31">
        <v>5813</v>
      </c>
      <c r="Z30" s="33">
        <v>17243</v>
      </c>
      <c r="AA30" s="33">
        <v>18426</v>
      </c>
      <c r="AB30" s="33">
        <v>12088</v>
      </c>
      <c r="AC30" s="33">
        <v>10813</v>
      </c>
      <c r="AD30" s="10" t="s">
        <v>19</v>
      </c>
    </row>
    <row r="31" spans="2:30" ht="11.1" customHeight="1" x14ac:dyDescent="0.25">
      <c r="B31" s="236" t="s">
        <v>382</v>
      </c>
      <c r="C31" s="8" t="s">
        <v>6</v>
      </c>
      <c r="D31" s="31">
        <v>636</v>
      </c>
      <c r="E31" s="31">
        <v>755</v>
      </c>
      <c r="F31" s="31">
        <v>819</v>
      </c>
      <c r="G31" s="31">
        <v>687</v>
      </c>
      <c r="H31" s="31">
        <v>598</v>
      </c>
      <c r="I31" s="31">
        <v>894</v>
      </c>
      <c r="J31" s="31">
        <v>840</v>
      </c>
      <c r="K31" s="31">
        <v>1664</v>
      </c>
      <c r="L31" s="31">
        <v>1482</v>
      </c>
      <c r="M31" s="31">
        <v>2118</v>
      </c>
      <c r="N31" s="31">
        <v>1373</v>
      </c>
      <c r="O31" s="31">
        <v>1349</v>
      </c>
      <c r="P31" s="31">
        <v>885</v>
      </c>
      <c r="Q31" s="31">
        <v>1026</v>
      </c>
      <c r="R31" s="31">
        <v>1261</v>
      </c>
      <c r="S31" s="31">
        <v>1074</v>
      </c>
      <c r="T31" s="31">
        <v>1067</v>
      </c>
      <c r="U31" s="31">
        <v>1549</v>
      </c>
      <c r="V31" s="31">
        <v>989</v>
      </c>
      <c r="W31" s="31">
        <v>693</v>
      </c>
      <c r="X31" s="31">
        <v>520</v>
      </c>
      <c r="Y31" s="31">
        <v>553</v>
      </c>
      <c r="Z31" s="33">
        <v>630</v>
      </c>
      <c r="AA31" s="33">
        <v>544</v>
      </c>
      <c r="AB31" s="33">
        <v>592</v>
      </c>
      <c r="AC31" s="33">
        <v>446</v>
      </c>
      <c r="AD31" s="10" t="s">
        <v>19</v>
      </c>
    </row>
    <row r="32" spans="2:30" ht="11.1" customHeight="1" x14ac:dyDescent="0.25">
      <c r="B32" s="236" t="s">
        <v>320</v>
      </c>
      <c r="C32" s="8" t="s">
        <v>6</v>
      </c>
      <c r="D32" s="31">
        <v>7752</v>
      </c>
      <c r="E32" s="31">
        <v>4572</v>
      </c>
      <c r="F32" s="31">
        <v>6585</v>
      </c>
      <c r="G32" s="31">
        <v>5787</v>
      </c>
      <c r="H32" s="31">
        <v>6313</v>
      </c>
      <c r="I32" s="31">
        <v>6977</v>
      </c>
      <c r="J32" s="31">
        <v>5260</v>
      </c>
      <c r="K32" s="31">
        <v>4720</v>
      </c>
      <c r="L32" s="31">
        <v>3974</v>
      </c>
      <c r="M32" s="31">
        <v>4595</v>
      </c>
      <c r="N32" s="31">
        <v>4660</v>
      </c>
      <c r="O32" s="31">
        <v>4846</v>
      </c>
      <c r="P32" s="31">
        <v>4187</v>
      </c>
      <c r="Q32" s="31">
        <v>4348</v>
      </c>
      <c r="R32" s="31">
        <v>5247</v>
      </c>
      <c r="S32" s="31">
        <v>4202</v>
      </c>
      <c r="T32" s="31">
        <v>4844</v>
      </c>
      <c r="U32" s="31">
        <v>3801</v>
      </c>
      <c r="V32" s="31">
        <v>4659</v>
      </c>
      <c r="W32" s="31">
        <v>3231</v>
      </c>
      <c r="X32" s="31">
        <v>2973</v>
      </c>
      <c r="Y32" s="31">
        <v>2776</v>
      </c>
      <c r="Z32" s="33">
        <v>4569</v>
      </c>
      <c r="AA32" s="33">
        <v>3224</v>
      </c>
      <c r="AB32" s="33">
        <v>3796</v>
      </c>
      <c r="AC32" s="33">
        <v>2529</v>
      </c>
      <c r="AD32" s="10" t="s">
        <v>19</v>
      </c>
    </row>
    <row r="33" spans="2:30" ht="11.1" customHeight="1" x14ac:dyDescent="0.25">
      <c r="B33" s="236" t="s">
        <v>383</v>
      </c>
      <c r="C33" s="8" t="s">
        <v>6</v>
      </c>
      <c r="D33" s="31">
        <v>612</v>
      </c>
      <c r="E33" s="31">
        <v>466</v>
      </c>
      <c r="F33" s="31">
        <v>793</v>
      </c>
      <c r="G33" s="31">
        <v>674</v>
      </c>
      <c r="H33" s="31">
        <v>335</v>
      </c>
      <c r="I33" s="31">
        <v>382</v>
      </c>
      <c r="J33" s="31">
        <v>451</v>
      </c>
      <c r="K33" s="31">
        <v>499</v>
      </c>
      <c r="L33" s="31" t="s">
        <v>19</v>
      </c>
      <c r="M33" s="31" t="s">
        <v>19</v>
      </c>
      <c r="N33" s="31" t="s">
        <v>19</v>
      </c>
      <c r="O33" s="31" t="s">
        <v>19</v>
      </c>
      <c r="P33" s="31">
        <v>463</v>
      </c>
      <c r="Q33" s="31">
        <v>232</v>
      </c>
      <c r="R33" s="31">
        <v>248</v>
      </c>
      <c r="S33" s="31">
        <v>182</v>
      </c>
      <c r="T33" s="31">
        <v>240</v>
      </c>
      <c r="U33" s="31">
        <v>236</v>
      </c>
      <c r="V33" s="31">
        <v>292</v>
      </c>
      <c r="W33" s="31">
        <v>248</v>
      </c>
      <c r="X33" s="31">
        <v>233</v>
      </c>
      <c r="Y33" s="31">
        <v>186</v>
      </c>
      <c r="Z33" s="33">
        <v>410</v>
      </c>
      <c r="AA33" s="33">
        <v>490</v>
      </c>
      <c r="AB33" s="33">
        <v>713</v>
      </c>
      <c r="AC33" s="33">
        <v>284</v>
      </c>
      <c r="AD33" s="10" t="s">
        <v>19</v>
      </c>
    </row>
    <row r="34" spans="2:30" ht="11.1" customHeight="1" x14ac:dyDescent="0.25">
      <c r="B34" s="236" t="s">
        <v>252</v>
      </c>
      <c r="C34" s="8" t="s">
        <v>6</v>
      </c>
      <c r="D34" s="31">
        <v>3966</v>
      </c>
      <c r="E34" s="31">
        <v>3373</v>
      </c>
      <c r="F34" s="31">
        <v>2263</v>
      </c>
      <c r="G34" s="31">
        <v>3089</v>
      </c>
      <c r="H34" s="31">
        <v>2588</v>
      </c>
      <c r="I34" s="31">
        <v>2575</v>
      </c>
      <c r="J34" s="31">
        <v>3303</v>
      </c>
      <c r="K34" s="31">
        <v>4998</v>
      </c>
      <c r="L34" s="31">
        <v>5313</v>
      </c>
      <c r="M34" s="31">
        <v>5057</v>
      </c>
      <c r="N34" s="31">
        <v>5538</v>
      </c>
      <c r="O34" s="31">
        <v>5886</v>
      </c>
      <c r="P34" s="31">
        <v>4707</v>
      </c>
      <c r="Q34" s="31">
        <v>3057</v>
      </c>
      <c r="R34" s="31">
        <v>3890</v>
      </c>
      <c r="S34" s="31">
        <v>3071</v>
      </c>
      <c r="T34" s="31">
        <v>3225</v>
      </c>
      <c r="U34" s="31">
        <v>3690</v>
      </c>
      <c r="V34" s="31">
        <v>3157</v>
      </c>
      <c r="W34" s="31">
        <v>3868</v>
      </c>
      <c r="X34" s="31">
        <v>3930</v>
      </c>
      <c r="Y34" s="31">
        <v>3822</v>
      </c>
      <c r="Z34" s="33">
        <v>4018</v>
      </c>
      <c r="AA34" s="33">
        <v>3520</v>
      </c>
      <c r="AB34" s="33">
        <v>9151</v>
      </c>
      <c r="AC34" s="33">
        <v>2943</v>
      </c>
      <c r="AD34" s="10" t="s">
        <v>19</v>
      </c>
    </row>
    <row r="35" spans="2:30" ht="11.1" customHeight="1" x14ac:dyDescent="0.25">
      <c r="B35" s="236" t="s">
        <v>316</v>
      </c>
      <c r="C35" s="8" t="s">
        <v>6</v>
      </c>
      <c r="D35" s="31">
        <v>16093</v>
      </c>
      <c r="E35" s="31">
        <v>50690</v>
      </c>
      <c r="F35" s="31">
        <v>60096</v>
      </c>
      <c r="G35" s="31">
        <v>32896</v>
      </c>
      <c r="H35" s="31">
        <v>30862</v>
      </c>
      <c r="I35" s="31">
        <v>23117</v>
      </c>
      <c r="J35" s="31">
        <v>14653</v>
      </c>
      <c r="K35" s="31">
        <v>33804</v>
      </c>
      <c r="L35" s="31">
        <v>32571</v>
      </c>
      <c r="M35" s="31">
        <v>35195</v>
      </c>
      <c r="N35" s="31">
        <v>36305</v>
      </c>
      <c r="O35" s="31">
        <v>30832</v>
      </c>
      <c r="P35" s="31">
        <v>26229</v>
      </c>
      <c r="Q35" s="31">
        <v>23749</v>
      </c>
      <c r="R35" s="31">
        <v>24563</v>
      </c>
      <c r="S35" s="31">
        <v>27466</v>
      </c>
      <c r="T35" s="31">
        <v>24647</v>
      </c>
      <c r="U35" s="31">
        <v>26716</v>
      </c>
      <c r="V35" s="31">
        <v>27800</v>
      </c>
      <c r="W35" s="31">
        <v>27130</v>
      </c>
      <c r="X35" s="31">
        <v>24039</v>
      </c>
      <c r="Y35" s="31">
        <v>22387</v>
      </c>
      <c r="Z35" s="33">
        <v>25344</v>
      </c>
      <c r="AA35" s="33">
        <v>17676</v>
      </c>
      <c r="AB35" s="33">
        <v>25954</v>
      </c>
      <c r="AC35" s="33">
        <v>25291</v>
      </c>
      <c r="AD35" s="10" t="s">
        <v>19</v>
      </c>
    </row>
    <row r="36" spans="2:30" ht="11.1" customHeight="1" x14ac:dyDescent="0.25">
      <c r="B36" s="236" t="s">
        <v>384</v>
      </c>
      <c r="C36" s="8" t="s">
        <v>6</v>
      </c>
      <c r="D36" s="31">
        <v>3634</v>
      </c>
      <c r="E36" s="31">
        <v>2857</v>
      </c>
      <c r="F36" s="31">
        <v>3204</v>
      </c>
      <c r="G36" s="31">
        <v>4322</v>
      </c>
      <c r="H36" s="31">
        <v>4385</v>
      </c>
      <c r="I36" s="31">
        <v>3397</v>
      </c>
      <c r="J36" s="31">
        <v>1140</v>
      </c>
      <c r="K36" s="31">
        <v>1471</v>
      </c>
      <c r="L36" s="31">
        <v>2210</v>
      </c>
      <c r="M36" s="31">
        <v>1900</v>
      </c>
      <c r="N36" s="31">
        <v>1665</v>
      </c>
      <c r="O36" s="31">
        <v>1845</v>
      </c>
      <c r="P36" s="31">
        <v>1669</v>
      </c>
      <c r="Q36" s="31">
        <v>1521</v>
      </c>
      <c r="R36" s="31">
        <v>1466</v>
      </c>
      <c r="S36" s="31">
        <v>1477</v>
      </c>
      <c r="T36" s="31">
        <v>1359</v>
      </c>
      <c r="U36" s="31">
        <v>1106</v>
      </c>
      <c r="V36" s="31">
        <v>923</v>
      </c>
      <c r="W36" s="31">
        <v>1128</v>
      </c>
      <c r="X36" s="31">
        <v>1019</v>
      </c>
      <c r="Y36" s="31">
        <v>942</v>
      </c>
      <c r="Z36" s="33">
        <v>1618</v>
      </c>
      <c r="AA36" s="33">
        <v>1613</v>
      </c>
      <c r="AB36" s="33">
        <v>2244</v>
      </c>
      <c r="AC36" s="33">
        <v>2030</v>
      </c>
      <c r="AD36" s="10" t="s">
        <v>19</v>
      </c>
    </row>
    <row r="37" spans="2:30" ht="11.1" customHeight="1" x14ac:dyDescent="0.25">
      <c r="B37" s="236" t="s">
        <v>385</v>
      </c>
      <c r="C37" s="8" t="s">
        <v>6</v>
      </c>
      <c r="D37" s="31">
        <v>646</v>
      </c>
      <c r="E37" s="31">
        <v>560</v>
      </c>
      <c r="F37" s="31">
        <v>740</v>
      </c>
      <c r="G37" s="31">
        <v>1882</v>
      </c>
      <c r="H37" s="31">
        <v>990</v>
      </c>
      <c r="I37" s="31">
        <v>1360</v>
      </c>
      <c r="J37" s="31">
        <v>1014</v>
      </c>
      <c r="K37" s="31">
        <v>803</v>
      </c>
      <c r="L37" s="31">
        <v>969</v>
      </c>
      <c r="M37" s="31">
        <v>982</v>
      </c>
      <c r="N37" s="31">
        <v>994</v>
      </c>
      <c r="O37" s="31">
        <v>939</v>
      </c>
      <c r="P37" s="31">
        <v>766</v>
      </c>
      <c r="Q37" s="31">
        <v>728</v>
      </c>
      <c r="R37" s="31">
        <v>859</v>
      </c>
      <c r="S37" s="31">
        <v>830</v>
      </c>
      <c r="T37" s="31">
        <v>629</v>
      </c>
      <c r="U37" s="31">
        <v>568</v>
      </c>
      <c r="V37" s="31">
        <v>550</v>
      </c>
      <c r="W37" s="31">
        <v>512</v>
      </c>
      <c r="X37" s="31">
        <v>380</v>
      </c>
      <c r="Y37" s="31">
        <v>454</v>
      </c>
      <c r="Z37" s="33">
        <v>918</v>
      </c>
      <c r="AA37" s="33">
        <v>919</v>
      </c>
      <c r="AB37" s="33">
        <v>641</v>
      </c>
      <c r="AC37" s="33">
        <v>463</v>
      </c>
      <c r="AD37" s="10" t="s">
        <v>19</v>
      </c>
    </row>
    <row r="38" spans="2:30" ht="11.1" customHeight="1" x14ac:dyDescent="0.25">
      <c r="B38" s="236" t="s">
        <v>386</v>
      </c>
      <c r="C38" s="8" t="s">
        <v>6</v>
      </c>
      <c r="D38" s="31">
        <v>1728</v>
      </c>
      <c r="E38" s="31">
        <v>2082</v>
      </c>
      <c r="F38" s="31">
        <v>2256</v>
      </c>
      <c r="G38" s="31">
        <v>3758</v>
      </c>
      <c r="H38" s="31">
        <v>1802</v>
      </c>
      <c r="I38" s="31">
        <v>1774</v>
      </c>
      <c r="J38" s="31">
        <v>1752</v>
      </c>
      <c r="K38" s="31">
        <v>1783</v>
      </c>
      <c r="L38" s="31">
        <v>1797</v>
      </c>
      <c r="M38" s="31">
        <v>2027</v>
      </c>
      <c r="N38" s="31">
        <v>2006</v>
      </c>
      <c r="O38" s="31">
        <v>2223</v>
      </c>
      <c r="P38" s="31">
        <v>2107</v>
      </c>
      <c r="Q38" s="31">
        <v>2417</v>
      </c>
      <c r="R38" s="31">
        <v>1921</v>
      </c>
      <c r="S38" s="31">
        <v>1349</v>
      </c>
      <c r="T38" s="31">
        <v>1500</v>
      </c>
      <c r="U38" s="31">
        <v>1353</v>
      </c>
      <c r="V38" s="31">
        <v>1506</v>
      </c>
      <c r="W38" s="31">
        <v>1471</v>
      </c>
      <c r="X38" s="31">
        <v>946</v>
      </c>
      <c r="Y38" s="31">
        <v>900</v>
      </c>
      <c r="Z38" s="33">
        <v>4094</v>
      </c>
      <c r="AA38" s="33">
        <v>5728</v>
      </c>
      <c r="AB38" s="33">
        <v>3901</v>
      </c>
      <c r="AC38" s="33">
        <v>3172</v>
      </c>
      <c r="AD38" s="10" t="s">
        <v>19</v>
      </c>
    </row>
    <row r="39" spans="2:30" ht="11.1" customHeight="1" x14ac:dyDescent="0.25">
      <c r="B39" s="236" t="s">
        <v>73</v>
      </c>
      <c r="C39" s="8" t="s">
        <v>6</v>
      </c>
      <c r="D39" s="31">
        <v>4623</v>
      </c>
      <c r="E39" s="31">
        <v>2560</v>
      </c>
      <c r="F39" s="31">
        <v>3122</v>
      </c>
      <c r="G39" s="31">
        <v>12208</v>
      </c>
      <c r="H39" s="31">
        <v>10355</v>
      </c>
      <c r="I39" s="31">
        <v>12094</v>
      </c>
      <c r="J39" s="31">
        <v>9384</v>
      </c>
      <c r="K39" s="31">
        <v>4629</v>
      </c>
      <c r="L39" s="31">
        <v>5018</v>
      </c>
      <c r="M39" s="31">
        <v>4331</v>
      </c>
      <c r="N39" s="31">
        <v>3980</v>
      </c>
      <c r="O39" s="31">
        <v>2666</v>
      </c>
      <c r="P39" s="31">
        <v>2087</v>
      </c>
      <c r="Q39" s="31">
        <v>1734</v>
      </c>
      <c r="R39" s="31">
        <v>1634</v>
      </c>
      <c r="S39" s="31">
        <v>1740</v>
      </c>
      <c r="T39" s="31">
        <v>1476</v>
      </c>
      <c r="U39" s="31">
        <v>1996</v>
      </c>
      <c r="V39" s="31">
        <v>1773</v>
      </c>
      <c r="W39" s="31">
        <v>1318</v>
      </c>
      <c r="X39" s="31">
        <v>965</v>
      </c>
      <c r="Y39" s="31">
        <v>830</v>
      </c>
      <c r="Z39" s="33">
        <v>741</v>
      </c>
      <c r="AA39" s="33">
        <v>633</v>
      </c>
      <c r="AB39" s="33">
        <v>871</v>
      </c>
      <c r="AC39" s="33">
        <v>753</v>
      </c>
      <c r="AD39" s="10" t="s">
        <v>19</v>
      </c>
    </row>
    <row r="40" spans="2:30" ht="11.1" customHeight="1" x14ac:dyDescent="0.25">
      <c r="B40" s="236" t="s">
        <v>387</v>
      </c>
      <c r="C40" s="8" t="s">
        <v>6</v>
      </c>
      <c r="D40" s="31">
        <v>671</v>
      </c>
      <c r="E40" s="31">
        <v>1569</v>
      </c>
      <c r="F40" s="31">
        <v>2065</v>
      </c>
      <c r="G40" s="31">
        <v>1165</v>
      </c>
      <c r="H40" s="31">
        <v>1926</v>
      </c>
      <c r="I40" s="31">
        <v>691</v>
      </c>
      <c r="J40" s="31">
        <v>785</v>
      </c>
      <c r="K40" s="31">
        <v>574</v>
      </c>
      <c r="L40" s="31" t="s">
        <v>19</v>
      </c>
      <c r="M40" s="31" t="s">
        <v>19</v>
      </c>
      <c r="N40" s="31" t="s">
        <v>19</v>
      </c>
      <c r="O40" s="31">
        <v>706</v>
      </c>
      <c r="P40" s="31">
        <v>444</v>
      </c>
      <c r="Q40" s="31">
        <v>310</v>
      </c>
      <c r="R40" s="31">
        <v>553</v>
      </c>
      <c r="S40" s="31">
        <v>627</v>
      </c>
      <c r="T40" s="31">
        <v>584</v>
      </c>
      <c r="U40" s="31">
        <v>568</v>
      </c>
      <c r="V40" s="31">
        <v>197</v>
      </c>
      <c r="W40" s="31">
        <v>275</v>
      </c>
      <c r="X40" s="31">
        <v>327</v>
      </c>
      <c r="Y40" s="31">
        <v>565</v>
      </c>
      <c r="Z40" s="33">
        <v>380</v>
      </c>
      <c r="AA40" s="33">
        <v>288</v>
      </c>
      <c r="AB40" s="33">
        <v>307</v>
      </c>
      <c r="AC40" s="33">
        <v>203</v>
      </c>
      <c r="AD40" s="10" t="s">
        <v>19</v>
      </c>
    </row>
    <row r="41" spans="2:30" ht="11.1" customHeight="1" x14ac:dyDescent="0.25">
      <c r="B41" s="236" t="s">
        <v>98</v>
      </c>
      <c r="C41" s="8" t="s">
        <v>6</v>
      </c>
      <c r="D41" s="31">
        <v>5259</v>
      </c>
      <c r="E41" s="31">
        <v>6181</v>
      </c>
      <c r="F41" s="31">
        <v>5128</v>
      </c>
      <c r="G41" s="31">
        <v>6399</v>
      </c>
      <c r="H41" s="31">
        <v>7171</v>
      </c>
      <c r="I41" s="31">
        <v>5273</v>
      </c>
      <c r="J41" s="31">
        <v>3570</v>
      </c>
      <c r="K41" s="31">
        <v>3366</v>
      </c>
      <c r="L41" s="31">
        <v>3491</v>
      </c>
      <c r="M41" s="31">
        <v>3498</v>
      </c>
      <c r="N41" s="31">
        <v>4397</v>
      </c>
      <c r="O41" s="31">
        <v>4290</v>
      </c>
      <c r="P41" s="31">
        <v>3487</v>
      </c>
      <c r="Q41" s="31">
        <v>3748</v>
      </c>
      <c r="R41" s="31">
        <v>3612</v>
      </c>
      <c r="S41" s="31">
        <v>3875</v>
      </c>
      <c r="T41" s="31">
        <v>3747</v>
      </c>
      <c r="U41" s="31">
        <v>3213</v>
      </c>
      <c r="V41" s="31">
        <v>3468</v>
      </c>
      <c r="W41" s="31">
        <v>3773</v>
      </c>
      <c r="X41" s="31">
        <v>3044</v>
      </c>
      <c r="Y41" s="31">
        <v>3440</v>
      </c>
      <c r="Z41" s="33">
        <v>8352</v>
      </c>
      <c r="AA41" s="33">
        <v>8611</v>
      </c>
      <c r="AB41" s="33">
        <v>8377</v>
      </c>
      <c r="AC41" s="33">
        <v>5215</v>
      </c>
      <c r="AD41" s="10" t="s">
        <v>19</v>
      </c>
    </row>
    <row r="42" spans="2:30" ht="11.1" customHeight="1" x14ac:dyDescent="0.25">
      <c r="B42" s="236" t="s">
        <v>388</v>
      </c>
      <c r="C42" s="8" t="s">
        <v>6</v>
      </c>
      <c r="D42" s="31">
        <v>2118</v>
      </c>
      <c r="E42" s="31">
        <v>1939</v>
      </c>
      <c r="F42" s="31">
        <v>2166</v>
      </c>
      <c r="G42" s="31">
        <v>4228</v>
      </c>
      <c r="H42" s="31">
        <v>3269</v>
      </c>
      <c r="I42" s="31">
        <v>4347</v>
      </c>
      <c r="J42" s="31">
        <v>5030</v>
      </c>
      <c r="K42" s="31">
        <v>3962</v>
      </c>
      <c r="L42" s="31">
        <v>5049</v>
      </c>
      <c r="M42" s="31">
        <v>5304</v>
      </c>
      <c r="N42" s="31">
        <v>5368</v>
      </c>
      <c r="O42" s="31">
        <v>4752</v>
      </c>
      <c r="P42" s="31">
        <v>5867</v>
      </c>
      <c r="Q42" s="31">
        <v>5388</v>
      </c>
      <c r="R42" s="31">
        <v>5447</v>
      </c>
      <c r="S42" s="31">
        <v>3992</v>
      </c>
      <c r="T42" s="31">
        <v>4252</v>
      </c>
      <c r="U42" s="31">
        <v>4796</v>
      </c>
      <c r="V42" s="31">
        <v>4696</v>
      </c>
      <c r="W42" s="31">
        <v>3934</v>
      </c>
      <c r="X42" s="31">
        <v>4834</v>
      </c>
      <c r="Y42" s="31">
        <v>4291</v>
      </c>
      <c r="Z42" s="33">
        <v>9579</v>
      </c>
      <c r="AA42" s="33">
        <v>12923</v>
      </c>
      <c r="AB42" s="33">
        <v>15011</v>
      </c>
      <c r="AC42" s="33">
        <v>12014</v>
      </c>
      <c r="AD42" s="10" t="s">
        <v>19</v>
      </c>
    </row>
    <row r="43" spans="2:30" ht="11.1" customHeight="1" x14ac:dyDescent="0.25">
      <c r="B43" s="236" t="s">
        <v>82</v>
      </c>
      <c r="C43" s="8" t="s">
        <v>6</v>
      </c>
      <c r="D43" s="31">
        <v>14132</v>
      </c>
      <c r="E43" s="31">
        <v>12215</v>
      </c>
      <c r="F43" s="31">
        <v>13857</v>
      </c>
      <c r="G43" s="31">
        <v>13018</v>
      </c>
      <c r="H43" s="31">
        <v>11634</v>
      </c>
      <c r="I43" s="31">
        <v>12261</v>
      </c>
      <c r="J43" s="31">
        <v>8779</v>
      </c>
      <c r="K43" s="31">
        <v>8393</v>
      </c>
      <c r="L43" s="31">
        <v>9170</v>
      </c>
      <c r="M43" s="31">
        <v>8523</v>
      </c>
      <c r="N43" s="31">
        <v>10174</v>
      </c>
      <c r="O43" s="31">
        <v>6860</v>
      </c>
      <c r="P43" s="31">
        <v>7475</v>
      </c>
      <c r="Q43" s="31">
        <v>6014</v>
      </c>
      <c r="R43" s="31">
        <v>5609</v>
      </c>
      <c r="S43" s="31">
        <v>5970</v>
      </c>
      <c r="T43" s="31">
        <v>5658</v>
      </c>
      <c r="U43" s="31">
        <v>6397</v>
      </c>
      <c r="V43" s="31">
        <v>5541</v>
      </c>
      <c r="W43" s="31">
        <v>5768</v>
      </c>
      <c r="X43" s="31">
        <v>5766</v>
      </c>
      <c r="Y43" s="31">
        <v>4545</v>
      </c>
      <c r="Z43" s="33">
        <v>6982</v>
      </c>
      <c r="AA43" s="33">
        <v>7106</v>
      </c>
      <c r="AB43" s="33">
        <v>10482</v>
      </c>
      <c r="AC43" s="33">
        <v>8763</v>
      </c>
      <c r="AD43" s="10" t="s">
        <v>19</v>
      </c>
    </row>
    <row r="44" spans="2:30" ht="11.1" customHeight="1" x14ac:dyDescent="0.25">
      <c r="B44" s="236" t="s">
        <v>13</v>
      </c>
      <c r="C44" s="8" t="s">
        <v>6</v>
      </c>
      <c r="D44" s="31">
        <v>69480</v>
      </c>
      <c r="E44" s="31">
        <v>98201</v>
      </c>
      <c r="F44" s="31">
        <v>112076</v>
      </c>
      <c r="G44" s="31">
        <v>103482</v>
      </c>
      <c r="H44" s="31">
        <v>92430</v>
      </c>
      <c r="I44" s="31">
        <v>86608</v>
      </c>
      <c r="J44" s="31">
        <v>66308</v>
      </c>
      <c r="K44" s="31">
        <v>83848</v>
      </c>
      <c r="L44" s="31">
        <v>85938</v>
      </c>
      <c r="M44" s="31">
        <v>89265</v>
      </c>
      <c r="N44" s="31">
        <v>93074</v>
      </c>
      <c r="O44" s="31">
        <v>83420</v>
      </c>
      <c r="P44" s="31">
        <v>77762</v>
      </c>
      <c r="Q44" s="31">
        <v>72313</v>
      </c>
      <c r="R44" s="31">
        <v>67628</v>
      </c>
      <c r="S44" s="31">
        <v>65204</v>
      </c>
      <c r="T44" s="31">
        <v>61443</v>
      </c>
      <c r="U44" s="31">
        <v>65924</v>
      </c>
      <c r="V44" s="31">
        <v>65652</v>
      </c>
      <c r="W44" s="31">
        <v>62574</v>
      </c>
      <c r="X44" s="31">
        <v>56463</v>
      </c>
      <c r="Y44" s="31">
        <v>52728</v>
      </c>
      <c r="Z44" s="33">
        <v>87642</v>
      </c>
      <c r="AA44" s="33">
        <v>85073</v>
      </c>
      <c r="AB44" s="33">
        <v>101106</v>
      </c>
      <c r="AC44" s="33">
        <v>81078</v>
      </c>
      <c r="AD44" s="10" t="s">
        <v>19</v>
      </c>
    </row>
    <row r="45" spans="2:30" ht="11.1" customHeight="1" x14ac:dyDescent="0.25">
      <c r="B45" s="238" t="s">
        <v>83</v>
      </c>
      <c r="C45" s="8" t="s">
        <v>6</v>
      </c>
      <c r="D45" s="31">
        <v>1339</v>
      </c>
      <c r="E45" s="31" t="s">
        <v>19</v>
      </c>
      <c r="F45" s="31" t="s">
        <v>19</v>
      </c>
      <c r="G45" s="31" t="s">
        <v>19</v>
      </c>
      <c r="H45" s="31" t="s">
        <v>19</v>
      </c>
      <c r="I45" s="31" t="s">
        <v>19</v>
      </c>
      <c r="J45" s="31" t="s">
        <v>19</v>
      </c>
      <c r="K45" s="31" t="s">
        <v>19</v>
      </c>
      <c r="L45" s="31" t="s">
        <v>19</v>
      </c>
      <c r="M45" s="31">
        <v>13</v>
      </c>
      <c r="N45" s="31">
        <v>7</v>
      </c>
      <c r="O45" s="31">
        <v>2215</v>
      </c>
      <c r="P45" s="31" t="s">
        <v>19</v>
      </c>
      <c r="Q45" s="31" t="s">
        <v>19</v>
      </c>
      <c r="R45" s="31" t="s">
        <v>19</v>
      </c>
      <c r="S45" s="31" t="s">
        <v>19</v>
      </c>
      <c r="T45" s="31" t="s">
        <v>19</v>
      </c>
      <c r="U45" s="31" t="s">
        <v>19</v>
      </c>
      <c r="V45" s="31" t="s">
        <v>19</v>
      </c>
      <c r="W45" s="31" t="s">
        <v>19</v>
      </c>
      <c r="X45" s="31" t="s">
        <v>19</v>
      </c>
      <c r="Y45" s="31" t="s">
        <v>19</v>
      </c>
      <c r="Z45" s="33">
        <v>4</v>
      </c>
      <c r="AA45" s="33">
        <v>9</v>
      </c>
      <c r="AB45" s="33">
        <v>0.2</v>
      </c>
      <c r="AC45" s="33">
        <v>0.2</v>
      </c>
      <c r="AD45" s="10" t="s">
        <v>19</v>
      </c>
    </row>
    <row r="46" spans="2:30" ht="11.1" customHeight="1" x14ac:dyDescent="0.25">
      <c r="B46" s="238" t="s">
        <v>55</v>
      </c>
      <c r="C46" s="8" t="s">
        <v>6</v>
      </c>
      <c r="D46" s="31">
        <v>227983</v>
      </c>
      <c r="E46" s="31">
        <v>227022</v>
      </c>
      <c r="F46" s="31">
        <v>253634</v>
      </c>
      <c r="G46" s="31">
        <v>234008</v>
      </c>
      <c r="H46" s="31">
        <v>228120</v>
      </c>
      <c r="I46" s="31">
        <v>237792</v>
      </c>
      <c r="J46" s="31">
        <v>198265</v>
      </c>
      <c r="K46" s="31">
        <v>218456</v>
      </c>
      <c r="L46" s="31">
        <v>206940</v>
      </c>
      <c r="M46" s="31">
        <v>208205</v>
      </c>
      <c r="N46" s="31">
        <v>223024</v>
      </c>
      <c r="O46" s="31">
        <v>222411</v>
      </c>
      <c r="P46" s="31">
        <v>194739</v>
      </c>
      <c r="Q46" s="31">
        <v>185616</v>
      </c>
      <c r="R46" s="31">
        <v>196213</v>
      </c>
      <c r="S46" s="31">
        <v>191334</v>
      </c>
      <c r="T46" s="31">
        <v>182209</v>
      </c>
      <c r="U46" s="31">
        <v>175897</v>
      </c>
      <c r="V46" s="31">
        <v>192909</v>
      </c>
      <c r="W46" s="31">
        <v>180199</v>
      </c>
      <c r="X46" s="31">
        <v>158942</v>
      </c>
      <c r="Y46" s="31">
        <v>156059</v>
      </c>
      <c r="Z46" s="33">
        <v>243095</v>
      </c>
      <c r="AA46" s="33">
        <v>223764</v>
      </c>
      <c r="AB46" s="33">
        <v>268561</v>
      </c>
      <c r="AC46" s="33">
        <v>223004</v>
      </c>
      <c r="AD46" s="10" t="s">
        <v>19</v>
      </c>
    </row>
    <row r="47" spans="2:30" ht="11.1" customHeight="1" x14ac:dyDescent="0.25">
      <c r="B47" s="358" t="s">
        <v>62</v>
      </c>
      <c r="C47" s="358"/>
      <c r="D47" s="358"/>
      <c r="E47" s="358"/>
      <c r="F47" s="358"/>
      <c r="G47" s="358"/>
      <c r="H47" s="358"/>
      <c r="I47" s="358"/>
      <c r="J47" s="358"/>
      <c r="K47" s="358"/>
      <c r="L47" s="358"/>
      <c r="M47" s="358"/>
      <c r="N47" s="358"/>
      <c r="O47" s="358"/>
      <c r="P47" s="358"/>
      <c r="Q47" s="358"/>
      <c r="R47" s="358"/>
      <c r="S47" s="358"/>
      <c r="T47" s="358"/>
      <c r="U47" s="358"/>
      <c r="V47" s="358"/>
      <c r="W47" s="358"/>
      <c r="X47" s="358"/>
      <c r="Y47" s="358"/>
      <c r="Z47" s="358"/>
      <c r="AA47" s="237"/>
      <c r="AB47" s="237"/>
      <c r="AC47" s="237"/>
      <c r="AD47" s="237"/>
    </row>
    <row r="48" spans="2:30" ht="11.1" customHeight="1" x14ac:dyDescent="0.25">
      <c r="B48" s="12" t="s">
        <v>87</v>
      </c>
      <c r="C48" s="8" t="s">
        <v>6</v>
      </c>
      <c r="D48" s="31">
        <v>35310</v>
      </c>
      <c r="E48" s="31">
        <v>45200</v>
      </c>
      <c r="F48" s="31">
        <v>44600</v>
      </c>
      <c r="G48" s="31">
        <v>60000</v>
      </c>
      <c r="H48" s="31">
        <v>49890</v>
      </c>
      <c r="I48" s="31">
        <v>53330</v>
      </c>
      <c r="J48" s="31">
        <v>45900</v>
      </c>
      <c r="K48" s="31">
        <v>46340</v>
      </c>
      <c r="L48" s="31">
        <v>42540</v>
      </c>
      <c r="M48" s="31">
        <v>41504</v>
      </c>
      <c r="N48" s="31">
        <v>54562</v>
      </c>
      <c r="O48" s="31">
        <v>73000</v>
      </c>
      <c r="P48" s="31">
        <v>55600</v>
      </c>
      <c r="Q48" s="31">
        <v>56789</v>
      </c>
      <c r="R48" s="31">
        <v>56578</v>
      </c>
      <c r="S48" s="31">
        <v>59027</v>
      </c>
      <c r="T48" s="31">
        <v>81178</v>
      </c>
      <c r="U48" s="31">
        <v>80500</v>
      </c>
      <c r="V48" s="31">
        <v>77800</v>
      </c>
      <c r="W48" s="31">
        <v>74700</v>
      </c>
      <c r="X48" s="31">
        <v>80400</v>
      </c>
      <c r="Y48" s="31">
        <v>124600</v>
      </c>
      <c r="Z48" s="33">
        <v>146600</v>
      </c>
      <c r="AA48" s="33">
        <v>167100</v>
      </c>
      <c r="AB48" s="33">
        <v>212877</v>
      </c>
      <c r="AC48" s="33">
        <v>211661</v>
      </c>
      <c r="AD48" s="10" t="s">
        <v>19</v>
      </c>
    </row>
    <row r="49" spans="2:30" ht="11.1" customHeight="1" x14ac:dyDescent="0.25">
      <c r="B49" s="12" t="s">
        <v>75</v>
      </c>
      <c r="C49" s="8" t="s">
        <v>6</v>
      </c>
      <c r="D49" s="31">
        <v>4515</v>
      </c>
      <c r="E49" s="31">
        <v>4861</v>
      </c>
      <c r="F49" s="31">
        <v>5116</v>
      </c>
      <c r="G49" s="31">
        <v>6680</v>
      </c>
      <c r="H49" s="31">
        <v>9008</v>
      </c>
      <c r="I49" s="31">
        <v>10050</v>
      </c>
      <c r="J49" s="31">
        <v>11920</v>
      </c>
      <c r="K49" s="31">
        <v>14030</v>
      </c>
      <c r="L49" s="31">
        <v>18520</v>
      </c>
      <c r="M49" s="31">
        <v>24307</v>
      </c>
      <c r="N49" s="31">
        <v>21364</v>
      </c>
      <c r="O49" s="31">
        <v>20700</v>
      </c>
      <c r="P49" s="31">
        <v>21200</v>
      </c>
      <c r="Q49" s="31">
        <v>21295</v>
      </c>
      <c r="R49" s="31">
        <v>19660</v>
      </c>
      <c r="S49" s="31">
        <v>25105</v>
      </c>
      <c r="T49" s="31">
        <v>27501</v>
      </c>
      <c r="U49" s="31">
        <v>29300</v>
      </c>
      <c r="V49" s="31">
        <v>28400</v>
      </c>
      <c r="W49" s="31">
        <v>26900</v>
      </c>
      <c r="X49" s="31">
        <v>26800</v>
      </c>
      <c r="Y49" s="31">
        <v>28300</v>
      </c>
      <c r="Z49" s="33">
        <v>34900</v>
      </c>
      <c r="AA49" s="33">
        <v>46300</v>
      </c>
      <c r="AB49" s="33">
        <v>36390</v>
      </c>
      <c r="AC49" s="33">
        <v>38035</v>
      </c>
      <c r="AD49" s="10" t="s">
        <v>19</v>
      </c>
    </row>
    <row r="50" spans="2:30" ht="11.1" customHeight="1" x14ac:dyDescent="0.25">
      <c r="B50" s="12" t="s">
        <v>56</v>
      </c>
      <c r="C50" s="8" t="s">
        <v>6</v>
      </c>
      <c r="D50" s="31">
        <v>610</v>
      </c>
      <c r="E50" s="31">
        <v>674</v>
      </c>
      <c r="F50" s="31">
        <v>442</v>
      </c>
      <c r="G50" s="31">
        <v>520</v>
      </c>
      <c r="H50" s="31">
        <v>693</v>
      </c>
      <c r="I50" s="31">
        <v>730</v>
      </c>
      <c r="J50" s="31">
        <v>736</v>
      </c>
      <c r="K50" s="31">
        <v>575</v>
      </c>
      <c r="L50" s="31">
        <v>535</v>
      </c>
      <c r="M50" s="31">
        <v>620</v>
      </c>
      <c r="N50" s="31">
        <v>510</v>
      </c>
      <c r="O50" s="31">
        <v>513</v>
      </c>
      <c r="P50" s="31">
        <v>473</v>
      </c>
      <c r="Q50" s="31">
        <v>513</v>
      </c>
      <c r="R50" s="31">
        <v>523</v>
      </c>
      <c r="S50" s="31">
        <v>522</v>
      </c>
      <c r="T50" s="31">
        <v>424</v>
      </c>
      <c r="U50" s="31">
        <v>564</v>
      </c>
      <c r="V50" s="31">
        <v>500</v>
      </c>
      <c r="W50" s="31">
        <v>900</v>
      </c>
      <c r="X50" s="31">
        <v>600</v>
      </c>
      <c r="Y50" s="31">
        <v>500</v>
      </c>
      <c r="Z50" s="33" t="s">
        <v>19</v>
      </c>
      <c r="AA50" s="33" t="s">
        <v>19</v>
      </c>
      <c r="AB50" s="33">
        <v>800</v>
      </c>
      <c r="AC50" s="33">
        <v>519</v>
      </c>
      <c r="AD50" s="10" t="s">
        <v>19</v>
      </c>
    </row>
    <row r="51" spans="2:30" ht="11.1" customHeight="1" x14ac:dyDescent="0.25">
      <c r="B51" s="12" t="s">
        <v>326</v>
      </c>
      <c r="C51" s="8" t="s">
        <v>6</v>
      </c>
      <c r="D51" s="31">
        <v>274</v>
      </c>
      <c r="E51" s="31">
        <v>272</v>
      </c>
      <c r="F51" s="31">
        <v>439</v>
      </c>
      <c r="G51" s="31">
        <v>337</v>
      </c>
      <c r="H51" s="31">
        <v>336</v>
      </c>
      <c r="I51" s="31">
        <v>450</v>
      </c>
      <c r="J51" s="31">
        <v>516</v>
      </c>
      <c r="K51" s="31">
        <v>512</v>
      </c>
      <c r="L51" s="31">
        <v>792</v>
      </c>
      <c r="M51" s="31">
        <v>700</v>
      </c>
      <c r="N51" s="31">
        <v>1031</v>
      </c>
      <c r="O51" s="31">
        <v>1092</v>
      </c>
      <c r="P51" s="31">
        <v>1360</v>
      </c>
      <c r="Q51" s="31">
        <v>886</v>
      </c>
      <c r="R51" s="31">
        <v>1143</v>
      </c>
      <c r="S51" s="31">
        <v>1107</v>
      </c>
      <c r="T51" s="31">
        <v>626</v>
      </c>
      <c r="U51" s="31">
        <v>1105</v>
      </c>
      <c r="V51" s="31">
        <v>1105</v>
      </c>
      <c r="W51" s="31">
        <v>1032</v>
      </c>
      <c r="X51" s="31" t="s">
        <v>19</v>
      </c>
      <c r="Y51" s="31" t="s">
        <v>19</v>
      </c>
      <c r="Z51" s="33" t="s">
        <v>19</v>
      </c>
      <c r="AA51" s="33" t="s">
        <v>19</v>
      </c>
      <c r="AB51" s="33" t="s">
        <v>19</v>
      </c>
      <c r="AC51" s="33" t="s">
        <v>19</v>
      </c>
      <c r="AD51" s="10" t="s">
        <v>19</v>
      </c>
    </row>
    <row r="52" spans="2:30" ht="11.1" customHeight="1" x14ac:dyDescent="0.25">
      <c r="B52" s="12" t="s">
        <v>389</v>
      </c>
      <c r="C52" s="8" t="s">
        <v>6</v>
      </c>
      <c r="D52" s="31" t="s">
        <v>19</v>
      </c>
      <c r="E52" s="31">
        <v>254</v>
      </c>
      <c r="F52" s="31">
        <v>193</v>
      </c>
      <c r="G52" s="31">
        <v>295</v>
      </c>
      <c r="H52" s="31">
        <v>350</v>
      </c>
      <c r="I52" s="31">
        <v>300</v>
      </c>
      <c r="J52" s="31">
        <v>259</v>
      </c>
      <c r="K52" s="31">
        <v>346</v>
      </c>
      <c r="L52" s="31">
        <v>454</v>
      </c>
      <c r="M52" s="31">
        <v>573</v>
      </c>
      <c r="N52" s="31">
        <v>514</v>
      </c>
      <c r="O52" s="31">
        <v>195</v>
      </c>
      <c r="P52" s="31">
        <v>303</v>
      </c>
      <c r="Q52" s="31">
        <v>368</v>
      </c>
      <c r="R52" s="31">
        <v>745</v>
      </c>
      <c r="S52" s="31">
        <v>567</v>
      </c>
      <c r="T52" s="31">
        <v>497</v>
      </c>
      <c r="U52" s="31">
        <v>1124</v>
      </c>
      <c r="V52" s="31">
        <v>1220</v>
      </c>
      <c r="W52" s="31">
        <v>1462</v>
      </c>
      <c r="X52" s="31" t="s">
        <v>19</v>
      </c>
      <c r="Y52" s="31" t="s">
        <v>19</v>
      </c>
      <c r="Z52" s="33" t="s">
        <v>19</v>
      </c>
      <c r="AA52" s="33" t="s">
        <v>19</v>
      </c>
      <c r="AB52" s="33" t="s">
        <v>19</v>
      </c>
      <c r="AC52" s="33" t="s">
        <v>19</v>
      </c>
      <c r="AD52" s="10" t="s">
        <v>19</v>
      </c>
    </row>
    <row r="53" spans="2:30" ht="11.1" customHeight="1" x14ac:dyDescent="0.25">
      <c r="B53" s="12" t="s">
        <v>390</v>
      </c>
      <c r="C53" s="8" t="s">
        <v>6</v>
      </c>
      <c r="D53" s="31" t="s">
        <v>19</v>
      </c>
      <c r="E53" s="31" t="s">
        <v>19</v>
      </c>
      <c r="F53" s="31" t="s">
        <v>19</v>
      </c>
      <c r="G53" s="31" t="s">
        <v>19</v>
      </c>
      <c r="H53" s="31" t="s">
        <v>19</v>
      </c>
      <c r="I53" s="31" t="s">
        <v>19</v>
      </c>
      <c r="J53" s="31">
        <v>92</v>
      </c>
      <c r="K53" s="31" t="s">
        <v>19</v>
      </c>
      <c r="L53" s="31" t="s">
        <v>19</v>
      </c>
      <c r="M53" s="31" t="s">
        <v>19</v>
      </c>
      <c r="N53" s="31" t="s">
        <v>19</v>
      </c>
      <c r="O53" s="31" t="s">
        <v>19</v>
      </c>
      <c r="P53" s="31" t="s">
        <v>19</v>
      </c>
      <c r="Q53" s="31" t="s">
        <v>19</v>
      </c>
      <c r="R53" s="31" t="s">
        <v>19</v>
      </c>
      <c r="S53" s="31" t="s">
        <v>19</v>
      </c>
      <c r="T53" s="31" t="s">
        <v>19</v>
      </c>
      <c r="U53" s="31" t="s">
        <v>19</v>
      </c>
      <c r="V53" s="31" t="s">
        <v>19</v>
      </c>
      <c r="W53" s="31" t="s">
        <v>19</v>
      </c>
      <c r="X53" s="31" t="s">
        <v>19</v>
      </c>
      <c r="Y53" s="31" t="s">
        <v>19</v>
      </c>
      <c r="Z53" s="33" t="s">
        <v>19</v>
      </c>
      <c r="AA53" s="33" t="s">
        <v>19</v>
      </c>
      <c r="AB53" s="33" t="s">
        <v>19</v>
      </c>
      <c r="AC53" s="33" t="s">
        <v>19</v>
      </c>
      <c r="AD53" s="10" t="s">
        <v>19</v>
      </c>
    </row>
    <row r="54" spans="2:30" ht="11.1" customHeight="1" x14ac:dyDescent="0.25">
      <c r="B54" s="12" t="s">
        <v>100</v>
      </c>
      <c r="C54" s="8" t="s">
        <v>6</v>
      </c>
      <c r="D54" s="31">
        <v>810</v>
      </c>
      <c r="E54" s="31">
        <v>768</v>
      </c>
      <c r="F54" s="31">
        <v>489</v>
      </c>
      <c r="G54" s="31">
        <v>100</v>
      </c>
      <c r="H54" s="31" t="s">
        <v>19</v>
      </c>
      <c r="I54" s="31">
        <v>340</v>
      </c>
      <c r="J54" s="31" t="s">
        <v>19</v>
      </c>
      <c r="K54" s="31" t="s">
        <v>19</v>
      </c>
      <c r="L54" s="31">
        <v>1706</v>
      </c>
      <c r="M54" s="31">
        <v>1292</v>
      </c>
      <c r="N54" s="31" t="s">
        <v>19</v>
      </c>
      <c r="O54" s="31" t="s">
        <v>19</v>
      </c>
      <c r="P54" s="31" t="s">
        <v>19</v>
      </c>
      <c r="Q54" s="31" t="s">
        <v>19</v>
      </c>
      <c r="R54" s="31" t="s">
        <v>19</v>
      </c>
      <c r="S54" s="31" t="s">
        <v>19</v>
      </c>
      <c r="T54" s="31" t="s">
        <v>19</v>
      </c>
      <c r="U54" s="31" t="s">
        <v>19</v>
      </c>
      <c r="V54" s="31" t="s">
        <v>19</v>
      </c>
      <c r="W54" s="31" t="s">
        <v>19</v>
      </c>
      <c r="X54" s="31" t="s">
        <v>19</v>
      </c>
      <c r="Y54" s="31" t="s">
        <v>19</v>
      </c>
      <c r="Z54" s="33" t="s">
        <v>19</v>
      </c>
      <c r="AA54" s="33" t="s">
        <v>19</v>
      </c>
      <c r="AB54" s="33" t="s">
        <v>19</v>
      </c>
      <c r="AC54" s="33" t="s">
        <v>19</v>
      </c>
      <c r="AD54" s="10" t="s">
        <v>19</v>
      </c>
    </row>
    <row r="55" spans="2:30" ht="11.1" customHeight="1" x14ac:dyDescent="0.25">
      <c r="B55" s="12" t="s">
        <v>328</v>
      </c>
      <c r="C55" s="8" t="s">
        <v>6</v>
      </c>
      <c r="D55" s="31">
        <v>911</v>
      </c>
      <c r="E55" s="31">
        <v>828</v>
      </c>
      <c r="F55" s="31">
        <v>1107</v>
      </c>
      <c r="G55" s="31">
        <v>1004</v>
      </c>
      <c r="H55" s="31">
        <v>1049</v>
      </c>
      <c r="I55" s="31">
        <v>1240</v>
      </c>
      <c r="J55" s="31">
        <v>1280</v>
      </c>
      <c r="K55" s="31">
        <v>1300</v>
      </c>
      <c r="L55" s="31">
        <v>1450</v>
      </c>
      <c r="M55" s="31">
        <v>1097</v>
      </c>
      <c r="N55" s="31">
        <v>1121</v>
      </c>
      <c r="O55" s="31">
        <v>956</v>
      </c>
      <c r="P55" s="31">
        <v>908</v>
      </c>
      <c r="Q55" s="31">
        <v>792</v>
      </c>
      <c r="R55" s="31">
        <v>738</v>
      </c>
      <c r="S55" s="31">
        <v>682</v>
      </c>
      <c r="T55" s="31">
        <v>1043</v>
      </c>
      <c r="U55" s="31">
        <v>1341</v>
      </c>
      <c r="V55" s="31">
        <v>1700</v>
      </c>
      <c r="W55" s="31">
        <v>1200</v>
      </c>
      <c r="X55" s="31">
        <v>1200</v>
      </c>
      <c r="Y55" s="31">
        <v>1800</v>
      </c>
      <c r="Z55" s="33">
        <v>950</v>
      </c>
      <c r="AA55" s="33">
        <v>850</v>
      </c>
      <c r="AB55" s="33">
        <v>700</v>
      </c>
      <c r="AC55" s="33">
        <v>371</v>
      </c>
      <c r="AD55" s="10" t="s">
        <v>19</v>
      </c>
    </row>
    <row r="56" spans="2:30" ht="11.1" customHeight="1" x14ac:dyDescent="0.25">
      <c r="B56" s="12" t="s">
        <v>393</v>
      </c>
      <c r="C56" s="8" t="s">
        <v>6</v>
      </c>
      <c r="D56" s="31" t="s">
        <v>19</v>
      </c>
      <c r="E56" s="31" t="s">
        <v>19</v>
      </c>
      <c r="F56" s="31" t="s">
        <v>19</v>
      </c>
      <c r="G56" s="31" t="s">
        <v>19</v>
      </c>
      <c r="H56" s="31" t="s">
        <v>19</v>
      </c>
      <c r="I56" s="31" t="s">
        <v>19</v>
      </c>
      <c r="J56" s="31" t="s">
        <v>19</v>
      </c>
      <c r="K56" s="31" t="s">
        <v>19</v>
      </c>
      <c r="L56" s="31" t="s">
        <v>19</v>
      </c>
      <c r="M56" s="31">
        <v>887</v>
      </c>
      <c r="N56" s="31">
        <v>422</v>
      </c>
      <c r="O56" s="31">
        <v>985</v>
      </c>
      <c r="P56" s="31">
        <v>471</v>
      </c>
      <c r="Q56" s="31">
        <v>463</v>
      </c>
      <c r="R56" s="31">
        <v>667</v>
      </c>
      <c r="S56" s="31">
        <v>737</v>
      </c>
      <c r="T56" s="31">
        <v>889</v>
      </c>
      <c r="U56" s="31">
        <v>1300</v>
      </c>
      <c r="V56" s="31">
        <v>1000</v>
      </c>
      <c r="W56" s="31">
        <v>5300</v>
      </c>
      <c r="X56" s="31">
        <v>1000</v>
      </c>
      <c r="Y56" s="31">
        <v>1100</v>
      </c>
      <c r="Z56" s="33" t="s">
        <v>19</v>
      </c>
      <c r="AA56" s="33" t="s">
        <v>19</v>
      </c>
      <c r="AB56" s="33">
        <v>5600</v>
      </c>
      <c r="AC56" s="33">
        <v>5446</v>
      </c>
      <c r="AD56" s="10" t="s">
        <v>19</v>
      </c>
    </row>
    <row r="57" spans="2:30" ht="11.1" customHeight="1" x14ac:dyDescent="0.25">
      <c r="B57" s="12" t="s">
        <v>546</v>
      </c>
      <c r="C57" s="8" t="s">
        <v>6</v>
      </c>
      <c r="D57" s="31">
        <v>1178</v>
      </c>
      <c r="E57" s="31">
        <v>1624</v>
      </c>
      <c r="F57" s="31">
        <v>1292</v>
      </c>
      <c r="G57" s="31">
        <v>1819</v>
      </c>
      <c r="H57" s="31">
        <v>1586</v>
      </c>
      <c r="I57" s="31">
        <v>2200</v>
      </c>
      <c r="J57" s="31">
        <v>3797</v>
      </c>
      <c r="K57" s="31">
        <v>3620</v>
      </c>
      <c r="L57" s="31">
        <v>6072</v>
      </c>
      <c r="M57" s="31">
        <v>4271</v>
      </c>
      <c r="N57" s="31">
        <v>4028</v>
      </c>
      <c r="O57" s="31">
        <v>1940</v>
      </c>
      <c r="P57" s="31">
        <v>2156</v>
      </c>
      <c r="Q57" s="31">
        <v>1403</v>
      </c>
      <c r="R57" s="31">
        <v>1717</v>
      </c>
      <c r="S57" s="31">
        <v>1389</v>
      </c>
      <c r="T57" s="31">
        <v>1900</v>
      </c>
      <c r="U57" s="31">
        <v>2066</v>
      </c>
      <c r="V57" s="31">
        <v>4775</v>
      </c>
      <c r="W57" s="31">
        <v>2705</v>
      </c>
      <c r="X57" s="31">
        <v>4500</v>
      </c>
      <c r="Y57" s="31">
        <v>4800</v>
      </c>
      <c r="Z57" s="33">
        <v>4980</v>
      </c>
      <c r="AA57" s="33">
        <v>4760</v>
      </c>
      <c r="AB57" s="33">
        <v>6800</v>
      </c>
      <c r="AC57" s="33">
        <v>7237</v>
      </c>
      <c r="AD57" s="10" t="s">
        <v>19</v>
      </c>
    </row>
    <row r="58" spans="2:30" ht="11.1" customHeight="1" x14ac:dyDescent="0.25">
      <c r="B58" s="76" t="s">
        <v>13</v>
      </c>
      <c r="C58" s="14" t="s">
        <v>6</v>
      </c>
      <c r="D58" s="31">
        <v>43608</v>
      </c>
      <c r="E58" s="31">
        <v>54481</v>
      </c>
      <c r="F58" s="41">
        <v>53678</v>
      </c>
      <c r="G58" s="41">
        <v>70755</v>
      </c>
      <c r="H58" s="41">
        <v>62912</v>
      </c>
      <c r="I58" s="41">
        <v>68640</v>
      </c>
      <c r="J58" s="41">
        <v>64500</v>
      </c>
      <c r="K58" s="41">
        <v>66723</v>
      </c>
      <c r="L58" s="41">
        <v>72069</v>
      </c>
      <c r="M58" s="41">
        <v>75251</v>
      </c>
      <c r="N58" s="41">
        <v>83552</v>
      </c>
      <c r="O58" s="41">
        <v>99381</v>
      </c>
      <c r="P58" s="41">
        <v>82471</v>
      </c>
      <c r="Q58" s="41">
        <v>82509</v>
      </c>
      <c r="R58" s="41">
        <v>81771</v>
      </c>
      <c r="S58" s="41">
        <v>89136</v>
      </c>
      <c r="T58" s="41">
        <v>114058</v>
      </c>
      <c r="U58" s="41">
        <v>117300</v>
      </c>
      <c r="V58" s="41">
        <v>116500</v>
      </c>
      <c r="W58" s="41">
        <v>114200</v>
      </c>
      <c r="X58" s="41">
        <v>114500</v>
      </c>
      <c r="Y58" s="41">
        <v>161100</v>
      </c>
      <c r="Z58" s="33">
        <v>187430</v>
      </c>
      <c r="AA58" s="33">
        <v>219010</v>
      </c>
      <c r="AB58" s="33">
        <v>263166</v>
      </c>
      <c r="AC58" s="33">
        <v>263270</v>
      </c>
      <c r="AD58" s="10" t="s">
        <v>19</v>
      </c>
    </row>
    <row r="59" spans="2:30" ht="11.1" customHeight="1" thickBot="1" x14ac:dyDescent="0.3">
      <c r="B59" s="239" t="s">
        <v>58</v>
      </c>
      <c r="C59" s="36" t="s">
        <v>6</v>
      </c>
      <c r="D59" s="37">
        <v>271591</v>
      </c>
      <c r="E59" s="37">
        <v>281503</v>
      </c>
      <c r="F59" s="38">
        <v>307312</v>
      </c>
      <c r="G59" s="38">
        <v>304763</v>
      </c>
      <c r="H59" s="38">
        <v>291032</v>
      </c>
      <c r="I59" s="38">
        <v>306432</v>
      </c>
      <c r="J59" s="38">
        <v>262765</v>
      </c>
      <c r="K59" s="38">
        <v>285179</v>
      </c>
      <c r="L59" s="38">
        <v>279009</v>
      </c>
      <c r="M59" s="38">
        <v>283456</v>
      </c>
      <c r="N59" s="38">
        <v>306576</v>
      </c>
      <c r="O59" s="38">
        <v>321792</v>
      </c>
      <c r="P59" s="38">
        <v>277210</v>
      </c>
      <c r="Q59" s="38">
        <v>268126</v>
      </c>
      <c r="R59" s="38">
        <v>277984</v>
      </c>
      <c r="S59" s="38">
        <v>280470</v>
      </c>
      <c r="T59" s="38">
        <v>296267</v>
      </c>
      <c r="U59" s="38">
        <v>293197</v>
      </c>
      <c r="V59" s="38">
        <v>309409</v>
      </c>
      <c r="W59" s="38">
        <v>294399</v>
      </c>
      <c r="X59" s="38">
        <v>273442</v>
      </c>
      <c r="Y59" s="38">
        <v>317159</v>
      </c>
      <c r="Z59" s="39">
        <v>430525</v>
      </c>
      <c r="AA59" s="39">
        <v>442774</v>
      </c>
      <c r="AB59" s="39">
        <v>531727</v>
      </c>
      <c r="AC59" s="39">
        <v>486273</v>
      </c>
      <c r="AD59" s="307" t="s">
        <v>19</v>
      </c>
    </row>
    <row r="60" spans="2:30" ht="9.75" customHeight="1" thickTop="1" x14ac:dyDescent="0.25">
      <c r="B60" s="359" t="s">
        <v>59</v>
      </c>
      <c r="C60" s="359"/>
      <c r="D60" s="359"/>
      <c r="E60" s="359"/>
      <c r="F60" s="359"/>
      <c r="G60" s="359"/>
      <c r="H60" s="359"/>
      <c r="I60" s="359"/>
      <c r="J60" s="359"/>
      <c r="K60" s="359"/>
      <c r="L60" s="359"/>
      <c r="M60" s="359"/>
      <c r="N60" s="359"/>
      <c r="O60" s="359"/>
      <c r="P60" s="359"/>
      <c r="Q60" s="359"/>
      <c r="R60" s="359"/>
      <c r="S60" s="359"/>
      <c r="T60" s="359"/>
      <c r="U60" s="359"/>
      <c r="V60" s="359"/>
      <c r="W60" s="359"/>
      <c r="X60" s="359"/>
      <c r="Y60" s="359"/>
      <c r="Z60" s="359"/>
      <c r="AA60" s="231"/>
      <c r="AB60" s="231"/>
      <c r="AC60" s="231"/>
      <c r="AD60" s="231"/>
    </row>
    <row r="61" spans="2:30" ht="9.75" customHeight="1" x14ac:dyDescent="0.25">
      <c r="B61" s="357" t="s">
        <v>36</v>
      </c>
      <c r="C61" s="357"/>
      <c r="D61" s="357"/>
      <c r="E61" s="357"/>
      <c r="F61" s="357"/>
      <c r="G61" s="357"/>
      <c r="H61" s="357"/>
      <c r="I61" s="357"/>
      <c r="J61" s="357"/>
      <c r="K61" s="357"/>
      <c r="L61" s="357"/>
      <c r="M61" s="357"/>
      <c r="N61" s="357"/>
      <c r="O61" s="357"/>
      <c r="P61" s="357"/>
      <c r="Q61" s="357"/>
      <c r="R61" s="357"/>
      <c r="S61" s="357"/>
      <c r="T61" s="357"/>
      <c r="U61" s="357"/>
      <c r="V61" s="357"/>
      <c r="W61" s="357"/>
      <c r="X61" s="357"/>
      <c r="Y61" s="357"/>
      <c r="Z61" s="357"/>
      <c r="AA61" s="231"/>
      <c r="AB61" s="231"/>
      <c r="AC61" s="231"/>
      <c r="AD61" s="231"/>
    </row>
    <row r="62" spans="2:30" ht="11.1" customHeight="1" x14ac:dyDescent="0.25">
      <c r="B62" s="240" t="s">
        <v>87</v>
      </c>
      <c r="C62" s="240"/>
      <c r="D62" s="240"/>
      <c r="E62" s="8"/>
      <c r="F62" s="151"/>
      <c r="G62" s="151"/>
      <c r="H62" s="151"/>
      <c r="I62" s="151"/>
      <c r="J62" s="151"/>
      <c r="K62" s="151"/>
      <c r="L62" s="151"/>
      <c r="M62" s="151"/>
      <c r="N62" s="151"/>
      <c r="O62" s="151"/>
      <c r="P62" s="151"/>
      <c r="Q62" s="151"/>
      <c r="R62" s="151"/>
      <c r="S62" s="151"/>
      <c r="T62" s="234"/>
      <c r="U62" s="234"/>
      <c r="V62" s="234"/>
      <c r="W62" s="234"/>
      <c r="X62" s="234"/>
      <c r="Y62" s="234"/>
      <c r="Z62" s="33"/>
      <c r="AA62" s="33"/>
      <c r="AB62" s="33"/>
      <c r="AC62" s="33"/>
      <c r="AD62" s="33"/>
    </row>
    <row r="63" spans="2:30" ht="11.1" customHeight="1" x14ac:dyDescent="0.25">
      <c r="B63" s="235" t="s">
        <v>90</v>
      </c>
      <c r="C63" s="8" t="s">
        <v>35</v>
      </c>
      <c r="D63" s="31">
        <v>875</v>
      </c>
      <c r="E63" s="31">
        <v>371</v>
      </c>
      <c r="F63" s="31">
        <v>363</v>
      </c>
      <c r="G63" s="31">
        <v>421</v>
      </c>
      <c r="H63" s="31">
        <v>480</v>
      </c>
      <c r="I63" s="31">
        <v>956</v>
      </c>
      <c r="J63" s="31">
        <v>499</v>
      </c>
      <c r="K63" s="31">
        <v>388</v>
      </c>
      <c r="L63" s="31">
        <v>415</v>
      </c>
      <c r="M63" s="31">
        <v>577</v>
      </c>
      <c r="N63" s="31">
        <v>895</v>
      </c>
      <c r="O63" s="31">
        <v>815</v>
      </c>
      <c r="P63" s="31">
        <v>1263</v>
      </c>
      <c r="Q63" s="31">
        <v>541</v>
      </c>
      <c r="R63" s="31">
        <v>847</v>
      </c>
      <c r="S63" s="31">
        <v>930</v>
      </c>
      <c r="T63" s="31">
        <v>712</v>
      </c>
      <c r="U63" s="31">
        <v>478</v>
      </c>
      <c r="V63" s="31">
        <v>661</v>
      </c>
      <c r="W63" s="31">
        <v>782</v>
      </c>
      <c r="X63" s="31">
        <v>462</v>
      </c>
      <c r="Y63" s="31">
        <v>543</v>
      </c>
      <c r="Z63" s="33">
        <v>318</v>
      </c>
      <c r="AA63" s="33">
        <v>223</v>
      </c>
      <c r="AB63" s="33">
        <v>257</v>
      </c>
      <c r="AC63" s="33">
        <v>285</v>
      </c>
      <c r="AD63" s="10" t="s">
        <v>19</v>
      </c>
    </row>
    <row r="64" spans="2:30" ht="11.1" customHeight="1" x14ac:dyDescent="0.25">
      <c r="B64" s="235" t="s">
        <v>91</v>
      </c>
      <c r="C64" s="8" t="s">
        <v>35</v>
      </c>
      <c r="D64" s="31">
        <v>1633</v>
      </c>
      <c r="E64" s="31">
        <v>1421</v>
      </c>
      <c r="F64" s="31">
        <v>1333</v>
      </c>
      <c r="G64" s="31">
        <v>941</v>
      </c>
      <c r="H64" s="31">
        <v>972</v>
      </c>
      <c r="I64" s="31">
        <v>1141</v>
      </c>
      <c r="J64" s="31">
        <v>823</v>
      </c>
      <c r="K64" s="31">
        <v>976</v>
      </c>
      <c r="L64" s="31">
        <v>633</v>
      </c>
      <c r="M64" s="31">
        <v>491</v>
      </c>
      <c r="N64" s="31">
        <v>665</v>
      </c>
      <c r="O64" s="31">
        <v>581</v>
      </c>
      <c r="P64" s="31">
        <v>524</v>
      </c>
      <c r="Q64" s="31">
        <v>503</v>
      </c>
      <c r="R64" s="31">
        <v>492</v>
      </c>
      <c r="S64" s="31">
        <v>428</v>
      </c>
      <c r="T64" s="31">
        <v>542</v>
      </c>
      <c r="U64" s="31">
        <v>483</v>
      </c>
      <c r="V64" s="31">
        <v>469</v>
      </c>
      <c r="W64" s="31">
        <v>470</v>
      </c>
      <c r="X64" s="31">
        <v>431</v>
      </c>
      <c r="Y64" s="31">
        <v>366</v>
      </c>
      <c r="Z64" s="33">
        <v>420</v>
      </c>
      <c r="AA64" s="33">
        <v>366</v>
      </c>
      <c r="AB64" s="33">
        <v>270</v>
      </c>
      <c r="AC64" s="33">
        <v>282</v>
      </c>
      <c r="AD64" s="10" t="s">
        <v>19</v>
      </c>
    </row>
    <row r="65" spans="2:30" ht="11.1" customHeight="1" x14ac:dyDescent="0.25">
      <c r="B65" s="235" t="s">
        <v>92</v>
      </c>
      <c r="C65" s="8" t="s">
        <v>35</v>
      </c>
      <c r="D65" s="31">
        <v>3301</v>
      </c>
      <c r="E65" s="31">
        <v>2298</v>
      </c>
      <c r="F65" s="31">
        <v>3009</v>
      </c>
      <c r="G65" s="31">
        <v>3385</v>
      </c>
      <c r="H65" s="31">
        <v>3864</v>
      </c>
      <c r="I65" s="31">
        <v>3358</v>
      </c>
      <c r="J65" s="31">
        <v>2992</v>
      </c>
      <c r="K65" s="31">
        <v>2856</v>
      </c>
      <c r="L65" s="31">
        <v>2480</v>
      </c>
      <c r="M65" s="31">
        <v>2784</v>
      </c>
      <c r="N65" s="31">
        <v>3008</v>
      </c>
      <c r="O65" s="31">
        <v>3698</v>
      </c>
      <c r="P65" s="31">
        <v>2298</v>
      </c>
      <c r="Q65" s="31">
        <v>2704</v>
      </c>
      <c r="R65" s="31">
        <v>3197</v>
      </c>
      <c r="S65" s="31">
        <v>3161</v>
      </c>
      <c r="T65" s="31">
        <v>2638</v>
      </c>
      <c r="U65" s="31">
        <v>2581</v>
      </c>
      <c r="V65" s="31">
        <v>3356</v>
      </c>
      <c r="W65" s="31">
        <v>2819</v>
      </c>
      <c r="X65" s="31">
        <v>2672</v>
      </c>
      <c r="Y65" s="31">
        <v>3062</v>
      </c>
      <c r="Z65" s="33">
        <v>2772</v>
      </c>
      <c r="AA65" s="33">
        <v>2507</v>
      </c>
      <c r="AB65" s="33">
        <v>3077</v>
      </c>
      <c r="AC65" s="33">
        <v>2824</v>
      </c>
      <c r="AD65" s="10" t="s">
        <v>19</v>
      </c>
    </row>
    <row r="66" spans="2:30" ht="11.1" customHeight="1" x14ac:dyDescent="0.25">
      <c r="B66" s="235" t="s">
        <v>88</v>
      </c>
      <c r="C66" s="8" t="s">
        <v>35</v>
      </c>
      <c r="D66" s="31">
        <v>2544</v>
      </c>
      <c r="E66" s="31">
        <v>1859</v>
      </c>
      <c r="F66" s="31">
        <v>1558</v>
      </c>
      <c r="G66" s="31">
        <v>1535</v>
      </c>
      <c r="H66" s="31">
        <v>1873</v>
      </c>
      <c r="I66" s="31">
        <v>2273</v>
      </c>
      <c r="J66" s="31">
        <v>1859</v>
      </c>
      <c r="K66" s="31">
        <v>1912</v>
      </c>
      <c r="L66" s="31">
        <v>1192</v>
      </c>
      <c r="M66" s="31">
        <v>745</v>
      </c>
      <c r="N66" s="31">
        <v>1307</v>
      </c>
      <c r="O66" s="31">
        <v>1225</v>
      </c>
      <c r="P66" s="31">
        <v>1319</v>
      </c>
      <c r="Q66" s="31">
        <v>922</v>
      </c>
      <c r="R66" s="31">
        <v>863</v>
      </c>
      <c r="S66" s="31">
        <v>1103</v>
      </c>
      <c r="T66" s="31">
        <v>1492</v>
      </c>
      <c r="U66" s="31">
        <v>1299</v>
      </c>
      <c r="V66" s="31">
        <v>1654</v>
      </c>
      <c r="W66" s="31">
        <v>1456</v>
      </c>
      <c r="X66" s="31">
        <v>1192</v>
      </c>
      <c r="Y66" s="31">
        <v>1187</v>
      </c>
      <c r="Z66" s="33">
        <v>1222</v>
      </c>
      <c r="AA66" s="33">
        <v>1160</v>
      </c>
      <c r="AB66" s="33">
        <v>1045</v>
      </c>
      <c r="AC66" s="33">
        <v>1289</v>
      </c>
      <c r="AD66" s="10" t="s">
        <v>19</v>
      </c>
    </row>
    <row r="67" spans="2:30" ht="11.1" customHeight="1" x14ac:dyDescent="0.25">
      <c r="B67" s="235" t="s">
        <v>39</v>
      </c>
      <c r="C67" s="8" t="s">
        <v>35</v>
      </c>
      <c r="D67" s="31">
        <v>822</v>
      </c>
      <c r="E67" s="31">
        <v>565</v>
      </c>
      <c r="F67" s="31">
        <v>662</v>
      </c>
      <c r="G67" s="31">
        <v>538</v>
      </c>
      <c r="H67" s="31">
        <v>476</v>
      </c>
      <c r="I67" s="31">
        <v>682</v>
      </c>
      <c r="J67" s="31">
        <v>501</v>
      </c>
      <c r="K67" s="31">
        <v>414</v>
      </c>
      <c r="L67" s="31">
        <v>329</v>
      </c>
      <c r="M67" s="31">
        <v>424</v>
      </c>
      <c r="N67" s="31">
        <v>439</v>
      </c>
      <c r="O67" s="31">
        <v>805</v>
      </c>
      <c r="P67" s="31">
        <v>549</v>
      </c>
      <c r="Q67" s="31">
        <v>521</v>
      </c>
      <c r="R67" s="31">
        <v>720</v>
      </c>
      <c r="S67" s="31">
        <v>373</v>
      </c>
      <c r="T67" s="31">
        <v>434</v>
      </c>
      <c r="U67" s="31">
        <v>404</v>
      </c>
      <c r="V67" s="31">
        <v>379</v>
      </c>
      <c r="W67" s="31">
        <v>336</v>
      </c>
      <c r="X67" s="31">
        <v>237</v>
      </c>
      <c r="Y67" s="31">
        <v>277</v>
      </c>
      <c r="Z67" s="33">
        <v>177</v>
      </c>
      <c r="AA67" s="33">
        <v>370</v>
      </c>
      <c r="AB67" s="33">
        <v>165</v>
      </c>
      <c r="AC67" s="33">
        <v>136</v>
      </c>
      <c r="AD67" s="10" t="s">
        <v>19</v>
      </c>
    </row>
    <row r="68" spans="2:30" ht="11.45" customHeight="1" x14ac:dyDescent="0.25">
      <c r="B68" s="235" t="s">
        <v>13</v>
      </c>
      <c r="C68" s="8" t="s">
        <v>35</v>
      </c>
      <c r="D68" s="31">
        <v>9176</v>
      </c>
      <c r="E68" s="31">
        <v>6514</v>
      </c>
      <c r="F68" s="31">
        <v>6926</v>
      </c>
      <c r="G68" s="31">
        <v>6821</v>
      </c>
      <c r="H68" s="31">
        <v>7666</v>
      </c>
      <c r="I68" s="31">
        <v>8411</v>
      </c>
      <c r="J68" s="31">
        <v>6675</v>
      </c>
      <c r="K68" s="31">
        <v>6544</v>
      </c>
      <c r="L68" s="31">
        <v>5049</v>
      </c>
      <c r="M68" s="31">
        <v>5021</v>
      </c>
      <c r="N68" s="31">
        <v>6314</v>
      </c>
      <c r="O68" s="31">
        <v>7123</v>
      </c>
      <c r="P68" s="31">
        <v>5953</v>
      </c>
      <c r="Q68" s="31">
        <v>5191</v>
      </c>
      <c r="R68" s="31">
        <v>6119</v>
      </c>
      <c r="S68" s="31">
        <v>5995</v>
      </c>
      <c r="T68" s="31">
        <v>5819</v>
      </c>
      <c r="U68" s="31">
        <v>5245</v>
      </c>
      <c r="V68" s="31">
        <v>6519</v>
      </c>
      <c r="W68" s="31">
        <v>5864</v>
      </c>
      <c r="X68" s="31">
        <v>4995</v>
      </c>
      <c r="Y68" s="31">
        <v>5434</v>
      </c>
      <c r="Z68" s="33">
        <v>4910</v>
      </c>
      <c r="AA68" s="33">
        <v>4626</v>
      </c>
      <c r="AB68" s="33">
        <v>4815</v>
      </c>
      <c r="AC68" s="33">
        <v>4816</v>
      </c>
      <c r="AD68" s="10" t="s">
        <v>19</v>
      </c>
    </row>
    <row r="69" spans="2:30" ht="11.1" customHeight="1" x14ac:dyDescent="0.25">
      <c r="B69" s="236" t="s">
        <v>265</v>
      </c>
      <c r="C69" s="8" t="s">
        <v>35</v>
      </c>
      <c r="D69" s="31">
        <v>3120</v>
      </c>
      <c r="E69" s="31">
        <v>3826</v>
      </c>
      <c r="F69" s="31">
        <v>4370</v>
      </c>
      <c r="G69" s="31">
        <v>3870</v>
      </c>
      <c r="H69" s="31">
        <v>3843</v>
      </c>
      <c r="I69" s="31">
        <v>4324</v>
      </c>
      <c r="J69" s="31">
        <v>3636</v>
      </c>
      <c r="K69" s="31">
        <v>3396</v>
      </c>
      <c r="L69" s="31">
        <v>3218</v>
      </c>
      <c r="M69" s="31">
        <v>3295</v>
      </c>
      <c r="N69" s="31">
        <v>3222</v>
      </c>
      <c r="O69" s="31">
        <v>2963</v>
      </c>
      <c r="P69" s="31">
        <v>3041</v>
      </c>
      <c r="Q69" s="31">
        <v>2935</v>
      </c>
      <c r="R69" s="31">
        <v>2836</v>
      </c>
      <c r="S69" s="31">
        <v>2770</v>
      </c>
      <c r="T69" s="31">
        <v>2848</v>
      </c>
      <c r="U69" s="31">
        <v>2570</v>
      </c>
      <c r="V69" s="31">
        <v>2362</v>
      </c>
      <c r="W69" s="31">
        <v>2360</v>
      </c>
      <c r="X69" s="31">
        <v>1949</v>
      </c>
      <c r="Y69" s="31">
        <v>1663</v>
      </c>
      <c r="Z69" s="33">
        <v>1594</v>
      </c>
      <c r="AA69" s="33">
        <v>1441</v>
      </c>
      <c r="AB69" s="33">
        <v>1509</v>
      </c>
      <c r="AC69" s="33">
        <v>1522</v>
      </c>
      <c r="AD69" s="10" t="s">
        <v>19</v>
      </c>
    </row>
    <row r="70" spans="2:30" ht="11.1" customHeight="1" x14ac:dyDescent="0.25">
      <c r="B70" s="236" t="s">
        <v>391</v>
      </c>
      <c r="C70" s="8" t="s">
        <v>35</v>
      </c>
      <c r="D70" s="31" t="s">
        <v>19</v>
      </c>
      <c r="E70" s="31">
        <v>72</v>
      </c>
      <c r="F70" s="31">
        <v>94</v>
      </c>
      <c r="G70" s="31">
        <v>244</v>
      </c>
      <c r="H70" s="31">
        <v>132</v>
      </c>
      <c r="I70" s="31">
        <v>182</v>
      </c>
      <c r="J70" s="31">
        <v>188</v>
      </c>
      <c r="K70" s="31">
        <v>169</v>
      </c>
      <c r="L70" s="31">
        <v>225</v>
      </c>
      <c r="M70" s="31">
        <v>312</v>
      </c>
      <c r="N70" s="31">
        <v>204</v>
      </c>
      <c r="O70" s="31">
        <v>146</v>
      </c>
      <c r="P70" s="31">
        <v>154</v>
      </c>
      <c r="Q70" s="31">
        <v>151</v>
      </c>
      <c r="R70" s="31">
        <v>167</v>
      </c>
      <c r="S70" s="31">
        <v>205</v>
      </c>
      <c r="T70" s="31">
        <v>153</v>
      </c>
      <c r="U70" s="31">
        <v>180</v>
      </c>
      <c r="V70" s="31">
        <v>277</v>
      </c>
      <c r="W70" s="31">
        <v>146</v>
      </c>
      <c r="X70" s="31">
        <v>128</v>
      </c>
      <c r="Y70" s="31">
        <v>119</v>
      </c>
      <c r="Z70" s="33">
        <v>160</v>
      </c>
      <c r="AA70" s="33">
        <v>144</v>
      </c>
      <c r="AB70" s="33">
        <v>122</v>
      </c>
      <c r="AC70" s="33">
        <v>76</v>
      </c>
      <c r="AD70" s="10" t="s">
        <v>19</v>
      </c>
    </row>
    <row r="71" spans="2:30" ht="11.1" customHeight="1" x14ac:dyDescent="0.25">
      <c r="B71" s="236" t="s">
        <v>68</v>
      </c>
      <c r="C71" s="8" t="s">
        <v>35</v>
      </c>
      <c r="D71" s="31">
        <v>647</v>
      </c>
      <c r="E71" s="31">
        <v>494</v>
      </c>
      <c r="F71" s="31">
        <v>431</v>
      </c>
      <c r="G71" s="31">
        <v>438</v>
      </c>
      <c r="H71" s="31">
        <v>632</v>
      </c>
      <c r="I71" s="31">
        <v>552</v>
      </c>
      <c r="J71" s="31">
        <v>605</v>
      </c>
      <c r="K71" s="31">
        <v>651</v>
      </c>
      <c r="L71" s="31">
        <v>567</v>
      </c>
      <c r="M71" s="31">
        <v>463</v>
      </c>
      <c r="N71" s="31">
        <v>477</v>
      </c>
      <c r="O71" s="31">
        <v>524</v>
      </c>
      <c r="P71" s="31">
        <v>459</v>
      </c>
      <c r="Q71" s="31">
        <v>488</v>
      </c>
      <c r="R71" s="31">
        <v>563</v>
      </c>
      <c r="S71" s="31">
        <v>614</v>
      </c>
      <c r="T71" s="31">
        <v>602</v>
      </c>
      <c r="U71" s="31">
        <v>658</v>
      </c>
      <c r="V71" s="31">
        <v>548</v>
      </c>
      <c r="W71" s="31">
        <v>608</v>
      </c>
      <c r="X71" s="31">
        <v>606</v>
      </c>
      <c r="Y71" s="31">
        <v>604</v>
      </c>
      <c r="Z71" s="33">
        <v>600</v>
      </c>
      <c r="AA71" s="33">
        <v>674</v>
      </c>
      <c r="AB71" s="33">
        <v>763</v>
      </c>
      <c r="AC71" s="33">
        <v>720</v>
      </c>
      <c r="AD71" s="10" t="s">
        <v>19</v>
      </c>
    </row>
    <row r="72" spans="2:30" ht="11.45" customHeight="1" x14ac:dyDescent="0.25">
      <c r="B72" s="236" t="s">
        <v>13</v>
      </c>
      <c r="C72" s="8" t="s">
        <v>35</v>
      </c>
      <c r="D72" s="31">
        <v>12943</v>
      </c>
      <c r="E72" s="31">
        <v>10906</v>
      </c>
      <c r="F72" s="31">
        <v>11822</v>
      </c>
      <c r="G72" s="31">
        <v>11372</v>
      </c>
      <c r="H72" s="31">
        <v>12273</v>
      </c>
      <c r="I72" s="31">
        <v>13470</v>
      </c>
      <c r="J72" s="31">
        <v>11103</v>
      </c>
      <c r="K72" s="31">
        <v>10760</v>
      </c>
      <c r="L72" s="31">
        <v>9059</v>
      </c>
      <c r="M72" s="31">
        <v>9091</v>
      </c>
      <c r="N72" s="31">
        <v>10217</v>
      </c>
      <c r="O72" s="31">
        <v>10756</v>
      </c>
      <c r="P72" s="31">
        <v>9608</v>
      </c>
      <c r="Q72" s="31">
        <v>8764</v>
      </c>
      <c r="R72" s="31">
        <v>9684</v>
      </c>
      <c r="S72" s="31">
        <v>9584</v>
      </c>
      <c r="T72" s="31">
        <v>9422</v>
      </c>
      <c r="U72" s="31">
        <v>8653</v>
      </c>
      <c r="V72" s="31">
        <v>9706</v>
      </c>
      <c r="W72" s="31">
        <v>8977</v>
      </c>
      <c r="X72" s="31">
        <v>7678</v>
      </c>
      <c r="Y72" s="31">
        <v>7820</v>
      </c>
      <c r="Z72" s="33">
        <v>7265</v>
      </c>
      <c r="AA72" s="33">
        <v>6885</v>
      </c>
      <c r="AB72" s="33">
        <v>7209</v>
      </c>
      <c r="AC72" s="33">
        <v>7134</v>
      </c>
      <c r="AD72" s="10" t="s">
        <v>19</v>
      </c>
    </row>
    <row r="73" spans="2:30" ht="9.6" customHeight="1" x14ac:dyDescent="0.25">
      <c r="B73" s="358" t="s">
        <v>40</v>
      </c>
      <c r="C73" s="358"/>
      <c r="D73" s="358"/>
      <c r="E73" s="358"/>
      <c r="F73" s="358"/>
      <c r="G73" s="358"/>
      <c r="H73" s="358"/>
      <c r="I73" s="358"/>
      <c r="J73" s="358"/>
      <c r="K73" s="358"/>
      <c r="L73" s="358"/>
      <c r="M73" s="358"/>
      <c r="N73" s="358"/>
      <c r="O73" s="358"/>
      <c r="P73" s="358"/>
      <c r="Q73" s="358"/>
      <c r="R73" s="358"/>
      <c r="S73" s="358"/>
      <c r="T73" s="358"/>
      <c r="U73" s="358"/>
      <c r="V73" s="358"/>
      <c r="W73" s="358"/>
      <c r="X73" s="358"/>
      <c r="Y73" s="358"/>
      <c r="Z73" s="358"/>
      <c r="AA73" s="237"/>
      <c r="AB73" s="237"/>
      <c r="AC73" s="237"/>
      <c r="AD73" s="237"/>
    </row>
    <row r="74" spans="2:30" ht="11.1" customHeight="1" x14ac:dyDescent="0.25">
      <c r="B74" s="236" t="s">
        <v>43</v>
      </c>
      <c r="C74" s="8" t="s">
        <v>35</v>
      </c>
      <c r="D74" s="31">
        <v>3910</v>
      </c>
      <c r="E74" s="31">
        <v>3780</v>
      </c>
      <c r="F74" s="31">
        <v>4733</v>
      </c>
      <c r="G74" s="31">
        <v>3190</v>
      </c>
      <c r="H74" s="31">
        <v>1603</v>
      </c>
      <c r="I74" s="31">
        <v>2095</v>
      </c>
      <c r="J74" s="31">
        <v>3224</v>
      </c>
      <c r="K74" s="31">
        <v>1730</v>
      </c>
      <c r="L74" s="31">
        <v>3498</v>
      </c>
      <c r="M74" s="31">
        <v>2965</v>
      </c>
      <c r="N74" s="31">
        <v>2660</v>
      </c>
      <c r="O74" s="31">
        <v>2991</v>
      </c>
      <c r="P74" s="31">
        <v>1847</v>
      </c>
      <c r="Q74" s="31">
        <v>2834</v>
      </c>
      <c r="R74" s="31">
        <v>5392</v>
      </c>
      <c r="S74" s="31">
        <v>2514</v>
      </c>
      <c r="T74" s="31">
        <v>2041</v>
      </c>
      <c r="U74" s="31">
        <v>1406</v>
      </c>
      <c r="V74" s="31">
        <v>1153</v>
      </c>
      <c r="W74" s="31">
        <v>2447</v>
      </c>
      <c r="X74" s="31">
        <v>1893</v>
      </c>
      <c r="Y74" s="31">
        <v>1695</v>
      </c>
      <c r="Z74" s="33">
        <v>212</v>
      </c>
      <c r="AA74" s="33">
        <v>13</v>
      </c>
      <c r="AB74" s="33">
        <v>5</v>
      </c>
      <c r="AC74" s="33">
        <v>144</v>
      </c>
      <c r="AD74" s="10" t="s">
        <v>19</v>
      </c>
    </row>
    <row r="75" spans="2:30" ht="11.1" customHeight="1" x14ac:dyDescent="0.25">
      <c r="B75" s="236" t="s">
        <v>392</v>
      </c>
      <c r="C75" s="8" t="s">
        <v>35</v>
      </c>
      <c r="D75" s="31">
        <v>144</v>
      </c>
      <c r="E75" s="31">
        <v>219</v>
      </c>
      <c r="F75" s="31">
        <v>244</v>
      </c>
      <c r="G75" s="31">
        <v>205</v>
      </c>
      <c r="H75" s="31">
        <v>194</v>
      </c>
      <c r="I75" s="31">
        <v>205</v>
      </c>
      <c r="J75" s="31">
        <v>238</v>
      </c>
      <c r="K75" s="31">
        <v>162</v>
      </c>
      <c r="L75" s="31">
        <v>110</v>
      </c>
      <c r="M75" s="31">
        <v>60</v>
      </c>
      <c r="N75" s="31">
        <v>99</v>
      </c>
      <c r="O75" s="31">
        <v>143</v>
      </c>
      <c r="P75" s="31">
        <v>102</v>
      </c>
      <c r="Q75" s="31">
        <v>152</v>
      </c>
      <c r="R75" s="31">
        <v>132</v>
      </c>
      <c r="S75" s="31">
        <v>131</v>
      </c>
      <c r="T75" s="31">
        <v>122</v>
      </c>
      <c r="U75" s="31">
        <v>135</v>
      </c>
      <c r="V75" s="31">
        <v>143</v>
      </c>
      <c r="W75" s="31">
        <v>144</v>
      </c>
      <c r="X75" s="31">
        <v>184</v>
      </c>
      <c r="Y75" s="31">
        <v>227</v>
      </c>
      <c r="Z75" s="33">
        <v>181</v>
      </c>
      <c r="AA75" s="33">
        <v>228</v>
      </c>
      <c r="AB75" s="33">
        <v>203</v>
      </c>
      <c r="AC75" s="33">
        <v>206</v>
      </c>
      <c r="AD75" s="10" t="s">
        <v>19</v>
      </c>
    </row>
    <row r="76" spans="2:30" ht="11.1" customHeight="1" x14ac:dyDescent="0.25">
      <c r="B76" s="236" t="s">
        <v>70</v>
      </c>
      <c r="C76" s="8" t="s">
        <v>35</v>
      </c>
      <c r="D76" s="31">
        <v>20</v>
      </c>
      <c r="E76" s="31" t="s">
        <v>19</v>
      </c>
      <c r="F76" s="31" t="s">
        <v>19</v>
      </c>
      <c r="G76" s="31" t="s">
        <v>19</v>
      </c>
      <c r="H76" s="31" t="s">
        <v>19</v>
      </c>
      <c r="I76" s="31" t="s">
        <v>19</v>
      </c>
      <c r="J76" s="31" t="s">
        <v>19</v>
      </c>
      <c r="K76" s="31" t="s">
        <v>19</v>
      </c>
      <c r="L76" s="31" t="s">
        <v>19</v>
      </c>
      <c r="M76" s="31" t="s">
        <v>19</v>
      </c>
      <c r="N76" s="31" t="s">
        <v>19</v>
      </c>
      <c r="O76" s="31" t="s">
        <v>19</v>
      </c>
      <c r="P76" s="31" t="s">
        <v>19</v>
      </c>
      <c r="Q76" s="31" t="s">
        <v>19</v>
      </c>
      <c r="R76" s="31" t="s">
        <v>19</v>
      </c>
      <c r="S76" s="31" t="s">
        <v>19</v>
      </c>
      <c r="T76" s="31" t="s">
        <v>19</v>
      </c>
      <c r="U76" s="31" t="s">
        <v>19</v>
      </c>
      <c r="V76" s="31" t="s">
        <v>19</v>
      </c>
      <c r="W76" s="31" t="s">
        <v>19</v>
      </c>
      <c r="X76" s="31">
        <v>0.19</v>
      </c>
      <c r="Y76" s="31">
        <v>0.09</v>
      </c>
      <c r="Z76" s="33">
        <v>24</v>
      </c>
      <c r="AA76" s="33">
        <v>24</v>
      </c>
      <c r="AB76" s="33">
        <v>275</v>
      </c>
      <c r="AC76" s="33">
        <v>254</v>
      </c>
      <c r="AD76" s="10" t="s">
        <v>19</v>
      </c>
    </row>
    <row r="77" spans="2:30" ht="11.1" customHeight="1" x14ac:dyDescent="0.25">
      <c r="B77" s="236" t="s">
        <v>13</v>
      </c>
      <c r="C77" s="8" t="s">
        <v>35</v>
      </c>
      <c r="D77" s="31">
        <v>4074</v>
      </c>
      <c r="E77" s="31">
        <v>4000</v>
      </c>
      <c r="F77" s="31">
        <v>4977</v>
      </c>
      <c r="G77" s="31">
        <v>3395</v>
      </c>
      <c r="H77" s="31">
        <v>1797</v>
      </c>
      <c r="I77" s="31">
        <v>2300</v>
      </c>
      <c r="J77" s="31">
        <v>3462</v>
      </c>
      <c r="K77" s="31">
        <v>1892</v>
      </c>
      <c r="L77" s="31">
        <v>3608</v>
      </c>
      <c r="M77" s="31">
        <v>3025</v>
      </c>
      <c r="N77" s="31">
        <v>2759</v>
      </c>
      <c r="O77" s="31">
        <v>3134</v>
      </c>
      <c r="P77" s="31">
        <v>1949</v>
      </c>
      <c r="Q77" s="31">
        <v>2986</v>
      </c>
      <c r="R77" s="31">
        <v>5524</v>
      </c>
      <c r="S77" s="31">
        <v>2645</v>
      </c>
      <c r="T77" s="31">
        <v>2163</v>
      </c>
      <c r="U77" s="31">
        <v>1541</v>
      </c>
      <c r="V77" s="31">
        <v>1296</v>
      </c>
      <c r="W77" s="31">
        <v>2591</v>
      </c>
      <c r="X77" s="31">
        <v>2078</v>
      </c>
      <c r="Y77" s="31">
        <v>1922</v>
      </c>
      <c r="Z77" s="33">
        <v>417</v>
      </c>
      <c r="AA77" s="33">
        <v>265</v>
      </c>
      <c r="AB77" s="33">
        <v>482</v>
      </c>
      <c r="AC77" s="33">
        <v>604</v>
      </c>
      <c r="AD77" s="10" t="s">
        <v>19</v>
      </c>
    </row>
    <row r="78" spans="2:30" ht="11.1" customHeight="1" x14ac:dyDescent="0.25">
      <c r="B78" s="358" t="s">
        <v>71</v>
      </c>
      <c r="C78" s="358"/>
      <c r="D78" s="358"/>
      <c r="E78" s="358"/>
      <c r="F78" s="358"/>
      <c r="G78" s="358"/>
      <c r="H78" s="358"/>
      <c r="I78" s="358"/>
      <c r="J78" s="358"/>
      <c r="K78" s="358"/>
      <c r="L78" s="358"/>
      <c r="M78" s="358"/>
      <c r="N78" s="358"/>
      <c r="O78" s="358"/>
      <c r="P78" s="358"/>
      <c r="Q78" s="358"/>
      <c r="R78" s="358"/>
      <c r="S78" s="358"/>
      <c r="T78" s="358"/>
      <c r="U78" s="358"/>
      <c r="V78" s="358"/>
      <c r="W78" s="358"/>
      <c r="X78" s="358"/>
      <c r="Y78" s="358"/>
      <c r="Z78" s="358"/>
      <c r="AA78" s="237"/>
      <c r="AB78" s="237"/>
      <c r="AC78" s="237"/>
      <c r="AD78" s="237"/>
    </row>
    <row r="79" spans="2:30" ht="11.1" customHeight="1" x14ac:dyDescent="0.25">
      <c r="B79" s="236" t="s">
        <v>348</v>
      </c>
      <c r="C79" s="8" t="s">
        <v>35</v>
      </c>
      <c r="D79" s="31">
        <v>133</v>
      </c>
      <c r="E79" s="31">
        <v>103</v>
      </c>
      <c r="F79" s="31">
        <v>111</v>
      </c>
      <c r="G79" s="31">
        <v>100</v>
      </c>
      <c r="H79" s="31">
        <v>93</v>
      </c>
      <c r="I79" s="31">
        <v>160</v>
      </c>
      <c r="J79" s="31">
        <v>214</v>
      </c>
      <c r="K79" s="31">
        <v>228</v>
      </c>
      <c r="L79" s="31">
        <v>188</v>
      </c>
      <c r="M79" s="31">
        <v>149</v>
      </c>
      <c r="N79" s="31">
        <v>106</v>
      </c>
      <c r="O79" s="31">
        <v>95</v>
      </c>
      <c r="P79" s="31">
        <v>77</v>
      </c>
      <c r="Q79" s="31">
        <v>65</v>
      </c>
      <c r="R79" s="31">
        <v>57</v>
      </c>
      <c r="S79" s="31">
        <v>64</v>
      </c>
      <c r="T79" s="31">
        <v>60</v>
      </c>
      <c r="U79" s="31">
        <v>67</v>
      </c>
      <c r="V79" s="31">
        <v>73</v>
      </c>
      <c r="W79" s="31">
        <v>51</v>
      </c>
      <c r="X79" s="31">
        <v>38</v>
      </c>
      <c r="Y79" s="31">
        <v>20</v>
      </c>
      <c r="Z79" s="33">
        <v>12</v>
      </c>
      <c r="AA79" s="33">
        <v>11</v>
      </c>
      <c r="AB79" s="33">
        <v>21</v>
      </c>
      <c r="AC79" s="33">
        <v>21</v>
      </c>
      <c r="AD79" s="10" t="s">
        <v>19</v>
      </c>
    </row>
    <row r="80" spans="2:30" ht="11.1" customHeight="1" x14ac:dyDescent="0.25">
      <c r="B80" s="236" t="s">
        <v>381</v>
      </c>
      <c r="C80" s="8" t="s">
        <v>35</v>
      </c>
      <c r="D80" s="31" t="s">
        <v>19</v>
      </c>
      <c r="E80" s="31" t="s">
        <v>19</v>
      </c>
      <c r="F80" s="31" t="s">
        <v>19</v>
      </c>
      <c r="G80" s="31">
        <v>623</v>
      </c>
      <c r="H80" s="31">
        <v>547</v>
      </c>
      <c r="I80" s="31">
        <v>595</v>
      </c>
      <c r="J80" s="31">
        <v>524</v>
      </c>
      <c r="K80" s="31">
        <v>439</v>
      </c>
      <c r="L80" s="31">
        <v>832</v>
      </c>
      <c r="M80" s="31">
        <v>875</v>
      </c>
      <c r="N80" s="31">
        <v>915</v>
      </c>
      <c r="O80" s="31">
        <v>978</v>
      </c>
      <c r="P80" s="31">
        <v>675</v>
      </c>
      <c r="Q80" s="31">
        <v>600</v>
      </c>
      <c r="R80" s="31">
        <v>233</v>
      </c>
      <c r="S80" s="31">
        <v>222</v>
      </c>
      <c r="T80" s="31">
        <v>240</v>
      </c>
      <c r="U80" s="31">
        <v>476</v>
      </c>
      <c r="V80" s="31">
        <v>246</v>
      </c>
      <c r="W80" s="31">
        <v>249</v>
      </c>
      <c r="X80" s="31">
        <v>206</v>
      </c>
      <c r="Y80" s="31">
        <v>189</v>
      </c>
      <c r="Z80" s="33">
        <v>379</v>
      </c>
      <c r="AA80" s="33">
        <v>446</v>
      </c>
      <c r="AB80" s="33">
        <v>509</v>
      </c>
      <c r="AC80" s="33">
        <v>375</v>
      </c>
      <c r="AD80" s="10" t="s">
        <v>19</v>
      </c>
    </row>
    <row r="81" spans="2:30" ht="11.1" customHeight="1" x14ac:dyDescent="0.25">
      <c r="B81" s="236" t="s">
        <v>75</v>
      </c>
      <c r="C81" s="8" t="s">
        <v>35</v>
      </c>
      <c r="D81" s="31">
        <v>915</v>
      </c>
      <c r="E81" s="31">
        <v>851</v>
      </c>
      <c r="F81" s="31">
        <v>911</v>
      </c>
      <c r="G81" s="31">
        <v>1256</v>
      </c>
      <c r="H81" s="31">
        <v>892</v>
      </c>
      <c r="I81" s="31">
        <v>931</v>
      </c>
      <c r="J81" s="31">
        <v>774</v>
      </c>
      <c r="K81" s="31">
        <v>943</v>
      </c>
      <c r="L81" s="31">
        <v>880</v>
      </c>
      <c r="M81" s="31">
        <v>978</v>
      </c>
      <c r="N81" s="31">
        <v>1080</v>
      </c>
      <c r="O81" s="31">
        <v>1004</v>
      </c>
      <c r="P81" s="31">
        <v>1364</v>
      </c>
      <c r="Q81" s="31">
        <v>1502</v>
      </c>
      <c r="R81" s="31">
        <v>1041</v>
      </c>
      <c r="S81" s="31">
        <v>826</v>
      </c>
      <c r="T81" s="31">
        <v>694</v>
      </c>
      <c r="U81" s="31">
        <v>706</v>
      </c>
      <c r="V81" s="31">
        <v>884</v>
      </c>
      <c r="W81" s="31">
        <v>801</v>
      </c>
      <c r="X81" s="31">
        <v>655</v>
      </c>
      <c r="Y81" s="31">
        <v>634</v>
      </c>
      <c r="Z81" s="33">
        <v>747</v>
      </c>
      <c r="AA81" s="33">
        <v>798</v>
      </c>
      <c r="AB81" s="33">
        <v>887</v>
      </c>
      <c r="AC81" s="33">
        <v>939</v>
      </c>
      <c r="AD81" s="10" t="s">
        <v>19</v>
      </c>
    </row>
    <row r="82" spans="2:30" ht="11.1" customHeight="1" x14ac:dyDescent="0.25">
      <c r="B82" s="236" t="s">
        <v>382</v>
      </c>
      <c r="C82" s="8" t="s">
        <v>35</v>
      </c>
      <c r="D82" s="31">
        <v>154</v>
      </c>
      <c r="E82" s="31">
        <v>186</v>
      </c>
      <c r="F82" s="31">
        <v>201</v>
      </c>
      <c r="G82" s="31">
        <v>170</v>
      </c>
      <c r="H82" s="31">
        <v>147</v>
      </c>
      <c r="I82" s="31">
        <v>222</v>
      </c>
      <c r="J82" s="31">
        <v>208</v>
      </c>
      <c r="K82" s="31">
        <v>208</v>
      </c>
      <c r="L82" s="31">
        <v>185</v>
      </c>
      <c r="M82" s="31">
        <v>265</v>
      </c>
      <c r="N82" s="31">
        <v>172</v>
      </c>
      <c r="O82" s="31">
        <v>169</v>
      </c>
      <c r="P82" s="31">
        <v>111</v>
      </c>
      <c r="Q82" s="31">
        <v>128</v>
      </c>
      <c r="R82" s="31">
        <v>158</v>
      </c>
      <c r="S82" s="31">
        <v>134</v>
      </c>
      <c r="T82" s="31">
        <v>133</v>
      </c>
      <c r="U82" s="31">
        <v>194</v>
      </c>
      <c r="V82" s="31">
        <v>124</v>
      </c>
      <c r="W82" s="31">
        <v>87</v>
      </c>
      <c r="X82" s="31">
        <v>65</v>
      </c>
      <c r="Y82" s="31">
        <v>69</v>
      </c>
      <c r="Z82" s="33">
        <v>79</v>
      </c>
      <c r="AA82" s="33">
        <v>51</v>
      </c>
      <c r="AB82" s="33">
        <v>72</v>
      </c>
      <c r="AC82" s="33">
        <v>49</v>
      </c>
      <c r="AD82" s="10" t="s">
        <v>19</v>
      </c>
    </row>
    <row r="83" spans="2:30" ht="11.1" customHeight="1" x14ac:dyDescent="0.25">
      <c r="B83" s="236" t="s">
        <v>320</v>
      </c>
      <c r="C83" s="8" t="s">
        <v>35</v>
      </c>
      <c r="D83" s="31">
        <v>2483</v>
      </c>
      <c r="E83" s="31">
        <v>1828</v>
      </c>
      <c r="F83" s="31">
        <v>2633</v>
      </c>
      <c r="G83" s="31">
        <v>1925</v>
      </c>
      <c r="H83" s="31">
        <v>2103</v>
      </c>
      <c r="I83" s="31">
        <v>2325</v>
      </c>
      <c r="J83" s="31">
        <v>1748</v>
      </c>
      <c r="K83" s="31">
        <v>1888</v>
      </c>
      <c r="L83" s="31">
        <v>1590</v>
      </c>
      <c r="M83" s="31">
        <v>1838</v>
      </c>
      <c r="N83" s="31">
        <v>1864</v>
      </c>
      <c r="O83" s="31">
        <v>1938</v>
      </c>
      <c r="P83" s="31">
        <v>1675</v>
      </c>
      <c r="Q83" s="31">
        <v>1739</v>
      </c>
      <c r="R83" s="31">
        <v>2099</v>
      </c>
      <c r="S83" s="31">
        <v>1681</v>
      </c>
      <c r="T83" s="31">
        <v>1938</v>
      </c>
      <c r="U83" s="31">
        <v>1520</v>
      </c>
      <c r="V83" s="31">
        <v>1864</v>
      </c>
      <c r="W83" s="31">
        <v>1292</v>
      </c>
      <c r="X83" s="31">
        <v>1189</v>
      </c>
      <c r="Y83" s="31">
        <v>1110</v>
      </c>
      <c r="Z83" s="33">
        <v>1685</v>
      </c>
      <c r="AA83" s="33">
        <v>958</v>
      </c>
      <c r="AB83" s="33">
        <v>1131</v>
      </c>
      <c r="AC83" s="33">
        <v>772</v>
      </c>
      <c r="AD83" s="10" t="s">
        <v>19</v>
      </c>
    </row>
    <row r="84" spans="2:30" ht="11.1" customHeight="1" x14ac:dyDescent="0.25">
      <c r="B84" s="236" t="s">
        <v>383</v>
      </c>
      <c r="C84" s="8" t="s">
        <v>35</v>
      </c>
      <c r="D84" s="31">
        <v>201</v>
      </c>
      <c r="E84" s="31">
        <v>155</v>
      </c>
      <c r="F84" s="31">
        <v>264</v>
      </c>
      <c r="G84" s="31">
        <v>225</v>
      </c>
      <c r="H84" s="31">
        <v>112</v>
      </c>
      <c r="I84" s="31">
        <v>127</v>
      </c>
      <c r="J84" s="31">
        <v>150</v>
      </c>
      <c r="K84" s="31">
        <v>117</v>
      </c>
      <c r="L84" s="31" t="s">
        <v>19</v>
      </c>
      <c r="M84" s="31" t="s">
        <v>19</v>
      </c>
      <c r="N84" s="31" t="s">
        <v>19</v>
      </c>
      <c r="O84" s="31" t="s">
        <v>19</v>
      </c>
      <c r="P84" s="31">
        <v>109</v>
      </c>
      <c r="Q84" s="31">
        <v>55</v>
      </c>
      <c r="R84" s="31">
        <v>58</v>
      </c>
      <c r="S84" s="31">
        <v>43</v>
      </c>
      <c r="T84" s="31">
        <v>56</v>
      </c>
      <c r="U84" s="31">
        <v>55</v>
      </c>
      <c r="V84" s="31">
        <v>68</v>
      </c>
      <c r="W84" s="31">
        <v>58</v>
      </c>
      <c r="X84" s="31">
        <v>55</v>
      </c>
      <c r="Y84" s="31">
        <v>44</v>
      </c>
      <c r="Z84" s="33">
        <v>47</v>
      </c>
      <c r="AA84" s="33">
        <v>62</v>
      </c>
      <c r="AB84" s="33">
        <v>116</v>
      </c>
      <c r="AC84" s="33">
        <v>54</v>
      </c>
      <c r="AD84" s="10" t="s">
        <v>19</v>
      </c>
    </row>
    <row r="85" spans="2:30" ht="11.1" customHeight="1" x14ac:dyDescent="0.25">
      <c r="B85" s="236" t="s">
        <v>252</v>
      </c>
      <c r="C85" s="8" t="s">
        <v>35</v>
      </c>
      <c r="D85" s="31">
        <v>1379</v>
      </c>
      <c r="E85" s="31">
        <v>1301</v>
      </c>
      <c r="F85" s="31">
        <v>815</v>
      </c>
      <c r="G85" s="31">
        <v>1206</v>
      </c>
      <c r="H85" s="31">
        <v>959</v>
      </c>
      <c r="I85" s="31">
        <v>895</v>
      </c>
      <c r="J85" s="31">
        <v>1277</v>
      </c>
      <c r="K85" s="31">
        <v>1482</v>
      </c>
      <c r="L85" s="31">
        <v>1355</v>
      </c>
      <c r="M85" s="31">
        <v>1013</v>
      </c>
      <c r="N85" s="31">
        <v>1045</v>
      </c>
      <c r="O85" s="31">
        <v>1336</v>
      </c>
      <c r="P85" s="31">
        <v>1421</v>
      </c>
      <c r="Q85" s="31">
        <v>795</v>
      </c>
      <c r="R85" s="31">
        <v>1115</v>
      </c>
      <c r="S85" s="31">
        <v>864</v>
      </c>
      <c r="T85" s="31">
        <v>956</v>
      </c>
      <c r="U85" s="31">
        <v>1092</v>
      </c>
      <c r="V85" s="31">
        <v>913</v>
      </c>
      <c r="W85" s="31">
        <v>1255</v>
      </c>
      <c r="X85" s="31">
        <v>1332</v>
      </c>
      <c r="Y85" s="31">
        <v>1334</v>
      </c>
      <c r="Z85" s="33">
        <v>1259</v>
      </c>
      <c r="AA85" s="33">
        <v>1048</v>
      </c>
      <c r="AB85" s="33">
        <v>799</v>
      </c>
      <c r="AC85" s="33">
        <v>307</v>
      </c>
      <c r="AD85" s="10" t="s">
        <v>19</v>
      </c>
    </row>
    <row r="86" spans="2:30" ht="11.1" customHeight="1" x14ac:dyDescent="0.25">
      <c r="B86" s="236" t="s">
        <v>316</v>
      </c>
      <c r="C86" s="8" t="s">
        <v>35</v>
      </c>
      <c r="D86" s="31">
        <v>1592</v>
      </c>
      <c r="E86" s="31">
        <v>1692</v>
      </c>
      <c r="F86" s="31">
        <v>2003</v>
      </c>
      <c r="G86" s="31">
        <v>2193</v>
      </c>
      <c r="H86" s="31">
        <v>2057</v>
      </c>
      <c r="I86" s="31">
        <v>1541</v>
      </c>
      <c r="J86" s="31">
        <v>977</v>
      </c>
      <c r="K86" s="31">
        <v>1034</v>
      </c>
      <c r="L86" s="31">
        <v>997</v>
      </c>
      <c r="M86" s="31">
        <v>1077</v>
      </c>
      <c r="N86" s="31">
        <v>1110</v>
      </c>
      <c r="O86" s="31">
        <v>943</v>
      </c>
      <c r="P86" s="31">
        <v>803</v>
      </c>
      <c r="Q86" s="31">
        <v>727</v>
      </c>
      <c r="R86" s="31">
        <v>751</v>
      </c>
      <c r="S86" s="31">
        <v>840</v>
      </c>
      <c r="T86" s="31">
        <v>754</v>
      </c>
      <c r="U86" s="31">
        <v>817</v>
      </c>
      <c r="V86" s="31">
        <v>850</v>
      </c>
      <c r="W86" s="31">
        <v>829</v>
      </c>
      <c r="X86" s="31">
        <v>735</v>
      </c>
      <c r="Y86" s="31">
        <v>684</v>
      </c>
      <c r="Z86" s="33">
        <v>770</v>
      </c>
      <c r="AA86" s="33">
        <v>653</v>
      </c>
      <c r="AB86" s="33">
        <v>678</v>
      </c>
      <c r="AC86" s="33">
        <v>624</v>
      </c>
      <c r="AD86" s="10" t="s">
        <v>19</v>
      </c>
    </row>
    <row r="87" spans="2:30" ht="11.1" customHeight="1" x14ac:dyDescent="0.25">
      <c r="B87" s="236" t="s">
        <v>384</v>
      </c>
      <c r="C87" s="8" t="s">
        <v>35</v>
      </c>
      <c r="D87" s="31">
        <v>701</v>
      </c>
      <c r="E87" s="31">
        <v>714</v>
      </c>
      <c r="F87" s="31">
        <v>801</v>
      </c>
      <c r="G87" s="31">
        <v>864</v>
      </c>
      <c r="H87" s="31">
        <v>877</v>
      </c>
      <c r="I87" s="31">
        <v>679</v>
      </c>
      <c r="J87" s="31">
        <v>228</v>
      </c>
      <c r="K87" s="31">
        <v>218</v>
      </c>
      <c r="L87" s="31">
        <v>328</v>
      </c>
      <c r="M87" s="31">
        <v>282</v>
      </c>
      <c r="N87" s="31">
        <v>247</v>
      </c>
      <c r="O87" s="31">
        <v>274</v>
      </c>
      <c r="P87" s="31">
        <v>248</v>
      </c>
      <c r="Q87" s="31">
        <v>226</v>
      </c>
      <c r="R87" s="31">
        <v>218</v>
      </c>
      <c r="S87" s="31">
        <v>219</v>
      </c>
      <c r="T87" s="31">
        <v>202</v>
      </c>
      <c r="U87" s="31">
        <v>164</v>
      </c>
      <c r="V87" s="31">
        <v>137</v>
      </c>
      <c r="W87" s="31">
        <v>167</v>
      </c>
      <c r="X87" s="31">
        <v>151</v>
      </c>
      <c r="Y87" s="31">
        <v>140</v>
      </c>
      <c r="Z87" s="33">
        <v>114</v>
      </c>
      <c r="AA87" s="33">
        <v>113</v>
      </c>
      <c r="AB87" s="33">
        <v>109</v>
      </c>
      <c r="AC87" s="33">
        <v>114</v>
      </c>
      <c r="AD87" s="10" t="s">
        <v>19</v>
      </c>
    </row>
    <row r="88" spans="2:30" ht="11.1" customHeight="1" x14ac:dyDescent="0.25">
      <c r="B88" s="236" t="s">
        <v>385</v>
      </c>
      <c r="C88" s="8" t="s">
        <v>35</v>
      </c>
      <c r="D88" s="31">
        <v>157</v>
      </c>
      <c r="E88" s="31">
        <v>140</v>
      </c>
      <c r="F88" s="31">
        <v>185</v>
      </c>
      <c r="G88" s="31">
        <v>470</v>
      </c>
      <c r="H88" s="31">
        <v>247</v>
      </c>
      <c r="I88" s="31">
        <v>340</v>
      </c>
      <c r="J88" s="31">
        <v>253</v>
      </c>
      <c r="K88" s="31">
        <v>201</v>
      </c>
      <c r="L88" s="31">
        <v>242</v>
      </c>
      <c r="M88" s="31">
        <v>246</v>
      </c>
      <c r="N88" s="31">
        <v>248</v>
      </c>
      <c r="O88" s="31">
        <v>235</v>
      </c>
      <c r="P88" s="31">
        <v>192</v>
      </c>
      <c r="Q88" s="31">
        <v>182</v>
      </c>
      <c r="R88" s="31">
        <v>215</v>
      </c>
      <c r="S88" s="31">
        <v>208</v>
      </c>
      <c r="T88" s="31">
        <v>157</v>
      </c>
      <c r="U88" s="31">
        <v>142</v>
      </c>
      <c r="V88" s="31">
        <v>137</v>
      </c>
      <c r="W88" s="31">
        <v>128</v>
      </c>
      <c r="X88" s="31">
        <v>95</v>
      </c>
      <c r="Y88" s="31">
        <v>113</v>
      </c>
      <c r="Z88" s="33">
        <v>102</v>
      </c>
      <c r="AA88" s="33">
        <v>102</v>
      </c>
      <c r="AB88" s="33">
        <v>76</v>
      </c>
      <c r="AC88" s="33">
        <v>55</v>
      </c>
      <c r="AD88" s="10" t="s">
        <v>19</v>
      </c>
    </row>
    <row r="89" spans="2:30" ht="11.1" customHeight="1" x14ac:dyDescent="0.25">
      <c r="B89" s="236" t="s">
        <v>386</v>
      </c>
      <c r="C89" s="8" t="s">
        <v>35</v>
      </c>
      <c r="D89" s="31">
        <v>427</v>
      </c>
      <c r="E89" s="31">
        <v>463</v>
      </c>
      <c r="F89" s="31">
        <v>501</v>
      </c>
      <c r="G89" s="31">
        <v>940</v>
      </c>
      <c r="H89" s="31">
        <v>451</v>
      </c>
      <c r="I89" s="31">
        <v>443</v>
      </c>
      <c r="J89" s="31">
        <v>438</v>
      </c>
      <c r="K89" s="31">
        <v>410</v>
      </c>
      <c r="L89" s="31">
        <v>413</v>
      </c>
      <c r="M89" s="31">
        <v>466</v>
      </c>
      <c r="N89" s="31">
        <v>461</v>
      </c>
      <c r="O89" s="31">
        <v>511</v>
      </c>
      <c r="P89" s="31">
        <v>485</v>
      </c>
      <c r="Q89" s="31">
        <v>556</v>
      </c>
      <c r="R89" s="31">
        <v>442</v>
      </c>
      <c r="S89" s="31">
        <v>310</v>
      </c>
      <c r="T89" s="31">
        <v>345</v>
      </c>
      <c r="U89" s="31">
        <v>311</v>
      </c>
      <c r="V89" s="31">
        <v>346</v>
      </c>
      <c r="W89" s="31">
        <v>338</v>
      </c>
      <c r="X89" s="31">
        <v>218</v>
      </c>
      <c r="Y89" s="31">
        <v>207</v>
      </c>
      <c r="Z89" s="33">
        <v>252</v>
      </c>
      <c r="AA89" s="33">
        <v>353</v>
      </c>
      <c r="AB89" s="33">
        <v>382</v>
      </c>
      <c r="AC89" s="33">
        <v>311</v>
      </c>
      <c r="AD89" s="10" t="s">
        <v>19</v>
      </c>
    </row>
    <row r="90" spans="2:30" ht="11.1" customHeight="1" x14ac:dyDescent="0.25">
      <c r="B90" s="236" t="s">
        <v>73</v>
      </c>
      <c r="C90" s="8" t="s">
        <v>35</v>
      </c>
      <c r="D90" s="31">
        <v>762</v>
      </c>
      <c r="E90" s="31">
        <v>1278</v>
      </c>
      <c r="F90" s="31">
        <v>1560</v>
      </c>
      <c r="G90" s="31">
        <v>2035</v>
      </c>
      <c r="H90" s="31">
        <v>1726</v>
      </c>
      <c r="I90" s="31">
        <v>2016</v>
      </c>
      <c r="J90" s="31">
        <v>1564</v>
      </c>
      <c r="K90" s="31">
        <v>1543</v>
      </c>
      <c r="L90" s="31">
        <v>1673</v>
      </c>
      <c r="M90" s="31">
        <v>1444</v>
      </c>
      <c r="N90" s="31">
        <v>1327</v>
      </c>
      <c r="O90" s="31">
        <v>889</v>
      </c>
      <c r="P90" s="31">
        <v>696</v>
      </c>
      <c r="Q90" s="31">
        <v>578</v>
      </c>
      <c r="R90" s="31">
        <v>545</v>
      </c>
      <c r="S90" s="31">
        <v>580</v>
      </c>
      <c r="T90" s="31">
        <v>492</v>
      </c>
      <c r="U90" s="31">
        <v>665</v>
      </c>
      <c r="V90" s="31">
        <v>580</v>
      </c>
      <c r="W90" s="31">
        <v>439</v>
      </c>
      <c r="X90" s="31">
        <v>322</v>
      </c>
      <c r="Y90" s="31">
        <v>277</v>
      </c>
      <c r="Z90" s="33">
        <v>247</v>
      </c>
      <c r="AA90" s="33">
        <v>198</v>
      </c>
      <c r="AB90" s="33">
        <v>216</v>
      </c>
      <c r="AC90" s="33">
        <v>144</v>
      </c>
      <c r="AD90" s="10" t="s">
        <v>19</v>
      </c>
    </row>
    <row r="91" spans="2:30" ht="11.1" customHeight="1" x14ac:dyDescent="0.25">
      <c r="B91" s="236" t="s">
        <v>387</v>
      </c>
      <c r="C91" s="8" t="s">
        <v>35</v>
      </c>
      <c r="D91" s="31">
        <v>112</v>
      </c>
      <c r="E91" s="31">
        <v>314</v>
      </c>
      <c r="F91" s="31">
        <v>413</v>
      </c>
      <c r="G91" s="31">
        <v>166</v>
      </c>
      <c r="H91" s="31">
        <v>275</v>
      </c>
      <c r="I91" s="31">
        <v>99</v>
      </c>
      <c r="J91" s="31">
        <v>112</v>
      </c>
      <c r="K91" s="31">
        <v>82</v>
      </c>
      <c r="L91" s="241" t="s">
        <v>19</v>
      </c>
      <c r="M91" s="31" t="s">
        <v>19</v>
      </c>
      <c r="N91" s="31" t="s">
        <v>19</v>
      </c>
      <c r="O91" s="31">
        <v>101</v>
      </c>
      <c r="P91" s="31">
        <v>63</v>
      </c>
      <c r="Q91" s="31">
        <v>44</v>
      </c>
      <c r="R91" s="31">
        <v>79</v>
      </c>
      <c r="S91" s="31">
        <v>90</v>
      </c>
      <c r="T91" s="31">
        <v>83</v>
      </c>
      <c r="U91" s="31">
        <v>81</v>
      </c>
      <c r="V91" s="31">
        <v>28</v>
      </c>
      <c r="W91" s="31">
        <v>39</v>
      </c>
      <c r="X91" s="31">
        <v>47</v>
      </c>
      <c r="Y91" s="31">
        <v>81</v>
      </c>
      <c r="Z91" s="33">
        <v>46</v>
      </c>
      <c r="AA91" s="33">
        <v>35</v>
      </c>
      <c r="AB91" s="33">
        <v>24</v>
      </c>
      <c r="AC91" s="33">
        <v>25</v>
      </c>
      <c r="AD91" s="10" t="s">
        <v>19</v>
      </c>
    </row>
    <row r="92" spans="2:30" ht="11.1" customHeight="1" x14ac:dyDescent="0.25">
      <c r="B92" s="236" t="s">
        <v>98</v>
      </c>
      <c r="C92" s="8" t="s">
        <v>35</v>
      </c>
      <c r="D92" s="31">
        <v>720</v>
      </c>
      <c r="E92" s="31">
        <v>883</v>
      </c>
      <c r="F92" s="31">
        <v>733</v>
      </c>
      <c r="G92" s="31">
        <v>914</v>
      </c>
      <c r="H92" s="31">
        <v>1024</v>
      </c>
      <c r="I92" s="31">
        <v>753</v>
      </c>
      <c r="J92" s="31">
        <v>510</v>
      </c>
      <c r="K92" s="31">
        <v>481</v>
      </c>
      <c r="L92" s="31">
        <v>499</v>
      </c>
      <c r="M92" s="31">
        <v>500</v>
      </c>
      <c r="N92" s="31">
        <v>628</v>
      </c>
      <c r="O92" s="31">
        <v>613</v>
      </c>
      <c r="P92" s="31">
        <v>498</v>
      </c>
      <c r="Q92" s="31">
        <v>535</v>
      </c>
      <c r="R92" s="31">
        <v>516</v>
      </c>
      <c r="S92" s="31">
        <v>554</v>
      </c>
      <c r="T92" s="31">
        <v>535</v>
      </c>
      <c r="U92" s="31">
        <v>459</v>
      </c>
      <c r="V92" s="31">
        <v>495</v>
      </c>
      <c r="W92" s="31">
        <v>539</v>
      </c>
      <c r="X92" s="31">
        <v>435</v>
      </c>
      <c r="Y92" s="31">
        <v>491</v>
      </c>
      <c r="Z92" s="33">
        <v>475</v>
      </c>
      <c r="AA92" s="33">
        <v>489</v>
      </c>
      <c r="AB92" s="33">
        <v>478</v>
      </c>
      <c r="AC92" s="33">
        <v>322</v>
      </c>
      <c r="AD92" s="10" t="s">
        <v>19</v>
      </c>
    </row>
    <row r="93" spans="2:30" ht="11.1" customHeight="1" x14ac:dyDescent="0.25">
      <c r="B93" s="236" t="s">
        <v>388</v>
      </c>
      <c r="C93" s="8" t="s">
        <v>35</v>
      </c>
      <c r="D93" s="31">
        <v>348</v>
      </c>
      <c r="E93" s="31">
        <v>431</v>
      </c>
      <c r="F93" s="31">
        <v>481</v>
      </c>
      <c r="G93" s="31">
        <v>604</v>
      </c>
      <c r="H93" s="31">
        <v>467</v>
      </c>
      <c r="I93" s="31">
        <v>621</v>
      </c>
      <c r="J93" s="31">
        <v>719</v>
      </c>
      <c r="K93" s="31">
        <v>714</v>
      </c>
      <c r="L93" s="31">
        <v>910</v>
      </c>
      <c r="M93" s="31">
        <v>956</v>
      </c>
      <c r="N93" s="31">
        <v>967</v>
      </c>
      <c r="O93" s="31">
        <v>856</v>
      </c>
      <c r="P93" s="31">
        <v>1057</v>
      </c>
      <c r="Q93" s="31">
        <v>971</v>
      </c>
      <c r="R93" s="31">
        <v>981</v>
      </c>
      <c r="S93" s="31">
        <v>719</v>
      </c>
      <c r="T93" s="31">
        <v>766</v>
      </c>
      <c r="U93" s="31">
        <v>864</v>
      </c>
      <c r="V93" s="31">
        <v>846</v>
      </c>
      <c r="W93" s="31">
        <v>709</v>
      </c>
      <c r="X93" s="31">
        <v>871</v>
      </c>
      <c r="Y93" s="31">
        <v>773</v>
      </c>
      <c r="Z93" s="33">
        <v>791</v>
      </c>
      <c r="AA93" s="33">
        <v>1067</v>
      </c>
      <c r="AB93" s="33">
        <v>1059</v>
      </c>
      <c r="AC93" s="33">
        <v>966</v>
      </c>
      <c r="AD93" s="10" t="s">
        <v>19</v>
      </c>
    </row>
    <row r="94" spans="2:30" ht="11.1" customHeight="1" x14ac:dyDescent="0.25">
      <c r="B94" s="236" t="s">
        <v>82</v>
      </c>
      <c r="C94" s="8" t="s">
        <v>35</v>
      </c>
      <c r="D94" s="31">
        <v>2687</v>
      </c>
      <c r="E94" s="31">
        <v>2804</v>
      </c>
      <c r="F94" s="31">
        <v>3151</v>
      </c>
      <c r="G94" s="31">
        <v>2952</v>
      </c>
      <c r="H94" s="31">
        <v>2613</v>
      </c>
      <c r="I94" s="31">
        <v>2809</v>
      </c>
      <c r="J94" s="31">
        <v>2129</v>
      </c>
      <c r="K94" s="31">
        <v>2011</v>
      </c>
      <c r="L94" s="31">
        <v>2188</v>
      </c>
      <c r="M94" s="31">
        <v>1965</v>
      </c>
      <c r="N94" s="31">
        <v>2267</v>
      </c>
      <c r="O94" s="31">
        <v>1674</v>
      </c>
      <c r="P94" s="31">
        <v>1674</v>
      </c>
      <c r="Q94" s="31">
        <v>1387</v>
      </c>
      <c r="R94" s="31">
        <v>1309</v>
      </c>
      <c r="S94" s="31">
        <v>1363</v>
      </c>
      <c r="T94" s="31">
        <v>1305</v>
      </c>
      <c r="U94" s="31">
        <v>1459</v>
      </c>
      <c r="V94" s="31">
        <v>1274</v>
      </c>
      <c r="W94" s="31">
        <v>1303</v>
      </c>
      <c r="X94" s="31">
        <v>1255</v>
      </c>
      <c r="Y94" s="31">
        <v>998</v>
      </c>
      <c r="Z94" s="33">
        <v>984</v>
      </c>
      <c r="AA94" s="33">
        <v>962</v>
      </c>
      <c r="AB94" s="33">
        <v>969</v>
      </c>
      <c r="AC94" s="33">
        <v>834</v>
      </c>
      <c r="AD94" s="10" t="s">
        <v>19</v>
      </c>
    </row>
    <row r="95" spans="2:30" ht="11.1" customHeight="1" x14ac:dyDescent="0.25">
      <c r="B95" s="236" t="s">
        <v>13</v>
      </c>
      <c r="C95" s="8" t="s">
        <v>35</v>
      </c>
      <c r="D95" s="31">
        <v>12771</v>
      </c>
      <c r="E95" s="31">
        <v>13143</v>
      </c>
      <c r="F95" s="31">
        <v>14765</v>
      </c>
      <c r="G95" s="31">
        <v>16643</v>
      </c>
      <c r="H95" s="31">
        <v>14590</v>
      </c>
      <c r="I95" s="31">
        <v>14557</v>
      </c>
      <c r="J95" s="31">
        <v>11825</v>
      </c>
      <c r="K95" s="31">
        <v>11999</v>
      </c>
      <c r="L95" s="31">
        <v>12280</v>
      </c>
      <c r="M95" s="31">
        <v>12054</v>
      </c>
      <c r="N95" s="31">
        <v>12437</v>
      </c>
      <c r="O95" s="31">
        <v>11615</v>
      </c>
      <c r="P95" s="31">
        <v>11147</v>
      </c>
      <c r="Q95" s="31">
        <v>10090</v>
      </c>
      <c r="R95" s="31">
        <v>9816</v>
      </c>
      <c r="S95" s="31">
        <v>8716</v>
      </c>
      <c r="T95" s="31">
        <v>8716</v>
      </c>
      <c r="U95" s="31">
        <v>9074</v>
      </c>
      <c r="V95" s="31">
        <v>8865</v>
      </c>
      <c r="W95" s="31">
        <v>8285</v>
      </c>
      <c r="X95" s="31">
        <v>7669</v>
      </c>
      <c r="Y95" s="31">
        <v>7164</v>
      </c>
      <c r="Z95" s="33">
        <v>7988</v>
      </c>
      <c r="AA95" s="33">
        <v>7347</v>
      </c>
      <c r="AB95" s="33">
        <v>7527</v>
      </c>
      <c r="AC95" s="33">
        <v>5910</v>
      </c>
      <c r="AD95" s="10" t="s">
        <v>19</v>
      </c>
    </row>
    <row r="96" spans="2:30" ht="11.1" customHeight="1" x14ac:dyDescent="0.25">
      <c r="B96" s="238" t="s">
        <v>83</v>
      </c>
      <c r="C96" s="8" t="s">
        <v>35</v>
      </c>
      <c r="D96" s="31">
        <v>411</v>
      </c>
      <c r="E96" s="241" t="s">
        <v>19</v>
      </c>
      <c r="F96" s="31" t="s">
        <v>19</v>
      </c>
      <c r="G96" s="31" t="s">
        <v>19</v>
      </c>
      <c r="H96" s="31" t="s">
        <v>19</v>
      </c>
      <c r="I96" s="31" t="s">
        <v>19</v>
      </c>
      <c r="J96" s="31" t="s">
        <v>19</v>
      </c>
      <c r="K96" s="31" t="s">
        <v>19</v>
      </c>
      <c r="L96" s="31" t="s">
        <v>19</v>
      </c>
      <c r="M96" s="31">
        <v>1</v>
      </c>
      <c r="N96" s="31" t="s">
        <v>19</v>
      </c>
      <c r="O96" s="31">
        <v>416</v>
      </c>
      <c r="P96" s="31" t="s">
        <v>19</v>
      </c>
      <c r="Q96" s="31" t="s">
        <v>19</v>
      </c>
      <c r="R96" s="31" t="s">
        <v>19</v>
      </c>
      <c r="S96" s="31" t="s">
        <v>19</v>
      </c>
      <c r="T96" s="31" t="s">
        <v>19</v>
      </c>
      <c r="U96" s="31" t="s">
        <v>19</v>
      </c>
      <c r="V96" s="31" t="s">
        <v>19</v>
      </c>
      <c r="W96" s="31" t="s">
        <v>19</v>
      </c>
      <c r="X96" s="31" t="s">
        <v>19</v>
      </c>
      <c r="Y96" s="31" t="s">
        <v>19</v>
      </c>
      <c r="Z96" s="33">
        <v>0.192</v>
      </c>
      <c r="AA96" s="33">
        <v>0.36499999999999999</v>
      </c>
      <c r="AB96" s="33">
        <v>1.6E-2</v>
      </c>
      <c r="AC96" s="33">
        <v>1.7999999999999999E-2</v>
      </c>
      <c r="AD96" s="10" t="s">
        <v>19</v>
      </c>
    </row>
    <row r="97" spans="2:30" ht="11.1" customHeight="1" x14ac:dyDescent="0.25">
      <c r="B97" s="238" t="s">
        <v>55</v>
      </c>
      <c r="C97" s="8" t="s">
        <v>35</v>
      </c>
      <c r="D97" s="31">
        <v>30199</v>
      </c>
      <c r="E97" s="31">
        <v>28049</v>
      </c>
      <c r="F97" s="31">
        <v>31564</v>
      </c>
      <c r="G97" s="31">
        <v>31410</v>
      </c>
      <c r="H97" s="31">
        <v>28659</v>
      </c>
      <c r="I97" s="31">
        <v>30326</v>
      </c>
      <c r="J97" s="31">
        <v>26390</v>
      </c>
      <c r="K97" s="31">
        <v>24652</v>
      </c>
      <c r="L97" s="31">
        <v>24947</v>
      </c>
      <c r="M97" s="31">
        <v>24171</v>
      </c>
      <c r="N97" s="31">
        <v>25413</v>
      </c>
      <c r="O97" s="31">
        <v>25922</v>
      </c>
      <c r="P97" s="31">
        <v>22704</v>
      </c>
      <c r="Q97" s="31">
        <v>21840</v>
      </c>
      <c r="R97" s="31">
        <v>25025</v>
      </c>
      <c r="S97" s="31">
        <v>20945</v>
      </c>
      <c r="T97" s="31">
        <v>20301</v>
      </c>
      <c r="U97" s="31">
        <v>19269</v>
      </c>
      <c r="V97" s="31">
        <v>19867</v>
      </c>
      <c r="W97" s="31">
        <v>19853</v>
      </c>
      <c r="X97" s="31">
        <v>17425</v>
      </c>
      <c r="Y97" s="31">
        <v>16906</v>
      </c>
      <c r="Z97" s="33">
        <v>15670</v>
      </c>
      <c r="AA97" s="33">
        <v>14497</v>
      </c>
      <c r="AB97" s="33">
        <v>15219</v>
      </c>
      <c r="AC97" s="33">
        <v>13648</v>
      </c>
      <c r="AD97" s="10" t="s">
        <v>19</v>
      </c>
    </row>
    <row r="98" spans="2:30" ht="11.1" customHeight="1" x14ac:dyDescent="0.25">
      <c r="B98" s="358" t="s">
        <v>62</v>
      </c>
      <c r="C98" s="358"/>
      <c r="D98" s="358"/>
      <c r="E98" s="358"/>
      <c r="F98" s="358"/>
      <c r="G98" s="358"/>
      <c r="H98" s="358"/>
      <c r="I98" s="358"/>
      <c r="J98" s="358"/>
      <c r="K98" s="358"/>
      <c r="L98" s="358"/>
      <c r="M98" s="358"/>
      <c r="N98" s="358"/>
      <c r="O98" s="358"/>
      <c r="P98" s="358"/>
      <c r="Q98" s="358"/>
      <c r="R98" s="358"/>
      <c r="S98" s="358"/>
      <c r="T98" s="358"/>
      <c r="U98" s="358"/>
      <c r="V98" s="358"/>
      <c r="W98" s="358"/>
      <c r="X98" s="358"/>
      <c r="Y98" s="358"/>
      <c r="Z98" s="358"/>
      <c r="AA98" s="237"/>
      <c r="AB98" s="237"/>
      <c r="AC98" s="237"/>
      <c r="AD98" s="237"/>
    </row>
    <row r="99" spans="2:30" ht="11.1" customHeight="1" x14ac:dyDescent="0.25">
      <c r="B99" s="12" t="s">
        <v>87</v>
      </c>
      <c r="C99" s="8" t="s">
        <v>35</v>
      </c>
      <c r="D99" s="31">
        <v>1856</v>
      </c>
      <c r="E99" s="31">
        <v>2505</v>
      </c>
      <c r="F99" s="31">
        <v>2525</v>
      </c>
      <c r="G99" s="31">
        <v>3411</v>
      </c>
      <c r="H99" s="31">
        <v>2956</v>
      </c>
      <c r="I99" s="31">
        <v>3360</v>
      </c>
      <c r="J99" s="31">
        <v>2964</v>
      </c>
      <c r="K99" s="31">
        <v>3300</v>
      </c>
      <c r="L99" s="31">
        <v>3085</v>
      </c>
      <c r="M99" s="31">
        <v>2888</v>
      </c>
      <c r="N99" s="31">
        <v>3821</v>
      </c>
      <c r="O99" s="31">
        <v>5115</v>
      </c>
      <c r="P99" s="31">
        <v>3822</v>
      </c>
      <c r="Q99" s="31">
        <v>3751</v>
      </c>
      <c r="R99" s="31">
        <v>3519</v>
      </c>
      <c r="S99" s="31">
        <v>3487</v>
      </c>
      <c r="T99" s="31">
        <v>4951</v>
      </c>
      <c r="U99" s="31">
        <v>4302</v>
      </c>
      <c r="V99" s="31">
        <v>4264</v>
      </c>
      <c r="W99" s="31">
        <v>3921</v>
      </c>
      <c r="X99" s="31">
        <v>4630</v>
      </c>
      <c r="Y99" s="31">
        <v>6245</v>
      </c>
      <c r="Z99" s="33">
        <v>8003</v>
      </c>
      <c r="AA99" s="33">
        <v>8728</v>
      </c>
      <c r="AB99" s="33">
        <v>9826</v>
      </c>
      <c r="AC99" s="33">
        <v>9603</v>
      </c>
      <c r="AD99" s="10" t="s">
        <v>19</v>
      </c>
    </row>
    <row r="100" spans="2:30" ht="11.1" customHeight="1" x14ac:dyDescent="0.25">
      <c r="B100" s="12" t="s">
        <v>75</v>
      </c>
      <c r="C100" s="8" t="s">
        <v>35</v>
      </c>
      <c r="D100" s="31">
        <v>515</v>
      </c>
      <c r="E100" s="31">
        <v>526</v>
      </c>
      <c r="F100" s="31">
        <v>569</v>
      </c>
      <c r="G100" s="31">
        <v>840</v>
      </c>
      <c r="H100" s="31">
        <v>1194</v>
      </c>
      <c r="I100" s="31">
        <v>1200</v>
      </c>
      <c r="J100" s="31">
        <v>1437</v>
      </c>
      <c r="K100" s="31">
        <v>1745</v>
      </c>
      <c r="L100" s="31">
        <v>2090</v>
      </c>
      <c r="M100" s="31">
        <v>2464</v>
      </c>
      <c r="N100" s="31">
        <v>2400</v>
      </c>
      <c r="O100" s="31">
        <v>2410</v>
      </c>
      <c r="P100" s="31">
        <v>2764</v>
      </c>
      <c r="Q100" s="31">
        <v>2416</v>
      </c>
      <c r="R100" s="31">
        <v>2319</v>
      </c>
      <c r="S100" s="31">
        <v>2682</v>
      </c>
      <c r="T100" s="31">
        <v>2931</v>
      </c>
      <c r="U100" s="31">
        <v>3053</v>
      </c>
      <c r="V100" s="31">
        <v>2987</v>
      </c>
      <c r="W100" s="31">
        <v>3061</v>
      </c>
      <c r="X100" s="31">
        <v>2950</v>
      </c>
      <c r="Y100" s="31">
        <v>2904</v>
      </c>
      <c r="Z100" s="33">
        <v>3478</v>
      </c>
      <c r="AA100" s="33">
        <v>3992</v>
      </c>
      <c r="AB100" s="33">
        <v>3315</v>
      </c>
      <c r="AC100" s="33">
        <v>4437</v>
      </c>
      <c r="AD100" s="10" t="s">
        <v>19</v>
      </c>
    </row>
    <row r="101" spans="2:30" ht="11.1" customHeight="1" x14ac:dyDescent="0.25">
      <c r="B101" s="12" t="s">
        <v>64</v>
      </c>
      <c r="C101" s="8" t="s">
        <v>35</v>
      </c>
      <c r="D101" s="31">
        <v>138</v>
      </c>
      <c r="E101" s="31">
        <v>160</v>
      </c>
      <c r="F101" s="31">
        <v>91</v>
      </c>
      <c r="G101" s="31">
        <v>116</v>
      </c>
      <c r="H101" s="31" t="s">
        <v>19</v>
      </c>
      <c r="I101" s="31" t="s">
        <v>19</v>
      </c>
      <c r="J101" s="31" t="s">
        <v>19</v>
      </c>
      <c r="K101" s="31" t="s">
        <v>19</v>
      </c>
      <c r="L101" s="31" t="s">
        <v>19</v>
      </c>
      <c r="M101" s="31" t="s">
        <v>19</v>
      </c>
      <c r="N101" s="31" t="s">
        <v>19</v>
      </c>
      <c r="O101" s="31" t="s">
        <v>19</v>
      </c>
      <c r="P101" s="31" t="s">
        <v>19</v>
      </c>
      <c r="Q101" s="31" t="s">
        <v>19</v>
      </c>
      <c r="R101" s="31" t="s">
        <v>19</v>
      </c>
      <c r="S101" s="31" t="s">
        <v>19</v>
      </c>
      <c r="T101" s="31" t="s">
        <v>19</v>
      </c>
      <c r="U101" s="31" t="s">
        <v>19</v>
      </c>
      <c r="V101" s="31" t="s">
        <v>19</v>
      </c>
      <c r="W101" s="31">
        <v>89</v>
      </c>
      <c r="X101" s="31">
        <v>50</v>
      </c>
      <c r="Y101" s="31">
        <v>37</v>
      </c>
      <c r="Z101" s="33" t="s">
        <v>19</v>
      </c>
      <c r="AA101" s="33" t="s">
        <v>19</v>
      </c>
      <c r="AB101" s="33">
        <v>79</v>
      </c>
      <c r="AC101" s="33" t="s">
        <v>19</v>
      </c>
      <c r="AD101" s="10" t="s">
        <v>19</v>
      </c>
    </row>
    <row r="102" spans="2:30" ht="11.1" customHeight="1" x14ac:dyDescent="0.25">
      <c r="B102" s="12" t="s">
        <v>326</v>
      </c>
      <c r="C102" s="8" t="s">
        <v>35</v>
      </c>
      <c r="D102" s="31">
        <v>31</v>
      </c>
      <c r="E102" s="31">
        <v>30</v>
      </c>
      <c r="F102" s="31">
        <v>55</v>
      </c>
      <c r="G102" s="31">
        <v>44</v>
      </c>
      <c r="H102" s="31">
        <v>43</v>
      </c>
      <c r="I102" s="31">
        <v>56</v>
      </c>
      <c r="J102" s="31">
        <v>62</v>
      </c>
      <c r="K102" s="31">
        <v>61</v>
      </c>
      <c r="L102" s="31">
        <v>90</v>
      </c>
      <c r="M102" s="31">
        <v>76</v>
      </c>
      <c r="N102" s="31">
        <v>88</v>
      </c>
      <c r="O102" s="31">
        <v>100</v>
      </c>
      <c r="P102" s="31">
        <v>114</v>
      </c>
      <c r="Q102" s="31">
        <v>75</v>
      </c>
      <c r="R102" s="31">
        <v>95</v>
      </c>
      <c r="S102" s="31">
        <v>97</v>
      </c>
      <c r="T102" s="31">
        <v>53</v>
      </c>
      <c r="U102" s="31">
        <v>103</v>
      </c>
      <c r="V102" s="31">
        <v>125</v>
      </c>
      <c r="W102" s="31">
        <v>96</v>
      </c>
      <c r="X102" s="31" t="s">
        <v>19</v>
      </c>
      <c r="Y102" s="31" t="s">
        <v>19</v>
      </c>
      <c r="Z102" s="33" t="s">
        <v>19</v>
      </c>
      <c r="AA102" s="33" t="s">
        <v>19</v>
      </c>
      <c r="AB102" s="33" t="s">
        <v>19</v>
      </c>
      <c r="AC102" s="33" t="s">
        <v>19</v>
      </c>
      <c r="AD102" s="10" t="s">
        <v>19</v>
      </c>
    </row>
    <row r="103" spans="2:30" ht="11.1" customHeight="1" x14ac:dyDescent="0.25">
      <c r="B103" s="12" t="s">
        <v>389</v>
      </c>
      <c r="C103" s="8" t="s">
        <v>35</v>
      </c>
      <c r="D103" s="31" t="s">
        <v>19</v>
      </c>
      <c r="E103" s="31">
        <v>26</v>
      </c>
      <c r="F103" s="31">
        <v>24</v>
      </c>
      <c r="G103" s="31">
        <v>46</v>
      </c>
      <c r="H103" s="31">
        <v>49</v>
      </c>
      <c r="I103" s="31">
        <v>38</v>
      </c>
      <c r="J103" s="31">
        <v>31</v>
      </c>
      <c r="K103" s="31">
        <v>42</v>
      </c>
      <c r="L103" s="31">
        <v>51</v>
      </c>
      <c r="M103" s="31">
        <v>59</v>
      </c>
      <c r="N103" s="31">
        <v>42</v>
      </c>
      <c r="O103" s="31">
        <v>17</v>
      </c>
      <c r="P103" s="31">
        <v>24</v>
      </c>
      <c r="Q103" s="31">
        <v>31</v>
      </c>
      <c r="R103" s="31">
        <v>59</v>
      </c>
      <c r="S103" s="31">
        <v>51</v>
      </c>
      <c r="T103" s="31">
        <v>44</v>
      </c>
      <c r="U103" s="31">
        <v>94</v>
      </c>
      <c r="V103" s="31">
        <v>101</v>
      </c>
      <c r="W103" s="31">
        <v>117</v>
      </c>
      <c r="X103" s="31" t="s">
        <v>19</v>
      </c>
      <c r="Y103" s="31" t="s">
        <v>19</v>
      </c>
      <c r="Z103" s="33" t="s">
        <v>19</v>
      </c>
      <c r="AA103" s="33" t="s">
        <v>19</v>
      </c>
      <c r="AB103" s="33" t="s">
        <v>19</v>
      </c>
      <c r="AC103" s="33" t="s">
        <v>19</v>
      </c>
      <c r="AD103" s="10" t="s">
        <v>19</v>
      </c>
    </row>
    <row r="104" spans="2:30" ht="11.1" customHeight="1" x14ac:dyDescent="0.25">
      <c r="B104" s="12" t="s">
        <v>390</v>
      </c>
      <c r="C104" s="8" t="s">
        <v>35</v>
      </c>
      <c r="D104" s="31" t="s">
        <v>19</v>
      </c>
      <c r="E104" s="31" t="s">
        <v>19</v>
      </c>
      <c r="F104" s="31" t="s">
        <v>19</v>
      </c>
      <c r="G104" s="31" t="s">
        <v>19</v>
      </c>
      <c r="H104" s="31" t="s">
        <v>19</v>
      </c>
      <c r="I104" s="31" t="s">
        <v>19</v>
      </c>
      <c r="J104" s="31">
        <v>8</v>
      </c>
      <c r="K104" s="31" t="s">
        <v>19</v>
      </c>
      <c r="L104" s="31" t="s">
        <v>19</v>
      </c>
      <c r="M104" s="31" t="s">
        <v>19</v>
      </c>
      <c r="N104" s="31" t="s">
        <v>19</v>
      </c>
      <c r="O104" s="31" t="s">
        <v>19</v>
      </c>
      <c r="P104" s="31" t="s">
        <v>19</v>
      </c>
      <c r="Q104" s="31" t="s">
        <v>19</v>
      </c>
      <c r="R104" s="31" t="s">
        <v>19</v>
      </c>
      <c r="S104" s="31" t="s">
        <v>19</v>
      </c>
      <c r="T104" s="31" t="s">
        <v>19</v>
      </c>
      <c r="U104" s="31" t="s">
        <v>19</v>
      </c>
      <c r="V104" s="31" t="s">
        <v>19</v>
      </c>
      <c r="W104" s="31" t="s">
        <v>19</v>
      </c>
      <c r="X104" s="31" t="s">
        <v>19</v>
      </c>
      <c r="Y104" s="31" t="s">
        <v>19</v>
      </c>
      <c r="Z104" s="33" t="s">
        <v>19</v>
      </c>
      <c r="AA104" s="33" t="s">
        <v>19</v>
      </c>
      <c r="AB104" s="33" t="s">
        <v>19</v>
      </c>
      <c r="AC104" s="33" t="s">
        <v>19</v>
      </c>
      <c r="AD104" s="10" t="s">
        <v>19</v>
      </c>
    </row>
    <row r="105" spans="2:30" ht="11.1" customHeight="1" x14ac:dyDescent="0.25">
      <c r="B105" s="12" t="s">
        <v>100</v>
      </c>
      <c r="C105" s="8" t="s">
        <v>35</v>
      </c>
      <c r="D105" s="31" t="s">
        <v>19</v>
      </c>
      <c r="E105" s="31" t="s">
        <v>19</v>
      </c>
      <c r="F105" s="31" t="s">
        <v>19</v>
      </c>
      <c r="G105" s="31" t="s">
        <v>19</v>
      </c>
      <c r="H105" s="31" t="s">
        <v>19</v>
      </c>
      <c r="I105" s="31" t="s">
        <v>19</v>
      </c>
      <c r="J105" s="31" t="s">
        <v>19</v>
      </c>
      <c r="K105" s="31" t="s">
        <v>19</v>
      </c>
      <c r="L105" s="31" t="s">
        <v>19</v>
      </c>
      <c r="M105" s="31" t="s">
        <v>19</v>
      </c>
      <c r="N105" s="31" t="s">
        <v>19</v>
      </c>
      <c r="O105" s="31" t="s">
        <v>19</v>
      </c>
      <c r="P105" s="31" t="s">
        <v>19</v>
      </c>
      <c r="Q105" s="31" t="s">
        <v>19</v>
      </c>
      <c r="R105" s="31" t="s">
        <v>19</v>
      </c>
      <c r="S105" s="31" t="s">
        <v>19</v>
      </c>
      <c r="T105" s="31" t="s">
        <v>19</v>
      </c>
      <c r="U105" s="31" t="s">
        <v>19</v>
      </c>
      <c r="V105" s="31" t="s">
        <v>19</v>
      </c>
      <c r="W105" s="31" t="s">
        <v>19</v>
      </c>
      <c r="X105" s="31" t="s">
        <v>19</v>
      </c>
      <c r="Y105" s="31" t="s">
        <v>19</v>
      </c>
      <c r="Z105" s="33" t="s">
        <v>19</v>
      </c>
      <c r="AA105" s="33" t="s">
        <v>19</v>
      </c>
      <c r="AB105" s="33" t="s">
        <v>19</v>
      </c>
      <c r="AC105" s="33" t="s">
        <v>19</v>
      </c>
      <c r="AD105" s="10" t="s">
        <v>19</v>
      </c>
    </row>
    <row r="106" spans="2:30" ht="11.1" customHeight="1" x14ac:dyDescent="0.25">
      <c r="B106" s="12" t="s">
        <v>328</v>
      </c>
      <c r="C106" s="8" t="s">
        <v>35</v>
      </c>
      <c r="D106" s="31">
        <v>77</v>
      </c>
      <c r="E106" s="31">
        <v>70</v>
      </c>
      <c r="F106" s="31">
        <v>86</v>
      </c>
      <c r="G106" s="31">
        <v>75</v>
      </c>
      <c r="H106" s="31">
        <v>75</v>
      </c>
      <c r="I106" s="31">
        <v>91</v>
      </c>
      <c r="J106" s="31">
        <v>99</v>
      </c>
      <c r="K106" s="31">
        <v>105</v>
      </c>
      <c r="L106" s="31">
        <v>100</v>
      </c>
      <c r="M106" s="31">
        <v>67</v>
      </c>
      <c r="N106" s="31">
        <v>68</v>
      </c>
      <c r="O106" s="31">
        <v>57</v>
      </c>
      <c r="P106" s="31">
        <v>52</v>
      </c>
      <c r="Q106" s="31">
        <v>41</v>
      </c>
      <c r="R106" s="31">
        <v>41</v>
      </c>
      <c r="S106" s="31">
        <v>36</v>
      </c>
      <c r="T106" s="31">
        <v>45</v>
      </c>
      <c r="U106" s="31">
        <v>51</v>
      </c>
      <c r="V106" s="31">
        <v>65</v>
      </c>
      <c r="W106" s="31">
        <v>49</v>
      </c>
      <c r="X106" s="31">
        <v>45</v>
      </c>
      <c r="Y106" s="31">
        <v>62</v>
      </c>
      <c r="Z106" s="33">
        <v>33</v>
      </c>
      <c r="AA106" s="33">
        <v>31</v>
      </c>
      <c r="AB106" s="33">
        <v>22</v>
      </c>
      <c r="AC106" s="33">
        <v>12</v>
      </c>
      <c r="AD106" s="10" t="s">
        <v>19</v>
      </c>
    </row>
    <row r="107" spans="2:30" ht="11.1" customHeight="1" x14ac:dyDescent="0.25">
      <c r="B107" s="12" t="s">
        <v>393</v>
      </c>
      <c r="C107" s="8" t="s">
        <v>35</v>
      </c>
      <c r="D107" s="31" t="s">
        <v>19</v>
      </c>
      <c r="E107" s="31" t="s">
        <v>19</v>
      </c>
      <c r="F107" s="31" t="s">
        <v>19</v>
      </c>
      <c r="G107" s="31" t="s">
        <v>19</v>
      </c>
      <c r="H107" s="31" t="s">
        <v>19</v>
      </c>
      <c r="I107" s="31" t="s">
        <v>19</v>
      </c>
      <c r="J107" s="31" t="s">
        <v>19</v>
      </c>
      <c r="K107" s="31" t="s">
        <v>19</v>
      </c>
      <c r="L107" s="31" t="s">
        <v>19</v>
      </c>
      <c r="M107" s="31" t="s">
        <v>19</v>
      </c>
      <c r="N107" s="31" t="s">
        <v>19</v>
      </c>
      <c r="O107" s="31" t="s">
        <v>19</v>
      </c>
      <c r="P107" s="31" t="s">
        <v>19</v>
      </c>
      <c r="Q107" s="31" t="s">
        <v>19</v>
      </c>
      <c r="R107" s="31" t="s">
        <v>19</v>
      </c>
      <c r="S107" s="31" t="s">
        <v>19</v>
      </c>
      <c r="T107" s="31" t="s">
        <v>19</v>
      </c>
      <c r="U107" s="31" t="s">
        <v>19</v>
      </c>
      <c r="V107" s="31" t="s">
        <v>19</v>
      </c>
      <c r="W107" s="31" t="s">
        <v>19</v>
      </c>
      <c r="X107" s="31" t="s">
        <v>19</v>
      </c>
      <c r="Y107" s="31" t="s">
        <v>19</v>
      </c>
      <c r="Z107" s="33" t="s">
        <v>19</v>
      </c>
      <c r="AA107" s="33" t="s">
        <v>19</v>
      </c>
      <c r="AB107" s="33" t="s">
        <v>19</v>
      </c>
      <c r="AC107" s="33" t="s">
        <v>19</v>
      </c>
      <c r="AD107" s="10" t="s">
        <v>19</v>
      </c>
    </row>
    <row r="108" spans="2:30" ht="11.1" customHeight="1" x14ac:dyDescent="0.25">
      <c r="B108" s="12" t="s">
        <v>528</v>
      </c>
      <c r="C108" s="8" t="s">
        <v>35</v>
      </c>
      <c r="D108" s="31" t="s">
        <v>19</v>
      </c>
      <c r="E108" s="31" t="s">
        <v>19</v>
      </c>
      <c r="F108" s="31" t="s">
        <v>19</v>
      </c>
      <c r="G108" s="31">
        <v>72</v>
      </c>
      <c r="H108" s="31">
        <v>57</v>
      </c>
      <c r="I108" s="31">
        <v>47</v>
      </c>
      <c r="J108" s="31">
        <v>46</v>
      </c>
      <c r="K108" s="31">
        <v>74</v>
      </c>
      <c r="L108" s="31">
        <v>134</v>
      </c>
      <c r="M108" s="31">
        <v>120</v>
      </c>
      <c r="N108" s="31">
        <v>101</v>
      </c>
      <c r="O108" s="31">
        <v>132</v>
      </c>
      <c r="P108" s="31">
        <v>128</v>
      </c>
      <c r="Q108" s="31">
        <v>104</v>
      </c>
      <c r="R108" s="31">
        <v>108</v>
      </c>
      <c r="S108" s="31">
        <v>94</v>
      </c>
      <c r="T108" s="31">
        <v>163</v>
      </c>
      <c r="U108" s="31">
        <v>181</v>
      </c>
      <c r="V108" s="31">
        <v>327</v>
      </c>
      <c r="W108" s="31">
        <v>195</v>
      </c>
      <c r="X108" s="31">
        <v>265</v>
      </c>
      <c r="Y108" s="31">
        <v>325</v>
      </c>
      <c r="Z108" s="33">
        <v>312</v>
      </c>
      <c r="AA108" s="33">
        <v>273</v>
      </c>
      <c r="AB108" s="33">
        <v>366</v>
      </c>
      <c r="AC108" s="33">
        <v>365</v>
      </c>
      <c r="AD108" s="10" t="s">
        <v>19</v>
      </c>
    </row>
    <row r="109" spans="2:30" ht="11.1" customHeight="1" x14ac:dyDescent="0.25">
      <c r="B109" s="12" t="s">
        <v>13</v>
      </c>
      <c r="C109" s="8" t="s">
        <v>35</v>
      </c>
      <c r="D109" s="31">
        <v>2617</v>
      </c>
      <c r="E109" s="31">
        <v>3317</v>
      </c>
      <c r="F109" s="31">
        <v>3350</v>
      </c>
      <c r="G109" s="31">
        <v>4604</v>
      </c>
      <c r="H109" s="31">
        <v>4375</v>
      </c>
      <c r="I109" s="31">
        <v>4792</v>
      </c>
      <c r="J109" s="31">
        <v>4647</v>
      </c>
      <c r="K109" s="31">
        <v>5327</v>
      </c>
      <c r="L109" s="31">
        <v>5550</v>
      </c>
      <c r="M109" s="31">
        <v>5674</v>
      </c>
      <c r="N109" s="31">
        <v>6520</v>
      </c>
      <c r="O109" s="31">
        <v>7831</v>
      </c>
      <c r="P109" s="31">
        <v>6904</v>
      </c>
      <c r="Q109" s="31">
        <v>6418</v>
      </c>
      <c r="R109" s="31">
        <v>6140</v>
      </c>
      <c r="S109" s="31">
        <v>6446</v>
      </c>
      <c r="T109" s="31">
        <v>8187</v>
      </c>
      <c r="U109" s="31">
        <v>7784</v>
      </c>
      <c r="V109" s="31">
        <v>7869</v>
      </c>
      <c r="W109" s="31">
        <v>7528</v>
      </c>
      <c r="X109" s="31">
        <v>7941</v>
      </c>
      <c r="Y109" s="31">
        <v>9573</v>
      </c>
      <c r="Z109" s="33">
        <v>11825</v>
      </c>
      <c r="AA109" s="33">
        <v>13023</v>
      </c>
      <c r="AB109" s="33">
        <v>13607</v>
      </c>
      <c r="AC109" s="33">
        <v>14417</v>
      </c>
      <c r="AD109" s="10" t="s">
        <v>19</v>
      </c>
    </row>
    <row r="110" spans="2:30" ht="11.1" customHeight="1" x14ac:dyDescent="0.25">
      <c r="B110" s="242" t="s">
        <v>58</v>
      </c>
      <c r="C110" s="14" t="s">
        <v>35</v>
      </c>
      <c r="D110" s="41">
        <v>32816</v>
      </c>
      <c r="E110" s="41">
        <v>31366</v>
      </c>
      <c r="F110" s="41">
        <v>34914</v>
      </c>
      <c r="G110" s="41">
        <v>36014</v>
      </c>
      <c r="H110" s="41">
        <v>33034</v>
      </c>
      <c r="I110" s="41">
        <v>35118</v>
      </c>
      <c r="J110" s="41">
        <v>31037</v>
      </c>
      <c r="K110" s="41">
        <v>29979</v>
      </c>
      <c r="L110" s="41">
        <v>30497</v>
      </c>
      <c r="M110" s="41">
        <v>29845</v>
      </c>
      <c r="N110" s="41">
        <v>31933</v>
      </c>
      <c r="O110" s="41">
        <v>33753</v>
      </c>
      <c r="P110" s="41">
        <v>29608</v>
      </c>
      <c r="Q110" s="41">
        <v>28257</v>
      </c>
      <c r="R110" s="41">
        <v>31164</v>
      </c>
      <c r="S110" s="41">
        <v>27391</v>
      </c>
      <c r="T110" s="41">
        <v>28488</v>
      </c>
      <c r="U110" s="41">
        <v>27052</v>
      </c>
      <c r="V110" s="41">
        <v>27736</v>
      </c>
      <c r="W110" s="41">
        <v>27381</v>
      </c>
      <c r="X110" s="41">
        <v>25365</v>
      </c>
      <c r="Y110" s="41">
        <v>26479</v>
      </c>
      <c r="Z110" s="33">
        <v>27494</v>
      </c>
      <c r="AA110" s="33">
        <v>27520</v>
      </c>
      <c r="AB110" s="33">
        <v>28826</v>
      </c>
      <c r="AC110" s="33">
        <v>28066</v>
      </c>
      <c r="AD110" s="297" t="s">
        <v>19</v>
      </c>
    </row>
    <row r="111" spans="2:30" ht="45.6" customHeight="1" x14ac:dyDescent="0.25">
      <c r="B111" s="328" t="s">
        <v>514</v>
      </c>
      <c r="C111" s="328"/>
      <c r="D111" s="328"/>
      <c r="E111" s="328"/>
      <c r="F111" s="328"/>
      <c r="G111" s="328"/>
      <c r="H111" s="328"/>
      <c r="I111" s="328"/>
      <c r="J111" s="328"/>
      <c r="K111" s="328"/>
      <c r="L111" s="328"/>
      <c r="M111" s="328"/>
      <c r="N111" s="328"/>
      <c r="O111" s="328"/>
      <c r="P111" s="328"/>
      <c r="Q111" s="328"/>
      <c r="R111" s="328"/>
      <c r="S111" s="328"/>
      <c r="T111" s="328"/>
      <c r="U111" s="328"/>
      <c r="V111" s="328"/>
      <c r="W111" s="328"/>
      <c r="X111" s="328"/>
      <c r="Y111" s="328"/>
      <c r="Z111" s="328"/>
      <c r="AA111" s="328"/>
      <c r="AB111" s="328"/>
      <c r="AC111" s="328"/>
    </row>
  </sheetData>
  <mergeCells count="12">
    <mergeCell ref="B111:AC111"/>
    <mergeCell ref="B7:Z7"/>
    <mergeCell ref="B9:Z9"/>
    <mergeCell ref="B10:Z10"/>
    <mergeCell ref="B22:Z22"/>
    <mergeCell ref="B27:Z27"/>
    <mergeCell ref="B47:Z47"/>
    <mergeCell ref="B60:Z60"/>
    <mergeCell ref="B61:Z61"/>
    <mergeCell ref="B73:Z73"/>
    <mergeCell ref="B78:Z78"/>
    <mergeCell ref="B98:Z98"/>
  </mergeCells>
  <conditionalFormatting sqref="B6:X6 AA6:AD6 B7 B9:B10 B11:AD11 B12:AC21 B22 B23:AC26 B27 B28:AC46 B47 B48:AC59 B60:B61 B62:AD62 B63:AC72 B73 B74:AC77 B78 B79:AC97 B98 B99:AC110">
    <cfRule type="cellIs" dxfId="621" priority="118" stopIfTrue="1" operator="between">
      <formula>-99.999999999999</formula>
      <formula>99.999999999999</formula>
    </cfRule>
    <cfRule type="cellIs" dxfId="620" priority="119" stopIfTrue="1" operator="greaterThanOrEqual">
      <formula>100</formula>
    </cfRule>
  </conditionalFormatting>
  <conditionalFormatting sqref="B6:X6 AA6:AD6 B9:B10 B11:AD11 B12:AC21 B22 B23:AC26 B27 B28:AC46 B47 B48:AC59 B60:B61 B62:AD62 B63:AC72 B73 B74:AC77 B78 B79:AC97 B98 B99:AC110 B7">
    <cfRule type="cellIs" dxfId="619" priority="117" stopIfTrue="1" operator="lessThanOrEqual">
      <formula>-100</formula>
    </cfRule>
  </conditionalFormatting>
  <conditionalFormatting sqref="B6:Y6 AA6:AC6 AD6:AD7 B111 B7:AC7 B9:AB9 B10:AD11 B12:AC21 B22:AD22 B23:AC26 B27:AD27 B28:AC46 B47:AD47 B48:AC59 B60:AD62 B63:AC72 B73:AD73 B74:AC77 B78:AD78 B79:AC97 B98:AD98 B99:AC110 B8:C8">
    <cfRule type="cellIs" dxfId="618" priority="121" stopIfTrue="1" operator="lessThanOrEqual">
      <formula>-100</formula>
    </cfRule>
  </conditionalFormatting>
  <conditionalFormatting sqref="B6:Y6 AA6:AC6 AD6:AD7 B7:AC7 B8:C8 B9:AB9 B10:AD11 B12:AC21 B22:AD22 B23:AC26 B27:AD27 B28:AC46 B47:AD47 B48:AC59 B60:AD62 B63:AC72 B73:AD73 B74:AC77 B78:AD78 B79:AC97 B98:AD98 B99:AC110 B111">
    <cfRule type="cellIs" dxfId="617" priority="122" stopIfTrue="1" operator="between">
      <formula>-99.999999999999</formula>
      <formula>99.999999999999</formula>
    </cfRule>
    <cfRule type="cellIs" dxfId="616" priority="123" stopIfTrue="1" operator="greaterThanOrEqual">
      <formula>100</formula>
    </cfRule>
  </conditionalFormatting>
  <conditionalFormatting sqref="B6:Y6 AA6:AD6 B111">
    <cfRule type="cellIs" dxfId="615" priority="120" stopIfTrue="1" operator="equal">
      <formula>0</formula>
    </cfRule>
  </conditionalFormatting>
  <conditionalFormatting sqref="B8:AB8">
    <cfRule type="cellIs" dxfId="614" priority="77" stopIfTrue="1" operator="greaterThanOrEqual">
      <formula>100</formula>
    </cfRule>
    <cfRule type="cellIs" dxfId="613" priority="76" stopIfTrue="1" operator="between">
      <formula>-99.999999999999</formula>
      <formula>99.999999999999</formula>
    </cfRule>
    <cfRule type="cellIs" dxfId="612" priority="75" stopIfTrue="1" operator="lessThanOrEqual">
      <formula>-100</formula>
    </cfRule>
  </conditionalFormatting>
  <conditionalFormatting sqref="B8:AB9">
    <cfRule type="cellIs" dxfId="611" priority="74" stopIfTrue="1" operator="equal">
      <formula>0</formula>
    </cfRule>
  </conditionalFormatting>
  <conditionalFormatting sqref="B99:AC110 B79:AC97 B63:AC72 B74:AC77 B48:AC59 B28:AC46 B12:AC21 B23:AC26 B8:C8 B6:X6 AA6:AD6 B10:AD11 B22:AD22 B27:AD27 B47:AD47 B60:AD62 B73:AD73 B78:AD78 B98:AD98">
    <cfRule type="cellIs" dxfId="610" priority="116" stopIfTrue="1" operator="equal">
      <formula>0</formula>
    </cfRule>
  </conditionalFormatting>
  <conditionalFormatting sqref="B7:AD7">
    <cfRule type="cellIs" dxfId="609" priority="73" stopIfTrue="1" operator="equal">
      <formula>0</formula>
    </cfRule>
  </conditionalFormatting>
  <conditionalFormatting sqref="D23">
    <cfRule type="cellIs" dxfId="608" priority="99" operator="greaterThanOrEqual">
      <formula>100</formula>
    </cfRule>
    <cfRule type="cellIs" dxfId="607" priority="98" operator="lessThanOrEqual">
      <formula>99</formula>
    </cfRule>
  </conditionalFormatting>
  <conditionalFormatting sqref="D28">
    <cfRule type="cellIs" dxfId="606" priority="96" operator="lessThanOrEqual">
      <formula>99</formula>
    </cfRule>
    <cfRule type="cellIs" dxfId="605" priority="97" operator="greaterThanOrEqual">
      <formula>100</formula>
    </cfRule>
  </conditionalFormatting>
  <conditionalFormatting sqref="D48">
    <cfRule type="cellIs" dxfId="604" priority="94" operator="lessThanOrEqual">
      <formula>99</formula>
    </cfRule>
    <cfRule type="cellIs" dxfId="603" priority="95" operator="greaterThanOrEqual">
      <formula>100</formula>
    </cfRule>
  </conditionalFormatting>
  <conditionalFormatting sqref="D63">
    <cfRule type="cellIs" dxfId="602" priority="92" operator="lessThanOrEqual">
      <formula>99</formula>
    </cfRule>
    <cfRule type="cellIs" dxfId="601" priority="93" operator="greaterThanOrEqual">
      <formula>100</formula>
    </cfRule>
  </conditionalFormatting>
  <conditionalFormatting sqref="D74">
    <cfRule type="cellIs" dxfId="600" priority="86" operator="lessThanOrEqual">
      <formula>99</formula>
    </cfRule>
    <cfRule type="cellIs" dxfId="599" priority="87" operator="greaterThanOrEqual">
      <formula>100</formula>
    </cfRule>
  </conditionalFormatting>
  <conditionalFormatting sqref="D79">
    <cfRule type="cellIs" dxfId="598" priority="90" operator="lessThanOrEqual">
      <formula>99</formula>
    </cfRule>
    <cfRule type="cellIs" dxfId="597" priority="91" operator="greaterThanOrEqual">
      <formula>100</formula>
    </cfRule>
  </conditionalFormatting>
  <conditionalFormatting sqref="D99">
    <cfRule type="cellIs" dxfId="596" priority="88" operator="lessThanOrEqual">
      <formula>99</formula>
    </cfRule>
    <cfRule type="cellIs" dxfId="595" priority="89" operator="greaterThanOrEqual">
      <formula>100</formula>
    </cfRule>
  </conditionalFormatting>
  <conditionalFormatting sqref="D12:Y21">
    <cfRule type="cellIs" dxfId="594" priority="103" operator="greaterThanOrEqual">
      <formula>100</formula>
    </cfRule>
    <cfRule type="cellIs" dxfId="593" priority="102" operator="lessThanOrEqual">
      <formula>99</formula>
    </cfRule>
  </conditionalFormatting>
  <conditionalFormatting sqref="D23:Y26">
    <cfRule type="cellIs" dxfId="592" priority="100" operator="lessThanOrEqual">
      <formula>99</formula>
    </cfRule>
    <cfRule type="cellIs" dxfId="591" priority="101" operator="greaterThanOrEqual">
      <formula>100</formula>
    </cfRule>
  </conditionalFormatting>
  <conditionalFormatting sqref="D28:Y46">
    <cfRule type="cellIs" dxfId="590" priority="105" operator="greaterThanOrEqual">
      <formula>100</formula>
    </cfRule>
    <cfRule type="cellIs" dxfId="589" priority="104" operator="lessThanOrEqual">
      <formula>99</formula>
    </cfRule>
  </conditionalFormatting>
  <conditionalFormatting sqref="D48:Y59">
    <cfRule type="cellIs" dxfId="588" priority="107" operator="greaterThanOrEqual">
      <formula>100</formula>
    </cfRule>
    <cfRule type="cellIs" dxfId="587" priority="106" operator="lessThanOrEqual">
      <formula>99</formula>
    </cfRule>
  </conditionalFormatting>
  <conditionalFormatting sqref="D63:Y72">
    <cfRule type="cellIs" dxfId="586" priority="111" operator="greaterThanOrEqual">
      <formula>100</formula>
    </cfRule>
    <cfRule type="cellIs" dxfId="585" priority="110" operator="lessThanOrEqual">
      <formula>99</formula>
    </cfRule>
  </conditionalFormatting>
  <conditionalFormatting sqref="D74:Y77">
    <cfRule type="cellIs" dxfId="584" priority="108" operator="lessThanOrEqual">
      <formula>99</formula>
    </cfRule>
    <cfRule type="cellIs" dxfId="583" priority="109" operator="greaterThanOrEqual">
      <formula>100</formula>
    </cfRule>
  </conditionalFormatting>
  <conditionalFormatting sqref="D79:Y97">
    <cfRule type="cellIs" dxfId="582" priority="112" operator="lessThanOrEqual">
      <formula>99</formula>
    </cfRule>
    <cfRule type="cellIs" dxfId="581" priority="113" operator="greaterThanOrEqual">
      <formula>100</formula>
    </cfRule>
  </conditionalFormatting>
  <conditionalFormatting sqref="D99:Y110">
    <cfRule type="cellIs" dxfId="580" priority="114" operator="lessThanOrEqual">
      <formula>99</formula>
    </cfRule>
    <cfRule type="cellIs" dxfId="579" priority="115" operator="greaterThanOrEqual">
      <formula>100</formula>
    </cfRule>
  </conditionalFormatting>
  <conditionalFormatting sqref="AC8:AD8">
    <cfRule type="cellIs" dxfId="578" priority="68" stopIfTrue="1" operator="greaterThanOrEqual">
      <formula>100</formula>
    </cfRule>
    <cfRule type="cellIs" dxfId="577" priority="67" stopIfTrue="1" operator="between">
      <formula>-99.999999999999</formula>
      <formula>99.999999999999</formula>
    </cfRule>
    <cfRule type="cellIs" dxfId="576" priority="66" stopIfTrue="1" operator="lessThanOrEqual">
      <formula>-100</formula>
    </cfRule>
    <cfRule type="cellIs" dxfId="575" priority="65" stopIfTrue="1" operator="equal">
      <formula>0</formula>
    </cfRule>
  </conditionalFormatting>
  <conditionalFormatting sqref="AD12:AD21">
    <cfRule type="cellIs" dxfId="574" priority="64" stopIfTrue="1" operator="greaterThanOrEqual">
      <formula>100</formula>
    </cfRule>
    <cfRule type="cellIs" dxfId="573" priority="57" operator="lessThanOrEqual">
      <formula>99</formula>
    </cfRule>
    <cfRule type="cellIs" dxfId="572" priority="58" operator="greaterThanOrEqual">
      <formula>100</formula>
    </cfRule>
    <cfRule type="cellIs" dxfId="571" priority="61" stopIfTrue="1" operator="equal">
      <formula>0</formula>
    </cfRule>
    <cfRule type="cellIs" dxfId="570" priority="62" stopIfTrue="1" operator="lessThanOrEqual">
      <formula>-100</formula>
    </cfRule>
    <cfRule type="cellIs" dxfId="569" priority="63" stopIfTrue="1" operator="between">
      <formula>-99.999999999999</formula>
      <formula>99.999999999999</formula>
    </cfRule>
  </conditionalFormatting>
  <conditionalFormatting sqref="AD23:AD26">
    <cfRule type="cellIs" dxfId="568" priority="49" operator="lessThanOrEqual">
      <formula>99</formula>
    </cfRule>
    <cfRule type="cellIs" dxfId="567" priority="50" operator="greaterThanOrEqual">
      <formula>100</formula>
    </cfRule>
    <cfRule type="cellIs" dxfId="566" priority="55" stopIfTrue="1" operator="between">
      <formula>-99.999999999999</formula>
      <formula>99.999999999999</formula>
    </cfRule>
    <cfRule type="cellIs" dxfId="565" priority="56" stopIfTrue="1" operator="greaterThanOrEqual">
      <formula>100</formula>
    </cfRule>
    <cfRule type="cellIs" dxfId="564" priority="54" stopIfTrue="1" operator="lessThanOrEqual">
      <formula>-100</formula>
    </cfRule>
    <cfRule type="cellIs" dxfId="563" priority="53" stopIfTrue="1" operator="equal">
      <formula>0</formula>
    </cfRule>
  </conditionalFormatting>
  <conditionalFormatting sqref="AD28:AD46">
    <cfRule type="cellIs" dxfId="562" priority="47" stopIfTrue="1" operator="between">
      <formula>-99.999999999999</formula>
      <formula>99.999999999999</formula>
    </cfRule>
    <cfRule type="cellIs" dxfId="561" priority="46" stopIfTrue="1" operator="lessThanOrEqual">
      <formula>-100</formula>
    </cfRule>
    <cfRule type="cellIs" dxfId="560" priority="45" stopIfTrue="1" operator="equal">
      <formula>0</formula>
    </cfRule>
    <cfRule type="cellIs" dxfId="559" priority="42" operator="greaterThanOrEqual">
      <formula>100</formula>
    </cfRule>
    <cfRule type="cellIs" dxfId="558" priority="48" stopIfTrue="1" operator="greaterThanOrEqual">
      <formula>100</formula>
    </cfRule>
    <cfRule type="cellIs" dxfId="557" priority="41" operator="lessThanOrEqual">
      <formula>99</formula>
    </cfRule>
  </conditionalFormatting>
  <conditionalFormatting sqref="AD48:AD59">
    <cfRule type="cellIs" dxfId="556" priority="40" stopIfTrue="1" operator="greaterThanOrEqual">
      <formula>100</formula>
    </cfRule>
    <cfRule type="cellIs" dxfId="555" priority="39" stopIfTrue="1" operator="between">
      <formula>-99.999999999999</formula>
      <formula>99.999999999999</formula>
    </cfRule>
    <cfRule type="cellIs" dxfId="554" priority="38" stopIfTrue="1" operator="lessThanOrEqual">
      <formula>-100</formula>
    </cfRule>
    <cfRule type="cellIs" dxfId="553" priority="37" stopIfTrue="1" operator="equal">
      <formula>0</formula>
    </cfRule>
    <cfRule type="cellIs" dxfId="552" priority="34" operator="greaterThanOrEqual">
      <formula>100</formula>
    </cfRule>
    <cfRule type="cellIs" dxfId="551" priority="33" operator="lessThanOrEqual">
      <formula>99</formula>
    </cfRule>
  </conditionalFormatting>
  <conditionalFormatting sqref="AD63:AD72">
    <cfRule type="cellIs" dxfId="550" priority="29" stopIfTrue="1" operator="equal">
      <formula>0</formula>
    </cfRule>
    <cfRule type="cellIs" dxfId="549" priority="26" operator="greaterThanOrEqual">
      <formula>100</formula>
    </cfRule>
    <cfRule type="cellIs" dxfId="548" priority="25" operator="lessThanOrEqual">
      <formula>99</formula>
    </cfRule>
    <cfRule type="cellIs" dxfId="547" priority="31" stopIfTrue="1" operator="between">
      <formula>-99.999999999999</formula>
      <formula>99.999999999999</formula>
    </cfRule>
    <cfRule type="cellIs" dxfId="546" priority="32" stopIfTrue="1" operator="greaterThanOrEqual">
      <formula>100</formula>
    </cfRule>
    <cfRule type="cellIs" dxfId="545" priority="30" stopIfTrue="1" operator="lessThanOrEqual">
      <formula>-100</formula>
    </cfRule>
  </conditionalFormatting>
  <conditionalFormatting sqref="AD74:AD77">
    <cfRule type="cellIs" dxfId="544" priority="17" operator="lessThanOrEqual">
      <formula>99</formula>
    </cfRule>
    <cfRule type="cellIs" dxfId="543" priority="23" stopIfTrue="1" operator="between">
      <formula>-99.999999999999</formula>
      <formula>99.999999999999</formula>
    </cfRule>
    <cfRule type="cellIs" dxfId="542" priority="22" stopIfTrue="1" operator="lessThanOrEqual">
      <formula>-100</formula>
    </cfRule>
    <cfRule type="cellIs" dxfId="541" priority="24" stopIfTrue="1" operator="greaterThanOrEqual">
      <formula>100</formula>
    </cfRule>
    <cfRule type="cellIs" dxfId="540" priority="21" stopIfTrue="1" operator="equal">
      <formula>0</formula>
    </cfRule>
    <cfRule type="cellIs" dxfId="539" priority="18" operator="greaterThanOrEqual">
      <formula>100</formula>
    </cfRule>
  </conditionalFormatting>
  <conditionalFormatting sqref="AD79:AD97">
    <cfRule type="cellIs" dxfId="538" priority="15" stopIfTrue="1" operator="between">
      <formula>-99.999999999999</formula>
      <formula>99.999999999999</formula>
    </cfRule>
    <cfRule type="cellIs" dxfId="537" priority="14" stopIfTrue="1" operator="lessThanOrEqual">
      <formula>-100</formula>
    </cfRule>
    <cfRule type="cellIs" dxfId="536" priority="13" stopIfTrue="1" operator="equal">
      <formula>0</formula>
    </cfRule>
    <cfRule type="cellIs" dxfId="535" priority="10" operator="greaterThanOrEqual">
      <formula>100</formula>
    </cfRule>
    <cfRule type="cellIs" dxfId="534" priority="9" operator="lessThanOrEqual">
      <formula>99</formula>
    </cfRule>
    <cfRule type="cellIs" dxfId="533" priority="16" stopIfTrue="1" operator="greaterThanOrEqual">
      <formula>100</formula>
    </cfRule>
  </conditionalFormatting>
  <conditionalFormatting sqref="AD99:AD110">
    <cfRule type="cellIs" dxfId="532" priority="7" stopIfTrue="1" operator="between">
      <formula>-99.999999999999</formula>
      <formula>99.999999999999</formula>
    </cfRule>
    <cfRule type="cellIs" dxfId="531" priority="6" stopIfTrue="1" operator="lessThanOrEqual">
      <formula>-100</formula>
    </cfRule>
    <cfRule type="cellIs" dxfId="530" priority="5" stopIfTrue="1" operator="equal">
      <formula>0</formula>
    </cfRule>
    <cfRule type="cellIs" dxfId="529" priority="2" operator="greaterThanOrEqual">
      <formula>100</formula>
    </cfRule>
    <cfRule type="cellIs" dxfId="528" priority="1" operator="lessThanOrEqual">
      <formula>99</formula>
    </cfRule>
    <cfRule type="cellIs" dxfId="527" priority="8" stopIfTrue="1" operator="greaterThanOrEqual">
      <formula>100</formula>
    </cfRule>
  </conditionalFormatting>
  <pageMargins left="0.7" right="0.7" top="0.75" bottom="0.75" header="0.3" footer="0.3"/>
  <pageSetup paperSize="9" scale="30"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60025-14BC-45EB-8BAE-261D4FCA61C8}">
  <sheetPr>
    <pageSetUpPr fitToPage="1"/>
  </sheetPr>
  <dimension ref="B6:AD92"/>
  <sheetViews>
    <sheetView zoomScaleNormal="100" workbookViewId="0"/>
  </sheetViews>
  <sheetFormatPr defaultColWidth="9.140625" defaultRowHeight="15" x14ac:dyDescent="0.25"/>
  <cols>
    <col min="1" max="1" width="9.140625" style="20"/>
    <col min="2" max="2" width="26.140625" style="20" customWidth="1"/>
    <col min="3" max="4" width="9.140625" style="20"/>
    <col min="5" max="5" width="11.28515625" style="20" customWidth="1"/>
    <col min="6" max="21" width="9.140625" style="20"/>
    <col min="22" max="30" width="9.7109375" style="20" customWidth="1"/>
    <col min="31" max="16384" width="9.140625" style="20"/>
  </cols>
  <sheetData>
    <row r="6" spans="2:30" ht="12" customHeight="1" x14ac:dyDescent="0.25">
      <c r="B6" s="16"/>
      <c r="C6" s="17"/>
      <c r="D6" s="17"/>
      <c r="E6" s="17"/>
      <c r="F6" s="17"/>
      <c r="G6" s="17"/>
      <c r="H6" s="17"/>
      <c r="I6" s="17"/>
      <c r="J6" s="17"/>
      <c r="K6" s="17"/>
      <c r="L6" s="17"/>
      <c r="M6" s="17"/>
      <c r="N6" s="17"/>
      <c r="O6" s="17"/>
      <c r="P6" s="17"/>
      <c r="Q6" s="17"/>
      <c r="R6" s="17"/>
      <c r="S6" s="17"/>
      <c r="T6" s="17"/>
      <c r="U6" s="17"/>
      <c r="V6" s="17"/>
      <c r="W6" s="17"/>
      <c r="X6" s="17"/>
      <c r="Y6" s="17"/>
      <c r="Z6" s="17"/>
      <c r="AA6" s="17"/>
      <c r="AB6" s="17"/>
      <c r="AC6" s="19"/>
      <c r="AD6" s="19" t="s">
        <v>0</v>
      </c>
    </row>
    <row r="7" spans="2:30" ht="27" customHeight="1" x14ac:dyDescent="0.25">
      <c r="B7" s="331" t="s">
        <v>394</v>
      </c>
      <c r="C7" s="331"/>
      <c r="D7" s="331"/>
      <c r="E7" s="331"/>
      <c r="F7" s="331"/>
      <c r="G7" s="331"/>
      <c r="H7" s="331"/>
      <c r="I7" s="331"/>
      <c r="J7" s="331"/>
      <c r="K7" s="331"/>
      <c r="L7" s="331"/>
      <c r="M7" s="331"/>
      <c r="N7" s="331"/>
      <c r="O7" s="331"/>
      <c r="P7" s="331"/>
      <c r="Q7" s="331"/>
      <c r="R7" s="331"/>
      <c r="S7" s="331"/>
      <c r="T7" s="331"/>
      <c r="U7" s="347"/>
      <c r="V7" s="347"/>
      <c r="W7" s="347"/>
      <c r="X7" s="347"/>
      <c r="Y7" s="347"/>
      <c r="Z7" s="347"/>
      <c r="AA7" s="224"/>
      <c r="AB7" s="26"/>
      <c r="AC7" s="26"/>
      <c r="AD7" s="26"/>
    </row>
    <row r="8" spans="2:30" ht="12.6" customHeight="1" x14ac:dyDescent="0.25">
      <c r="B8" s="56" t="s">
        <v>395</v>
      </c>
      <c r="C8" s="57"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547</v>
      </c>
    </row>
    <row r="9" spans="2:30" ht="11.1" customHeight="1" x14ac:dyDescent="0.25">
      <c r="B9" s="360" t="s">
        <v>34</v>
      </c>
      <c r="C9" s="360"/>
      <c r="D9" s="360"/>
      <c r="E9" s="360"/>
      <c r="F9" s="360"/>
      <c r="G9" s="360"/>
      <c r="H9" s="360"/>
      <c r="I9" s="360"/>
      <c r="J9" s="360"/>
      <c r="K9" s="360"/>
      <c r="L9" s="360"/>
      <c r="M9" s="360"/>
      <c r="N9" s="360"/>
      <c r="O9" s="360"/>
      <c r="P9" s="360"/>
      <c r="Q9" s="360"/>
      <c r="R9" s="360"/>
      <c r="S9" s="360"/>
      <c r="T9" s="360"/>
      <c r="U9" s="361"/>
      <c r="V9" s="361"/>
      <c r="W9" s="361"/>
      <c r="X9" s="361"/>
      <c r="Y9" s="361"/>
      <c r="Z9" s="361"/>
      <c r="AA9" s="29"/>
      <c r="AB9" s="29"/>
      <c r="AC9" s="29"/>
      <c r="AD9" s="29"/>
    </row>
    <row r="10" spans="2:30" ht="11.1" customHeight="1" x14ac:dyDescent="0.25">
      <c r="B10" s="360" t="s">
        <v>36</v>
      </c>
      <c r="C10" s="360"/>
      <c r="D10" s="360"/>
      <c r="E10" s="360"/>
      <c r="F10" s="360"/>
      <c r="G10" s="360"/>
      <c r="H10" s="360"/>
      <c r="I10" s="360"/>
      <c r="J10" s="360"/>
      <c r="K10" s="360"/>
      <c r="L10" s="360"/>
      <c r="M10" s="360"/>
      <c r="N10" s="360"/>
      <c r="O10" s="360"/>
      <c r="P10" s="360"/>
      <c r="Q10" s="360"/>
      <c r="R10" s="360"/>
      <c r="S10" s="360"/>
      <c r="T10" s="360"/>
      <c r="U10" s="361"/>
      <c r="V10" s="361"/>
      <c r="W10" s="361"/>
      <c r="X10" s="361"/>
      <c r="Y10" s="361"/>
      <c r="Z10" s="361"/>
      <c r="AA10" s="30"/>
      <c r="AB10" s="30"/>
      <c r="AC10" s="30"/>
      <c r="AD10" s="30"/>
    </row>
    <row r="11" spans="2:30" ht="11.1" customHeight="1" x14ac:dyDescent="0.25">
      <c r="B11" s="243" t="s">
        <v>87</v>
      </c>
      <c r="C11" s="22" t="s">
        <v>6</v>
      </c>
      <c r="D11" s="43">
        <v>39615</v>
      </c>
      <c r="E11" s="43">
        <v>43771</v>
      </c>
      <c r="F11" s="43">
        <v>52682</v>
      </c>
      <c r="G11" s="43">
        <v>47405</v>
      </c>
      <c r="H11" s="43">
        <v>32459</v>
      </c>
      <c r="I11" s="43">
        <v>43423</v>
      </c>
      <c r="J11" s="43">
        <v>35805</v>
      </c>
      <c r="K11" s="43">
        <v>36909</v>
      </c>
      <c r="L11" s="43">
        <v>42656</v>
      </c>
      <c r="M11" s="43">
        <v>35874</v>
      </c>
      <c r="N11" s="43">
        <v>34289</v>
      </c>
      <c r="O11" s="43">
        <v>31145</v>
      </c>
      <c r="P11" s="43">
        <v>34140</v>
      </c>
      <c r="Q11" s="43">
        <v>28588</v>
      </c>
      <c r="R11" s="43">
        <v>30135</v>
      </c>
      <c r="S11" s="43">
        <v>29845</v>
      </c>
      <c r="T11" s="43">
        <v>35569</v>
      </c>
      <c r="U11" s="43">
        <v>45039</v>
      </c>
      <c r="V11" s="43">
        <v>46271</v>
      </c>
      <c r="W11" s="43">
        <v>51181</v>
      </c>
      <c r="X11" s="43">
        <v>46981</v>
      </c>
      <c r="Y11" s="43">
        <v>25859</v>
      </c>
      <c r="Z11" s="43">
        <v>38969</v>
      </c>
      <c r="AA11" s="33">
        <v>33976</v>
      </c>
      <c r="AB11" s="33">
        <v>30302</v>
      </c>
      <c r="AC11" s="33">
        <v>26747</v>
      </c>
      <c r="AD11" s="10" t="s">
        <v>19</v>
      </c>
    </row>
    <row r="12" spans="2:30" ht="11.1" customHeight="1" x14ac:dyDescent="0.25">
      <c r="B12" s="243" t="s">
        <v>396</v>
      </c>
      <c r="C12" s="22" t="s">
        <v>6</v>
      </c>
      <c r="D12" s="43">
        <v>73908</v>
      </c>
      <c r="E12" s="43">
        <v>81049</v>
      </c>
      <c r="F12" s="43">
        <v>83097</v>
      </c>
      <c r="G12" s="43">
        <v>91862</v>
      </c>
      <c r="H12" s="43">
        <v>82666</v>
      </c>
      <c r="I12" s="43">
        <v>61365</v>
      </c>
      <c r="J12" s="43">
        <v>66041</v>
      </c>
      <c r="K12" s="43">
        <v>81170</v>
      </c>
      <c r="L12" s="43">
        <v>96745</v>
      </c>
      <c r="M12" s="43">
        <v>91666</v>
      </c>
      <c r="N12" s="43">
        <v>104702</v>
      </c>
      <c r="O12" s="43">
        <v>85837</v>
      </c>
      <c r="P12" s="43">
        <v>81326</v>
      </c>
      <c r="Q12" s="43">
        <v>96060</v>
      </c>
      <c r="R12" s="43">
        <v>86168</v>
      </c>
      <c r="S12" s="43">
        <v>108465</v>
      </c>
      <c r="T12" s="43">
        <v>124709</v>
      </c>
      <c r="U12" s="43">
        <v>137680</v>
      </c>
      <c r="V12" s="43">
        <v>120082</v>
      </c>
      <c r="W12" s="43">
        <v>122578</v>
      </c>
      <c r="X12" s="43">
        <v>136253</v>
      </c>
      <c r="Y12" s="43">
        <v>122043</v>
      </c>
      <c r="Z12" s="43">
        <v>82891</v>
      </c>
      <c r="AA12" s="33">
        <v>79231</v>
      </c>
      <c r="AB12" s="33">
        <v>84726</v>
      </c>
      <c r="AC12" s="33">
        <v>101348</v>
      </c>
      <c r="AD12" s="10" t="s">
        <v>19</v>
      </c>
    </row>
    <row r="13" spans="2:30" ht="11.1" customHeight="1" x14ac:dyDescent="0.25">
      <c r="B13" s="243" t="s">
        <v>265</v>
      </c>
      <c r="C13" s="22" t="s">
        <v>6</v>
      </c>
      <c r="D13" s="43">
        <v>3863</v>
      </c>
      <c r="E13" s="43">
        <v>3544</v>
      </c>
      <c r="F13" s="43">
        <v>4236</v>
      </c>
      <c r="G13" s="43">
        <v>4356</v>
      </c>
      <c r="H13" s="43">
        <v>4445</v>
      </c>
      <c r="I13" s="43">
        <v>4020</v>
      </c>
      <c r="J13" s="43">
        <v>4125</v>
      </c>
      <c r="K13" s="43">
        <v>4155</v>
      </c>
      <c r="L13" s="43">
        <v>5834</v>
      </c>
      <c r="M13" s="43">
        <v>6007</v>
      </c>
      <c r="N13" s="43">
        <v>5863</v>
      </c>
      <c r="O13" s="43">
        <v>4804</v>
      </c>
      <c r="P13" s="43">
        <v>5257</v>
      </c>
      <c r="Q13" s="43">
        <v>5967</v>
      </c>
      <c r="R13" s="43">
        <v>4196</v>
      </c>
      <c r="S13" s="43">
        <v>4877</v>
      </c>
      <c r="T13" s="43">
        <v>4827</v>
      </c>
      <c r="U13" s="43">
        <v>5606</v>
      </c>
      <c r="V13" s="43">
        <v>5841</v>
      </c>
      <c r="W13" s="43">
        <v>5667</v>
      </c>
      <c r="X13" s="43">
        <v>6495</v>
      </c>
      <c r="Y13" s="43">
        <v>7569</v>
      </c>
      <c r="Z13" s="43">
        <v>7313</v>
      </c>
      <c r="AA13" s="33">
        <v>7220</v>
      </c>
      <c r="AB13" s="33">
        <v>8520</v>
      </c>
      <c r="AC13" s="33">
        <v>7375</v>
      </c>
      <c r="AD13" s="10" t="s">
        <v>19</v>
      </c>
    </row>
    <row r="14" spans="2:30" ht="11.1" customHeight="1" x14ac:dyDescent="0.25">
      <c r="B14" s="243" t="s">
        <v>68</v>
      </c>
      <c r="C14" s="22" t="s">
        <v>6</v>
      </c>
      <c r="D14" s="43">
        <v>10</v>
      </c>
      <c r="E14" s="43">
        <v>0</v>
      </c>
      <c r="F14" s="43">
        <v>13</v>
      </c>
      <c r="G14" s="43">
        <v>0</v>
      </c>
      <c r="H14" s="43">
        <v>0</v>
      </c>
      <c r="I14" s="43">
        <v>272</v>
      </c>
      <c r="J14" s="43">
        <v>218</v>
      </c>
      <c r="K14" s="43">
        <v>221</v>
      </c>
      <c r="L14" s="43">
        <v>231</v>
      </c>
      <c r="M14" s="43">
        <v>226</v>
      </c>
      <c r="N14" s="43">
        <v>340</v>
      </c>
      <c r="O14" s="43">
        <v>253</v>
      </c>
      <c r="P14" s="43">
        <v>816</v>
      </c>
      <c r="Q14" s="43">
        <v>699</v>
      </c>
      <c r="R14" s="43">
        <v>697</v>
      </c>
      <c r="S14" s="43">
        <v>846</v>
      </c>
      <c r="T14" s="43">
        <v>920</v>
      </c>
      <c r="U14" s="43">
        <v>1369</v>
      </c>
      <c r="V14" s="43">
        <v>1297</v>
      </c>
      <c r="W14" s="43">
        <v>1672</v>
      </c>
      <c r="X14" s="43">
        <v>1747</v>
      </c>
      <c r="Y14" s="43">
        <v>46</v>
      </c>
      <c r="Z14" s="43">
        <v>66</v>
      </c>
      <c r="AA14" s="33">
        <v>84</v>
      </c>
      <c r="AB14" s="33">
        <v>59</v>
      </c>
      <c r="AC14" s="33">
        <v>80</v>
      </c>
      <c r="AD14" s="10" t="s">
        <v>19</v>
      </c>
    </row>
    <row r="15" spans="2:30" ht="11.1" customHeight="1" x14ac:dyDescent="0.25">
      <c r="B15" s="243" t="s">
        <v>13</v>
      </c>
      <c r="C15" s="22" t="s">
        <v>6</v>
      </c>
      <c r="D15" s="43">
        <v>117396</v>
      </c>
      <c r="E15" s="43">
        <v>128364</v>
      </c>
      <c r="F15" s="43">
        <v>140028</v>
      </c>
      <c r="G15" s="43">
        <v>143623</v>
      </c>
      <c r="H15" s="43">
        <v>119570</v>
      </c>
      <c r="I15" s="43">
        <v>109080</v>
      </c>
      <c r="J15" s="43">
        <v>106189</v>
      </c>
      <c r="K15" s="43">
        <v>122455</v>
      </c>
      <c r="L15" s="43">
        <v>145466</v>
      </c>
      <c r="M15" s="43">
        <v>133773</v>
      </c>
      <c r="N15" s="43">
        <v>145194</v>
      </c>
      <c r="O15" s="43">
        <v>122039</v>
      </c>
      <c r="P15" s="43">
        <v>121539</v>
      </c>
      <c r="Q15" s="43">
        <v>131314</v>
      </c>
      <c r="R15" s="43">
        <v>121196</v>
      </c>
      <c r="S15" s="43">
        <v>144033</v>
      </c>
      <c r="T15" s="43">
        <v>166025</v>
      </c>
      <c r="U15" s="43">
        <v>189694</v>
      </c>
      <c r="V15" s="43">
        <v>173491</v>
      </c>
      <c r="W15" s="43">
        <v>181098</v>
      </c>
      <c r="X15" s="43">
        <v>191476</v>
      </c>
      <c r="Y15" s="43">
        <v>155517</v>
      </c>
      <c r="Z15" s="43">
        <v>129239</v>
      </c>
      <c r="AA15" s="33">
        <v>120510</v>
      </c>
      <c r="AB15" s="33">
        <v>123608</v>
      </c>
      <c r="AC15" s="33">
        <v>135551</v>
      </c>
      <c r="AD15" s="10" t="s">
        <v>19</v>
      </c>
    </row>
    <row r="16" spans="2:30" ht="11.1" customHeight="1" x14ac:dyDescent="0.25">
      <c r="B16" s="332" t="s">
        <v>40</v>
      </c>
      <c r="C16" s="332"/>
      <c r="D16" s="332"/>
      <c r="E16" s="332"/>
      <c r="F16" s="332"/>
      <c r="G16" s="332"/>
      <c r="H16" s="332"/>
      <c r="I16" s="332"/>
      <c r="J16" s="332"/>
      <c r="K16" s="332"/>
      <c r="L16" s="332"/>
      <c r="M16" s="332"/>
      <c r="N16" s="332"/>
      <c r="O16" s="332"/>
      <c r="P16" s="332"/>
      <c r="Q16" s="332"/>
      <c r="R16" s="332"/>
      <c r="S16" s="332"/>
      <c r="T16" s="332"/>
      <c r="U16" s="332"/>
      <c r="V16" s="332"/>
      <c r="W16" s="332"/>
      <c r="X16" s="332"/>
      <c r="Y16" s="332"/>
      <c r="Z16" s="348"/>
      <c r="AA16" s="33"/>
      <c r="AB16" s="33"/>
      <c r="AC16" s="33"/>
      <c r="AD16" s="33"/>
    </row>
    <row r="17" spans="2:30" ht="11.1" customHeight="1" x14ac:dyDescent="0.25">
      <c r="B17" s="243" t="s">
        <v>41</v>
      </c>
      <c r="C17" s="22" t="s">
        <v>6</v>
      </c>
      <c r="D17" s="43">
        <v>27161</v>
      </c>
      <c r="E17" s="43">
        <v>32394</v>
      </c>
      <c r="F17" s="22">
        <v>40011</v>
      </c>
      <c r="G17" s="43">
        <v>34755</v>
      </c>
      <c r="H17" s="43">
        <v>36289</v>
      </c>
      <c r="I17" s="43">
        <v>31508</v>
      </c>
      <c r="J17" s="43">
        <v>33821</v>
      </c>
      <c r="K17" s="43">
        <v>33859</v>
      </c>
      <c r="L17" s="43">
        <v>31529</v>
      </c>
      <c r="M17" s="43">
        <v>31043</v>
      </c>
      <c r="N17" s="43">
        <v>30017</v>
      </c>
      <c r="O17" s="43">
        <v>27857</v>
      </c>
      <c r="P17" s="43">
        <v>27998</v>
      </c>
      <c r="Q17" s="43">
        <v>28925</v>
      </c>
      <c r="R17" s="43">
        <v>29625</v>
      </c>
      <c r="S17" s="43">
        <v>22124</v>
      </c>
      <c r="T17" s="43">
        <v>25238</v>
      </c>
      <c r="U17" s="43">
        <v>22206</v>
      </c>
      <c r="V17" s="43">
        <v>27557</v>
      </c>
      <c r="W17" s="43">
        <v>27215</v>
      </c>
      <c r="X17" s="43">
        <v>28532</v>
      </c>
      <c r="Y17" s="43">
        <v>21659</v>
      </c>
      <c r="Z17" s="43">
        <v>18338</v>
      </c>
      <c r="AA17" s="33">
        <v>18322</v>
      </c>
      <c r="AB17" s="33">
        <v>18443</v>
      </c>
      <c r="AC17" s="33">
        <v>18654</v>
      </c>
      <c r="AD17" s="10" t="s">
        <v>19</v>
      </c>
    </row>
    <row r="18" spans="2:30" ht="11.1" customHeight="1" x14ac:dyDescent="0.25">
      <c r="B18" s="243" t="s">
        <v>340</v>
      </c>
      <c r="C18" s="22" t="s">
        <v>6</v>
      </c>
      <c r="D18" s="43">
        <v>952</v>
      </c>
      <c r="E18" s="43">
        <v>904</v>
      </c>
      <c r="F18" s="22">
        <v>1193</v>
      </c>
      <c r="G18" s="43">
        <v>1048</v>
      </c>
      <c r="H18" s="43">
        <v>1373</v>
      </c>
      <c r="I18" s="43">
        <v>1441</v>
      </c>
      <c r="J18" s="43">
        <v>1352</v>
      </c>
      <c r="K18" s="43">
        <v>1650</v>
      </c>
      <c r="L18" s="43">
        <v>1941</v>
      </c>
      <c r="M18" s="43">
        <v>2044</v>
      </c>
      <c r="N18" s="43">
        <v>3238</v>
      </c>
      <c r="O18" s="43">
        <v>2969</v>
      </c>
      <c r="P18" s="43">
        <v>2221</v>
      </c>
      <c r="Q18" s="43">
        <v>2713</v>
      </c>
      <c r="R18" s="43">
        <v>3283</v>
      </c>
      <c r="S18" s="43">
        <v>3118</v>
      </c>
      <c r="T18" s="43">
        <v>3060</v>
      </c>
      <c r="U18" s="43">
        <v>3480</v>
      </c>
      <c r="V18" s="43">
        <v>4182</v>
      </c>
      <c r="W18" s="43">
        <v>5047</v>
      </c>
      <c r="X18" s="43">
        <v>7545</v>
      </c>
      <c r="Y18" s="43">
        <v>4799</v>
      </c>
      <c r="Z18" s="43">
        <v>5501</v>
      </c>
      <c r="AA18" s="33">
        <v>5801</v>
      </c>
      <c r="AB18" s="33">
        <v>6529</v>
      </c>
      <c r="AC18" s="33">
        <v>6175</v>
      </c>
      <c r="AD18" s="10" t="s">
        <v>19</v>
      </c>
    </row>
    <row r="19" spans="2:30" ht="11.1" customHeight="1" x14ac:dyDescent="0.25">
      <c r="B19" s="243" t="s">
        <v>69</v>
      </c>
      <c r="C19" s="22" t="s">
        <v>6</v>
      </c>
      <c r="D19" s="43">
        <v>2022</v>
      </c>
      <c r="E19" s="43">
        <v>1981</v>
      </c>
      <c r="F19" s="22">
        <v>2429</v>
      </c>
      <c r="G19" s="43">
        <v>1839</v>
      </c>
      <c r="H19" s="43">
        <v>2950</v>
      </c>
      <c r="I19" s="43">
        <v>2555</v>
      </c>
      <c r="J19" s="43">
        <v>2823</v>
      </c>
      <c r="K19" s="43">
        <v>2101</v>
      </c>
      <c r="L19" s="43">
        <v>2734</v>
      </c>
      <c r="M19" s="43">
        <v>2580</v>
      </c>
      <c r="N19" s="43">
        <v>2606</v>
      </c>
      <c r="O19" s="43">
        <v>3706</v>
      </c>
      <c r="P19" s="43">
        <v>3487</v>
      </c>
      <c r="Q19" s="43">
        <v>5449</v>
      </c>
      <c r="R19" s="43">
        <v>4933</v>
      </c>
      <c r="S19" s="43">
        <v>4006</v>
      </c>
      <c r="T19" s="43">
        <v>4859</v>
      </c>
      <c r="U19" s="43">
        <v>5245</v>
      </c>
      <c r="V19" s="43">
        <v>5685</v>
      </c>
      <c r="W19" s="43">
        <v>6671</v>
      </c>
      <c r="X19" s="43">
        <v>5632</v>
      </c>
      <c r="Y19" s="43">
        <v>6375</v>
      </c>
      <c r="Z19" s="43">
        <v>6753</v>
      </c>
      <c r="AA19" s="33">
        <v>6806</v>
      </c>
      <c r="AB19" s="33">
        <v>7257</v>
      </c>
      <c r="AC19" s="33">
        <v>6983</v>
      </c>
      <c r="AD19" s="10" t="s">
        <v>19</v>
      </c>
    </row>
    <row r="20" spans="2:30" ht="11.1" customHeight="1" x14ac:dyDescent="0.25">
      <c r="B20" s="243" t="s">
        <v>70</v>
      </c>
      <c r="C20" s="22" t="s">
        <v>6</v>
      </c>
      <c r="D20" s="43">
        <v>900</v>
      </c>
      <c r="E20" s="43">
        <v>979</v>
      </c>
      <c r="F20" s="22">
        <v>1136</v>
      </c>
      <c r="G20" s="43">
        <v>974</v>
      </c>
      <c r="H20" s="43">
        <v>1181</v>
      </c>
      <c r="I20" s="43">
        <v>1709</v>
      </c>
      <c r="J20" s="43">
        <v>1918</v>
      </c>
      <c r="K20" s="43">
        <v>1805</v>
      </c>
      <c r="L20" s="43">
        <v>2158</v>
      </c>
      <c r="M20" s="43">
        <v>2483</v>
      </c>
      <c r="N20" s="43">
        <v>2337</v>
      </c>
      <c r="O20" s="43">
        <v>1904</v>
      </c>
      <c r="P20" s="43">
        <v>2408</v>
      </c>
      <c r="Q20" s="43">
        <v>1820</v>
      </c>
      <c r="R20" s="43">
        <v>1685</v>
      </c>
      <c r="S20" s="43">
        <v>1404</v>
      </c>
      <c r="T20" s="43">
        <v>1619</v>
      </c>
      <c r="U20" s="43">
        <v>1492</v>
      </c>
      <c r="V20" s="43">
        <v>2007</v>
      </c>
      <c r="W20" s="43">
        <v>1463</v>
      </c>
      <c r="X20" s="43">
        <v>1548</v>
      </c>
      <c r="Y20" s="43">
        <v>1537</v>
      </c>
      <c r="Z20" s="43">
        <v>1786</v>
      </c>
      <c r="AA20" s="33">
        <v>1763</v>
      </c>
      <c r="AB20" s="33">
        <v>1737</v>
      </c>
      <c r="AC20" s="33">
        <v>1915</v>
      </c>
      <c r="AD20" s="10" t="s">
        <v>19</v>
      </c>
    </row>
    <row r="21" spans="2:30" ht="11.1" customHeight="1" x14ac:dyDescent="0.25">
      <c r="B21" s="243" t="s">
        <v>13</v>
      </c>
      <c r="C21" s="22" t="s">
        <v>6</v>
      </c>
      <c r="D21" s="43">
        <v>31035</v>
      </c>
      <c r="E21" s="43">
        <v>36258</v>
      </c>
      <c r="F21" s="22">
        <v>44769</v>
      </c>
      <c r="G21" s="43">
        <v>38616</v>
      </c>
      <c r="H21" s="43">
        <v>41793</v>
      </c>
      <c r="I21" s="43">
        <v>37213</v>
      </c>
      <c r="J21" s="43">
        <v>39914</v>
      </c>
      <c r="K21" s="43">
        <v>39415</v>
      </c>
      <c r="L21" s="43">
        <v>38362</v>
      </c>
      <c r="M21" s="43">
        <v>38150</v>
      </c>
      <c r="N21" s="43">
        <v>38198</v>
      </c>
      <c r="O21" s="43">
        <v>36436</v>
      </c>
      <c r="P21" s="43">
        <v>36114</v>
      </c>
      <c r="Q21" s="43">
        <v>38907</v>
      </c>
      <c r="R21" s="43">
        <v>39526</v>
      </c>
      <c r="S21" s="43">
        <v>30652</v>
      </c>
      <c r="T21" s="43">
        <v>34776</v>
      </c>
      <c r="U21" s="43">
        <v>32423</v>
      </c>
      <c r="V21" s="43">
        <v>39431</v>
      </c>
      <c r="W21" s="43">
        <v>40396</v>
      </c>
      <c r="X21" s="43">
        <v>43257</v>
      </c>
      <c r="Y21" s="43">
        <v>34369</v>
      </c>
      <c r="Z21" s="43">
        <v>32377</v>
      </c>
      <c r="AA21" s="33">
        <v>32692</v>
      </c>
      <c r="AB21" s="33">
        <v>33965</v>
      </c>
      <c r="AC21" s="33">
        <v>33727</v>
      </c>
      <c r="AD21" s="10" t="s">
        <v>19</v>
      </c>
    </row>
    <row r="22" spans="2:30" ht="11.1" customHeight="1" x14ac:dyDescent="0.25">
      <c r="B22" s="332" t="s">
        <v>404</v>
      </c>
      <c r="C22" s="332"/>
      <c r="D22" s="332"/>
      <c r="E22" s="332"/>
      <c r="F22" s="332"/>
      <c r="G22" s="332"/>
      <c r="H22" s="332"/>
      <c r="I22" s="332"/>
      <c r="J22" s="332"/>
      <c r="K22" s="332"/>
      <c r="L22" s="332"/>
      <c r="M22" s="332"/>
      <c r="N22" s="332"/>
      <c r="O22" s="332"/>
      <c r="P22" s="332"/>
      <c r="Q22" s="332"/>
      <c r="R22" s="332"/>
      <c r="S22" s="332"/>
      <c r="T22" s="332"/>
      <c r="U22" s="332"/>
      <c r="V22" s="332"/>
      <c r="W22" s="332"/>
      <c r="X22" s="332"/>
      <c r="Y22" s="332"/>
      <c r="Z22" s="348"/>
      <c r="AA22" s="33"/>
      <c r="AB22" s="33"/>
      <c r="AC22" s="33"/>
      <c r="AD22" s="33"/>
    </row>
    <row r="23" spans="2:30" ht="11.1" customHeight="1" x14ac:dyDescent="0.25">
      <c r="B23" s="243" t="s">
        <v>397</v>
      </c>
      <c r="C23" s="22" t="s">
        <v>6</v>
      </c>
      <c r="D23" s="43">
        <v>672</v>
      </c>
      <c r="E23" s="43">
        <v>568</v>
      </c>
      <c r="F23" s="43">
        <v>773</v>
      </c>
      <c r="G23" s="43">
        <v>552</v>
      </c>
      <c r="H23" s="43">
        <v>694</v>
      </c>
      <c r="I23" s="43">
        <v>269</v>
      </c>
      <c r="J23" s="43">
        <v>227</v>
      </c>
      <c r="K23" s="43">
        <v>354</v>
      </c>
      <c r="L23" s="43">
        <v>260</v>
      </c>
      <c r="M23" s="43">
        <v>188</v>
      </c>
      <c r="N23" s="43">
        <v>249</v>
      </c>
      <c r="O23" s="43">
        <v>327</v>
      </c>
      <c r="P23" s="43">
        <v>270</v>
      </c>
      <c r="Q23" s="43">
        <v>348</v>
      </c>
      <c r="R23" s="43">
        <v>149</v>
      </c>
      <c r="S23" s="43">
        <v>153</v>
      </c>
      <c r="T23" s="43">
        <v>464</v>
      </c>
      <c r="U23" s="43">
        <v>807</v>
      </c>
      <c r="V23" s="43">
        <v>499</v>
      </c>
      <c r="W23" s="43">
        <v>585</v>
      </c>
      <c r="X23" s="43">
        <v>256</v>
      </c>
      <c r="Y23" s="43">
        <v>279</v>
      </c>
      <c r="Z23" s="43">
        <v>231</v>
      </c>
      <c r="AA23" s="33">
        <v>573</v>
      </c>
      <c r="AB23" s="33">
        <v>1023</v>
      </c>
      <c r="AC23" s="33">
        <v>820</v>
      </c>
      <c r="AD23" s="10" t="s">
        <v>19</v>
      </c>
    </row>
    <row r="24" spans="2:30" ht="11.1" customHeight="1" x14ac:dyDescent="0.25">
      <c r="B24" s="243" t="s">
        <v>320</v>
      </c>
      <c r="C24" s="22" t="s">
        <v>6</v>
      </c>
      <c r="D24" s="43">
        <v>378</v>
      </c>
      <c r="E24" s="43">
        <v>433</v>
      </c>
      <c r="F24" s="43">
        <v>473</v>
      </c>
      <c r="G24" s="43">
        <v>502</v>
      </c>
      <c r="H24" s="43">
        <v>511</v>
      </c>
      <c r="I24" s="43">
        <v>367</v>
      </c>
      <c r="J24" s="43">
        <v>361</v>
      </c>
      <c r="K24" s="43">
        <v>414</v>
      </c>
      <c r="L24" s="43">
        <v>513</v>
      </c>
      <c r="M24" s="43">
        <v>714</v>
      </c>
      <c r="N24" s="43">
        <v>816</v>
      </c>
      <c r="O24" s="43">
        <v>996</v>
      </c>
      <c r="P24" s="43">
        <v>1113</v>
      </c>
      <c r="Q24" s="43">
        <v>714</v>
      </c>
      <c r="R24" s="43">
        <v>1112</v>
      </c>
      <c r="S24" s="43">
        <v>970</v>
      </c>
      <c r="T24" s="43">
        <v>710</v>
      </c>
      <c r="U24" s="43">
        <v>805</v>
      </c>
      <c r="V24" s="43">
        <v>1028</v>
      </c>
      <c r="W24" s="43">
        <v>935</v>
      </c>
      <c r="X24" s="43">
        <v>1368</v>
      </c>
      <c r="Y24" s="43">
        <v>2011</v>
      </c>
      <c r="Z24" s="43">
        <v>1971</v>
      </c>
      <c r="AA24" s="33">
        <v>1157</v>
      </c>
      <c r="AB24" s="33">
        <v>1332</v>
      </c>
      <c r="AC24" s="33">
        <v>1196</v>
      </c>
      <c r="AD24" s="10" t="s">
        <v>19</v>
      </c>
    </row>
    <row r="25" spans="2:30" ht="11.1" customHeight="1" x14ac:dyDescent="0.25">
      <c r="B25" s="243" t="s">
        <v>398</v>
      </c>
      <c r="C25" s="22" t="s">
        <v>6</v>
      </c>
      <c r="D25" s="43">
        <v>314</v>
      </c>
      <c r="E25" s="43">
        <v>359</v>
      </c>
      <c r="F25" s="43">
        <v>305</v>
      </c>
      <c r="G25" s="43">
        <v>328</v>
      </c>
      <c r="H25" s="43">
        <v>289</v>
      </c>
      <c r="I25" s="43">
        <v>300</v>
      </c>
      <c r="J25" s="43">
        <v>353</v>
      </c>
      <c r="K25" s="43">
        <v>318</v>
      </c>
      <c r="L25" s="43">
        <v>333</v>
      </c>
      <c r="M25" s="43">
        <v>394</v>
      </c>
      <c r="N25" s="43">
        <v>454</v>
      </c>
      <c r="O25" s="43">
        <v>435</v>
      </c>
      <c r="P25" s="43">
        <v>343</v>
      </c>
      <c r="Q25" s="43">
        <v>342</v>
      </c>
      <c r="R25" s="43">
        <v>401</v>
      </c>
      <c r="S25" s="43">
        <v>397</v>
      </c>
      <c r="T25" s="43">
        <v>406</v>
      </c>
      <c r="U25" s="43">
        <v>354</v>
      </c>
      <c r="V25" s="43">
        <v>337</v>
      </c>
      <c r="W25" s="43">
        <v>307</v>
      </c>
      <c r="X25" s="43">
        <v>309</v>
      </c>
      <c r="Y25" s="43">
        <v>325</v>
      </c>
      <c r="Z25" s="43">
        <v>422</v>
      </c>
      <c r="AA25" s="33">
        <v>376</v>
      </c>
      <c r="AB25" s="33">
        <v>327</v>
      </c>
      <c r="AC25" s="33">
        <v>302</v>
      </c>
      <c r="AD25" s="10" t="s">
        <v>19</v>
      </c>
    </row>
    <row r="26" spans="2:30" ht="11.1" customHeight="1" x14ac:dyDescent="0.25">
      <c r="B26" s="243" t="s">
        <v>348</v>
      </c>
      <c r="C26" s="22" t="s">
        <v>6</v>
      </c>
      <c r="D26" s="43">
        <v>2238</v>
      </c>
      <c r="E26" s="43">
        <v>3246</v>
      </c>
      <c r="F26" s="43">
        <v>3340</v>
      </c>
      <c r="G26" s="43">
        <v>3314</v>
      </c>
      <c r="H26" s="43">
        <v>3174</v>
      </c>
      <c r="I26" s="43">
        <v>2801</v>
      </c>
      <c r="J26" s="43">
        <v>3301</v>
      </c>
      <c r="K26" s="43">
        <v>3252</v>
      </c>
      <c r="L26" s="43">
        <v>4134</v>
      </c>
      <c r="M26" s="43">
        <v>5111</v>
      </c>
      <c r="N26" s="43">
        <v>5637</v>
      </c>
      <c r="O26" s="43">
        <v>6465</v>
      </c>
      <c r="P26" s="43">
        <v>6513</v>
      </c>
      <c r="Q26" s="43">
        <v>6373</v>
      </c>
      <c r="R26" s="43">
        <v>4485</v>
      </c>
      <c r="S26" s="43">
        <v>4815</v>
      </c>
      <c r="T26" s="43">
        <v>5065</v>
      </c>
      <c r="U26" s="43">
        <v>4065</v>
      </c>
      <c r="V26" s="43">
        <v>3459</v>
      </c>
      <c r="W26" s="43">
        <v>2997</v>
      </c>
      <c r="X26" s="43">
        <v>2698</v>
      </c>
      <c r="Y26" s="43">
        <v>1195</v>
      </c>
      <c r="Z26" s="43">
        <v>522</v>
      </c>
      <c r="AA26" s="33">
        <v>397</v>
      </c>
      <c r="AB26" s="33">
        <v>477</v>
      </c>
      <c r="AC26" s="33">
        <v>535</v>
      </c>
      <c r="AD26" s="10" t="s">
        <v>19</v>
      </c>
    </row>
    <row r="27" spans="2:30" ht="11.1" customHeight="1" x14ac:dyDescent="0.25">
      <c r="B27" s="243" t="s">
        <v>374</v>
      </c>
      <c r="C27" s="22" t="s">
        <v>6</v>
      </c>
      <c r="D27" s="43">
        <v>4629</v>
      </c>
      <c r="E27" s="43">
        <v>4847</v>
      </c>
      <c r="F27" s="43">
        <v>4809</v>
      </c>
      <c r="G27" s="43">
        <v>4684</v>
      </c>
      <c r="H27" s="43">
        <v>5476</v>
      </c>
      <c r="I27" s="43">
        <v>4298</v>
      </c>
      <c r="J27" s="43">
        <v>3585</v>
      </c>
      <c r="K27" s="43">
        <v>3944</v>
      </c>
      <c r="L27" s="43">
        <v>4857</v>
      </c>
      <c r="M27" s="43">
        <v>4704</v>
      </c>
      <c r="N27" s="43">
        <v>4944</v>
      </c>
      <c r="O27" s="43">
        <v>5063</v>
      </c>
      <c r="P27" s="43">
        <v>5081</v>
      </c>
      <c r="Q27" s="43">
        <v>4465</v>
      </c>
      <c r="R27" s="43">
        <v>4603</v>
      </c>
      <c r="S27" s="43">
        <v>4249</v>
      </c>
      <c r="T27" s="43">
        <v>5189</v>
      </c>
      <c r="U27" s="43">
        <v>4595</v>
      </c>
      <c r="V27" s="43">
        <v>4387</v>
      </c>
      <c r="W27" s="43">
        <v>4289</v>
      </c>
      <c r="X27" s="43">
        <v>4242</v>
      </c>
      <c r="Y27" s="43">
        <v>3978</v>
      </c>
      <c r="Z27" s="43">
        <v>3384</v>
      </c>
      <c r="AA27" s="33">
        <v>3749</v>
      </c>
      <c r="AB27" s="33">
        <v>4008</v>
      </c>
      <c r="AC27" s="33">
        <v>4002</v>
      </c>
      <c r="AD27" s="10" t="s">
        <v>19</v>
      </c>
    </row>
    <row r="28" spans="2:30" ht="11.1" customHeight="1" x14ac:dyDescent="0.25">
      <c r="B28" s="243" t="s">
        <v>46</v>
      </c>
      <c r="C28" s="22" t="s">
        <v>6</v>
      </c>
      <c r="D28" s="43">
        <v>1572</v>
      </c>
      <c r="E28" s="43">
        <v>1903</v>
      </c>
      <c r="F28" s="43">
        <v>1998</v>
      </c>
      <c r="G28" s="43">
        <v>2028</v>
      </c>
      <c r="H28" s="43">
        <v>1940</v>
      </c>
      <c r="I28" s="43">
        <v>1822</v>
      </c>
      <c r="J28" s="43">
        <v>1929</v>
      </c>
      <c r="K28" s="43">
        <v>2104</v>
      </c>
      <c r="L28" s="43">
        <v>1818</v>
      </c>
      <c r="M28" s="43">
        <v>2058</v>
      </c>
      <c r="N28" s="43">
        <v>1971</v>
      </c>
      <c r="O28" s="43">
        <v>1691</v>
      </c>
      <c r="P28" s="43">
        <v>1530</v>
      </c>
      <c r="Q28" s="43">
        <v>1609</v>
      </c>
      <c r="R28" s="43">
        <v>1758</v>
      </c>
      <c r="S28" s="43">
        <v>1957</v>
      </c>
      <c r="T28" s="43">
        <v>1770</v>
      </c>
      <c r="U28" s="43">
        <v>1627</v>
      </c>
      <c r="V28" s="43">
        <v>1772</v>
      </c>
      <c r="W28" s="43">
        <v>1705</v>
      </c>
      <c r="X28" s="43">
        <v>1801</v>
      </c>
      <c r="Y28" s="43">
        <v>1661</v>
      </c>
      <c r="Z28" s="43">
        <v>2192</v>
      </c>
      <c r="AA28" s="33">
        <v>2117</v>
      </c>
      <c r="AB28" s="33">
        <v>1589</v>
      </c>
      <c r="AC28" s="33">
        <v>1633</v>
      </c>
      <c r="AD28" s="10" t="s">
        <v>19</v>
      </c>
    </row>
    <row r="29" spans="2:30" ht="11.1" customHeight="1" x14ac:dyDescent="0.25">
      <c r="B29" s="243" t="s">
        <v>149</v>
      </c>
      <c r="C29" s="22" t="s">
        <v>6</v>
      </c>
      <c r="D29" s="43">
        <v>512</v>
      </c>
      <c r="E29" s="43">
        <v>579</v>
      </c>
      <c r="F29" s="43">
        <v>501</v>
      </c>
      <c r="G29" s="43">
        <v>583</v>
      </c>
      <c r="H29" s="43">
        <v>411</v>
      </c>
      <c r="I29" s="43">
        <v>626</v>
      </c>
      <c r="J29" s="43">
        <v>519</v>
      </c>
      <c r="K29" s="43">
        <v>228</v>
      </c>
      <c r="L29" s="43">
        <v>103</v>
      </c>
      <c r="M29" s="43">
        <v>76</v>
      </c>
      <c r="N29" s="43">
        <v>57</v>
      </c>
      <c r="O29" s="43">
        <v>358</v>
      </c>
      <c r="P29" s="43">
        <v>266</v>
      </c>
      <c r="Q29" s="43">
        <v>282</v>
      </c>
      <c r="R29" s="43">
        <v>282</v>
      </c>
      <c r="S29" s="43">
        <v>146</v>
      </c>
      <c r="T29" s="43">
        <v>195</v>
      </c>
      <c r="U29" s="43">
        <v>283</v>
      </c>
      <c r="V29" s="43">
        <v>626</v>
      </c>
      <c r="W29" s="43">
        <v>405</v>
      </c>
      <c r="X29" s="43">
        <v>554</v>
      </c>
      <c r="Y29" s="43">
        <v>1485</v>
      </c>
      <c r="Z29" s="43">
        <v>620</v>
      </c>
      <c r="AA29" s="33">
        <v>733</v>
      </c>
      <c r="AB29" s="33">
        <v>1378</v>
      </c>
      <c r="AC29" s="33">
        <v>1073</v>
      </c>
      <c r="AD29" s="10" t="s">
        <v>19</v>
      </c>
    </row>
    <row r="30" spans="2:30" ht="11.1" customHeight="1" x14ac:dyDescent="0.25">
      <c r="B30" s="243" t="s">
        <v>370</v>
      </c>
      <c r="C30" s="22" t="s">
        <v>6</v>
      </c>
      <c r="D30" s="43">
        <v>2500</v>
      </c>
      <c r="E30" s="43">
        <v>2685</v>
      </c>
      <c r="F30" s="43">
        <v>5157</v>
      </c>
      <c r="G30" s="43">
        <v>8516</v>
      </c>
      <c r="H30" s="43">
        <v>17827</v>
      </c>
      <c r="I30" s="43">
        <v>22549</v>
      </c>
      <c r="J30" s="43">
        <v>23194</v>
      </c>
      <c r="K30" s="43">
        <v>16031</v>
      </c>
      <c r="L30" s="43">
        <v>18517</v>
      </c>
      <c r="M30" s="43">
        <v>16331</v>
      </c>
      <c r="N30" s="43">
        <v>17546</v>
      </c>
      <c r="O30" s="43">
        <v>22371</v>
      </c>
      <c r="P30" s="43">
        <v>19268</v>
      </c>
      <c r="Q30" s="43">
        <v>20699</v>
      </c>
      <c r="R30" s="43">
        <v>21039</v>
      </c>
      <c r="S30" s="43">
        <v>19254</v>
      </c>
      <c r="T30" s="43">
        <v>21612</v>
      </c>
      <c r="U30" s="43">
        <v>25895</v>
      </c>
      <c r="V30" s="43">
        <v>23847</v>
      </c>
      <c r="W30" s="43">
        <v>26409</v>
      </c>
      <c r="X30" s="43">
        <v>26427</v>
      </c>
      <c r="Y30" s="43">
        <v>26767</v>
      </c>
      <c r="Z30" s="43">
        <v>24002</v>
      </c>
      <c r="AA30" s="33">
        <v>29157</v>
      </c>
      <c r="AB30" s="33">
        <v>31056</v>
      </c>
      <c r="AC30" s="33">
        <v>30515</v>
      </c>
      <c r="AD30" s="10" t="s">
        <v>19</v>
      </c>
    </row>
    <row r="31" spans="2:30" ht="11.1" customHeight="1" x14ac:dyDescent="0.25">
      <c r="B31" s="243" t="s">
        <v>399</v>
      </c>
      <c r="C31" s="22" t="s">
        <v>6</v>
      </c>
      <c r="D31" s="43">
        <v>391</v>
      </c>
      <c r="E31" s="43">
        <v>555</v>
      </c>
      <c r="F31" s="43">
        <v>718</v>
      </c>
      <c r="G31" s="43">
        <v>863</v>
      </c>
      <c r="H31" s="43">
        <v>1067</v>
      </c>
      <c r="I31" s="43">
        <v>910</v>
      </c>
      <c r="J31" s="43">
        <v>764</v>
      </c>
      <c r="K31" s="43">
        <v>848</v>
      </c>
      <c r="L31" s="43">
        <v>681</v>
      </c>
      <c r="M31" s="43">
        <v>707</v>
      </c>
      <c r="N31" s="43">
        <v>904</v>
      </c>
      <c r="O31" s="43">
        <v>827</v>
      </c>
      <c r="P31" s="43">
        <v>768</v>
      </c>
      <c r="Q31" s="43">
        <v>773</v>
      </c>
      <c r="R31" s="43">
        <v>1073</v>
      </c>
      <c r="S31" s="43">
        <v>902</v>
      </c>
      <c r="T31" s="43">
        <v>885</v>
      </c>
      <c r="U31" s="43">
        <v>1047</v>
      </c>
      <c r="V31" s="43">
        <v>1106</v>
      </c>
      <c r="W31" s="43">
        <v>1070</v>
      </c>
      <c r="X31" s="43">
        <v>1035</v>
      </c>
      <c r="Y31" s="43">
        <v>1055</v>
      </c>
      <c r="Z31" s="43">
        <v>918</v>
      </c>
      <c r="AA31" s="33">
        <v>1308</v>
      </c>
      <c r="AB31" s="33">
        <v>1031</v>
      </c>
      <c r="AC31" s="33">
        <v>1035</v>
      </c>
      <c r="AD31" s="10" t="s">
        <v>19</v>
      </c>
    </row>
    <row r="32" spans="2:30" ht="11.1" customHeight="1" x14ac:dyDescent="0.25">
      <c r="B32" s="243" t="s">
        <v>400</v>
      </c>
      <c r="C32" s="22" t="s">
        <v>6</v>
      </c>
      <c r="D32" s="43">
        <v>240</v>
      </c>
      <c r="E32" s="43">
        <v>220</v>
      </c>
      <c r="F32" s="43">
        <v>233</v>
      </c>
      <c r="G32" s="43">
        <v>242</v>
      </c>
      <c r="H32" s="43">
        <v>263</v>
      </c>
      <c r="I32" s="43">
        <v>206</v>
      </c>
      <c r="J32" s="43">
        <v>188</v>
      </c>
      <c r="K32" s="43">
        <v>171</v>
      </c>
      <c r="L32" s="43">
        <v>226</v>
      </c>
      <c r="M32" s="43">
        <v>266</v>
      </c>
      <c r="N32" s="43">
        <v>253</v>
      </c>
      <c r="O32" s="43">
        <v>230</v>
      </c>
      <c r="P32" s="43">
        <v>213</v>
      </c>
      <c r="Q32" s="43">
        <v>185</v>
      </c>
      <c r="R32" s="43">
        <v>211</v>
      </c>
      <c r="S32" s="43">
        <v>192</v>
      </c>
      <c r="T32" s="43">
        <v>207</v>
      </c>
      <c r="U32" s="43">
        <v>211</v>
      </c>
      <c r="V32" s="43">
        <v>240</v>
      </c>
      <c r="W32" s="43">
        <v>231</v>
      </c>
      <c r="X32" s="43">
        <v>215</v>
      </c>
      <c r="Y32" s="43">
        <v>227</v>
      </c>
      <c r="Z32" s="43">
        <v>201</v>
      </c>
      <c r="AA32" s="33">
        <v>170</v>
      </c>
      <c r="AB32" s="33">
        <v>218</v>
      </c>
      <c r="AC32" s="33">
        <v>190</v>
      </c>
      <c r="AD32" s="10" t="s">
        <v>19</v>
      </c>
    </row>
    <row r="33" spans="2:30" ht="11.1" customHeight="1" x14ac:dyDescent="0.25">
      <c r="B33" s="243" t="s">
        <v>341</v>
      </c>
      <c r="C33" s="22" t="s">
        <v>6</v>
      </c>
      <c r="D33" s="43">
        <v>1243</v>
      </c>
      <c r="E33" s="43">
        <v>950</v>
      </c>
      <c r="F33" s="43">
        <v>1428</v>
      </c>
      <c r="G33" s="43">
        <v>475</v>
      </c>
      <c r="H33" s="43">
        <v>706</v>
      </c>
      <c r="I33" s="43">
        <v>812</v>
      </c>
      <c r="J33" s="43">
        <v>1034</v>
      </c>
      <c r="K33" s="43">
        <v>1222</v>
      </c>
      <c r="L33" s="43">
        <v>1411</v>
      </c>
      <c r="M33" s="43">
        <v>1263</v>
      </c>
      <c r="N33" s="43">
        <v>1127</v>
      </c>
      <c r="O33" s="43">
        <v>640</v>
      </c>
      <c r="P33" s="43">
        <v>870</v>
      </c>
      <c r="Q33" s="43">
        <v>649</v>
      </c>
      <c r="R33" s="43">
        <v>341</v>
      </c>
      <c r="S33" s="43">
        <v>1096</v>
      </c>
      <c r="T33" s="43">
        <v>1134</v>
      </c>
      <c r="U33" s="43">
        <v>1139</v>
      </c>
      <c r="V33" s="43">
        <v>1160</v>
      </c>
      <c r="W33" s="43">
        <v>1477</v>
      </c>
      <c r="X33" s="43">
        <v>966</v>
      </c>
      <c r="Y33" s="43">
        <v>878</v>
      </c>
      <c r="Z33" s="43">
        <v>1047</v>
      </c>
      <c r="AA33" s="33">
        <v>799</v>
      </c>
      <c r="AB33" s="33">
        <v>951</v>
      </c>
      <c r="AC33" s="33">
        <v>1218</v>
      </c>
      <c r="AD33" s="10" t="s">
        <v>19</v>
      </c>
    </row>
    <row r="34" spans="2:30" ht="11.1" customHeight="1" x14ac:dyDescent="0.25">
      <c r="B34" s="243" t="s">
        <v>82</v>
      </c>
      <c r="C34" s="22" t="s">
        <v>6</v>
      </c>
      <c r="D34" s="43">
        <v>1642</v>
      </c>
      <c r="E34" s="43">
        <v>1703</v>
      </c>
      <c r="F34" s="43">
        <v>2172</v>
      </c>
      <c r="G34" s="43">
        <v>2187</v>
      </c>
      <c r="H34" s="43">
        <v>1199</v>
      </c>
      <c r="I34" s="43">
        <v>884</v>
      </c>
      <c r="J34" s="43">
        <v>1028</v>
      </c>
      <c r="K34" s="43">
        <v>1004</v>
      </c>
      <c r="L34" s="43">
        <v>1180</v>
      </c>
      <c r="M34" s="43">
        <v>1164</v>
      </c>
      <c r="N34" s="43">
        <v>1127</v>
      </c>
      <c r="O34" s="43">
        <v>1006</v>
      </c>
      <c r="P34" s="43">
        <v>1236</v>
      </c>
      <c r="Q34" s="43">
        <v>1988</v>
      </c>
      <c r="R34" s="43">
        <v>1597</v>
      </c>
      <c r="S34" s="43">
        <v>1195</v>
      </c>
      <c r="T34" s="43">
        <v>1360</v>
      </c>
      <c r="U34" s="43">
        <v>1448</v>
      </c>
      <c r="V34" s="43">
        <v>1413</v>
      </c>
      <c r="W34" s="43">
        <v>1838</v>
      </c>
      <c r="X34" s="43">
        <v>1801</v>
      </c>
      <c r="Y34" s="43">
        <v>1903</v>
      </c>
      <c r="Z34" s="43">
        <v>1848</v>
      </c>
      <c r="AA34" s="33">
        <v>2069</v>
      </c>
      <c r="AB34" s="33">
        <v>1377</v>
      </c>
      <c r="AC34" s="33">
        <v>2002</v>
      </c>
      <c r="AD34" s="10" t="s">
        <v>19</v>
      </c>
    </row>
    <row r="35" spans="2:30" ht="11.1" customHeight="1" x14ac:dyDescent="0.25">
      <c r="B35" s="243" t="s">
        <v>13</v>
      </c>
      <c r="C35" s="22" t="s">
        <v>6</v>
      </c>
      <c r="D35" s="43">
        <v>16331</v>
      </c>
      <c r="E35" s="43">
        <v>18048</v>
      </c>
      <c r="F35" s="43">
        <v>21907</v>
      </c>
      <c r="G35" s="43">
        <v>24274</v>
      </c>
      <c r="H35" s="43">
        <v>33557</v>
      </c>
      <c r="I35" s="43">
        <v>35844</v>
      </c>
      <c r="J35" s="43">
        <v>36483</v>
      </c>
      <c r="K35" s="43">
        <v>29890</v>
      </c>
      <c r="L35" s="43">
        <v>34033</v>
      </c>
      <c r="M35" s="43">
        <v>32976</v>
      </c>
      <c r="N35" s="43">
        <v>35085</v>
      </c>
      <c r="O35" s="43">
        <v>40409</v>
      </c>
      <c r="P35" s="43">
        <v>37471</v>
      </c>
      <c r="Q35" s="43">
        <v>38427</v>
      </c>
      <c r="R35" s="43">
        <v>37051</v>
      </c>
      <c r="S35" s="43">
        <v>35326</v>
      </c>
      <c r="T35" s="43">
        <v>38997</v>
      </c>
      <c r="U35" s="43">
        <v>42276</v>
      </c>
      <c r="V35" s="43">
        <v>39874</v>
      </c>
      <c r="W35" s="43">
        <v>42248</v>
      </c>
      <c r="X35" s="43">
        <v>41672</v>
      </c>
      <c r="Y35" s="43">
        <v>41761</v>
      </c>
      <c r="Z35" s="43">
        <v>37356</v>
      </c>
      <c r="AA35" s="33">
        <v>42604</v>
      </c>
      <c r="AB35" s="33">
        <v>44767</v>
      </c>
      <c r="AC35" s="33">
        <v>44521</v>
      </c>
      <c r="AD35" s="10" t="s">
        <v>19</v>
      </c>
    </row>
    <row r="36" spans="2:30" ht="11.1" customHeight="1" x14ac:dyDescent="0.25">
      <c r="B36" s="243" t="s">
        <v>83</v>
      </c>
      <c r="C36" s="22" t="s">
        <v>6</v>
      </c>
      <c r="D36" s="43">
        <v>344</v>
      </c>
      <c r="E36" s="43">
        <v>316</v>
      </c>
      <c r="F36" s="43">
        <v>282</v>
      </c>
      <c r="G36" s="43">
        <v>266</v>
      </c>
      <c r="H36" s="43">
        <v>299</v>
      </c>
      <c r="I36" s="43">
        <v>399</v>
      </c>
      <c r="J36" s="43">
        <v>373</v>
      </c>
      <c r="K36" s="43">
        <v>914</v>
      </c>
      <c r="L36" s="43">
        <v>823</v>
      </c>
      <c r="M36" s="43">
        <v>1068</v>
      </c>
      <c r="N36" s="43">
        <v>808</v>
      </c>
      <c r="O36" s="43">
        <v>605</v>
      </c>
      <c r="P36" s="43">
        <v>316</v>
      </c>
      <c r="Q36" s="43">
        <v>280</v>
      </c>
      <c r="R36" s="43">
        <v>332</v>
      </c>
      <c r="S36" s="43">
        <v>399</v>
      </c>
      <c r="T36" s="43">
        <v>406</v>
      </c>
      <c r="U36" s="43">
        <v>260</v>
      </c>
      <c r="V36" s="43">
        <v>311</v>
      </c>
      <c r="W36" s="43">
        <v>307</v>
      </c>
      <c r="X36" s="43">
        <v>281</v>
      </c>
      <c r="Y36" s="43">
        <v>493</v>
      </c>
      <c r="Z36" s="43">
        <v>653</v>
      </c>
      <c r="AA36" s="33">
        <v>389</v>
      </c>
      <c r="AB36" s="33">
        <v>690</v>
      </c>
      <c r="AC36" s="33">
        <v>490</v>
      </c>
      <c r="AD36" s="10" t="s">
        <v>19</v>
      </c>
    </row>
    <row r="37" spans="2:30" ht="11.1" customHeight="1" x14ac:dyDescent="0.25">
      <c r="B37" s="58" t="s">
        <v>55</v>
      </c>
      <c r="C37" s="22" t="s">
        <v>6</v>
      </c>
      <c r="D37" s="43">
        <v>165106</v>
      </c>
      <c r="E37" s="43">
        <v>182986</v>
      </c>
      <c r="F37" s="43">
        <v>206986</v>
      </c>
      <c r="G37" s="43">
        <v>206779</v>
      </c>
      <c r="H37" s="43">
        <v>195219</v>
      </c>
      <c r="I37" s="43">
        <v>182536</v>
      </c>
      <c r="J37" s="43">
        <v>182959</v>
      </c>
      <c r="K37" s="43">
        <v>192674</v>
      </c>
      <c r="L37" s="43">
        <v>218684</v>
      </c>
      <c r="M37" s="43">
        <v>205967</v>
      </c>
      <c r="N37" s="43">
        <v>219285</v>
      </c>
      <c r="O37" s="43">
        <v>199489</v>
      </c>
      <c r="P37" s="43">
        <v>195440</v>
      </c>
      <c r="Q37" s="43">
        <v>208928</v>
      </c>
      <c r="R37" s="43">
        <v>198105</v>
      </c>
      <c r="S37" s="43">
        <v>210410</v>
      </c>
      <c r="T37" s="43">
        <v>240204</v>
      </c>
      <c r="U37" s="43">
        <v>264653</v>
      </c>
      <c r="V37" s="43">
        <v>253107</v>
      </c>
      <c r="W37" s="43">
        <v>264049</v>
      </c>
      <c r="X37" s="43">
        <v>276686</v>
      </c>
      <c r="Y37" s="43">
        <v>232140</v>
      </c>
      <c r="Z37" s="43">
        <v>199625</v>
      </c>
      <c r="AA37" s="33">
        <v>196194</v>
      </c>
      <c r="AB37" s="33">
        <v>203030</v>
      </c>
      <c r="AC37" s="33">
        <v>214288</v>
      </c>
      <c r="AD37" s="10" t="s">
        <v>19</v>
      </c>
    </row>
    <row r="38" spans="2:30" ht="11.1" customHeight="1" x14ac:dyDescent="0.25">
      <c r="B38" s="332" t="s">
        <v>405</v>
      </c>
      <c r="C38" s="332"/>
      <c r="D38" s="332"/>
      <c r="E38" s="332"/>
      <c r="F38" s="332"/>
      <c r="G38" s="332"/>
      <c r="H38" s="332"/>
      <c r="I38" s="332"/>
      <c r="J38" s="332"/>
      <c r="K38" s="332"/>
      <c r="L38" s="332"/>
      <c r="M38" s="332"/>
      <c r="N38" s="332"/>
      <c r="O38" s="332"/>
      <c r="P38" s="332"/>
      <c r="Q38" s="332"/>
      <c r="R38" s="332"/>
      <c r="S38" s="332"/>
      <c r="T38" s="332"/>
      <c r="U38" s="332"/>
      <c r="V38" s="332"/>
      <c r="W38" s="332"/>
      <c r="X38" s="332"/>
      <c r="Y38" s="332"/>
      <c r="Z38" s="348"/>
      <c r="AA38" s="33"/>
      <c r="AB38" s="33"/>
      <c r="AC38" s="33"/>
      <c r="AD38" s="33"/>
    </row>
    <row r="39" spans="2:30" ht="11.25" customHeight="1" x14ac:dyDescent="0.25">
      <c r="B39" s="243" t="s">
        <v>406</v>
      </c>
      <c r="C39" s="22" t="s">
        <v>6</v>
      </c>
      <c r="D39" s="43">
        <v>160</v>
      </c>
      <c r="E39" s="43">
        <v>304</v>
      </c>
      <c r="F39" s="43">
        <v>196</v>
      </c>
      <c r="G39" s="43">
        <v>282</v>
      </c>
      <c r="H39" s="43">
        <v>533</v>
      </c>
      <c r="I39" s="43">
        <v>480</v>
      </c>
      <c r="J39" s="43">
        <v>587</v>
      </c>
      <c r="K39" s="43">
        <v>282</v>
      </c>
      <c r="L39" s="43">
        <v>633</v>
      </c>
      <c r="M39" s="43">
        <v>559</v>
      </c>
      <c r="N39" s="43">
        <v>606</v>
      </c>
      <c r="O39" s="43">
        <v>645</v>
      </c>
      <c r="P39" s="43">
        <v>1032</v>
      </c>
      <c r="Q39" s="43">
        <v>343</v>
      </c>
      <c r="R39" s="43">
        <v>380</v>
      </c>
      <c r="S39" s="43">
        <v>430</v>
      </c>
      <c r="T39" s="43">
        <v>450</v>
      </c>
      <c r="U39" s="43">
        <v>200</v>
      </c>
      <c r="V39" s="43">
        <v>130</v>
      </c>
      <c r="W39" s="43">
        <v>900</v>
      </c>
      <c r="X39" s="43">
        <v>74</v>
      </c>
      <c r="Y39" s="43">
        <v>126</v>
      </c>
      <c r="Z39" s="43">
        <v>80</v>
      </c>
      <c r="AA39" s="33">
        <v>200</v>
      </c>
      <c r="AB39" s="33">
        <v>150</v>
      </c>
      <c r="AC39" s="33">
        <v>140</v>
      </c>
      <c r="AD39" s="10" t="s">
        <v>19</v>
      </c>
    </row>
    <row r="40" spans="2:30" ht="11.25" customHeight="1" x14ac:dyDescent="0.25">
      <c r="B40" s="243" t="s">
        <v>327</v>
      </c>
      <c r="C40" s="22" t="s">
        <v>6</v>
      </c>
      <c r="D40" s="43">
        <v>231</v>
      </c>
      <c r="E40" s="43">
        <v>156</v>
      </c>
      <c r="F40" s="43">
        <v>172</v>
      </c>
      <c r="G40" s="43">
        <v>95</v>
      </c>
      <c r="H40" s="43">
        <v>93</v>
      </c>
      <c r="I40" s="43">
        <v>153</v>
      </c>
      <c r="J40" s="43">
        <v>306</v>
      </c>
      <c r="K40" s="43">
        <v>36</v>
      </c>
      <c r="L40" s="43">
        <v>89</v>
      </c>
      <c r="M40" s="43" t="s">
        <v>19</v>
      </c>
      <c r="N40" s="43" t="s">
        <v>19</v>
      </c>
      <c r="O40" s="43" t="s">
        <v>19</v>
      </c>
      <c r="P40" s="43" t="s">
        <v>19</v>
      </c>
      <c r="Q40" s="43" t="s">
        <v>19</v>
      </c>
      <c r="R40" s="43" t="s">
        <v>19</v>
      </c>
      <c r="S40" s="43" t="s">
        <v>19</v>
      </c>
      <c r="T40" s="43" t="s">
        <v>19</v>
      </c>
      <c r="U40" s="43" t="s">
        <v>19</v>
      </c>
      <c r="V40" s="43" t="s">
        <v>19</v>
      </c>
      <c r="W40" s="43" t="s">
        <v>19</v>
      </c>
      <c r="X40" s="43" t="s">
        <v>19</v>
      </c>
      <c r="Y40" s="43" t="s">
        <v>19</v>
      </c>
      <c r="Z40" s="43" t="s">
        <v>19</v>
      </c>
      <c r="AA40" s="33" t="s">
        <v>19</v>
      </c>
      <c r="AB40" s="33" t="s">
        <v>19</v>
      </c>
      <c r="AC40" s="33" t="s">
        <v>19</v>
      </c>
      <c r="AD40" s="10" t="s">
        <v>19</v>
      </c>
    </row>
    <row r="41" spans="2:30" ht="11.1" customHeight="1" x14ac:dyDescent="0.25">
      <c r="B41" s="243" t="s">
        <v>401</v>
      </c>
      <c r="C41" s="22" t="s">
        <v>6</v>
      </c>
      <c r="D41" s="43">
        <v>5489</v>
      </c>
      <c r="E41" s="43">
        <v>9389</v>
      </c>
      <c r="F41" s="43">
        <v>11011</v>
      </c>
      <c r="G41" s="43">
        <v>13303</v>
      </c>
      <c r="H41" s="43">
        <v>15116</v>
      </c>
      <c r="I41" s="43">
        <v>21152</v>
      </c>
      <c r="J41" s="43">
        <v>19995</v>
      </c>
      <c r="K41" s="43">
        <v>23879</v>
      </c>
      <c r="L41" s="43">
        <v>37841</v>
      </c>
      <c r="M41" s="43">
        <v>30132</v>
      </c>
      <c r="N41" s="43">
        <v>32231</v>
      </c>
      <c r="O41" s="43">
        <v>35471</v>
      </c>
      <c r="P41" s="43">
        <v>35205</v>
      </c>
      <c r="Q41" s="43">
        <v>30970</v>
      </c>
      <c r="R41" s="43">
        <v>35000</v>
      </c>
      <c r="S41" s="43">
        <v>32080</v>
      </c>
      <c r="T41" s="43">
        <v>28390</v>
      </c>
      <c r="U41" s="43">
        <v>30950</v>
      </c>
      <c r="V41" s="43">
        <v>40070</v>
      </c>
      <c r="W41" s="43">
        <v>20160</v>
      </c>
      <c r="X41" s="43">
        <v>20451</v>
      </c>
      <c r="Y41" s="43">
        <v>24948</v>
      </c>
      <c r="Z41" s="43">
        <v>43750</v>
      </c>
      <c r="AA41" s="33">
        <v>47780</v>
      </c>
      <c r="AB41" s="33">
        <v>61460</v>
      </c>
      <c r="AC41" s="33">
        <v>57690</v>
      </c>
      <c r="AD41" s="10" t="s">
        <v>19</v>
      </c>
    </row>
    <row r="42" spans="2:30" ht="11.1" customHeight="1" x14ac:dyDescent="0.25">
      <c r="B42" s="243" t="s">
        <v>407</v>
      </c>
      <c r="C42" s="22" t="s">
        <v>6</v>
      </c>
      <c r="D42" s="43">
        <v>166700</v>
      </c>
      <c r="E42" s="43">
        <v>202000</v>
      </c>
      <c r="F42" s="43">
        <v>263793</v>
      </c>
      <c r="G42" s="43">
        <v>260500</v>
      </c>
      <c r="H42" s="43">
        <v>267342</v>
      </c>
      <c r="I42" s="43">
        <v>243217</v>
      </c>
      <c r="J42" s="43">
        <v>139955</v>
      </c>
      <c r="K42" s="43">
        <v>155795</v>
      </c>
      <c r="L42" s="43">
        <v>137650</v>
      </c>
      <c r="M42" s="43">
        <v>186742</v>
      </c>
      <c r="N42" s="43">
        <v>157777</v>
      </c>
      <c r="O42" s="43">
        <v>102175</v>
      </c>
      <c r="P42" s="43">
        <v>114500</v>
      </c>
      <c r="Q42" s="43">
        <v>150000</v>
      </c>
      <c r="R42" s="43">
        <v>153500</v>
      </c>
      <c r="S42" s="43">
        <v>122400</v>
      </c>
      <c r="T42" s="43">
        <v>130670</v>
      </c>
      <c r="U42" s="43">
        <v>126870</v>
      </c>
      <c r="V42" s="43">
        <v>115000</v>
      </c>
      <c r="W42" s="43">
        <v>126000</v>
      </c>
      <c r="X42" s="43">
        <v>129000</v>
      </c>
      <c r="Y42" s="43">
        <v>137000</v>
      </c>
      <c r="Z42" s="43">
        <v>91000</v>
      </c>
      <c r="AA42" s="33">
        <v>110400</v>
      </c>
      <c r="AB42" s="33">
        <v>120000</v>
      </c>
      <c r="AC42" s="33">
        <v>76970</v>
      </c>
      <c r="AD42" s="10" t="s">
        <v>19</v>
      </c>
    </row>
    <row r="43" spans="2:30" ht="11.1" customHeight="1" x14ac:dyDescent="0.25">
      <c r="B43" s="243" t="s">
        <v>75</v>
      </c>
      <c r="C43" s="22" t="s">
        <v>6</v>
      </c>
      <c r="D43" s="43">
        <v>3192</v>
      </c>
      <c r="E43" s="43">
        <v>3330</v>
      </c>
      <c r="F43" s="43">
        <v>2743</v>
      </c>
      <c r="G43" s="43">
        <v>2653</v>
      </c>
      <c r="H43" s="43">
        <v>6166</v>
      </c>
      <c r="I43" s="43">
        <v>2255</v>
      </c>
      <c r="J43" s="43">
        <v>2265</v>
      </c>
      <c r="K43" s="43">
        <v>3370</v>
      </c>
      <c r="L43" s="43">
        <v>3727</v>
      </c>
      <c r="M43" s="43">
        <v>4513</v>
      </c>
      <c r="N43" s="43" t="s">
        <v>19</v>
      </c>
      <c r="O43" s="43" t="s">
        <v>19</v>
      </c>
      <c r="P43" s="43" t="s">
        <v>19</v>
      </c>
      <c r="Q43" s="43" t="s">
        <v>19</v>
      </c>
      <c r="R43" s="43" t="s">
        <v>19</v>
      </c>
      <c r="S43" s="43" t="s">
        <v>19</v>
      </c>
      <c r="T43" s="43" t="s">
        <v>19</v>
      </c>
      <c r="U43" s="43" t="s">
        <v>19</v>
      </c>
      <c r="V43" s="43" t="s">
        <v>19</v>
      </c>
      <c r="W43" s="43" t="s">
        <v>19</v>
      </c>
      <c r="X43" s="43" t="s">
        <v>19</v>
      </c>
      <c r="Y43" s="43" t="s">
        <v>19</v>
      </c>
      <c r="Z43" s="43" t="s">
        <v>19</v>
      </c>
      <c r="AA43" s="33" t="s">
        <v>19</v>
      </c>
      <c r="AB43" s="33" t="s">
        <v>19</v>
      </c>
      <c r="AC43" s="33" t="s">
        <v>19</v>
      </c>
      <c r="AD43" s="10" t="s">
        <v>19</v>
      </c>
    </row>
    <row r="44" spans="2:30" ht="11.1" customHeight="1" x14ac:dyDescent="0.25">
      <c r="B44" s="243" t="s">
        <v>402</v>
      </c>
      <c r="C44" s="22" t="s">
        <v>6</v>
      </c>
      <c r="D44" s="43">
        <v>101</v>
      </c>
      <c r="E44" s="43">
        <v>49</v>
      </c>
      <c r="F44" s="43">
        <v>176</v>
      </c>
      <c r="G44" s="43">
        <v>192</v>
      </c>
      <c r="H44" s="43">
        <v>156</v>
      </c>
      <c r="I44" s="43">
        <v>330</v>
      </c>
      <c r="J44" s="43">
        <v>545</v>
      </c>
      <c r="K44" s="43">
        <v>356</v>
      </c>
      <c r="L44" s="43">
        <v>291</v>
      </c>
      <c r="M44" s="43" t="s">
        <v>19</v>
      </c>
      <c r="N44" s="43" t="s">
        <v>19</v>
      </c>
      <c r="O44" s="43" t="s">
        <v>19</v>
      </c>
      <c r="P44" s="43" t="s">
        <v>19</v>
      </c>
      <c r="Q44" s="43" t="s">
        <v>19</v>
      </c>
      <c r="R44" s="43" t="s">
        <v>19</v>
      </c>
      <c r="S44" s="43" t="s">
        <v>19</v>
      </c>
      <c r="T44" s="43" t="s">
        <v>19</v>
      </c>
      <c r="U44" s="43" t="s">
        <v>19</v>
      </c>
      <c r="V44" s="43" t="s">
        <v>19</v>
      </c>
      <c r="W44" s="43" t="s">
        <v>19</v>
      </c>
      <c r="X44" s="43" t="s">
        <v>19</v>
      </c>
      <c r="Y44" s="43" t="s">
        <v>19</v>
      </c>
      <c r="Z44" s="43" t="s">
        <v>19</v>
      </c>
      <c r="AA44" s="33" t="s">
        <v>19</v>
      </c>
      <c r="AB44" s="33" t="s">
        <v>19</v>
      </c>
      <c r="AC44" s="33" t="s">
        <v>19</v>
      </c>
      <c r="AD44" s="10" t="s">
        <v>19</v>
      </c>
    </row>
    <row r="45" spans="2:30" ht="11.45" customHeight="1" x14ac:dyDescent="0.25">
      <c r="B45" s="243" t="s">
        <v>408</v>
      </c>
      <c r="C45" s="22" t="s">
        <v>6</v>
      </c>
      <c r="D45" s="43">
        <v>856</v>
      </c>
      <c r="E45" s="43">
        <v>2000</v>
      </c>
      <c r="F45" s="43">
        <v>2677</v>
      </c>
      <c r="G45" s="43">
        <v>1901</v>
      </c>
      <c r="H45" s="43">
        <v>3080</v>
      </c>
      <c r="I45" s="43">
        <v>3155</v>
      </c>
      <c r="J45" s="43">
        <v>5318</v>
      </c>
      <c r="K45" s="43">
        <v>8222</v>
      </c>
      <c r="L45" s="43">
        <v>7155</v>
      </c>
      <c r="M45" s="43">
        <v>5151</v>
      </c>
      <c r="N45" s="43">
        <v>8121</v>
      </c>
      <c r="O45" s="43">
        <v>10341</v>
      </c>
      <c r="P45" s="43">
        <v>10842</v>
      </c>
      <c r="Q45" s="43">
        <v>6410</v>
      </c>
      <c r="R45" s="43">
        <v>8600</v>
      </c>
      <c r="S45" s="43">
        <v>10890</v>
      </c>
      <c r="T45" s="43">
        <v>11400</v>
      </c>
      <c r="U45" s="43">
        <v>14730</v>
      </c>
      <c r="V45" s="43">
        <v>13610</v>
      </c>
      <c r="W45" s="43">
        <v>14240</v>
      </c>
      <c r="X45" s="43">
        <v>13817</v>
      </c>
      <c r="Y45" s="43">
        <v>11972</v>
      </c>
      <c r="Z45" s="43">
        <v>18470</v>
      </c>
      <c r="AA45" s="33">
        <v>15370</v>
      </c>
      <c r="AB45" s="33">
        <v>11180</v>
      </c>
      <c r="AC45" s="33">
        <v>12280</v>
      </c>
      <c r="AD45" s="10" t="s">
        <v>19</v>
      </c>
    </row>
    <row r="46" spans="2:30" ht="11.1" customHeight="1" x14ac:dyDescent="0.25">
      <c r="B46" s="244" t="s">
        <v>57</v>
      </c>
      <c r="C46" s="22" t="s">
        <v>6</v>
      </c>
      <c r="D46" s="43">
        <v>183</v>
      </c>
      <c r="E46" s="43">
        <v>173</v>
      </c>
      <c r="F46" s="43">
        <v>260</v>
      </c>
      <c r="G46" s="43">
        <v>371</v>
      </c>
      <c r="H46" s="43">
        <v>466</v>
      </c>
      <c r="I46" s="43">
        <v>697</v>
      </c>
      <c r="J46" s="43">
        <v>657</v>
      </c>
      <c r="K46" s="43">
        <v>950</v>
      </c>
      <c r="L46" s="43">
        <v>1914</v>
      </c>
      <c r="M46" s="43">
        <v>2591</v>
      </c>
      <c r="N46" s="43">
        <v>2519</v>
      </c>
      <c r="O46" s="43">
        <v>2530</v>
      </c>
      <c r="P46" s="43">
        <v>2425</v>
      </c>
      <c r="Q46" s="43">
        <v>2677</v>
      </c>
      <c r="R46" s="43">
        <v>2940</v>
      </c>
      <c r="S46" s="43">
        <v>3450</v>
      </c>
      <c r="T46" s="43">
        <v>3070</v>
      </c>
      <c r="U46" s="43">
        <v>4400</v>
      </c>
      <c r="V46" s="43">
        <v>3880</v>
      </c>
      <c r="W46" s="43">
        <v>3980</v>
      </c>
      <c r="X46" s="43">
        <v>3796</v>
      </c>
      <c r="Y46" s="43">
        <v>3472</v>
      </c>
      <c r="Z46" s="43">
        <v>3690</v>
      </c>
      <c r="AA46" s="33">
        <v>4650</v>
      </c>
      <c r="AB46" s="33">
        <v>5100</v>
      </c>
      <c r="AC46" s="33">
        <v>4620</v>
      </c>
      <c r="AD46" s="10" t="s">
        <v>19</v>
      </c>
    </row>
    <row r="47" spans="2:30" ht="12" customHeight="1" x14ac:dyDescent="0.25">
      <c r="B47" s="243" t="s">
        <v>409</v>
      </c>
      <c r="C47" s="22" t="s">
        <v>6</v>
      </c>
      <c r="D47" s="43">
        <v>3259</v>
      </c>
      <c r="E47" s="43">
        <v>2828</v>
      </c>
      <c r="F47" s="43">
        <v>4322</v>
      </c>
      <c r="G47" s="43">
        <v>3375</v>
      </c>
      <c r="H47" s="43">
        <v>8769</v>
      </c>
      <c r="I47" s="43">
        <v>7534</v>
      </c>
      <c r="J47" s="43">
        <v>17015</v>
      </c>
      <c r="K47" s="43">
        <v>17591</v>
      </c>
      <c r="L47" s="43">
        <v>18514</v>
      </c>
      <c r="M47" s="43">
        <v>32439</v>
      </c>
      <c r="N47" s="43">
        <v>44602</v>
      </c>
      <c r="O47" s="43">
        <v>42290</v>
      </c>
      <c r="P47" s="43">
        <v>52704</v>
      </c>
      <c r="Q47" s="43">
        <v>38118</v>
      </c>
      <c r="R47" s="43">
        <v>42320</v>
      </c>
      <c r="S47" s="43">
        <v>12120</v>
      </c>
      <c r="T47" s="43">
        <v>53500</v>
      </c>
      <c r="U47" s="43">
        <v>74370</v>
      </c>
      <c r="V47" s="43">
        <v>57850</v>
      </c>
      <c r="W47" s="43">
        <v>40380</v>
      </c>
      <c r="X47" s="43">
        <v>44565</v>
      </c>
      <c r="Y47" s="43">
        <v>51461</v>
      </c>
      <c r="Z47" s="43">
        <v>43100</v>
      </c>
      <c r="AA47" s="33">
        <v>59500</v>
      </c>
      <c r="AB47" s="33">
        <v>69160</v>
      </c>
      <c r="AC47" s="33">
        <v>60860</v>
      </c>
      <c r="AD47" s="10" t="s">
        <v>19</v>
      </c>
    </row>
    <row r="48" spans="2:30" ht="11.1" customHeight="1" x14ac:dyDescent="0.25">
      <c r="B48" s="245" t="s">
        <v>13</v>
      </c>
      <c r="C48" s="45" t="s">
        <v>6</v>
      </c>
      <c r="D48" s="43">
        <v>180171</v>
      </c>
      <c r="E48" s="43">
        <v>220229</v>
      </c>
      <c r="F48" s="43">
        <v>285350</v>
      </c>
      <c r="G48" s="46">
        <v>282672</v>
      </c>
      <c r="H48" s="46">
        <v>301721</v>
      </c>
      <c r="I48" s="46">
        <v>278973</v>
      </c>
      <c r="J48" s="46">
        <v>186643</v>
      </c>
      <c r="K48" s="46">
        <v>210482</v>
      </c>
      <c r="L48" s="46">
        <v>207815</v>
      </c>
      <c r="M48" s="46">
        <v>262128</v>
      </c>
      <c r="N48" s="46">
        <v>245855</v>
      </c>
      <c r="O48" s="46">
        <v>193452</v>
      </c>
      <c r="P48" s="46">
        <v>216708</v>
      </c>
      <c r="Q48" s="46">
        <v>228519</v>
      </c>
      <c r="R48" s="46">
        <v>242740</v>
      </c>
      <c r="S48" s="46">
        <v>181370</v>
      </c>
      <c r="T48" s="46">
        <v>227480</v>
      </c>
      <c r="U48" s="46">
        <v>251520</v>
      </c>
      <c r="V48" s="46">
        <v>230540</v>
      </c>
      <c r="W48" s="46">
        <v>205660</v>
      </c>
      <c r="X48" s="46">
        <v>211703</v>
      </c>
      <c r="Y48" s="46">
        <v>228979</v>
      </c>
      <c r="Z48" s="46">
        <v>200090</v>
      </c>
      <c r="AA48" s="33">
        <v>237900</v>
      </c>
      <c r="AB48" s="33">
        <v>267050</v>
      </c>
      <c r="AC48" s="33">
        <v>212560</v>
      </c>
      <c r="AD48" s="10" t="s">
        <v>19</v>
      </c>
    </row>
    <row r="49" spans="2:30" ht="11.1" customHeight="1" thickBot="1" x14ac:dyDescent="0.3">
      <c r="B49" s="239" t="s">
        <v>403</v>
      </c>
      <c r="C49" s="36" t="s">
        <v>6</v>
      </c>
      <c r="D49" s="192">
        <v>345277</v>
      </c>
      <c r="E49" s="192">
        <v>403215</v>
      </c>
      <c r="F49" s="192">
        <v>492336</v>
      </c>
      <c r="G49" s="38">
        <v>489451</v>
      </c>
      <c r="H49" s="38">
        <v>496940</v>
      </c>
      <c r="I49" s="38">
        <v>461509</v>
      </c>
      <c r="J49" s="38">
        <v>369602</v>
      </c>
      <c r="K49" s="38">
        <v>403156</v>
      </c>
      <c r="L49" s="38">
        <v>426499</v>
      </c>
      <c r="M49" s="38">
        <v>468095</v>
      </c>
      <c r="N49" s="38">
        <v>465140</v>
      </c>
      <c r="O49" s="38">
        <v>392941</v>
      </c>
      <c r="P49" s="38">
        <v>412148</v>
      </c>
      <c r="Q49" s="38">
        <v>437447</v>
      </c>
      <c r="R49" s="38">
        <v>440845</v>
      </c>
      <c r="S49" s="38">
        <v>391780</v>
      </c>
      <c r="T49" s="38">
        <v>467684</v>
      </c>
      <c r="U49" s="38">
        <v>516173</v>
      </c>
      <c r="V49" s="38">
        <v>483647</v>
      </c>
      <c r="W49" s="38">
        <v>469709</v>
      </c>
      <c r="X49" s="38">
        <v>488389</v>
      </c>
      <c r="Y49" s="38">
        <v>461119</v>
      </c>
      <c r="Z49" s="38">
        <v>399715</v>
      </c>
      <c r="AA49" s="39">
        <v>434094</v>
      </c>
      <c r="AB49" s="39">
        <v>470080</v>
      </c>
      <c r="AC49" s="39">
        <v>426848</v>
      </c>
      <c r="AD49" s="298" t="s">
        <v>19</v>
      </c>
    </row>
    <row r="50" spans="2:30" ht="11.1" customHeight="1" thickTop="1" x14ac:dyDescent="0.25">
      <c r="B50" s="363" t="s">
        <v>59</v>
      </c>
      <c r="C50" s="363"/>
      <c r="D50" s="363"/>
      <c r="E50" s="363"/>
      <c r="F50" s="363"/>
      <c r="G50" s="363"/>
      <c r="H50" s="363"/>
      <c r="I50" s="363"/>
      <c r="J50" s="363"/>
      <c r="K50" s="363"/>
      <c r="L50" s="363"/>
      <c r="M50" s="363"/>
      <c r="N50" s="363"/>
      <c r="O50" s="363"/>
      <c r="P50" s="363"/>
      <c r="Q50" s="363"/>
      <c r="R50" s="363"/>
      <c r="S50" s="363"/>
      <c r="T50" s="363"/>
      <c r="U50" s="364"/>
      <c r="V50" s="364"/>
      <c r="W50" s="364"/>
      <c r="X50" s="364"/>
      <c r="Y50" s="364"/>
      <c r="Z50" s="364"/>
      <c r="AA50" s="29"/>
      <c r="AB50" s="29"/>
      <c r="AC50" s="33"/>
      <c r="AD50" s="33"/>
    </row>
    <row r="51" spans="2:30" ht="11.1" customHeight="1" x14ac:dyDescent="0.25">
      <c r="B51" s="360" t="s">
        <v>36</v>
      </c>
      <c r="C51" s="360"/>
      <c r="D51" s="360"/>
      <c r="E51" s="360"/>
      <c r="F51" s="360"/>
      <c r="G51" s="360"/>
      <c r="H51" s="360"/>
      <c r="I51" s="360"/>
      <c r="J51" s="360"/>
      <c r="K51" s="360"/>
      <c r="L51" s="360"/>
      <c r="M51" s="360"/>
      <c r="N51" s="360"/>
      <c r="O51" s="360"/>
      <c r="P51" s="360"/>
      <c r="Q51" s="360"/>
      <c r="R51" s="360"/>
      <c r="S51" s="360"/>
      <c r="T51" s="360"/>
      <c r="U51" s="361"/>
      <c r="V51" s="361"/>
      <c r="W51" s="361"/>
      <c r="X51" s="361"/>
      <c r="Y51" s="361"/>
      <c r="Z51" s="361"/>
      <c r="AA51" s="30"/>
      <c r="AB51" s="30"/>
      <c r="AC51" s="33"/>
      <c r="AD51" s="33"/>
    </row>
    <row r="52" spans="2:30" ht="11.1" customHeight="1" x14ac:dyDescent="0.25">
      <c r="B52" s="243" t="s">
        <v>87</v>
      </c>
      <c r="C52" s="22" t="s">
        <v>35</v>
      </c>
      <c r="D52" s="43">
        <v>2761</v>
      </c>
      <c r="E52" s="22">
        <v>2416</v>
      </c>
      <c r="F52" s="43">
        <v>2988</v>
      </c>
      <c r="G52" s="43">
        <v>2610</v>
      </c>
      <c r="H52" s="43">
        <v>1740</v>
      </c>
      <c r="I52" s="43">
        <v>2126</v>
      </c>
      <c r="J52" s="43">
        <v>2173</v>
      </c>
      <c r="K52" s="43">
        <v>2070</v>
      </c>
      <c r="L52" s="43">
        <v>2233</v>
      </c>
      <c r="M52" s="43">
        <v>2316</v>
      </c>
      <c r="N52" s="43">
        <v>2188</v>
      </c>
      <c r="O52" s="43">
        <v>2669</v>
      </c>
      <c r="P52" s="43">
        <v>2293</v>
      </c>
      <c r="Q52" s="43">
        <v>1965</v>
      </c>
      <c r="R52" s="43">
        <v>1881</v>
      </c>
      <c r="S52" s="43">
        <v>1805</v>
      </c>
      <c r="T52" s="43">
        <v>2097</v>
      </c>
      <c r="U52" s="43">
        <v>2574</v>
      </c>
      <c r="V52" s="43">
        <v>2429</v>
      </c>
      <c r="W52" s="43">
        <v>2577</v>
      </c>
      <c r="X52" s="43">
        <v>2413</v>
      </c>
      <c r="Y52" s="43">
        <v>1936</v>
      </c>
      <c r="Z52" s="43">
        <v>2018</v>
      </c>
      <c r="AA52" s="33">
        <v>1584</v>
      </c>
      <c r="AB52" s="33">
        <v>1766</v>
      </c>
      <c r="AC52" s="33">
        <v>1640</v>
      </c>
      <c r="AD52" s="10" t="s">
        <v>19</v>
      </c>
    </row>
    <row r="53" spans="2:30" ht="11.1" customHeight="1" x14ac:dyDescent="0.25">
      <c r="B53" s="243" t="s">
        <v>396</v>
      </c>
      <c r="C53" s="22" t="s">
        <v>35</v>
      </c>
      <c r="D53" s="43">
        <v>2729</v>
      </c>
      <c r="E53" s="22">
        <v>2719</v>
      </c>
      <c r="F53" s="43">
        <v>2563</v>
      </c>
      <c r="G53" s="43">
        <v>2392</v>
      </c>
      <c r="H53" s="43">
        <v>2361</v>
      </c>
      <c r="I53" s="43">
        <v>2400</v>
      </c>
      <c r="J53" s="43">
        <v>2343</v>
      </c>
      <c r="K53" s="43">
        <v>2365</v>
      </c>
      <c r="L53" s="43">
        <v>2385</v>
      </c>
      <c r="M53" s="43">
        <v>2309</v>
      </c>
      <c r="N53" s="43">
        <v>1810</v>
      </c>
      <c r="O53" s="43">
        <v>1554</v>
      </c>
      <c r="P53" s="43">
        <v>1557</v>
      </c>
      <c r="Q53" s="43">
        <v>1550</v>
      </c>
      <c r="R53" s="43">
        <v>1552</v>
      </c>
      <c r="S53" s="43">
        <v>1577</v>
      </c>
      <c r="T53" s="43">
        <v>1563</v>
      </c>
      <c r="U53" s="43">
        <v>1592</v>
      </c>
      <c r="V53" s="43">
        <v>1559</v>
      </c>
      <c r="W53" s="43">
        <v>1554</v>
      </c>
      <c r="X53" s="43">
        <v>1539</v>
      </c>
      <c r="Y53" s="43">
        <v>1430</v>
      </c>
      <c r="Z53" s="43">
        <v>1526</v>
      </c>
      <c r="AA53" s="33">
        <v>1619</v>
      </c>
      <c r="AB53" s="33">
        <v>1597</v>
      </c>
      <c r="AC53" s="33">
        <v>1625</v>
      </c>
      <c r="AD53" s="10" t="s">
        <v>19</v>
      </c>
    </row>
    <row r="54" spans="2:30" ht="11.1" customHeight="1" x14ac:dyDescent="0.25">
      <c r="B54" s="243" t="s">
        <v>265</v>
      </c>
      <c r="C54" s="22" t="s">
        <v>35</v>
      </c>
      <c r="D54" s="43">
        <v>669</v>
      </c>
      <c r="E54" s="22">
        <v>646</v>
      </c>
      <c r="F54" s="43">
        <v>739</v>
      </c>
      <c r="G54" s="43">
        <v>705</v>
      </c>
      <c r="H54" s="43">
        <v>706</v>
      </c>
      <c r="I54" s="43">
        <v>707</v>
      </c>
      <c r="J54" s="43">
        <v>780</v>
      </c>
      <c r="K54" s="43">
        <v>791</v>
      </c>
      <c r="L54" s="43">
        <v>720</v>
      </c>
      <c r="M54" s="43">
        <v>732</v>
      </c>
      <c r="N54" s="43">
        <v>756</v>
      </c>
      <c r="O54" s="43">
        <v>663</v>
      </c>
      <c r="P54" s="43">
        <v>710</v>
      </c>
      <c r="Q54" s="43">
        <v>748</v>
      </c>
      <c r="R54" s="43">
        <v>652</v>
      </c>
      <c r="S54" s="43">
        <v>684</v>
      </c>
      <c r="T54" s="43">
        <v>668</v>
      </c>
      <c r="U54" s="43">
        <v>726</v>
      </c>
      <c r="V54" s="43">
        <v>724</v>
      </c>
      <c r="W54" s="43">
        <v>669</v>
      </c>
      <c r="X54" s="43">
        <v>728</v>
      </c>
      <c r="Y54" s="43">
        <v>737</v>
      </c>
      <c r="Z54" s="43">
        <v>743</v>
      </c>
      <c r="AA54" s="33">
        <v>646</v>
      </c>
      <c r="AB54" s="33">
        <v>690</v>
      </c>
      <c r="AC54" s="33">
        <v>674</v>
      </c>
      <c r="AD54" s="10" t="s">
        <v>19</v>
      </c>
    </row>
    <row r="55" spans="2:30" ht="11.1" customHeight="1" x14ac:dyDescent="0.25">
      <c r="B55" s="243" t="s">
        <v>68</v>
      </c>
      <c r="C55" s="22" t="s">
        <v>35</v>
      </c>
      <c r="D55" s="43">
        <v>1</v>
      </c>
      <c r="E55" s="8">
        <v>0</v>
      </c>
      <c r="F55" s="43">
        <v>2</v>
      </c>
      <c r="G55" s="43">
        <v>0</v>
      </c>
      <c r="H55" s="43">
        <v>0</v>
      </c>
      <c r="I55" s="43">
        <v>21</v>
      </c>
      <c r="J55" s="43">
        <v>20</v>
      </c>
      <c r="K55" s="43">
        <v>19</v>
      </c>
      <c r="L55" s="43">
        <v>18</v>
      </c>
      <c r="M55" s="43">
        <v>18</v>
      </c>
      <c r="N55" s="43">
        <v>22</v>
      </c>
      <c r="O55" s="43">
        <v>19</v>
      </c>
      <c r="P55" s="43">
        <v>42</v>
      </c>
      <c r="Q55" s="43">
        <v>21</v>
      </c>
      <c r="R55" s="43">
        <v>22</v>
      </c>
      <c r="S55" s="43">
        <v>17</v>
      </c>
      <c r="T55" s="43">
        <v>17</v>
      </c>
      <c r="U55" s="43">
        <v>16</v>
      </c>
      <c r="V55" s="43">
        <v>17</v>
      </c>
      <c r="W55" s="43">
        <v>18</v>
      </c>
      <c r="X55" s="43">
        <v>18</v>
      </c>
      <c r="Y55" s="43">
        <v>3</v>
      </c>
      <c r="Z55" s="43">
        <v>4</v>
      </c>
      <c r="AA55" s="33">
        <v>5</v>
      </c>
      <c r="AB55" s="33">
        <v>3</v>
      </c>
      <c r="AC55" s="33">
        <v>4</v>
      </c>
      <c r="AD55" s="10" t="s">
        <v>19</v>
      </c>
    </row>
    <row r="56" spans="2:30" ht="11.1" customHeight="1" x14ac:dyDescent="0.25">
      <c r="B56" s="243" t="s">
        <v>13</v>
      </c>
      <c r="C56" s="22" t="s">
        <v>35</v>
      </c>
      <c r="D56" s="43">
        <v>6161</v>
      </c>
      <c r="E56" s="22">
        <v>5781</v>
      </c>
      <c r="F56" s="43">
        <v>6292</v>
      </c>
      <c r="G56" s="43">
        <v>5707</v>
      </c>
      <c r="H56" s="43">
        <v>4807</v>
      </c>
      <c r="I56" s="43">
        <v>5254</v>
      </c>
      <c r="J56" s="43">
        <v>5316</v>
      </c>
      <c r="K56" s="43">
        <v>5245</v>
      </c>
      <c r="L56" s="43">
        <v>5356</v>
      </c>
      <c r="M56" s="43">
        <v>5375</v>
      </c>
      <c r="N56" s="43">
        <v>4776</v>
      </c>
      <c r="O56" s="43">
        <v>4905</v>
      </c>
      <c r="P56" s="43">
        <v>4602</v>
      </c>
      <c r="Q56" s="43">
        <v>4284</v>
      </c>
      <c r="R56" s="43">
        <v>4107</v>
      </c>
      <c r="S56" s="43">
        <v>4083</v>
      </c>
      <c r="T56" s="43">
        <v>4345</v>
      </c>
      <c r="U56" s="43">
        <v>4908</v>
      </c>
      <c r="V56" s="43">
        <v>4729</v>
      </c>
      <c r="W56" s="43">
        <v>4818</v>
      </c>
      <c r="X56" s="43">
        <v>4698</v>
      </c>
      <c r="Y56" s="43">
        <v>4106</v>
      </c>
      <c r="Z56" s="43">
        <v>4292</v>
      </c>
      <c r="AA56" s="33">
        <v>3855</v>
      </c>
      <c r="AB56" s="33">
        <v>4056</v>
      </c>
      <c r="AC56" s="33">
        <v>3943</v>
      </c>
      <c r="AD56" s="10" t="s">
        <v>19</v>
      </c>
    </row>
    <row r="57" spans="2:30" ht="11.1" customHeight="1" x14ac:dyDescent="0.25">
      <c r="B57" s="332" t="s">
        <v>40</v>
      </c>
      <c r="C57" s="332"/>
      <c r="D57" s="332"/>
      <c r="E57" s="332"/>
      <c r="F57" s="332"/>
      <c r="G57" s="332"/>
      <c r="H57" s="332"/>
      <c r="I57" s="332"/>
      <c r="J57" s="332"/>
      <c r="K57" s="332"/>
      <c r="L57" s="332"/>
      <c r="M57" s="332"/>
      <c r="N57" s="332"/>
      <c r="O57" s="332"/>
      <c r="P57" s="332"/>
      <c r="Q57" s="332"/>
      <c r="R57" s="332"/>
      <c r="S57" s="332"/>
      <c r="T57" s="332"/>
      <c r="U57" s="332"/>
      <c r="V57" s="332"/>
      <c r="W57" s="332"/>
      <c r="X57" s="332"/>
      <c r="Y57" s="332"/>
      <c r="Z57" s="348"/>
      <c r="AA57" s="33"/>
      <c r="AB57" s="33"/>
      <c r="AC57" s="33"/>
      <c r="AD57" s="33"/>
    </row>
    <row r="58" spans="2:30" ht="11.1" customHeight="1" x14ac:dyDescent="0.25">
      <c r="B58" s="243" t="s">
        <v>41</v>
      </c>
      <c r="C58" s="22" t="s">
        <v>35</v>
      </c>
      <c r="D58" s="43">
        <v>933</v>
      </c>
      <c r="E58" s="43">
        <v>889</v>
      </c>
      <c r="F58" s="43">
        <v>867</v>
      </c>
      <c r="G58" s="43">
        <v>851</v>
      </c>
      <c r="H58" s="43">
        <v>890</v>
      </c>
      <c r="I58" s="43">
        <v>877</v>
      </c>
      <c r="J58" s="43">
        <v>902</v>
      </c>
      <c r="K58" s="43">
        <v>896</v>
      </c>
      <c r="L58" s="43">
        <v>883</v>
      </c>
      <c r="M58" s="43">
        <v>890</v>
      </c>
      <c r="N58" s="43">
        <v>838</v>
      </c>
      <c r="O58" s="43">
        <v>855</v>
      </c>
      <c r="P58" s="43">
        <v>816</v>
      </c>
      <c r="Q58" s="43">
        <v>823</v>
      </c>
      <c r="R58" s="43">
        <v>876</v>
      </c>
      <c r="S58" s="43">
        <v>662</v>
      </c>
      <c r="T58" s="43">
        <v>745</v>
      </c>
      <c r="U58" s="43">
        <v>626</v>
      </c>
      <c r="V58" s="43">
        <v>743</v>
      </c>
      <c r="W58" s="43">
        <v>700</v>
      </c>
      <c r="X58" s="43">
        <v>658</v>
      </c>
      <c r="Y58" s="43">
        <v>508</v>
      </c>
      <c r="Z58" s="43">
        <v>493</v>
      </c>
      <c r="AA58" s="33">
        <v>493</v>
      </c>
      <c r="AB58" s="33">
        <v>461</v>
      </c>
      <c r="AC58" s="33">
        <v>453</v>
      </c>
      <c r="AD58" s="10" t="s">
        <v>19</v>
      </c>
    </row>
    <row r="59" spans="2:30" ht="11.1" customHeight="1" x14ac:dyDescent="0.25">
      <c r="B59" s="243" t="s">
        <v>340</v>
      </c>
      <c r="C59" s="22" t="s">
        <v>35</v>
      </c>
      <c r="D59" s="43">
        <v>976</v>
      </c>
      <c r="E59" s="43">
        <v>1085</v>
      </c>
      <c r="F59" s="43">
        <v>1250</v>
      </c>
      <c r="G59" s="43">
        <v>1085</v>
      </c>
      <c r="H59" s="43">
        <v>1187</v>
      </c>
      <c r="I59" s="43">
        <v>1073</v>
      </c>
      <c r="J59" s="43">
        <v>1103</v>
      </c>
      <c r="K59" s="43">
        <v>1025</v>
      </c>
      <c r="L59" s="43">
        <v>994</v>
      </c>
      <c r="M59" s="43">
        <v>607</v>
      </c>
      <c r="N59" s="43">
        <v>469</v>
      </c>
      <c r="O59" s="43">
        <v>300</v>
      </c>
      <c r="P59" s="43">
        <v>300</v>
      </c>
      <c r="Q59" s="43">
        <v>374</v>
      </c>
      <c r="R59" s="43">
        <v>443</v>
      </c>
      <c r="S59" s="43">
        <v>444</v>
      </c>
      <c r="T59" s="43">
        <v>430</v>
      </c>
      <c r="U59" s="43">
        <v>492</v>
      </c>
      <c r="V59" s="43">
        <v>539</v>
      </c>
      <c r="W59" s="43">
        <v>646</v>
      </c>
      <c r="X59" s="43">
        <v>647</v>
      </c>
      <c r="Y59" s="43">
        <v>430</v>
      </c>
      <c r="Z59" s="43">
        <v>444</v>
      </c>
      <c r="AA59" s="33">
        <v>417</v>
      </c>
      <c r="AB59" s="33">
        <v>453</v>
      </c>
      <c r="AC59" s="33">
        <v>442</v>
      </c>
      <c r="AD59" s="10" t="s">
        <v>19</v>
      </c>
    </row>
    <row r="60" spans="2:30" ht="11.1" customHeight="1" x14ac:dyDescent="0.25">
      <c r="B60" s="243" t="s">
        <v>69</v>
      </c>
      <c r="C60" s="22" t="s">
        <v>35</v>
      </c>
      <c r="D60" s="43">
        <v>435</v>
      </c>
      <c r="E60" s="43">
        <v>400</v>
      </c>
      <c r="F60" s="43">
        <v>488</v>
      </c>
      <c r="G60" s="43">
        <v>340</v>
      </c>
      <c r="H60" s="43">
        <v>346</v>
      </c>
      <c r="I60" s="43">
        <v>302</v>
      </c>
      <c r="J60" s="43">
        <v>504</v>
      </c>
      <c r="K60" s="43">
        <v>311</v>
      </c>
      <c r="L60" s="43">
        <v>297</v>
      </c>
      <c r="M60" s="43">
        <v>303</v>
      </c>
      <c r="N60" s="43">
        <v>281</v>
      </c>
      <c r="O60" s="43">
        <v>399</v>
      </c>
      <c r="P60" s="43">
        <v>352</v>
      </c>
      <c r="Q60" s="43">
        <v>513</v>
      </c>
      <c r="R60" s="43">
        <v>459</v>
      </c>
      <c r="S60" s="43">
        <v>358</v>
      </c>
      <c r="T60" s="43">
        <v>462</v>
      </c>
      <c r="U60" s="43">
        <v>427</v>
      </c>
      <c r="V60" s="43">
        <v>443</v>
      </c>
      <c r="W60" s="43">
        <v>469</v>
      </c>
      <c r="X60" s="43">
        <v>359</v>
      </c>
      <c r="Y60" s="43">
        <v>401</v>
      </c>
      <c r="Z60" s="43">
        <v>400</v>
      </c>
      <c r="AA60" s="33">
        <v>324</v>
      </c>
      <c r="AB60" s="33">
        <v>361</v>
      </c>
      <c r="AC60" s="33">
        <v>333</v>
      </c>
      <c r="AD60" s="10" t="s">
        <v>19</v>
      </c>
    </row>
    <row r="61" spans="2:30" ht="11.1" customHeight="1" x14ac:dyDescent="0.25">
      <c r="B61" s="243" t="s">
        <v>70</v>
      </c>
      <c r="C61" s="22" t="s">
        <v>35</v>
      </c>
      <c r="D61" s="43">
        <v>385</v>
      </c>
      <c r="E61" s="43">
        <v>425</v>
      </c>
      <c r="F61" s="43">
        <v>414</v>
      </c>
      <c r="G61" s="43">
        <v>392</v>
      </c>
      <c r="H61" s="43">
        <v>362</v>
      </c>
      <c r="I61" s="43">
        <v>449</v>
      </c>
      <c r="J61" s="43">
        <v>493</v>
      </c>
      <c r="K61" s="43">
        <v>504</v>
      </c>
      <c r="L61" s="43">
        <v>478</v>
      </c>
      <c r="M61" s="43">
        <v>477</v>
      </c>
      <c r="N61" s="43">
        <v>386</v>
      </c>
      <c r="O61" s="43">
        <v>237</v>
      </c>
      <c r="P61" s="43">
        <v>262</v>
      </c>
      <c r="Q61" s="43">
        <v>194</v>
      </c>
      <c r="R61" s="43">
        <v>172</v>
      </c>
      <c r="S61" s="43">
        <v>138</v>
      </c>
      <c r="T61" s="43">
        <v>159</v>
      </c>
      <c r="U61" s="43">
        <v>151</v>
      </c>
      <c r="V61" s="43">
        <v>209</v>
      </c>
      <c r="W61" s="43">
        <v>121</v>
      </c>
      <c r="X61" s="43">
        <v>130</v>
      </c>
      <c r="Y61" s="43">
        <v>116</v>
      </c>
      <c r="Z61" s="43">
        <v>143</v>
      </c>
      <c r="AA61" s="33">
        <v>141</v>
      </c>
      <c r="AB61" s="33">
        <v>114</v>
      </c>
      <c r="AC61" s="33">
        <v>121</v>
      </c>
      <c r="AD61" s="10" t="s">
        <v>19</v>
      </c>
    </row>
    <row r="62" spans="2:30" ht="11.1" customHeight="1" x14ac:dyDescent="0.25">
      <c r="B62" s="243" t="s">
        <v>13</v>
      </c>
      <c r="C62" s="22" t="s">
        <v>35</v>
      </c>
      <c r="D62" s="43">
        <v>2729</v>
      </c>
      <c r="E62" s="43">
        <v>2799</v>
      </c>
      <c r="F62" s="43">
        <v>3020</v>
      </c>
      <c r="G62" s="43">
        <v>2668</v>
      </c>
      <c r="H62" s="43">
        <v>2785</v>
      </c>
      <c r="I62" s="43">
        <v>2701</v>
      </c>
      <c r="J62" s="43">
        <v>3002</v>
      </c>
      <c r="K62" s="43">
        <v>2736</v>
      </c>
      <c r="L62" s="43">
        <v>2652</v>
      </c>
      <c r="M62" s="43">
        <v>2277</v>
      </c>
      <c r="N62" s="43">
        <v>1974</v>
      </c>
      <c r="O62" s="43">
        <v>1791</v>
      </c>
      <c r="P62" s="43">
        <v>1730</v>
      </c>
      <c r="Q62" s="43">
        <v>1904</v>
      </c>
      <c r="R62" s="43">
        <v>1950</v>
      </c>
      <c r="S62" s="43">
        <v>1602</v>
      </c>
      <c r="T62" s="43">
        <v>1796</v>
      </c>
      <c r="U62" s="43">
        <v>1696</v>
      </c>
      <c r="V62" s="43">
        <v>1934</v>
      </c>
      <c r="W62" s="43">
        <v>1936</v>
      </c>
      <c r="X62" s="43">
        <v>1794</v>
      </c>
      <c r="Y62" s="43">
        <v>1455</v>
      </c>
      <c r="Z62" s="43">
        <v>1480</v>
      </c>
      <c r="AA62" s="33">
        <v>1375</v>
      </c>
      <c r="AB62" s="33">
        <v>1389</v>
      </c>
      <c r="AC62" s="33">
        <v>1349</v>
      </c>
      <c r="AD62" s="10" t="s">
        <v>19</v>
      </c>
    </row>
    <row r="63" spans="2:30" ht="11.1" customHeight="1" x14ac:dyDescent="0.25">
      <c r="B63" s="332" t="s">
        <v>404</v>
      </c>
      <c r="C63" s="332"/>
      <c r="D63" s="332"/>
      <c r="E63" s="332"/>
      <c r="F63" s="332"/>
      <c r="G63" s="332"/>
      <c r="H63" s="332"/>
      <c r="I63" s="332"/>
      <c r="J63" s="332"/>
      <c r="K63" s="332"/>
      <c r="L63" s="332"/>
      <c r="M63" s="332"/>
      <c r="N63" s="332"/>
      <c r="O63" s="332"/>
      <c r="P63" s="332"/>
      <c r="Q63" s="332"/>
      <c r="R63" s="332"/>
      <c r="S63" s="332"/>
      <c r="T63" s="332"/>
      <c r="U63" s="332"/>
      <c r="V63" s="332"/>
      <c r="W63" s="332"/>
      <c r="X63" s="332"/>
      <c r="Y63" s="332"/>
      <c r="Z63" s="348"/>
      <c r="AA63" s="33"/>
      <c r="AB63" s="33"/>
      <c r="AC63" s="33"/>
      <c r="AD63" s="33"/>
    </row>
    <row r="64" spans="2:30" ht="11.1" customHeight="1" x14ac:dyDescent="0.25">
      <c r="B64" s="243" t="s">
        <v>397</v>
      </c>
      <c r="C64" s="22" t="s">
        <v>35</v>
      </c>
      <c r="D64" s="43">
        <v>527</v>
      </c>
      <c r="E64" s="43">
        <v>461</v>
      </c>
      <c r="F64" s="43">
        <v>583</v>
      </c>
      <c r="G64" s="43">
        <v>456</v>
      </c>
      <c r="H64" s="43">
        <v>577</v>
      </c>
      <c r="I64" s="43">
        <v>159</v>
      </c>
      <c r="J64" s="43">
        <v>137</v>
      </c>
      <c r="K64" s="43">
        <v>180</v>
      </c>
      <c r="L64" s="43">
        <v>161</v>
      </c>
      <c r="M64" s="43">
        <v>111</v>
      </c>
      <c r="N64" s="43">
        <v>130</v>
      </c>
      <c r="O64" s="43">
        <v>181</v>
      </c>
      <c r="P64" s="43">
        <v>162</v>
      </c>
      <c r="Q64" s="43">
        <v>212</v>
      </c>
      <c r="R64" s="43">
        <v>75</v>
      </c>
      <c r="S64" s="43">
        <v>61</v>
      </c>
      <c r="T64" s="43">
        <v>276</v>
      </c>
      <c r="U64" s="43">
        <v>457</v>
      </c>
      <c r="V64" s="43">
        <v>272</v>
      </c>
      <c r="W64" s="43">
        <v>322</v>
      </c>
      <c r="X64" s="43">
        <v>182</v>
      </c>
      <c r="Y64" s="43">
        <v>190</v>
      </c>
      <c r="Z64" s="43">
        <v>93</v>
      </c>
      <c r="AA64" s="33">
        <v>327</v>
      </c>
      <c r="AB64" s="33">
        <v>364</v>
      </c>
      <c r="AC64" s="33">
        <v>458</v>
      </c>
      <c r="AD64" s="10" t="s">
        <v>19</v>
      </c>
    </row>
    <row r="65" spans="2:30" ht="11.1" customHeight="1" x14ac:dyDescent="0.25">
      <c r="B65" s="243" t="s">
        <v>320</v>
      </c>
      <c r="C65" s="22" t="s">
        <v>35</v>
      </c>
      <c r="D65" s="43">
        <v>207</v>
      </c>
      <c r="E65" s="43">
        <v>224</v>
      </c>
      <c r="F65" s="43">
        <v>199</v>
      </c>
      <c r="G65" s="43">
        <v>212</v>
      </c>
      <c r="H65" s="43">
        <v>214</v>
      </c>
      <c r="I65" s="43">
        <v>155</v>
      </c>
      <c r="J65" s="43">
        <v>160</v>
      </c>
      <c r="K65" s="43">
        <v>164</v>
      </c>
      <c r="L65" s="43">
        <v>177</v>
      </c>
      <c r="M65" s="43">
        <v>245</v>
      </c>
      <c r="N65" s="43">
        <v>240</v>
      </c>
      <c r="O65" s="43">
        <v>230</v>
      </c>
      <c r="P65" s="43">
        <v>271</v>
      </c>
      <c r="Q65" s="43">
        <v>177</v>
      </c>
      <c r="R65" s="43">
        <v>237</v>
      </c>
      <c r="S65" s="43">
        <v>213</v>
      </c>
      <c r="T65" s="43">
        <v>138</v>
      </c>
      <c r="U65" s="43">
        <v>149</v>
      </c>
      <c r="V65" s="43">
        <v>200</v>
      </c>
      <c r="W65" s="43">
        <v>177</v>
      </c>
      <c r="X65" s="43">
        <v>301</v>
      </c>
      <c r="Y65" s="43">
        <v>469</v>
      </c>
      <c r="Z65" s="43">
        <v>377</v>
      </c>
      <c r="AA65" s="33">
        <v>213</v>
      </c>
      <c r="AB65" s="33">
        <v>243</v>
      </c>
      <c r="AC65" s="33">
        <v>217</v>
      </c>
      <c r="AD65" s="10" t="s">
        <v>19</v>
      </c>
    </row>
    <row r="66" spans="2:30" ht="11.1" customHeight="1" x14ac:dyDescent="0.25">
      <c r="B66" s="243" t="s">
        <v>398</v>
      </c>
      <c r="C66" s="22" t="s">
        <v>35</v>
      </c>
      <c r="D66" s="43">
        <v>322</v>
      </c>
      <c r="E66" s="43">
        <v>302</v>
      </c>
      <c r="F66" s="43">
        <v>231</v>
      </c>
      <c r="G66" s="43">
        <v>262</v>
      </c>
      <c r="H66" s="43">
        <v>197</v>
      </c>
      <c r="I66" s="43">
        <v>150</v>
      </c>
      <c r="J66" s="43">
        <v>183</v>
      </c>
      <c r="K66" s="43">
        <v>126</v>
      </c>
      <c r="L66" s="43">
        <v>105</v>
      </c>
      <c r="M66" s="43">
        <v>122</v>
      </c>
      <c r="N66" s="43">
        <v>143</v>
      </c>
      <c r="O66" s="43">
        <v>168</v>
      </c>
      <c r="P66" s="43">
        <v>118</v>
      </c>
      <c r="Q66" s="43">
        <v>99</v>
      </c>
      <c r="R66" s="43">
        <v>137</v>
      </c>
      <c r="S66" s="43">
        <v>143</v>
      </c>
      <c r="T66" s="43">
        <v>116</v>
      </c>
      <c r="U66" s="43">
        <v>90</v>
      </c>
      <c r="V66" s="43">
        <v>83</v>
      </c>
      <c r="W66" s="43">
        <v>85</v>
      </c>
      <c r="X66" s="43">
        <v>97</v>
      </c>
      <c r="Y66" s="43">
        <v>88</v>
      </c>
      <c r="Z66" s="43">
        <v>110</v>
      </c>
      <c r="AA66" s="33">
        <v>109</v>
      </c>
      <c r="AB66" s="33">
        <v>93</v>
      </c>
      <c r="AC66" s="33">
        <v>72</v>
      </c>
      <c r="AD66" s="10" t="s">
        <v>19</v>
      </c>
    </row>
    <row r="67" spans="2:30" ht="11.1" customHeight="1" x14ac:dyDescent="0.25">
      <c r="B67" s="243" t="s">
        <v>348</v>
      </c>
      <c r="C67" s="22" t="s">
        <v>35</v>
      </c>
      <c r="D67" s="43">
        <v>447</v>
      </c>
      <c r="E67" s="43">
        <v>576</v>
      </c>
      <c r="F67" s="43">
        <v>577</v>
      </c>
      <c r="G67" s="43">
        <v>648</v>
      </c>
      <c r="H67" s="43">
        <v>533</v>
      </c>
      <c r="I67" s="43">
        <v>413</v>
      </c>
      <c r="J67" s="43">
        <v>504</v>
      </c>
      <c r="K67" s="43">
        <v>529</v>
      </c>
      <c r="L67" s="43">
        <v>644</v>
      </c>
      <c r="M67" s="43">
        <v>741</v>
      </c>
      <c r="N67" s="43">
        <v>780</v>
      </c>
      <c r="O67" s="43">
        <v>916</v>
      </c>
      <c r="P67" s="43">
        <v>972</v>
      </c>
      <c r="Q67" s="43">
        <v>878</v>
      </c>
      <c r="R67" s="43">
        <v>549</v>
      </c>
      <c r="S67" s="43">
        <v>549</v>
      </c>
      <c r="T67" s="43">
        <v>586</v>
      </c>
      <c r="U67" s="43">
        <v>427</v>
      </c>
      <c r="V67" s="43">
        <v>343</v>
      </c>
      <c r="W67" s="43">
        <v>304</v>
      </c>
      <c r="X67" s="43">
        <v>281</v>
      </c>
      <c r="Y67" s="43">
        <v>115</v>
      </c>
      <c r="Z67" s="43">
        <v>43</v>
      </c>
      <c r="AA67" s="33">
        <v>25</v>
      </c>
      <c r="AB67" s="33">
        <v>29</v>
      </c>
      <c r="AC67" s="33">
        <v>36</v>
      </c>
      <c r="AD67" s="10" t="s">
        <v>19</v>
      </c>
    </row>
    <row r="68" spans="2:30" ht="11.1" customHeight="1" x14ac:dyDescent="0.25">
      <c r="B68" s="243" t="s">
        <v>374</v>
      </c>
      <c r="C68" s="22" t="s">
        <v>35</v>
      </c>
      <c r="D68" s="43">
        <v>594</v>
      </c>
      <c r="E68" s="43">
        <v>517</v>
      </c>
      <c r="F68" s="43">
        <v>453</v>
      </c>
      <c r="G68" s="43">
        <v>390</v>
      </c>
      <c r="H68" s="43">
        <v>398</v>
      </c>
      <c r="I68" s="43">
        <v>352</v>
      </c>
      <c r="J68" s="43">
        <v>347</v>
      </c>
      <c r="K68" s="43">
        <v>336</v>
      </c>
      <c r="L68" s="43">
        <v>361</v>
      </c>
      <c r="M68" s="43">
        <v>329</v>
      </c>
      <c r="N68" s="43">
        <v>339</v>
      </c>
      <c r="O68" s="43">
        <v>343</v>
      </c>
      <c r="P68" s="43">
        <v>340</v>
      </c>
      <c r="Q68" s="43">
        <v>307</v>
      </c>
      <c r="R68" s="43">
        <v>307</v>
      </c>
      <c r="S68" s="43">
        <v>265</v>
      </c>
      <c r="T68" s="43">
        <v>310</v>
      </c>
      <c r="U68" s="43">
        <v>272</v>
      </c>
      <c r="V68" s="43">
        <v>268</v>
      </c>
      <c r="W68" s="43">
        <v>243</v>
      </c>
      <c r="X68" s="43">
        <v>234</v>
      </c>
      <c r="Y68" s="43">
        <v>234</v>
      </c>
      <c r="Z68" s="43">
        <v>181</v>
      </c>
      <c r="AA68" s="33">
        <v>176</v>
      </c>
      <c r="AB68" s="33">
        <v>192</v>
      </c>
      <c r="AC68" s="33">
        <v>196</v>
      </c>
      <c r="AD68" s="10" t="s">
        <v>19</v>
      </c>
    </row>
    <row r="69" spans="2:30" ht="11.1" customHeight="1" x14ac:dyDescent="0.25">
      <c r="B69" s="243" t="s">
        <v>46</v>
      </c>
      <c r="C69" s="22" t="s">
        <v>35</v>
      </c>
      <c r="D69" s="43">
        <v>421</v>
      </c>
      <c r="E69" s="43">
        <v>476</v>
      </c>
      <c r="F69" s="43">
        <v>532</v>
      </c>
      <c r="G69" s="43">
        <v>470</v>
      </c>
      <c r="H69" s="43">
        <v>332</v>
      </c>
      <c r="I69" s="43">
        <v>319</v>
      </c>
      <c r="J69" s="43">
        <v>364</v>
      </c>
      <c r="K69" s="43">
        <v>369</v>
      </c>
      <c r="L69" s="43">
        <v>293</v>
      </c>
      <c r="M69" s="43">
        <v>290</v>
      </c>
      <c r="N69" s="43">
        <v>294</v>
      </c>
      <c r="O69" s="43">
        <v>281</v>
      </c>
      <c r="P69" s="43">
        <v>261</v>
      </c>
      <c r="Q69" s="43">
        <v>249</v>
      </c>
      <c r="R69" s="43">
        <v>242</v>
      </c>
      <c r="S69" s="43">
        <v>261</v>
      </c>
      <c r="T69" s="43">
        <v>216</v>
      </c>
      <c r="U69" s="43">
        <v>163</v>
      </c>
      <c r="V69" s="43">
        <v>186</v>
      </c>
      <c r="W69" s="43">
        <v>174</v>
      </c>
      <c r="X69" s="43">
        <v>192</v>
      </c>
      <c r="Y69" s="43">
        <v>168</v>
      </c>
      <c r="Z69" s="43">
        <v>182</v>
      </c>
      <c r="AA69" s="33">
        <v>157</v>
      </c>
      <c r="AB69" s="33">
        <v>140</v>
      </c>
      <c r="AC69" s="33">
        <v>143</v>
      </c>
      <c r="AD69" s="10" t="s">
        <v>19</v>
      </c>
    </row>
    <row r="70" spans="2:30" ht="11.1" customHeight="1" x14ac:dyDescent="0.25">
      <c r="B70" s="243" t="s">
        <v>149</v>
      </c>
      <c r="C70" s="22" t="s">
        <v>35</v>
      </c>
      <c r="D70" s="43">
        <v>330</v>
      </c>
      <c r="E70" s="43">
        <v>316</v>
      </c>
      <c r="F70" s="43">
        <v>260</v>
      </c>
      <c r="G70" s="43">
        <v>395</v>
      </c>
      <c r="H70" s="43">
        <v>202</v>
      </c>
      <c r="I70" s="43">
        <v>501</v>
      </c>
      <c r="J70" s="43">
        <v>349</v>
      </c>
      <c r="K70" s="43">
        <v>168</v>
      </c>
      <c r="L70" s="43">
        <v>68</v>
      </c>
      <c r="M70" s="43">
        <v>45</v>
      </c>
      <c r="N70" s="43">
        <v>21</v>
      </c>
      <c r="O70" s="43">
        <v>155</v>
      </c>
      <c r="P70" s="43">
        <v>88</v>
      </c>
      <c r="Q70" s="43">
        <v>116</v>
      </c>
      <c r="R70" s="43">
        <v>106</v>
      </c>
      <c r="S70" s="43">
        <v>59</v>
      </c>
      <c r="T70" s="43">
        <v>76</v>
      </c>
      <c r="U70" s="43">
        <v>153</v>
      </c>
      <c r="V70" s="43">
        <v>328</v>
      </c>
      <c r="W70" s="43">
        <v>121</v>
      </c>
      <c r="X70" s="43">
        <v>148</v>
      </c>
      <c r="Y70" s="43">
        <v>366</v>
      </c>
      <c r="Z70" s="43">
        <v>163</v>
      </c>
      <c r="AA70" s="33">
        <v>267</v>
      </c>
      <c r="AB70" s="33">
        <v>533</v>
      </c>
      <c r="AC70" s="33">
        <v>435</v>
      </c>
      <c r="AD70" s="10" t="s">
        <v>19</v>
      </c>
    </row>
    <row r="71" spans="2:30" ht="11.1" customHeight="1" x14ac:dyDescent="0.25">
      <c r="B71" s="243" t="s">
        <v>370</v>
      </c>
      <c r="C71" s="22" t="s">
        <v>35</v>
      </c>
      <c r="D71" s="43">
        <v>4465</v>
      </c>
      <c r="E71" s="43">
        <v>3836</v>
      </c>
      <c r="F71" s="43">
        <v>7368</v>
      </c>
      <c r="G71" s="43">
        <v>12165</v>
      </c>
      <c r="H71" s="43">
        <v>21741</v>
      </c>
      <c r="I71" s="43">
        <v>33160</v>
      </c>
      <c r="J71" s="43">
        <v>46388</v>
      </c>
      <c r="K71" s="43">
        <v>28626</v>
      </c>
      <c r="L71" s="43">
        <v>30355</v>
      </c>
      <c r="M71" s="43">
        <v>29692</v>
      </c>
      <c r="N71" s="43">
        <v>27850</v>
      </c>
      <c r="O71" s="43">
        <v>35509</v>
      </c>
      <c r="P71" s="43">
        <v>33220</v>
      </c>
      <c r="Q71" s="43">
        <v>36962</v>
      </c>
      <c r="R71" s="43">
        <v>35065</v>
      </c>
      <c r="S71" s="43">
        <v>33197</v>
      </c>
      <c r="T71" s="43">
        <v>36020</v>
      </c>
      <c r="U71" s="43">
        <v>41103</v>
      </c>
      <c r="V71" s="43">
        <v>39745</v>
      </c>
      <c r="W71" s="43">
        <v>43293</v>
      </c>
      <c r="X71" s="43">
        <v>40041</v>
      </c>
      <c r="Y71" s="43">
        <v>39950</v>
      </c>
      <c r="Z71" s="43">
        <v>38099</v>
      </c>
      <c r="AA71" s="33">
        <v>47027</v>
      </c>
      <c r="AB71" s="33">
        <v>46352</v>
      </c>
      <c r="AC71" s="33">
        <v>44225</v>
      </c>
      <c r="AD71" s="10" t="s">
        <v>19</v>
      </c>
    </row>
    <row r="72" spans="2:30" ht="11.1" customHeight="1" x14ac:dyDescent="0.25">
      <c r="B72" s="243" t="s">
        <v>399</v>
      </c>
      <c r="C72" s="22" t="s">
        <v>35</v>
      </c>
      <c r="D72" s="43">
        <v>84</v>
      </c>
      <c r="E72" s="43">
        <v>112</v>
      </c>
      <c r="F72" s="43">
        <v>152</v>
      </c>
      <c r="G72" s="43">
        <v>148</v>
      </c>
      <c r="H72" s="43">
        <v>181</v>
      </c>
      <c r="I72" s="43">
        <v>163</v>
      </c>
      <c r="J72" s="43">
        <v>138</v>
      </c>
      <c r="K72" s="43">
        <v>130</v>
      </c>
      <c r="L72" s="43">
        <v>85</v>
      </c>
      <c r="M72" s="43">
        <v>82</v>
      </c>
      <c r="N72" s="43">
        <v>111</v>
      </c>
      <c r="O72" s="43">
        <v>104</v>
      </c>
      <c r="P72" s="43">
        <v>98</v>
      </c>
      <c r="Q72" s="43">
        <v>104</v>
      </c>
      <c r="R72" s="43">
        <v>152</v>
      </c>
      <c r="S72" s="43">
        <v>110</v>
      </c>
      <c r="T72" s="43">
        <v>96</v>
      </c>
      <c r="U72" s="43">
        <v>115</v>
      </c>
      <c r="V72" s="43">
        <v>133</v>
      </c>
      <c r="W72" s="43">
        <v>140</v>
      </c>
      <c r="X72" s="43">
        <v>126</v>
      </c>
      <c r="Y72" s="43">
        <v>132</v>
      </c>
      <c r="Z72" s="43">
        <v>81</v>
      </c>
      <c r="AA72" s="33">
        <v>125</v>
      </c>
      <c r="AB72" s="33">
        <v>97</v>
      </c>
      <c r="AC72" s="33">
        <v>106</v>
      </c>
      <c r="AD72" s="10" t="s">
        <v>19</v>
      </c>
    </row>
    <row r="73" spans="2:30" ht="11.1" customHeight="1" x14ac:dyDescent="0.25">
      <c r="B73" s="243" t="s">
        <v>400</v>
      </c>
      <c r="C73" s="22" t="s">
        <v>35</v>
      </c>
      <c r="D73" s="43">
        <v>117</v>
      </c>
      <c r="E73" s="43">
        <v>93</v>
      </c>
      <c r="F73" s="43">
        <v>106</v>
      </c>
      <c r="G73" s="43">
        <v>99</v>
      </c>
      <c r="H73" s="43">
        <v>112</v>
      </c>
      <c r="I73" s="43">
        <v>81</v>
      </c>
      <c r="J73" s="43">
        <v>83</v>
      </c>
      <c r="K73" s="43">
        <v>61</v>
      </c>
      <c r="L73" s="43">
        <v>64</v>
      </c>
      <c r="M73" s="43">
        <v>82</v>
      </c>
      <c r="N73" s="43">
        <v>70</v>
      </c>
      <c r="O73" s="43">
        <v>65</v>
      </c>
      <c r="P73" s="43">
        <v>62</v>
      </c>
      <c r="Q73" s="43">
        <v>47</v>
      </c>
      <c r="R73" s="43">
        <v>47</v>
      </c>
      <c r="S73" s="43">
        <v>40</v>
      </c>
      <c r="T73" s="43">
        <v>45</v>
      </c>
      <c r="U73" s="43">
        <v>47</v>
      </c>
      <c r="V73" s="43">
        <v>48</v>
      </c>
      <c r="W73" s="43">
        <v>42</v>
      </c>
      <c r="X73" s="43">
        <v>41</v>
      </c>
      <c r="Y73" s="43">
        <v>39</v>
      </c>
      <c r="Z73" s="43">
        <v>32</v>
      </c>
      <c r="AA73" s="33">
        <v>24</v>
      </c>
      <c r="AB73" s="33">
        <v>34</v>
      </c>
      <c r="AC73" s="33">
        <v>30</v>
      </c>
      <c r="AD73" s="10" t="s">
        <v>19</v>
      </c>
    </row>
    <row r="74" spans="2:30" ht="11.1" customHeight="1" x14ac:dyDescent="0.25">
      <c r="B74" s="243" t="s">
        <v>341</v>
      </c>
      <c r="C74" s="22" t="s">
        <v>35</v>
      </c>
      <c r="D74" s="43">
        <v>155</v>
      </c>
      <c r="E74" s="43">
        <v>97</v>
      </c>
      <c r="F74" s="43">
        <v>173</v>
      </c>
      <c r="G74" s="43">
        <v>97</v>
      </c>
      <c r="H74" s="43">
        <v>64</v>
      </c>
      <c r="I74" s="43">
        <v>80</v>
      </c>
      <c r="J74" s="43">
        <v>102</v>
      </c>
      <c r="K74" s="43">
        <v>123</v>
      </c>
      <c r="L74" s="43">
        <v>152</v>
      </c>
      <c r="M74" s="43">
        <v>117</v>
      </c>
      <c r="N74" s="43">
        <v>87</v>
      </c>
      <c r="O74" s="43">
        <v>49</v>
      </c>
      <c r="P74" s="43">
        <v>68</v>
      </c>
      <c r="Q74" s="43">
        <v>57</v>
      </c>
      <c r="R74" s="43">
        <v>34</v>
      </c>
      <c r="S74" s="43">
        <v>88</v>
      </c>
      <c r="T74" s="43">
        <v>84</v>
      </c>
      <c r="U74" s="43">
        <v>79</v>
      </c>
      <c r="V74" s="43">
        <v>81</v>
      </c>
      <c r="W74" s="43">
        <v>106</v>
      </c>
      <c r="X74" s="43">
        <v>61</v>
      </c>
      <c r="Y74" s="43">
        <v>51</v>
      </c>
      <c r="Z74" s="43">
        <v>55</v>
      </c>
      <c r="AA74" s="33">
        <v>35</v>
      </c>
      <c r="AB74" s="33">
        <v>52</v>
      </c>
      <c r="AC74" s="33">
        <v>60</v>
      </c>
      <c r="AD74" s="10" t="s">
        <v>19</v>
      </c>
    </row>
    <row r="75" spans="2:30" ht="11.1" customHeight="1" x14ac:dyDescent="0.25">
      <c r="B75" s="243" t="s">
        <v>82</v>
      </c>
      <c r="C75" s="22" t="s">
        <v>35</v>
      </c>
      <c r="D75" s="43">
        <v>1133</v>
      </c>
      <c r="E75" s="43">
        <v>851</v>
      </c>
      <c r="F75" s="43">
        <v>1154</v>
      </c>
      <c r="G75" s="43">
        <v>886</v>
      </c>
      <c r="H75" s="43">
        <v>479</v>
      </c>
      <c r="I75" s="43">
        <v>455</v>
      </c>
      <c r="J75" s="43">
        <v>548</v>
      </c>
      <c r="K75" s="43">
        <v>510</v>
      </c>
      <c r="L75" s="43">
        <v>542</v>
      </c>
      <c r="M75" s="43">
        <v>583</v>
      </c>
      <c r="N75" s="43">
        <v>598</v>
      </c>
      <c r="O75" s="43">
        <v>751</v>
      </c>
      <c r="P75" s="43">
        <v>666</v>
      </c>
      <c r="Q75" s="43">
        <v>727</v>
      </c>
      <c r="R75" s="43">
        <v>728</v>
      </c>
      <c r="S75" s="43">
        <v>626</v>
      </c>
      <c r="T75" s="43">
        <v>579</v>
      </c>
      <c r="U75" s="43">
        <v>572</v>
      </c>
      <c r="V75" s="43">
        <v>597</v>
      </c>
      <c r="W75" s="43">
        <v>621</v>
      </c>
      <c r="X75" s="43">
        <v>539</v>
      </c>
      <c r="Y75" s="43">
        <v>508</v>
      </c>
      <c r="Z75" s="43">
        <v>505</v>
      </c>
      <c r="AA75" s="33">
        <v>543</v>
      </c>
      <c r="AB75" s="33">
        <v>396</v>
      </c>
      <c r="AC75" s="33">
        <v>571</v>
      </c>
      <c r="AD75" s="10" t="s">
        <v>19</v>
      </c>
    </row>
    <row r="76" spans="2:30" ht="11.1" customHeight="1" x14ac:dyDescent="0.25">
      <c r="B76" s="243" t="s">
        <v>13</v>
      </c>
      <c r="C76" s="22" t="s">
        <v>35</v>
      </c>
      <c r="D76" s="43">
        <v>8801</v>
      </c>
      <c r="E76" s="43">
        <v>7861</v>
      </c>
      <c r="F76" s="43">
        <v>11789</v>
      </c>
      <c r="G76" s="43">
        <v>16228</v>
      </c>
      <c r="H76" s="43">
        <v>25030</v>
      </c>
      <c r="I76" s="43">
        <v>35988</v>
      </c>
      <c r="J76" s="43">
        <v>49303</v>
      </c>
      <c r="K76" s="43">
        <v>31322</v>
      </c>
      <c r="L76" s="43">
        <v>33007</v>
      </c>
      <c r="M76" s="43">
        <v>32439</v>
      </c>
      <c r="N76" s="43">
        <v>30663</v>
      </c>
      <c r="O76" s="43">
        <v>38752</v>
      </c>
      <c r="P76" s="43">
        <v>36326</v>
      </c>
      <c r="Q76" s="43">
        <v>39935</v>
      </c>
      <c r="R76" s="43">
        <v>37679</v>
      </c>
      <c r="S76" s="43">
        <v>35612</v>
      </c>
      <c r="T76" s="43">
        <v>38542</v>
      </c>
      <c r="U76" s="43">
        <v>43627</v>
      </c>
      <c r="V76" s="43">
        <v>42284</v>
      </c>
      <c r="W76" s="43">
        <v>45628</v>
      </c>
      <c r="X76" s="43">
        <v>42243</v>
      </c>
      <c r="Y76" s="43">
        <v>42310</v>
      </c>
      <c r="Z76" s="43">
        <v>39920</v>
      </c>
      <c r="AA76" s="33">
        <v>49028</v>
      </c>
      <c r="AB76" s="33">
        <v>48526</v>
      </c>
      <c r="AC76" s="33">
        <v>46548</v>
      </c>
      <c r="AD76" s="10" t="s">
        <v>19</v>
      </c>
    </row>
    <row r="77" spans="2:30" ht="11.1" customHeight="1" x14ac:dyDescent="0.25">
      <c r="B77" s="243" t="s">
        <v>83</v>
      </c>
      <c r="C77" s="22" t="s">
        <v>35</v>
      </c>
      <c r="D77" s="43">
        <v>552</v>
      </c>
      <c r="E77" s="43">
        <v>350</v>
      </c>
      <c r="F77" s="43">
        <v>356</v>
      </c>
      <c r="G77" s="43">
        <v>279</v>
      </c>
      <c r="H77" s="43">
        <v>417</v>
      </c>
      <c r="I77" s="43">
        <v>574</v>
      </c>
      <c r="J77" s="43">
        <v>564</v>
      </c>
      <c r="K77" s="43">
        <v>737</v>
      </c>
      <c r="L77" s="43">
        <v>694</v>
      </c>
      <c r="M77" s="43">
        <v>713</v>
      </c>
      <c r="N77" s="43">
        <v>792</v>
      </c>
      <c r="O77" s="43">
        <v>710</v>
      </c>
      <c r="P77" s="43">
        <v>474</v>
      </c>
      <c r="Q77" s="43">
        <v>438</v>
      </c>
      <c r="R77" s="43">
        <v>479</v>
      </c>
      <c r="S77" s="43">
        <v>570</v>
      </c>
      <c r="T77" s="43">
        <v>472</v>
      </c>
      <c r="U77" s="43">
        <v>452</v>
      </c>
      <c r="V77" s="43">
        <v>540</v>
      </c>
      <c r="W77" s="43">
        <v>451</v>
      </c>
      <c r="X77" s="43">
        <v>410</v>
      </c>
      <c r="Y77" s="43">
        <v>607</v>
      </c>
      <c r="Z77" s="43">
        <v>636</v>
      </c>
      <c r="AA77" s="33">
        <v>434</v>
      </c>
      <c r="AB77" s="33">
        <v>327</v>
      </c>
      <c r="AC77" s="33">
        <v>307</v>
      </c>
      <c r="AD77" s="10" t="s">
        <v>19</v>
      </c>
    </row>
    <row r="78" spans="2:30" ht="11.1" customHeight="1" x14ac:dyDescent="0.25">
      <c r="B78" s="58" t="s">
        <v>55</v>
      </c>
      <c r="C78" s="22" t="s">
        <v>35</v>
      </c>
      <c r="D78" s="43">
        <v>18243</v>
      </c>
      <c r="E78" s="43">
        <v>16791</v>
      </c>
      <c r="F78" s="43">
        <v>21456</v>
      </c>
      <c r="G78" s="43">
        <v>24882</v>
      </c>
      <c r="H78" s="43">
        <v>33039</v>
      </c>
      <c r="I78" s="43">
        <v>44517</v>
      </c>
      <c r="J78" s="43">
        <v>58185</v>
      </c>
      <c r="K78" s="43">
        <v>40040</v>
      </c>
      <c r="L78" s="43">
        <v>41709</v>
      </c>
      <c r="M78" s="43">
        <v>40804</v>
      </c>
      <c r="N78" s="43">
        <v>38205</v>
      </c>
      <c r="O78" s="43">
        <v>46158</v>
      </c>
      <c r="P78" s="43">
        <v>43132</v>
      </c>
      <c r="Q78" s="43">
        <v>46561</v>
      </c>
      <c r="R78" s="43">
        <v>44215</v>
      </c>
      <c r="S78" s="43">
        <v>41867</v>
      </c>
      <c r="T78" s="43">
        <v>45155</v>
      </c>
      <c r="U78" s="43">
        <v>50683</v>
      </c>
      <c r="V78" s="43">
        <v>49487</v>
      </c>
      <c r="W78" s="43">
        <v>52833</v>
      </c>
      <c r="X78" s="43">
        <v>49145</v>
      </c>
      <c r="Y78" s="43">
        <v>48477</v>
      </c>
      <c r="Z78" s="43">
        <v>46328</v>
      </c>
      <c r="AA78" s="33">
        <v>54692</v>
      </c>
      <c r="AB78" s="33">
        <v>54297</v>
      </c>
      <c r="AC78" s="33">
        <v>52146</v>
      </c>
      <c r="AD78" s="10" t="s">
        <v>19</v>
      </c>
    </row>
    <row r="79" spans="2:30" ht="11.1" customHeight="1" x14ac:dyDescent="0.25">
      <c r="B79" s="332" t="s">
        <v>405</v>
      </c>
      <c r="C79" s="332"/>
      <c r="D79" s="332"/>
      <c r="E79" s="332"/>
      <c r="F79" s="332"/>
      <c r="G79" s="332"/>
      <c r="H79" s="332"/>
      <c r="I79" s="332"/>
      <c r="J79" s="332"/>
      <c r="K79" s="332"/>
      <c r="L79" s="332"/>
      <c r="M79" s="332"/>
      <c r="N79" s="332"/>
      <c r="O79" s="332"/>
      <c r="P79" s="332"/>
      <c r="Q79" s="332"/>
      <c r="R79" s="332"/>
      <c r="S79" s="332"/>
      <c r="T79" s="332"/>
      <c r="U79" s="332"/>
      <c r="V79" s="332"/>
      <c r="W79" s="332"/>
      <c r="X79" s="332"/>
      <c r="Y79" s="332"/>
      <c r="Z79" s="348"/>
      <c r="AA79" s="33"/>
      <c r="AB79" s="33"/>
      <c r="AC79" s="33"/>
      <c r="AD79" s="33"/>
    </row>
    <row r="80" spans="2:30" ht="11.25" customHeight="1" x14ac:dyDescent="0.25">
      <c r="B80" s="243" t="s">
        <v>406</v>
      </c>
      <c r="C80" s="22" t="s">
        <v>35</v>
      </c>
      <c r="D80" s="43">
        <v>7</v>
      </c>
      <c r="E80" s="43">
        <v>12</v>
      </c>
      <c r="F80" s="43">
        <v>8</v>
      </c>
      <c r="G80" s="43">
        <v>11</v>
      </c>
      <c r="H80" s="43">
        <v>22</v>
      </c>
      <c r="I80" s="43">
        <v>18</v>
      </c>
      <c r="J80" s="43">
        <v>22</v>
      </c>
      <c r="K80" s="43">
        <v>10</v>
      </c>
      <c r="L80" s="43">
        <v>24</v>
      </c>
      <c r="M80" s="43">
        <v>22</v>
      </c>
      <c r="N80" s="43">
        <v>23</v>
      </c>
      <c r="O80" s="43">
        <v>23</v>
      </c>
      <c r="P80" s="43">
        <v>37</v>
      </c>
      <c r="Q80" s="43">
        <v>12</v>
      </c>
      <c r="R80" s="43">
        <v>11</v>
      </c>
      <c r="S80" s="43">
        <v>12</v>
      </c>
      <c r="T80" s="43">
        <v>13</v>
      </c>
      <c r="U80" s="43">
        <v>5</v>
      </c>
      <c r="V80" s="43">
        <v>4</v>
      </c>
      <c r="W80" s="43">
        <v>2</v>
      </c>
      <c r="X80" s="43">
        <v>2</v>
      </c>
      <c r="Y80" s="43">
        <v>3</v>
      </c>
      <c r="Z80" s="43">
        <v>2</v>
      </c>
      <c r="AA80" s="33">
        <v>4</v>
      </c>
      <c r="AB80" s="33">
        <v>3</v>
      </c>
      <c r="AC80" s="33">
        <v>2</v>
      </c>
      <c r="AD80" s="10" t="s">
        <v>19</v>
      </c>
    </row>
    <row r="81" spans="2:30" ht="11.25" customHeight="1" x14ac:dyDescent="0.25">
      <c r="B81" s="243" t="s">
        <v>327</v>
      </c>
      <c r="C81" s="22" t="s">
        <v>35</v>
      </c>
      <c r="D81" s="43">
        <v>27</v>
      </c>
      <c r="E81" s="43">
        <v>16</v>
      </c>
      <c r="F81" s="43">
        <v>17</v>
      </c>
      <c r="G81" s="43">
        <v>8</v>
      </c>
      <c r="H81" s="43">
        <v>7</v>
      </c>
      <c r="I81" s="43">
        <v>10</v>
      </c>
      <c r="J81" s="43">
        <v>20</v>
      </c>
      <c r="K81" s="43">
        <v>2</v>
      </c>
      <c r="L81" s="43">
        <v>5</v>
      </c>
      <c r="M81" s="43" t="s">
        <v>19</v>
      </c>
      <c r="N81" s="43" t="s">
        <v>19</v>
      </c>
      <c r="O81" s="43" t="s">
        <v>19</v>
      </c>
      <c r="P81" s="43" t="s">
        <v>19</v>
      </c>
      <c r="Q81" s="43" t="s">
        <v>19</v>
      </c>
      <c r="R81" s="43" t="s">
        <v>19</v>
      </c>
      <c r="S81" s="43" t="s">
        <v>19</v>
      </c>
      <c r="T81" s="43" t="s">
        <v>19</v>
      </c>
      <c r="U81" s="43" t="s">
        <v>19</v>
      </c>
      <c r="V81" s="43" t="s">
        <v>19</v>
      </c>
      <c r="W81" s="43" t="s">
        <v>19</v>
      </c>
      <c r="X81" s="43" t="s">
        <v>19</v>
      </c>
      <c r="Y81" s="43" t="s">
        <v>19</v>
      </c>
      <c r="Z81" s="43" t="s">
        <v>19</v>
      </c>
      <c r="AA81" s="33" t="s">
        <v>19</v>
      </c>
      <c r="AB81" s="33" t="s">
        <v>19</v>
      </c>
      <c r="AC81" s="33" t="s">
        <v>19</v>
      </c>
      <c r="AD81" s="10" t="s">
        <v>19</v>
      </c>
    </row>
    <row r="82" spans="2:30" ht="11.1" customHeight="1" x14ac:dyDescent="0.25">
      <c r="B82" s="243" t="s">
        <v>368</v>
      </c>
      <c r="C82" s="22" t="s">
        <v>35</v>
      </c>
      <c r="D82" s="43">
        <v>1009</v>
      </c>
      <c r="E82" s="43">
        <v>1761</v>
      </c>
      <c r="F82" s="43">
        <v>2055</v>
      </c>
      <c r="G82" s="43">
        <v>2425</v>
      </c>
      <c r="H82" s="43">
        <v>2706</v>
      </c>
      <c r="I82" s="43">
        <v>4382</v>
      </c>
      <c r="J82" s="43">
        <v>4650</v>
      </c>
      <c r="K82" s="43">
        <v>5397</v>
      </c>
      <c r="L82" s="43">
        <v>7720</v>
      </c>
      <c r="M82" s="43">
        <v>5448</v>
      </c>
      <c r="N82" s="43">
        <v>5848</v>
      </c>
      <c r="O82" s="43">
        <v>6123</v>
      </c>
      <c r="P82" s="43">
        <v>6154</v>
      </c>
      <c r="Q82" s="43">
        <v>5241</v>
      </c>
      <c r="R82" s="43">
        <v>5710</v>
      </c>
      <c r="S82" s="43">
        <v>4900</v>
      </c>
      <c r="T82" s="43">
        <v>3891</v>
      </c>
      <c r="U82" s="43">
        <v>4589</v>
      </c>
      <c r="V82" s="43">
        <v>5158</v>
      </c>
      <c r="W82" s="43">
        <v>2177</v>
      </c>
      <c r="X82" s="43">
        <v>2099</v>
      </c>
      <c r="Y82" s="43">
        <v>2659</v>
      </c>
      <c r="Z82" s="43">
        <v>4687</v>
      </c>
      <c r="AA82" s="33">
        <v>4929</v>
      </c>
      <c r="AB82" s="33">
        <v>6472</v>
      </c>
      <c r="AC82" s="33">
        <v>5968</v>
      </c>
      <c r="AD82" s="10" t="s">
        <v>19</v>
      </c>
    </row>
    <row r="83" spans="2:30" ht="11.1" customHeight="1" x14ac:dyDescent="0.25">
      <c r="B83" s="243" t="s">
        <v>407</v>
      </c>
      <c r="C83" s="22" t="s">
        <v>35</v>
      </c>
      <c r="D83" s="43">
        <v>6365</v>
      </c>
      <c r="E83" s="43">
        <v>7780</v>
      </c>
      <c r="F83" s="43">
        <v>9051</v>
      </c>
      <c r="G83" s="43">
        <v>9245</v>
      </c>
      <c r="H83" s="43">
        <v>7763</v>
      </c>
      <c r="I83" s="43">
        <v>9558</v>
      </c>
      <c r="J83" s="43">
        <v>7458</v>
      </c>
      <c r="K83" s="43">
        <v>8806</v>
      </c>
      <c r="L83" s="43">
        <v>7486</v>
      </c>
      <c r="M83" s="43">
        <v>9757</v>
      </c>
      <c r="N83" s="43">
        <v>8786</v>
      </c>
      <c r="O83" s="43">
        <v>7284</v>
      </c>
      <c r="P83" s="43">
        <v>5800</v>
      </c>
      <c r="Q83" s="43">
        <v>7087</v>
      </c>
      <c r="R83" s="43">
        <v>7486</v>
      </c>
      <c r="S83" s="43">
        <v>7544</v>
      </c>
      <c r="T83" s="43">
        <v>8418</v>
      </c>
      <c r="U83" s="43">
        <v>8895</v>
      </c>
      <c r="V83" s="43">
        <v>8100</v>
      </c>
      <c r="W83" s="43">
        <v>8000</v>
      </c>
      <c r="X83" s="43">
        <v>8252</v>
      </c>
      <c r="Y83" s="43">
        <v>8345</v>
      </c>
      <c r="Z83" s="43">
        <v>7600</v>
      </c>
      <c r="AA83" s="33">
        <v>8322</v>
      </c>
      <c r="AB83" s="33">
        <v>8000</v>
      </c>
      <c r="AC83" s="33">
        <v>7261</v>
      </c>
      <c r="AD83" s="10" t="s">
        <v>19</v>
      </c>
    </row>
    <row r="84" spans="2:30" ht="11.1" customHeight="1" x14ac:dyDescent="0.25">
      <c r="B84" s="243" t="s">
        <v>75</v>
      </c>
      <c r="C84" s="22" t="s">
        <v>35</v>
      </c>
      <c r="D84" s="43">
        <v>249</v>
      </c>
      <c r="E84" s="43">
        <v>279</v>
      </c>
      <c r="F84" s="43">
        <v>264</v>
      </c>
      <c r="G84" s="43">
        <v>255</v>
      </c>
      <c r="H84" s="43">
        <v>471</v>
      </c>
      <c r="I84" s="43">
        <v>216</v>
      </c>
      <c r="J84" s="43">
        <v>217</v>
      </c>
      <c r="K84" s="43">
        <v>400</v>
      </c>
      <c r="L84" s="43">
        <v>385</v>
      </c>
      <c r="M84" s="43">
        <v>421</v>
      </c>
      <c r="N84" s="43" t="s">
        <v>19</v>
      </c>
      <c r="O84" s="43" t="s">
        <v>19</v>
      </c>
      <c r="P84" s="43" t="s">
        <v>19</v>
      </c>
      <c r="Q84" s="43" t="s">
        <v>19</v>
      </c>
      <c r="R84" s="43" t="s">
        <v>19</v>
      </c>
      <c r="S84" s="43" t="s">
        <v>19</v>
      </c>
      <c r="T84" s="43" t="s">
        <v>19</v>
      </c>
      <c r="U84" s="43" t="s">
        <v>19</v>
      </c>
      <c r="V84" s="43" t="s">
        <v>19</v>
      </c>
      <c r="W84" s="43" t="s">
        <v>19</v>
      </c>
      <c r="X84" s="43" t="s">
        <v>19</v>
      </c>
      <c r="Y84" s="43" t="s">
        <v>19</v>
      </c>
      <c r="Z84" s="43" t="s">
        <v>19</v>
      </c>
      <c r="AA84" s="33" t="s">
        <v>19</v>
      </c>
      <c r="AB84" s="33" t="s">
        <v>19</v>
      </c>
      <c r="AC84" s="33" t="s">
        <v>19</v>
      </c>
      <c r="AD84" s="10" t="s">
        <v>19</v>
      </c>
    </row>
    <row r="85" spans="2:30" ht="11.1" customHeight="1" x14ac:dyDescent="0.25">
      <c r="B85" s="243" t="s">
        <v>402</v>
      </c>
      <c r="C85" s="22" t="s">
        <v>35</v>
      </c>
      <c r="D85" s="43">
        <v>14</v>
      </c>
      <c r="E85" s="43">
        <v>8</v>
      </c>
      <c r="F85" s="43">
        <v>13</v>
      </c>
      <c r="G85" s="43">
        <v>26</v>
      </c>
      <c r="H85" s="43">
        <v>18</v>
      </c>
      <c r="I85" s="43">
        <v>40</v>
      </c>
      <c r="J85" s="43">
        <v>66</v>
      </c>
      <c r="K85" s="43">
        <v>53</v>
      </c>
      <c r="L85" s="43">
        <v>38</v>
      </c>
      <c r="M85" s="43" t="s">
        <v>19</v>
      </c>
      <c r="N85" s="43" t="s">
        <v>19</v>
      </c>
      <c r="O85" s="43" t="s">
        <v>19</v>
      </c>
      <c r="P85" s="43" t="s">
        <v>19</v>
      </c>
      <c r="Q85" s="43" t="s">
        <v>19</v>
      </c>
      <c r="R85" s="43" t="s">
        <v>19</v>
      </c>
      <c r="S85" s="43" t="s">
        <v>19</v>
      </c>
      <c r="T85" s="43" t="s">
        <v>19</v>
      </c>
      <c r="U85" s="43" t="s">
        <v>19</v>
      </c>
      <c r="V85" s="43" t="s">
        <v>19</v>
      </c>
      <c r="W85" s="43" t="s">
        <v>19</v>
      </c>
      <c r="X85" s="43" t="s">
        <v>19</v>
      </c>
      <c r="Y85" s="43" t="s">
        <v>19</v>
      </c>
      <c r="Z85" s="43" t="s">
        <v>19</v>
      </c>
      <c r="AA85" s="33" t="s">
        <v>19</v>
      </c>
      <c r="AB85" s="33" t="s">
        <v>19</v>
      </c>
      <c r="AC85" s="33" t="s">
        <v>19</v>
      </c>
      <c r="AD85" s="10" t="s">
        <v>19</v>
      </c>
    </row>
    <row r="86" spans="2:30" ht="11.45" customHeight="1" x14ac:dyDescent="0.25">
      <c r="B86" s="243" t="s">
        <v>408</v>
      </c>
      <c r="C86" s="22" t="s">
        <v>35</v>
      </c>
      <c r="D86" s="43">
        <v>21</v>
      </c>
      <c r="E86" s="43">
        <v>40</v>
      </c>
      <c r="F86" s="43">
        <v>53</v>
      </c>
      <c r="G86" s="43">
        <v>34</v>
      </c>
      <c r="H86" s="43">
        <v>59</v>
      </c>
      <c r="I86" s="43">
        <v>105</v>
      </c>
      <c r="J86" s="43">
        <v>177</v>
      </c>
      <c r="K86" s="43">
        <v>250</v>
      </c>
      <c r="L86" s="43">
        <v>196</v>
      </c>
      <c r="M86" s="43">
        <v>167</v>
      </c>
      <c r="N86" s="43">
        <v>227</v>
      </c>
      <c r="O86" s="43">
        <v>286</v>
      </c>
      <c r="P86" s="43">
        <v>317</v>
      </c>
      <c r="Q86" s="43">
        <v>178</v>
      </c>
      <c r="R86" s="43">
        <v>236</v>
      </c>
      <c r="S86" s="43">
        <v>330</v>
      </c>
      <c r="T86" s="43">
        <v>334</v>
      </c>
      <c r="U86" s="43">
        <v>350</v>
      </c>
      <c r="V86" s="43">
        <v>324</v>
      </c>
      <c r="W86" s="43">
        <v>399</v>
      </c>
      <c r="X86" s="43">
        <v>337</v>
      </c>
      <c r="Y86" s="43">
        <v>285</v>
      </c>
      <c r="Z86" s="43">
        <v>440</v>
      </c>
      <c r="AA86" s="33">
        <v>402</v>
      </c>
      <c r="AB86" s="33">
        <v>382</v>
      </c>
      <c r="AC86" s="33">
        <v>345</v>
      </c>
      <c r="AD86" s="10" t="s">
        <v>19</v>
      </c>
    </row>
    <row r="87" spans="2:30" ht="11.1" customHeight="1" x14ac:dyDescent="0.25">
      <c r="B87" s="244" t="s">
        <v>57</v>
      </c>
      <c r="C87" s="22" t="s">
        <v>35</v>
      </c>
      <c r="D87" s="43">
        <v>84</v>
      </c>
      <c r="E87" s="43">
        <v>81</v>
      </c>
      <c r="F87" s="43">
        <v>111</v>
      </c>
      <c r="G87" s="43">
        <v>171</v>
      </c>
      <c r="H87" s="43">
        <v>254</v>
      </c>
      <c r="I87" s="43">
        <v>400</v>
      </c>
      <c r="J87" s="43">
        <v>377</v>
      </c>
      <c r="K87" s="43">
        <v>469</v>
      </c>
      <c r="L87" s="43">
        <v>1032</v>
      </c>
      <c r="M87" s="43">
        <v>1369</v>
      </c>
      <c r="N87" s="43">
        <v>1340</v>
      </c>
      <c r="O87" s="43">
        <v>1343</v>
      </c>
      <c r="P87" s="43">
        <v>1174</v>
      </c>
      <c r="Q87" s="43">
        <v>1278</v>
      </c>
      <c r="R87" s="43">
        <v>1480</v>
      </c>
      <c r="S87" s="43">
        <v>1619</v>
      </c>
      <c r="T87" s="43">
        <v>1577</v>
      </c>
      <c r="U87" s="43">
        <v>2088</v>
      </c>
      <c r="V87" s="43">
        <v>1777</v>
      </c>
      <c r="W87" s="43">
        <v>1833</v>
      </c>
      <c r="X87" s="43">
        <v>1898</v>
      </c>
      <c r="Y87" s="43">
        <v>1737</v>
      </c>
      <c r="Z87" s="43">
        <v>1845</v>
      </c>
      <c r="AA87" s="33">
        <v>2113</v>
      </c>
      <c r="AB87" s="33">
        <v>2318</v>
      </c>
      <c r="AC87" s="33">
        <v>2007</v>
      </c>
      <c r="AD87" s="10" t="s">
        <v>19</v>
      </c>
    </row>
    <row r="88" spans="2:30" ht="12" customHeight="1" x14ac:dyDescent="0.25">
      <c r="B88" s="243" t="s">
        <v>409</v>
      </c>
      <c r="C88" s="22" t="s">
        <v>35</v>
      </c>
      <c r="D88" s="43">
        <v>412</v>
      </c>
      <c r="E88" s="43">
        <v>337</v>
      </c>
      <c r="F88" s="43">
        <v>480</v>
      </c>
      <c r="G88" s="43">
        <v>334</v>
      </c>
      <c r="H88" s="43">
        <v>1077</v>
      </c>
      <c r="I88" s="43">
        <v>894</v>
      </c>
      <c r="J88" s="43">
        <v>2019</v>
      </c>
      <c r="K88" s="43">
        <v>2148</v>
      </c>
      <c r="L88" s="43">
        <v>1953</v>
      </c>
      <c r="M88" s="43">
        <v>3801</v>
      </c>
      <c r="N88" s="43">
        <v>5208</v>
      </c>
      <c r="O88" s="43">
        <v>5491</v>
      </c>
      <c r="P88" s="43">
        <v>6765</v>
      </c>
      <c r="Q88" s="43">
        <v>4385</v>
      </c>
      <c r="R88" s="43">
        <v>4607</v>
      </c>
      <c r="S88" s="43">
        <v>1042</v>
      </c>
      <c r="T88" s="43">
        <v>5530</v>
      </c>
      <c r="U88" s="43">
        <v>6871</v>
      </c>
      <c r="V88" s="43">
        <v>6117</v>
      </c>
      <c r="W88" s="43">
        <v>3574</v>
      </c>
      <c r="X88" s="43">
        <v>3483</v>
      </c>
      <c r="Y88" s="43">
        <v>4443</v>
      </c>
      <c r="Z88" s="43">
        <v>3779</v>
      </c>
      <c r="AA88" s="33">
        <v>4967</v>
      </c>
      <c r="AB88" s="33">
        <v>4223</v>
      </c>
      <c r="AC88" s="33">
        <v>3979</v>
      </c>
      <c r="AD88" s="10" t="s">
        <v>19</v>
      </c>
    </row>
    <row r="89" spans="2:30" ht="11.1" customHeight="1" x14ac:dyDescent="0.25">
      <c r="B89" s="243" t="s">
        <v>13</v>
      </c>
      <c r="C89" s="22" t="s">
        <v>35</v>
      </c>
      <c r="D89" s="43">
        <v>8188</v>
      </c>
      <c r="E89" s="43">
        <v>10314</v>
      </c>
      <c r="F89" s="43">
        <v>12052</v>
      </c>
      <c r="G89" s="43">
        <v>12509</v>
      </c>
      <c r="H89" s="43">
        <v>12377</v>
      </c>
      <c r="I89" s="43">
        <v>15623</v>
      </c>
      <c r="J89" s="43">
        <v>15006</v>
      </c>
      <c r="K89" s="43">
        <v>17535</v>
      </c>
      <c r="L89" s="43">
        <v>18839</v>
      </c>
      <c r="M89" s="43">
        <v>20984</v>
      </c>
      <c r="N89" s="43">
        <v>21431</v>
      </c>
      <c r="O89" s="43">
        <v>20549</v>
      </c>
      <c r="P89" s="43">
        <v>20247</v>
      </c>
      <c r="Q89" s="43">
        <v>18180</v>
      </c>
      <c r="R89" s="43">
        <v>19530</v>
      </c>
      <c r="S89" s="43">
        <v>15447</v>
      </c>
      <c r="T89" s="43">
        <v>19763</v>
      </c>
      <c r="U89" s="43">
        <v>22798</v>
      </c>
      <c r="V89" s="43">
        <v>21480</v>
      </c>
      <c r="W89" s="43">
        <v>15985</v>
      </c>
      <c r="X89" s="43">
        <v>16070</v>
      </c>
      <c r="Y89" s="43">
        <v>17472</v>
      </c>
      <c r="Z89" s="43">
        <v>18353</v>
      </c>
      <c r="AA89" s="33">
        <v>20737</v>
      </c>
      <c r="AB89" s="33">
        <v>21398</v>
      </c>
      <c r="AC89" s="33">
        <v>19563</v>
      </c>
      <c r="AD89" s="10" t="s">
        <v>19</v>
      </c>
    </row>
    <row r="90" spans="2:30" ht="11.1" customHeight="1" x14ac:dyDescent="0.25">
      <c r="B90" s="246" t="s">
        <v>403</v>
      </c>
      <c r="C90" s="99" t="s">
        <v>35</v>
      </c>
      <c r="D90" s="101">
        <v>26430</v>
      </c>
      <c r="E90" s="101">
        <v>27105</v>
      </c>
      <c r="F90" s="101">
        <v>33509</v>
      </c>
      <c r="G90" s="101">
        <v>37391</v>
      </c>
      <c r="H90" s="101">
        <v>45416</v>
      </c>
      <c r="I90" s="101">
        <v>60140</v>
      </c>
      <c r="J90" s="101">
        <v>73191</v>
      </c>
      <c r="K90" s="101">
        <v>57575</v>
      </c>
      <c r="L90" s="101">
        <v>60548</v>
      </c>
      <c r="M90" s="101">
        <v>61788</v>
      </c>
      <c r="N90" s="101">
        <v>59636</v>
      </c>
      <c r="O90" s="101">
        <v>66707</v>
      </c>
      <c r="P90" s="101">
        <v>63379</v>
      </c>
      <c r="Q90" s="101">
        <v>64741</v>
      </c>
      <c r="R90" s="101">
        <v>63745</v>
      </c>
      <c r="S90" s="101">
        <v>57314</v>
      </c>
      <c r="T90" s="101">
        <v>64918</v>
      </c>
      <c r="U90" s="101">
        <v>73481</v>
      </c>
      <c r="V90" s="101">
        <v>70967</v>
      </c>
      <c r="W90" s="101">
        <v>68818</v>
      </c>
      <c r="X90" s="101">
        <v>65216</v>
      </c>
      <c r="Y90" s="101">
        <v>65949</v>
      </c>
      <c r="Z90" s="101">
        <v>64681</v>
      </c>
      <c r="AA90" s="33">
        <v>75429</v>
      </c>
      <c r="AB90" s="33">
        <v>75695</v>
      </c>
      <c r="AC90" s="33">
        <v>71709</v>
      </c>
      <c r="AD90" s="297" t="s">
        <v>19</v>
      </c>
    </row>
    <row r="91" spans="2:30" ht="57.75" customHeight="1" x14ac:dyDescent="0.25">
      <c r="B91" s="328" t="s">
        <v>515</v>
      </c>
      <c r="C91" s="328"/>
      <c r="D91" s="328"/>
      <c r="E91" s="328"/>
      <c r="F91" s="328"/>
      <c r="G91" s="328"/>
      <c r="H91" s="328"/>
      <c r="I91" s="328"/>
      <c r="J91" s="328"/>
      <c r="K91" s="328"/>
      <c r="L91" s="328"/>
      <c r="M91" s="328"/>
      <c r="N91" s="328"/>
      <c r="O91" s="328"/>
      <c r="P91" s="328"/>
      <c r="Q91" s="328"/>
      <c r="R91" s="328"/>
      <c r="S91" s="328"/>
      <c r="T91" s="328"/>
      <c r="U91" s="328"/>
      <c r="V91" s="328"/>
      <c r="W91" s="328"/>
      <c r="X91" s="328"/>
      <c r="Y91" s="328"/>
      <c r="Z91" s="328"/>
      <c r="AA91" s="328"/>
      <c r="AB91" s="328"/>
      <c r="AC91" s="328"/>
    </row>
    <row r="92" spans="2:30" ht="16.350000000000001" customHeight="1" x14ac:dyDescent="0.25">
      <c r="B92" s="362"/>
      <c r="C92" s="362"/>
      <c r="D92" s="362"/>
      <c r="E92" s="362"/>
      <c r="F92" s="362"/>
      <c r="G92" s="362"/>
      <c r="H92" s="362"/>
      <c r="I92" s="362"/>
      <c r="J92" s="362"/>
      <c r="K92" s="362"/>
      <c r="L92" s="362"/>
      <c r="M92" s="362"/>
      <c r="N92" s="362"/>
      <c r="O92" s="362"/>
      <c r="P92" s="362"/>
      <c r="Q92" s="362"/>
      <c r="R92" s="362"/>
      <c r="S92" s="362"/>
      <c r="T92" s="362"/>
      <c r="U92" s="362"/>
      <c r="V92" s="362"/>
      <c r="W92" s="362"/>
      <c r="X92" s="362"/>
      <c r="Y92" s="362"/>
      <c r="Z92" s="362"/>
      <c r="AA92" s="19"/>
      <c r="AB92" s="19"/>
      <c r="AC92" s="19"/>
      <c r="AD92" s="19"/>
    </row>
  </sheetData>
  <mergeCells count="13">
    <mergeCell ref="B92:Z92"/>
    <mergeCell ref="B50:Z50"/>
    <mergeCell ref="B51:Z51"/>
    <mergeCell ref="B57:Z57"/>
    <mergeCell ref="B63:Z63"/>
    <mergeCell ref="B79:Z79"/>
    <mergeCell ref="B91:AC91"/>
    <mergeCell ref="B38:Z38"/>
    <mergeCell ref="B7:Z7"/>
    <mergeCell ref="B9:Z9"/>
    <mergeCell ref="B10:Z10"/>
    <mergeCell ref="B16:Z16"/>
    <mergeCell ref="B22:Z22"/>
  </mergeCells>
  <phoneticPr fontId="23" type="noConversion"/>
  <conditionalFormatting sqref="B6:Y6 AA6 AC6:AD6 B7:AA7 B9:AA90 B91 B92:AA92">
    <cfRule type="cellIs" dxfId="526" priority="151" stopIfTrue="1" operator="between">
      <formula>-99.999999999999</formula>
      <formula>99.999999999999</formula>
    </cfRule>
    <cfRule type="cellIs" dxfId="525" priority="150" stopIfTrue="1" operator="lessThanOrEqual">
      <formula>-100</formula>
    </cfRule>
    <cfRule type="cellIs" dxfId="524" priority="152" stopIfTrue="1" operator="greaterThanOrEqual">
      <formula>100</formula>
    </cfRule>
  </conditionalFormatting>
  <conditionalFormatting sqref="B9:AA90 B6:Y6 AA6 AC6:AD6 B7:AA7 B91 B92:AA92">
    <cfRule type="cellIs" dxfId="523" priority="149" stopIfTrue="1" operator="equal">
      <formula>0</formula>
    </cfRule>
  </conditionalFormatting>
  <conditionalFormatting sqref="B8:AD8">
    <cfRule type="cellIs" dxfId="522" priority="124" stopIfTrue="1" operator="greaterThanOrEqual">
      <formula>100</formula>
    </cfRule>
    <cfRule type="cellIs" dxfId="521" priority="123" stopIfTrue="1" operator="between">
      <formula>-99.999999999999</formula>
      <formula>99.999999999999</formula>
    </cfRule>
    <cfRule type="cellIs" dxfId="520" priority="122" stopIfTrue="1" operator="lessThanOrEqual">
      <formula>-100</formula>
    </cfRule>
    <cfRule type="cellIs" dxfId="519" priority="121" stopIfTrue="1" operator="equal">
      <formula>0</formula>
    </cfRule>
  </conditionalFormatting>
  <conditionalFormatting sqref="D52:D56">
    <cfRule type="cellIs" dxfId="518" priority="135" operator="lessThanOrEqual">
      <formula>99</formula>
    </cfRule>
    <cfRule type="cellIs" dxfId="517" priority="136" operator="greaterThanOrEqual">
      <formula>100</formula>
    </cfRule>
  </conditionalFormatting>
  <conditionalFormatting sqref="D17:E21">
    <cfRule type="cellIs" dxfId="516" priority="142" operator="greaterThanOrEqual">
      <formula>100</formula>
    </cfRule>
    <cfRule type="cellIs" dxfId="515" priority="141" operator="lessThanOrEqual">
      <formula>99</formula>
    </cfRule>
  </conditionalFormatting>
  <conditionalFormatting sqref="D11:Z15">
    <cfRule type="cellIs" dxfId="514" priority="144" operator="greaterThanOrEqual">
      <formula>100</formula>
    </cfRule>
    <cfRule type="cellIs" dxfId="513" priority="143" operator="lessThanOrEqual">
      <formula>99</formula>
    </cfRule>
  </conditionalFormatting>
  <conditionalFormatting sqref="D23:Z37">
    <cfRule type="cellIs" dxfId="512" priority="140" operator="greaterThanOrEqual">
      <formula>100</formula>
    </cfRule>
    <cfRule type="cellIs" dxfId="511" priority="139" operator="lessThanOrEqual">
      <formula>99</formula>
    </cfRule>
  </conditionalFormatting>
  <conditionalFormatting sqref="D39:Z49">
    <cfRule type="cellIs" dxfId="510" priority="138" operator="greaterThanOrEqual">
      <formula>100</formula>
    </cfRule>
    <cfRule type="cellIs" dxfId="509" priority="137" operator="lessThanOrEqual">
      <formula>99</formula>
    </cfRule>
  </conditionalFormatting>
  <conditionalFormatting sqref="D58:Z62">
    <cfRule type="cellIs" dxfId="508" priority="134" operator="greaterThanOrEqual">
      <formula>100</formula>
    </cfRule>
    <cfRule type="cellIs" dxfId="507" priority="133" operator="lessThanOrEqual">
      <formula>99</formula>
    </cfRule>
  </conditionalFormatting>
  <conditionalFormatting sqref="D64:Z78">
    <cfRule type="cellIs" dxfId="506" priority="132" operator="greaterThanOrEqual">
      <formula>100</formula>
    </cfRule>
    <cfRule type="cellIs" dxfId="505" priority="131" operator="lessThanOrEqual">
      <formula>99</formula>
    </cfRule>
  </conditionalFormatting>
  <conditionalFormatting sqref="D80:Z90">
    <cfRule type="cellIs" dxfId="504" priority="130" operator="greaterThanOrEqual">
      <formula>100</formula>
    </cfRule>
    <cfRule type="cellIs" dxfId="503" priority="129" operator="lessThanOrEqual">
      <formula>99</formula>
    </cfRule>
  </conditionalFormatting>
  <conditionalFormatting sqref="F52:Z56">
    <cfRule type="cellIs" dxfId="502" priority="146" operator="greaterThanOrEqual">
      <formula>100</formula>
    </cfRule>
    <cfRule type="cellIs" dxfId="501" priority="145" operator="lessThanOrEqual">
      <formula>99</formula>
    </cfRule>
  </conditionalFormatting>
  <conditionalFormatting sqref="G17:Z21">
    <cfRule type="cellIs" dxfId="500" priority="148" operator="greaterThanOrEqual">
      <formula>100</formula>
    </cfRule>
    <cfRule type="cellIs" dxfId="499" priority="147" operator="lessThanOrEqual">
      <formula>99</formula>
    </cfRule>
  </conditionalFormatting>
  <conditionalFormatting sqref="AB11:AC37">
    <cfRule type="cellIs" dxfId="498" priority="89" stopIfTrue="1" operator="equal">
      <formula>0</formula>
    </cfRule>
    <cfRule type="cellIs" dxfId="497" priority="92" stopIfTrue="1" operator="greaterThanOrEqual">
      <formula>100</formula>
    </cfRule>
    <cfRule type="cellIs" dxfId="496" priority="91" stopIfTrue="1" operator="between">
      <formula>-99.999999999999</formula>
      <formula>99.999999999999</formula>
    </cfRule>
    <cfRule type="cellIs" dxfId="495" priority="90" stopIfTrue="1" operator="lessThanOrEqual">
      <formula>-100</formula>
    </cfRule>
  </conditionalFormatting>
  <conditionalFormatting sqref="AB52:AC90">
    <cfRule type="cellIs" dxfId="494" priority="82" stopIfTrue="1" operator="lessThanOrEqual">
      <formula>-100</formula>
    </cfRule>
    <cfRule type="cellIs" dxfId="493" priority="81" stopIfTrue="1" operator="equal">
      <formula>0</formula>
    </cfRule>
    <cfRule type="cellIs" dxfId="492" priority="84" stopIfTrue="1" operator="greaterThanOrEqual">
      <formula>100</formula>
    </cfRule>
    <cfRule type="cellIs" dxfId="491" priority="83" stopIfTrue="1" operator="between">
      <formula>-99.999999999999</formula>
      <formula>99.999999999999</formula>
    </cfRule>
  </conditionalFormatting>
  <conditionalFormatting sqref="AB39:AD49">
    <cfRule type="cellIs" dxfId="490" priority="39" stopIfTrue="1" operator="between">
      <formula>-99.999999999999</formula>
      <formula>99.999999999999</formula>
    </cfRule>
    <cfRule type="cellIs" dxfId="489" priority="40" stopIfTrue="1" operator="greaterThanOrEqual">
      <formula>100</formula>
    </cfRule>
    <cfRule type="cellIs" dxfId="488" priority="37" stopIfTrue="1" operator="equal">
      <formula>0</formula>
    </cfRule>
    <cfRule type="cellIs" dxfId="487" priority="38" stopIfTrue="1" operator="lessThanOrEqual">
      <formula>-100</formula>
    </cfRule>
  </conditionalFormatting>
  <conditionalFormatting sqref="AD11:AD15">
    <cfRule type="cellIs" dxfId="486" priority="57" operator="lessThanOrEqual">
      <formula>99</formula>
    </cfRule>
    <cfRule type="cellIs" dxfId="485" priority="58" operator="greaterThanOrEqual">
      <formula>100</formula>
    </cfRule>
  </conditionalFormatting>
  <conditionalFormatting sqref="AD11:AD16">
    <cfRule type="cellIs" dxfId="484" priority="64" stopIfTrue="1" operator="greaterThanOrEqual">
      <formula>100</formula>
    </cfRule>
    <cfRule type="cellIs" dxfId="483" priority="61" stopIfTrue="1" operator="equal">
      <formula>0</formula>
    </cfRule>
    <cfRule type="cellIs" dxfId="482" priority="62" stopIfTrue="1" operator="lessThanOrEqual">
      <formula>-100</formula>
    </cfRule>
    <cfRule type="cellIs" dxfId="481" priority="63" stopIfTrue="1" operator="between">
      <formula>-99.999999999999</formula>
      <formula>99.999999999999</formula>
    </cfRule>
  </conditionalFormatting>
  <conditionalFormatting sqref="AD17:AD21">
    <cfRule type="cellIs" dxfId="480" priority="50" operator="greaterThanOrEqual">
      <formula>100</formula>
    </cfRule>
    <cfRule type="cellIs" dxfId="479" priority="49" operator="lessThanOrEqual">
      <formula>99</formula>
    </cfRule>
  </conditionalFormatting>
  <conditionalFormatting sqref="AD17:AD22">
    <cfRule type="cellIs" dxfId="478" priority="56" stopIfTrue="1" operator="greaterThanOrEqual">
      <formula>100</formula>
    </cfRule>
    <cfRule type="cellIs" dxfId="477" priority="55" stopIfTrue="1" operator="between">
      <formula>-99.999999999999</formula>
      <formula>99.999999999999</formula>
    </cfRule>
    <cfRule type="cellIs" dxfId="476" priority="54" stopIfTrue="1" operator="lessThanOrEqual">
      <formula>-100</formula>
    </cfRule>
    <cfRule type="cellIs" dxfId="475" priority="53" stopIfTrue="1" operator="equal">
      <formula>0</formula>
    </cfRule>
  </conditionalFormatting>
  <conditionalFormatting sqref="AD23:AD37">
    <cfRule type="cellIs" dxfId="474" priority="45" stopIfTrue="1" operator="equal">
      <formula>0</formula>
    </cfRule>
    <cfRule type="cellIs" dxfId="473" priority="48" stopIfTrue="1" operator="greaterThanOrEqual">
      <formula>100</formula>
    </cfRule>
    <cfRule type="cellIs" dxfId="472" priority="47" stopIfTrue="1" operator="between">
      <formula>-99.999999999999</formula>
      <formula>99.999999999999</formula>
    </cfRule>
    <cfRule type="cellIs" dxfId="471" priority="46" stopIfTrue="1" operator="lessThanOrEqual">
      <formula>-100</formula>
    </cfRule>
    <cfRule type="cellIs" dxfId="470" priority="42" operator="greaterThanOrEqual">
      <formula>100</formula>
    </cfRule>
    <cfRule type="cellIs" dxfId="469" priority="41" operator="lessThanOrEqual">
      <formula>99</formula>
    </cfRule>
  </conditionalFormatting>
  <conditionalFormatting sqref="AD39:AD49">
    <cfRule type="cellIs" dxfId="468" priority="33" operator="lessThanOrEqual">
      <formula>99</formula>
    </cfRule>
    <cfRule type="cellIs" dxfId="467" priority="34" operator="greaterThanOrEqual">
      <formula>100</formula>
    </cfRule>
  </conditionalFormatting>
  <conditionalFormatting sqref="AD52:AD56">
    <cfRule type="cellIs" dxfId="466" priority="26" operator="greaterThanOrEqual">
      <formula>100</formula>
    </cfRule>
    <cfRule type="cellIs" dxfId="465" priority="25" operator="lessThanOrEqual">
      <formula>99</formula>
    </cfRule>
  </conditionalFormatting>
  <conditionalFormatting sqref="AD52:AD57">
    <cfRule type="cellIs" dxfId="464" priority="32" stopIfTrue="1" operator="greaterThanOrEqual">
      <formula>100</formula>
    </cfRule>
    <cfRule type="cellIs" dxfId="463" priority="31" stopIfTrue="1" operator="between">
      <formula>-99.999999999999</formula>
      <formula>99.999999999999</formula>
    </cfRule>
    <cfRule type="cellIs" dxfId="462" priority="30" stopIfTrue="1" operator="lessThanOrEqual">
      <formula>-100</formula>
    </cfRule>
    <cfRule type="cellIs" dxfId="461" priority="29" stopIfTrue="1" operator="equal">
      <formula>0</formula>
    </cfRule>
  </conditionalFormatting>
  <conditionalFormatting sqref="AD58:AD62">
    <cfRule type="cellIs" dxfId="460" priority="18" operator="greaterThanOrEqual">
      <formula>100</formula>
    </cfRule>
    <cfRule type="cellIs" dxfId="459" priority="17" operator="lessThanOrEqual">
      <formula>99</formula>
    </cfRule>
  </conditionalFormatting>
  <conditionalFormatting sqref="AD58:AD63">
    <cfRule type="cellIs" dxfId="458" priority="24" stopIfTrue="1" operator="greaterThanOrEqual">
      <formula>100</formula>
    </cfRule>
    <cfRule type="cellIs" dxfId="457" priority="23" stopIfTrue="1" operator="between">
      <formula>-99.999999999999</formula>
      <formula>99.999999999999</formula>
    </cfRule>
    <cfRule type="cellIs" dxfId="456" priority="22" stopIfTrue="1" operator="lessThanOrEqual">
      <formula>-100</formula>
    </cfRule>
    <cfRule type="cellIs" dxfId="455" priority="21" stopIfTrue="1" operator="equal">
      <formula>0</formula>
    </cfRule>
  </conditionalFormatting>
  <conditionalFormatting sqref="AD64:AD78">
    <cfRule type="cellIs" dxfId="454" priority="10" operator="greaterThanOrEqual">
      <formula>100</formula>
    </cfRule>
    <cfRule type="cellIs" dxfId="453" priority="9" operator="lessThanOrEqual">
      <formula>99</formula>
    </cfRule>
  </conditionalFormatting>
  <conditionalFormatting sqref="AD64:AD79">
    <cfRule type="cellIs" dxfId="452" priority="16" stopIfTrue="1" operator="greaterThanOrEqual">
      <formula>100</formula>
    </cfRule>
    <cfRule type="cellIs" dxfId="451" priority="14" stopIfTrue="1" operator="lessThanOrEqual">
      <formula>-100</formula>
    </cfRule>
    <cfRule type="cellIs" dxfId="450" priority="13" stopIfTrue="1" operator="equal">
      <formula>0</formula>
    </cfRule>
    <cfRule type="cellIs" dxfId="449" priority="15" stopIfTrue="1" operator="between">
      <formula>-99.999999999999</formula>
      <formula>99.999999999999</formula>
    </cfRule>
  </conditionalFormatting>
  <conditionalFormatting sqref="AD80:AD90">
    <cfRule type="cellIs" dxfId="448" priority="2" operator="greaterThanOrEqual">
      <formula>100</formula>
    </cfRule>
    <cfRule type="cellIs" dxfId="447" priority="1" operator="lessThanOrEqual">
      <formula>99</formula>
    </cfRule>
    <cfRule type="cellIs" dxfId="446" priority="8" stopIfTrue="1" operator="greaterThanOrEqual">
      <formula>100</formula>
    </cfRule>
    <cfRule type="cellIs" dxfId="445" priority="7" stopIfTrue="1" operator="between">
      <formula>-99.999999999999</formula>
      <formula>99.999999999999</formula>
    </cfRule>
    <cfRule type="cellIs" dxfId="444" priority="6" stopIfTrue="1" operator="lessThanOrEqual">
      <formula>-100</formula>
    </cfRule>
    <cfRule type="cellIs" dxfId="443" priority="5" stopIfTrue="1" operator="equal">
      <formula>0</formula>
    </cfRule>
  </conditionalFormatting>
  <pageMargins left="0.7" right="0.7" top="0.75" bottom="0.75" header="0.3" footer="0.3"/>
  <pageSetup paperSize="9" scale="30"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57ED-2423-46F5-93A2-DD5E5C790383}">
  <sheetPr>
    <pageSetUpPr fitToPage="1"/>
  </sheetPr>
  <dimension ref="B6:AD101"/>
  <sheetViews>
    <sheetView zoomScaleNormal="100" workbookViewId="0"/>
  </sheetViews>
  <sheetFormatPr defaultColWidth="9.140625" defaultRowHeight="15" x14ac:dyDescent="0.25"/>
  <cols>
    <col min="1" max="1" width="9.140625" style="20"/>
    <col min="2" max="2" width="28" style="20" customWidth="1"/>
    <col min="3" max="3" width="5.5703125" style="20" customWidth="1"/>
    <col min="4" max="6" width="8.7109375" style="20" customWidth="1"/>
    <col min="7" max="20" width="9.5703125" style="20" customWidth="1"/>
    <col min="21" max="30" width="9.7109375" style="20" customWidth="1"/>
    <col min="31" max="16384" width="9.140625" style="20"/>
  </cols>
  <sheetData>
    <row r="6" spans="2:30" ht="12" customHeight="1" x14ac:dyDescent="0.25">
      <c r="B6" s="247"/>
      <c r="C6" s="32"/>
      <c r="D6" s="32"/>
      <c r="E6" s="32"/>
      <c r="F6" s="32"/>
      <c r="G6" s="32"/>
      <c r="H6" s="32"/>
      <c r="I6" s="32"/>
      <c r="J6" s="32"/>
      <c r="K6" s="32"/>
      <c r="L6" s="32"/>
      <c r="M6" s="32"/>
      <c r="N6" s="32"/>
      <c r="O6" s="32"/>
      <c r="P6" s="32"/>
      <c r="Q6" s="32"/>
      <c r="R6" s="32"/>
      <c r="S6" s="32"/>
      <c r="T6" s="32"/>
      <c r="U6" s="32"/>
      <c r="V6" s="32"/>
      <c r="W6" s="32"/>
      <c r="X6" s="32"/>
      <c r="Y6" s="32"/>
      <c r="Z6" s="32"/>
      <c r="AA6" s="29"/>
      <c r="AB6" s="29"/>
      <c r="AC6" s="29"/>
      <c r="AD6" s="29" t="s">
        <v>0</v>
      </c>
    </row>
    <row r="7" spans="2:30" ht="27" customHeight="1" x14ac:dyDescent="0.25">
      <c r="B7" s="322" t="s">
        <v>410</v>
      </c>
      <c r="C7" s="322"/>
      <c r="D7" s="322"/>
      <c r="E7" s="322"/>
      <c r="F7" s="322"/>
      <c r="G7" s="322"/>
      <c r="H7" s="322"/>
      <c r="I7" s="322"/>
      <c r="J7" s="322"/>
      <c r="K7" s="322"/>
      <c r="L7" s="322"/>
      <c r="M7" s="322"/>
      <c r="N7" s="322"/>
      <c r="O7" s="322"/>
      <c r="P7" s="322"/>
      <c r="Q7" s="322"/>
      <c r="R7" s="322"/>
      <c r="S7" s="322"/>
      <c r="T7" s="352"/>
      <c r="U7" s="352"/>
      <c r="V7" s="352"/>
      <c r="W7" s="352"/>
      <c r="X7" s="352"/>
      <c r="Y7" s="352"/>
      <c r="Z7" s="352"/>
      <c r="AA7" s="47"/>
      <c r="AB7" s="47"/>
      <c r="AC7" s="47"/>
      <c r="AD7" s="47"/>
    </row>
    <row r="8" spans="2:30" ht="12.6" customHeight="1" x14ac:dyDescent="0.25">
      <c r="B8" s="27" t="s">
        <v>2</v>
      </c>
      <c r="C8" s="28"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547</v>
      </c>
    </row>
    <row r="9" spans="2:30" ht="11.1" customHeight="1" x14ac:dyDescent="0.25">
      <c r="B9" s="366" t="s">
        <v>34</v>
      </c>
      <c r="C9" s="366"/>
      <c r="D9" s="366"/>
      <c r="E9" s="366"/>
      <c r="F9" s="366"/>
      <c r="G9" s="366"/>
      <c r="H9" s="366"/>
      <c r="I9" s="366"/>
      <c r="J9" s="366"/>
      <c r="K9" s="366"/>
      <c r="L9" s="366"/>
      <c r="M9" s="366"/>
      <c r="N9" s="366"/>
      <c r="O9" s="366"/>
      <c r="P9" s="366"/>
      <c r="Q9" s="366"/>
      <c r="R9" s="366"/>
      <c r="S9" s="366"/>
      <c r="T9" s="353" t="s">
        <v>35</v>
      </c>
      <c r="U9" s="353" t="s">
        <v>6</v>
      </c>
      <c r="V9" s="353" t="s">
        <v>35</v>
      </c>
      <c r="W9" s="353" t="s">
        <v>6</v>
      </c>
      <c r="X9" s="353" t="s">
        <v>35</v>
      </c>
      <c r="Y9" s="353"/>
      <c r="Z9" s="353" t="s">
        <v>6</v>
      </c>
      <c r="AA9" s="30"/>
      <c r="AB9" s="30"/>
      <c r="AC9" s="30"/>
      <c r="AD9" s="30"/>
    </row>
    <row r="10" spans="2:30" ht="11.1" customHeight="1" x14ac:dyDescent="0.25">
      <c r="B10" s="366" t="s">
        <v>36</v>
      </c>
      <c r="C10" s="366"/>
      <c r="D10" s="366"/>
      <c r="E10" s="366"/>
      <c r="F10" s="366"/>
      <c r="G10" s="366"/>
      <c r="H10" s="366"/>
      <c r="I10" s="366"/>
      <c r="J10" s="366"/>
      <c r="K10" s="366"/>
      <c r="L10" s="366"/>
      <c r="M10" s="366"/>
      <c r="N10" s="366"/>
      <c r="O10" s="366"/>
      <c r="P10" s="366"/>
      <c r="Q10" s="366"/>
      <c r="R10" s="366"/>
      <c r="S10" s="366"/>
      <c r="T10" s="353"/>
      <c r="U10" s="353"/>
      <c r="V10" s="353"/>
      <c r="W10" s="353"/>
      <c r="X10" s="353"/>
      <c r="Y10" s="353"/>
      <c r="Z10" s="353"/>
      <c r="AA10" s="30"/>
      <c r="AB10" s="30"/>
      <c r="AC10" s="30"/>
      <c r="AD10" s="30"/>
    </row>
    <row r="11" spans="2:30" ht="11.1" customHeight="1" x14ac:dyDescent="0.25">
      <c r="B11" s="12" t="s">
        <v>96</v>
      </c>
      <c r="C11" s="8" t="s">
        <v>6</v>
      </c>
      <c r="D11" s="31">
        <v>261457</v>
      </c>
      <c r="E11" s="31">
        <v>385612</v>
      </c>
      <c r="F11" s="31">
        <v>304057</v>
      </c>
      <c r="G11" s="31">
        <v>305268</v>
      </c>
      <c r="H11" s="31">
        <v>281023</v>
      </c>
      <c r="I11" s="31">
        <v>261434</v>
      </c>
      <c r="J11" s="31">
        <v>264659</v>
      </c>
      <c r="K11" s="31">
        <v>292242</v>
      </c>
      <c r="L11" s="31">
        <v>246839</v>
      </c>
      <c r="M11" s="31">
        <v>218480</v>
      </c>
      <c r="N11" s="31">
        <v>191695</v>
      </c>
      <c r="O11" s="31">
        <v>184102</v>
      </c>
      <c r="P11" s="31">
        <v>184419</v>
      </c>
      <c r="Q11" s="31">
        <v>177149</v>
      </c>
      <c r="R11" s="31">
        <v>237049</v>
      </c>
      <c r="S11" s="31">
        <v>321229</v>
      </c>
      <c r="T11" s="31">
        <v>385884</v>
      </c>
      <c r="U11" s="31">
        <v>394129</v>
      </c>
      <c r="V11" s="31">
        <v>401165</v>
      </c>
      <c r="W11" s="31">
        <v>438140</v>
      </c>
      <c r="X11" s="31">
        <v>407707</v>
      </c>
      <c r="Y11" s="31">
        <v>272843</v>
      </c>
      <c r="Z11" s="31">
        <v>224569</v>
      </c>
      <c r="AA11" s="87">
        <v>209747</v>
      </c>
      <c r="AB11" s="87">
        <v>258731</v>
      </c>
      <c r="AC11" s="87">
        <v>285757</v>
      </c>
      <c r="AD11" s="10" t="s">
        <v>19</v>
      </c>
    </row>
    <row r="12" spans="2:30" ht="11.1" customHeight="1" x14ac:dyDescent="0.25">
      <c r="B12" s="12" t="s">
        <v>87</v>
      </c>
      <c r="C12" s="8" t="s">
        <v>6</v>
      </c>
      <c r="D12" s="31">
        <v>62329</v>
      </c>
      <c r="E12" s="31">
        <v>74783</v>
      </c>
      <c r="F12" s="31">
        <v>41959</v>
      </c>
      <c r="G12" s="31">
        <v>47068</v>
      </c>
      <c r="H12" s="31">
        <v>49821</v>
      </c>
      <c r="I12" s="31">
        <v>45497</v>
      </c>
      <c r="J12" s="31">
        <v>43858</v>
      </c>
      <c r="K12" s="31">
        <v>38983</v>
      </c>
      <c r="L12" s="31">
        <v>28621</v>
      </c>
      <c r="M12" s="31">
        <v>28748</v>
      </c>
      <c r="N12" s="31">
        <v>28533</v>
      </c>
      <c r="O12" s="31">
        <v>28166</v>
      </c>
      <c r="P12" s="31">
        <v>34772</v>
      </c>
      <c r="Q12" s="31">
        <v>32907</v>
      </c>
      <c r="R12" s="31">
        <v>26716</v>
      </c>
      <c r="S12" s="31">
        <v>36006</v>
      </c>
      <c r="T12" s="31">
        <v>37330</v>
      </c>
      <c r="U12" s="31">
        <v>43388</v>
      </c>
      <c r="V12" s="31">
        <v>44703</v>
      </c>
      <c r="W12" s="31">
        <v>35316</v>
      </c>
      <c r="X12" s="31">
        <v>32496</v>
      </c>
      <c r="Y12" s="31">
        <v>31750</v>
      </c>
      <c r="Z12" s="31">
        <v>32017</v>
      </c>
      <c r="AA12" s="87">
        <v>32418</v>
      </c>
      <c r="AB12" s="87">
        <v>28292</v>
      </c>
      <c r="AC12" s="87">
        <v>18457</v>
      </c>
      <c r="AD12" s="10" t="s">
        <v>19</v>
      </c>
    </row>
    <row r="13" spans="2:30" ht="11.1" customHeight="1" x14ac:dyDescent="0.25">
      <c r="B13" s="12" t="s">
        <v>265</v>
      </c>
      <c r="C13" s="8" t="s">
        <v>6</v>
      </c>
      <c r="D13" s="31">
        <v>3608</v>
      </c>
      <c r="E13" s="31">
        <v>4405</v>
      </c>
      <c r="F13" s="31">
        <v>6462</v>
      </c>
      <c r="G13" s="31">
        <v>6713</v>
      </c>
      <c r="H13" s="31">
        <v>7325</v>
      </c>
      <c r="I13" s="31">
        <v>7429</v>
      </c>
      <c r="J13" s="31">
        <v>7646</v>
      </c>
      <c r="K13" s="31">
        <v>6725</v>
      </c>
      <c r="L13" s="31">
        <v>7340</v>
      </c>
      <c r="M13" s="31">
        <v>6921</v>
      </c>
      <c r="N13" s="31">
        <v>5887</v>
      </c>
      <c r="O13" s="31">
        <v>6941</v>
      </c>
      <c r="P13" s="31">
        <v>6898</v>
      </c>
      <c r="Q13" s="31">
        <v>5882</v>
      </c>
      <c r="R13" s="31">
        <v>5627</v>
      </c>
      <c r="S13" s="31">
        <v>6872</v>
      </c>
      <c r="T13" s="31">
        <v>7112</v>
      </c>
      <c r="U13" s="31">
        <v>8326</v>
      </c>
      <c r="V13" s="31">
        <v>10888</v>
      </c>
      <c r="W13" s="31">
        <v>10531</v>
      </c>
      <c r="X13" s="31">
        <v>12654</v>
      </c>
      <c r="Y13" s="31">
        <v>13967</v>
      </c>
      <c r="Z13" s="31">
        <v>16376</v>
      </c>
      <c r="AA13" s="87">
        <v>12956</v>
      </c>
      <c r="AB13" s="87">
        <v>14037</v>
      </c>
      <c r="AC13" s="87">
        <v>12383</v>
      </c>
      <c r="AD13" s="10" t="s">
        <v>19</v>
      </c>
    </row>
    <row r="14" spans="2:30" ht="11.1" customHeight="1" x14ac:dyDescent="0.25">
      <c r="B14" s="12" t="s">
        <v>68</v>
      </c>
      <c r="C14" s="8" t="s">
        <v>6</v>
      </c>
      <c r="D14" s="31">
        <v>193</v>
      </c>
      <c r="E14" s="31">
        <v>204</v>
      </c>
      <c r="F14" s="31">
        <v>279</v>
      </c>
      <c r="G14" s="31">
        <v>342</v>
      </c>
      <c r="H14" s="31">
        <v>285</v>
      </c>
      <c r="I14" s="31">
        <v>286</v>
      </c>
      <c r="J14" s="31">
        <v>313</v>
      </c>
      <c r="K14" s="31">
        <v>180</v>
      </c>
      <c r="L14" s="31">
        <v>122</v>
      </c>
      <c r="M14" s="31">
        <v>98</v>
      </c>
      <c r="N14" s="31">
        <v>131</v>
      </c>
      <c r="O14" s="31">
        <v>122</v>
      </c>
      <c r="P14" s="31">
        <v>149</v>
      </c>
      <c r="Q14" s="31">
        <v>84</v>
      </c>
      <c r="R14" s="31">
        <v>50</v>
      </c>
      <c r="S14" s="31">
        <v>79</v>
      </c>
      <c r="T14" s="31">
        <v>162</v>
      </c>
      <c r="U14" s="31">
        <v>59</v>
      </c>
      <c r="V14" s="31">
        <v>41</v>
      </c>
      <c r="W14" s="31">
        <v>101</v>
      </c>
      <c r="X14" s="31">
        <v>259</v>
      </c>
      <c r="Y14" s="31">
        <v>183</v>
      </c>
      <c r="Z14" s="31">
        <v>139</v>
      </c>
      <c r="AA14" s="87">
        <v>157</v>
      </c>
      <c r="AB14" s="87">
        <v>160</v>
      </c>
      <c r="AC14" s="87">
        <v>167</v>
      </c>
      <c r="AD14" s="10" t="s">
        <v>19</v>
      </c>
    </row>
    <row r="15" spans="2:30" ht="11.1" customHeight="1" x14ac:dyDescent="0.25">
      <c r="B15" s="12" t="s">
        <v>13</v>
      </c>
      <c r="C15" s="8" t="s">
        <v>6</v>
      </c>
      <c r="D15" s="31">
        <v>327587</v>
      </c>
      <c r="E15" s="31">
        <v>465004</v>
      </c>
      <c r="F15" s="31">
        <v>352757</v>
      </c>
      <c r="G15" s="31">
        <v>359391</v>
      </c>
      <c r="H15" s="31">
        <v>338454</v>
      </c>
      <c r="I15" s="31">
        <v>314646</v>
      </c>
      <c r="J15" s="31">
        <v>316476</v>
      </c>
      <c r="K15" s="31">
        <v>338130</v>
      </c>
      <c r="L15" s="31">
        <v>282922</v>
      </c>
      <c r="M15" s="31">
        <v>254247</v>
      </c>
      <c r="N15" s="31">
        <v>226246</v>
      </c>
      <c r="O15" s="31">
        <v>219331</v>
      </c>
      <c r="P15" s="31">
        <v>226238</v>
      </c>
      <c r="Q15" s="31">
        <v>216022</v>
      </c>
      <c r="R15" s="31">
        <v>269443</v>
      </c>
      <c r="S15" s="31">
        <v>364186</v>
      </c>
      <c r="T15" s="31">
        <v>430488</v>
      </c>
      <c r="U15" s="31">
        <v>445902</v>
      </c>
      <c r="V15" s="31">
        <v>456797</v>
      </c>
      <c r="W15" s="31">
        <v>484088</v>
      </c>
      <c r="X15" s="31">
        <v>453116</v>
      </c>
      <c r="Y15" s="31">
        <v>318743</v>
      </c>
      <c r="Z15" s="31">
        <v>273101</v>
      </c>
      <c r="AA15" s="87">
        <v>255278</v>
      </c>
      <c r="AB15" s="87">
        <v>301220</v>
      </c>
      <c r="AC15" s="87">
        <v>316764</v>
      </c>
      <c r="AD15" s="10" t="s">
        <v>19</v>
      </c>
    </row>
    <row r="16" spans="2:30" ht="11.1" customHeight="1" x14ac:dyDescent="0.25">
      <c r="B16" s="367" t="s">
        <v>40</v>
      </c>
      <c r="C16" s="367"/>
      <c r="D16" s="367"/>
      <c r="E16" s="367"/>
      <c r="F16" s="367"/>
      <c r="G16" s="367"/>
      <c r="H16" s="367"/>
      <c r="I16" s="367"/>
      <c r="J16" s="367"/>
      <c r="K16" s="367"/>
      <c r="L16" s="367"/>
      <c r="M16" s="367"/>
      <c r="N16" s="367"/>
      <c r="O16" s="367"/>
      <c r="P16" s="367"/>
      <c r="Q16" s="367"/>
      <c r="R16" s="367"/>
      <c r="S16" s="367"/>
      <c r="T16" s="354"/>
      <c r="U16" s="354"/>
      <c r="V16" s="354"/>
      <c r="W16" s="354"/>
      <c r="X16" s="354"/>
      <c r="Y16" s="354"/>
      <c r="Z16" s="354"/>
      <c r="AA16" s="50"/>
      <c r="AB16" s="50"/>
      <c r="AC16" s="50"/>
      <c r="AD16" s="50"/>
    </row>
    <row r="17" spans="2:30" ht="11.1" customHeight="1" x14ac:dyDescent="0.25">
      <c r="B17" s="12" t="s">
        <v>41</v>
      </c>
      <c r="C17" s="8" t="s">
        <v>6</v>
      </c>
      <c r="D17" s="31">
        <v>12944</v>
      </c>
      <c r="E17" s="31">
        <v>16340</v>
      </c>
      <c r="F17" s="31">
        <v>18632</v>
      </c>
      <c r="G17" s="31">
        <v>14599</v>
      </c>
      <c r="H17" s="31">
        <v>13177</v>
      </c>
      <c r="I17" s="31">
        <v>14180</v>
      </c>
      <c r="J17" s="31">
        <v>12650</v>
      </c>
      <c r="K17" s="31">
        <v>12828</v>
      </c>
      <c r="L17" s="31">
        <v>11067</v>
      </c>
      <c r="M17" s="31">
        <v>10450</v>
      </c>
      <c r="N17" s="31">
        <v>11205</v>
      </c>
      <c r="O17" s="31">
        <v>9228</v>
      </c>
      <c r="P17" s="31">
        <v>10193</v>
      </c>
      <c r="Q17" s="31">
        <v>10575</v>
      </c>
      <c r="R17" s="31">
        <v>9136</v>
      </c>
      <c r="S17" s="31">
        <v>8058</v>
      </c>
      <c r="T17" s="31">
        <v>8888</v>
      </c>
      <c r="U17" s="31">
        <v>6223</v>
      </c>
      <c r="V17" s="31">
        <v>7227</v>
      </c>
      <c r="W17" s="31">
        <v>5418</v>
      </c>
      <c r="X17" s="31">
        <v>4883</v>
      </c>
      <c r="Y17" s="31">
        <v>2874</v>
      </c>
      <c r="Z17" s="31">
        <v>3644</v>
      </c>
      <c r="AA17" s="87">
        <v>3397</v>
      </c>
      <c r="AB17" s="87">
        <v>2647</v>
      </c>
      <c r="AC17" s="87">
        <v>2409</v>
      </c>
      <c r="AD17" s="10" t="s">
        <v>19</v>
      </c>
    </row>
    <row r="18" spans="2:30" ht="11.1" customHeight="1" x14ac:dyDescent="0.25">
      <c r="B18" s="12" t="s">
        <v>43</v>
      </c>
      <c r="C18" s="8" t="s">
        <v>6</v>
      </c>
      <c r="D18" s="31">
        <v>10434</v>
      </c>
      <c r="E18" s="31">
        <v>17356</v>
      </c>
      <c r="F18" s="31">
        <v>14617</v>
      </c>
      <c r="G18" s="31">
        <v>6574</v>
      </c>
      <c r="H18" s="31">
        <v>22821</v>
      </c>
      <c r="I18" s="31">
        <v>8336</v>
      </c>
      <c r="J18" s="31">
        <v>23529</v>
      </c>
      <c r="K18" s="31">
        <v>9312</v>
      </c>
      <c r="L18" s="31">
        <v>8431</v>
      </c>
      <c r="M18" s="31">
        <v>17849</v>
      </c>
      <c r="N18" s="31">
        <v>13883</v>
      </c>
      <c r="O18" s="31">
        <v>9137</v>
      </c>
      <c r="P18" s="31">
        <v>14960</v>
      </c>
      <c r="Q18" s="31">
        <v>870</v>
      </c>
      <c r="R18" s="31">
        <v>1705</v>
      </c>
      <c r="S18" s="31">
        <v>1987</v>
      </c>
      <c r="T18" s="31">
        <v>3107</v>
      </c>
      <c r="U18" s="31">
        <v>4673</v>
      </c>
      <c r="V18" s="31">
        <v>15279</v>
      </c>
      <c r="W18" s="31">
        <v>13140</v>
      </c>
      <c r="X18" s="31">
        <v>5489</v>
      </c>
      <c r="Y18" s="31">
        <v>9197</v>
      </c>
      <c r="Z18" s="31">
        <v>7899</v>
      </c>
      <c r="AA18" s="87">
        <v>4676</v>
      </c>
      <c r="AB18" s="87">
        <v>12759</v>
      </c>
      <c r="AC18" s="87">
        <v>19144</v>
      </c>
      <c r="AD18" s="10" t="s">
        <v>19</v>
      </c>
    </row>
    <row r="19" spans="2:30" ht="11.1" customHeight="1" x14ac:dyDescent="0.25">
      <c r="B19" s="12" t="s">
        <v>69</v>
      </c>
      <c r="C19" s="8" t="s">
        <v>6</v>
      </c>
      <c r="D19" s="31">
        <v>406</v>
      </c>
      <c r="E19" s="31">
        <v>322</v>
      </c>
      <c r="F19" s="31">
        <v>181</v>
      </c>
      <c r="G19" s="31">
        <v>251</v>
      </c>
      <c r="H19" s="31">
        <v>720</v>
      </c>
      <c r="I19" s="31">
        <v>3989</v>
      </c>
      <c r="J19" s="31">
        <v>277</v>
      </c>
      <c r="K19" s="31">
        <v>242</v>
      </c>
      <c r="L19" s="31">
        <v>223</v>
      </c>
      <c r="M19" s="31">
        <v>154</v>
      </c>
      <c r="N19" s="31">
        <v>175</v>
      </c>
      <c r="O19" s="31">
        <v>336</v>
      </c>
      <c r="P19" s="31">
        <v>207</v>
      </c>
      <c r="Q19" s="31">
        <v>504</v>
      </c>
      <c r="R19" s="31">
        <v>483</v>
      </c>
      <c r="S19" s="31">
        <v>542</v>
      </c>
      <c r="T19" s="31">
        <v>470</v>
      </c>
      <c r="U19" s="31">
        <v>488</v>
      </c>
      <c r="V19" s="31">
        <v>570</v>
      </c>
      <c r="W19" s="31">
        <v>450</v>
      </c>
      <c r="X19" s="31">
        <v>641</v>
      </c>
      <c r="Y19" s="31">
        <v>694</v>
      </c>
      <c r="Z19" s="31">
        <v>611</v>
      </c>
      <c r="AA19" s="87">
        <v>281</v>
      </c>
      <c r="AB19" s="87">
        <v>277</v>
      </c>
      <c r="AC19" s="87">
        <v>411</v>
      </c>
      <c r="AD19" s="10" t="s">
        <v>19</v>
      </c>
    </row>
    <row r="20" spans="2:30" ht="11.1" customHeight="1" x14ac:dyDescent="0.25">
      <c r="B20" s="12" t="s">
        <v>418</v>
      </c>
      <c r="C20" s="8" t="s">
        <v>6</v>
      </c>
      <c r="D20" s="31">
        <v>13146</v>
      </c>
      <c r="E20" s="31">
        <v>13184</v>
      </c>
      <c r="F20" s="31">
        <v>13201</v>
      </c>
      <c r="G20" s="31">
        <v>13436</v>
      </c>
      <c r="H20" s="31">
        <v>13431</v>
      </c>
      <c r="I20" s="31">
        <v>13377</v>
      </c>
      <c r="J20" s="31">
        <v>13333</v>
      </c>
      <c r="K20" s="31">
        <v>13219</v>
      </c>
      <c r="L20" s="31">
        <v>13015</v>
      </c>
      <c r="M20" s="31">
        <v>5014</v>
      </c>
      <c r="N20" s="31">
        <v>6747</v>
      </c>
      <c r="O20" s="31">
        <v>2510</v>
      </c>
      <c r="P20" s="31">
        <v>4045</v>
      </c>
      <c r="Q20" s="31">
        <v>1332</v>
      </c>
      <c r="R20" s="31">
        <v>8116</v>
      </c>
      <c r="S20" s="31">
        <v>5110</v>
      </c>
      <c r="T20" s="31">
        <v>6961</v>
      </c>
      <c r="U20" s="31">
        <v>6998</v>
      </c>
      <c r="V20" s="31">
        <v>7408</v>
      </c>
      <c r="W20" s="31">
        <v>7228</v>
      </c>
      <c r="X20" s="31">
        <v>9335</v>
      </c>
      <c r="Y20" s="31">
        <v>8615</v>
      </c>
      <c r="Z20" s="31">
        <v>8991</v>
      </c>
      <c r="AA20" s="87">
        <v>12788</v>
      </c>
      <c r="AB20" s="87">
        <v>15276</v>
      </c>
      <c r="AC20" s="87">
        <v>16358</v>
      </c>
      <c r="AD20" s="10" t="s">
        <v>19</v>
      </c>
    </row>
    <row r="21" spans="2:30" ht="11.1" customHeight="1" x14ac:dyDescent="0.25">
      <c r="B21" s="12" t="s">
        <v>13</v>
      </c>
      <c r="C21" s="8" t="s">
        <v>6</v>
      </c>
      <c r="D21" s="31">
        <v>36930</v>
      </c>
      <c r="E21" s="31">
        <v>47202</v>
      </c>
      <c r="F21" s="31">
        <v>46631</v>
      </c>
      <c r="G21" s="31">
        <v>34860</v>
      </c>
      <c r="H21" s="31">
        <v>50149</v>
      </c>
      <c r="I21" s="31">
        <v>39882</v>
      </c>
      <c r="J21" s="31">
        <v>49789</v>
      </c>
      <c r="K21" s="31">
        <v>35601</v>
      </c>
      <c r="L21" s="31">
        <v>32736</v>
      </c>
      <c r="M21" s="31">
        <v>33467</v>
      </c>
      <c r="N21" s="31">
        <v>32010</v>
      </c>
      <c r="O21" s="31">
        <v>21211</v>
      </c>
      <c r="P21" s="31">
        <v>29405</v>
      </c>
      <c r="Q21" s="31">
        <v>13281</v>
      </c>
      <c r="R21" s="31">
        <v>19439</v>
      </c>
      <c r="S21" s="31">
        <v>15698</v>
      </c>
      <c r="T21" s="31">
        <v>19426</v>
      </c>
      <c r="U21" s="31">
        <v>18382</v>
      </c>
      <c r="V21" s="31">
        <v>30484</v>
      </c>
      <c r="W21" s="31">
        <v>26236</v>
      </c>
      <c r="X21" s="31">
        <v>20348</v>
      </c>
      <c r="Y21" s="31">
        <v>21380</v>
      </c>
      <c r="Z21" s="31">
        <v>21145</v>
      </c>
      <c r="AA21" s="87">
        <v>21142</v>
      </c>
      <c r="AB21" s="87">
        <v>30959</v>
      </c>
      <c r="AC21" s="87">
        <v>38322</v>
      </c>
      <c r="AD21" s="10" t="s">
        <v>19</v>
      </c>
    </row>
    <row r="22" spans="2:30" ht="11.1" customHeight="1" x14ac:dyDescent="0.25">
      <c r="B22" s="367" t="s">
        <v>196</v>
      </c>
      <c r="C22" s="367"/>
      <c r="D22" s="367"/>
      <c r="E22" s="367"/>
      <c r="F22" s="367"/>
      <c r="G22" s="367"/>
      <c r="H22" s="367"/>
      <c r="I22" s="367"/>
      <c r="J22" s="367"/>
      <c r="K22" s="367"/>
      <c r="L22" s="367"/>
      <c r="M22" s="367"/>
      <c r="N22" s="367"/>
      <c r="O22" s="367"/>
      <c r="P22" s="367"/>
      <c r="Q22" s="367"/>
      <c r="R22" s="367"/>
      <c r="S22" s="367"/>
      <c r="T22" s="354"/>
      <c r="U22" s="354"/>
      <c r="V22" s="354"/>
      <c r="W22" s="354"/>
      <c r="X22" s="354"/>
      <c r="Y22" s="354"/>
      <c r="Z22" s="354"/>
      <c r="AA22" s="50"/>
      <c r="AB22" s="50"/>
      <c r="AC22" s="50"/>
      <c r="AD22" s="50"/>
    </row>
    <row r="23" spans="2:30" ht="11.1" customHeight="1" x14ac:dyDescent="0.25">
      <c r="B23" s="12" t="s">
        <v>216</v>
      </c>
      <c r="C23" s="8" t="s">
        <v>6</v>
      </c>
      <c r="D23" s="31">
        <v>103</v>
      </c>
      <c r="E23" s="31">
        <v>203</v>
      </c>
      <c r="F23" s="31">
        <v>109</v>
      </c>
      <c r="G23" s="31">
        <v>203</v>
      </c>
      <c r="H23" s="31">
        <v>249</v>
      </c>
      <c r="I23" s="31">
        <v>94</v>
      </c>
      <c r="J23" s="31">
        <v>82</v>
      </c>
      <c r="K23" s="31">
        <v>101</v>
      </c>
      <c r="L23" s="31">
        <v>276</v>
      </c>
      <c r="M23" s="31">
        <v>218</v>
      </c>
      <c r="N23" s="31">
        <v>12</v>
      </c>
      <c r="O23" s="31">
        <v>19</v>
      </c>
      <c r="P23" s="31">
        <v>18</v>
      </c>
      <c r="Q23" s="31">
        <v>9</v>
      </c>
      <c r="R23" s="31">
        <v>18</v>
      </c>
      <c r="S23" s="31">
        <v>7</v>
      </c>
      <c r="T23" s="31">
        <v>7</v>
      </c>
      <c r="U23" s="31">
        <v>6</v>
      </c>
      <c r="V23" s="31">
        <v>17</v>
      </c>
      <c r="W23" s="31">
        <v>10</v>
      </c>
      <c r="X23" s="31">
        <v>3</v>
      </c>
      <c r="Y23" s="31">
        <v>3</v>
      </c>
      <c r="Z23" s="31">
        <v>6</v>
      </c>
      <c r="AA23" s="87">
        <v>9</v>
      </c>
      <c r="AB23" s="87">
        <v>24</v>
      </c>
      <c r="AC23" s="87">
        <v>10</v>
      </c>
      <c r="AD23" s="10" t="s">
        <v>19</v>
      </c>
    </row>
    <row r="24" spans="2:30" ht="11.1" customHeight="1" x14ac:dyDescent="0.25">
      <c r="B24" s="12" t="s">
        <v>54</v>
      </c>
      <c r="C24" s="8" t="s">
        <v>6</v>
      </c>
      <c r="D24" s="31">
        <v>4575</v>
      </c>
      <c r="E24" s="31">
        <v>3609</v>
      </c>
      <c r="F24" s="31">
        <v>4122</v>
      </c>
      <c r="G24" s="31">
        <v>4479</v>
      </c>
      <c r="H24" s="31">
        <v>4803</v>
      </c>
      <c r="I24" s="31">
        <v>5631</v>
      </c>
      <c r="J24" s="31">
        <v>6585</v>
      </c>
      <c r="K24" s="31">
        <v>5092</v>
      </c>
      <c r="L24" s="31">
        <v>4091</v>
      </c>
      <c r="M24" s="31">
        <v>5067</v>
      </c>
      <c r="N24" s="31">
        <v>4301</v>
      </c>
      <c r="O24" s="31">
        <v>3706</v>
      </c>
      <c r="P24" s="31">
        <v>3024</v>
      </c>
      <c r="Q24" s="31">
        <v>3725</v>
      </c>
      <c r="R24" s="31">
        <v>3824</v>
      </c>
      <c r="S24" s="31">
        <v>3573</v>
      </c>
      <c r="T24" s="31">
        <v>3678</v>
      </c>
      <c r="U24" s="31">
        <v>3600</v>
      </c>
      <c r="V24" s="31">
        <v>3507</v>
      </c>
      <c r="W24" s="31">
        <v>3188</v>
      </c>
      <c r="X24" s="31">
        <v>3096</v>
      </c>
      <c r="Y24" s="31">
        <v>2813</v>
      </c>
      <c r="Z24" s="31">
        <v>3460</v>
      </c>
      <c r="AA24" s="87">
        <v>4096</v>
      </c>
      <c r="AB24" s="87">
        <v>3562</v>
      </c>
      <c r="AC24" s="87">
        <v>3600</v>
      </c>
      <c r="AD24" s="10" t="s">
        <v>19</v>
      </c>
    </row>
    <row r="25" spans="2:30" ht="11.1" customHeight="1" x14ac:dyDescent="0.25">
      <c r="B25" s="12" t="s">
        <v>419</v>
      </c>
      <c r="C25" s="8" t="s">
        <v>6</v>
      </c>
      <c r="D25" s="31" t="s">
        <v>19</v>
      </c>
      <c r="E25" s="31" t="s">
        <v>19</v>
      </c>
      <c r="F25" s="31">
        <v>1133</v>
      </c>
      <c r="G25" s="31">
        <v>1292</v>
      </c>
      <c r="H25" s="31">
        <v>1367</v>
      </c>
      <c r="I25" s="31">
        <v>1521</v>
      </c>
      <c r="J25" s="31">
        <v>2040</v>
      </c>
      <c r="K25" s="31">
        <v>1199</v>
      </c>
      <c r="L25" s="31">
        <v>895</v>
      </c>
      <c r="M25" s="31">
        <v>1109</v>
      </c>
      <c r="N25" s="31">
        <v>1002</v>
      </c>
      <c r="O25" s="31">
        <v>720</v>
      </c>
      <c r="P25" s="31">
        <v>613</v>
      </c>
      <c r="Q25" s="31">
        <v>407</v>
      </c>
      <c r="R25" s="31">
        <v>450</v>
      </c>
      <c r="S25" s="31">
        <v>343</v>
      </c>
      <c r="T25" s="31">
        <v>362</v>
      </c>
      <c r="U25" s="31" t="s">
        <v>19</v>
      </c>
      <c r="V25" s="31" t="s">
        <v>19</v>
      </c>
      <c r="W25" s="31" t="s">
        <v>19</v>
      </c>
      <c r="X25" s="31" t="s">
        <v>19</v>
      </c>
      <c r="Y25" s="31" t="s">
        <v>19</v>
      </c>
      <c r="Z25" s="31" t="s">
        <v>19</v>
      </c>
      <c r="AA25" s="87" t="s">
        <v>19</v>
      </c>
      <c r="AB25" s="87" t="s">
        <v>19</v>
      </c>
      <c r="AC25" s="87" t="s">
        <v>19</v>
      </c>
      <c r="AD25" s="10" t="s">
        <v>19</v>
      </c>
    </row>
    <row r="26" spans="2:30" ht="11.1" customHeight="1" x14ac:dyDescent="0.25">
      <c r="B26" s="12" t="s">
        <v>397</v>
      </c>
      <c r="C26" s="8" t="s">
        <v>6</v>
      </c>
      <c r="D26" s="31">
        <v>841</v>
      </c>
      <c r="E26" s="31">
        <v>1299</v>
      </c>
      <c r="F26" s="31">
        <v>870</v>
      </c>
      <c r="G26" s="31">
        <v>1127</v>
      </c>
      <c r="H26" s="31">
        <v>798</v>
      </c>
      <c r="I26" s="31">
        <v>1068</v>
      </c>
      <c r="J26" s="31">
        <v>540</v>
      </c>
      <c r="K26" s="31">
        <v>879</v>
      </c>
      <c r="L26" s="31">
        <v>451</v>
      </c>
      <c r="M26" s="31">
        <v>294</v>
      </c>
      <c r="N26" s="31">
        <v>424</v>
      </c>
      <c r="O26" s="31">
        <v>147</v>
      </c>
      <c r="P26" s="31">
        <v>44</v>
      </c>
      <c r="Q26" s="31">
        <v>124</v>
      </c>
      <c r="R26" s="31">
        <v>162</v>
      </c>
      <c r="S26" s="31">
        <v>164</v>
      </c>
      <c r="T26" s="31">
        <v>94</v>
      </c>
      <c r="U26" s="31">
        <v>95</v>
      </c>
      <c r="V26" s="31">
        <v>115</v>
      </c>
      <c r="W26" s="31">
        <v>176</v>
      </c>
      <c r="X26" s="31">
        <v>193</v>
      </c>
      <c r="Y26" s="31">
        <v>116</v>
      </c>
      <c r="Z26" s="31">
        <v>124</v>
      </c>
      <c r="AA26" s="87">
        <v>124</v>
      </c>
      <c r="AB26" s="87">
        <v>35</v>
      </c>
      <c r="AC26" s="87">
        <v>186</v>
      </c>
      <c r="AD26" s="10" t="s">
        <v>19</v>
      </c>
    </row>
    <row r="27" spans="2:30" ht="11.1" customHeight="1" x14ac:dyDescent="0.25">
      <c r="B27" s="12" t="s">
        <v>411</v>
      </c>
      <c r="C27" s="8" t="s">
        <v>6</v>
      </c>
      <c r="D27" s="31">
        <v>960</v>
      </c>
      <c r="E27" s="31">
        <v>1126</v>
      </c>
      <c r="F27" s="31">
        <v>700</v>
      </c>
      <c r="G27" s="31">
        <v>759</v>
      </c>
      <c r="H27" s="31">
        <v>915</v>
      </c>
      <c r="I27" s="31">
        <v>676</v>
      </c>
      <c r="J27" s="31">
        <v>644</v>
      </c>
      <c r="K27" s="31">
        <v>538</v>
      </c>
      <c r="L27" s="31">
        <v>583</v>
      </c>
      <c r="M27" s="31">
        <v>776</v>
      </c>
      <c r="N27" s="31">
        <v>752</v>
      </c>
      <c r="O27" s="31">
        <v>545</v>
      </c>
      <c r="P27" s="31">
        <v>404</v>
      </c>
      <c r="Q27" s="31">
        <v>356</v>
      </c>
      <c r="R27" s="31">
        <v>277</v>
      </c>
      <c r="S27" s="31">
        <v>284</v>
      </c>
      <c r="T27" s="31">
        <v>255</v>
      </c>
      <c r="U27" s="31">
        <v>278</v>
      </c>
      <c r="V27" s="31">
        <v>223</v>
      </c>
      <c r="W27" s="31">
        <v>173</v>
      </c>
      <c r="X27" s="31">
        <v>142</v>
      </c>
      <c r="Y27" s="31">
        <v>148</v>
      </c>
      <c r="Z27" s="31">
        <v>124</v>
      </c>
      <c r="AA27" s="87">
        <v>121</v>
      </c>
      <c r="AB27" s="87">
        <v>95</v>
      </c>
      <c r="AC27" s="87">
        <v>89</v>
      </c>
      <c r="AD27" s="10" t="s">
        <v>19</v>
      </c>
    </row>
    <row r="28" spans="2:30" ht="11.1" customHeight="1" x14ac:dyDescent="0.25">
      <c r="B28" s="12" t="s">
        <v>412</v>
      </c>
      <c r="C28" s="8" t="s">
        <v>6</v>
      </c>
      <c r="D28" s="31">
        <v>1987</v>
      </c>
      <c r="E28" s="31">
        <v>1900</v>
      </c>
      <c r="F28" s="31">
        <v>1986</v>
      </c>
      <c r="G28" s="31">
        <v>2277</v>
      </c>
      <c r="H28" s="31">
        <v>2301</v>
      </c>
      <c r="I28" s="31">
        <v>2133</v>
      </c>
      <c r="J28" s="31">
        <v>3070</v>
      </c>
      <c r="K28" s="31">
        <v>2878</v>
      </c>
      <c r="L28" s="31">
        <v>2257</v>
      </c>
      <c r="M28" s="31">
        <v>1599</v>
      </c>
      <c r="N28" s="31">
        <v>1177</v>
      </c>
      <c r="O28" s="31">
        <v>1083</v>
      </c>
      <c r="P28" s="31">
        <v>1011</v>
      </c>
      <c r="Q28" s="31">
        <v>1480</v>
      </c>
      <c r="R28" s="31">
        <v>1420</v>
      </c>
      <c r="S28" s="31">
        <v>1013</v>
      </c>
      <c r="T28" s="31">
        <v>886</v>
      </c>
      <c r="U28" s="31">
        <v>691</v>
      </c>
      <c r="V28" s="31">
        <v>622</v>
      </c>
      <c r="W28" s="31">
        <v>680</v>
      </c>
      <c r="X28" s="31">
        <v>981</v>
      </c>
      <c r="Y28" s="31">
        <v>1130</v>
      </c>
      <c r="Z28" s="31">
        <v>1044</v>
      </c>
      <c r="AA28" s="87">
        <v>922</v>
      </c>
      <c r="AB28" s="87">
        <v>915</v>
      </c>
      <c r="AC28" s="87">
        <v>1028</v>
      </c>
      <c r="AD28" s="10" t="s">
        <v>19</v>
      </c>
    </row>
    <row r="29" spans="2:30" ht="11.1" customHeight="1" x14ac:dyDescent="0.25">
      <c r="B29" s="12" t="s">
        <v>98</v>
      </c>
      <c r="C29" s="8" t="s">
        <v>6</v>
      </c>
      <c r="D29" s="31">
        <v>2182</v>
      </c>
      <c r="E29" s="31">
        <v>2115</v>
      </c>
      <c r="F29" s="31">
        <v>2221</v>
      </c>
      <c r="G29" s="31">
        <v>2762</v>
      </c>
      <c r="H29" s="31">
        <v>2560</v>
      </c>
      <c r="I29" s="31">
        <v>3174</v>
      </c>
      <c r="J29" s="31">
        <v>2250</v>
      </c>
      <c r="K29" s="31">
        <v>1704</v>
      </c>
      <c r="L29" s="31">
        <v>1792</v>
      </c>
      <c r="M29" s="31">
        <v>1937</v>
      </c>
      <c r="N29" s="31">
        <v>1886</v>
      </c>
      <c r="O29" s="31">
        <v>1783</v>
      </c>
      <c r="P29" s="31">
        <v>1732</v>
      </c>
      <c r="Q29" s="31">
        <v>2517</v>
      </c>
      <c r="R29" s="31">
        <v>2575</v>
      </c>
      <c r="S29" s="31">
        <v>2407</v>
      </c>
      <c r="T29" s="31">
        <v>2454</v>
      </c>
      <c r="U29" s="31">
        <v>2517</v>
      </c>
      <c r="V29" s="31">
        <v>2738</v>
      </c>
      <c r="W29" s="31">
        <v>2472</v>
      </c>
      <c r="X29" s="31">
        <v>2491</v>
      </c>
      <c r="Y29" s="31">
        <v>3162</v>
      </c>
      <c r="Z29" s="31">
        <v>3557</v>
      </c>
      <c r="AA29" s="87">
        <v>3105</v>
      </c>
      <c r="AB29" s="87">
        <v>2838</v>
      </c>
      <c r="AC29" s="87">
        <v>3306</v>
      </c>
      <c r="AD29" s="10" t="s">
        <v>19</v>
      </c>
    </row>
    <row r="30" spans="2:30" ht="11.1" customHeight="1" x14ac:dyDescent="0.25">
      <c r="B30" s="12" t="s">
        <v>342</v>
      </c>
      <c r="C30" s="8" t="s">
        <v>6</v>
      </c>
      <c r="D30" s="31">
        <v>779</v>
      </c>
      <c r="E30" s="31">
        <v>744</v>
      </c>
      <c r="F30" s="31">
        <v>555</v>
      </c>
      <c r="G30" s="31">
        <v>696</v>
      </c>
      <c r="H30" s="31">
        <v>519</v>
      </c>
      <c r="I30" s="31">
        <v>671</v>
      </c>
      <c r="J30" s="31">
        <v>548</v>
      </c>
      <c r="K30" s="31">
        <v>444</v>
      </c>
      <c r="L30" s="31">
        <v>493</v>
      </c>
      <c r="M30" s="31">
        <v>572</v>
      </c>
      <c r="N30" s="31">
        <v>538</v>
      </c>
      <c r="O30" s="31">
        <v>604</v>
      </c>
      <c r="P30" s="31">
        <v>519</v>
      </c>
      <c r="Q30" s="31">
        <v>608</v>
      </c>
      <c r="R30" s="31">
        <v>392</v>
      </c>
      <c r="S30" s="31">
        <v>600</v>
      </c>
      <c r="T30" s="31">
        <v>491</v>
      </c>
      <c r="U30" s="31">
        <v>466</v>
      </c>
      <c r="V30" s="31">
        <v>467</v>
      </c>
      <c r="W30" s="31">
        <v>513</v>
      </c>
      <c r="X30" s="31">
        <v>447</v>
      </c>
      <c r="Y30" s="31">
        <v>589</v>
      </c>
      <c r="Z30" s="31">
        <v>487</v>
      </c>
      <c r="AA30" s="87">
        <v>477</v>
      </c>
      <c r="AB30" s="87">
        <v>561</v>
      </c>
      <c r="AC30" s="87">
        <v>635</v>
      </c>
      <c r="AD30" s="10" t="s">
        <v>19</v>
      </c>
    </row>
    <row r="31" spans="2:30" ht="11.1" customHeight="1" x14ac:dyDescent="0.25">
      <c r="B31" s="12" t="s">
        <v>413</v>
      </c>
      <c r="C31" s="8" t="s">
        <v>6</v>
      </c>
      <c r="D31" s="31">
        <v>208</v>
      </c>
      <c r="E31" s="31">
        <v>82</v>
      </c>
      <c r="F31" s="31">
        <v>59</v>
      </c>
      <c r="G31" s="31">
        <v>44</v>
      </c>
      <c r="H31" s="31">
        <v>47</v>
      </c>
      <c r="I31" s="31">
        <v>46</v>
      </c>
      <c r="J31" s="31">
        <v>69</v>
      </c>
      <c r="K31" s="31">
        <v>58</v>
      </c>
      <c r="L31" s="31">
        <v>58</v>
      </c>
      <c r="M31" s="31">
        <v>50</v>
      </c>
      <c r="N31" s="31">
        <v>36</v>
      </c>
      <c r="O31" s="31">
        <v>45</v>
      </c>
      <c r="P31" s="31">
        <v>36</v>
      </c>
      <c r="Q31" s="31">
        <v>31</v>
      </c>
      <c r="R31" s="31">
        <v>34</v>
      </c>
      <c r="S31" s="31">
        <v>32</v>
      </c>
      <c r="T31" s="31">
        <v>26</v>
      </c>
      <c r="U31" s="31">
        <v>14</v>
      </c>
      <c r="V31" s="31">
        <v>34</v>
      </c>
      <c r="W31" s="31">
        <v>25</v>
      </c>
      <c r="X31" s="31">
        <v>20</v>
      </c>
      <c r="Y31" s="31">
        <v>23</v>
      </c>
      <c r="Z31" s="31">
        <v>13</v>
      </c>
      <c r="AA31" s="87">
        <v>14</v>
      </c>
      <c r="AB31" s="87">
        <v>14</v>
      </c>
      <c r="AC31" s="87">
        <v>14</v>
      </c>
      <c r="AD31" s="10" t="s">
        <v>19</v>
      </c>
    </row>
    <row r="32" spans="2:30" ht="11.1" customHeight="1" x14ac:dyDescent="0.25">
      <c r="B32" s="12" t="s">
        <v>370</v>
      </c>
      <c r="C32" s="8" t="s">
        <v>6</v>
      </c>
      <c r="D32" s="31">
        <v>2470</v>
      </c>
      <c r="E32" s="31">
        <v>1244</v>
      </c>
      <c r="F32" s="31">
        <v>783</v>
      </c>
      <c r="G32" s="31">
        <v>1449</v>
      </c>
      <c r="H32" s="31">
        <v>1858</v>
      </c>
      <c r="I32" s="31">
        <v>1632</v>
      </c>
      <c r="J32" s="31">
        <v>1645</v>
      </c>
      <c r="K32" s="31">
        <v>1833</v>
      </c>
      <c r="L32" s="31">
        <v>1686</v>
      </c>
      <c r="M32" s="31">
        <v>1651</v>
      </c>
      <c r="N32" s="31">
        <v>1898</v>
      </c>
      <c r="O32" s="31">
        <v>2386</v>
      </c>
      <c r="P32" s="31">
        <v>2134</v>
      </c>
      <c r="Q32" s="31">
        <v>2676</v>
      </c>
      <c r="R32" s="31">
        <v>2053</v>
      </c>
      <c r="S32" s="31">
        <v>1366</v>
      </c>
      <c r="T32" s="31">
        <v>1514</v>
      </c>
      <c r="U32" s="31">
        <v>2020</v>
      </c>
      <c r="V32" s="31">
        <v>1856</v>
      </c>
      <c r="W32" s="31">
        <v>2267</v>
      </c>
      <c r="X32" s="31">
        <v>1216</v>
      </c>
      <c r="Y32" s="31">
        <v>1754</v>
      </c>
      <c r="Z32" s="31">
        <v>1468</v>
      </c>
      <c r="AA32" s="87">
        <v>1924</v>
      </c>
      <c r="AB32" s="87">
        <v>2217</v>
      </c>
      <c r="AC32" s="87">
        <v>2560</v>
      </c>
      <c r="AD32" s="10" t="s">
        <v>19</v>
      </c>
    </row>
    <row r="33" spans="2:30" ht="11.1" customHeight="1" x14ac:dyDescent="0.25">
      <c r="B33" s="12" t="s">
        <v>398</v>
      </c>
      <c r="C33" s="8" t="s">
        <v>6</v>
      </c>
      <c r="D33" s="31">
        <v>306</v>
      </c>
      <c r="E33" s="31">
        <v>336</v>
      </c>
      <c r="F33" s="31">
        <v>304</v>
      </c>
      <c r="G33" s="31">
        <v>239</v>
      </c>
      <c r="H33" s="31">
        <v>212</v>
      </c>
      <c r="I33" s="31">
        <v>174</v>
      </c>
      <c r="J33" s="31">
        <v>111</v>
      </c>
      <c r="K33" s="31">
        <v>141</v>
      </c>
      <c r="L33" s="31">
        <v>92</v>
      </c>
      <c r="M33" s="31">
        <v>113</v>
      </c>
      <c r="N33" s="31">
        <v>72</v>
      </c>
      <c r="O33" s="31">
        <v>85</v>
      </c>
      <c r="P33" s="31">
        <v>59</v>
      </c>
      <c r="Q33" s="31">
        <v>179</v>
      </c>
      <c r="R33" s="31">
        <v>214</v>
      </c>
      <c r="S33" s="31">
        <v>172</v>
      </c>
      <c r="T33" s="31">
        <v>162</v>
      </c>
      <c r="U33" s="31">
        <v>199</v>
      </c>
      <c r="V33" s="31">
        <v>196</v>
      </c>
      <c r="W33" s="31">
        <v>178</v>
      </c>
      <c r="X33" s="31">
        <v>143</v>
      </c>
      <c r="Y33" s="31">
        <v>241</v>
      </c>
      <c r="Z33" s="31">
        <v>225</v>
      </c>
      <c r="AA33" s="87">
        <v>267</v>
      </c>
      <c r="AB33" s="87">
        <v>226</v>
      </c>
      <c r="AC33" s="87">
        <v>253</v>
      </c>
      <c r="AD33" s="10" t="s">
        <v>19</v>
      </c>
    </row>
    <row r="34" spans="2:30" ht="11.1" customHeight="1" x14ac:dyDescent="0.25">
      <c r="B34" s="12" t="s">
        <v>252</v>
      </c>
      <c r="C34" s="8" t="s">
        <v>6</v>
      </c>
      <c r="D34" s="31">
        <v>1018</v>
      </c>
      <c r="E34" s="31">
        <v>1017</v>
      </c>
      <c r="F34" s="31">
        <v>955</v>
      </c>
      <c r="G34" s="31">
        <v>701</v>
      </c>
      <c r="H34" s="31">
        <v>824</v>
      </c>
      <c r="I34" s="31">
        <v>744</v>
      </c>
      <c r="J34" s="31">
        <v>945</v>
      </c>
      <c r="K34" s="31">
        <v>881</v>
      </c>
      <c r="L34" s="31">
        <v>713</v>
      </c>
      <c r="M34" s="31">
        <v>732</v>
      </c>
      <c r="N34" s="31">
        <v>908</v>
      </c>
      <c r="O34" s="31">
        <v>728</v>
      </c>
      <c r="P34" s="31">
        <v>806</v>
      </c>
      <c r="Q34" s="31">
        <v>1071</v>
      </c>
      <c r="R34" s="31">
        <v>1082</v>
      </c>
      <c r="S34" s="31">
        <v>1026</v>
      </c>
      <c r="T34" s="31">
        <v>1358</v>
      </c>
      <c r="U34" s="31">
        <v>1189</v>
      </c>
      <c r="V34" s="31">
        <v>781</v>
      </c>
      <c r="W34" s="31">
        <v>1166</v>
      </c>
      <c r="X34" s="31">
        <v>738</v>
      </c>
      <c r="Y34" s="31">
        <v>694</v>
      </c>
      <c r="Z34" s="31">
        <v>776</v>
      </c>
      <c r="AA34" s="87">
        <v>788</v>
      </c>
      <c r="AB34" s="87">
        <v>871</v>
      </c>
      <c r="AC34" s="87">
        <v>897</v>
      </c>
      <c r="AD34" s="10" t="s">
        <v>19</v>
      </c>
    </row>
    <row r="35" spans="2:30" ht="11.1" customHeight="1" x14ac:dyDescent="0.25">
      <c r="B35" s="12" t="s">
        <v>198</v>
      </c>
      <c r="C35" s="8" t="s">
        <v>6</v>
      </c>
      <c r="D35" s="31">
        <v>449</v>
      </c>
      <c r="E35" s="31">
        <v>429</v>
      </c>
      <c r="F35" s="31">
        <v>392</v>
      </c>
      <c r="G35" s="31">
        <v>434</v>
      </c>
      <c r="H35" s="31">
        <v>467</v>
      </c>
      <c r="I35" s="31">
        <v>504</v>
      </c>
      <c r="J35" s="31">
        <v>737</v>
      </c>
      <c r="K35" s="31">
        <v>538</v>
      </c>
      <c r="L35" s="31">
        <v>568</v>
      </c>
      <c r="M35" s="31">
        <v>534</v>
      </c>
      <c r="N35" s="31">
        <v>461</v>
      </c>
      <c r="O35" s="31">
        <v>541</v>
      </c>
      <c r="P35" s="31">
        <v>510</v>
      </c>
      <c r="Q35" s="31">
        <v>637</v>
      </c>
      <c r="R35" s="31">
        <v>611</v>
      </c>
      <c r="S35" s="31">
        <v>585</v>
      </c>
      <c r="T35" s="31">
        <v>526</v>
      </c>
      <c r="U35" s="31">
        <v>652</v>
      </c>
      <c r="V35" s="31">
        <v>876</v>
      </c>
      <c r="W35" s="31">
        <v>812</v>
      </c>
      <c r="X35" s="31">
        <v>831</v>
      </c>
      <c r="Y35" s="31">
        <v>969</v>
      </c>
      <c r="Z35" s="31">
        <v>1057</v>
      </c>
      <c r="AA35" s="87">
        <v>1057</v>
      </c>
      <c r="AB35" s="87">
        <v>956</v>
      </c>
      <c r="AC35" s="87">
        <v>781</v>
      </c>
      <c r="AD35" s="10" t="s">
        <v>19</v>
      </c>
    </row>
    <row r="36" spans="2:30" ht="11.1" customHeight="1" x14ac:dyDescent="0.25">
      <c r="B36" s="12" t="s">
        <v>78</v>
      </c>
      <c r="C36" s="8" t="s">
        <v>6</v>
      </c>
      <c r="D36" s="31">
        <v>2765</v>
      </c>
      <c r="E36" s="31">
        <v>2754</v>
      </c>
      <c r="F36" s="31">
        <v>2801</v>
      </c>
      <c r="G36" s="31">
        <v>2743</v>
      </c>
      <c r="H36" s="31">
        <v>3337</v>
      </c>
      <c r="I36" s="31">
        <v>4053</v>
      </c>
      <c r="J36" s="31">
        <v>4025</v>
      </c>
      <c r="K36" s="31">
        <v>3670</v>
      </c>
      <c r="L36" s="31">
        <v>2839</v>
      </c>
      <c r="M36" s="31">
        <v>2121</v>
      </c>
      <c r="N36" s="31">
        <v>1477</v>
      </c>
      <c r="O36" s="31">
        <v>1543</v>
      </c>
      <c r="P36" s="31">
        <v>1830</v>
      </c>
      <c r="Q36" s="31">
        <v>2793</v>
      </c>
      <c r="R36" s="31">
        <v>2417</v>
      </c>
      <c r="S36" s="31">
        <v>2056</v>
      </c>
      <c r="T36" s="31">
        <v>2213</v>
      </c>
      <c r="U36" s="31">
        <v>2573</v>
      </c>
      <c r="V36" s="31">
        <v>3377</v>
      </c>
      <c r="W36" s="31">
        <v>3056</v>
      </c>
      <c r="X36" s="31">
        <v>3530</v>
      </c>
      <c r="Y36" s="31">
        <v>4026</v>
      </c>
      <c r="Z36" s="31">
        <v>3492</v>
      </c>
      <c r="AA36" s="87">
        <v>3513</v>
      </c>
      <c r="AB36" s="87">
        <v>3922</v>
      </c>
      <c r="AC36" s="87">
        <v>4220</v>
      </c>
      <c r="AD36" s="10" t="s">
        <v>19</v>
      </c>
    </row>
    <row r="37" spans="2:30" ht="11.1" customHeight="1" x14ac:dyDescent="0.25">
      <c r="B37" s="12" t="s">
        <v>348</v>
      </c>
      <c r="C37" s="8" t="s">
        <v>6</v>
      </c>
      <c r="D37" s="31">
        <v>3611</v>
      </c>
      <c r="E37" s="31">
        <v>2364</v>
      </c>
      <c r="F37" s="31">
        <v>3941</v>
      </c>
      <c r="G37" s="31">
        <v>4036</v>
      </c>
      <c r="H37" s="31">
        <v>4169</v>
      </c>
      <c r="I37" s="31">
        <v>4044</v>
      </c>
      <c r="J37" s="31">
        <v>3367</v>
      </c>
      <c r="K37" s="31">
        <v>3428</v>
      </c>
      <c r="L37" s="31">
        <v>2912</v>
      </c>
      <c r="M37" s="31">
        <v>2339</v>
      </c>
      <c r="N37" s="31">
        <v>2109</v>
      </c>
      <c r="O37" s="31">
        <v>2203</v>
      </c>
      <c r="P37" s="31">
        <v>2267</v>
      </c>
      <c r="Q37" s="31">
        <v>4017</v>
      </c>
      <c r="R37" s="31">
        <v>4058</v>
      </c>
      <c r="S37" s="31">
        <v>3849</v>
      </c>
      <c r="T37" s="31">
        <v>2723</v>
      </c>
      <c r="U37" s="31">
        <v>2228</v>
      </c>
      <c r="V37" s="31">
        <v>1946</v>
      </c>
      <c r="W37" s="31">
        <v>1682</v>
      </c>
      <c r="X37" s="31">
        <v>1233</v>
      </c>
      <c r="Y37" s="31">
        <v>1356</v>
      </c>
      <c r="Z37" s="31">
        <v>1588</v>
      </c>
      <c r="AA37" s="87">
        <v>2096</v>
      </c>
      <c r="AB37" s="87">
        <v>2209</v>
      </c>
      <c r="AC37" s="87">
        <v>2559</v>
      </c>
      <c r="AD37" s="10" t="s">
        <v>19</v>
      </c>
    </row>
    <row r="38" spans="2:30" ht="11.1" customHeight="1" x14ac:dyDescent="0.25">
      <c r="B38" s="12" t="s">
        <v>79</v>
      </c>
      <c r="C38" s="8" t="s">
        <v>6</v>
      </c>
      <c r="D38" s="31">
        <v>1282</v>
      </c>
      <c r="E38" s="31">
        <v>1546</v>
      </c>
      <c r="F38" s="31">
        <v>1370</v>
      </c>
      <c r="G38" s="31">
        <v>1316</v>
      </c>
      <c r="H38" s="31">
        <v>1370</v>
      </c>
      <c r="I38" s="31">
        <v>1847</v>
      </c>
      <c r="J38" s="31">
        <v>2301</v>
      </c>
      <c r="K38" s="31">
        <v>2265</v>
      </c>
      <c r="L38" s="31">
        <v>2019</v>
      </c>
      <c r="M38" s="31">
        <v>1619</v>
      </c>
      <c r="N38" s="31">
        <v>1447</v>
      </c>
      <c r="O38" s="31">
        <v>1414</v>
      </c>
      <c r="P38" s="31">
        <v>1618</v>
      </c>
      <c r="Q38" s="31">
        <v>3231</v>
      </c>
      <c r="R38" s="31">
        <v>3331</v>
      </c>
      <c r="S38" s="31">
        <v>2433</v>
      </c>
      <c r="T38" s="31">
        <v>2734</v>
      </c>
      <c r="U38" s="31">
        <v>3543</v>
      </c>
      <c r="V38" s="31">
        <v>4245</v>
      </c>
      <c r="W38" s="31">
        <v>4152</v>
      </c>
      <c r="X38" s="31">
        <v>5173</v>
      </c>
      <c r="Y38" s="31">
        <v>5183</v>
      </c>
      <c r="Z38" s="31">
        <v>4863</v>
      </c>
      <c r="AA38" s="87">
        <v>5106</v>
      </c>
      <c r="AB38" s="87">
        <v>4862</v>
      </c>
      <c r="AC38" s="87">
        <v>5511</v>
      </c>
      <c r="AD38" s="10" t="s">
        <v>19</v>
      </c>
    </row>
    <row r="39" spans="2:30" ht="11.1" customHeight="1" x14ac:dyDescent="0.25">
      <c r="B39" s="12" t="s">
        <v>74</v>
      </c>
      <c r="C39" s="8" t="s">
        <v>6</v>
      </c>
      <c r="D39" s="31">
        <v>7098</v>
      </c>
      <c r="E39" s="31">
        <v>6631</v>
      </c>
      <c r="F39" s="31">
        <v>6547</v>
      </c>
      <c r="G39" s="31">
        <v>7618</v>
      </c>
      <c r="H39" s="31">
        <v>8490</v>
      </c>
      <c r="I39" s="31">
        <v>10018</v>
      </c>
      <c r="J39" s="31">
        <v>11829</v>
      </c>
      <c r="K39" s="31">
        <v>10932</v>
      </c>
      <c r="L39" s="31">
        <v>9400</v>
      </c>
      <c r="M39" s="31">
        <v>9439</v>
      </c>
      <c r="N39" s="31">
        <v>9806</v>
      </c>
      <c r="O39" s="31">
        <v>8926</v>
      </c>
      <c r="P39" s="31">
        <v>9143</v>
      </c>
      <c r="Q39" s="31">
        <v>14043</v>
      </c>
      <c r="R39" s="31">
        <v>13107</v>
      </c>
      <c r="S39" s="31">
        <v>11199</v>
      </c>
      <c r="T39" s="31">
        <v>12924</v>
      </c>
      <c r="U39" s="31">
        <v>12337</v>
      </c>
      <c r="V39" s="31">
        <v>13963</v>
      </c>
      <c r="W39" s="31">
        <v>15468</v>
      </c>
      <c r="X39" s="31">
        <v>17489</v>
      </c>
      <c r="Y39" s="31">
        <v>18319</v>
      </c>
      <c r="Z39" s="31">
        <v>13781</v>
      </c>
      <c r="AA39" s="87">
        <v>14602</v>
      </c>
      <c r="AB39" s="87">
        <v>14008</v>
      </c>
      <c r="AC39" s="87">
        <v>14306</v>
      </c>
      <c r="AD39" s="10" t="s">
        <v>19</v>
      </c>
    </row>
    <row r="40" spans="2:30" ht="11.1" customHeight="1" x14ac:dyDescent="0.25">
      <c r="B40" s="12" t="s">
        <v>82</v>
      </c>
      <c r="C40" s="8" t="s">
        <v>6</v>
      </c>
      <c r="D40" s="31">
        <v>7422</v>
      </c>
      <c r="E40" s="31">
        <v>7914</v>
      </c>
      <c r="F40" s="31">
        <v>7415</v>
      </c>
      <c r="G40" s="31">
        <v>7732</v>
      </c>
      <c r="H40" s="31">
        <v>8241</v>
      </c>
      <c r="I40" s="31">
        <v>7925</v>
      </c>
      <c r="J40" s="31">
        <v>7509</v>
      </c>
      <c r="K40" s="31">
        <v>7142</v>
      </c>
      <c r="L40" s="31">
        <v>5358</v>
      </c>
      <c r="M40" s="31">
        <v>4826</v>
      </c>
      <c r="N40" s="31">
        <v>4325</v>
      </c>
      <c r="O40" s="31">
        <v>4835</v>
      </c>
      <c r="P40" s="31">
        <v>4158</v>
      </c>
      <c r="Q40" s="31">
        <v>6174</v>
      </c>
      <c r="R40" s="31">
        <v>5935</v>
      </c>
      <c r="S40" s="31">
        <v>5760</v>
      </c>
      <c r="T40" s="31">
        <v>5991</v>
      </c>
      <c r="U40" s="31">
        <v>7063</v>
      </c>
      <c r="V40" s="31">
        <v>6582</v>
      </c>
      <c r="W40" s="31">
        <v>7698</v>
      </c>
      <c r="X40" s="31">
        <v>7401</v>
      </c>
      <c r="Y40" s="31">
        <v>7325</v>
      </c>
      <c r="Z40" s="31">
        <v>11841</v>
      </c>
      <c r="AA40" s="87">
        <v>11795</v>
      </c>
      <c r="AB40" s="87">
        <v>11662</v>
      </c>
      <c r="AC40" s="87">
        <v>12475</v>
      </c>
      <c r="AD40" s="10" t="s">
        <v>19</v>
      </c>
    </row>
    <row r="41" spans="2:30" ht="11.1" customHeight="1" x14ac:dyDescent="0.25">
      <c r="B41" s="12" t="s">
        <v>13</v>
      </c>
      <c r="C41" s="8" t="s">
        <v>6</v>
      </c>
      <c r="D41" s="31">
        <v>38056</v>
      </c>
      <c r="E41" s="31">
        <v>35313</v>
      </c>
      <c r="F41" s="31">
        <v>36263</v>
      </c>
      <c r="G41" s="31">
        <v>39907</v>
      </c>
      <c r="H41" s="31">
        <v>42527</v>
      </c>
      <c r="I41" s="31">
        <v>45955</v>
      </c>
      <c r="J41" s="31">
        <v>48297</v>
      </c>
      <c r="K41" s="31">
        <v>43723</v>
      </c>
      <c r="L41" s="31">
        <v>36483</v>
      </c>
      <c r="M41" s="31">
        <v>34996</v>
      </c>
      <c r="N41" s="31">
        <v>32631</v>
      </c>
      <c r="O41" s="31">
        <v>31313</v>
      </c>
      <c r="P41" s="31">
        <v>29926</v>
      </c>
      <c r="Q41" s="31">
        <v>44078</v>
      </c>
      <c r="R41" s="31">
        <v>41960</v>
      </c>
      <c r="S41" s="31">
        <v>36869</v>
      </c>
      <c r="T41" s="31">
        <v>38396</v>
      </c>
      <c r="U41" s="31">
        <v>39471</v>
      </c>
      <c r="V41" s="31">
        <v>41545</v>
      </c>
      <c r="W41" s="31">
        <v>43716</v>
      </c>
      <c r="X41" s="31">
        <v>45127</v>
      </c>
      <c r="Y41" s="31">
        <v>47851</v>
      </c>
      <c r="Z41" s="31">
        <v>47906</v>
      </c>
      <c r="AA41" s="87">
        <v>50016</v>
      </c>
      <c r="AB41" s="87">
        <v>48977</v>
      </c>
      <c r="AC41" s="87">
        <v>52430</v>
      </c>
      <c r="AD41" s="10" t="s">
        <v>19</v>
      </c>
    </row>
    <row r="42" spans="2:30" ht="11.1" customHeight="1" x14ac:dyDescent="0.25">
      <c r="B42" s="74" t="s">
        <v>420</v>
      </c>
      <c r="C42" s="8" t="s">
        <v>6</v>
      </c>
      <c r="D42" s="31">
        <v>1003</v>
      </c>
      <c r="E42" s="31">
        <v>188</v>
      </c>
      <c r="F42" s="31">
        <v>275</v>
      </c>
      <c r="G42" s="31">
        <v>214</v>
      </c>
      <c r="H42" s="31">
        <v>371</v>
      </c>
      <c r="I42" s="31">
        <v>259</v>
      </c>
      <c r="J42" s="31">
        <v>272</v>
      </c>
      <c r="K42" s="31">
        <v>199</v>
      </c>
      <c r="L42" s="31">
        <v>241</v>
      </c>
      <c r="M42" s="31">
        <v>814</v>
      </c>
      <c r="N42" s="31">
        <v>586</v>
      </c>
      <c r="O42" s="31">
        <v>513</v>
      </c>
      <c r="P42" s="31">
        <v>321</v>
      </c>
      <c r="Q42" s="31">
        <v>6496</v>
      </c>
      <c r="R42" s="31">
        <v>30</v>
      </c>
      <c r="S42" s="31">
        <v>167</v>
      </c>
      <c r="T42" s="31">
        <v>110</v>
      </c>
      <c r="U42" s="31">
        <v>184</v>
      </c>
      <c r="V42" s="31">
        <v>510</v>
      </c>
      <c r="W42" s="31">
        <v>432</v>
      </c>
      <c r="X42" s="31">
        <v>77</v>
      </c>
      <c r="Y42" s="31">
        <v>1</v>
      </c>
      <c r="Z42" s="31">
        <v>5</v>
      </c>
      <c r="AA42" s="87">
        <v>226</v>
      </c>
      <c r="AB42" s="87">
        <v>98</v>
      </c>
      <c r="AC42" s="87">
        <v>908</v>
      </c>
      <c r="AD42" s="10" t="s">
        <v>19</v>
      </c>
    </row>
    <row r="43" spans="2:30" ht="11.1" customHeight="1" x14ac:dyDescent="0.25">
      <c r="B43" s="61" t="s">
        <v>55</v>
      </c>
      <c r="C43" s="22" t="s">
        <v>6</v>
      </c>
      <c r="D43" s="43">
        <v>403576</v>
      </c>
      <c r="E43" s="43">
        <v>547707</v>
      </c>
      <c r="F43" s="43">
        <v>435926</v>
      </c>
      <c r="G43" s="43">
        <v>434372</v>
      </c>
      <c r="H43" s="43">
        <v>431501</v>
      </c>
      <c r="I43" s="43">
        <v>400742</v>
      </c>
      <c r="J43" s="43">
        <v>414834</v>
      </c>
      <c r="K43" s="43">
        <v>417653</v>
      </c>
      <c r="L43" s="43">
        <v>352382</v>
      </c>
      <c r="M43" s="43">
        <v>323524</v>
      </c>
      <c r="N43" s="43">
        <v>291473</v>
      </c>
      <c r="O43" s="43">
        <v>272368</v>
      </c>
      <c r="P43" s="43">
        <v>285890</v>
      </c>
      <c r="Q43" s="43">
        <v>279877</v>
      </c>
      <c r="R43" s="43">
        <v>330872</v>
      </c>
      <c r="S43" s="43">
        <v>416919</v>
      </c>
      <c r="T43" s="43">
        <v>488420</v>
      </c>
      <c r="U43" s="43">
        <v>503939</v>
      </c>
      <c r="V43" s="43">
        <v>529336</v>
      </c>
      <c r="W43" s="43">
        <v>554472</v>
      </c>
      <c r="X43" s="43">
        <v>518668</v>
      </c>
      <c r="Y43" s="43">
        <v>387975</v>
      </c>
      <c r="Z43" s="43">
        <v>342157</v>
      </c>
      <c r="AA43" s="103">
        <v>326662</v>
      </c>
      <c r="AB43" s="103">
        <v>381254</v>
      </c>
      <c r="AC43" s="103">
        <v>408424</v>
      </c>
      <c r="AD43" s="10" t="s">
        <v>19</v>
      </c>
    </row>
    <row r="44" spans="2:30" ht="11.1" customHeight="1" x14ac:dyDescent="0.25">
      <c r="B44" s="367" t="s">
        <v>421</v>
      </c>
      <c r="C44" s="367"/>
      <c r="D44" s="367"/>
      <c r="E44" s="367"/>
      <c r="F44" s="367"/>
      <c r="G44" s="367"/>
      <c r="H44" s="367"/>
      <c r="I44" s="367"/>
      <c r="J44" s="367"/>
      <c r="K44" s="367"/>
      <c r="L44" s="367"/>
      <c r="M44" s="367"/>
      <c r="N44" s="367"/>
      <c r="O44" s="367"/>
      <c r="P44" s="367"/>
      <c r="Q44" s="367"/>
      <c r="R44" s="367"/>
      <c r="S44" s="367"/>
      <c r="T44" s="368"/>
      <c r="U44" s="368"/>
      <c r="V44" s="368"/>
      <c r="W44" s="368"/>
      <c r="X44" s="368"/>
      <c r="Y44" s="368"/>
      <c r="Z44" s="368"/>
      <c r="AA44" s="248"/>
      <c r="AB44" s="248"/>
      <c r="AC44" s="248"/>
      <c r="AD44" s="248"/>
    </row>
    <row r="45" spans="2:30" ht="11.1" customHeight="1" x14ac:dyDescent="0.25">
      <c r="B45" s="12" t="s">
        <v>100</v>
      </c>
      <c r="C45" s="8" t="s">
        <v>6</v>
      </c>
      <c r="D45" s="31">
        <v>181837</v>
      </c>
      <c r="E45" s="31">
        <v>189700</v>
      </c>
      <c r="F45" s="31">
        <v>150000</v>
      </c>
      <c r="G45" s="31">
        <v>175000</v>
      </c>
      <c r="H45" s="31">
        <v>124000</v>
      </c>
      <c r="I45" s="31">
        <v>122000</v>
      </c>
      <c r="J45" s="31">
        <v>122000</v>
      </c>
      <c r="K45" s="31">
        <v>122000</v>
      </c>
      <c r="L45" s="31">
        <v>122000</v>
      </c>
      <c r="M45" s="31">
        <v>113000</v>
      </c>
      <c r="N45" s="31">
        <v>90099</v>
      </c>
      <c r="O45" s="31">
        <v>85642</v>
      </c>
      <c r="P45" s="31">
        <v>99107</v>
      </c>
      <c r="Q45" s="31">
        <v>93062</v>
      </c>
      <c r="R45" s="31">
        <v>79170</v>
      </c>
      <c r="S45" s="31">
        <v>60728</v>
      </c>
      <c r="T45" s="31">
        <v>67863</v>
      </c>
      <c r="U45" s="31">
        <v>78353</v>
      </c>
      <c r="V45" s="31">
        <v>70364</v>
      </c>
      <c r="W45" s="31">
        <v>52597</v>
      </c>
      <c r="X45" s="31">
        <v>63483</v>
      </c>
      <c r="Y45" s="31">
        <v>62873</v>
      </c>
      <c r="Z45" s="31">
        <v>56793</v>
      </c>
      <c r="AA45" s="87">
        <v>64842</v>
      </c>
      <c r="AB45" s="87">
        <v>57965</v>
      </c>
      <c r="AC45" s="87">
        <v>95849</v>
      </c>
      <c r="AD45" s="10" t="s">
        <v>19</v>
      </c>
    </row>
    <row r="46" spans="2:30" ht="11.1" customHeight="1" x14ac:dyDescent="0.25">
      <c r="B46" s="12" t="s">
        <v>327</v>
      </c>
      <c r="C46" s="8" t="s">
        <v>6</v>
      </c>
      <c r="D46" s="31">
        <v>1591</v>
      </c>
      <c r="E46" s="31">
        <v>2781</v>
      </c>
      <c r="F46" s="31">
        <v>2510</v>
      </c>
      <c r="G46" s="31">
        <v>1281</v>
      </c>
      <c r="H46" s="31">
        <v>1040</v>
      </c>
      <c r="I46" s="31">
        <v>1010</v>
      </c>
      <c r="J46" s="31">
        <v>1120</v>
      </c>
      <c r="K46" s="31">
        <v>985</v>
      </c>
      <c r="L46" s="31">
        <v>1381</v>
      </c>
      <c r="M46" s="31">
        <v>1060</v>
      </c>
      <c r="N46" s="31">
        <v>811</v>
      </c>
      <c r="O46" s="31">
        <v>884</v>
      </c>
      <c r="P46" s="31">
        <v>390</v>
      </c>
      <c r="Q46" s="31">
        <v>377</v>
      </c>
      <c r="R46" s="31">
        <v>415</v>
      </c>
      <c r="S46" s="31">
        <v>304</v>
      </c>
      <c r="T46" s="31">
        <v>432</v>
      </c>
      <c r="U46" s="31">
        <v>750</v>
      </c>
      <c r="V46" s="31">
        <v>594</v>
      </c>
      <c r="W46" s="31">
        <v>995</v>
      </c>
      <c r="X46" s="31">
        <v>431</v>
      </c>
      <c r="Y46" s="31">
        <v>197</v>
      </c>
      <c r="Z46" s="31">
        <v>76</v>
      </c>
      <c r="AA46" s="87">
        <v>211</v>
      </c>
      <c r="AB46" s="87">
        <v>213</v>
      </c>
      <c r="AC46" s="87">
        <v>175</v>
      </c>
      <c r="AD46" s="10" t="s">
        <v>19</v>
      </c>
    </row>
    <row r="47" spans="2:30" ht="11.1" customHeight="1" x14ac:dyDescent="0.25">
      <c r="B47" s="12" t="s">
        <v>414</v>
      </c>
      <c r="C47" s="8" t="s">
        <v>6</v>
      </c>
      <c r="D47" s="31">
        <v>1027</v>
      </c>
      <c r="E47" s="31">
        <v>950</v>
      </c>
      <c r="F47" s="31">
        <v>1183</v>
      </c>
      <c r="G47" s="31">
        <v>1099</v>
      </c>
      <c r="H47" s="31">
        <v>1082</v>
      </c>
      <c r="I47" s="31">
        <v>1091</v>
      </c>
      <c r="J47" s="31">
        <v>1485</v>
      </c>
      <c r="K47" s="31">
        <v>1355</v>
      </c>
      <c r="L47" s="31">
        <v>1582</v>
      </c>
      <c r="M47" s="31">
        <v>1532</v>
      </c>
      <c r="N47" s="31">
        <v>1434</v>
      </c>
      <c r="O47" s="31">
        <v>1449</v>
      </c>
      <c r="P47" s="31">
        <v>1419</v>
      </c>
      <c r="Q47" s="31">
        <v>1444</v>
      </c>
      <c r="R47" s="31">
        <v>1517</v>
      </c>
      <c r="S47" s="31">
        <v>1411</v>
      </c>
      <c r="T47" s="31">
        <v>1563</v>
      </c>
      <c r="U47" s="31">
        <v>1620</v>
      </c>
      <c r="V47" s="31">
        <v>1615</v>
      </c>
      <c r="W47" s="31">
        <v>2174</v>
      </c>
      <c r="X47" s="31">
        <v>2186</v>
      </c>
      <c r="Y47" s="31">
        <v>2076</v>
      </c>
      <c r="Z47" s="31">
        <v>2146</v>
      </c>
      <c r="AA47" s="87">
        <v>4311</v>
      </c>
      <c r="AB47" s="87">
        <v>2499</v>
      </c>
      <c r="AC47" s="87">
        <v>2317</v>
      </c>
      <c r="AD47" s="10" t="s">
        <v>19</v>
      </c>
    </row>
    <row r="48" spans="2:30" ht="11.1" customHeight="1" x14ac:dyDescent="0.25">
      <c r="B48" s="12" t="s">
        <v>57</v>
      </c>
      <c r="C48" s="8" t="s">
        <v>6</v>
      </c>
      <c r="D48" s="31">
        <v>1801</v>
      </c>
      <c r="E48" s="31">
        <v>1686</v>
      </c>
      <c r="F48" s="31">
        <v>2267</v>
      </c>
      <c r="G48" s="31">
        <v>1853</v>
      </c>
      <c r="H48" s="31">
        <v>1607</v>
      </c>
      <c r="I48" s="31">
        <v>2063</v>
      </c>
      <c r="J48" s="31">
        <v>1515</v>
      </c>
      <c r="K48" s="31">
        <v>2159</v>
      </c>
      <c r="L48" s="31">
        <v>1812</v>
      </c>
      <c r="M48" s="31">
        <v>1299</v>
      </c>
      <c r="N48" s="31">
        <v>1619</v>
      </c>
      <c r="O48" s="31">
        <v>1871</v>
      </c>
      <c r="P48" s="31">
        <v>1357</v>
      </c>
      <c r="Q48" s="31">
        <v>1367</v>
      </c>
      <c r="R48" s="31">
        <v>1017</v>
      </c>
      <c r="S48" s="31">
        <v>785</v>
      </c>
      <c r="T48" s="31">
        <v>633</v>
      </c>
      <c r="U48" s="31">
        <v>796</v>
      </c>
      <c r="V48" s="31">
        <v>697</v>
      </c>
      <c r="W48" s="31" t="s">
        <v>19</v>
      </c>
      <c r="X48" s="31" t="s">
        <v>19</v>
      </c>
      <c r="Y48" s="31" t="s">
        <v>19</v>
      </c>
      <c r="Z48" s="31" t="s">
        <v>19</v>
      </c>
      <c r="AA48" s="87" t="s">
        <v>19</v>
      </c>
      <c r="AB48" s="87" t="s">
        <v>19</v>
      </c>
      <c r="AC48" s="87" t="s">
        <v>19</v>
      </c>
      <c r="AD48" s="10" t="s">
        <v>19</v>
      </c>
    </row>
    <row r="49" spans="2:30" ht="11.1" customHeight="1" x14ac:dyDescent="0.25">
      <c r="B49" s="12" t="s">
        <v>95</v>
      </c>
      <c r="C49" s="8" t="s">
        <v>6</v>
      </c>
      <c r="D49" s="31">
        <v>300</v>
      </c>
      <c r="E49" s="31" t="s">
        <v>19</v>
      </c>
      <c r="F49" s="31" t="s">
        <v>19</v>
      </c>
      <c r="G49" s="31" t="s">
        <v>19</v>
      </c>
      <c r="H49" s="31">
        <v>2283</v>
      </c>
      <c r="I49" s="31">
        <v>3039</v>
      </c>
      <c r="J49" s="31">
        <v>2019</v>
      </c>
      <c r="K49" s="31">
        <v>930</v>
      </c>
      <c r="L49" s="31">
        <v>895</v>
      </c>
      <c r="M49" s="31" t="s">
        <v>19</v>
      </c>
      <c r="N49" s="31">
        <v>5339</v>
      </c>
      <c r="O49" s="31">
        <v>5049</v>
      </c>
      <c r="P49" s="31">
        <v>8836</v>
      </c>
      <c r="Q49" s="31">
        <v>11450</v>
      </c>
      <c r="R49" s="31">
        <v>12837</v>
      </c>
      <c r="S49" s="31">
        <v>8180</v>
      </c>
      <c r="T49" s="31">
        <v>8980</v>
      </c>
      <c r="U49" s="31">
        <v>5299</v>
      </c>
      <c r="V49" s="31">
        <v>12578</v>
      </c>
      <c r="W49" s="31">
        <v>485</v>
      </c>
      <c r="X49" s="31">
        <v>325</v>
      </c>
      <c r="Y49" s="31">
        <v>341</v>
      </c>
      <c r="Z49" s="31">
        <v>17235</v>
      </c>
      <c r="AA49" s="87">
        <v>346</v>
      </c>
      <c r="AB49" s="87">
        <v>502</v>
      </c>
      <c r="AC49" s="87">
        <v>13065</v>
      </c>
      <c r="AD49" s="10" t="s">
        <v>19</v>
      </c>
    </row>
    <row r="50" spans="2:30" ht="11.1" customHeight="1" x14ac:dyDescent="0.25">
      <c r="B50" s="12" t="s">
        <v>415</v>
      </c>
      <c r="C50" s="8" t="s">
        <v>6</v>
      </c>
      <c r="D50" s="31">
        <v>105</v>
      </c>
      <c r="E50" s="31">
        <v>124</v>
      </c>
      <c r="F50" s="31">
        <v>122</v>
      </c>
      <c r="G50" s="31">
        <v>122</v>
      </c>
      <c r="H50" s="31">
        <v>85</v>
      </c>
      <c r="I50" s="31">
        <v>118</v>
      </c>
      <c r="J50" s="31">
        <v>189</v>
      </c>
      <c r="K50" s="31">
        <v>271</v>
      </c>
      <c r="L50" s="31">
        <v>202</v>
      </c>
      <c r="M50" s="31">
        <v>241</v>
      </c>
      <c r="N50" s="31">
        <v>242</v>
      </c>
      <c r="O50" s="31">
        <v>250</v>
      </c>
      <c r="P50" s="31">
        <v>207</v>
      </c>
      <c r="Q50" s="31">
        <v>140</v>
      </c>
      <c r="R50" s="31">
        <v>222</v>
      </c>
      <c r="S50" s="31">
        <v>224</v>
      </c>
      <c r="T50" s="31">
        <v>207</v>
      </c>
      <c r="U50" s="31">
        <v>189</v>
      </c>
      <c r="V50" s="31">
        <v>185</v>
      </c>
      <c r="W50" s="31">
        <v>231</v>
      </c>
      <c r="X50" s="31">
        <v>206</v>
      </c>
      <c r="Y50" s="31">
        <v>137</v>
      </c>
      <c r="Z50" s="31">
        <v>158</v>
      </c>
      <c r="AA50" s="87">
        <v>324</v>
      </c>
      <c r="AB50" s="87" t="s">
        <v>19</v>
      </c>
      <c r="AC50" s="87" t="s">
        <v>19</v>
      </c>
      <c r="AD50" s="10" t="s">
        <v>19</v>
      </c>
    </row>
    <row r="51" spans="2:30" ht="11.1" customHeight="1" x14ac:dyDescent="0.25">
      <c r="B51" s="12" t="s">
        <v>232</v>
      </c>
      <c r="C51" s="8" t="s">
        <v>6</v>
      </c>
      <c r="D51" s="31">
        <v>63</v>
      </c>
      <c r="E51" s="31">
        <v>44</v>
      </c>
      <c r="F51" s="31">
        <v>130</v>
      </c>
      <c r="G51" s="31">
        <v>399</v>
      </c>
      <c r="H51" s="31">
        <v>206</v>
      </c>
      <c r="I51" s="31">
        <v>208</v>
      </c>
      <c r="J51" s="31">
        <v>147</v>
      </c>
      <c r="K51" s="31">
        <v>213</v>
      </c>
      <c r="L51" s="31">
        <v>294</v>
      </c>
      <c r="M51" s="31">
        <v>237</v>
      </c>
      <c r="N51" s="31">
        <v>274</v>
      </c>
      <c r="O51" s="31">
        <v>232</v>
      </c>
      <c r="P51" s="31">
        <v>108</v>
      </c>
      <c r="Q51" s="31">
        <v>58</v>
      </c>
      <c r="R51" s="31">
        <v>121</v>
      </c>
      <c r="S51" s="31">
        <v>191</v>
      </c>
      <c r="T51" s="31">
        <v>278</v>
      </c>
      <c r="U51" s="31">
        <v>230</v>
      </c>
      <c r="V51" s="31">
        <v>999</v>
      </c>
      <c r="W51" s="31">
        <v>299</v>
      </c>
      <c r="X51" s="31">
        <v>307</v>
      </c>
      <c r="Y51" s="31">
        <v>436</v>
      </c>
      <c r="Z51" s="31">
        <v>353</v>
      </c>
      <c r="AA51" s="87">
        <v>702</v>
      </c>
      <c r="AB51" s="87">
        <v>530</v>
      </c>
      <c r="AC51" s="87">
        <v>387</v>
      </c>
      <c r="AD51" s="10" t="s">
        <v>19</v>
      </c>
    </row>
    <row r="52" spans="2:30" ht="11.1" customHeight="1" x14ac:dyDescent="0.25">
      <c r="B52" s="12" t="s">
        <v>379</v>
      </c>
      <c r="C52" s="8" t="s">
        <v>6</v>
      </c>
      <c r="D52" s="31">
        <v>227</v>
      </c>
      <c r="E52" s="31">
        <v>602</v>
      </c>
      <c r="F52" s="31">
        <v>783</v>
      </c>
      <c r="G52" s="31">
        <v>1119</v>
      </c>
      <c r="H52" s="31" t="s">
        <v>19</v>
      </c>
      <c r="I52" s="31" t="s">
        <v>19</v>
      </c>
      <c r="J52" s="31" t="s">
        <v>19</v>
      </c>
      <c r="K52" s="31" t="s">
        <v>19</v>
      </c>
      <c r="L52" s="31">
        <v>879</v>
      </c>
      <c r="M52" s="31">
        <v>5805</v>
      </c>
      <c r="N52" s="31">
        <v>1717</v>
      </c>
      <c r="O52" s="31">
        <v>1018</v>
      </c>
      <c r="P52" s="31">
        <v>1024</v>
      </c>
      <c r="Q52" s="31">
        <v>1338</v>
      </c>
      <c r="R52" s="31">
        <v>791</v>
      </c>
      <c r="S52" s="31">
        <v>1477</v>
      </c>
      <c r="T52" s="31">
        <v>1230</v>
      </c>
      <c r="U52" s="31">
        <v>2398</v>
      </c>
      <c r="V52" s="31">
        <v>3421</v>
      </c>
      <c r="W52" s="31">
        <v>22459</v>
      </c>
      <c r="X52" s="31">
        <v>24773</v>
      </c>
      <c r="Y52" s="31">
        <v>19071</v>
      </c>
      <c r="Z52" s="31">
        <v>5481</v>
      </c>
      <c r="AA52" s="87">
        <v>40272</v>
      </c>
      <c r="AB52" s="87">
        <v>10654</v>
      </c>
      <c r="AC52" s="87">
        <v>11212</v>
      </c>
      <c r="AD52" s="10" t="s">
        <v>19</v>
      </c>
    </row>
    <row r="53" spans="2:30" ht="11.1" customHeight="1" x14ac:dyDescent="0.25">
      <c r="B53" s="63" t="s">
        <v>13</v>
      </c>
      <c r="C53" s="45" t="s">
        <v>6</v>
      </c>
      <c r="D53" s="43">
        <v>186951</v>
      </c>
      <c r="E53" s="43">
        <v>195887</v>
      </c>
      <c r="F53" s="43">
        <v>156995</v>
      </c>
      <c r="G53" s="46">
        <v>180873</v>
      </c>
      <c r="H53" s="46">
        <v>130303</v>
      </c>
      <c r="I53" s="46">
        <v>129529</v>
      </c>
      <c r="J53" s="46">
        <v>128475</v>
      </c>
      <c r="K53" s="46">
        <v>127913</v>
      </c>
      <c r="L53" s="46">
        <v>129045</v>
      </c>
      <c r="M53" s="46">
        <v>123174</v>
      </c>
      <c r="N53" s="46">
        <v>101535</v>
      </c>
      <c r="O53" s="46">
        <v>96395</v>
      </c>
      <c r="P53" s="46">
        <v>112448</v>
      </c>
      <c r="Q53" s="46">
        <v>109235</v>
      </c>
      <c r="R53" s="46">
        <v>96089</v>
      </c>
      <c r="S53" s="46">
        <v>73300</v>
      </c>
      <c r="T53" s="46">
        <v>81186</v>
      </c>
      <c r="U53" s="46">
        <v>89636</v>
      </c>
      <c r="V53" s="46">
        <v>90453</v>
      </c>
      <c r="W53" s="46">
        <v>79240</v>
      </c>
      <c r="X53" s="46">
        <v>91712</v>
      </c>
      <c r="Y53" s="46">
        <v>85130</v>
      </c>
      <c r="Z53" s="46">
        <v>82242</v>
      </c>
      <c r="AA53" s="87">
        <v>111008</v>
      </c>
      <c r="AB53" s="87">
        <v>72363</v>
      </c>
      <c r="AC53" s="87">
        <v>123005</v>
      </c>
      <c r="AD53" s="10" t="s">
        <v>19</v>
      </c>
    </row>
    <row r="54" spans="2:30" ht="11.45" customHeight="1" thickBot="1" x14ac:dyDescent="0.3">
      <c r="B54" s="53" t="s">
        <v>58</v>
      </c>
      <c r="C54" s="36" t="s">
        <v>6</v>
      </c>
      <c r="D54" s="37">
        <v>590527</v>
      </c>
      <c r="E54" s="37">
        <v>743594</v>
      </c>
      <c r="F54" s="37">
        <v>592921</v>
      </c>
      <c r="G54" s="38">
        <v>615245</v>
      </c>
      <c r="H54" s="38">
        <v>561804</v>
      </c>
      <c r="I54" s="38">
        <v>530271</v>
      </c>
      <c r="J54" s="38">
        <v>543309</v>
      </c>
      <c r="K54" s="38">
        <v>545566</v>
      </c>
      <c r="L54" s="38">
        <v>481427</v>
      </c>
      <c r="M54" s="38">
        <v>446698</v>
      </c>
      <c r="N54" s="38">
        <v>393008</v>
      </c>
      <c r="O54" s="38">
        <v>368763</v>
      </c>
      <c r="P54" s="38">
        <v>398338</v>
      </c>
      <c r="Q54" s="38">
        <v>389112</v>
      </c>
      <c r="R54" s="38">
        <v>426961</v>
      </c>
      <c r="S54" s="38">
        <v>490219</v>
      </c>
      <c r="T54" s="38">
        <v>569606</v>
      </c>
      <c r="U54" s="38">
        <v>593575</v>
      </c>
      <c r="V54" s="38">
        <v>619789</v>
      </c>
      <c r="W54" s="38">
        <v>633712</v>
      </c>
      <c r="X54" s="38">
        <v>610380</v>
      </c>
      <c r="Y54" s="38">
        <v>473105</v>
      </c>
      <c r="Z54" s="38">
        <v>424399</v>
      </c>
      <c r="AA54" s="38">
        <v>437670</v>
      </c>
      <c r="AB54" s="38">
        <v>453617</v>
      </c>
      <c r="AC54" s="38">
        <v>531429</v>
      </c>
      <c r="AD54" s="298" t="s">
        <v>19</v>
      </c>
    </row>
    <row r="55" spans="2:30" ht="11.1" customHeight="1" thickTop="1" x14ac:dyDescent="0.25">
      <c r="B55" s="369" t="s">
        <v>59</v>
      </c>
      <c r="C55" s="369"/>
      <c r="D55" s="369"/>
      <c r="E55" s="369"/>
      <c r="F55" s="369"/>
      <c r="G55" s="369"/>
      <c r="H55" s="369"/>
      <c r="I55" s="369"/>
      <c r="J55" s="369"/>
      <c r="K55" s="369"/>
      <c r="L55" s="369"/>
      <c r="M55" s="369"/>
      <c r="N55" s="369"/>
      <c r="O55" s="369"/>
      <c r="P55" s="369"/>
      <c r="Q55" s="369"/>
      <c r="R55" s="369"/>
      <c r="S55" s="369"/>
      <c r="T55" s="355" t="s">
        <v>35</v>
      </c>
      <c r="U55" s="355" t="s">
        <v>6</v>
      </c>
      <c r="V55" s="355" t="s">
        <v>35</v>
      </c>
      <c r="W55" s="355" t="s">
        <v>6</v>
      </c>
      <c r="X55" s="355" t="s">
        <v>35</v>
      </c>
      <c r="Y55" s="355"/>
      <c r="Z55" s="355" t="s">
        <v>6</v>
      </c>
      <c r="AA55" s="30"/>
      <c r="AB55" s="30"/>
      <c r="AC55" s="30"/>
      <c r="AD55" s="30"/>
    </row>
    <row r="56" spans="2:30" ht="11.1" customHeight="1" x14ac:dyDescent="0.25">
      <c r="B56" s="366" t="s">
        <v>36</v>
      </c>
      <c r="C56" s="366"/>
      <c r="D56" s="366"/>
      <c r="E56" s="366"/>
      <c r="F56" s="366"/>
      <c r="G56" s="366"/>
      <c r="H56" s="366"/>
      <c r="I56" s="366"/>
      <c r="J56" s="366"/>
      <c r="K56" s="366"/>
      <c r="L56" s="366"/>
      <c r="M56" s="366"/>
      <c r="N56" s="366"/>
      <c r="O56" s="366"/>
      <c r="P56" s="366"/>
      <c r="Q56" s="366"/>
      <c r="R56" s="366"/>
      <c r="S56" s="366"/>
      <c r="T56" s="353"/>
      <c r="U56" s="353"/>
      <c r="V56" s="353"/>
      <c r="W56" s="353"/>
      <c r="X56" s="353"/>
      <c r="Y56" s="353"/>
      <c r="Z56" s="353"/>
      <c r="AA56" s="30"/>
      <c r="AB56" s="30"/>
      <c r="AC56" s="30"/>
      <c r="AD56" s="30"/>
    </row>
    <row r="57" spans="2:30" ht="11.1" customHeight="1" x14ac:dyDescent="0.25">
      <c r="B57" s="12" t="s">
        <v>96</v>
      </c>
      <c r="C57" s="8" t="s">
        <v>35</v>
      </c>
      <c r="D57" s="31">
        <v>13065</v>
      </c>
      <c r="E57" s="31">
        <v>14605</v>
      </c>
      <c r="F57" s="31">
        <v>11353</v>
      </c>
      <c r="G57" s="31">
        <v>9050</v>
      </c>
      <c r="H57" s="31">
        <v>11477</v>
      </c>
      <c r="I57" s="31">
        <v>13744</v>
      </c>
      <c r="J57" s="31">
        <v>12303</v>
      </c>
      <c r="K57" s="31">
        <v>10441</v>
      </c>
      <c r="L57" s="31">
        <v>8667</v>
      </c>
      <c r="M57" s="31">
        <v>8989</v>
      </c>
      <c r="N57" s="31">
        <v>7637</v>
      </c>
      <c r="O57" s="31">
        <v>5947</v>
      </c>
      <c r="P57" s="31">
        <v>5252</v>
      </c>
      <c r="Q57" s="31">
        <v>4890</v>
      </c>
      <c r="R57" s="31">
        <v>6069</v>
      </c>
      <c r="S57" s="31">
        <v>5860</v>
      </c>
      <c r="T57" s="31">
        <v>6127</v>
      </c>
      <c r="U57" s="31">
        <v>5712</v>
      </c>
      <c r="V57" s="31">
        <v>6402</v>
      </c>
      <c r="W57" s="31">
        <v>6949</v>
      </c>
      <c r="X57" s="31">
        <v>6231</v>
      </c>
      <c r="Y57" s="31">
        <v>4790</v>
      </c>
      <c r="Z57" s="31">
        <v>6619</v>
      </c>
      <c r="AA57" s="87">
        <v>6353</v>
      </c>
      <c r="AB57" s="87">
        <v>7173</v>
      </c>
      <c r="AC57" s="87">
        <v>7430</v>
      </c>
      <c r="AD57" s="10" t="s">
        <v>19</v>
      </c>
    </row>
    <row r="58" spans="2:30" ht="11.1" customHeight="1" x14ac:dyDescent="0.25">
      <c r="B58" s="12" t="s">
        <v>87</v>
      </c>
      <c r="C58" s="8" t="s">
        <v>35</v>
      </c>
      <c r="D58" s="31">
        <v>4649</v>
      </c>
      <c r="E58" s="31">
        <v>4781</v>
      </c>
      <c r="F58" s="31">
        <v>3138</v>
      </c>
      <c r="G58" s="31">
        <v>3555</v>
      </c>
      <c r="H58" s="31">
        <v>4125</v>
      </c>
      <c r="I58" s="31">
        <v>3829</v>
      </c>
      <c r="J58" s="31">
        <v>3638</v>
      </c>
      <c r="K58" s="31">
        <v>3433</v>
      </c>
      <c r="L58" s="31">
        <v>2600</v>
      </c>
      <c r="M58" s="31">
        <v>2751</v>
      </c>
      <c r="N58" s="31">
        <v>2836</v>
      </c>
      <c r="O58" s="31">
        <v>2812</v>
      </c>
      <c r="P58" s="31">
        <v>3220</v>
      </c>
      <c r="Q58" s="31">
        <v>3023</v>
      </c>
      <c r="R58" s="31">
        <v>2321</v>
      </c>
      <c r="S58" s="31">
        <v>2939</v>
      </c>
      <c r="T58" s="31">
        <v>2979</v>
      </c>
      <c r="U58" s="31">
        <v>3226</v>
      </c>
      <c r="V58" s="31">
        <v>3062</v>
      </c>
      <c r="W58" s="31">
        <v>2546</v>
      </c>
      <c r="X58" s="31">
        <v>2630</v>
      </c>
      <c r="Y58" s="31">
        <v>2768</v>
      </c>
      <c r="Z58" s="31">
        <v>2325</v>
      </c>
      <c r="AA58" s="87">
        <v>2144</v>
      </c>
      <c r="AB58" s="87">
        <v>2173</v>
      </c>
      <c r="AC58" s="87">
        <v>1414</v>
      </c>
      <c r="AD58" s="10" t="s">
        <v>19</v>
      </c>
    </row>
    <row r="59" spans="2:30" ht="11.1" customHeight="1" x14ac:dyDescent="0.25">
      <c r="B59" s="12" t="s">
        <v>265</v>
      </c>
      <c r="C59" s="8" t="s">
        <v>35</v>
      </c>
      <c r="D59" s="31">
        <v>666</v>
      </c>
      <c r="E59" s="31">
        <v>790</v>
      </c>
      <c r="F59" s="31">
        <v>987</v>
      </c>
      <c r="G59" s="31">
        <v>1017</v>
      </c>
      <c r="H59" s="31">
        <v>1229</v>
      </c>
      <c r="I59" s="31">
        <v>1171</v>
      </c>
      <c r="J59" s="31">
        <v>1269</v>
      </c>
      <c r="K59" s="31">
        <v>1124</v>
      </c>
      <c r="L59" s="31">
        <v>1207</v>
      </c>
      <c r="M59" s="31">
        <v>1130</v>
      </c>
      <c r="N59" s="31">
        <v>1007</v>
      </c>
      <c r="O59" s="31">
        <v>1251</v>
      </c>
      <c r="P59" s="31">
        <v>1249</v>
      </c>
      <c r="Q59" s="31">
        <v>535</v>
      </c>
      <c r="R59" s="31">
        <v>440</v>
      </c>
      <c r="S59" s="31">
        <v>722</v>
      </c>
      <c r="T59" s="31">
        <v>705</v>
      </c>
      <c r="U59" s="31">
        <v>672</v>
      </c>
      <c r="V59" s="31">
        <v>835</v>
      </c>
      <c r="W59" s="31">
        <v>794</v>
      </c>
      <c r="X59" s="31">
        <v>867</v>
      </c>
      <c r="Y59" s="31">
        <v>936</v>
      </c>
      <c r="Z59" s="31">
        <v>804</v>
      </c>
      <c r="AA59" s="87">
        <v>701</v>
      </c>
      <c r="AB59" s="87">
        <v>625</v>
      </c>
      <c r="AC59" s="87">
        <v>612</v>
      </c>
      <c r="AD59" s="10" t="s">
        <v>19</v>
      </c>
    </row>
    <row r="60" spans="2:30" ht="11.1" customHeight="1" x14ac:dyDescent="0.25">
      <c r="B60" s="12" t="s">
        <v>68</v>
      </c>
      <c r="C60" s="8" t="s">
        <v>35</v>
      </c>
      <c r="D60" s="31">
        <v>18</v>
      </c>
      <c r="E60" s="31">
        <v>20</v>
      </c>
      <c r="F60" s="31">
        <v>28</v>
      </c>
      <c r="G60" s="31">
        <v>33</v>
      </c>
      <c r="H60" s="31">
        <v>29</v>
      </c>
      <c r="I60" s="31">
        <v>28</v>
      </c>
      <c r="J60" s="31">
        <v>30</v>
      </c>
      <c r="K60" s="31">
        <v>18</v>
      </c>
      <c r="L60" s="31">
        <v>12</v>
      </c>
      <c r="M60" s="31">
        <v>10</v>
      </c>
      <c r="N60" s="31">
        <v>13</v>
      </c>
      <c r="O60" s="31">
        <v>12</v>
      </c>
      <c r="P60" s="31">
        <v>14</v>
      </c>
      <c r="Q60" s="31">
        <v>4</v>
      </c>
      <c r="R60" s="31">
        <v>4</v>
      </c>
      <c r="S60" s="31">
        <v>7</v>
      </c>
      <c r="T60" s="31">
        <v>14</v>
      </c>
      <c r="U60" s="31">
        <v>13</v>
      </c>
      <c r="V60" s="31">
        <v>10</v>
      </c>
      <c r="W60" s="31">
        <v>8</v>
      </c>
      <c r="X60" s="31">
        <v>12</v>
      </c>
      <c r="Y60" s="31">
        <v>9</v>
      </c>
      <c r="Z60" s="31">
        <v>9</v>
      </c>
      <c r="AA60" s="87">
        <v>7</v>
      </c>
      <c r="AB60" s="87">
        <v>8</v>
      </c>
      <c r="AC60" s="87">
        <v>9</v>
      </c>
      <c r="AD60" s="10" t="s">
        <v>19</v>
      </c>
    </row>
    <row r="61" spans="2:30" ht="11.1" customHeight="1" x14ac:dyDescent="0.25">
      <c r="B61" s="12" t="s">
        <v>13</v>
      </c>
      <c r="C61" s="8" t="s">
        <v>35</v>
      </c>
      <c r="D61" s="31">
        <v>18398</v>
      </c>
      <c r="E61" s="31">
        <v>20196</v>
      </c>
      <c r="F61" s="31">
        <v>15506</v>
      </c>
      <c r="G61" s="31">
        <v>13655</v>
      </c>
      <c r="H61" s="31">
        <v>16860</v>
      </c>
      <c r="I61" s="31">
        <v>18772</v>
      </c>
      <c r="J61" s="31">
        <v>17240</v>
      </c>
      <c r="K61" s="31">
        <v>15016</v>
      </c>
      <c r="L61" s="31">
        <v>12486</v>
      </c>
      <c r="M61" s="31">
        <v>12880</v>
      </c>
      <c r="N61" s="31">
        <v>11493</v>
      </c>
      <c r="O61" s="31">
        <v>10022</v>
      </c>
      <c r="P61" s="31">
        <v>9735</v>
      </c>
      <c r="Q61" s="31">
        <v>8452</v>
      </c>
      <c r="R61" s="31">
        <v>8834</v>
      </c>
      <c r="S61" s="31">
        <v>9527</v>
      </c>
      <c r="T61" s="31">
        <v>9825</v>
      </c>
      <c r="U61" s="31">
        <v>9623</v>
      </c>
      <c r="V61" s="31">
        <v>10309</v>
      </c>
      <c r="W61" s="31">
        <v>10297</v>
      </c>
      <c r="X61" s="31">
        <v>9740</v>
      </c>
      <c r="Y61" s="31">
        <v>8503</v>
      </c>
      <c r="Z61" s="31">
        <v>9757</v>
      </c>
      <c r="AA61" s="87">
        <v>9205</v>
      </c>
      <c r="AB61" s="87">
        <v>9979</v>
      </c>
      <c r="AC61" s="87">
        <v>9465</v>
      </c>
      <c r="AD61" s="10" t="s">
        <v>19</v>
      </c>
    </row>
    <row r="62" spans="2:30" ht="11.1" customHeight="1" x14ac:dyDescent="0.25">
      <c r="B62" s="370" t="s">
        <v>40</v>
      </c>
      <c r="C62" s="370"/>
      <c r="D62" s="370"/>
      <c r="E62" s="370"/>
      <c r="F62" s="370"/>
      <c r="G62" s="370"/>
      <c r="H62" s="370"/>
      <c r="I62" s="370"/>
      <c r="J62" s="370"/>
      <c r="K62" s="370"/>
      <c r="L62" s="370"/>
      <c r="M62" s="370"/>
      <c r="N62" s="370"/>
      <c r="O62" s="370"/>
      <c r="P62" s="370"/>
      <c r="Q62" s="370"/>
      <c r="R62" s="370"/>
      <c r="S62" s="370"/>
      <c r="T62" s="370"/>
      <c r="U62" s="370"/>
      <c r="V62" s="370"/>
      <c r="W62" s="370"/>
      <c r="X62" s="370"/>
      <c r="Y62" s="370"/>
      <c r="Z62" s="367"/>
      <c r="AA62" s="249"/>
      <c r="AB62" s="249"/>
      <c r="AC62" s="249"/>
      <c r="AD62" s="249"/>
    </row>
    <row r="63" spans="2:30" ht="11.1" customHeight="1" x14ac:dyDescent="0.25">
      <c r="B63" s="12" t="s">
        <v>41</v>
      </c>
      <c r="C63" s="8" t="s">
        <v>35</v>
      </c>
      <c r="D63" s="31">
        <v>341</v>
      </c>
      <c r="E63" s="31">
        <v>333</v>
      </c>
      <c r="F63" s="31">
        <v>319</v>
      </c>
      <c r="G63" s="31">
        <v>296</v>
      </c>
      <c r="H63" s="31">
        <v>270</v>
      </c>
      <c r="I63" s="31">
        <v>351</v>
      </c>
      <c r="J63" s="31">
        <v>304</v>
      </c>
      <c r="K63" s="31">
        <v>309</v>
      </c>
      <c r="L63" s="31">
        <v>285</v>
      </c>
      <c r="M63" s="31">
        <v>287</v>
      </c>
      <c r="N63" s="31">
        <v>280</v>
      </c>
      <c r="O63" s="31">
        <v>270</v>
      </c>
      <c r="P63" s="31">
        <v>299</v>
      </c>
      <c r="Q63" s="31">
        <v>283</v>
      </c>
      <c r="R63" s="31">
        <v>259</v>
      </c>
      <c r="S63" s="31">
        <v>239</v>
      </c>
      <c r="T63" s="31">
        <v>248</v>
      </c>
      <c r="U63" s="31">
        <v>166</v>
      </c>
      <c r="V63" s="31">
        <v>173</v>
      </c>
      <c r="W63" s="31">
        <v>134</v>
      </c>
      <c r="X63" s="31">
        <v>118</v>
      </c>
      <c r="Y63" s="31">
        <v>69</v>
      </c>
      <c r="Z63" s="31">
        <v>74</v>
      </c>
      <c r="AA63" s="87">
        <v>77</v>
      </c>
      <c r="AB63" s="87">
        <v>61</v>
      </c>
      <c r="AC63" s="87">
        <v>59</v>
      </c>
      <c r="AD63" s="10" t="s">
        <v>19</v>
      </c>
    </row>
    <row r="64" spans="2:30" ht="11.1" customHeight="1" x14ac:dyDescent="0.25">
      <c r="B64" s="12" t="s">
        <v>43</v>
      </c>
      <c r="C64" s="8" t="s">
        <v>35</v>
      </c>
      <c r="D64" s="31">
        <v>2398</v>
      </c>
      <c r="E64" s="31">
        <v>3457</v>
      </c>
      <c r="F64" s="31">
        <v>3565</v>
      </c>
      <c r="G64" s="31">
        <v>1975</v>
      </c>
      <c r="H64" s="31">
        <v>6792</v>
      </c>
      <c r="I64" s="31">
        <v>2341</v>
      </c>
      <c r="J64" s="31">
        <v>6879</v>
      </c>
      <c r="K64" s="31">
        <v>2797</v>
      </c>
      <c r="L64" s="31">
        <v>2361</v>
      </c>
      <c r="M64" s="31">
        <v>4957</v>
      </c>
      <c r="N64" s="31">
        <v>3579</v>
      </c>
      <c r="O64" s="31">
        <v>2524</v>
      </c>
      <c r="P64" s="31">
        <v>3060</v>
      </c>
      <c r="Q64" s="31">
        <v>158</v>
      </c>
      <c r="R64" s="31">
        <v>294</v>
      </c>
      <c r="S64" s="31">
        <v>280</v>
      </c>
      <c r="T64" s="31">
        <v>438</v>
      </c>
      <c r="U64" s="31">
        <v>601</v>
      </c>
      <c r="V64" s="31">
        <v>1915</v>
      </c>
      <c r="W64" s="31">
        <v>2243</v>
      </c>
      <c r="X64" s="31">
        <v>1418</v>
      </c>
      <c r="Y64" s="31">
        <v>1965</v>
      </c>
      <c r="Z64" s="31">
        <v>1960</v>
      </c>
      <c r="AA64" s="87">
        <v>993</v>
      </c>
      <c r="AB64" s="87">
        <v>1470</v>
      </c>
      <c r="AC64" s="87">
        <v>2132</v>
      </c>
      <c r="AD64" s="10" t="s">
        <v>19</v>
      </c>
    </row>
    <row r="65" spans="2:30" ht="11.1" customHeight="1" x14ac:dyDescent="0.25">
      <c r="B65" s="12" t="s">
        <v>69</v>
      </c>
      <c r="C65" s="8" t="s">
        <v>35</v>
      </c>
      <c r="D65" s="31">
        <v>77</v>
      </c>
      <c r="E65" s="31">
        <v>63</v>
      </c>
      <c r="F65" s="31">
        <v>48</v>
      </c>
      <c r="G65" s="31">
        <v>67</v>
      </c>
      <c r="H65" s="31">
        <v>190</v>
      </c>
      <c r="I65" s="31">
        <v>1060</v>
      </c>
      <c r="J65" s="31">
        <v>74</v>
      </c>
      <c r="K65" s="31">
        <v>65</v>
      </c>
      <c r="L65" s="31">
        <v>58</v>
      </c>
      <c r="M65" s="31">
        <v>42</v>
      </c>
      <c r="N65" s="31">
        <v>45</v>
      </c>
      <c r="O65" s="31">
        <v>89</v>
      </c>
      <c r="P65" s="31">
        <v>54</v>
      </c>
      <c r="Q65" s="31">
        <v>36</v>
      </c>
      <c r="R65" s="31">
        <v>37</v>
      </c>
      <c r="S65" s="31">
        <v>40</v>
      </c>
      <c r="T65" s="31">
        <v>36</v>
      </c>
      <c r="U65" s="31">
        <v>34</v>
      </c>
      <c r="V65" s="31">
        <v>38</v>
      </c>
      <c r="W65" s="31">
        <v>29</v>
      </c>
      <c r="X65" s="31">
        <v>42</v>
      </c>
      <c r="Y65" s="31">
        <v>41</v>
      </c>
      <c r="Z65" s="31">
        <v>33</v>
      </c>
      <c r="AA65" s="87">
        <v>14</v>
      </c>
      <c r="AB65" s="87">
        <v>16</v>
      </c>
      <c r="AC65" s="87">
        <v>19</v>
      </c>
      <c r="AD65" s="10" t="s">
        <v>19</v>
      </c>
    </row>
    <row r="66" spans="2:30" ht="11.1" customHeight="1" x14ac:dyDescent="0.25">
      <c r="B66" s="12" t="s">
        <v>418</v>
      </c>
      <c r="C66" s="8" t="s">
        <v>35</v>
      </c>
      <c r="D66" s="31">
        <v>190</v>
      </c>
      <c r="E66" s="31">
        <v>192</v>
      </c>
      <c r="F66" s="31">
        <v>258</v>
      </c>
      <c r="G66" s="31">
        <v>361</v>
      </c>
      <c r="H66" s="31">
        <v>355</v>
      </c>
      <c r="I66" s="31">
        <v>328</v>
      </c>
      <c r="J66" s="31">
        <v>307</v>
      </c>
      <c r="K66" s="31">
        <v>260</v>
      </c>
      <c r="L66" s="31">
        <v>182</v>
      </c>
      <c r="M66" s="31">
        <v>162</v>
      </c>
      <c r="N66" s="31">
        <v>140</v>
      </c>
      <c r="O66" s="31">
        <v>171</v>
      </c>
      <c r="P66" s="31">
        <v>335</v>
      </c>
      <c r="Q66" s="31">
        <v>205</v>
      </c>
      <c r="R66" s="31">
        <v>278</v>
      </c>
      <c r="S66" s="31">
        <v>245</v>
      </c>
      <c r="T66" s="31">
        <v>269</v>
      </c>
      <c r="U66" s="31">
        <v>332</v>
      </c>
      <c r="V66" s="31">
        <v>336</v>
      </c>
      <c r="W66" s="31">
        <v>360</v>
      </c>
      <c r="X66" s="31">
        <v>433</v>
      </c>
      <c r="Y66" s="31">
        <v>421</v>
      </c>
      <c r="Z66" s="31">
        <v>455</v>
      </c>
      <c r="AA66" s="87">
        <v>711</v>
      </c>
      <c r="AB66" s="87">
        <v>794</v>
      </c>
      <c r="AC66" s="87">
        <v>851</v>
      </c>
      <c r="AD66" s="10" t="s">
        <v>19</v>
      </c>
    </row>
    <row r="67" spans="2:30" ht="11.1" customHeight="1" x14ac:dyDescent="0.25">
      <c r="B67" s="12" t="s">
        <v>13</v>
      </c>
      <c r="C67" s="8" t="s">
        <v>35</v>
      </c>
      <c r="D67" s="31">
        <v>3006</v>
      </c>
      <c r="E67" s="31">
        <v>4045</v>
      </c>
      <c r="F67" s="31">
        <v>4190</v>
      </c>
      <c r="G67" s="31">
        <v>2699</v>
      </c>
      <c r="H67" s="31">
        <v>7607</v>
      </c>
      <c r="I67" s="31">
        <v>4080</v>
      </c>
      <c r="J67" s="31">
        <v>7564</v>
      </c>
      <c r="K67" s="31">
        <v>3431</v>
      </c>
      <c r="L67" s="31">
        <v>2886</v>
      </c>
      <c r="M67" s="31">
        <v>5448</v>
      </c>
      <c r="N67" s="31">
        <v>4044</v>
      </c>
      <c r="O67" s="31">
        <v>3054</v>
      </c>
      <c r="P67" s="31">
        <v>3748</v>
      </c>
      <c r="Q67" s="31">
        <v>682</v>
      </c>
      <c r="R67" s="31">
        <v>868</v>
      </c>
      <c r="S67" s="31">
        <v>804</v>
      </c>
      <c r="T67" s="31">
        <v>991</v>
      </c>
      <c r="U67" s="31">
        <v>1133</v>
      </c>
      <c r="V67" s="31">
        <v>2462</v>
      </c>
      <c r="W67" s="31">
        <v>2766</v>
      </c>
      <c r="X67" s="31">
        <v>2011</v>
      </c>
      <c r="Y67" s="31">
        <v>2496</v>
      </c>
      <c r="Z67" s="31">
        <v>2522</v>
      </c>
      <c r="AA67" s="87">
        <v>1795</v>
      </c>
      <c r="AB67" s="87">
        <v>2341</v>
      </c>
      <c r="AC67" s="87">
        <v>3061</v>
      </c>
      <c r="AD67" s="10" t="s">
        <v>19</v>
      </c>
    </row>
    <row r="68" spans="2:30" ht="11.1" customHeight="1" x14ac:dyDescent="0.25">
      <c r="B68" s="367" t="s">
        <v>196</v>
      </c>
      <c r="C68" s="367"/>
      <c r="D68" s="367"/>
      <c r="E68" s="367"/>
      <c r="F68" s="367"/>
      <c r="G68" s="367"/>
      <c r="H68" s="367"/>
      <c r="I68" s="367"/>
      <c r="J68" s="367"/>
      <c r="K68" s="367"/>
      <c r="L68" s="367"/>
      <c r="M68" s="367"/>
      <c r="N68" s="367"/>
      <c r="O68" s="367"/>
      <c r="P68" s="367"/>
      <c r="Q68" s="367"/>
      <c r="R68" s="367"/>
      <c r="S68" s="367"/>
      <c r="T68" s="354"/>
      <c r="U68" s="354"/>
      <c r="V68" s="354"/>
      <c r="W68" s="354"/>
      <c r="X68" s="354"/>
      <c r="Y68" s="354"/>
      <c r="Z68" s="354"/>
      <c r="AA68" s="50"/>
      <c r="AB68" s="50"/>
      <c r="AC68" s="50"/>
      <c r="AD68" s="50"/>
    </row>
    <row r="69" spans="2:30" ht="11.1" customHeight="1" x14ac:dyDescent="0.25">
      <c r="B69" s="12" t="s">
        <v>216</v>
      </c>
      <c r="C69" s="8" t="s">
        <v>35</v>
      </c>
      <c r="D69" s="31">
        <v>21</v>
      </c>
      <c r="E69" s="31">
        <v>34</v>
      </c>
      <c r="F69" s="31">
        <v>17</v>
      </c>
      <c r="G69" s="31">
        <v>27</v>
      </c>
      <c r="H69" s="31">
        <v>38</v>
      </c>
      <c r="I69" s="31">
        <v>15</v>
      </c>
      <c r="J69" s="31">
        <v>12</v>
      </c>
      <c r="K69" s="31">
        <v>18</v>
      </c>
      <c r="L69" s="31">
        <v>39</v>
      </c>
      <c r="M69" s="31">
        <v>31</v>
      </c>
      <c r="N69" s="31">
        <v>2</v>
      </c>
      <c r="O69" s="31">
        <v>2</v>
      </c>
      <c r="P69" s="31">
        <v>3</v>
      </c>
      <c r="Q69" s="31">
        <v>1</v>
      </c>
      <c r="R69" s="31">
        <v>3</v>
      </c>
      <c r="S69" s="31">
        <v>1</v>
      </c>
      <c r="T69" s="31">
        <v>1</v>
      </c>
      <c r="U69" s="31">
        <v>1</v>
      </c>
      <c r="V69" s="31">
        <v>2</v>
      </c>
      <c r="W69" s="31">
        <v>1</v>
      </c>
      <c r="X69" s="31" t="s">
        <v>19</v>
      </c>
      <c r="Y69" s="31" t="s">
        <v>19</v>
      </c>
      <c r="Z69" s="31">
        <v>1</v>
      </c>
      <c r="AA69" s="87">
        <v>1</v>
      </c>
      <c r="AB69" s="87">
        <v>1</v>
      </c>
      <c r="AC69" s="87">
        <v>1</v>
      </c>
      <c r="AD69" s="10" t="s">
        <v>19</v>
      </c>
    </row>
    <row r="70" spans="2:30" ht="11.1" customHeight="1" x14ac:dyDescent="0.25">
      <c r="B70" s="12" t="s">
        <v>54</v>
      </c>
      <c r="C70" s="8" t="s">
        <v>35</v>
      </c>
      <c r="D70" s="31">
        <v>1708</v>
      </c>
      <c r="E70" s="31">
        <v>1456</v>
      </c>
      <c r="F70" s="31">
        <v>1618</v>
      </c>
      <c r="G70" s="31">
        <v>1898</v>
      </c>
      <c r="H70" s="31">
        <v>2039</v>
      </c>
      <c r="I70" s="31">
        <v>2228</v>
      </c>
      <c r="J70" s="31">
        <v>2717</v>
      </c>
      <c r="K70" s="31">
        <v>1853</v>
      </c>
      <c r="L70" s="31">
        <v>1466</v>
      </c>
      <c r="M70" s="31">
        <v>1756</v>
      </c>
      <c r="N70" s="31">
        <v>1572</v>
      </c>
      <c r="O70" s="31">
        <v>1193</v>
      </c>
      <c r="P70" s="31">
        <v>980</v>
      </c>
      <c r="Q70" s="31">
        <v>887</v>
      </c>
      <c r="R70" s="31">
        <v>933</v>
      </c>
      <c r="S70" s="31">
        <v>985</v>
      </c>
      <c r="T70" s="31">
        <v>1035</v>
      </c>
      <c r="U70" s="31">
        <v>974</v>
      </c>
      <c r="V70" s="31">
        <v>922</v>
      </c>
      <c r="W70" s="31">
        <v>797</v>
      </c>
      <c r="X70" s="31">
        <v>807</v>
      </c>
      <c r="Y70" s="31">
        <v>740</v>
      </c>
      <c r="Z70" s="31">
        <v>824</v>
      </c>
      <c r="AA70" s="87">
        <v>894</v>
      </c>
      <c r="AB70" s="87">
        <v>752</v>
      </c>
      <c r="AC70" s="87">
        <v>804</v>
      </c>
      <c r="AD70" s="10" t="s">
        <v>19</v>
      </c>
    </row>
    <row r="71" spans="2:30" ht="11.1" customHeight="1" x14ac:dyDescent="0.25">
      <c r="B71" s="12" t="s">
        <v>419</v>
      </c>
      <c r="C71" s="8" t="s">
        <v>35</v>
      </c>
      <c r="D71" s="31" t="s">
        <v>19</v>
      </c>
      <c r="E71" s="31" t="s">
        <v>19</v>
      </c>
      <c r="F71" s="31" t="s">
        <v>19</v>
      </c>
      <c r="G71" s="31" t="s">
        <v>19</v>
      </c>
      <c r="H71" s="31" t="s">
        <v>19</v>
      </c>
      <c r="I71" s="31" t="s">
        <v>19</v>
      </c>
      <c r="J71" s="31" t="s">
        <v>19</v>
      </c>
      <c r="K71" s="31" t="s">
        <v>19</v>
      </c>
      <c r="L71" s="31" t="s">
        <v>19</v>
      </c>
      <c r="M71" s="31" t="s">
        <v>19</v>
      </c>
      <c r="N71" s="31" t="s">
        <v>19</v>
      </c>
      <c r="O71" s="31" t="s">
        <v>19</v>
      </c>
      <c r="P71" s="31" t="s">
        <v>19</v>
      </c>
      <c r="Q71" s="31" t="s">
        <v>19</v>
      </c>
      <c r="R71" s="31">
        <v>22</v>
      </c>
      <c r="S71" s="31">
        <v>23</v>
      </c>
      <c r="T71" s="31" t="s">
        <v>19</v>
      </c>
      <c r="U71" s="31" t="s">
        <v>19</v>
      </c>
      <c r="V71" s="31" t="s">
        <v>19</v>
      </c>
      <c r="W71" s="31" t="s">
        <v>19</v>
      </c>
      <c r="X71" s="31" t="s">
        <v>19</v>
      </c>
      <c r="Y71" s="31" t="s">
        <v>19</v>
      </c>
      <c r="Z71" s="31" t="s">
        <v>19</v>
      </c>
      <c r="AA71" s="87" t="s">
        <v>19</v>
      </c>
      <c r="AB71" s="87" t="s">
        <v>19</v>
      </c>
      <c r="AC71" s="87" t="s">
        <v>19</v>
      </c>
      <c r="AD71" s="10" t="s">
        <v>19</v>
      </c>
    </row>
    <row r="72" spans="2:30" ht="11.1" customHeight="1" x14ac:dyDescent="0.25">
      <c r="B72" s="12" t="s">
        <v>397</v>
      </c>
      <c r="C72" s="8" t="s">
        <v>35</v>
      </c>
      <c r="D72" s="31">
        <v>1752</v>
      </c>
      <c r="E72" s="31">
        <v>2598</v>
      </c>
      <c r="F72" s="31">
        <v>2414</v>
      </c>
      <c r="G72" s="31">
        <v>2622</v>
      </c>
      <c r="H72" s="31">
        <v>1858</v>
      </c>
      <c r="I72" s="31">
        <v>2483</v>
      </c>
      <c r="J72" s="31">
        <v>1255</v>
      </c>
      <c r="K72" s="31">
        <v>2043</v>
      </c>
      <c r="L72" s="31">
        <v>1047</v>
      </c>
      <c r="M72" s="31">
        <v>685</v>
      </c>
      <c r="N72" s="31">
        <v>986</v>
      </c>
      <c r="O72" s="31">
        <v>342</v>
      </c>
      <c r="P72" s="31">
        <v>101</v>
      </c>
      <c r="Q72" s="31">
        <v>206</v>
      </c>
      <c r="R72" s="31">
        <v>236</v>
      </c>
      <c r="S72" s="31">
        <v>328</v>
      </c>
      <c r="T72" s="31">
        <v>191</v>
      </c>
      <c r="U72" s="31">
        <v>104</v>
      </c>
      <c r="V72" s="31">
        <v>152</v>
      </c>
      <c r="W72" s="31">
        <v>191</v>
      </c>
      <c r="X72" s="31">
        <v>208</v>
      </c>
      <c r="Y72" s="31">
        <v>97</v>
      </c>
      <c r="Z72" s="31">
        <v>137</v>
      </c>
      <c r="AA72" s="87">
        <v>137</v>
      </c>
      <c r="AB72" s="87">
        <v>36</v>
      </c>
      <c r="AC72" s="87">
        <v>211</v>
      </c>
      <c r="AD72" s="10" t="s">
        <v>19</v>
      </c>
    </row>
    <row r="73" spans="2:30" ht="11.1" customHeight="1" x14ac:dyDescent="0.25">
      <c r="B73" s="12" t="s">
        <v>411</v>
      </c>
      <c r="C73" s="8" t="s">
        <v>35</v>
      </c>
      <c r="D73" s="31">
        <v>270</v>
      </c>
      <c r="E73" s="31">
        <v>306</v>
      </c>
      <c r="F73" s="31">
        <v>227</v>
      </c>
      <c r="G73" s="31">
        <v>220</v>
      </c>
      <c r="H73" s="31">
        <v>278</v>
      </c>
      <c r="I73" s="31">
        <v>210</v>
      </c>
      <c r="J73" s="31">
        <v>193</v>
      </c>
      <c r="K73" s="31">
        <v>143</v>
      </c>
      <c r="L73" s="31">
        <v>148</v>
      </c>
      <c r="M73" s="31">
        <v>209</v>
      </c>
      <c r="N73" s="31">
        <v>169</v>
      </c>
      <c r="O73" s="31">
        <v>93</v>
      </c>
      <c r="P73" s="31">
        <v>68</v>
      </c>
      <c r="Q73" s="31">
        <v>64</v>
      </c>
      <c r="R73" s="31">
        <v>55</v>
      </c>
      <c r="S73" s="31">
        <v>71</v>
      </c>
      <c r="T73" s="31">
        <v>53</v>
      </c>
      <c r="U73" s="31">
        <v>70</v>
      </c>
      <c r="V73" s="31">
        <v>66</v>
      </c>
      <c r="W73" s="31">
        <v>48</v>
      </c>
      <c r="X73" s="31">
        <v>38</v>
      </c>
      <c r="Y73" s="31">
        <v>41</v>
      </c>
      <c r="Z73" s="31">
        <v>37</v>
      </c>
      <c r="AA73" s="87">
        <v>30</v>
      </c>
      <c r="AB73" s="87">
        <v>20</v>
      </c>
      <c r="AC73" s="87">
        <v>23</v>
      </c>
      <c r="AD73" s="10" t="s">
        <v>19</v>
      </c>
    </row>
    <row r="74" spans="2:30" ht="11.1" customHeight="1" x14ac:dyDescent="0.25">
      <c r="B74" s="12" t="s">
        <v>412</v>
      </c>
      <c r="C74" s="8" t="s">
        <v>35</v>
      </c>
      <c r="D74" s="31">
        <v>210</v>
      </c>
      <c r="E74" s="31">
        <v>213</v>
      </c>
      <c r="F74" s="31">
        <v>224</v>
      </c>
      <c r="G74" s="31">
        <v>257</v>
      </c>
      <c r="H74" s="31">
        <v>258</v>
      </c>
      <c r="I74" s="31">
        <v>239</v>
      </c>
      <c r="J74" s="31">
        <v>227</v>
      </c>
      <c r="K74" s="31">
        <v>212</v>
      </c>
      <c r="L74" s="31">
        <v>167</v>
      </c>
      <c r="M74" s="31">
        <v>117</v>
      </c>
      <c r="N74" s="31">
        <v>86</v>
      </c>
      <c r="O74" s="31">
        <v>80</v>
      </c>
      <c r="P74" s="31">
        <v>74</v>
      </c>
      <c r="Q74" s="31">
        <v>86</v>
      </c>
      <c r="R74" s="31">
        <v>81</v>
      </c>
      <c r="S74" s="31">
        <v>67</v>
      </c>
      <c r="T74" s="31">
        <v>61</v>
      </c>
      <c r="U74" s="31">
        <v>47</v>
      </c>
      <c r="V74" s="31">
        <v>42</v>
      </c>
      <c r="W74" s="31">
        <v>45</v>
      </c>
      <c r="X74" s="31">
        <v>64</v>
      </c>
      <c r="Y74" s="31">
        <v>74</v>
      </c>
      <c r="Z74" s="31">
        <v>66</v>
      </c>
      <c r="AA74" s="87">
        <v>56</v>
      </c>
      <c r="AB74" s="87">
        <v>49</v>
      </c>
      <c r="AC74" s="87">
        <v>53</v>
      </c>
      <c r="AD74" s="10" t="s">
        <v>19</v>
      </c>
    </row>
    <row r="75" spans="2:30" ht="11.1" customHeight="1" x14ac:dyDescent="0.25">
      <c r="B75" s="12" t="s">
        <v>98</v>
      </c>
      <c r="C75" s="8" t="s">
        <v>35</v>
      </c>
      <c r="D75" s="31">
        <v>368</v>
      </c>
      <c r="E75" s="31">
        <v>338</v>
      </c>
      <c r="F75" s="31">
        <v>350</v>
      </c>
      <c r="G75" s="31">
        <v>436</v>
      </c>
      <c r="H75" s="31">
        <v>478</v>
      </c>
      <c r="I75" s="31">
        <v>488</v>
      </c>
      <c r="J75" s="31">
        <v>347</v>
      </c>
      <c r="K75" s="31">
        <v>281</v>
      </c>
      <c r="L75" s="31">
        <v>296</v>
      </c>
      <c r="M75" s="31">
        <v>321</v>
      </c>
      <c r="N75" s="31">
        <v>312</v>
      </c>
      <c r="O75" s="31">
        <v>295</v>
      </c>
      <c r="P75" s="31">
        <v>286</v>
      </c>
      <c r="Q75" s="31">
        <v>276</v>
      </c>
      <c r="R75" s="31">
        <v>309</v>
      </c>
      <c r="S75" s="31">
        <v>294</v>
      </c>
      <c r="T75" s="31">
        <v>299</v>
      </c>
      <c r="U75" s="31">
        <v>311</v>
      </c>
      <c r="V75" s="31">
        <v>287</v>
      </c>
      <c r="W75" s="31">
        <v>252</v>
      </c>
      <c r="X75" s="31">
        <v>232</v>
      </c>
      <c r="Y75" s="31">
        <v>279</v>
      </c>
      <c r="Z75" s="31">
        <v>295</v>
      </c>
      <c r="AA75" s="87">
        <v>229</v>
      </c>
      <c r="AB75" s="87">
        <v>192</v>
      </c>
      <c r="AC75" s="87">
        <v>238</v>
      </c>
      <c r="AD75" s="10" t="s">
        <v>19</v>
      </c>
    </row>
    <row r="76" spans="2:30" ht="11.1" customHeight="1" x14ac:dyDescent="0.25">
      <c r="B76" s="12" t="s">
        <v>342</v>
      </c>
      <c r="C76" s="8" t="s">
        <v>35</v>
      </c>
      <c r="D76" s="31">
        <v>372</v>
      </c>
      <c r="E76" s="31">
        <v>387</v>
      </c>
      <c r="F76" s="31">
        <v>265</v>
      </c>
      <c r="G76" s="31">
        <v>333</v>
      </c>
      <c r="H76" s="31">
        <v>326</v>
      </c>
      <c r="I76" s="31">
        <v>305</v>
      </c>
      <c r="J76" s="31">
        <v>250</v>
      </c>
      <c r="K76" s="31">
        <v>202</v>
      </c>
      <c r="L76" s="31">
        <v>224</v>
      </c>
      <c r="M76" s="31">
        <v>259</v>
      </c>
      <c r="N76" s="31">
        <v>245</v>
      </c>
      <c r="O76" s="31">
        <v>274</v>
      </c>
      <c r="P76" s="31">
        <v>234</v>
      </c>
      <c r="Q76" s="31">
        <v>200</v>
      </c>
      <c r="R76" s="31">
        <v>154</v>
      </c>
      <c r="S76" s="31">
        <v>198</v>
      </c>
      <c r="T76" s="31">
        <v>204</v>
      </c>
      <c r="U76" s="31">
        <v>218</v>
      </c>
      <c r="V76" s="31">
        <v>195</v>
      </c>
      <c r="W76" s="31">
        <v>213</v>
      </c>
      <c r="X76" s="31">
        <v>195</v>
      </c>
      <c r="Y76" s="31">
        <v>232</v>
      </c>
      <c r="Z76" s="31">
        <v>200</v>
      </c>
      <c r="AA76" s="87">
        <v>179</v>
      </c>
      <c r="AB76" s="87">
        <v>180</v>
      </c>
      <c r="AC76" s="87">
        <v>207</v>
      </c>
      <c r="AD76" s="10" t="s">
        <v>19</v>
      </c>
    </row>
    <row r="77" spans="2:30" ht="11.1" customHeight="1" x14ac:dyDescent="0.25">
      <c r="B77" s="12" t="s">
        <v>413</v>
      </c>
      <c r="C77" s="8" t="s">
        <v>35</v>
      </c>
      <c r="D77" s="31">
        <v>138</v>
      </c>
      <c r="E77" s="31">
        <v>82</v>
      </c>
      <c r="F77" s="31">
        <v>66</v>
      </c>
      <c r="G77" s="31">
        <v>50</v>
      </c>
      <c r="H77" s="31">
        <v>54</v>
      </c>
      <c r="I77" s="31">
        <v>52</v>
      </c>
      <c r="J77" s="31">
        <v>47</v>
      </c>
      <c r="K77" s="31">
        <v>39</v>
      </c>
      <c r="L77" s="31">
        <v>39</v>
      </c>
      <c r="M77" s="31">
        <v>34</v>
      </c>
      <c r="N77" s="31">
        <v>25</v>
      </c>
      <c r="O77" s="31">
        <v>30</v>
      </c>
      <c r="P77" s="31">
        <v>24</v>
      </c>
      <c r="Q77" s="31">
        <v>22</v>
      </c>
      <c r="R77" s="31">
        <v>26</v>
      </c>
      <c r="S77" s="31">
        <v>22</v>
      </c>
      <c r="T77" s="31">
        <v>20</v>
      </c>
      <c r="U77" s="31">
        <v>9</v>
      </c>
      <c r="V77" s="31">
        <v>21</v>
      </c>
      <c r="W77" s="31">
        <v>18</v>
      </c>
      <c r="X77" s="31">
        <v>16</v>
      </c>
      <c r="Y77" s="31">
        <v>16</v>
      </c>
      <c r="Z77" s="31">
        <v>10</v>
      </c>
      <c r="AA77" s="87">
        <v>9</v>
      </c>
      <c r="AB77" s="87">
        <v>8</v>
      </c>
      <c r="AC77" s="87">
        <v>8</v>
      </c>
      <c r="AD77" s="10" t="s">
        <v>19</v>
      </c>
    </row>
    <row r="78" spans="2:30" ht="11.1" customHeight="1" x14ac:dyDescent="0.25">
      <c r="B78" s="12" t="s">
        <v>370</v>
      </c>
      <c r="C78" s="8" t="s">
        <v>35</v>
      </c>
      <c r="D78" s="31">
        <v>3633</v>
      </c>
      <c r="E78" s="31">
        <v>1463</v>
      </c>
      <c r="F78" s="31">
        <v>870</v>
      </c>
      <c r="G78" s="31">
        <v>1610</v>
      </c>
      <c r="H78" s="31">
        <v>2064</v>
      </c>
      <c r="I78" s="31">
        <v>1813</v>
      </c>
      <c r="J78" s="31">
        <v>1828</v>
      </c>
      <c r="K78" s="31">
        <v>2038</v>
      </c>
      <c r="L78" s="31">
        <v>1873</v>
      </c>
      <c r="M78" s="31">
        <v>1835</v>
      </c>
      <c r="N78" s="31">
        <v>2108</v>
      </c>
      <c r="O78" s="31">
        <v>2651</v>
      </c>
      <c r="P78" s="31">
        <v>2371</v>
      </c>
      <c r="Q78" s="31">
        <v>2410</v>
      </c>
      <c r="R78" s="31">
        <v>2221</v>
      </c>
      <c r="S78" s="31">
        <v>1516</v>
      </c>
      <c r="T78" s="31">
        <v>1763</v>
      </c>
      <c r="U78" s="31">
        <v>2161</v>
      </c>
      <c r="V78" s="31">
        <v>2062</v>
      </c>
      <c r="W78" s="31">
        <v>2201</v>
      </c>
      <c r="X78" s="31">
        <v>1092</v>
      </c>
      <c r="Y78" s="31">
        <v>1637</v>
      </c>
      <c r="Z78" s="31">
        <v>1339</v>
      </c>
      <c r="AA78" s="87">
        <v>1715</v>
      </c>
      <c r="AB78" s="87">
        <v>1739</v>
      </c>
      <c r="AC78" s="87">
        <v>2081</v>
      </c>
      <c r="AD78" s="10" t="s">
        <v>19</v>
      </c>
    </row>
    <row r="79" spans="2:30" ht="11.1" customHeight="1" x14ac:dyDescent="0.25">
      <c r="B79" s="12" t="s">
        <v>398</v>
      </c>
      <c r="C79" s="8" t="s">
        <v>35</v>
      </c>
      <c r="D79" s="31">
        <v>744</v>
      </c>
      <c r="E79" s="31">
        <v>841</v>
      </c>
      <c r="F79" s="31">
        <v>761</v>
      </c>
      <c r="G79" s="31">
        <v>598</v>
      </c>
      <c r="H79" s="31">
        <v>530</v>
      </c>
      <c r="I79" s="31">
        <v>438</v>
      </c>
      <c r="J79" s="31">
        <v>278</v>
      </c>
      <c r="K79" s="31">
        <v>353</v>
      </c>
      <c r="L79" s="31">
        <v>230</v>
      </c>
      <c r="M79" s="31">
        <v>285</v>
      </c>
      <c r="N79" s="31">
        <v>182</v>
      </c>
      <c r="O79" s="31">
        <v>214</v>
      </c>
      <c r="P79" s="31">
        <v>147</v>
      </c>
      <c r="Q79" s="31">
        <v>167</v>
      </c>
      <c r="R79" s="31">
        <v>288</v>
      </c>
      <c r="S79" s="31">
        <v>154</v>
      </c>
      <c r="T79" s="31">
        <v>66</v>
      </c>
      <c r="U79" s="31">
        <v>82</v>
      </c>
      <c r="V79" s="31">
        <v>87</v>
      </c>
      <c r="W79" s="31">
        <v>71</v>
      </c>
      <c r="X79" s="31">
        <v>65</v>
      </c>
      <c r="Y79" s="31">
        <v>82</v>
      </c>
      <c r="Z79" s="31">
        <v>104</v>
      </c>
      <c r="AA79" s="87">
        <v>100</v>
      </c>
      <c r="AB79" s="87">
        <v>92</v>
      </c>
      <c r="AC79" s="87">
        <v>137</v>
      </c>
      <c r="AD79" s="10" t="s">
        <v>19</v>
      </c>
    </row>
    <row r="80" spans="2:30" ht="11.1" customHeight="1" x14ac:dyDescent="0.25">
      <c r="B80" s="12" t="s">
        <v>252</v>
      </c>
      <c r="C80" s="8" t="s">
        <v>35</v>
      </c>
      <c r="D80" s="31">
        <v>240</v>
      </c>
      <c r="E80" s="31">
        <v>260</v>
      </c>
      <c r="F80" s="31">
        <v>228</v>
      </c>
      <c r="G80" s="31">
        <v>175</v>
      </c>
      <c r="H80" s="31">
        <v>171</v>
      </c>
      <c r="I80" s="31">
        <v>163</v>
      </c>
      <c r="J80" s="31">
        <v>188</v>
      </c>
      <c r="K80" s="31">
        <v>185</v>
      </c>
      <c r="L80" s="31">
        <v>144</v>
      </c>
      <c r="M80" s="31">
        <v>145</v>
      </c>
      <c r="N80" s="31">
        <v>179</v>
      </c>
      <c r="O80" s="31">
        <v>150</v>
      </c>
      <c r="P80" s="31">
        <v>169</v>
      </c>
      <c r="Q80" s="31">
        <v>165</v>
      </c>
      <c r="R80" s="31">
        <v>182</v>
      </c>
      <c r="S80" s="31">
        <v>171</v>
      </c>
      <c r="T80" s="31">
        <v>201</v>
      </c>
      <c r="U80" s="31">
        <v>181</v>
      </c>
      <c r="V80" s="31">
        <v>167</v>
      </c>
      <c r="W80" s="31">
        <v>175</v>
      </c>
      <c r="X80" s="31">
        <v>168</v>
      </c>
      <c r="Y80" s="31">
        <v>162</v>
      </c>
      <c r="Z80" s="31">
        <v>146</v>
      </c>
      <c r="AA80" s="87">
        <v>137</v>
      </c>
      <c r="AB80" s="87">
        <v>148</v>
      </c>
      <c r="AC80" s="87">
        <v>138</v>
      </c>
      <c r="AD80" s="10" t="s">
        <v>19</v>
      </c>
    </row>
    <row r="81" spans="2:30" ht="11.1" customHeight="1" x14ac:dyDescent="0.25">
      <c r="B81" s="12" t="s">
        <v>198</v>
      </c>
      <c r="C81" s="8" t="s">
        <v>35</v>
      </c>
      <c r="D81" s="31">
        <v>116</v>
      </c>
      <c r="E81" s="31">
        <v>109</v>
      </c>
      <c r="F81" s="31">
        <v>103</v>
      </c>
      <c r="G81" s="31">
        <v>108</v>
      </c>
      <c r="H81" s="31">
        <v>121</v>
      </c>
      <c r="I81" s="31">
        <v>128</v>
      </c>
      <c r="J81" s="31">
        <v>159</v>
      </c>
      <c r="K81" s="31">
        <v>123</v>
      </c>
      <c r="L81" s="31">
        <v>134</v>
      </c>
      <c r="M81" s="31">
        <v>123</v>
      </c>
      <c r="N81" s="31">
        <v>103</v>
      </c>
      <c r="O81" s="31">
        <v>111</v>
      </c>
      <c r="P81" s="31">
        <v>109</v>
      </c>
      <c r="Q81" s="31">
        <v>95</v>
      </c>
      <c r="R81" s="31">
        <v>92</v>
      </c>
      <c r="S81" s="31">
        <v>93</v>
      </c>
      <c r="T81" s="31">
        <v>86</v>
      </c>
      <c r="U81" s="31">
        <v>110</v>
      </c>
      <c r="V81" s="31">
        <v>164</v>
      </c>
      <c r="W81" s="31">
        <v>150</v>
      </c>
      <c r="X81" s="31">
        <v>145</v>
      </c>
      <c r="Y81" s="31">
        <v>179</v>
      </c>
      <c r="Z81" s="31">
        <v>200</v>
      </c>
      <c r="AA81" s="87">
        <v>191</v>
      </c>
      <c r="AB81" s="87">
        <v>145</v>
      </c>
      <c r="AC81" s="87">
        <v>134</v>
      </c>
      <c r="AD81" s="10" t="s">
        <v>19</v>
      </c>
    </row>
    <row r="82" spans="2:30" ht="11.1" customHeight="1" x14ac:dyDescent="0.25">
      <c r="B82" s="12" t="s">
        <v>78</v>
      </c>
      <c r="C82" s="8" t="s">
        <v>35</v>
      </c>
      <c r="D82" s="31">
        <v>968</v>
      </c>
      <c r="E82" s="31">
        <v>925</v>
      </c>
      <c r="F82" s="31">
        <v>879</v>
      </c>
      <c r="G82" s="31">
        <v>861</v>
      </c>
      <c r="H82" s="31">
        <v>986</v>
      </c>
      <c r="I82" s="31">
        <v>1325</v>
      </c>
      <c r="J82" s="31">
        <v>1154</v>
      </c>
      <c r="K82" s="31">
        <v>1024</v>
      </c>
      <c r="L82" s="31">
        <v>802</v>
      </c>
      <c r="M82" s="31">
        <v>578</v>
      </c>
      <c r="N82" s="31">
        <v>418</v>
      </c>
      <c r="O82" s="31">
        <v>429</v>
      </c>
      <c r="P82" s="31">
        <v>532</v>
      </c>
      <c r="Q82" s="31">
        <v>496</v>
      </c>
      <c r="R82" s="31">
        <v>460</v>
      </c>
      <c r="S82" s="31">
        <v>391</v>
      </c>
      <c r="T82" s="31">
        <v>431</v>
      </c>
      <c r="U82" s="31">
        <v>531</v>
      </c>
      <c r="V82" s="31">
        <v>684</v>
      </c>
      <c r="W82" s="31">
        <v>630</v>
      </c>
      <c r="X82" s="31">
        <v>715</v>
      </c>
      <c r="Y82" s="31">
        <v>784</v>
      </c>
      <c r="Z82" s="31">
        <v>664</v>
      </c>
      <c r="AA82" s="87">
        <v>608</v>
      </c>
      <c r="AB82" s="87">
        <v>639</v>
      </c>
      <c r="AC82" s="87">
        <v>643</v>
      </c>
      <c r="AD82" s="10" t="s">
        <v>19</v>
      </c>
    </row>
    <row r="83" spans="2:30" ht="11.1" customHeight="1" x14ac:dyDescent="0.25">
      <c r="B83" s="12" t="s">
        <v>348</v>
      </c>
      <c r="C83" s="8" t="s">
        <v>35</v>
      </c>
      <c r="D83" s="31">
        <v>788</v>
      </c>
      <c r="E83" s="31">
        <v>740</v>
      </c>
      <c r="F83" s="31">
        <v>835</v>
      </c>
      <c r="G83" s="31">
        <v>855</v>
      </c>
      <c r="H83" s="31">
        <v>843</v>
      </c>
      <c r="I83" s="31">
        <v>817</v>
      </c>
      <c r="J83" s="31">
        <v>680</v>
      </c>
      <c r="K83" s="31">
        <v>693</v>
      </c>
      <c r="L83" s="31">
        <v>588</v>
      </c>
      <c r="M83" s="31">
        <v>471</v>
      </c>
      <c r="N83" s="31">
        <v>425</v>
      </c>
      <c r="O83" s="31">
        <v>442</v>
      </c>
      <c r="P83" s="31">
        <v>456</v>
      </c>
      <c r="Q83" s="31">
        <v>479</v>
      </c>
      <c r="R83" s="31">
        <v>478</v>
      </c>
      <c r="S83" s="31">
        <v>488</v>
      </c>
      <c r="T83" s="31">
        <v>357</v>
      </c>
      <c r="U83" s="31">
        <v>279</v>
      </c>
      <c r="V83" s="31">
        <v>244</v>
      </c>
      <c r="W83" s="31">
        <v>207</v>
      </c>
      <c r="X83" s="31">
        <v>141</v>
      </c>
      <c r="Y83" s="31">
        <v>154</v>
      </c>
      <c r="Z83" s="31">
        <v>162</v>
      </c>
      <c r="AA83" s="87">
        <v>200</v>
      </c>
      <c r="AB83" s="87">
        <v>195</v>
      </c>
      <c r="AC83" s="87">
        <v>229</v>
      </c>
      <c r="AD83" s="10" t="s">
        <v>19</v>
      </c>
    </row>
    <row r="84" spans="2:30" ht="11.1" customHeight="1" x14ac:dyDescent="0.25">
      <c r="B84" s="12" t="s">
        <v>79</v>
      </c>
      <c r="C84" s="8" t="s">
        <v>35</v>
      </c>
      <c r="D84" s="31">
        <v>294</v>
      </c>
      <c r="E84" s="31">
        <v>331</v>
      </c>
      <c r="F84" s="31">
        <v>287</v>
      </c>
      <c r="G84" s="31">
        <v>279</v>
      </c>
      <c r="H84" s="31">
        <v>294</v>
      </c>
      <c r="I84" s="31">
        <v>414</v>
      </c>
      <c r="J84" s="31">
        <v>450</v>
      </c>
      <c r="K84" s="31">
        <v>459</v>
      </c>
      <c r="L84" s="31">
        <v>426</v>
      </c>
      <c r="M84" s="31">
        <v>351</v>
      </c>
      <c r="N84" s="31">
        <v>326</v>
      </c>
      <c r="O84" s="31">
        <v>313</v>
      </c>
      <c r="P84" s="31">
        <v>345</v>
      </c>
      <c r="Q84" s="31">
        <v>395</v>
      </c>
      <c r="R84" s="31">
        <v>424</v>
      </c>
      <c r="S84" s="31">
        <v>319</v>
      </c>
      <c r="T84" s="31">
        <v>359</v>
      </c>
      <c r="U84" s="31">
        <v>460</v>
      </c>
      <c r="V84" s="31">
        <v>519</v>
      </c>
      <c r="W84" s="31">
        <v>502</v>
      </c>
      <c r="X84" s="31">
        <v>627</v>
      </c>
      <c r="Y84" s="31">
        <v>621</v>
      </c>
      <c r="Z84" s="31">
        <v>567</v>
      </c>
      <c r="AA84" s="87">
        <v>558</v>
      </c>
      <c r="AB84" s="87">
        <v>517</v>
      </c>
      <c r="AC84" s="87">
        <v>576</v>
      </c>
      <c r="AD84" s="10" t="s">
        <v>19</v>
      </c>
    </row>
    <row r="85" spans="2:30" ht="11.1" customHeight="1" x14ac:dyDescent="0.25">
      <c r="B85" s="12" t="s">
        <v>74</v>
      </c>
      <c r="C85" s="8" t="s">
        <v>35</v>
      </c>
      <c r="D85" s="31">
        <v>1512</v>
      </c>
      <c r="E85" s="31">
        <v>1273</v>
      </c>
      <c r="F85" s="31">
        <v>1384</v>
      </c>
      <c r="G85" s="31">
        <v>1591</v>
      </c>
      <c r="H85" s="31">
        <v>1700</v>
      </c>
      <c r="I85" s="31">
        <v>1954</v>
      </c>
      <c r="J85" s="31">
        <v>2239</v>
      </c>
      <c r="K85" s="31">
        <v>2066</v>
      </c>
      <c r="L85" s="31">
        <v>1739</v>
      </c>
      <c r="M85" s="31">
        <v>1693</v>
      </c>
      <c r="N85" s="31">
        <v>1714</v>
      </c>
      <c r="O85" s="31">
        <v>1587</v>
      </c>
      <c r="P85" s="31">
        <v>1673</v>
      </c>
      <c r="Q85" s="31">
        <v>1686</v>
      </c>
      <c r="R85" s="31">
        <v>1671</v>
      </c>
      <c r="S85" s="31">
        <v>1496</v>
      </c>
      <c r="T85" s="31">
        <v>1619</v>
      </c>
      <c r="U85" s="31">
        <v>1617</v>
      </c>
      <c r="V85" s="31">
        <v>1792</v>
      </c>
      <c r="W85" s="31">
        <v>2023</v>
      </c>
      <c r="X85" s="31">
        <v>2219</v>
      </c>
      <c r="Y85" s="31">
        <v>2253</v>
      </c>
      <c r="Z85" s="31">
        <v>1812</v>
      </c>
      <c r="AA85" s="87">
        <v>1822</v>
      </c>
      <c r="AB85" s="87">
        <v>1675</v>
      </c>
      <c r="AC85" s="87">
        <v>1679</v>
      </c>
      <c r="AD85" s="10" t="s">
        <v>19</v>
      </c>
    </row>
    <row r="86" spans="2:30" ht="11.1" customHeight="1" x14ac:dyDescent="0.25">
      <c r="B86" s="12" t="s">
        <v>82</v>
      </c>
      <c r="C86" s="8" t="s">
        <v>35</v>
      </c>
      <c r="D86" s="31">
        <v>3580</v>
      </c>
      <c r="E86" s="31">
        <v>4951</v>
      </c>
      <c r="F86" s="31">
        <v>4157</v>
      </c>
      <c r="G86" s="31">
        <v>4602</v>
      </c>
      <c r="H86" s="31">
        <v>4340</v>
      </c>
      <c r="I86" s="31">
        <v>4402</v>
      </c>
      <c r="J86" s="31">
        <v>3858</v>
      </c>
      <c r="K86" s="31">
        <v>3642</v>
      </c>
      <c r="L86" s="31">
        <v>2236</v>
      </c>
      <c r="M86" s="31">
        <v>1609</v>
      </c>
      <c r="N86" s="31">
        <v>1381</v>
      </c>
      <c r="O86" s="31">
        <v>1777</v>
      </c>
      <c r="P86" s="31">
        <v>1602</v>
      </c>
      <c r="Q86" s="31">
        <v>1544</v>
      </c>
      <c r="R86" s="31">
        <v>1539</v>
      </c>
      <c r="S86" s="31">
        <v>2003</v>
      </c>
      <c r="T86" s="31">
        <v>2207</v>
      </c>
      <c r="U86" s="31">
        <v>2565</v>
      </c>
      <c r="V86" s="31">
        <v>2015</v>
      </c>
      <c r="W86" s="31">
        <v>2123</v>
      </c>
      <c r="X86" s="31">
        <v>1910</v>
      </c>
      <c r="Y86" s="31">
        <v>1677</v>
      </c>
      <c r="Z86" s="31">
        <v>2155</v>
      </c>
      <c r="AA86" s="87">
        <v>1920</v>
      </c>
      <c r="AB86" s="87">
        <v>1668</v>
      </c>
      <c r="AC86" s="87">
        <v>1776</v>
      </c>
      <c r="AD86" s="10" t="s">
        <v>19</v>
      </c>
    </row>
    <row r="87" spans="2:30" ht="11.1" customHeight="1" x14ac:dyDescent="0.25">
      <c r="B87" s="12" t="s">
        <v>13</v>
      </c>
      <c r="C87" s="8" t="s">
        <v>35</v>
      </c>
      <c r="D87" s="31">
        <v>16714</v>
      </c>
      <c r="E87" s="31">
        <v>16307</v>
      </c>
      <c r="F87" s="31">
        <v>14685</v>
      </c>
      <c r="G87" s="31">
        <v>16522</v>
      </c>
      <c r="H87" s="31">
        <v>16378</v>
      </c>
      <c r="I87" s="31">
        <v>17474</v>
      </c>
      <c r="J87" s="31">
        <v>15882</v>
      </c>
      <c r="K87" s="31">
        <v>15374</v>
      </c>
      <c r="L87" s="31">
        <v>11598</v>
      </c>
      <c r="M87" s="31">
        <v>10502</v>
      </c>
      <c r="N87" s="31">
        <v>10233</v>
      </c>
      <c r="O87" s="31">
        <v>9983</v>
      </c>
      <c r="P87" s="31">
        <v>9174</v>
      </c>
      <c r="Q87" s="31">
        <v>9179</v>
      </c>
      <c r="R87" s="31">
        <v>9175</v>
      </c>
      <c r="S87" s="31">
        <v>8620</v>
      </c>
      <c r="T87" s="31">
        <v>8952</v>
      </c>
      <c r="U87" s="31">
        <v>9720</v>
      </c>
      <c r="V87" s="31">
        <v>9421</v>
      </c>
      <c r="W87" s="31">
        <v>9647</v>
      </c>
      <c r="X87" s="31">
        <v>8642</v>
      </c>
      <c r="Y87" s="31">
        <v>9028</v>
      </c>
      <c r="Z87" s="31">
        <v>8719</v>
      </c>
      <c r="AA87" s="87">
        <v>8786</v>
      </c>
      <c r="AB87" s="87">
        <v>8056</v>
      </c>
      <c r="AC87" s="87">
        <v>8938</v>
      </c>
      <c r="AD87" s="10" t="s">
        <v>19</v>
      </c>
    </row>
    <row r="88" spans="2:30" ht="11.1" customHeight="1" x14ac:dyDescent="0.25">
      <c r="B88" s="74" t="s">
        <v>416</v>
      </c>
      <c r="C88" s="8" t="s">
        <v>35</v>
      </c>
      <c r="D88" s="31">
        <v>334</v>
      </c>
      <c r="E88" s="31">
        <v>63</v>
      </c>
      <c r="F88" s="31">
        <v>92</v>
      </c>
      <c r="G88" s="31">
        <v>72</v>
      </c>
      <c r="H88" s="31">
        <v>124</v>
      </c>
      <c r="I88" s="31">
        <v>87</v>
      </c>
      <c r="J88" s="31">
        <v>91</v>
      </c>
      <c r="K88" s="31">
        <v>66</v>
      </c>
      <c r="L88" s="31">
        <v>81</v>
      </c>
      <c r="M88" s="31">
        <v>271</v>
      </c>
      <c r="N88" s="31">
        <v>195</v>
      </c>
      <c r="O88" s="31">
        <v>171</v>
      </c>
      <c r="P88" s="31">
        <v>107</v>
      </c>
      <c r="Q88" s="31">
        <v>35</v>
      </c>
      <c r="R88" s="31">
        <v>13</v>
      </c>
      <c r="S88" s="31">
        <v>56</v>
      </c>
      <c r="T88" s="31">
        <v>37</v>
      </c>
      <c r="U88" s="31">
        <v>37</v>
      </c>
      <c r="V88" s="31">
        <v>129</v>
      </c>
      <c r="W88" s="31">
        <v>136</v>
      </c>
      <c r="X88" s="31">
        <v>32</v>
      </c>
      <c r="Y88" s="31" t="s">
        <v>19</v>
      </c>
      <c r="Z88" s="31">
        <v>2</v>
      </c>
      <c r="AA88" s="87">
        <v>49</v>
      </c>
      <c r="AB88" s="87">
        <v>23</v>
      </c>
      <c r="AC88" s="87">
        <v>268</v>
      </c>
      <c r="AD88" s="10" t="s">
        <v>19</v>
      </c>
    </row>
    <row r="89" spans="2:30" ht="11.1" customHeight="1" x14ac:dyDescent="0.25">
      <c r="B89" s="61" t="s">
        <v>55</v>
      </c>
      <c r="C89" s="22" t="s">
        <v>35</v>
      </c>
      <c r="D89" s="43">
        <v>38452</v>
      </c>
      <c r="E89" s="43">
        <v>40611</v>
      </c>
      <c r="F89" s="43">
        <v>34473</v>
      </c>
      <c r="G89" s="43">
        <v>32948</v>
      </c>
      <c r="H89" s="43">
        <v>40969</v>
      </c>
      <c r="I89" s="43">
        <v>40413</v>
      </c>
      <c r="J89" s="43">
        <v>40777</v>
      </c>
      <c r="K89" s="43">
        <v>33887</v>
      </c>
      <c r="L89" s="43">
        <v>27051</v>
      </c>
      <c r="M89" s="43">
        <v>29101</v>
      </c>
      <c r="N89" s="43">
        <v>25965</v>
      </c>
      <c r="O89" s="43">
        <v>23230</v>
      </c>
      <c r="P89" s="43">
        <v>22764</v>
      </c>
      <c r="Q89" s="43">
        <v>18348</v>
      </c>
      <c r="R89" s="43">
        <v>18889</v>
      </c>
      <c r="S89" s="43">
        <v>19007</v>
      </c>
      <c r="T89" s="43">
        <v>19804</v>
      </c>
      <c r="U89" s="43">
        <v>20513</v>
      </c>
      <c r="V89" s="43">
        <v>22321</v>
      </c>
      <c r="W89" s="43">
        <v>22846</v>
      </c>
      <c r="X89" s="43">
        <v>20425</v>
      </c>
      <c r="Y89" s="43">
        <v>20027</v>
      </c>
      <c r="Z89" s="43">
        <v>21000</v>
      </c>
      <c r="AA89" s="103">
        <v>19835</v>
      </c>
      <c r="AB89" s="103">
        <v>20399</v>
      </c>
      <c r="AC89" s="103">
        <v>21732</v>
      </c>
      <c r="AD89" s="10" t="s">
        <v>19</v>
      </c>
    </row>
    <row r="90" spans="2:30" ht="11.1" customHeight="1" x14ac:dyDescent="0.25">
      <c r="B90" s="367" t="s">
        <v>421</v>
      </c>
      <c r="C90" s="367"/>
      <c r="D90" s="367"/>
      <c r="E90" s="367"/>
      <c r="F90" s="367"/>
      <c r="G90" s="367"/>
      <c r="H90" s="367"/>
      <c r="I90" s="367"/>
      <c r="J90" s="367"/>
      <c r="K90" s="367"/>
      <c r="L90" s="367"/>
      <c r="M90" s="367"/>
      <c r="N90" s="367"/>
      <c r="O90" s="367"/>
      <c r="P90" s="367"/>
      <c r="Q90" s="367"/>
      <c r="R90" s="367"/>
      <c r="S90" s="367"/>
      <c r="T90" s="368"/>
      <c r="U90" s="368"/>
      <c r="V90" s="368"/>
      <c r="W90" s="368"/>
      <c r="X90" s="368"/>
      <c r="Y90" s="368"/>
      <c r="Z90" s="368"/>
      <c r="AA90" s="248"/>
      <c r="AB90" s="248"/>
      <c r="AC90" s="248"/>
      <c r="AD90" s="248"/>
    </row>
    <row r="91" spans="2:30" ht="11.1" customHeight="1" x14ac:dyDescent="0.25">
      <c r="B91" s="12" t="s">
        <v>100</v>
      </c>
      <c r="C91" s="8" t="s">
        <v>35</v>
      </c>
      <c r="D91" s="31" t="s">
        <v>19</v>
      </c>
      <c r="E91" s="31" t="s">
        <v>19</v>
      </c>
      <c r="F91" s="31" t="s">
        <v>19</v>
      </c>
      <c r="G91" s="31" t="s">
        <v>19</v>
      </c>
      <c r="H91" s="31" t="s">
        <v>19</v>
      </c>
      <c r="I91" s="31" t="s">
        <v>19</v>
      </c>
      <c r="J91" s="31" t="s">
        <v>19</v>
      </c>
      <c r="K91" s="31" t="s">
        <v>19</v>
      </c>
      <c r="L91" s="31" t="s">
        <v>19</v>
      </c>
      <c r="M91" s="31" t="s">
        <v>19</v>
      </c>
      <c r="N91" s="31" t="s">
        <v>19</v>
      </c>
      <c r="O91" s="31" t="s">
        <v>19</v>
      </c>
      <c r="P91" s="31" t="s">
        <v>19</v>
      </c>
      <c r="Q91" s="31" t="s">
        <v>19</v>
      </c>
      <c r="R91" s="31" t="s">
        <v>19</v>
      </c>
      <c r="S91" s="31" t="s">
        <v>19</v>
      </c>
      <c r="T91" s="31" t="s">
        <v>19</v>
      </c>
      <c r="U91" s="31" t="s">
        <v>19</v>
      </c>
      <c r="V91" s="31" t="s">
        <v>19</v>
      </c>
      <c r="W91" s="31" t="s">
        <v>19</v>
      </c>
      <c r="X91" s="31" t="s">
        <v>19</v>
      </c>
      <c r="Y91" s="31" t="s">
        <v>19</v>
      </c>
      <c r="Z91" s="31" t="s">
        <v>19</v>
      </c>
      <c r="AA91" s="87" t="s">
        <v>19</v>
      </c>
      <c r="AB91" s="87" t="s">
        <v>19</v>
      </c>
      <c r="AC91" s="87" t="s">
        <v>19</v>
      </c>
      <c r="AD91" s="10" t="s">
        <v>19</v>
      </c>
    </row>
    <row r="92" spans="2:30" ht="11.1" customHeight="1" x14ac:dyDescent="0.25">
      <c r="B92" s="12" t="s">
        <v>327</v>
      </c>
      <c r="C92" s="8" t="s">
        <v>35</v>
      </c>
      <c r="D92" s="31">
        <v>166</v>
      </c>
      <c r="E92" s="31">
        <v>211</v>
      </c>
      <c r="F92" s="31">
        <v>201</v>
      </c>
      <c r="G92" s="31">
        <v>102</v>
      </c>
      <c r="H92" s="31">
        <v>75</v>
      </c>
      <c r="I92" s="31">
        <v>71</v>
      </c>
      <c r="J92" s="31">
        <v>73</v>
      </c>
      <c r="K92" s="31">
        <v>66</v>
      </c>
      <c r="L92" s="31">
        <v>88</v>
      </c>
      <c r="M92" s="31">
        <v>61</v>
      </c>
      <c r="N92" s="31">
        <v>44</v>
      </c>
      <c r="O92" s="31">
        <v>47</v>
      </c>
      <c r="P92" s="31">
        <v>20</v>
      </c>
      <c r="Q92" s="31">
        <v>19</v>
      </c>
      <c r="R92" s="31">
        <v>19</v>
      </c>
      <c r="S92" s="31">
        <v>15</v>
      </c>
      <c r="T92" s="31">
        <v>17</v>
      </c>
      <c r="U92" s="31">
        <v>25</v>
      </c>
      <c r="V92" s="31">
        <v>20</v>
      </c>
      <c r="W92" s="31">
        <v>32</v>
      </c>
      <c r="X92" s="31">
        <v>18</v>
      </c>
      <c r="Y92" s="31">
        <v>7</v>
      </c>
      <c r="Z92" s="31">
        <v>2</v>
      </c>
      <c r="AA92" s="87">
        <v>6</v>
      </c>
      <c r="AB92" s="87">
        <v>7</v>
      </c>
      <c r="AC92" s="87">
        <v>6</v>
      </c>
      <c r="AD92" s="10" t="s">
        <v>19</v>
      </c>
    </row>
    <row r="93" spans="2:30" ht="11.1" customHeight="1" x14ac:dyDescent="0.25">
      <c r="B93" s="12" t="s">
        <v>414</v>
      </c>
      <c r="C93" s="8" t="s">
        <v>35</v>
      </c>
      <c r="D93" s="31">
        <v>42</v>
      </c>
      <c r="E93" s="31">
        <v>42</v>
      </c>
      <c r="F93" s="31">
        <v>52</v>
      </c>
      <c r="G93" s="31">
        <v>47</v>
      </c>
      <c r="H93" s="31">
        <v>46</v>
      </c>
      <c r="I93" s="31">
        <v>50</v>
      </c>
      <c r="J93" s="31">
        <v>55</v>
      </c>
      <c r="K93" s="31">
        <v>54</v>
      </c>
      <c r="L93" s="31">
        <v>64</v>
      </c>
      <c r="M93" s="31">
        <v>51</v>
      </c>
      <c r="N93" s="31">
        <v>53</v>
      </c>
      <c r="O93" s="31">
        <v>54</v>
      </c>
      <c r="P93" s="31">
        <v>51</v>
      </c>
      <c r="Q93" s="31">
        <v>50</v>
      </c>
      <c r="R93" s="31">
        <v>52</v>
      </c>
      <c r="S93" s="31">
        <v>48</v>
      </c>
      <c r="T93" s="31">
        <v>51</v>
      </c>
      <c r="U93" s="31">
        <v>51</v>
      </c>
      <c r="V93" s="31">
        <v>51</v>
      </c>
      <c r="W93" s="31">
        <v>64</v>
      </c>
      <c r="X93" s="31">
        <v>61</v>
      </c>
      <c r="Y93" s="31">
        <v>54</v>
      </c>
      <c r="Z93" s="31">
        <v>60</v>
      </c>
      <c r="AA93" s="87">
        <v>109</v>
      </c>
      <c r="AB93" s="87">
        <v>58</v>
      </c>
      <c r="AC93" s="87">
        <v>50</v>
      </c>
      <c r="AD93" s="10" t="s">
        <v>19</v>
      </c>
    </row>
    <row r="94" spans="2:30" ht="11.1" customHeight="1" x14ac:dyDescent="0.25">
      <c r="B94" s="12" t="s">
        <v>57</v>
      </c>
      <c r="C94" s="8" t="s">
        <v>35</v>
      </c>
      <c r="D94" s="31">
        <v>679</v>
      </c>
      <c r="E94" s="31">
        <v>683</v>
      </c>
      <c r="F94" s="31">
        <v>964</v>
      </c>
      <c r="G94" s="31">
        <v>743</v>
      </c>
      <c r="H94" s="31">
        <v>653</v>
      </c>
      <c r="I94" s="31">
        <v>763</v>
      </c>
      <c r="J94" s="31">
        <v>531</v>
      </c>
      <c r="K94" s="31">
        <v>765</v>
      </c>
      <c r="L94" s="31">
        <v>622</v>
      </c>
      <c r="M94" s="31">
        <v>481</v>
      </c>
      <c r="N94" s="31">
        <v>433</v>
      </c>
      <c r="O94" s="31">
        <v>506</v>
      </c>
      <c r="P94" s="31">
        <v>365</v>
      </c>
      <c r="Q94" s="31">
        <v>350</v>
      </c>
      <c r="R94" s="31">
        <v>243</v>
      </c>
      <c r="S94" s="31">
        <v>188</v>
      </c>
      <c r="T94" s="31">
        <v>147</v>
      </c>
      <c r="U94" s="31">
        <v>198</v>
      </c>
      <c r="V94" s="31">
        <v>169</v>
      </c>
      <c r="W94" s="31" t="s">
        <v>19</v>
      </c>
      <c r="X94" s="31" t="s">
        <v>19</v>
      </c>
      <c r="Y94" s="31" t="s">
        <v>19</v>
      </c>
      <c r="Z94" s="31" t="s">
        <v>19</v>
      </c>
      <c r="AA94" s="87" t="s">
        <v>19</v>
      </c>
      <c r="AB94" s="87" t="s">
        <v>19</v>
      </c>
      <c r="AC94" s="87" t="s">
        <v>19</v>
      </c>
      <c r="AD94" s="10" t="s">
        <v>19</v>
      </c>
    </row>
    <row r="95" spans="2:30" ht="11.1" customHeight="1" x14ac:dyDescent="0.25">
      <c r="B95" s="12" t="s">
        <v>95</v>
      </c>
      <c r="C95" s="8" t="s">
        <v>35</v>
      </c>
      <c r="D95" s="31">
        <v>34</v>
      </c>
      <c r="E95" s="31" t="s">
        <v>19</v>
      </c>
      <c r="F95" s="31" t="s">
        <v>19</v>
      </c>
      <c r="G95" s="31" t="s">
        <v>19</v>
      </c>
      <c r="H95" s="31">
        <v>246</v>
      </c>
      <c r="I95" s="31">
        <v>359</v>
      </c>
      <c r="J95" s="31">
        <v>316</v>
      </c>
      <c r="K95" s="31">
        <v>58</v>
      </c>
      <c r="L95" s="31">
        <v>81</v>
      </c>
      <c r="M95" s="31" t="s">
        <v>19</v>
      </c>
      <c r="N95" s="31">
        <v>495</v>
      </c>
      <c r="O95" s="31">
        <v>468</v>
      </c>
      <c r="P95" s="31">
        <v>891</v>
      </c>
      <c r="Q95" s="31">
        <v>1145</v>
      </c>
      <c r="R95" s="31">
        <v>1208</v>
      </c>
      <c r="S95" s="31">
        <v>720</v>
      </c>
      <c r="T95" s="31">
        <v>799</v>
      </c>
      <c r="U95" s="31">
        <v>455</v>
      </c>
      <c r="V95" s="31">
        <v>1112</v>
      </c>
      <c r="W95" s="31">
        <v>31</v>
      </c>
      <c r="X95" s="31">
        <v>16</v>
      </c>
      <c r="Y95" s="31">
        <v>17</v>
      </c>
      <c r="Z95" s="31">
        <v>1667</v>
      </c>
      <c r="AA95" s="87">
        <v>18</v>
      </c>
      <c r="AB95" s="87">
        <v>21</v>
      </c>
      <c r="AC95" s="87">
        <v>1044</v>
      </c>
      <c r="AD95" s="10" t="s">
        <v>19</v>
      </c>
    </row>
    <row r="96" spans="2:30" ht="11.1" customHeight="1" x14ac:dyDescent="0.25">
      <c r="B96" s="12" t="s">
        <v>417</v>
      </c>
      <c r="C96" s="8" t="s">
        <v>35</v>
      </c>
      <c r="D96" s="31" t="s">
        <v>19</v>
      </c>
      <c r="E96" s="31" t="s">
        <v>19</v>
      </c>
      <c r="F96" s="31" t="s">
        <v>19</v>
      </c>
      <c r="G96" s="31" t="s">
        <v>19</v>
      </c>
      <c r="H96" s="31" t="s">
        <v>19</v>
      </c>
      <c r="I96" s="31" t="s">
        <v>19</v>
      </c>
      <c r="J96" s="31" t="s">
        <v>19</v>
      </c>
      <c r="K96" s="31" t="s">
        <v>19</v>
      </c>
      <c r="L96" s="31" t="s">
        <v>19</v>
      </c>
      <c r="M96" s="31" t="s">
        <v>19</v>
      </c>
      <c r="N96" s="31" t="s">
        <v>19</v>
      </c>
      <c r="O96" s="31" t="s">
        <v>19</v>
      </c>
      <c r="P96" s="31" t="s">
        <v>19</v>
      </c>
      <c r="Q96" s="31" t="s">
        <v>19</v>
      </c>
      <c r="R96" s="31" t="s">
        <v>19</v>
      </c>
      <c r="S96" s="31" t="s">
        <v>19</v>
      </c>
      <c r="T96" s="31" t="s">
        <v>19</v>
      </c>
      <c r="U96" s="31" t="s">
        <v>19</v>
      </c>
      <c r="V96" s="31" t="s">
        <v>19</v>
      </c>
      <c r="W96" s="31" t="s">
        <v>19</v>
      </c>
      <c r="X96" s="31" t="s">
        <v>19</v>
      </c>
      <c r="Y96" s="31" t="s">
        <v>19</v>
      </c>
      <c r="Z96" s="31" t="s">
        <v>19</v>
      </c>
      <c r="AA96" s="87" t="s">
        <v>19</v>
      </c>
      <c r="AB96" s="87" t="s">
        <v>19</v>
      </c>
      <c r="AC96" s="87" t="s">
        <v>19</v>
      </c>
      <c r="AD96" s="10" t="s">
        <v>19</v>
      </c>
    </row>
    <row r="97" spans="2:30" ht="11.1" customHeight="1" x14ac:dyDescent="0.25">
      <c r="B97" s="12" t="s">
        <v>232</v>
      </c>
      <c r="C97" s="8" t="s">
        <v>35</v>
      </c>
      <c r="D97" s="31" t="s">
        <v>19</v>
      </c>
      <c r="E97" s="31" t="s">
        <v>19</v>
      </c>
      <c r="F97" s="31" t="s">
        <v>19</v>
      </c>
      <c r="G97" s="31" t="s">
        <v>19</v>
      </c>
      <c r="H97" s="31" t="s">
        <v>19</v>
      </c>
      <c r="I97" s="31" t="s">
        <v>19</v>
      </c>
      <c r="J97" s="31" t="s">
        <v>19</v>
      </c>
      <c r="K97" s="31" t="s">
        <v>19</v>
      </c>
      <c r="L97" s="31" t="s">
        <v>19</v>
      </c>
      <c r="M97" s="31" t="s">
        <v>19</v>
      </c>
      <c r="N97" s="31" t="s">
        <v>19</v>
      </c>
      <c r="O97" s="31" t="s">
        <v>19</v>
      </c>
      <c r="P97" s="31" t="s">
        <v>19</v>
      </c>
      <c r="Q97" s="31" t="s">
        <v>19</v>
      </c>
      <c r="R97" s="31" t="s">
        <v>19</v>
      </c>
      <c r="S97" s="31" t="s">
        <v>19</v>
      </c>
      <c r="T97" s="31" t="s">
        <v>19</v>
      </c>
      <c r="U97" s="31" t="s">
        <v>19</v>
      </c>
      <c r="V97" s="31" t="s">
        <v>19</v>
      </c>
      <c r="W97" s="31" t="s">
        <v>19</v>
      </c>
      <c r="X97" s="31" t="s">
        <v>19</v>
      </c>
      <c r="Y97" s="31" t="s">
        <v>19</v>
      </c>
      <c r="Z97" s="31" t="s">
        <v>19</v>
      </c>
      <c r="AA97" s="87" t="s">
        <v>19</v>
      </c>
      <c r="AB97" s="87" t="s">
        <v>19</v>
      </c>
      <c r="AC97" s="87" t="s">
        <v>19</v>
      </c>
      <c r="AD97" s="10" t="s">
        <v>19</v>
      </c>
    </row>
    <row r="98" spans="2:30" ht="11.1" customHeight="1" x14ac:dyDescent="0.25">
      <c r="B98" s="12" t="s">
        <v>379</v>
      </c>
      <c r="C98" s="8" t="s">
        <v>35</v>
      </c>
      <c r="D98" s="31" t="s">
        <v>19</v>
      </c>
      <c r="E98" s="31">
        <v>57</v>
      </c>
      <c r="F98" s="31">
        <v>95</v>
      </c>
      <c r="G98" s="31">
        <v>94</v>
      </c>
      <c r="H98" s="31" t="s">
        <v>19</v>
      </c>
      <c r="I98" s="31" t="s">
        <v>19</v>
      </c>
      <c r="J98" s="31" t="s">
        <v>19</v>
      </c>
      <c r="K98" s="31" t="s">
        <v>19</v>
      </c>
      <c r="L98" s="31">
        <v>1</v>
      </c>
      <c r="M98" s="31">
        <v>397</v>
      </c>
      <c r="N98" s="31">
        <v>15</v>
      </c>
      <c r="O98" s="31">
        <v>40</v>
      </c>
      <c r="P98" s="31">
        <v>5</v>
      </c>
      <c r="Q98" s="31">
        <v>34</v>
      </c>
      <c r="R98" s="31">
        <v>1</v>
      </c>
      <c r="S98" s="31" t="s">
        <v>19</v>
      </c>
      <c r="T98" s="31" t="s">
        <v>19</v>
      </c>
      <c r="U98" s="31" t="s">
        <v>19</v>
      </c>
      <c r="V98" s="31" t="s">
        <v>19</v>
      </c>
      <c r="W98" s="31" t="s">
        <v>19</v>
      </c>
      <c r="X98" s="31" t="s">
        <v>19</v>
      </c>
      <c r="Y98" s="31">
        <v>1654</v>
      </c>
      <c r="Z98" s="31">
        <v>377</v>
      </c>
      <c r="AA98" s="87">
        <v>3645</v>
      </c>
      <c r="AB98" s="87">
        <v>511</v>
      </c>
      <c r="AC98" s="87">
        <v>656</v>
      </c>
      <c r="AD98" s="10" t="s">
        <v>19</v>
      </c>
    </row>
    <row r="99" spans="2:30" ht="11.1" customHeight="1" x14ac:dyDescent="0.25">
      <c r="B99" s="63" t="s">
        <v>13</v>
      </c>
      <c r="C99" s="45" t="s">
        <v>35</v>
      </c>
      <c r="D99" s="43">
        <v>921</v>
      </c>
      <c r="E99" s="46">
        <v>993</v>
      </c>
      <c r="F99" s="46">
        <v>1312</v>
      </c>
      <c r="G99" s="46">
        <v>986</v>
      </c>
      <c r="H99" s="46">
        <v>1020</v>
      </c>
      <c r="I99" s="46">
        <v>1243</v>
      </c>
      <c r="J99" s="46">
        <v>975</v>
      </c>
      <c r="K99" s="46">
        <v>943</v>
      </c>
      <c r="L99" s="46">
        <v>857</v>
      </c>
      <c r="M99" s="46">
        <v>990</v>
      </c>
      <c r="N99" s="46">
        <v>1041</v>
      </c>
      <c r="O99" s="46">
        <v>1115</v>
      </c>
      <c r="P99" s="46">
        <v>1332</v>
      </c>
      <c r="Q99" s="46">
        <v>1598</v>
      </c>
      <c r="R99" s="46">
        <v>1522</v>
      </c>
      <c r="S99" s="46">
        <v>971</v>
      </c>
      <c r="T99" s="46">
        <v>1014</v>
      </c>
      <c r="U99" s="46">
        <v>729</v>
      </c>
      <c r="V99" s="46">
        <v>1352</v>
      </c>
      <c r="W99" s="46">
        <v>127</v>
      </c>
      <c r="X99" s="46">
        <v>95</v>
      </c>
      <c r="Y99" s="46">
        <v>1732</v>
      </c>
      <c r="Z99" s="46">
        <v>2106</v>
      </c>
      <c r="AA99" s="87">
        <v>3778</v>
      </c>
      <c r="AB99" s="87">
        <v>597</v>
      </c>
      <c r="AC99" s="87">
        <v>1756</v>
      </c>
      <c r="AD99" s="10" t="s">
        <v>19</v>
      </c>
    </row>
    <row r="100" spans="2:30" ht="11.45" customHeight="1" x14ac:dyDescent="0.25">
      <c r="B100" s="249" t="s">
        <v>58</v>
      </c>
      <c r="C100" s="29" t="s">
        <v>35</v>
      </c>
      <c r="D100" s="41">
        <v>39373</v>
      </c>
      <c r="E100" s="87">
        <v>41604</v>
      </c>
      <c r="F100" s="87">
        <v>35785</v>
      </c>
      <c r="G100" s="87">
        <v>33934</v>
      </c>
      <c r="H100" s="87">
        <v>41989</v>
      </c>
      <c r="I100" s="87">
        <v>41656</v>
      </c>
      <c r="J100" s="87">
        <v>41752</v>
      </c>
      <c r="K100" s="87">
        <v>34830</v>
      </c>
      <c r="L100" s="87">
        <v>27908</v>
      </c>
      <c r="M100" s="87">
        <v>30091</v>
      </c>
      <c r="N100" s="87">
        <v>27006</v>
      </c>
      <c r="O100" s="87">
        <v>24345</v>
      </c>
      <c r="P100" s="87">
        <v>24096</v>
      </c>
      <c r="Q100" s="87">
        <v>19946</v>
      </c>
      <c r="R100" s="87">
        <v>20411</v>
      </c>
      <c r="S100" s="87">
        <v>19978</v>
      </c>
      <c r="T100" s="87">
        <v>20818</v>
      </c>
      <c r="U100" s="87">
        <v>21242</v>
      </c>
      <c r="V100" s="87">
        <v>23673</v>
      </c>
      <c r="W100" s="87">
        <v>22973</v>
      </c>
      <c r="X100" s="87">
        <v>20520</v>
      </c>
      <c r="Y100" s="87">
        <v>21759</v>
      </c>
      <c r="Z100" s="87">
        <v>23106</v>
      </c>
      <c r="AA100" s="87">
        <v>23613</v>
      </c>
      <c r="AB100" s="87">
        <v>20996</v>
      </c>
      <c r="AC100" s="87">
        <v>23488</v>
      </c>
      <c r="AD100" s="297" t="s">
        <v>19</v>
      </c>
    </row>
    <row r="101" spans="2:30" ht="55.5" customHeight="1" x14ac:dyDescent="0.25">
      <c r="B101" s="365" t="s">
        <v>516</v>
      </c>
      <c r="C101" s="365"/>
      <c r="D101" s="365"/>
      <c r="E101" s="365"/>
      <c r="F101" s="365"/>
      <c r="G101" s="365"/>
      <c r="H101" s="365"/>
      <c r="I101" s="365"/>
      <c r="J101" s="365"/>
      <c r="K101" s="365"/>
      <c r="L101" s="365"/>
      <c r="M101" s="365"/>
      <c r="N101" s="365"/>
      <c r="O101" s="365"/>
      <c r="P101" s="365"/>
      <c r="Q101" s="365"/>
      <c r="R101" s="365"/>
      <c r="S101" s="365"/>
      <c r="T101" s="365"/>
      <c r="U101" s="365"/>
      <c r="V101" s="365"/>
      <c r="W101" s="365"/>
      <c r="X101" s="365"/>
      <c r="Y101" s="365"/>
      <c r="Z101" s="365"/>
      <c r="AA101" s="365"/>
      <c r="AB101" s="365"/>
      <c r="AC101" s="365"/>
    </row>
  </sheetData>
  <mergeCells count="12">
    <mergeCell ref="B101:AC101"/>
    <mergeCell ref="B7:Z7"/>
    <mergeCell ref="B9:Z9"/>
    <mergeCell ref="B10:Z10"/>
    <mergeCell ref="B16:Z16"/>
    <mergeCell ref="B22:Z22"/>
    <mergeCell ref="B44:Z44"/>
    <mergeCell ref="B55:Z55"/>
    <mergeCell ref="B56:Z56"/>
    <mergeCell ref="B62:Z62"/>
    <mergeCell ref="B68:Z68"/>
    <mergeCell ref="B90:Z90"/>
  </mergeCells>
  <conditionalFormatting sqref="B6:Y6 AA6:AD6 B101">
    <cfRule type="cellIs" dxfId="442" priority="104" stopIfTrue="1" operator="greaterThanOrEqual">
      <formula>100</formula>
    </cfRule>
    <cfRule type="cellIs" dxfId="441" priority="103" stopIfTrue="1" operator="between">
      <formula>-99.999999999999</formula>
      <formula>99.999999999999</formula>
    </cfRule>
    <cfRule type="cellIs" dxfId="440" priority="102" stopIfTrue="1" operator="lessThanOrEqual">
      <formula>-100</formula>
    </cfRule>
    <cfRule type="cellIs" dxfId="439" priority="101" stopIfTrue="1" operator="equal">
      <formula>0</formula>
    </cfRule>
  </conditionalFormatting>
  <conditionalFormatting sqref="B7:AD16">
    <cfRule type="cellIs" dxfId="438" priority="63" stopIfTrue="1" operator="between">
      <formula>-99.999999999999</formula>
      <formula>99.999999999999</formula>
    </cfRule>
    <cfRule type="cellIs" dxfId="437" priority="61" stopIfTrue="1" operator="equal">
      <formula>0</formula>
    </cfRule>
    <cfRule type="cellIs" dxfId="436" priority="62" stopIfTrue="1" operator="lessThanOrEqual">
      <formula>-100</formula>
    </cfRule>
    <cfRule type="cellIs" dxfId="435" priority="64" stopIfTrue="1" operator="greaterThanOrEqual">
      <formula>100</formula>
    </cfRule>
  </conditionalFormatting>
  <conditionalFormatting sqref="B17:AD22">
    <cfRule type="cellIs" dxfId="434" priority="56" stopIfTrue="1" operator="greaterThanOrEqual">
      <formula>100</formula>
    </cfRule>
    <cfRule type="cellIs" dxfId="433" priority="55" stopIfTrue="1" operator="between">
      <formula>-99.999999999999</formula>
      <formula>99.999999999999</formula>
    </cfRule>
    <cfRule type="cellIs" dxfId="432" priority="53" stopIfTrue="1" operator="equal">
      <formula>0</formula>
    </cfRule>
    <cfRule type="cellIs" dxfId="431" priority="54" stopIfTrue="1" operator="lessThanOrEqual">
      <formula>-100</formula>
    </cfRule>
  </conditionalFormatting>
  <conditionalFormatting sqref="B23:AD44">
    <cfRule type="cellIs" dxfId="430" priority="45" stopIfTrue="1" operator="equal">
      <formula>0</formula>
    </cfRule>
    <cfRule type="cellIs" dxfId="429" priority="48" stopIfTrue="1" operator="greaterThanOrEqual">
      <formula>100</formula>
    </cfRule>
    <cfRule type="cellIs" dxfId="428" priority="47" stopIfTrue="1" operator="between">
      <formula>-99.999999999999</formula>
      <formula>99.999999999999</formula>
    </cfRule>
    <cfRule type="cellIs" dxfId="427" priority="46" stopIfTrue="1" operator="lessThanOrEqual">
      <formula>-100</formula>
    </cfRule>
  </conditionalFormatting>
  <conditionalFormatting sqref="B45:AD56">
    <cfRule type="cellIs" dxfId="426" priority="39" stopIfTrue="1" operator="between">
      <formula>-99.999999999999</formula>
      <formula>99.999999999999</formula>
    </cfRule>
    <cfRule type="cellIs" dxfId="425" priority="40" stopIfTrue="1" operator="greaterThanOrEqual">
      <formula>100</formula>
    </cfRule>
    <cfRule type="cellIs" dxfId="424" priority="37" stopIfTrue="1" operator="equal">
      <formula>0</formula>
    </cfRule>
    <cfRule type="cellIs" dxfId="423" priority="38" stopIfTrue="1" operator="lessThanOrEqual">
      <formula>-100</formula>
    </cfRule>
  </conditionalFormatting>
  <conditionalFormatting sqref="B57:AD62">
    <cfRule type="cellIs" dxfId="422" priority="29" stopIfTrue="1" operator="equal">
      <formula>0</formula>
    </cfRule>
    <cfRule type="cellIs" dxfId="421" priority="32" stopIfTrue="1" operator="greaterThanOrEqual">
      <formula>100</formula>
    </cfRule>
    <cfRule type="cellIs" dxfId="420" priority="31" stopIfTrue="1" operator="between">
      <formula>-99.999999999999</formula>
      <formula>99.999999999999</formula>
    </cfRule>
    <cfRule type="cellIs" dxfId="419" priority="30" stopIfTrue="1" operator="lessThanOrEqual">
      <formula>-100</formula>
    </cfRule>
  </conditionalFormatting>
  <conditionalFormatting sqref="B63:AD68">
    <cfRule type="cellIs" dxfId="418" priority="24" stopIfTrue="1" operator="greaterThanOrEqual">
      <formula>100</formula>
    </cfRule>
    <cfRule type="cellIs" dxfId="417" priority="23" stopIfTrue="1" operator="between">
      <formula>-99.999999999999</formula>
      <formula>99.999999999999</formula>
    </cfRule>
    <cfRule type="cellIs" dxfId="416" priority="22" stopIfTrue="1" operator="lessThanOrEqual">
      <formula>-100</formula>
    </cfRule>
    <cfRule type="cellIs" dxfId="415" priority="21" stopIfTrue="1" operator="equal">
      <formula>0</formula>
    </cfRule>
  </conditionalFormatting>
  <conditionalFormatting sqref="B69:AD90">
    <cfRule type="cellIs" dxfId="414" priority="13" stopIfTrue="1" operator="equal">
      <formula>0</formula>
    </cfRule>
    <cfRule type="cellIs" dxfId="413" priority="14" stopIfTrue="1" operator="lessThanOrEqual">
      <formula>-100</formula>
    </cfRule>
    <cfRule type="cellIs" dxfId="412" priority="15" stopIfTrue="1" operator="between">
      <formula>-99.999999999999</formula>
      <formula>99.999999999999</formula>
    </cfRule>
    <cfRule type="cellIs" dxfId="411" priority="16" stopIfTrue="1" operator="greaterThanOrEqual">
      <formula>100</formula>
    </cfRule>
  </conditionalFormatting>
  <conditionalFormatting sqref="B91:AD100">
    <cfRule type="cellIs" dxfId="410" priority="5" stopIfTrue="1" operator="equal">
      <formula>0</formula>
    </cfRule>
    <cfRule type="cellIs" dxfId="409" priority="6" stopIfTrue="1" operator="lessThanOrEqual">
      <formula>-100</formula>
    </cfRule>
    <cfRule type="cellIs" dxfId="408" priority="7" stopIfTrue="1" operator="between">
      <formula>-99.999999999999</formula>
      <formula>99.999999999999</formula>
    </cfRule>
    <cfRule type="cellIs" dxfId="407" priority="8" stopIfTrue="1" operator="greaterThanOrEqual">
      <formula>100</formula>
    </cfRule>
  </conditionalFormatting>
  <conditionalFormatting sqref="D11:AD15">
    <cfRule type="cellIs" dxfId="406" priority="57" operator="lessThanOrEqual">
      <formula>99</formula>
    </cfRule>
    <cfRule type="cellIs" dxfId="405" priority="58" operator="greaterThanOrEqual">
      <formula>100</formula>
    </cfRule>
  </conditionalFormatting>
  <conditionalFormatting sqref="D17:AD21">
    <cfRule type="cellIs" dxfId="404" priority="49" operator="lessThanOrEqual">
      <formula>99</formula>
    </cfRule>
    <cfRule type="cellIs" dxfId="403" priority="50" operator="greaterThanOrEqual">
      <formula>100</formula>
    </cfRule>
  </conditionalFormatting>
  <conditionalFormatting sqref="D23:AD43">
    <cfRule type="cellIs" dxfId="402" priority="41" operator="lessThanOrEqual">
      <formula>99</formula>
    </cfRule>
    <cfRule type="cellIs" dxfId="401" priority="42" operator="greaterThanOrEqual">
      <formula>100</formula>
    </cfRule>
  </conditionalFormatting>
  <conditionalFormatting sqref="D45:AD54">
    <cfRule type="cellIs" dxfId="400" priority="34" operator="greaterThanOrEqual">
      <formula>100</formula>
    </cfRule>
    <cfRule type="cellIs" dxfId="399" priority="33" operator="lessThanOrEqual">
      <formula>99</formula>
    </cfRule>
  </conditionalFormatting>
  <conditionalFormatting sqref="D57:AD61">
    <cfRule type="cellIs" dxfId="398" priority="26" operator="greaterThanOrEqual">
      <formula>100</formula>
    </cfRule>
    <cfRule type="cellIs" dxfId="397" priority="25" operator="lessThanOrEqual">
      <formula>99</formula>
    </cfRule>
  </conditionalFormatting>
  <conditionalFormatting sqref="D63:AD67">
    <cfRule type="cellIs" dxfId="396" priority="17" operator="lessThanOrEqual">
      <formula>99</formula>
    </cfRule>
    <cfRule type="cellIs" dxfId="395" priority="18" operator="greaterThanOrEqual">
      <formula>100</formula>
    </cfRule>
  </conditionalFormatting>
  <conditionalFormatting sqref="D69:AD89">
    <cfRule type="cellIs" dxfId="394" priority="10" operator="greaterThanOrEqual">
      <formula>100</formula>
    </cfRule>
    <cfRule type="cellIs" dxfId="393" priority="9" operator="lessThanOrEqual">
      <formula>99</formula>
    </cfRule>
  </conditionalFormatting>
  <conditionalFormatting sqref="D91:AD100">
    <cfRule type="cellIs" dxfId="392" priority="2" operator="greaterThanOrEqual">
      <formula>100</formula>
    </cfRule>
    <cfRule type="cellIs" dxfId="391" priority="1" operator="lessThanOrEqual">
      <formula>99</formula>
    </cfRule>
  </conditionalFormatting>
  <pageMargins left="0.7" right="0.7" top="0.75" bottom="0.75" header="0.3" footer="0.3"/>
  <pageSetup paperSize="9" scale="30"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7EC31-69F1-4517-A2C0-D2A7FA343DA5}">
  <sheetPr>
    <pageSetUpPr fitToPage="1"/>
  </sheetPr>
  <dimension ref="B6:AD81"/>
  <sheetViews>
    <sheetView zoomScaleNormal="100" workbookViewId="0"/>
  </sheetViews>
  <sheetFormatPr defaultColWidth="9.140625" defaultRowHeight="15" x14ac:dyDescent="0.25"/>
  <cols>
    <col min="1" max="1" width="9.140625" style="20"/>
    <col min="2" max="2" width="24.42578125" style="20" customWidth="1"/>
    <col min="3" max="26" width="9.42578125" style="20" customWidth="1"/>
    <col min="27" max="30" width="9.7109375" style="20" customWidth="1"/>
    <col min="31" max="16384" width="9.140625" style="20"/>
  </cols>
  <sheetData>
    <row r="6" spans="2:30" ht="12" customHeight="1" x14ac:dyDescent="0.25">
      <c r="B6" s="16"/>
      <c r="C6" s="17"/>
      <c r="D6" s="17"/>
      <c r="E6" s="17"/>
      <c r="F6" s="17"/>
      <c r="G6" s="17"/>
      <c r="H6" s="17"/>
      <c r="I6" s="17"/>
      <c r="J6" s="17"/>
      <c r="K6" s="17"/>
      <c r="L6" s="17"/>
      <c r="M6" s="17"/>
      <c r="N6" s="17"/>
      <c r="O6" s="17"/>
      <c r="P6" s="17"/>
      <c r="Q6" s="17"/>
      <c r="R6" s="17"/>
      <c r="S6" s="17"/>
      <c r="T6" s="17"/>
      <c r="U6" s="17"/>
      <c r="V6" s="17"/>
      <c r="W6" s="17"/>
      <c r="X6" s="17"/>
      <c r="Y6" s="17"/>
      <c r="Z6" s="17"/>
      <c r="AA6" s="17"/>
      <c r="AB6" s="17"/>
      <c r="AC6" s="19"/>
      <c r="AD6" s="19" t="s">
        <v>0</v>
      </c>
    </row>
    <row r="7" spans="2:30" ht="27" customHeight="1" x14ac:dyDescent="0.25">
      <c r="B7" s="371" t="s">
        <v>33</v>
      </c>
      <c r="C7" s="371"/>
      <c r="D7" s="371"/>
      <c r="E7" s="371"/>
      <c r="F7" s="371"/>
      <c r="G7" s="371"/>
      <c r="H7" s="371"/>
      <c r="I7" s="371"/>
      <c r="J7" s="371"/>
      <c r="K7" s="371"/>
      <c r="L7" s="371"/>
      <c r="M7" s="371"/>
      <c r="N7" s="371"/>
      <c r="O7" s="371"/>
      <c r="P7" s="371"/>
      <c r="Q7" s="371"/>
      <c r="R7" s="371"/>
      <c r="S7" s="371"/>
      <c r="T7" s="371"/>
      <c r="U7" s="371"/>
      <c r="V7" s="371"/>
      <c r="W7" s="371"/>
      <c r="X7" s="371"/>
      <c r="Y7" s="371"/>
      <c r="Z7" s="371"/>
      <c r="AA7" s="26"/>
      <c r="AB7" s="26"/>
      <c r="AC7" s="26"/>
      <c r="AD7" s="26"/>
    </row>
    <row r="8" spans="2:30" ht="12.6" customHeight="1" x14ac:dyDescent="0.25">
      <c r="B8" s="27" t="s">
        <v>2</v>
      </c>
      <c r="C8" s="28"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547</v>
      </c>
    </row>
    <row r="9" spans="2:30" ht="11.1" customHeight="1" x14ac:dyDescent="0.25">
      <c r="B9" s="326" t="s">
        <v>34</v>
      </c>
      <c r="C9" s="326"/>
      <c r="D9" s="326"/>
      <c r="E9" s="326"/>
      <c r="F9" s="326"/>
      <c r="G9" s="326"/>
      <c r="H9" s="326"/>
      <c r="I9" s="326"/>
      <c r="J9" s="326"/>
      <c r="K9" s="326"/>
      <c r="L9" s="326"/>
      <c r="M9" s="326"/>
      <c r="N9" s="326"/>
      <c r="O9" s="326"/>
      <c r="P9" s="326"/>
      <c r="Q9" s="326"/>
      <c r="R9" s="326"/>
      <c r="S9" s="326"/>
      <c r="T9" s="326"/>
      <c r="U9" s="353" t="s">
        <v>35</v>
      </c>
      <c r="V9" s="353" t="s">
        <v>6</v>
      </c>
      <c r="W9" s="353" t="s">
        <v>35</v>
      </c>
      <c r="X9" s="353" t="s">
        <v>6</v>
      </c>
      <c r="Y9" s="353" t="s">
        <v>35</v>
      </c>
      <c r="Z9" s="353" t="s">
        <v>6</v>
      </c>
      <c r="AA9" s="29"/>
      <c r="AB9" s="29"/>
      <c r="AC9" s="29"/>
      <c r="AD9" s="29"/>
    </row>
    <row r="10" spans="2:30" ht="11.1" customHeight="1" x14ac:dyDescent="0.25">
      <c r="B10" s="326" t="s">
        <v>36</v>
      </c>
      <c r="C10" s="326"/>
      <c r="D10" s="326"/>
      <c r="E10" s="326"/>
      <c r="F10" s="326"/>
      <c r="G10" s="326"/>
      <c r="H10" s="326"/>
      <c r="I10" s="326"/>
      <c r="J10" s="326"/>
      <c r="K10" s="326"/>
      <c r="L10" s="326"/>
      <c r="M10" s="326"/>
      <c r="N10" s="326"/>
      <c r="O10" s="326"/>
      <c r="P10" s="326"/>
      <c r="Q10" s="326"/>
      <c r="R10" s="326"/>
      <c r="S10" s="326"/>
      <c r="T10" s="326"/>
      <c r="U10" s="353"/>
      <c r="V10" s="353"/>
      <c r="W10" s="353"/>
      <c r="X10" s="353"/>
      <c r="Y10" s="353"/>
      <c r="Z10" s="353"/>
      <c r="AA10" s="30"/>
      <c r="AB10" s="30"/>
      <c r="AC10" s="30"/>
      <c r="AD10" s="30"/>
    </row>
    <row r="11" spans="2:30" ht="11.1" customHeight="1" x14ac:dyDescent="0.25">
      <c r="B11" s="7" t="s">
        <v>37</v>
      </c>
      <c r="C11" s="8" t="s">
        <v>6</v>
      </c>
      <c r="D11" s="31">
        <v>67439</v>
      </c>
      <c r="E11" s="31">
        <v>44761</v>
      </c>
      <c r="F11" s="31">
        <v>55578</v>
      </c>
      <c r="G11" s="31">
        <v>64450</v>
      </c>
      <c r="H11" s="31">
        <v>52137</v>
      </c>
      <c r="I11" s="31">
        <v>43690</v>
      </c>
      <c r="J11" s="31">
        <v>47837</v>
      </c>
      <c r="K11" s="31">
        <v>52680</v>
      </c>
      <c r="L11" s="31">
        <v>66275</v>
      </c>
      <c r="M11" s="31">
        <v>65937</v>
      </c>
      <c r="N11" s="31">
        <v>72524</v>
      </c>
      <c r="O11" s="31">
        <v>65499</v>
      </c>
      <c r="P11" s="31">
        <v>59529</v>
      </c>
      <c r="Q11" s="31">
        <v>63418</v>
      </c>
      <c r="R11" s="31">
        <v>55516</v>
      </c>
      <c r="S11" s="31">
        <v>83529</v>
      </c>
      <c r="T11" s="31">
        <v>89008</v>
      </c>
      <c r="U11" s="31">
        <v>92946</v>
      </c>
      <c r="V11" s="31">
        <v>83274</v>
      </c>
      <c r="W11" s="31">
        <v>97121</v>
      </c>
      <c r="X11" s="31">
        <v>93865</v>
      </c>
      <c r="Y11" s="31">
        <v>73603</v>
      </c>
      <c r="Z11" s="32">
        <v>51196</v>
      </c>
      <c r="AA11" s="33">
        <v>47541</v>
      </c>
      <c r="AB11" s="33">
        <v>53167</v>
      </c>
      <c r="AC11" s="33">
        <v>63730</v>
      </c>
      <c r="AD11" s="10" t="s">
        <v>19</v>
      </c>
    </row>
    <row r="12" spans="2:30" ht="11.1" customHeight="1" x14ac:dyDescent="0.25">
      <c r="B12" s="7" t="s">
        <v>38</v>
      </c>
      <c r="C12" s="8" t="s">
        <v>6</v>
      </c>
      <c r="D12" s="31">
        <v>12</v>
      </c>
      <c r="E12" s="31">
        <v>1887</v>
      </c>
      <c r="F12" s="31">
        <v>2643</v>
      </c>
      <c r="G12" s="31">
        <v>3477</v>
      </c>
      <c r="H12" s="31">
        <v>1644</v>
      </c>
      <c r="I12" s="31">
        <v>1540</v>
      </c>
      <c r="J12" s="31">
        <v>1628</v>
      </c>
      <c r="K12" s="31">
        <v>1966</v>
      </c>
      <c r="L12" s="31">
        <v>1568</v>
      </c>
      <c r="M12" s="31">
        <v>1715</v>
      </c>
      <c r="N12" s="31">
        <v>2087</v>
      </c>
      <c r="O12" s="31">
        <v>1960</v>
      </c>
      <c r="P12" s="31">
        <v>1841</v>
      </c>
      <c r="Q12" s="31">
        <v>1752</v>
      </c>
      <c r="R12" s="31">
        <v>1960</v>
      </c>
      <c r="S12" s="31">
        <v>1220</v>
      </c>
      <c r="T12" s="31">
        <v>1254</v>
      </c>
      <c r="U12" s="31">
        <v>2030</v>
      </c>
      <c r="V12" s="31">
        <v>2000</v>
      </c>
      <c r="W12" s="31">
        <v>1931</v>
      </c>
      <c r="X12" s="31">
        <v>1762</v>
      </c>
      <c r="Y12" s="31">
        <v>1369</v>
      </c>
      <c r="Z12" s="32">
        <v>1550</v>
      </c>
      <c r="AA12" s="33">
        <v>2712</v>
      </c>
      <c r="AB12" s="33">
        <v>2307</v>
      </c>
      <c r="AC12" s="33">
        <v>2661</v>
      </c>
      <c r="AD12" s="10" t="s">
        <v>19</v>
      </c>
    </row>
    <row r="13" spans="2:30" ht="11.1" customHeight="1" x14ac:dyDescent="0.25">
      <c r="B13" s="7" t="s">
        <v>68</v>
      </c>
      <c r="C13" s="8" t="s">
        <v>6</v>
      </c>
      <c r="D13" s="31">
        <v>14</v>
      </c>
      <c r="E13" s="31">
        <v>3</v>
      </c>
      <c r="F13" s="31">
        <v>3</v>
      </c>
      <c r="G13" s="31">
        <v>1</v>
      </c>
      <c r="H13" s="31">
        <v>0</v>
      </c>
      <c r="I13" s="31">
        <v>0</v>
      </c>
      <c r="J13" s="31">
        <v>1</v>
      </c>
      <c r="K13" s="31">
        <v>0</v>
      </c>
      <c r="L13" s="31">
        <v>0</v>
      </c>
      <c r="M13" s="31">
        <v>0</v>
      </c>
      <c r="N13" s="31">
        <v>0</v>
      </c>
      <c r="O13" s="31">
        <v>1</v>
      </c>
      <c r="P13" s="31">
        <v>0</v>
      </c>
      <c r="Q13" s="31">
        <v>0</v>
      </c>
      <c r="R13" s="31">
        <v>1</v>
      </c>
      <c r="S13" s="31">
        <v>0</v>
      </c>
      <c r="T13" s="31">
        <v>0</v>
      </c>
      <c r="U13" s="31">
        <v>0</v>
      </c>
      <c r="V13" s="31">
        <v>0</v>
      </c>
      <c r="W13" s="31">
        <v>0</v>
      </c>
      <c r="X13" s="31">
        <v>0</v>
      </c>
      <c r="Y13" s="31">
        <v>0</v>
      </c>
      <c r="Z13" s="32">
        <v>0</v>
      </c>
      <c r="AA13" s="33">
        <v>1</v>
      </c>
      <c r="AB13" s="33">
        <v>0</v>
      </c>
      <c r="AC13" s="33">
        <v>0</v>
      </c>
      <c r="AD13" s="10" t="s">
        <v>19</v>
      </c>
    </row>
    <row r="14" spans="2:30" ht="11.1" customHeight="1" x14ac:dyDescent="0.25">
      <c r="B14" s="7" t="s">
        <v>13</v>
      </c>
      <c r="C14" s="8" t="s">
        <v>6</v>
      </c>
      <c r="D14" s="31">
        <v>67465</v>
      </c>
      <c r="E14" s="31">
        <v>46651</v>
      </c>
      <c r="F14" s="31">
        <v>58224</v>
      </c>
      <c r="G14" s="31">
        <v>67929</v>
      </c>
      <c r="H14" s="31">
        <v>53781</v>
      </c>
      <c r="I14" s="31">
        <v>45230</v>
      </c>
      <c r="J14" s="31">
        <v>49466</v>
      </c>
      <c r="K14" s="31">
        <v>54646</v>
      </c>
      <c r="L14" s="31">
        <v>67844</v>
      </c>
      <c r="M14" s="31">
        <v>67652</v>
      </c>
      <c r="N14" s="31">
        <v>74611</v>
      </c>
      <c r="O14" s="31">
        <v>67460</v>
      </c>
      <c r="P14" s="31">
        <v>61370</v>
      </c>
      <c r="Q14" s="31">
        <v>65170</v>
      </c>
      <c r="R14" s="31">
        <v>57477</v>
      </c>
      <c r="S14" s="31">
        <v>84749</v>
      </c>
      <c r="T14" s="31">
        <v>90262</v>
      </c>
      <c r="U14" s="31">
        <v>94976</v>
      </c>
      <c r="V14" s="31">
        <v>85274</v>
      </c>
      <c r="W14" s="31">
        <v>99053</v>
      </c>
      <c r="X14" s="31">
        <v>95627</v>
      </c>
      <c r="Y14" s="31">
        <v>74972</v>
      </c>
      <c r="Z14" s="32">
        <v>52745</v>
      </c>
      <c r="AA14" s="33">
        <v>50254</v>
      </c>
      <c r="AB14" s="33">
        <v>55474</v>
      </c>
      <c r="AC14" s="33">
        <v>66391</v>
      </c>
      <c r="AD14" s="10" t="s">
        <v>19</v>
      </c>
    </row>
    <row r="15" spans="2:30" ht="11.1" customHeight="1" x14ac:dyDescent="0.25">
      <c r="B15" s="343" t="s">
        <v>40</v>
      </c>
      <c r="C15" s="343"/>
      <c r="D15" s="343"/>
      <c r="E15" s="343"/>
      <c r="F15" s="343"/>
      <c r="G15" s="343"/>
      <c r="H15" s="343"/>
      <c r="I15" s="343"/>
      <c r="J15" s="343"/>
      <c r="K15" s="343"/>
      <c r="L15" s="343"/>
      <c r="M15" s="343"/>
      <c r="N15" s="343"/>
      <c r="O15" s="343"/>
      <c r="P15" s="343"/>
      <c r="Q15" s="343"/>
      <c r="R15" s="343"/>
      <c r="S15" s="343"/>
      <c r="T15" s="343"/>
      <c r="U15" s="354"/>
      <c r="V15" s="354"/>
      <c r="W15" s="354"/>
      <c r="X15" s="354"/>
      <c r="Y15" s="354"/>
      <c r="Z15" s="354"/>
      <c r="AA15" s="30"/>
      <c r="AB15" s="33"/>
      <c r="AC15" s="33"/>
      <c r="AD15" s="10"/>
    </row>
    <row r="16" spans="2:30" ht="11.1" customHeight="1" x14ac:dyDescent="0.25">
      <c r="B16" s="7" t="s">
        <v>41</v>
      </c>
      <c r="C16" s="8" t="s">
        <v>6</v>
      </c>
      <c r="D16" s="31">
        <v>74306</v>
      </c>
      <c r="E16" s="31">
        <v>99596</v>
      </c>
      <c r="F16" s="31">
        <v>128969</v>
      </c>
      <c r="G16" s="31">
        <v>120451</v>
      </c>
      <c r="H16" s="31">
        <v>97855</v>
      </c>
      <c r="I16" s="31">
        <v>88655</v>
      </c>
      <c r="J16" s="31">
        <v>105397</v>
      </c>
      <c r="K16" s="31">
        <v>104344</v>
      </c>
      <c r="L16" s="31">
        <v>105971</v>
      </c>
      <c r="M16" s="31">
        <v>88764</v>
      </c>
      <c r="N16" s="31">
        <v>94620</v>
      </c>
      <c r="O16" s="31">
        <v>97030</v>
      </c>
      <c r="P16" s="31">
        <v>97058</v>
      </c>
      <c r="Q16" s="31">
        <v>83968</v>
      </c>
      <c r="R16" s="31">
        <v>85017</v>
      </c>
      <c r="S16" s="31">
        <v>82670</v>
      </c>
      <c r="T16" s="31">
        <v>77841</v>
      </c>
      <c r="U16" s="31">
        <v>79738</v>
      </c>
      <c r="V16" s="31">
        <v>83726</v>
      </c>
      <c r="W16" s="31">
        <v>86436</v>
      </c>
      <c r="X16" s="31">
        <v>79437</v>
      </c>
      <c r="Y16" s="31">
        <v>61155</v>
      </c>
      <c r="Z16" s="31">
        <v>48790</v>
      </c>
      <c r="AA16" s="33">
        <v>42640</v>
      </c>
      <c r="AB16" s="33">
        <v>44914</v>
      </c>
      <c r="AC16" s="33">
        <v>45591</v>
      </c>
      <c r="AD16" s="10" t="s">
        <v>19</v>
      </c>
    </row>
    <row r="17" spans="2:30" ht="11.1" customHeight="1" x14ac:dyDescent="0.25">
      <c r="B17" s="7" t="s">
        <v>42</v>
      </c>
      <c r="C17" s="8" t="s">
        <v>6</v>
      </c>
      <c r="D17" s="31">
        <v>461</v>
      </c>
      <c r="E17" s="31">
        <v>256</v>
      </c>
      <c r="F17" s="31">
        <v>331</v>
      </c>
      <c r="G17" s="31">
        <v>340</v>
      </c>
      <c r="H17" s="31">
        <v>394</v>
      </c>
      <c r="I17" s="31">
        <v>400</v>
      </c>
      <c r="J17" s="31">
        <v>451</v>
      </c>
      <c r="K17" s="31">
        <v>518</v>
      </c>
      <c r="L17" s="31">
        <v>730</v>
      </c>
      <c r="M17" s="31">
        <v>724</v>
      </c>
      <c r="N17" s="31">
        <v>461</v>
      </c>
      <c r="O17" s="31">
        <v>781</v>
      </c>
      <c r="P17" s="31">
        <v>417</v>
      </c>
      <c r="Q17" s="31">
        <v>417</v>
      </c>
      <c r="R17" s="31">
        <v>781</v>
      </c>
      <c r="S17" s="31">
        <v>1089</v>
      </c>
      <c r="T17" s="31">
        <v>787</v>
      </c>
      <c r="U17" s="31">
        <v>987</v>
      </c>
      <c r="V17" s="31">
        <v>1295</v>
      </c>
      <c r="W17" s="31">
        <v>1111</v>
      </c>
      <c r="X17" s="31">
        <v>1087</v>
      </c>
      <c r="Y17" s="31">
        <v>1210</v>
      </c>
      <c r="Z17" s="31">
        <v>1315</v>
      </c>
      <c r="AA17" s="33">
        <v>953</v>
      </c>
      <c r="AB17" s="33">
        <v>1448</v>
      </c>
      <c r="AC17" s="33">
        <v>2388</v>
      </c>
      <c r="AD17" s="10" t="s">
        <v>19</v>
      </c>
    </row>
    <row r="18" spans="2:30" ht="11.1" customHeight="1" x14ac:dyDescent="0.25">
      <c r="B18" s="7" t="s">
        <v>43</v>
      </c>
      <c r="C18" s="8" t="s">
        <v>6</v>
      </c>
      <c r="D18" s="31">
        <v>5848</v>
      </c>
      <c r="E18" s="31">
        <v>6353</v>
      </c>
      <c r="F18" s="31">
        <v>79</v>
      </c>
      <c r="G18" s="31">
        <v>0</v>
      </c>
      <c r="H18" s="31">
        <v>2122</v>
      </c>
      <c r="I18" s="31">
        <v>4420</v>
      </c>
      <c r="J18" s="31">
        <v>6566</v>
      </c>
      <c r="K18" s="31">
        <v>6374</v>
      </c>
      <c r="L18" s="31">
        <v>7694</v>
      </c>
      <c r="M18" s="31">
        <v>2752</v>
      </c>
      <c r="N18" s="31">
        <v>757</v>
      </c>
      <c r="O18" s="31">
        <v>0</v>
      </c>
      <c r="P18" s="31">
        <v>156</v>
      </c>
      <c r="Q18" s="31">
        <v>167</v>
      </c>
      <c r="R18" s="31">
        <v>776</v>
      </c>
      <c r="S18" s="31">
        <v>3346</v>
      </c>
      <c r="T18" s="31">
        <v>952</v>
      </c>
      <c r="U18" s="31">
        <v>1667</v>
      </c>
      <c r="V18" s="31">
        <v>39</v>
      </c>
      <c r="W18" s="31">
        <v>0</v>
      </c>
      <c r="X18" s="31">
        <v>0</v>
      </c>
      <c r="Y18" s="31">
        <v>245</v>
      </c>
      <c r="Z18" s="31">
        <v>140</v>
      </c>
      <c r="AA18" s="33">
        <v>318</v>
      </c>
      <c r="AB18" s="33">
        <v>7989</v>
      </c>
      <c r="AC18" s="33">
        <v>3002</v>
      </c>
      <c r="AD18" s="10" t="s">
        <v>19</v>
      </c>
    </row>
    <row r="19" spans="2:30" ht="11.1" customHeight="1" x14ac:dyDescent="0.25">
      <c r="B19" s="7" t="s">
        <v>70</v>
      </c>
      <c r="C19" s="8" t="s">
        <v>6</v>
      </c>
      <c r="D19" s="31">
        <v>906</v>
      </c>
      <c r="E19" s="31">
        <v>1433</v>
      </c>
      <c r="F19" s="31">
        <v>858</v>
      </c>
      <c r="G19" s="31">
        <v>878</v>
      </c>
      <c r="H19" s="31">
        <v>1052</v>
      </c>
      <c r="I19" s="31">
        <v>962</v>
      </c>
      <c r="J19" s="31">
        <v>893</v>
      </c>
      <c r="K19" s="31">
        <v>429</v>
      </c>
      <c r="L19" s="31">
        <v>2150</v>
      </c>
      <c r="M19" s="31">
        <v>1307</v>
      </c>
      <c r="N19" s="31">
        <v>1542</v>
      </c>
      <c r="O19" s="31">
        <v>1413</v>
      </c>
      <c r="P19" s="31">
        <v>1117</v>
      </c>
      <c r="Q19" s="31">
        <v>1865</v>
      </c>
      <c r="R19" s="31">
        <v>3741</v>
      </c>
      <c r="S19" s="31">
        <v>1322</v>
      </c>
      <c r="T19" s="31">
        <v>1767</v>
      </c>
      <c r="U19" s="31">
        <v>1628</v>
      </c>
      <c r="V19" s="31">
        <v>1963</v>
      </c>
      <c r="W19" s="31">
        <v>1640</v>
      </c>
      <c r="X19" s="31">
        <v>3617</v>
      </c>
      <c r="Y19" s="31">
        <v>3041</v>
      </c>
      <c r="Z19" s="31">
        <v>8480</v>
      </c>
      <c r="AA19" s="33">
        <v>8611</v>
      </c>
      <c r="AB19" s="33">
        <v>5131</v>
      </c>
      <c r="AC19" s="33">
        <v>2652</v>
      </c>
      <c r="AD19" s="10" t="s">
        <v>19</v>
      </c>
    </row>
    <row r="20" spans="2:30" ht="11.1" customHeight="1" x14ac:dyDescent="0.25">
      <c r="B20" s="7" t="s">
        <v>13</v>
      </c>
      <c r="C20" s="8" t="s">
        <v>6</v>
      </c>
      <c r="D20" s="31">
        <v>81521</v>
      </c>
      <c r="E20" s="31">
        <v>107638</v>
      </c>
      <c r="F20" s="31">
        <v>130237</v>
      </c>
      <c r="G20" s="31">
        <v>121669</v>
      </c>
      <c r="H20" s="31">
        <v>101423</v>
      </c>
      <c r="I20" s="31">
        <v>94437</v>
      </c>
      <c r="J20" s="31">
        <v>113306</v>
      </c>
      <c r="K20" s="31">
        <v>111664</v>
      </c>
      <c r="L20" s="31">
        <v>116545</v>
      </c>
      <c r="M20" s="31">
        <v>93546</v>
      </c>
      <c r="N20" s="31">
        <v>97381</v>
      </c>
      <c r="O20" s="31">
        <v>99224</v>
      </c>
      <c r="P20" s="31">
        <v>98748</v>
      </c>
      <c r="Q20" s="31">
        <v>86417</v>
      </c>
      <c r="R20" s="31">
        <v>90315</v>
      </c>
      <c r="S20" s="31">
        <v>88426</v>
      </c>
      <c r="T20" s="31">
        <v>81347</v>
      </c>
      <c r="U20" s="31">
        <v>84019</v>
      </c>
      <c r="V20" s="31">
        <v>87023</v>
      </c>
      <c r="W20" s="31">
        <v>89188</v>
      </c>
      <c r="X20" s="31">
        <v>84140</v>
      </c>
      <c r="Y20" s="31">
        <v>65651</v>
      </c>
      <c r="Z20" s="31">
        <v>58725</v>
      </c>
      <c r="AA20" s="33">
        <v>52522</v>
      </c>
      <c r="AB20" s="33">
        <v>59483</v>
      </c>
      <c r="AC20" s="33">
        <v>53634</v>
      </c>
      <c r="AD20" s="10" t="s">
        <v>19</v>
      </c>
    </row>
    <row r="21" spans="2:30" ht="11.1" customHeight="1" x14ac:dyDescent="0.25">
      <c r="B21" s="343" t="s">
        <v>60</v>
      </c>
      <c r="C21" s="343"/>
      <c r="D21" s="343"/>
      <c r="E21" s="343"/>
      <c r="F21" s="343"/>
      <c r="G21" s="343"/>
      <c r="H21" s="343"/>
      <c r="I21" s="343"/>
      <c r="J21" s="343"/>
      <c r="K21" s="343"/>
      <c r="L21" s="343"/>
      <c r="M21" s="343"/>
      <c r="N21" s="343"/>
      <c r="O21" s="343"/>
      <c r="P21" s="343"/>
      <c r="Q21" s="343"/>
      <c r="R21" s="343"/>
      <c r="S21" s="343"/>
      <c r="T21" s="343"/>
      <c r="U21" s="368"/>
      <c r="V21" s="368"/>
      <c r="W21" s="368"/>
      <c r="X21" s="368"/>
      <c r="Y21" s="368"/>
      <c r="Z21" s="368"/>
      <c r="AA21" s="30"/>
      <c r="AB21" s="33"/>
      <c r="AC21" s="33"/>
      <c r="AD21" s="33"/>
    </row>
    <row r="22" spans="2:30" ht="11.1" customHeight="1" x14ac:dyDescent="0.25">
      <c r="B22" s="7" t="s">
        <v>44</v>
      </c>
      <c r="C22" s="8" t="s">
        <v>6</v>
      </c>
      <c r="D22" s="31">
        <v>1015</v>
      </c>
      <c r="E22" s="31">
        <v>1477</v>
      </c>
      <c r="F22" s="31">
        <v>509</v>
      </c>
      <c r="G22" s="31">
        <v>1217</v>
      </c>
      <c r="H22" s="31">
        <v>557</v>
      </c>
      <c r="I22" s="31">
        <v>197</v>
      </c>
      <c r="J22" s="31">
        <v>516</v>
      </c>
      <c r="K22" s="31">
        <v>468</v>
      </c>
      <c r="L22" s="31">
        <v>269</v>
      </c>
      <c r="M22" s="31">
        <v>574</v>
      </c>
      <c r="N22" s="31">
        <v>901</v>
      </c>
      <c r="O22" s="31">
        <v>1048</v>
      </c>
      <c r="P22" s="31">
        <v>176</v>
      </c>
      <c r="Q22" s="31">
        <v>439</v>
      </c>
      <c r="R22" s="31">
        <v>1048</v>
      </c>
      <c r="S22" s="31">
        <v>307</v>
      </c>
      <c r="T22" s="31">
        <v>100</v>
      </c>
      <c r="U22" s="31">
        <v>298</v>
      </c>
      <c r="V22" s="31">
        <v>58</v>
      </c>
      <c r="W22" s="31">
        <v>308</v>
      </c>
      <c r="X22" s="31">
        <v>162</v>
      </c>
      <c r="Y22" s="31">
        <v>60</v>
      </c>
      <c r="Z22" s="31">
        <v>30</v>
      </c>
      <c r="AA22" s="33">
        <v>29</v>
      </c>
      <c r="AB22" s="33">
        <v>32</v>
      </c>
      <c r="AC22" s="33">
        <v>48</v>
      </c>
      <c r="AD22" s="10" t="s">
        <v>19</v>
      </c>
    </row>
    <row r="23" spans="2:30" ht="11.1" customHeight="1" x14ac:dyDescent="0.25">
      <c r="B23" s="7" t="s">
        <v>45</v>
      </c>
      <c r="C23" s="8" t="s">
        <v>6</v>
      </c>
      <c r="D23" s="31">
        <v>16</v>
      </c>
      <c r="E23" s="31">
        <v>10</v>
      </c>
      <c r="F23" s="31">
        <v>7</v>
      </c>
      <c r="G23" s="31">
        <v>7</v>
      </c>
      <c r="H23" s="31">
        <v>5</v>
      </c>
      <c r="I23" s="31">
        <v>5</v>
      </c>
      <c r="J23" s="31">
        <v>3</v>
      </c>
      <c r="K23" s="31">
        <v>5</v>
      </c>
      <c r="L23" s="31">
        <v>8</v>
      </c>
      <c r="M23" s="31">
        <v>20</v>
      </c>
      <c r="N23" s="31">
        <v>8</v>
      </c>
      <c r="O23" s="31">
        <v>8</v>
      </c>
      <c r="P23" s="31">
        <v>4</v>
      </c>
      <c r="Q23" s="31">
        <v>8</v>
      </c>
      <c r="R23" s="31">
        <v>5</v>
      </c>
      <c r="S23" s="31">
        <v>9</v>
      </c>
      <c r="T23" s="31">
        <v>9</v>
      </c>
      <c r="U23" s="31">
        <v>3</v>
      </c>
      <c r="V23" s="31">
        <v>5</v>
      </c>
      <c r="W23" s="31">
        <v>8</v>
      </c>
      <c r="X23" s="31">
        <v>6</v>
      </c>
      <c r="Y23" s="31">
        <v>101</v>
      </c>
      <c r="Z23" s="31">
        <v>8</v>
      </c>
      <c r="AA23" s="33">
        <v>0</v>
      </c>
      <c r="AB23" s="33">
        <v>0</v>
      </c>
      <c r="AC23" s="33">
        <v>0</v>
      </c>
      <c r="AD23" s="10" t="s">
        <v>19</v>
      </c>
    </row>
    <row r="24" spans="2:30" ht="11.1" customHeight="1" x14ac:dyDescent="0.25">
      <c r="B24" s="7" t="s">
        <v>46</v>
      </c>
      <c r="C24" s="8" t="s">
        <v>6</v>
      </c>
      <c r="D24" s="31">
        <v>418</v>
      </c>
      <c r="E24" s="31">
        <v>349</v>
      </c>
      <c r="F24" s="31">
        <v>322</v>
      </c>
      <c r="G24" s="31">
        <v>425</v>
      </c>
      <c r="H24" s="31">
        <v>461</v>
      </c>
      <c r="I24" s="31">
        <v>327</v>
      </c>
      <c r="J24" s="31">
        <v>443</v>
      </c>
      <c r="K24" s="31">
        <v>498</v>
      </c>
      <c r="L24" s="31">
        <v>346</v>
      </c>
      <c r="M24" s="31">
        <v>274</v>
      </c>
      <c r="N24" s="31">
        <v>477</v>
      </c>
      <c r="O24" s="31">
        <v>435</v>
      </c>
      <c r="P24" s="31">
        <v>201</v>
      </c>
      <c r="Q24" s="31">
        <v>456</v>
      </c>
      <c r="R24" s="31">
        <v>359</v>
      </c>
      <c r="S24" s="31">
        <v>333</v>
      </c>
      <c r="T24" s="31">
        <v>290</v>
      </c>
      <c r="U24" s="31">
        <v>214</v>
      </c>
      <c r="V24" s="31">
        <v>174</v>
      </c>
      <c r="W24" s="31">
        <v>103</v>
      </c>
      <c r="X24" s="31">
        <v>85</v>
      </c>
      <c r="Y24" s="31">
        <v>166</v>
      </c>
      <c r="Z24" s="31">
        <v>269</v>
      </c>
      <c r="AA24" s="33">
        <v>265</v>
      </c>
      <c r="AB24" s="33">
        <v>279</v>
      </c>
      <c r="AC24" s="33">
        <v>278</v>
      </c>
      <c r="AD24" s="10" t="s">
        <v>19</v>
      </c>
    </row>
    <row r="25" spans="2:30" ht="11.1" customHeight="1" x14ac:dyDescent="0.25">
      <c r="B25" s="7" t="s">
        <v>47</v>
      </c>
      <c r="C25" s="8" t="s">
        <v>6</v>
      </c>
      <c r="D25" s="31">
        <v>483</v>
      </c>
      <c r="E25" s="31">
        <v>330</v>
      </c>
      <c r="F25" s="31">
        <v>423</v>
      </c>
      <c r="G25" s="31">
        <v>676</v>
      </c>
      <c r="H25" s="31">
        <v>693</v>
      </c>
      <c r="I25" s="31">
        <v>278</v>
      </c>
      <c r="J25" s="31">
        <v>471</v>
      </c>
      <c r="K25" s="31">
        <v>552</v>
      </c>
      <c r="L25" s="31">
        <v>680</v>
      </c>
      <c r="M25" s="31">
        <v>848</v>
      </c>
      <c r="N25" s="31">
        <v>778</v>
      </c>
      <c r="O25" s="31">
        <v>1730</v>
      </c>
      <c r="P25" s="31">
        <v>1022</v>
      </c>
      <c r="Q25" s="31">
        <v>1029</v>
      </c>
      <c r="R25" s="31">
        <v>1015</v>
      </c>
      <c r="S25" s="31">
        <v>1025</v>
      </c>
      <c r="T25" s="31">
        <v>945</v>
      </c>
      <c r="U25" s="31">
        <v>762</v>
      </c>
      <c r="V25" s="31">
        <v>811</v>
      </c>
      <c r="W25" s="31">
        <v>871</v>
      </c>
      <c r="X25" s="31">
        <v>1228</v>
      </c>
      <c r="Y25" s="31">
        <v>1086</v>
      </c>
      <c r="Z25" s="31">
        <v>894</v>
      </c>
      <c r="AA25" s="33">
        <v>1099</v>
      </c>
      <c r="AB25" s="33">
        <v>1347</v>
      </c>
      <c r="AC25" s="33">
        <v>1555</v>
      </c>
      <c r="AD25" s="10" t="s">
        <v>19</v>
      </c>
    </row>
    <row r="26" spans="2:30" ht="11.1" customHeight="1" x14ac:dyDescent="0.25">
      <c r="B26" s="7" t="s">
        <v>48</v>
      </c>
      <c r="C26" s="8" t="s">
        <v>6</v>
      </c>
      <c r="D26" s="31">
        <v>40</v>
      </c>
      <c r="E26" s="31">
        <v>24</v>
      </c>
      <c r="F26" s="31">
        <v>25</v>
      </c>
      <c r="G26" s="31">
        <v>32</v>
      </c>
      <c r="H26" s="31">
        <v>20</v>
      </c>
      <c r="I26" s="31">
        <v>23</v>
      </c>
      <c r="J26" s="31">
        <v>30</v>
      </c>
      <c r="K26" s="31">
        <v>23</v>
      </c>
      <c r="L26" s="31">
        <v>24</v>
      </c>
      <c r="M26" s="31">
        <v>16</v>
      </c>
      <c r="N26" s="31">
        <v>11</v>
      </c>
      <c r="O26" s="31">
        <v>15</v>
      </c>
      <c r="P26" s="31">
        <v>5</v>
      </c>
      <c r="Q26" s="31">
        <v>7</v>
      </c>
      <c r="R26" s="31">
        <v>5</v>
      </c>
      <c r="S26" s="31">
        <v>3</v>
      </c>
      <c r="T26" s="31">
        <v>2</v>
      </c>
      <c r="U26" s="31">
        <v>11</v>
      </c>
      <c r="V26" s="31">
        <v>4</v>
      </c>
      <c r="W26" s="31">
        <v>10</v>
      </c>
      <c r="X26" s="31">
        <v>9</v>
      </c>
      <c r="Y26" s="31">
        <v>12</v>
      </c>
      <c r="Z26" s="31">
        <v>21</v>
      </c>
      <c r="AA26" s="33">
        <v>16</v>
      </c>
      <c r="AB26" s="33">
        <v>14</v>
      </c>
      <c r="AC26" s="33">
        <v>3</v>
      </c>
      <c r="AD26" s="10" t="s">
        <v>19</v>
      </c>
    </row>
    <row r="27" spans="2:30" ht="11.1" customHeight="1" x14ac:dyDescent="0.25">
      <c r="B27" s="7" t="s">
        <v>49</v>
      </c>
      <c r="C27" s="8" t="s">
        <v>6</v>
      </c>
      <c r="D27" s="31">
        <v>33</v>
      </c>
      <c r="E27" s="31">
        <v>25</v>
      </c>
      <c r="F27" s="31">
        <v>26</v>
      </c>
      <c r="G27" s="31">
        <v>40</v>
      </c>
      <c r="H27" s="31">
        <v>28</v>
      </c>
      <c r="I27" s="31">
        <v>19</v>
      </c>
      <c r="J27" s="31">
        <v>17</v>
      </c>
      <c r="K27" s="31">
        <v>13</v>
      </c>
      <c r="L27" s="31">
        <v>24</v>
      </c>
      <c r="M27" s="31">
        <v>4</v>
      </c>
      <c r="N27" s="31">
        <v>3</v>
      </c>
      <c r="O27" s="31">
        <v>6</v>
      </c>
      <c r="P27" s="31">
        <v>2</v>
      </c>
      <c r="Q27" s="31">
        <v>2</v>
      </c>
      <c r="R27" s="31">
        <v>6</v>
      </c>
      <c r="S27" s="31">
        <v>5</v>
      </c>
      <c r="T27" s="31">
        <v>2</v>
      </c>
      <c r="U27" s="31">
        <v>1</v>
      </c>
      <c r="V27" s="31">
        <v>6</v>
      </c>
      <c r="W27" s="31">
        <v>4</v>
      </c>
      <c r="X27" s="31">
        <v>0</v>
      </c>
      <c r="Y27" s="31">
        <v>2</v>
      </c>
      <c r="Z27" s="31">
        <v>4</v>
      </c>
      <c r="AA27" s="33">
        <v>3</v>
      </c>
      <c r="AB27" s="33">
        <v>3</v>
      </c>
      <c r="AC27" s="33">
        <v>6</v>
      </c>
      <c r="AD27" s="10" t="s">
        <v>19</v>
      </c>
    </row>
    <row r="28" spans="2:30" ht="11.1" customHeight="1" x14ac:dyDescent="0.25">
      <c r="B28" s="7" t="s">
        <v>50</v>
      </c>
      <c r="C28" s="8" t="s">
        <v>6</v>
      </c>
      <c r="D28" s="31">
        <v>182</v>
      </c>
      <c r="E28" s="31">
        <v>106</v>
      </c>
      <c r="F28" s="31">
        <v>82</v>
      </c>
      <c r="G28" s="31">
        <v>84</v>
      </c>
      <c r="H28" s="31">
        <v>83</v>
      </c>
      <c r="I28" s="31">
        <v>114</v>
      </c>
      <c r="J28" s="31">
        <v>71</v>
      </c>
      <c r="K28" s="31">
        <v>116</v>
      </c>
      <c r="L28" s="31">
        <v>101</v>
      </c>
      <c r="M28" s="31">
        <v>120</v>
      </c>
      <c r="N28" s="31">
        <v>89</v>
      </c>
      <c r="O28" s="31">
        <v>72</v>
      </c>
      <c r="P28" s="31">
        <v>37</v>
      </c>
      <c r="Q28" s="31">
        <v>49</v>
      </c>
      <c r="R28" s="31">
        <v>45</v>
      </c>
      <c r="S28" s="31">
        <v>75</v>
      </c>
      <c r="T28" s="31">
        <v>61</v>
      </c>
      <c r="U28" s="31">
        <v>38</v>
      </c>
      <c r="V28" s="31">
        <v>32</v>
      </c>
      <c r="W28" s="31">
        <v>31</v>
      </c>
      <c r="X28" s="31">
        <v>23</v>
      </c>
      <c r="Y28" s="31">
        <v>56</v>
      </c>
      <c r="Z28" s="31">
        <v>35</v>
      </c>
      <c r="AA28" s="33">
        <v>23</v>
      </c>
      <c r="AB28" s="33">
        <v>13</v>
      </c>
      <c r="AC28" s="33">
        <v>13</v>
      </c>
      <c r="AD28" s="10" t="s">
        <v>19</v>
      </c>
    </row>
    <row r="29" spans="2:30" ht="11.1" customHeight="1" x14ac:dyDescent="0.25">
      <c r="B29" s="7" t="s">
        <v>51</v>
      </c>
      <c r="C29" s="8" t="s">
        <v>6</v>
      </c>
      <c r="D29" s="31">
        <v>688</v>
      </c>
      <c r="E29" s="31">
        <v>499</v>
      </c>
      <c r="F29" s="31">
        <v>232</v>
      </c>
      <c r="G29" s="31">
        <v>281</v>
      </c>
      <c r="H29" s="31">
        <v>279</v>
      </c>
      <c r="I29" s="31">
        <v>318</v>
      </c>
      <c r="J29" s="31">
        <v>238</v>
      </c>
      <c r="K29" s="31">
        <v>185</v>
      </c>
      <c r="L29" s="31">
        <v>158</v>
      </c>
      <c r="M29" s="31">
        <v>156</v>
      </c>
      <c r="N29" s="31">
        <v>123</v>
      </c>
      <c r="O29" s="31">
        <v>99</v>
      </c>
      <c r="P29" s="31">
        <v>46</v>
      </c>
      <c r="Q29" s="31">
        <v>188</v>
      </c>
      <c r="R29" s="31">
        <v>151</v>
      </c>
      <c r="S29" s="31">
        <v>114</v>
      </c>
      <c r="T29" s="31">
        <v>131</v>
      </c>
      <c r="U29" s="31">
        <v>69</v>
      </c>
      <c r="V29" s="31">
        <v>128</v>
      </c>
      <c r="W29" s="31">
        <v>106</v>
      </c>
      <c r="X29" s="31">
        <v>75</v>
      </c>
      <c r="Y29" s="31">
        <v>111</v>
      </c>
      <c r="Z29" s="31">
        <v>109</v>
      </c>
      <c r="AA29" s="33">
        <v>64</v>
      </c>
      <c r="AB29" s="33">
        <v>63</v>
      </c>
      <c r="AC29" s="33">
        <v>48</v>
      </c>
      <c r="AD29" s="10" t="s">
        <v>19</v>
      </c>
    </row>
    <row r="30" spans="2:30" ht="11.1" customHeight="1" x14ac:dyDescent="0.25">
      <c r="B30" s="7" t="s">
        <v>52</v>
      </c>
      <c r="C30" s="8" t="s">
        <v>6</v>
      </c>
      <c r="D30" s="31">
        <v>49</v>
      </c>
      <c r="E30" s="31">
        <v>48</v>
      </c>
      <c r="F30" s="31">
        <v>64</v>
      </c>
      <c r="G30" s="31">
        <v>63</v>
      </c>
      <c r="H30" s="31">
        <v>63</v>
      </c>
      <c r="I30" s="31">
        <v>102</v>
      </c>
      <c r="J30" s="31">
        <v>83</v>
      </c>
      <c r="K30" s="31">
        <v>66</v>
      </c>
      <c r="L30" s="31">
        <v>123</v>
      </c>
      <c r="M30" s="31">
        <v>128</v>
      </c>
      <c r="N30" s="31">
        <v>132</v>
      </c>
      <c r="O30" s="31">
        <v>111</v>
      </c>
      <c r="P30" s="31">
        <v>105</v>
      </c>
      <c r="Q30" s="31">
        <v>56</v>
      </c>
      <c r="R30" s="31">
        <v>112</v>
      </c>
      <c r="S30" s="31">
        <v>240</v>
      </c>
      <c r="T30" s="31">
        <v>22</v>
      </c>
      <c r="U30" s="31">
        <v>119</v>
      </c>
      <c r="V30" s="31">
        <v>128</v>
      </c>
      <c r="W30" s="31">
        <v>112</v>
      </c>
      <c r="X30" s="31">
        <v>651</v>
      </c>
      <c r="Y30" s="31">
        <v>826</v>
      </c>
      <c r="Z30" s="31">
        <v>221</v>
      </c>
      <c r="AA30" s="33">
        <v>0</v>
      </c>
      <c r="AB30" s="33">
        <v>201</v>
      </c>
      <c r="AC30" s="33">
        <v>134</v>
      </c>
      <c r="AD30" s="10" t="s">
        <v>19</v>
      </c>
    </row>
    <row r="31" spans="2:30" ht="11.1" customHeight="1" x14ac:dyDescent="0.25">
      <c r="B31" s="7" t="s">
        <v>53</v>
      </c>
      <c r="C31" s="8" t="s">
        <v>6</v>
      </c>
      <c r="D31" s="31">
        <v>663</v>
      </c>
      <c r="E31" s="31">
        <v>502</v>
      </c>
      <c r="F31" s="31">
        <v>625</v>
      </c>
      <c r="G31" s="31">
        <v>818</v>
      </c>
      <c r="H31" s="31">
        <v>635</v>
      </c>
      <c r="I31" s="31">
        <v>618</v>
      </c>
      <c r="J31" s="31">
        <v>861</v>
      </c>
      <c r="K31" s="31">
        <v>900</v>
      </c>
      <c r="L31" s="31">
        <v>1234</v>
      </c>
      <c r="M31" s="31">
        <v>951</v>
      </c>
      <c r="N31" s="31">
        <v>763</v>
      </c>
      <c r="O31" s="31">
        <v>1127</v>
      </c>
      <c r="P31" s="31">
        <v>624</v>
      </c>
      <c r="Q31" s="31">
        <v>850</v>
      </c>
      <c r="R31" s="31">
        <v>802</v>
      </c>
      <c r="S31" s="31">
        <v>896</v>
      </c>
      <c r="T31" s="31">
        <v>1126</v>
      </c>
      <c r="U31" s="31">
        <v>978</v>
      </c>
      <c r="V31" s="31">
        <v>1138</v>
      </c>
      <c r="W31" s="31">
        <v>1163</v>
      </c>
      <c r="X31" s="31">
        <v>1043</v>
      </c>
      <c r="Y31" s="31">
        <v>685</v>
      </c>
      <c r="Z31" s="31">
        <v>369</v>
      </c>
      <c r="AA31" s="33">
        <v>523</v>
      </c>
      <c r="AB31" s="33">
        <v>585</v>
      </c>
      <c r="AC31" s="33">
        <v>586</v>
      </c>
      <c r="AD31" s="10" t="s">
        <v>19</v>
      </c>
    </row>
    <row r="32" spans="2:30" ht="11.1" customHeight="1" x14ac:dyDescent="0.25">
      <c r="B32" s="7" t="s">
        <v>54</v>
      </c>
      <c r="C32" s="8" t="s">
        <v>6</v>
      </c>
      <c r="D32" s="31">
        <v>1088</v>
      </c>
      <c r="E32" s="31">
        <v>777</v>
      </c>
      <c r="F32" s="31">
        <v>446</v>
      </c>
      <c r="G32" s="31">
        <v>284</v>
      </c>
      <c r="H32" s="31">
        <v>241</v>
      </c>
      <c r="I32" s="31">
        <v>230</v>
      </c>
      <c r="J32" s="31">
        <v>171</v>
      </c>
      <c r="K32" s="31">
        <v>131</v>
      </c>
      <c r="L32" s="31">
        <v>154</v>
      </c>
      <c r="M32" s="31">
        <v>157</v>
      </c>
      <c r="N32" s="31">
        <v>68</v>
      </c>
      <c r="O32" s="31">
        <v>65</v>
      </c>
      <c r="P32" s="31">
        <v>59</v>
      </c>
      <c r="Q32" s="31">
        <v>97</v>
      </c>
      <c r="R32" s="31">
        <v>104</v>
      </c>
      <c r="S32" s="31">
        <v>85</v>
      </c>
      <c r="T32" s="31">
        <v>104</v>
      </c>
      <c r="U32" s="31">
        <v>107</v>
      </c>
      <c r="V32" s="31">
        <v>140</v>
      </c>
      <c r="W32" s="31">
        <v>108</v>
      </c>
      <c r="X32" s="31">
        <v>88</v>
      </c>
      <c r="Y32" s="31">
        <v>84</v>
      </c>
      <c r="Z32" s="31">
        <v>125</v>
      </c>
      <c r="AA32" s="33">
        <v>107</v>
      </c>
      <c r="AB32" s="33">
        <v>188</v>
      </c>
      <c r="AC32" s="33">
        <v>226</v>
      </c>
      <c r="AD32" s="10" t="s">
        <v>19</v>
      </c>
    </row>
    <row r="33" spans="2:30" ht="11.1" customHeight="1" x14ac:dyDescent="0.25">
      <c r="B33" s="7" t="s">
        <v>529</v>
      </c>
      <c r="C33" s="8" t="s">
        <v>6</v>
      </c>
      <c r="D33" s="31">
        <v>10608</v>
      </c>
      <c r="E33" s="31">
        <v>889</v>
      </c>
      <c r="F33" s="31">
        <v>481</v>
      </c>
      <c r="G33" s="31">
        <v>841</v>
      </c>
      <c r="H33" s="31">
        <v>736</v>
      </c>
      <c r="I33" s="31">
        <v>727</v>
      </c>
      <c r="J33" s="31">
        <v>828</v>
      </c>
      <c r="K33" s="31">
        <v>900</v>
      </c>
      <c r="L33" s="31">
        <v>821</v>
      </c>
      <c r="M33" s="31">
        <v>1115</v>
      </c>
      <c r="N33" s="31">
        <v>982</v>
      </c>
      <c r="O33" s="31">
        <v>2327</v>
      </c>
      <c r="P33" s="31">
        <v>514</v>
      </c>
      <c r="Q33" s="31">
        <v>1076</v>
      </c>
      <c r="R33" s="31">
        <v>2327</v>
      </c>
      <c r="S33" s="31">
        <v>448</v>
      </c>
      <c r="T33" s="31">
        <v>433</v>
      </c>
      <c r="U33" s="31">
        <v>609</v>
      </c>
      <c r="V33" s="31">
        <v>872</v>
      </c>
      <c r="W33" s="31">
        <v>1405</v>
      </c>
      <c r="X33" s="31">
        <v>452</v>
      </c>
      <c r="Y33" s="31">
        <v>356</v>
      </c>
      <c r="Z33" s="31">
        <v>755</v>
      </c>
      <c r="AA33" s="33">
        <v>918</v>
      </c>
      <c r="AB33" s="33">
        <v>430</v>
      </c>
      <c r="AC33" s="33">
        <v>522</v>
      </c>
      <c r="AD33" s="10" t="s">
        <v>19</v>
      </c>
    </row>
    <row r="34" spans="2:30" ht="11.1" customHeight="1" x14ac:dyDescent="0.25">
      <c r="B34" s="7" t="s">
        <v>13</v>
      </c>
      <c r="C34" s="8" t="s">
        <v>6</v>
      </c>
      <c r="D34" s="31">
        <v>15283</v>
      </c>
      <c r="E34" s="31">
        <v>5035</v>
      </c>
      <c r="F34" s="31">
        <v>3242</v>
      </c>
      <c r="G34" s="31">
        <v>4769</v>
      </c>
      <c r="H34" s="31">
        <v>3800</v>
      </c>
      <c r="I34" s="31">
        <v>2956</v>
      </c>
      <c r="J34" s="31">
        <v>3731</v>
      </c>
      <c r="K34" s="31">
        <v>3855</v>
      </c>
      <c r="L34" s="31">
        <v>3942</v>
      </c>
      <c r="M34" s="31">
        <v>4362</v>
      </c>
      <c r="N34" s="31">
        <v>4334</v>
      </c>
      <c r="O34" s="31">
        <v>7043</v>
      </c>
      <c r="P34" s="31">
        <v>2795</v>
      </c>
      <c r="Q34" s="31">
        <v>4256</v>
      </c>
      <c r="R34" s="31">
        <v>5978</v>
      </c>
      <c r="S34" s="31">
        <v>3539</v>
      </c>
      <c r="T34" s="31">
        <v>3224</v>
      </c>
      <c r="U34" s="31">
        <v>3209</v>
      </c>
      <c r="V34" s="31">
        <v>3496</v>
      </c>
      <c r="W34" s="31">
        <v>4229</v>
      </c>
      <c r="X34" s="31">
        <v>3820</v>
      </c>
      <c r="Y34" s="31">
        <v>3544</v>
      </c>
      <c r="Z34" s="31">
        <v>2839</v>
      </c>
      <c r="AA34" s="33">
        <v>3046</v>
      </c>
      <c r="AB34" s="33">
        <v>3156</v>
      </c>
      <c r="AC34" s="33">
        <v>3417</v>
      </c>
      <c r="AD34" s="10" t="s">
        <v>19</v>
      </c>
    </row>
    <row r="35" spans="2:30" ht="11.1" customHeight="1" x14ac:dyDescent="0.25">
      <c r="B35" s="34" t="s">
        <v>61</v>
      </c>
      <c r="C35" s="8" t="s">
        <v>6</v>
      </c>
      <c r="D35" s="31">
        <v>4898</v>
      </c>
      <c r="E35" s="31">
        <v>7802</v>
      </c>
      <c r="F35" s="31">
        <v>5425</v>
      </c>
      <c r="G35" s="31">
        <v>5529</v>
      </c>
      <c r="H35" s="31">
        <v>302</v>
      </c>
      <c r="I35" s="31">
        <v>111</v>
      </c>
      <c r="J35" s="31">
        <v>0</v>
      </c>
      <c r="K35" s="31">
        <v>0</v>
      </c>
      <c r="L35" s="31">
        <v>34</v>
      </c>
      <c r="M35" s="31">
        <v>2</v>
      </c>
      <c r="N35" s="31">
        <v>0</v>
      </c>
      <c r="O35" s="31">
        <v>1408</v>
      </c>
      <c r="P35" s="31">
        <v>139</v>
      </c>
      <c r="Q35" s="31">
        <v>139</v>
      </c>
      <c r="R35" s="31">
        <v>99</v>
      </c>
      <c r="S35" s="31">
        <v>234</v>
      </c>
      <c r="T35" s="31">
        <v>433</v>
      </c>
      <c r="U35" s="31">
        <v>145</v>
      </c>
      <c r="V35" s="31">
        <v>142</v>
      </c>
      <c r="W35" s="31">
        <v>1847</v>
      </c>
      <c r="X35" s="31">
        <v>3823</v>
      </c>
      <c r="Y35" s="31">
        <v>3709</v>
      </c>
      <c r="Z35" s="31">
        <v>10406</v>
      </c>
      <c r="AA35" s="33">
        <v>14866</v>
      </c>
      <c r="AB35" s="33">
        <v>1353</v>
      </c>
      <c r="AC35" s="33">
        <v>1237</v>
      </c>
      <c r="AD35" s="10" t="s">
        <v>19</v>
      </c>
    </row>
    <row r="36" spans="2:30" ht="11.1" customHeight="1" x14ac:dyDescent="0.25">
      <c r="B36" s="42" t="s">
        <v>55</v>
      </c>
      <c r="C36" s="22" t="s">
        <v>6</v>
      </c>
      <c r="D36" s="43">
        <v>169166</v>
      </c>
      <c r="E36" s="43">
        <v>167126</v>
      </c>
      <c r="F36" s="43">
        <v>197128</v>
      </c>
      <c r="G36" s="43">
        <v>199896</v>
      </c>
      <c r="H36" s="43">
        <v>159306</v>
      </c>
      <c r="I36" s="43">
        <v>142733</v>
      </c>
      <c r="J36" s="43">
        <v>166503</v>
      </c>
      <c r="K36" s="43">
        <v>170165</v>
      </c>
      <c r="L36" s="43">
        <v>188365</v>
      </c>
      <c r="M36" s="43">
        <v>165563</v>
      </c>
      <c r="N36" s="43">
        <v>176326</v>
      </c>
      <c r="O36" s="43">
        <v>175135</v>
      </c>
      <c r="P36" s="43">
        <v>163053</v>
      </c>
      <c r="Q36" s="43">
        <v>155982</v>
      </c>
      <c r="R36" s="43">
        <v>153869</v>
      </c>
      <c r="S36" s="43">
        <v>176947</v>
      </c>
      <c r="T36" s="43">
        <v>175265</v>
      </c>
      <c r="U36" s="43">
        <v>182349</v>
      </c>
      <c r="V36" s="43">
        <v>175935</v>
      </c>
      <c r="W36" s="43">
        <v>194317</v>
      </c>
      <c r="X36" s="43">
        <v>187411</v>
      </c>
      <c r="Y36" s="43">
        <v>147875</v>
      </c>
      <c r="Z36" s="43">
        <v>124716</v>
      </c>
      <c r="AA36" s="33">
        <v>120687</v>
      </c>
      <c r="AB36" s="33">
        <v>119466</v>
      </c>
      <c r="AC36" s="33">
        <v>124678</v>
      </c>
      <c r="AD36" s="10" t="s">
        <v>19</v>
      </c>
    </row>
    <row r="37" spans="2:30" ht="11.1" customHeight="1" x14ac:dyDescent="0.25">
      <c r="B37" s="343" t="s">
        <v>62</v>
      </c>
      <c r="C37" s="343"/>
      <c r="D37" s="343"/>
      <c r="E37" s="343"/>
      <c r="F37" s="343"/>
      <c r="G37" s="343"/>
      <c r="H37" s="343"/>
      <c r="I37" s="343"/>
      <c r="J37" s="343"/>
      <c r="K37" s="343"/>
      <c r="L37" s="343"/>
      <c r="M37" s="343"/>
      <c r="N37" s="343"/>
      <c r="O37" s="343"/>
      <c r="P37" s="343"/>
      <c r="Q37" s="343"/>
      <c r="R37" s="343"/>
      <c r="S37" s="343"/>
      <c r="T37" s="343"/>
      <c r="U37" s="368"/>
      <c r="V37" s="368"/>
      <c r="W37" s="368"/>
      <c r="X37" s="368"/>
      <c r="Y37" s="368"/>
      <c r="Z37" s="368"/>
      <c r="AA37" s="30"/>
      <c r="AB37" s="33"/>
      <c r="AC37" s="33"/>
      <c r="AD37" s="33"/>
    </row>
    <row r="38" spans="2:30" ht="11.1" customHeight="1" x14ac:dyDescent="0.25">
      <c r="B38" s="7" t="s">
        <v>63</v>
      </c>
      <c r="C38" s="8" t="s">
        <v>6</v>
      </c>
      <c r="D38" s="31">
        <v>71518</v>
      </c>
      <c r="E38" s="31">
        <v>84845</v>
      </c>
      <c r="F38" s="31">
        <v>99247</v>
      </c>
      <c r="G38" s="31">
        <v>111476</v>
      </c>
      <c r="H38" s="31">
        <v>106101</v>
      </c>
      <c r="I38" s="31">
        <v>126184</v>
      </c>
      <c r="J38" s="31">
        <v>134060</v>
      </c>
      <c r="K38" s="31">
        <v>221019</v>
      </c>
      <c r="L38" s="31">
        <v>281710</v>
      </c>
      <c r="M38" s="31">
        <v>293134</v>
      </c>
      <c r="N38" s="31">
        <v>319175</v>
      </c>
      <c r="O38" s="31">
        <v>362422</v>
      </c>
      <c r="P38" s="31">
        <v>417872</v>
      </c>
      <c r="Q38" s="31">
        <v>506446</v>
      </c>
      <c r="R38" s="31">
        <v>509914</v>
      </c>
      <c r="S38" s="31">
        <v>531322</v>
      </c>
      <c r="T38" s="31">
        <v>620464</v>
      </c>
      <c r="U38" s="31">
        <v>704370</v>
      </c>
      <c r="V38" s="31">
        <v>738694</v>
      </c>
      <c r="W38" s="31">
        <v>838276</v>
      </c>
      <c r="X38" s="31">
        <v>824066</v>
      </c>
      <c r="Y38" s="31">
        <v>887649</v>
      </c>
      <c r="Z38" s="31">
        <v>1013633</v>
      </c>
      <c r="AA38" s="33">
        <v>1134920</v>
      </c>
      <c r="AB38" s="33">
        <v>1366182</v>
      </c>
      <c r="AC38" s="33">
        <v>1280622</v>
      </c>
      <c r="AD38" s="10" t="s">
        <v>19</v>
      </c>
    </row>
    <row r="39" spans="2:30" ht="11.1" customHeight="1" x14ac:dyDescent="0.25">
      <c r="B39" s="7" t="s">
        <v>56</v>
      </c>
      <c r="C39" s="8" t="s">
        <v>6</v>
      </c>
      <c r="D39" s="31">
        <v>11637</v>
      </c>
      <c r="E39" s="31">
        <v>13176</v>
      </c>
      <c r="F39" s="31">
        <v>12007</v>
      </c>
      <c r="G39" s="31">
        <v>11566</v>
      </c>
      <c r="H39" s="31">
        <v>11561</v>
      </c>
      <c r="I39" s="31">
        <v>17387</v>
      </c>
      <c r="J39" s="31">
        <v>17468</v>
      </c>
      <c r="K39" s="31">
        <v>16720</v>
      </c>
      <c r="L39" s="31">
        <v>16266</v>
      </c>
      <c r="M39" s="31">
        <v>19375</v>
      </c>
      <c r="N39" s="31">
        <v>20105</v>
      </c>
      <c r="O39" s="31">
        <v>21934</v>
      </c>
      <c r="P39" s="31">
        <v>23340</v>
      </c>
      <c r="Q39" s="31">
        <v>23406</v>
      </c>
      <c r="R39" s="31">
        <v>22117</v>
      </c>
      <c r="S39" s="31">
        <v>22688</v>
      </c>
      <c r="T39" s="31">
        <v>23560</v>
      </c>
      <c r="U39" s="31">
        <v>21206</v>
      </c>
      <c r="V39" s="31">
        <v>26287</v>
      </c>
      <c r="W39" s="31">
        <v>28723</v>
      </c>
      <c r="X39" s="31">
        <v>31724</v>
      </c>
      <c r="Y39" s="31">
        <v>30758</v>
      </c>
      <c r="Z39" s="31">
        <v>35482</v>
      </c>
      <c r="AA39" s="33">
        <v>43463</v>
      </c>
      <c r="AB39" s="33">
        <v>42820</v>
      </c>
      <c r="AC39" s="33">
        <v>36880</v>
      </c>
      <c r="AD39" s="10" t="s">
        <v>19</v>
      </c>
    </row>
    <row r="40" spans="2:30" ht="11.1" customHeight="1" x14ac:dyDescent="0.25">
      <c r="B40" s="7" t="s">
        <v>57</v>
      </c>
      <c r="C40" s="8" t="s">
        <v>6</v>
      </c>
      <c r="D40" s="31">
        <v>827</v>
      </c>
      <c r="E40" s="31">
        <v>837</v>
      </c>
      <c r="F40" s="31">
        <v>758</v>
      </c>
      <c r="G40" s="31">
        <v>758</v>
      </c>
      <c r="H40" s="31">
        <v>1082</v>
      </c>
      <c r="I40" s="31">
        <v>1251</v>
      </c>
      <c r="J40" s="31">
        <v>2436</v>
      </c>
      <c r="K40" s="31">
        <v>3705</v>
      </c>
      <c r="L40" s="31">
        <v>2425</v>
      </c>
      <c r="M40" s="31">
        <v>2611</v>
      </c>
      <c r="N40" s="31">
        <v>3099</v>
      </c>
      <c r="O40" s="31">
        <v>3438</v>
      </c>
      <c r="P40" s="31">
        <v>1981</v>
      </c>
      <c r="Q40" s="31">
        <v>4012</v>
      </c>
      <c r="R40" s="31">
        <v>3955</v>
      </c>
      <c r="S40" s="31">
        <v>2996</v>
      </c>
      <c r="T40" s="31">
        <v>3763</v>
      </c>
      <c r="U40" s="31">
        <v>2301</v>
      </c>
      <c r="V40" s="31">
        <v>2918</v>
      </c>
      <c r="W40" s="31">
        <v>2408</v>
      </c>
      <c r="X40" s="31">
        <v>2974</v>
      </c>
      <c r="Y40" s="31">
        <v>2289</v>
      </c>
      <c r="Z40" s="31">
        <v>1922</v>
      </c>
      <c r="AA40" s="33">
        <v>334</v>
      </c>
      <c r="AB40" s="33">
        <v>352</v>
      </c>
      <c r="AC40" s="33">
        <v>212</v>
      </c>
      <c r="AD40" s="10" t="s">
        <v>19</v>
      </c>
    </row>
    <row r="41" spans="2:30" ht="11.1" customHeight="1" x14ac:dyDescent="0.25">
      <c r="B41" s="7" t="s">
        <v>41</v>
      </c>
      <c r="C41" s="8" t="s">
        <v>6</v>
      </c>
      <c r="D41" s="31" t="s">
        <v>19</v>
      </c>
      <c r="E41" s="31" t="s">
        <v>19</v>
      </c>
      <c r="F41" s="31" t="s">
        <v>19</v>
      </c>
      <c r="G41" s="31" t="s">
        <v>19</v>
      </c>
      <c r="H41" s="31" t="s">
        <v>19</v>
      </c>
      <c r="I41" s="31">
        <v>1625</v>
      </c>
      <c r="J41" s="31">
        <v>3382</v>
      </c>
      <c r="K41" s="31">
        <v>3753</v>
      </c>
      <c r="L41" s="31">
        <v>5990</v>
      </c>
      <c r="M41" s="31">
        <v>5803</v>
      </c>
      <c r="N41" s="31">
        <v>8312</v>
      </c>
      <c r="O41" s="31">
        <v>5099</v>
      </c>
      <c r="P41" s="31">
        <v>5547</v>
      </c>
      <c r="Q41" s="31">
        <v>3101</v>
      </c>
      <c r="R41" s="31">
        <v>3934</v>
      </c>
      <c r="S41" s="31">
        <v>2046</v>
      </c>
      <c r="T41" s="31">
        <v>2557</v>
      </c>
      <c r="U41" s="31">
        <v>2845</v>
      </c>
      <c r="V41" s="31">
        <v>3050</v>
      </c>
      <c r="W41" s="31">
        <v>4138</v>
      </c>
      <c r="X41" s="31">
        <v>7303</v>
      </c>
      <c r="Y41" s="31">
        <v>10030</v>
      </c>
      <c r="Z41" s="31">
        <v>9307</v>
      </c>
      <c r="AA41" s="33">
        <v>10915</v>
      </c>
      <c r="AB41" s="33">
        <v>9819</v>
      </c>
      <c r="AC41" s="33">
        <v>9282</v>
      </c>
      <c r="AD41" s="10" t="s">
        <v>19</v>
      </c>
    </row>
    <row r="42" spans="2:30" ht="11.1" customHeight="1" x14ac:dyDescent="0.25">
      <c r="B42" s="7" t="s">
        <v>527</v>
      </c>
      <c r="C42" s="8" t="s">
        <v>6</v>
      </c>
      <c r="D42" s="31">
        <v>1146</v>
      </c>
      <c r="E42" s="31">
        <v>1500</v>
      </c>
      <c r="F42" s="31">
        <v>3000</v>
      </c>
      <c r="G42" s="31">
        <v>4000</v>
      </c>
      <c r="H42" s="31">
        <v>4000</v>
      </c>
      <c r="I42" s="31" t="s">
        <v>19</v>
      </c>
      <c r="J42" s="31" t="s">
        <v>19</v>
      </c>
      <c r="K42" s="31" t="s">
        <v>19</v>
      </c>
      <c r="L42" s="31" t="s">
        <v>19</v>
      </c>
      <c r="M42" s="31" t="s">
        <v>19</v>
      </c>
      <c r="N42" s="31" t="s">
        <v>19</v>
      </c>
      <c r="O42" s="31" t="s">
        <v>19</v>
      </c>
      <c r="P42" s="31" t="s">
        <v>19</v>
      </c>
      <c r="Q42" s="31" t="s">
        <v>19</v>
      </c>
      <c r="R42" s="31" t="s">
        <v>19</v>
      </c>
      <c r="S42" s="31" t="s">
        <v>19</v>
      </c>
      <c r="T42" s="31" t="s">
        <v>19</v>
      </c>
      <c r="U42" s="31" t="s">
        <v>19</v>
      </c>
      <c r="V42" s="31" t="s">
        <v>19</v>
      </c>
      <c r="W42" s="31" t="s">
        <v>19</v>
      </c>
      <c r="X42" s="31" t="s">
        <v>19</v>
      </c>
      <c r="Y42" s="31" t="s">
        <v>19</v>
      </c>
      <c r="Z42" s="31" t="s">
        <v>19</v>
      </c>
      <c r="AA42" s="33" t="s">
        <v>19</v>
      </c>
      <c r="AB42" s="33" t="s">
        <v>19</v>
      </c>
      <c r="AC42" s="33" t="s">
        <v>19</v>
      </c>
      <c r="AD42" s="10" t="s">
        <v>19</v>
      </c>
    </row>
    <row r="43" spans="2:30" ht="11.1" customHeight="1" x14ac:dyDescent="0.25">
      <c r="B43" s="44" t="s">
        <v>13</v>
      </c>
      <c r="C43" s="45" t="s">
        <v>6</v>
      </c>
      <c r="D43" s="43">
        <v>85128</v>
      </c>
      <c r="E43" s="43">
        <v>100358</v>
      </c>
      <c r="F43" s="43">
        <v>115012</v>
      </c>
      <c r="G43" s="46">
        <v>127800</v>
      </c>
      <c r="H43" s="46">
        <v>122744</v>
      </c>
      <c r="I43" s="46">
        <v>146447</v>
      </c>
      <c r="J43" s="46">
        <v>157346</v>
      </c>
      <c r="K43" s="46">
        <v>245196</v>
      </c>
      <c r="L43" s="46">
        <v>306390</v>
      </c>
      <c r="M43" s="46">
        <v>320924</v>
      </c>
      <c r="N43" s="46">
        <v>350691</v>
      </c>
      <c r="O43" s="46">
        <v>392893</v>
      </c>
      <c r="P43" s="46">
        <v>448740</v>
      </c>
      <c r="Q43" s="46">
        <v>536965</v>
      </c>
      <c r="R43" s="46">
        <v>539920</v>
      </c>
      <c r="S43" s="46">
        <v>559052</v>
      </c>
      <c r="T43" s="46">
        <v>650343</v>
      </c>
      <c r="U43" s="46">
        <v>730723</v>
      </c>
      <c r="V43" s="46">
        <v>770949</v>
      </c>
      <c r="W43" s="46">
        <v>873545</v>
      </c>
      <c r="X43" s="46">
        <v>866067</v>
      </c>
      <c r="Y43" s="46">
        <v>930726</v>
      </c>
      <c r="Z43" s="46">
        <v>1060344</v>
      </c>
      <c r="AA43" s="33">
        <v>1189633</v>
      </c>
      <c r="AB43" s="33">
        <v>1419173</v>
      </c>
      <c r="AC43" s="33">
        <v>1326996</v>
      </c>
      <c r="AD43" s="10" t="s">
        <v>19</v>
      </c>
    </row>
    <row r="44" spans="2:30" ht="11.1" customHeight="1" thickBot="1" x14ac:dyDescent="0.3">
      <c r="B44" s="35" t="s">
        <v>58</v>
      </c>
      <c r="C44" s="36" t="s">
        <v>6</v>
      </c>
      <c r="D44" s="37">
        <v>254294</v>
      </c>
      <c r="E44" s="37">
        <v>267484</v>
      </c>
      <c r="F44" s="37">
        <v>312140</v>
      </c>
      <c r="G44" s="38">
        <v>327695</v>
      </c>
      <c r="H44" s="38">
        <v>282050</v>
      </c>
      <c r="I44" s="38">
        <v>289181</v>
      </c>
      <c r="J44" s="38">
        <v>323849</v>
      </c>
      <c r="K44" s="38">
        <v>415360</v>
      </c>
      <c r="L44" s="38">
        <v>494755</v>
      </c>
      <c r="M44" s="38">
        <v>486486</v>
      </c>
      <c r="N44" s="38">
        <v>527017</v>
      </c>
      <c r="O44" s="38">
        <v>568028</v>
      </c>
      <c r="P44" s="38">
        <v>611793</v>
      </c>
      <c r="Q44" s="38">
        <v>692947</v>
      </c>
      <c r="R44" s="38">
        <v>693789</v>
      </c>
      <c r="S44" s="38">
        <v>735999</v>
      </c>
      <c r="T44" s="38">
        <v>825608</v>
      </c>
      <c r="U44" s="38">
        <v>913072</v>
      </c>
      <c r="V44" s="38">
        <v>946883</v>
      </c>
      <c r="W44" s="38">
        <v>1067862</v>
      </c>
      <c r="X44" s="38">
        <v>1053478</v>
      </c>
      <c r="Y44" s="38">
        <v>1078600</v>
      </c>
      <c r="Z44" s="38">
        <v>1185060</v>
      </c>
      <c r="AA44" s="39">
        <v>1310320</v>
      </c>
      <c r="AB44" s="39">
        <v>1538639</v>
      </c>
      <c r="AC44" s="39">
        <v>1451675</v>
      </c>
      <c r="AD44" s="298" t="s">
        <v>19</v>
      </c>
    </row>
    <row r="45" spans="2:30" ht="11.1" customHeight="1" thickTop="1" x14ac:dyDescent="0.25">
      <c r="B45" s="341" t="s">
        <v>59</v>
      </c>
      <c r="C45" s="341"/>
      <c r="D45" s="341"/>
      <c r="E45" s="341"/>
      <c r="F45" s="341"/>
      <c r="G45" s="341"/>
      <c r="H45" s="341"/>
      <c r="I45" s="341"/>
      <c r="J45" s="341"/>
      <c r="K45" s="341"/>
      <c r="L45" s="341"/>
      <c r="M45" s="341"/>
      <c r="N45" s="341"/>
      <c r="O45" s="341"/>
      <c r="P45" s="341"/>
      <c r="Q45" s="341"/>
      <c r="R45" s="341"/>
      <c r="S45" s="341"/>
      <c r="T45" s="341"/>
      <c r="U45" s="355" t="s">
        <v>35</v>
      </c>
      <c r="V45" s="355" t="s">
        <v>6</v>
      </c>
      <c r="W45" s="355" t="s">
        <v>35</v>
      </c>
      <c r="X45" s="355" t="s">
        <v>6</v>
      </c>
      <c r="Y45" s="355" t="s">
        <v>35</v>
      </c>
      <c r="Z45" s="355" t="s">
        <v>6</v>
      </c>
      <c r="AA45" s="29"/>
      <c r="AB45" s="29"/>
      <c r="AC45" s="29"/>
      <c r="AD45" s="29"/>
    </row>
    <row r="46" spans="2:30" ht="11.1" customHeight="1" x14ac:dyDescent="0.25">
      <c r="B46" s="326" t="s">
        <v>36</v>
      </c>
      <c r="C46" s="326"/>
      <c r="D46" s="326"/>
      <c r="E46" s="326"/>
      <c r="F46" s="326"/>
      <c r="G46" s="326"/>
      <c r="H46" s="326"/>
      <c r="I46" s="326"/>
      <c r="J46" s="326"/>
      <c r="K46" s="326"/>
      <c r="L46" s="326"/>
      <c r="M46" s="326"/>
      <c r="N46" s="326"/>
      <c r="O46" s="326"/>
      <c r="P46" s="326"/>
      <c r="Q46" s="326"/>
      <c r="R46" s="326"/>
      <c r="S46" s="326"/>
      <c r="T46" s="326"/>
      <c r="U46" s="353"/>
      <c r="V46" s="353"/>
      <c r="W46" s="353"/>
      <c r="X46" s="353"/>
      <c r="Y46" s="353"/>
      <c r="Z46" s="353"/>
      <c r="AA46" s="30"/>
      <c r="AB46" s="30"/>
      <c r="AC46" s="30"/>
      <c r="AD46" s="30"/>
    </row>
    <row r="47" spans="2:30" ht="11.1" customHeight="1" x14ac:dyDescent="0.25">
      <c r="B47" s="7" t="s">
        <v>37</v>
      </c>
      <c r="C47" s="8" t="s">
        <v>35</v>
      </c>
      <c r="D47" s="31">
        <v>1596</v>
      </c>
      <c r="E47" s="31">
        <v>1464</v>
      </c>
      <c r="F47" s="31">
        <v>1518</v>
      </c>
      <c r="G47" s="31">
        <v>1518</v>
      </c>
      <c r="H47" s="31">
        <v>1422</v>
      </c>
      <c r="I47" s="31">
        <v>1601</v>
      </c>
      <c r="J47" s="31">
        <v>1611</v>
      </c>
      <c r="K47" s="31">
        <v>1482</v>
      </c>
      <c r="L47" s="31">
        <v>1514</v>
      </c>
      <c r="M47" s="31">
        <v>1433</v>
      </c>
      <c r="N47" s="31">
        <v>1411</v>
      </c>
      <c r="O47" s="31">
        <v>1312</v>
      </c>
      <c r="P47" s="31">
        <v>1275</v>
      </c>
      <c r="Q47" s="31">
        <v>1098</v>
      </c>
      <c r="R47" s="31">
        <v>1096</v>
      </c>
      <c r="S47" s="31">
        <v>1165</v>
      </c>
      <c r="T47" s="31">
        <v>1040</v>
      </c>
      <c r="U47" s="31">
        <v>1138</v>
      </c>
      <c r="V47" s="31">
        <v>1083</v>
      </c>
      <c r="W47" s="31">
        <v>1148</v>
      </c>
      <c r="X47" s="31">
        <v>1010</v>
      </c>
      <c r="Y47" s="31">
        <v>891</v>
      </c>
      <c r="Z47" s="31">
        <v>1154</v>
      </c>
      <c r="AA47" s="33">
        <v>1046</v>
      </c>
      <c r="AB47" s="33">
        <v>1043</v>
      </c>
      <c r="AC47" s="33">
        <v>1050</v>
      </c>
      <c r="AD47" s="10" t="s">
        <v>19</v>
      </c>
    </row>
    <row r="48" spans="2:30" ht="11.1" customHeight="1" x14ac:dyDescent="0.25">
      <c r="B48" s="7" t="s">
        <v>38</v>
      </c>
      <c r="C48" s="8" t="s">
        <v>35</v>
      </c>
      <c r="D48" s="31">
        <v>0</v>
      </c>
      <c r="E48" s="31">
        <v>75</v>
      </c>
      <c r="F48" s="31">
        <v>101</v>
      </c>
      <c r="G48" s="31">
        <v>108</v>
      </c>
      <c r="H48" s="31">
        <v>56</v>
      </c>
      <c r="I48" s="31">
        <v>64</v>
      </c>
      <c r="J48" s="31">
        <v>59</v>
      </c>
      <c r="K48" s="31">
        <v>63</v>
      </c>
      <c r="L48" s="31">
        <v>48</v>
      </c>
      <c r="M48" s="31">
        <v>50</v>
      </c>
      <c r="N48" s="31">
        <v>57</v>
      </c>
      <c r="O48" s="31">
        <v>45</v>
      </c>
      <c r="P48" s="31">
        <v>37</v>
      </c>
      <c r="Q48" s="31">
        <v>38</v>
      </c>
      <c r="R48" s="31">
        <v>45</v>
      </c>
      <c r="S48" s="31">
        <v>25</v>
      </c>
      <c r="T48" s="31">
        <v>21</v>
      </c>
      <c r="U48" s="31">
        <v>25</v>
      </c>
      <c r="V48" s="31">
        <v>26</v>
      </c>
      <c r="W48" s="31">
        <v>20</v>
      </c>
      <c r="X48" s="31">
        <v>18</v>
      </c>
      <c r="Y48" s="31">
        <v>15</v>
      </c>
      <c r="Z48" s="31">
        <v>18</v>
      </c>
      <c r="AA48" s="33">
        <v>23</v>
      </c>
      <c r="AB48" s="33">
        <v>21</v>
      </c>
      <c r="AC48" s="33">
        <v>22</v>
      </c>
      <c r="AD48" s="10" t="s">
        <v>19</v>
      </c>
    </row>
    <row r="49" spans="2:30" ht="11.1" customHeight="1" x14ac:dyDescent="0.25">
      <c r="B49" s="7" t="s">
        <v>68</v>
      </c>
      <c r="C49" s="8" t="s">
        <v>35</v>
      </c>
      <c r="D49" s="31">
        <v>5</v>
      </c>
      <c r="E49" s="31">
        <v>2</v>
      </c>
      <c r="F49" s="31">
        <v>1</v>
      </c>
      <c r="G49" s="31">
        <v>1</v>
      </c>
      <c r="H49" s="31">
        <v>0</v>
      </c>
      <c r="I49" s="31">
        <v>0</v>
      </c>
      <c r="J49" s="31">
        <v>0</v>
      </c>
      <c r="K49" s="31">
        <v>0</v>
      </c>
      <c r="L49" s="31">
        <v>0</v>
      </c>
      <c r="M49" s="31">
        <v>0</v>
      </c>
      <c r="N49" s="31">
        <v>0</v>
      </c>
      <c r="O49" s="31">
        <v>0</v>
      </c>
      <c r="P49" s="31">
        <v>0</v>
      </c>
      <c r="Q49" s="31">
        <v>0</v>
      </c>
      <c r="R49" s="31">
        <v>0</v>
      </c>
      <c r="S49" s="31">
        <v>0</v>
      </c>
      <c r="T49" s="31">
        <v>0</v>
      </c>
      <c r="U49" s="31">
        <v>0</v>
      </c>
      <c r="V49" s="31">
        <v>0</v>
      </c>
      <c r="W49" s="31">
        <v>0</v>
      </c>
      <c r="X49" s="31">
        <v>0</v>
      </c>
      <c r="Y49" s="31">
        <v>0</v>
      </c>
      <c r="Z49" s="31">
        <v>0</v>
      </c>
      <c r="AA49" s="33">
        <v>0</v>
      </c>
      <c r="AB49" s="33">
        <v>0</v>
      </c>
      <c r="AC49" s="33">
        <v>0</v>
      </c>
      <c r="AD49" s="10" t="s">
        <v>19</v>
      </c>
    </row>
    <row r="50" spans="2:30" ht="11.1" customHeight="1" x14ac:dyDescent="0.25">
      <c r="B50" s="7" t="s">
        <v>13</v>
      </c>
      <c r="C50" s="8" t="s">
        <v>35</v>
      </c>
      <c r="D50" s="31">
        <v>1601</v>
      </c>
      <c r="E50" s="31">
        <v>1541</v>
      </c>
      <c r="F50" s="31">
        <v>1619</v>
      </c>
      <c r="G50" s="31">
        <v>1627</v>
      </c>
      <c r="H50" s="31">
        <v>1478</v>
      </c>
      <c r="I50" s="31">
        <v>1665</v>
      </c>
      <c r="J50" s="31">
        <v>1670</v>
      </c>
      <c r="K50" s="31">
        <v>1545</v>
      </c>
      <c r="L50" s="31">
        <v>1562</v>
      </c>
      <c r="M50" s="31">
        <v>1484</v>
      </c>
      <c r="N50" s="31">
        <v>1468</v>
      </c>
      <c r="O50" s="31">
        <v>1358</v>
      </c>
      <c r="P50" s="31">
        <v>1312</v>
      </c>
      <c r="Q50" s="31">
        <v>1136</v>
      </c>
      <c r="R50" s="31">
        <v>1141</v>
      </c>
      <c r="S50" s="31">
        <v>1190</v>
      </c>
      <c r="T50" s="31">
        <v>1061</v>
      </c>
      <c r="U50" s="31">
        <v>1163</v>
      </c>
      <c r="V50" s="31">
        <v>1109</v>
      </c>
      <c r="W50" s="31">
        <v>1168</v>
      </c>
      <c r="X50" s="31">
        <v>1028</v>
      </c>
      <c r="Y50" s="31">
        <v>906</v>
      </c>
      <c r="Z50" s="31">
        <v>1172</v>
      </c>
      <c r="AA50" s="33">
        <v>1069</v>
      </c>
      <c r="AB50" s="33">
        <v>1063</v>
      </c>
      <c r="AC50" s="33">
        <v>1072</v>
      </c>
      <c r="AD50" s="10" t="s">
        <v>19</v>
      </c>
    </row>
    <row r="51" spans="2:30" ht="11.1" customHeight="1" x14ac:dyDescent="0.25">
      <c r="B51" s="343" t="s">
        <v>40</v>
      </c>
      <c r="C51" s="343"/>
      <c r="D51" s="343"/>
      <c r="E51" s="343"/>
      <c r="F51" s="343"/>
      <c r="G51" s="343"/>
      <c r="H51" s="343"/>
      <c r="I51" s="343"/>
      <c r="J51" s="343"/>
      <c r="K51" s="343"/>
      <c r="L51" s="343"/>
      <c r="M51" s="343"/>
      <c r="N51" s="343"/>
      <c r="O51" s="343"/>
      <c r="P51" s="343"/>
      <c r="Q51" s="343"/>
      <c r="R51" s="343"/>
      <c r="S51" s="343"/>
      <c r="T51" s="343"/>
      <c r="U51" s="354"/>
      <c r="V51" s="354"/>
      <c r="W51" s="354"/>
      <c r="X51" s="354"/>
      <c r="Y51" s="354"/>
      <c r="Z51" s="354"/>
      <c r="AA51" s="30"/>
      <c r="AB51" s="33"/>
      <c r="AC51" s="33"/>
      <c r="AD51" s="33"/>
    </row>
    <row r="52" spans="2:30" ht="11.1" customHeight="1" x14ac:dyDescent="0.25">
      <c r="B52" s="7" t="s">
        <v>41</v>
      </c>
      <c r="C52" s="8" t="s">
        <v>35</v>
      </c>
      <c r="D52" s="31">
        <v>2564</v>
      </c>
      <c r="E52" s="31">
        <v>2568</v>
      </c>
      <c r="F52" s="31">
        <v>2709</v>
      </c>
      <c r="G52" s="31">
        <v>2928</v>
      </c>
      <c r="H52" s="31">
        <v>2389</v>
      </c>
      <c r="I52" s="31">
        <v>2645</v>
      </c>
      <c r="J52" s="31">
        <v>2709</v>
      </c>
      <c r="K52" s="31">
        <v>2431</v>
      </c>
      <c r="L52" s="31">
        <v>2491</v>
      </c>
      <c r="M52" s="31">
        <v>2317</v>
      </c>
      <c r="N52" s="31">
        <v>2827</v>
      </c>
      <c r="O52" s="31">
        <v>2443</v>
      </c>
      <c r="P52" s="31">
        <v>2701</v>
      </c>
      <c r="Q52" s="31">
        <v>2421</v>
      </c>
      <c r="R52" s="31">
        <v>2226</v>
      </c>
      <c r="S52" s="31">
        <v>2158</v>
      </c>
      <c r="T52" s="31">
        <v>1897</v>
      </c>
      <c r="U52" s="31">
        <v>1744</v>
      </c>
      <c r="V52" s="31">
        <v>1641</v>
      </c>
      <c r="W52" s="31">
        <v>1473</v>
      </c>
      <c r="X52" s="31">
        <v>1158</v>
      </c>
      <c r="Y52" s="31">
        <v>1029</v>
      </c>
      <c r="Z52" s="31">
        <v>1095</v>
      </c>
      <c r="AA52" s="33">
        <v>755</v>
      </c>
      <c r="AB52" s="33">
        <v>756</v>
      </c>
      <c r="AC52" s="33">
        <v>849</v>
      </c>
      <c r="AD52" s="10" t="s">
        <v>19</v>
      </c>
    </row>
    <row r="53" spans="2:30" ht="11.1" customHeight="1" x14ac:dyDescent="0.25">
      <c r="B53" s="7" t="s">
        <v>42</v>
      </c>
      <c r="C53" s="8" t="s">
        <v>35</v>
      </c>
      <c r="D53" s="31">
        <v>86</v>
      </c>
      <c r="E53" s="31">
        <v>61</v>
      </c>
      <c r="F53" s="31">
        <v>62</v>
      </c>
      <c r="G53" s="31">
        <v>63</v>
      </c>
      <c r="H53" s="31">
        <v>68</v>
      </c>
      <c r="I53" s="31">
        <v>71</v>
      </c>
      <c r="J53" s="31">
        <v>81</v>
      </c>
      <c r="K53" s="31">
        <v>98</v>
      </c>
      <c r="L53" s="31">
        <v>118</v>
      </c>
      <c r="M53" s="31">
        <v>110</v>
      </c>
      <c r="N53" s="31">
        <v>67</v>
      </c>
      <c r="O53" s="31">
        <v>90</v>
      </c>
      <c r="P53" s="31">
        <v>51</v>
      </c>
      <c r="Q53" s="31">
        <v>51</v>
      </c>
      <c r="R53" s="31">
        <v>90</v>
      </c>
      <c r="S53" s="31">
        <v>117</v>
      </c>
      <c r="T53" s="31">
        <v>81</v>
      </c>
      <c r="U53" s="31">
        <v>105</v>
      </c>
      <c r="V53" s="31">
        <v>119</v>
      </c>
      <c r="W53" s="31">
        <v>112</v>
      </c>
      <c r="X53" s="31">
        <v>132</v>
      </c>
      <c r="Y53" s="31">
        <v>144</v>
      </c>
      <c r="Z53" s="31">
        <v>160</v>
      </c>
      <c r="AA53" s="33">
        <v>106</v>
      </c>
      <c r="AB53" s="33">
        <v>125</v>
      </c>
      <c r="AC53" s="33">
        <v>189</v>
      </c>
      <c r="AD53" s="10" t="s">
        <v>19</v>
      </c>
    </row>
    <row r="54" spans="2:30" ht="11.1" customHeight="1" x14ac:dyDescent="0.25">
      <c r="B54" s="7" t="s">
        <v>43</v>
      </c>
      <c r="C54" s="8" t="s">
        <v>35</v>
      </c>
      <c r="D54" s="31">
        <v>475</v>
      </c>
      <c r="E54" s="31">
        <v>4554</v>
      </c>
      <c r="F54" s="31">
        <v>46</v>
      </c>
      <c r="G54" s="31">
        <v>0</v>
      </c>
      <c r="H54" s="31">
        <v>164</v>
      </c>
      <c r="I54" s="31">
        <v>3542</v>
      </c>
      <c r="J54" s="31">
        <v>4831</v>
      </c>
      <c r="K54" s="31">
        <v>3566</v>
      </c>
      <c r="L54" s="31">
        <v>4184</v>
      </c>
      <c r="M54" s="31">
        <v>1461</v>
      </c>
      <c r="N54" s="31">
        <v>362</v>
      </c>
      <c r="O54" s="31">
        <v>0</v>
      </c>
      <c r="P54" s="31">
        <v>10</v>
      </c>
      <c r="Q54" s="31">
        <v>85</v>
      </c>
      <c r="R54" s="31">
        <v>811</v>
      </c>
      <c r="S54" s="31">
        <v>1346</v>
      </c>
      <c r="T54" s="31">
        <v>485</v>
      </c>
      <c r="U54" s="31">
        <v>744</v>
      </c>
      <c r="V54" s="31">
        <v>16</v>
      </c>
      <c r="W54" s="31">
        <v>0</v>
      </c>
      <c r="X54" s="31">
        <v>0</v>
      </c>
      <c r="Y54" s="31">
        <v>146</v>
      </c>
      <c r="Z54" s="31">
        <v>4</v>
      </c>
      <c r="AA54" s="33">
        <v>260</v>
      </c>
      <c r="AB54" s="33">
        <v>3196</v>
      </c>
      <c r="AC54" s="33">
        <v>1201</v>
      </c>
      <c r="AD54" s="10" t="s">
        <v>19</v>
      </c>
    </row>
    <row r="55" spans="2:30" ht="11.1" customHeight="1" x14ac:dyDescent="0.25">
      <c r="B55" s="7" t="s">
        <v>70</v>
      </c>
      <c r="C55" s="8" t="s">
        <v>35</v>
      </c>
      <c r="D55" s="31">
        <v>236</v>
      </c>
      <c r="E55" s="31">
        <v>641</v>
      </c>
      <c r="F55" s="31">
        <v>236</v>
      </c>
      <c r="G55" s="31">
        <v>194</v>
      </c>
      <c r="H55" s="31">
        <v>188</v>
      </c>
      <c r="I55" s="31">
        <v>162</v>
      </c>
      <c r="J55" s="31">
        <v>174</v>
      </c>
      <c r="K55" s="31">
        <v>85</v>
      </c>
      <c r="L55" s="31">
        <v>831</v>
      </c>
      <c r="M55" s="31">
        <v>234</v>
      </c>
      <c r="N55" s="31">
        <v>219</v>
      </c>
      <c r="O55" s="31">
        <v>235</v>
      </c>
      <c r="P55" s="31">
        <v>110</v>
      </c>
      <c r="Q55" s="31">
        <v>279</v>
      </c>
      <c r="R55" s="31">
        <v>1114</v>
      </c>
      <c r="S55" s="31">
        <v>131</v>
      </c>
      <c r="T55" s="31">
        <v>180</v>
      </c>
      <c r="U55" s="31">
        <v>472</v>
      </c>
      <c r="V55" s="31">
        <v>280</v>
      </c>
      <c r="W55" s="31">
        <v>345</v>
      </c>
      <c r="X55" s="31">
        <v>11806</v>
      </c>
      <c r="Y55" s="31">
        <v>629</v>
      </c>
      <c r="Z55" s="31">
        <v>941</v>
      </c>
      <c r="AA55" s="33">
        <v>966</v>
      </c>
      <c r="AB55" s="33">
        <v>1129</v>
      </c>
      <c r="AC55" s="33">
        <v>583</v>
      </c>
      <c r="AD55" s="10" t="s">
        <v>19</v>
      </c>
    </row>
    <row r="56" spans="2:30" ht="11.1" customHeight="1" x14ac:dyDescent="0.25">
      <c r="B56" s="7" t="s">
        <v>13</v>
      </c>
      <c r="C56" s="8" t="s">
        <v>35</v>
      </c>
      <c r="D56" s="31">
        <v>3360</v>
      </c>
      <c r="E56" s="31">
        <v>7824</v>
      </c>
      <c r="F56" s="31">
        <v>3053</v>
      </c>
      <c r="G56" s="31">
        <v>3185</v>
      </c>
      <c r="H56" s="31">
        <v>2809</v>
      </c>
      <c r="I56" s="31">
        <v>6420</v>
      </c>
      <c r="J56" s="31">
        <v>7795</v>
      </c>
      <c r="K56" s="31">
        <v>6180</v>
      </c>
      <c r="L56" s="31">
        <v>7624</v>
      </c>
      <c r="M56" s="31">
        <v>4122</v>
      </c>
      <c r="N56" s="31">
        <v>3476</v>
      </c>
      <c r="O56" s="31">
        <v>2768</v>
      </c>
      <c r="P56" s="31">
        <v>2872</v>
      </c>
      <c r="Q56" s="31">
        <v>2836</v>
      </c>
      <c r="R56" s="31">
        <v>4241</v>
      </c>
      <c r="S56" s="31">
        <v>3751</v>
      </c>
      <c r="T56" s="31">
        <v>2643</v>
      </c>
      <c r="U56" s="31">
        <v>3065</v>
      </c>
      <c r="V56" s="31">
        <v>2056</v>
      </c>
      <c r="W56" s="31">
        <v>1930</v>
      </c>
      <c r="X56" s="31">
        <v>13096</v>
      </c>
      <c r="Y56" s="31">
        <v>1948</v>
      </c>
      <c r="Z56" s="31">
        <v>2201</v>
      </c>
      <c r="AA56" s="33">
        <v>2087</v>
      </c>
      <c r="AB56" s="33">
        <v>5206</v>
      </c>
      <c r="AC56" s="33">
        <v>2822</v>
      </c>
      <c r="AD56" s="10" t="s">
        <v>19</v>
      </c>
    </row>
    <row r="57" spans="2:30" ht="11.1" customHeight="1" x14ac:dyDescent="0.25">
      <c r="B57" s="343" t="s">
        <v>60</v>
      </c>
      <c r="C57" s="343"/>
      <c r="D57" s="343"/>
      <c r="E57" s="343"/>
      <c r="F57" s="343"/>
      <c r="G57" s="343"/>
      <c r="H57" s="343"/>
      <c r="I57" s="343"/>
      <c r="J57" s="343"/>
      <c r="K57" s="343"/>
      <c r="L57" s="343"/>
      <c r="M57" s="343"/>
      <c r="N57" s="343"/>
      <c r="O57" s="343"/>
      <c r="P57" s="343"/>
      <c r="Q57" s="343"/>
      <c r="R57" s="343"/>
      <c r="S57" s="343"/>
      <c r="T57" s="343"/>
      <c r="U57" s="368"/>
      <c r="V57" s="368"/>
      <c r="W57" s="368"/>
      <c r="X57" s="368"/>
      <c r="Y57" s="368"/>
      <c r="Z57" s="368"/>
      <c r="AA57" s="30"/>
      <c r="AB57" s="33"/>
      <c r="AC57" s="33"/>
      <c r="AD57" s="33"/>
    </row>
    <row r="58" spans="2:30" ht="11.1" customHeight="1" x14ac:dyDescent="0.25">
      <c r="B58" s="7" t="s">
        <v>44</v>
      </c>
      <c r="C58" s="8" t="s">
        <v>35</v>
      </c>
      <c r="D58" s="31">
        <v>385</v>
      </c>
      <c r="E58" s="31">
        <v>364</v>
      </c>
      <c r="F58" s="31">
        <v>485</v>
      </c>
      <c r="G58" s="31">
        <v>564</v>
      </c>
      <c r="H58" s="31">
        <v>407</v>
      </c>
      <c r="I58" s="31">
        <v>167</v>
      </c>
      <c r="J58" s="31">
        <v>369</v>
      </c>
      <c r="K58" s="31">
        <v>300</v>
      </c>
      <c r="L58" s="31">
        <v>115</v>
      </c>
      <c r="M58" s="31">
        <v>256</v>
      </c>
      <c r="N58" s="31">
        <v>339</v>
      </c>
      <c r="O58" s="31">
        <v>404</v>
      </c>
      <c r="P58" s="31">
        <v>65</v>
      </c>
      <c r="Q58" s="31">
        <v>189</v>
      </c>
      <c r="R58" s="31">
        <v>404</v>
      </c>
      <c r="S58" s="31">
        <v>101</v>
      </c>
      <c r="T58" s="31">
        <v>44</v>
      </c>
      <c r="U58" s="31">
        <v>89</v>
      </c>
      <c r="V58" s="31">
        <v>19</v>
      </c>
      <c r="W58" s="31">
        <v>78</v>
      </c>
      <c r="X58" s="31">
        <v>39</v>
      </c>
      <c r="Y58" s="31">
        <v>14</v>
      </c>
      <c r="Z58" s="31">
        <v>8</v>
      </c>
      <c r="AA58" s="33">
        <v>7</v>
      </c>
      <c r="AB58" s="33">
        <v>8</v>
      </c>
      <c r="AC58" s="33">
        <v>10</v>
      </c>
      <c r="AD58" s="10" t="s">
        <v>19</v>
      </c>
    </row>
    <row r="59" spans="2:30" ht="11.1" customHeight="1" x14ac:dyDescent="0.25">
      <c r="B59" s="7" t="s">
        <v>45</v>
      </c>
      <c r="C59" s="8" t="s">
        <v>35</v>
      </c>
      <c r="D59" s="31">
        <v>10</v>
      </c>
      <c r="E59" s="31">
        <v>9</v>
      </c>
      <c r="F59" s="31">
        <v>4</v>
      </c>
      <c r="G59" s="31">
        <v>3</v>
      </c>
      <c r="H59" s="31">
        <v>2</v>
      </c>
      <c r="I59" s="31">
        <v>2</v>
      </c>
      <c r="J59" s="31">
        <v>2</v>
      </c>
      <c r="K59" s="31">
        <v>2</v>
      </c>
      <c r="L59" s="31">
        <v>3</v>
      </c>
      <c r="M59" s="31">
        <v>5</v>
      </c>
      <c r="N59" s="31">
        <v>3</v>
      </c>
      <c r="O59" s="31">
        <v>0</v>
      </c>
      <c r="P59" s="31">
        <v>2</v>
      </c>
      <c r="Q59" s="31">
        <v>2</v>
      </c>
      <c r="R59" s="31">
        <v>2</v>
      </c>
      <c r="S59" s="31">
        <v>2</v>
      </c>
      <c r="T59" s="31">
        <v>2</v>
      </c>
      <c r="U59" s="31">
        <v>2</v>
      </c>
      <c r="V59" s="31">
        <v>2</v>
      </c>
      <c r="W59" s="31">
        <v>1</v>
      </c>
      <c r="X59" s="31">
        <v>2</v>
      </c>
      <c r="Y59" s="31">
        <v>2</v>
      </c>
      <c r="Z59" s="31">
        <v>2</v>
      </c>
      <c r="AA59" s="33">
        <v>0</v>
      </c>
      <c r="AB59" s="33">
        <v>0</v>
      </c>
      <c r="AC59" s="33">
        <v>0</v>
      </c>
      <c r="AD59" s="10" t="s">
        <v>19</v>
      </c>
    </row>
    <row r="60" spans="2:30" ht="11.1" customHeight="1" x14ac:dyDescent="0.25">
      <c r="B60" s="7" t="s">
        <v>46</v>
      </c>
      <c r="C60" s="8" t="s">
        <v>35</v>
      </c>
      <c r="D60" s="31">
        <v>102</v>
      </c>
      <c r="E60" s="31">
        <v>91</v>
      </c>
      <c r="F60" s="31">
        <v>81</v>
      </c>
      <c r="G60" s="31">
        <v>88</v>
      </c>
      <c r="H60" s="31">
        <v>92</v>
      </c>
      <c r="I60" s="31">
        <v>66</v>
      </c>
      <c r="J60" s="31">
        <v>86</v>
      </c>
      <c r="K60" s="31">
        <v>89</v>
      </c>
      <c r="L60" s="31">
        <v>50</v>
      </c>
      <c r="M60" s="31">
        <v>31</v>
      </c>
      <c r="N60" s="31">
        <v>63</v>
      </c>
      <c r="O60" s="31">
        <v>52</v>
      </c>
      <c r="P60" s="31">
        <v>23</v>
      </c>
      <c r="Q60" s="31">
        <v>55</v>
      </c>
      <c r="R60" s="31">
        <v>53</v>
      </c>
      <c r="S60" s="31">
        <v>38</v>
      </c>
      <c r="T60" s="31">
        <v>33</v>
      </c>
      <c r="U60" s="31">
        <v>22</v>
      </c>
      <c r="V60" s="31">
        <v>16</v>
      </c>
      <c r="W60" s="31">
        <v>10</v>
      </c>
      <c r="X60" s="31">
        <v>7</v>
      </c>
      <c r="Y60" s="31">
        <v>11</v>
      </c>
      <c r="Z60" s="31">
        <v>17</v>
      </c>
      <c r="AA60" s="33">
        <v>17</v>
      </c>
      <c r="AB60" s="33">
        <v>18</v>
      </c>
      <c r="AC60" s="33">
        <v>19</v>
      </c>
      <c r="AD60" s="10" t="s">
        <v>19</v>
      </c>
    </row>
    <row r="61" spans="2:30" ht="11.1" customHeight="1" x14ac:dyDescent="0.25">
      <c r="B61" s="7" t="s">
        <v>47</v>
      </c>
      <c r="C61" s="8" t="s">
        <v>35</v>
      </c>
      <c r="D61" s="31">
        <v>43</v>
      </c>
      <c r="E61" s="31">
        <v>34</v>
      </c>
      <c r="F61" s="31">
        <v>39</v>
      </c>
      <c r="G61" s="31">
        <v>52</v>
      </c>
      <c r="H61" s="31">
        <v>56</v>
      </c>
      <c r="I61" s="31">
        <v>46</v>
      </c>
      <c r="J61" s="31">
        <v>49</v>
      </c>
      <c r="K61" s="31">
        <v>56</v>
      </c>
      <c r="L61" s="31">
        <v>52</v>
      </c>
      <c r="M61" s="31">
        <v>53</v>
      </c>
      <c r="N61" s="31">
        <v>44</v>
      </c>
      <c r="O61" s="31">
        <v>87</v>
      </c>
      <c r="P61" s="31">
        <v>50</v>
      </c>
      <c r="Q61" s="31">
        <v>56</v>
      </c>
      <c r="R61" s="31">
        <v>52</v>
      </c>
      <c r="S61" s="31">
        <v>47</v>
      </c>
      <c r="T61" s="31">
        <v>44</v>
      </c>
      <c r="U61" s="31">
        <v>33</v>
      </c>
      <c r="V61" s="31">
        <v>33</v>
      </c>
      <c r="W61" s="31">
        <v>33</v>
      </c>
      <c r="X61" s="31">
        <v>39</v>
      </c>
      <c r="Y61" s="31">
        <v>33</v>
      </c>
      <c r="Z61" s="31">
        <v>29</v>
      </c>
      <c r="AA61" s="33">
        <v>35</v>
      </c>
      <c r="AB61" s="33">
        <v>42</v>
      </c>
      <c r="AC61" s="33">
        <v>43</v>
      </c>
      <c r="AD61" s="10" t="s">
        <v>19</v>
      </c>
    </row>
    <row r="62" spans="2:30" ht="11.1" customHeight="1" x14ac:dyDescent="0.25">
      <c r="B62" s="7" t="s">
        <v>48</v>
      </c>
      <c r="C62" s="8" t="s">
        <v>35</v>
      </c>
      <c r="D62" s="31">
        <v>22</v>
      </c>
      <c r="E62" s="31">
        <v>16</v>
      </c>
      <c r="F62" s="31">
        <v>13</v>
      </c>
      <c r="G62" s="31">
        <v>15</v>
      </c>
      <c r="H62" s="31">
        <v>15</v>
      </c>
      <c r="I62" s="31">
        <v>17</v>
      </c>
      <c r="J62" s="31">
        <v>14</v>
      </c>
      <c r="K62" s="31">
        <v>11</v>
      </c>
      <c r="L62" s="31">
        <v>11</v>
      </c>
      <c r="M62" s="31">
        <v>6</v>
      </c>
      <c r="N62" s="31">
        <v>5</v>
      </c>
      <c r="O62" s="31">
        <v>7</v>
      </c>
      <c r="P62" s="31">
        <v>2</v>
      </c>
      <c r="Q62" s="31">
        <v>3</v>
      </c>
      <c r="R62" s="31">
        <v>1</v>
      </c>
      <c r="S62" s="31">
        <v>1</v>
      </c>
      <c r="T62" s="31">
        <v>1</v>
      </c>
      <c r="U62" s="31">
        <v>3</v>
      </c>
      <c r="V62" s="31">
        <v>2</v>
      </c>
      <c r="W62" s="31">
        <v>3</v>
      </c>
      <c r="X62" s="31">
        <v>3</v>
      </c>
      <c r="Y62" s="31">
        <v>2</v>
      </c>
      <c r="Z62" s="31">
        <v>4</v>
      </c>
      <c r="AA62" s="33">
        <v>3</v>
      </c>
      <c r="AB62" s="33">
        <v>2</v>
      </c>
      <c r="AC62" s="33">
        <v>1</v>
      </c>
      <c r="AD62" s="10" t="s">
        <v>19</v>
      </c>
    </row>
    <row r="63" spans="2:30" ht="11.1" customHeight="1" x14ac:dyDescent="0.25">
      <c r="B63" s="7" t="s">
        <v>49</v>
      </c>
      <c r="C63" s="8" t="s">
        <v>35</v>
      </c>
      <c r="D63" s="31">
        <v>15</v>
      </c>
      <c r="E63" s="31">
        <v>17</v>
      </c>
      <c r="F63" s="31">
        <v>17</v>
      </c>
      <c r="G63" s="31">
        <v>18</v>
      </c>
      <c r="H63" s="31">
        <v>16</v>
      </c>
      <c r="I63" s="31">
        <v>10</v>
      </c>
      <c r="J63" s="31">
        <v>8</v>
      </c>
      <c r="K63" s="31">
        <v>6</v>
      </c>
      <c r="L63" s="31">
        <v>9</v>
      </c>
      <c r="M63" s="31">
        <v>2</v>
      </c>
      <c r="N63" s="31">
        <v>2</v>
      </c>
      <c r="O63" s="31">
        <v>3</v>
      </c>
      <c r="P63" s="31">
        <v>1</v>
      </c>
      <c r="Q63" s="31">
        <v>1</v>
      </c>
      <c r="R63" s="31">
        <v>2</v>
      </c>
      <c r="S63" s="31">
        <v>1</v>
      </c>
      <c r="T63" s="31">
        <v>1</v>
      </c>
      <c r="U63" s="31">
        <v>0</v>
      </c>
      <c r="V63" s="31">
        <v>2</v>
      </c>
      <c r="W63" s="31">
        <v>1</v>
      </c>
      <c r="X63" s="31">
        <v>0</v>
      </c>
      <c r="Y63" s="31">
        <v>1</v>
      </c>
      <c r="Z63" s="31">
        <v>2</v>
      </c>
      <c r="AA63" s="33">
        <v>1</v>
      </c>
      <c r="AB63" s="33">
        <v>1</v>
      </c>
      <c r="AC63" s="33">
        <v>1</v>
      </c>
      <c r="AD63" s="10" t="s">
        <v>19</v>
      </c>
    </row>
    <row r="64" spans="2:30" ht="11.1" customHeight="1" x14ac:dyDescent="0.25">
      <c r="B64" s="7" t="s">
        <v>50</v>
      </c>
      <c r="C64" s="8" t="s">
        <v>35</v>
      </c>
      <c r="D64" s="31">
        <v>51</v>
      </c>
      <c r="E64" s="31">
        <v>35</v>
      </c>
      <c r="F64" s="31">
        <v>26</v>
      </c>
      <c r="G64" s="31">
        <v>24</v>
      </c>
      <c r="H64" s="31">
        <v>21</v>
      </c>
      <c r="I64" s="31">
        <v>23</v>
      </c>
      <c r="J64" s="31">
        <v>18</v>
      </c>
      <c r="K64" s="31">
        <v>23</v>
      </c>
      <c r="L64" s="31">
        <v>21</v>
      </c>
      <c r="M64" s="31">
        <v>22</v>
      </c>
      <c r="N64" s="31">
        <v>17</v>
      </c>
      <c r="O64" s="31">
        <v>14</v>
      </c>
      <c r="P64" s="31">
        <v>7</v>
      </c>
      <c r="Q64" s="31">
        <v>9</v>
      </c>
      <c r="R64" s="31">
        <v>9</v>
      </c>
      <c r="S64" s="31">
        <v>8</v>
      </c>
      <c r="T64" s="31">
        <v>7</v>
      </c>
      <c r="U64" s="31">
        <v>7</v>
      </c>
      <c r="V64" s="31">
        <v>6</v>
      </c>
      <c r="W64" s="31">
        <v>4</v>
      </c>
      <c r="X64" s="31">
        <v>6</v>
      </c>
      <c r="Y64" s="31">
        <v>12</v>
      </c>
      <c r="Z64" s="31">
        <v>6</v>
      </c>
      <c r="AA64" s="33">
        <v>3</v>
      </c>
      <c r="AB64" s="33">
        <v>1</v>
      </c>
      <c r="AC64" s="33">
        <v>2</v>
      </c>
      <c r="AD64" s="10" t="s">
        <v>19</v>
      </c>
    </row>
    <row r="65" spans="2:30" ht="11.1" customHeight="1" x14ac:dyDescent="0.25">
      <c r="B65" s="7" t="s">
        <v>51</v>
      </c>
      <c r="C65" s="8" t="s">
        <v>35</v>
      </c>
      <c r="D65" s="31">
        <v>97</v>
      </c>
      <c r="E65" s="31">
        <v>88</v>
      </c>
      <c r="F65" s="31">
        <v>42</v>
      </c>
      <c r="G65" s="31">
        <v>40</v>
      </c>
      <c r="H65" s="31">
        <v>38</v>
      </c>
      <c r="I65" s="31">
        <v>38</v>
      </c>
      <c r="J65" s="31">
        <v>26</v>
      </c>
      <c r="K65" s="31">
        <v>20</v>
      </c>
      <c r="L65" s="31">
        <v>20</v>
      </c>
      <c r="M65" s="31">
        <v>13</v>
      </c>
      <c r="N65" s="31">
        <v>11</v>
      </c>
      <c r="O65" s="31">
        <v>14</v>
      </c>
      <c r="P65" s="31">
        <v>7</v>
      </c>
      <c r="Q65" s="31">
        <v>16</v>
      </c>
      <c r="R65" s="31">
        <v>12</v>
      </c>
      <c r="S65" s="31">
        <v>9</v>
      </c>
      <c r="T65" s="31">
        <v>10</v>
      </c>
      <c r="U65" s="31">
        <v>6</v>
      </c>
      <c r="V65" s="31">
        <v>9</v>
      </c>
      <c r="W65" s="31">
        <v>7</v>
      </c>
      <c r="X65" s="31">
        <v>5</v>
      </c>
      <c r="Y65" s="31">
        <v>7</v>
      </c>
      <c r="Z65" s="31">
        <v>7</v>
      </c>
      <c r="AA65" s="33">
        <v>4</v>
      </c>
      <c r="AB65" s="33">
        <v>3</v>
      </c>
      <c r="AC65" s="33">
        <v>3</v>
      </c>
      <c r="AD65" s="10" t="s">
        <v>19</v>
      </c>
    </row>
    <row r="66" spans="2:30" ht="11.1" customHeight="1" x14ac:dyDescent="0.25">
      <c r="B66" s="7" t="s">
        <v>52</v>
      </c>
      <c r="C66" s="8" t="s">
        <v>35</v>
      </c>
      <c r="D66" s="31">
        <v>31</v>
      </c>
      <c r="E66" s="31">
        <v>32</v>
      </c>
      <c r="F66" s="31">
        <v>43</v>
      </c>
      <c r="G66" s="31">
        <v>40</v>
      </c>
      <c r="H66" s="31">
        <v>40</v>
      </c>
      <c r="I66" s="31">
        <v>55</v>
      </c>
      <c r="J66" s="31">
        <v>38</v>
      </c>
      <c r="K66" s="31">
        <v>28</v>
      </c>
      <c r="L66" s="31">
        <v>40</v>
      </c>
      <c r="M66" s="31">
        <v>40</v>
      </c>
      <c r="N66" s="31">
        <v>36</v>
      </c>
      <c r="O66" s="31">
        <v>36</v>
      </c>
      <c r="P66" s="31">
        <v>34</v>
      </c>
      <c r="Q66" s="31">
        <v>16</v>
      </c>
      <c r="R66" s="31">
        <v>22</v>
      </c>
      <c r="S66" s="31">
        <v>37</v>
      </c>
      <c r="T66" s="31">
        <v>3</v>
      </c>
      <c r="U66" s="31">
        <v>23</v>
      </c>
      <c r="V66" s="31">
        <v>31</v>
      </c>
      <c r="W66" s="31">
        <v>23</v>
      </c>
      <c r="X66" s="31">
        <v>45</v>
      </c>
      <c r="Y66" s="31">
        <v>45</v>
      </c>
      <c r="Z66" s="31">
        <v>54</v>
      </c>
      <c r="AA66" s="33">
        <v>0</v>
      </c>
      <c r="AB66" s="33">
        <v>39</v>
      </c>
      <c r="AC66" s="33">
        <v>35</v>
      </c>
      <c r="AD66" s="10" t="s">
        <v>19</v>
      </c>
    </row>
    <row r="67" spans="2:30" ht="11.1" customHeight="1" x14ac:dyDescent="0.25">
      <c r="B67" s="7" t="s">
        <v>53</v>
      </c>
      <c r="C67" s="8" t="s">
        <v>35</v>
      </c>
      <c r="D67" s="31">
        <v>90</v>
      </c>
      <c r="E67" s="31">
        <v>85</v>
      </c>
      <c r="F67" s="31">
        <v>88</v>
      </c>
      <c r="G67" s="31">
        <v>90</v>
      </c>
      <c r="H67" s="31">
        <v>72</v>
      </c>
      <c r="I67" s="31">
        <v>75</v>
      </c>
      <c r="J67" s="31">
        <v>99</v>
      </c>
      <c r="K67" s="31">
        <v>92</v>
      </c>
      <c r="L67" s="31">
        <v>113</v>
      </c>
      <c r="M67" s="31">
        <v>88</v>
      </c>
      <c r="N67" s="31">
        <v>68</v>
      </c>
      <c r="O67" s="31">
        <v>91</v>
      </c>
      <c r="P67" s="31">
        <v>49</v>
      </c>
      <c r="Q67" s="31">
        <v>66</v>
      </c>
      <c r="R67" s="31">
        <v>63</v>
      </c>
      <c r="S67" s="31">
        <v>66</v>
      </c>
      <c r="T67" s="31">
        <v>83</v>
      </c>
      <c r="U67" s="31">
        <v>71</v>
      </c>
      <c r="V67" s="31">
        <v>80</v>
      </c>
      <c r="W67" s="31">
        <v>84</v>
      </c>
      <c r="X67" s="31">
        <v>82</v>
      </c>
      <c r="Y67" s="31">
        <v>53</v>
      </c>
      <c r="Z67" s="31">
        <v>33</v>
      </c>
      <c r="AA67" s="33">
        <v>41</v>
      </c>
      <c r="AB67" s="33">
        <v>42</v>
      </c>
      <c r="AC67" s="33">
        <v>39</v>
      </c>
      <c r="AD67" s="10" t="s">
        <v>19</v>
      </c>
    </row>
    <row r="68" spans="2:30" ht="11.1" customHeight="1" x14ac:dyDescent="0.25">
      <c r="B68" s="7" t="s">
        <v>54</v>
      </c>
      <c r="C68" s="8" t="s">
        <v>35</v>
      </c>
      <c r="D68" s="31">
        <v>167</v>
      </c>
      <c r="E68" s="31">
        <v>147</v>
      </c>
      <c r="F68" s="31">
        <v>92</v>
      </c>
      <c r="G68" s="31">
        <v>70</v>
      </c>
      <c r="H68" s="31">
        <v>68</v>
      </c>
      <c r="I68" s="31">
        <v>60</v>
      </c>
      <c r="J68" s="31">
        <v>47</v>
      </c>
      <c r="K68" s="31">
        <v>25</v>
      </c>
      <c r="L68" s="31">
        <v>26</v>
      </c>
      <c r="M68" s="31">
        <v>22</v>
      </c>
      <c r="N68" s="31">
        <v>16</v>
      </c>
      <c r="O68" s="31">
        <v>17</v>
      </c>
      <c r="P68" s="31">
        <v>7</v>
      </c>
      <c r="Q68" s="31">
        <v>12</v>
      </c>
      <c r="R68" s="31">
        <v>11</v>
      </c>
      <c r="S68" s="31">
        <v>9</v>
      </c>
      <c r="T68" s="31">
        <v>11</v>
      </c>
      <c r="U68" s="31">
        <v>12</v>
      </c>
      <c r="V68" s="31">
        <v>14</v>
      </c>
      <c r="W68" s="31">
        <v>11</v>
      </c>
      <c r="X68" s="31">
        <v>13</v>
      </c>
      <c r="Y68" s="31">
        <v>12</v>
      </c>
      <c r="Z68" s="31">
        <v>17</v>
      </c>
      <c r="AA68" s="33">
        <v>13</v>
      </c>
      <c r="AB68" s="33">
        <v>14</v>
      </c>
      <c r="AC68" s="33">
        <v>16</v>
      </c>
      <c r="AD68" s="10" t="s">
        <v>19</v>
      </c>
    </row>
    <row r="69" spans="2:30" ht="11.1" customHeight="1" x14ac:dyDescent="0.25">
      <c r="B69" s="7" t="s">
        <v>529</v>
      </c>
      <c r="C69" s="8" t="s">
        <v>35</v>
      </c>
      <c r="D69" s="31">
        <v>9621</v>
      </c>
      <c r="E69" s="31">
        <v>395</v>
      </c>
      <c r="F69" s="31">
        <v>211</v>
      </c>
      <c r="G69" s="31">
        <v>359</v>
      </c>
      <c r="H69" s="31">
        <v>267</v>
      </c>
      <c r="I69" s="31">
        <v>276</v>
      </c>
      <c r="J69" s="31">
        <v>351</v>
      </c>
      <c r="K69" s="31">
        <v>287</v>
      </c>
      <c r="L69" s="31">
        <v>191</v>
      </c>
      <c r="M69" s="31">
        <v>773</v>
      </c>
      <c r="N69" s="31">
        <v>1617</v>
      </c>
      <c r="O69" s="31">
        <v>1248</v>
      </c>
      <c r="P69" s="31">
        <v>132</v>
      </c>
      <c r="Q69" s="31">
        <v>233</v>
      </c>
      <c r="R69" s="31">
        <v>1248</v>
      </c>
      <c r="S69" s="31">
        <v>85</v>
      </c>
      <c r="T69" s="31">
        <v>93</v>
      </c>
      <c r="U69" s="31">
        <v>101</v>
      </c>
      <c r="V69" s="31">
        <v>159</v>
      </c>
      <c r="W69" s="31">
        <v>123</v>
      </c>
      <c r="X69" s="31">
        <v>57</v>
      </c>
      <c r="Y69" s="31">
        <v>55</v>
      </c>
      <c r="Z69" s="31">
        <v>93</v>
      </c>
      <c r="AA69" s="33">
        <v>123</v>
      </c>
      <c r="AB69" s="33">
        <v>45</v>
      </c>
      <c r="AC69" s="33">
        <v>47</v>
      </c>
      <c r="AD69" s="10" t="s">
        <v>19</v>
      </c>
    </row>
    <row r="70" spans="2:30" ht="11.1" customHeight="1" x14ac:dyDescent="0.25">
      <c r="B70" s="7" t="s">
        <v>13</v>
      </c>
      <c r="C70" s="8" t="s">
        <v>35</v>
      </c>
      <c r="D70" s="31">
        <v>10632</v>
      </c>
      <c r="E70" s="31">
        <v>1312</v>
      </c>
      <c r="F70" s="31">
        <v>1141</v>
      </c>
      <c r="G70" s="31">
        <v>1362</v>
      </c>
      <c r="H70" s="31">
        <v>1094</v>
      </c>
      <c r="I70" s="31">
        <v>836</v>
      </c>
      <c r="J70" s="31">
        <v>1106</v>
      </c>
      <c r="K70" s="31">
        <v>939</v>
      </c>
      <c r="L70" s="31">
        <v>650</v>
      </c>
      <c r="M70" s="31">
        <v>1311</v>
      </c>
      <c r="N70" s="31">
        <v>2220</v>
      </c>
      <c r="O70" s="31">
        <v>1971</v>
      </c>
      <c r="P70" s="31">
        <v>379</v>
      </c>
      <c r="Q70" s="31">
        <v>659</v>
      </c>
      <c r="R70" s="31">
        <v>1879</v>
      </c>
      <c r="S70" s="31">
        <v>405</v>
      </c>
      <c r="T70" s="31">
        <v>331</v>
      </c>
      <c r="U70" s="31">
        <v>370</v>
      </c>
      <c r="V70" s="31">
        <v>373</v>
      </c>
      <c r="W70" s="31">
        <v>377</v>
      </c>
      <c r="X70" s="31">
        <v>297</v>
      </c>
      <c r="Y70" s="31">
        <v>248</v>
      </c>
      <c r="Z70" s="31">
        <v>271</v>
      </c>
      <c r="AA70" s="33">
        <v>246</v>
      </c>
      <c r="AB70" s="33">
        <v>216</v>
      </c>
      <c r="AC70" s="33">
        <v>214</v>
      </c>
      <c r="AD70" s="10" t="s">
        <v>19</v>
      </c>
    </row>
    <row r="71" spans="2:30" ht="11.1" customHeight="1" x14ac:dyDescent="0.25">
      <c r="B71" s="34" t="s">
        <v>61</v>
      </c>
      <c r="C71" s="8" t="s">
        <v>35</v>
      </c>
      <c r="D71" s="31">
        <v>127</v>
      </c>
      <c r="E71" s="31">
        <v>179</v>
      </c>
      <c r="F71" s="31">
        <v>259</v>
      </c>
      <c r="G71" s="31">
        <v>146</v>
      </c>
      <c r="H71" s="31">
        <v>153</v>
      </c>
      <c r="I71" s="31">
        <v>65</v>
      </c>
      <c r="J71" s="31">
        <v>0</v>
      </c>
      <c r="K71" s="31">
        <v>0</v>
      </c>
      <c r="L71" s="31">
        <v>17</v>
      </c>
      <c r="M71" s="31">
        <v>0</v>
      </c>
      <c r="N71" s="31">
        <v>0</v>
      </c>
      <c r="O71" s="31">
        <v>76</v>
      </c>
      <c r="P71" s="31">
        <v>101</v>
      </c>
      <c r="Q71" s="31">
        <v>101</v>
      </c>
      <c r="R71" s="31">
        <v>76</v>
      </c>
      <c r="S71" s="31">
        <v>130</v>
      </c>
      <c r="T71" s="31">
        <v>105</v>
      </c>
      <c r="U71" s="31">
        <v>81</v>
      </c>
      <c r="V71" s="31">
        <v>82</v>
      </c>
      <c r="W71" s="31">
        <v>1839</v>
      </c>
      <c r="X71" s="31">
        <v>1312</v>
      </c>
      <c r="Y71" s="31">
        <v>1294</v>
      </c>
      <c r="Z71" s="31">
        <v>1120</v>
      </c>
      <c r="AA71" s="33">
        <v>1599</v>
      </c>
      <c r="AB71" s="33">
        <v>2143</v>
      </c>
      <c r="AC71" s="33">
        <v>1928</v>
      </c>
      <c r="AD71" s="10" t="s">
        <v>19</v>
      </c>
    </row>
    <row r="72" spans="2:30" ht="11.1" customHeight="1" x14ac:dyDescent="0.25">
      <c r="B72" s="42" t="s">
        <v>55</v>
      </c>
      <c r="C72" s="22" t="s">
        <v>35</v>
      </c>
      <c r="D72" s="43">
        <v>15720</v>
      </c>
      <c r="E72" s="43">
        <v>10856</v>
      </c>
      <c r="F72" s="43">
        <v>6071</v>
      </c>
      <c r="G72" s="43">
        <v>6320</v>
      </c>
      <c r="H72" s="43">
        <v>5535</v>
      </c>
      <c r="I72" s="43">
        <v>8987</v>
      </c>
      <c r="J72" s="43">
        <v>10570</v>
      </c>
      <c r="K72" s="43">
        <v>8665</v>
      </c>
      <c r="L72" s="43">
        <v>9853</v>
      </c>
      <c r="M72" s="43">
        <v>6917</v>
      </c>
      <c r="N72" s="43">
        <v>7163</v>
      </c>
      <c r="O72" s="43">
        <v>6173</v>
      </c>
      <c r="P72" s="43">
        <v>4662</v>
      </c>
      <c r="Q72" s="43">
        <v>4732</v>
      </c>
      <c r="R72" s="43">
        <v>7338</v>
      </c>
      <c r="S72" s="43">
        <v>5476</v>
      </c>
      <c r="T72" s="43">
        <v>4139</v>
      </c>
      <c r="U72" s="43">
        <v>4680</v>
      </c>
      <c r="V72" s="43">
        <v>3620</v>
      </c>
      <c r="W72" s="43">
        <v>5314</v>
      </c>
      <c r="X72" s="43">
        <v>15733</v>
      </c>
      <c r="Y72" s="43">
        <v>4396</v>
      </c>
      <c r="Z72" s="43">
        <v>4765</v>
      </c>
      <c r="AA72" s="33">
        <v>5001</v>
      </c>
      <c r="AB72" s="33">
        <v>8628</v>
      </c>
      <c r="AC72" s="33">
        <v>6035</v>
      </c>
      <c r="AD72" s="10" t="s">
        <v>19</v>
      </c>
    </row>
    <row r="73" spans="2:30" ht="11.1" customHeight="1" x14ac:dyDescent="0.25">
      <c r="B73" s="343" t="s">
        <v>62</v>
      </c>
      <c r="C73" s="343"/>
      <c r="D73" s="343"/>
      <c r="E73" s="343"/>
      <c r="F73" s="343"/>
      <c r="G73" s="343"/>
      <c r="H73" s="343"/>
      <c r="I73" s="343"/>
      <c r="J73" s="343"/>
      <c r="K73" s="343"/>
      <c r="L73" s="343"/>
      <c r="M73" s="343"/>
      <c r="N73" s="343"/>
      <c r="O73" s="343"/>
      <c r="P73" s="343"/>
      <c r="Q73" s="343"/>
      <c r="R73" s="343"/>
      <c r="S73" s="343"/>
      <c r="T73" s="343"/>
      <c r="U73" s="368"/>
      <c r="V73" s="368"/>
      <c r="W73" s="368"/>
      <c r="X73" s="368"/>
      <c r="Y73" s="368"/>
      <c r="Z73" s="368"/>
      <c r="AA73" s="30"/>
      <c r="AB73" s="33"/>
      <c r="AC73" s="33"/>
      <c r="AD73" s="33"/>
    </row>
    <row r="74" spans="2:30" ht="11.1" customHeight="1" x14ac:dyDescent="0.25">
      <c r="B74" s="7" t="s">
        <v>63</v>
      </c>
      <c r="C74" s="8" t="s">
        <v>35</v>
      </c>
      <c r="D74" s="31">
        <v>9195</v>
      </c>
      <c r="E74" s="31">
        <v>10907</v>
      </c>
      <c r="F74" s="31">
        <v>12724</v>
      </c>
      <c r="G74" s="31">
        <v>14292</v>
      </c>
      <c r="H74" s="31">
        <v>13603</v>
      </c>
      <c r="I74" s="31">
        <v>14828</v>
      </c>
      <c r="J74" s="31">
        <v>15148</v>
      </c>
      <c r="K74" s="31">
        <v>19219</v>
      </c>
      <c r="L74" s="31">
        <v>23975</v>
      </c>
      <c r="M74" s="31">
        <v>24428</v>
      </c>
      <c r="N74" s="31">
        <v>29016</v>
      </c>
      <c r="O74" s="31">
        <v>30950</v>
      </c>
      <c r="P74" s="31">
        <v>35685</v>
      </c>
      <c r="Q74" s="31">
        <v>43249</v>
      </c>
      <c r="R74" s="31">
        <v>41762</v>
      </c>
      <c r="S74" s="31">
        <v>40405</v>
      </c>
      <c r="T74" s="31">
        <v>47184</v>
      </c>
      <c r="U74" s="31">
        <v>54772</v>
      </c>
      <c r="V74" s="31">
        <v>51298</v>
      </c>
      <c r="W74" s="31">
        <v>60048</v>
      </c>
      <c r="X74" s="31">
        <v>56989</v>
      </c>
      <c r="Y74" s="31">
        <v>65800</v>
      </c>
      <c r="Z74" s="31">
        <v>83056</v>
      </c>
      <c r="AA74" s="33">
        <v>77948</v>
      </c>
      <c r="AB74" s="33">
        <v>74655</v>
      </c>
      <c r="AC74" s="33">
        <v>69979</v>
      </c>
      <c r="AD74" s="10" t="s">
        <v>19</v>
      </c>
    </row>
    <row r="75" spans="2:30" ht="11.1" customHeight="1" x14ac:dyDescent="0.25">
      <c r="B75" s="7" t="s">
        <v>64</v>
      </c>
      <c r="C75" s="8" t="s">
        <v>35</v>
      </c>
      <c r="D75" s="31">
        <v>2202</v>
      </c>
      <c r="E75" s="31">
        <v>2493</v>
      </c>
      <c r="F75" s="31">
        <v>2272</v>
      </c>
      <c r="G75" s="31">
        <v>2188</v>
      </c>
      <c r="H75" s="31">
        <v>2228</v>
      </c>
      <c r="I75" s="31">
        <v>2456</v>
      </c>
      <c r="J75" s="31">
        <v>2465</v>
      </c>
      <c r="K75" s="31">
        <v>2389</v>
      </c>
      <c r="L75" s="31">
        <v>3320</v>
      </c>
      <c r="M75" s="31">
        <v>3588</v>
      </c>
      <c r="N75" s="31">
        <v>3689</v>
      </c>
      <c r="O75" s="31">
        <v>3848</v>
      </c>
      <c r="P75" s="31">
        <v>3890</v>
      </c>
      <c r="Q75" s="31">
        <v>3901</v>
      </c>
      <c r="R75" s="31">
        <v>3301</v>
      </c>
      <c r="S75" s="31">
        <v>3386</v>
      </c>
      <c r="T75" s="31">
        <v>3366</v>
      </c>
      <c r="U75" s="31">
        <v>3029</v>
      </c>
      <c r="V75" s="31">
        <v>3004</v>
      </c>
      <c r="W75" s="31">
        <v>2976</v>
      </c>
      <c r="X75" s="31">
        <v>3098</v>
      </c>
      <c r="Y75" s="31">
        <v>2883</v>
      </c>
      <c r="Z75" s="31">
        <v>3182</v>
      </c>
      <c r="AA75" s="33">
        <v>3598</v>
      </c>
      <c r="AB75" s="33">
        <v>3325</v>
      </c>
      <c r="AC75" s="33">
        <v>3123</v>
      </c>
      <c r="AD75" s="10" t="s">
        <v>19</v>
      </c>
    </row>
    <row r="76" spans="2:30" ht="11.1" customHeight="1" x14ac:dyDescent="0.25">
      <c r="B76" s="7" t="s">
        <v>57</v>
      </c>
      <c r="C76" s="8" t="s">
        <v>35</v>
      </c>
      <c r="D76" s="31">
        <v>236</v>
      </c>
      <c r="E76" s="31">
        <v>239</v>
      </c>
      <c r="F76" s="31">
        <v>216</v>
      </c>
      <c r="G76" s="31">
        <v>217</v>
      </c>
      <c r="H76" s="31">
        <v>309</v>
      </c>
      <c r="I76" s="31">
        <v>357</v>
      </c>
      <c r="J76" s="31">
        <v>696</v>
      </c>
      <c r="K76" s="31">
        <v>988</v>
      </c>
      <c r="L76" s="31">
        <v>693</v>
      </c>
      <c r="M76" s="31">
        <v>746</v>
      </c>
      <c r="N76" s="31">
        <v>1087</v>
      </c>
      <c r="O76" s="31">
        <v>982</v>
      </c>
      <c r="P76" s="31">
        <v>566</v>
      </c>
      <c r="Q76" s="31">
        <v>1216</v>
      </c>
      <c r="R76" s="31">
        <v>1041</v>
      </c>
      <c r="S76" s="31">
        <v>749</v>
      </c>
      <c r="T76" s="31">
        <v>941</v>
      </c>
      <c r="U76" s="31">
        <v>575</v>
      </c>
      <c r="V76" s="31">
        <v>729</v>
      </c>
      <c r="W76" s="31">
        <v>602</v>
      </c>
      <c r="X76" s="31">
        <v>744</v>
      </c>
      <c r="Y76" s="31">
        <v>572</v>
      </c>
      <c r="Z76" s="31">
        <v>481</v>
      </c>
      <c r="AA76" s="33">
        <v>60</v>
      </c>
      <c r="AB76" s="33">
        <v>23</v>
      </c>
      <c r="AC76" s="33">
        <v>21</v>
      </c>
      <c r="AD76" s="10" t="s">
        <v>19</v>
      </c>
    </row>
    <row r="77" spans="2:30" ht="11.1" customHeight="1" x14ac:dyDescent="0.25">
      <c r="B77" s="7" t="s">
        <v>41</v>
      </c>
      <c r="C77" s="8" t="s">
        <v>35</v>
      </c>
      <c r="D77" s="31" t="s">
        <v>19</v>
      </c>
      <c r="E77" s="31" t="s">
        <v>19</v>
      </c>
      <c r="F77" s="31" t="s">
        <v>19</v>
      </c>
      <c r="G77" s="31" t="s">
        <v>19</v>
      </c>
      <c r="H77" s="31" t="s">
        <v>19</v>
      </c>
      <c r="I77" s="31">
        <v>43</v>
      </c>
      <c r="J77" s="31">
        <v>89</v>
      </c>
      <c r="K77" s="31">
        <v>95</v>
      </c>
      <c r="L77" s="31">
        <v>152</v>
      </c>
      <c r="M77" s="31">
        <v>171</v>
      </c>
      <c r="N77" s="31">
        <v>245</v>
      </c>
      <c r="O77" s="31">
        <v>170</v>
      </c>
      <c r="P77" s="31">
        <v>173</v>
      </c>
      <c r="Q77" s="31">
        <v>97</v>
      </c>
      <c r="R77" s="31">
        <v>123</v>
      </c>
      <c r="S77" s="31">
        <v>64</v>
      </c>
      <c r="T77" s="31">
        <v>80</v>
      </c>
      <c r="U77" s="31">
        <v>81</v>
      </c>
      <c r="V77" s="31">
        <v>87</v>
      </c>
      <c r="W77" s="31">
        <v>103</v>
      </c>
      <c r="X77" s="31">
        <v>183</v>
      </c>
      <c r="Y77" s="31">
        <v>264</v>
      </c>
      <c r="Z77" s="31">
        <v>310</v>
      </c>
      <c r="AA77" s="33">
        <v>287</v>
      </c>
      <c r="AB77" s="33">
        <v>245</v>
      </c>
      <c r="AC77" s="33">
        <v>232</v>
      </c>
      <c r="AD77" s="10" t="s">
        <v>19</v>
      </c>
    </row>
    <row r="78" spans="2:30" ht="11.1" customHeight="1" x14ac:dyDescent="0.25">
      <c r="B78" s="7" t="s">
        <v>527</v>
      </c>
      <c r="C78" s="8" t="s">
        <v>35</v>
      </c>
      <c r="D78" s="31" t="s">
        <v>19</v>
      </c>
      <c r="E78" s="31" t="s">
        <v>19</v>
      </c>
      <c r="F78" s="31" t="s">
        <v>19</v>
      </c>
      <c r="G78" s="31" t="s">
        <v>19</v>
      </c>
      <c r="H78" s="31" t="s">
        <v>19</v>
      </c>
      <c r="I78" s="31" t="s">
        <v>19</v>
      </c>
      <c r="J78" s="31" t="s">
        <v>19</v>
      </c>
      <c r="K78" s="31" t="s">
        <v>19</v>
      </c>
      <c r="L78" s="31" t="s">
        <v>19</v>
      </c>
      <c r="M78" s="31" t="s">
        <v>19</v>
      </c>
      <c r="N78" s="31" t="s">
        <v>19</v>
      </c>
      <c r="O78" s="31" t="s">
        <v>19</v>
      </c>
      <c r="P78" s="31" t="s">
        <v>19</v>
      </c>
      <c r="Q78" s="31" t="s">
        <v>19</v>
      </c>
      <c r="R78" s="31" t="s">
        <v>19</v>
      </c>
      <c r="S78" s="31" t="s">
        <v>19</v>
      </c>
      <c r="T78" s="31" t="s">
        <v>19</v>
      </c>
      <c r="U78" s="31" t="s">
        <v>19</v>
      </c>
      <c r="V78" s="31" t="s">
        <v>19</v>
      </c>
      <c r="W78" s="31" t="s">
        <v>19</v>
      </c>
      <c r="X78" s="31" t="s">
        <v>19</v>
      </c>
      <c r="Y78" s="31" t="s">
        <v>19</v>
      </c>
      <c r="Z78" s="31" t="s">
        <v>19</v>
      </c>
      <c r="AA78" s="33" t="s">
        <v>19</v>
      </c>
      <c r="AB78" s="33" t="s">
        <v>19</v>
      </c>
      <c r="AC78" s="33" t="s">
        <v>19</v>
      </c>
      <c r="AD78" s="10" t="s">
        <v>19</v>
      </c>
    </row>
    <row r="79" spans="2:30" ht="11.1" customHeight="1" x14ac:dyDescent="0.25">
      <c r="B79" s="21" t="s">
        <v>13</v>
      </c>
      <c r="C79" s="22" t="s">
        <v>35</v>
      </c>
      <c r="D79" s="43">
        <v>11633</v>
      </c>
      <c r="E79" s="43">
        <v>13639</v>
      </c>
      <c r="F79" s="43">
        <v>15211</v>
      </c>
      <c r="G79" s="43">
        <v>16697</v>
      </c>
      <c r="H79" s="43">
        <v>16140</v>
      </c>
      <c r="I79" s="43">
        <v>17684</v>
      </c>
      <c r="J79" s="43">
        <v>18398</v>
      </c>
      <c r="K79" s="43">
        <v>22691</v>
      </c>
      <c r="L79" s="43">
        <v>28139</v>
      </c>
      <c r="M79" s="43">
        <v>28933</v>
      </c>
      <c r="N79" s="43">
        <v>34037</v>
      </c>
      <c r="O79" s="43">
        <v>35950</v>
      </c>
      <c r="P79" s="43">
        <v>40314</v>
      </c>
      <c r="Q79" s="43">
        <v>48463</v>
      </c>
      <c r="R79" s="43">
        <v>46227</v>
      </c>
      <c r="S79" s="43">
        <v>44604</v>
      </c>
      <c r="T79" s="43">
        <v>51570</v>
      </c>
      <c r="U79" s="43">
        <v>58458</v>
      </c>
      <c r="V79" s="43">
        <v>55119</v>
      </c>
      <c r="W79" s="43">
        <v>63729</v>
      </c>
      <c r="X79" s="43">
        <v>61014</v>
      </c>
      <c r="Y79" s="43">
        <v>69519</v>
      </c>
      <c r="Z79" s="43">
        <v>87029</v>
      </c>
      <c r="AA79" s="33">
        <v>81893</v>
      </c>
      <c r="AB79" s="33">
        <v>78248</v>
      </c>
      <c r="AC79" s="33">
        <v>73355</v>
      </c>
      <c r="AD79" s="10" t="s">
        <v>19</v>
      </c>
    </row>
    <row r="80" spans="2:30" ht="11.1" customHeight="1" x14ac:dyDescent="0.25">
      <c r="B80" s="40" t="s">
        <v>58</v>
      </c>
      <c r="C80" s="14" t="s">
        <v>35</v>
      </c>
      <c r="D80" s="41">
        <v>27353</v>
      </c>
      <c r="E80" s="41">
        <v>24494</v>
      </c>
      <c r="F80" s="41">
        <v>21283</v>
      </c>
      <c r="G80" s="41">
        <v>23017</v>
      </c>
      <c r="H80" s="41">
        <v>21675</v>
      </c>
      <c r="I80" s="41">
        <v>26671</v>
      </c>
      <c r="J80" s="41">
        <v>28968</v>
      </c>
      <c r="K80" s="41">
        <v>31355</v>
      </c>
      <c r="L80" s="41">
        <v>37992</v>
      </c>
      <c r="M80" s="41">
        <v>35849</v>
      </c>
      <c r="N80" s="41">
        <v>41199</v>
      </c>
      <c r="O80" s="41">
        <v>42123</v>
      </c>
      <c r="P80" s="41">
        <v>44977</v>
      </c>
      <c r="Q80" s="41">
        <v>53194</v>
      </c>
      <c r="R80" s="41">
        <v>53564</v>
      </c>
      <c r="S80" s="41">
        <v>50080</v>
      </c>
      <c r="T80" s="41">
        <v>55709</v>
      </c>
      <c r="U80" s="41">
        <v>63138</v>
      </c>
      <c r="V80" s="41">
        <v>58739</v>
      </c>
      <c r="W80" s="41">
        <v>69043</v>
      </c>
      <c r="X80" s="41">
        <v>76747</v>
      </c>
      <c r="Y80" s="41">
        <v>73915</v>
      </c>
      <c r="Z80" s="41">
        <v>91794</v>
      </c>
      <c r="AA80" s="33">
        <v>86894</v>
      </c>
      <c r="AB80" s="33">
        <v>86876</v>
      </c>
      <c r="AC80" s="33">
        <v>81983</v>
      </c>
      <c r="AD80" s="297" t="s">
        <v>19</v>
      </c>
    </row>
    <row r="81" spans="2:29" ht="76.5" customHeight="1" x14ac:dyDescent="0.25">
      <c r="B81" s="328" t="s">
        <v>517</v>
      </c>
      <c r="C81" s="328"/>
      <c r="D81" s="328"/>
      <c r="E81" s="328"/>
      <c r="F81" s="328"/>
      <c r="G81" s="328"/>
      <c r="H81" s="328"/>
      <c r="I81" s="328"/>
      <c r="J81" s="328"/>
      <c r="K81" s="328"/>
      <c r="L81" s="328"/>
      <c r="M81" s="328"/>
      <c r="N81" s="328"/>
      <c r="O81" s="328"/>
      <c r="P81" s="328"/>
      <c r="Q81" s="328"/>
      <c r="R81" s="328"/>
      <c r="S81" s="328"/>
      <c r="T81" s="328"/>
      <c r="U81" s="328"/>
      <c r="V81" s="328"/>
      <c r="W81" s="328"/>
      <c r="X81" s="328"/>
      <c r="Y81" s="328"/>
      <c r="Z81" s="328"/>
      <c r="AA81" s="328"/>
      <c r="AB81" s="328"/>
      <c r="AC81" s="328"/>
    </row>
  </sheetData>
  <mergeCells count="12">
    <mergeCell ref="B81:AC81"/>
    <mergeCell ref="B7:Z7"/>
    <mergeCell ref="B9:Z9"/>
    <mergeCell ref="B10:Z10"/>
    <mergeCell ref="B15:Z15"/>
    <mergeCell ref="B21:Z21"/>
    <mergeCell ref="B37:Z37"/>
    <mergeCell ref="B45:Z45"/>
    <mergeCell ref="B46:Z46"/>
    <mergeCell ref="B51:Z51"/>
    <mergeCell ref="B57:Z57"/>
    <mergeCell ref="B73:Z73"/>
  </mergeCells>
  <conditionalFormatting sqref="B6:Y6 AA6 AC6:AD6 B7:AA7 B9:AA80 B81">
    <cfRule type="cellIs" dxfId="390" priority="139" stopIfTrue="1" operator="between">
      <formula>-99.999999999999</formula>
      <formula>99.999999999999</formula>
    </cfRule>
    <cfRule type="cellIs" dxfId="389" priority="138" stopIfTrue="1" operator="lessThanOrEqual">
      <formula>-100</formula>
    </cfRule>
    <cfRule type="cellIs" dxfId="388" priority="140" stopIfTrue="1" operator="greaterThanOrEqual">
      <formula>100</formula>
    </cfRule>
  </conditionalFormatting>
  <conditionalFormatting sqref="B9:AA80 B6:Y6 AA6 AC6:AD6 B7:AA7 B81">
    <cfRule type="cellIs" dxfId="387" priority="137" stopIfTrue="1" operator="equal">
      <formula>0</formula>
    </cfRule>
  </conditionalFormatting>
  <conditionalFormatting sqref="B8:AD8">
    <cfRule type="cellIs" dxfId="386" priority="68" stopIfTrue="1" operator="greaterThanOrEqual">
      <formula>100</formula>
    </cfRule>
    <cfRule type="cellIs" dxfId="385" priority="67" stopIfTrue="1" operator="between">
      <formula>-99.999999999999</formula>
      <formula>99.999999999999</formula>
    </cfRule>
    <cfRule type="cellIs" dxfId="384" priority="66" stopIfTrue="1" operator="lessThanOrEqual">
      <formula>-100</formula>
    </cfRule>
    <cfRule type="cellIs" dxfId="383" priority="65" stopIfTrue="1" operator="equal">
      <formula>0</formula>
    </cfRule>
  </conditionalFormatting>
  <conditionalFormatting sqref="D11:Y14">
    <cfRule type="cellIs" dxfId="382" priority="136" operator="greaterThanOrEqual">
      <formula>100</formula>
    </cfRule>
    <cfRule type="cellIs" dxfId="381" priority="135" operator="lessThanOrEqual">
      <formula>99</formula>
    </cfRule>
  </conditionalFormatting>
  <conditionalFormatting sqref="D16:Z20">
    <cfRule type="cellIs" dxfId="380" priority="134" operator="greaterThanOrEqual">
      <formula>100</formula>
    </cfRule>
    <cfRule type="cellIs" dxfId="379" priority="133" operator="lessThanOrEqual">
      <formula>99</formula>
    </cfRule>
  </conditionalFormatting>
  <conditionalFormatting sqref="D22:Z36">
    <cfRule type="cellIs" dxfId="378" priority="131" operator="lessThanOrEqual">
      <formula>99</formula>
    </cfRule>
    <cfRule type="cellIs" dxfId="377" priority="132" operator="greaterThanOrEqual">
      <formula>100</formula>
    </cfRule>
  </conditionalFormatting>
  <conditionalFormatting sqref="D38:Z44">
    <cfRule type="cellIs" dxfId="376" priority="130" operator="greaterThanOrEqual">
      <formula>100</formula>
    </cfRule>
    <cfRule type="cellIs" dxfId="375" priority="129" operator="lessThanOrEqual">
      <formula>99</formula>
    </cfRule>
  </conditionalFormatting>
  <conditionalFormatting sqref="D47:Z50">
    <cfRule type="cellIs" dxfId="374" priority="128" operator="greaterThanOrEqual">
      <formula>100</formula>
    </cfRule>
    <cfRule type="cellIs" dxfId="373" priority="127" operator="lessThanOrEqual">
      <formula>99</formula>
    </cfRule>
  </conditionalFormatting>
  <conditionalFormatting sqref="D52:Z56">
    <cfRule type="cellIs" dxfId="372" priority="126" operator="greaterThanOrEqual">
      <formula>100</formula>
    </cfRule>
    <cfRule type="cellIs" dxfId="371" priority="125" operator="lessThanOrEqual">
      <formula>99</formula>
    </cfRule>
  </conditionalFormatting>
  <conditionalFormatting sqref="D58:Z72">
    <cfRule type="cellIs" dxfId="370" priority="124" operator="greaterThanOrEqual">
      <formula>100</formula>
    </cfRule>
    <cfRule type="cellIs" dxfId="369" priority="123" operator="lessThanOrEqual">
      <formula>99</formula>
    </cfRule>
  </conditionalFormatting>
  <conditionalFormatting sqref="D74:Z80">
    <cfRule type="cellIs" dxfId="368" priority="122" operator="greaterThanOrEqual">
      <formula>100</formula>
    </cfRule>
    <cfRule type="cellIs" dxfId="367" priority="121" operator="lessThanOrEqual">
      <formula>99</formula>
    </cfRule>
  </conditionalFormatting>
  <conditionalFormatting sqref="AB11:AC44">
    <cfRule type="cellIs" dxfId="366" priority="84" stopIfTrue="1" operator="greaterThanOrEqual">
      <formula>100</formula>
    </cfRule>
    <cfRule type="cellIs" dxfId="365" priority="83" stopIfTrue="1" operator="between">
      <formula>-99.999999999999</formula>
      <formula>99.999999999999</formula>
    </cfRule>
    <cfRule type="cellIs" dxfId="364" priority="82" stopIfTrue="1" operator="lessThanOrEqual">
      <formula>-100</formula>
    </cfRule>
    <cfRule type="cellIs" dxfId="363" priority="81" stopIfTrue="1" operator="equal">
      <formula>0</formula>
    </cfRule>
  </conditionalFormatting>
  <conditionalFormatting sqref="AB47:AC80">
    <cfRule type="cellIs" dxfId="362" priority="77" stopIfTrue="1" operator="equal">
      <formula>0</formula>
    </cfRule>
    <cfRule type="cellIs" dxfId="361" priority="80" stopIfTrue="1" operator="greaterThanOrEqual">
      <formula>100</formula>
    </cfRule>
    <cfRule type="cellIs" dxfId="360" priority="79" stopIfTrue="1" operator="between">
      <formula>-99.999999999999</formula>
      <formula>99.999999999999</formula>
    </cfRule>
    <cfRule type="cellIs" dxfId="359" priority="78" stopIfTrue="1" operator="lessThanOrEqual">
      <formula>-100</formula>
    </cfRule>
  </conditionalFormatting>
  <conditionalFormatting sqref="AD11:AD20">
    <cfRule type="cellIs" dxfId="358" priority="49" operator="lessThanOrEqual">
      <formula>99</formula>
    </cfRule>
    <cfRule type="cellIs" dxfId="357" priority="50" operator="greaterThanOrEqual">
      <formula>100</formula>
    </cfRule>
  </conditionalFormatting>
  <conditionalFormatting sqref="AD11:AD21">
    <cfRule type="cellIs" dxfId="356" priority="53" stopIfTrue="1" operator="equal">
      <formula>0</formula>
    </cfRule>
    <cfRule type="cellIs" dxfId="355" priority="54" stopIfTrue="1" operator="lessThanOrEqual">
      <formula>-100</formula>
    </cfRule>
    <cfRule type="cellIs" dxfId="354" priority="55" stopIfTrue="1" operator="between">
      <formula>-99.999999999999</formula>
      <formula>99.999999999999</formula>
    </cfRule>
    <cfRule type="cellIs" dxfId="353" priority="56" stopIfTrue="1" operator="greaterThanOrEqual">
      <formula>100</formula>
    </cfRule>
  </conditionalFormatting>
  <conditionalFormatting sqref="AD22:AD36">
    <cfRule type="cellIs" dxfId="352" priority="42" operator="greaterThanOrEqual">
      <formula>100</formula>
    </cfRule>
    <cfRule type="cellIs" dxfId="351" priority="41" operator="lessThanOrEqual">
      <formula>99</formula>
    </cfRule>
  </conditionalFormatting>
  <conditionalFormatting sqref="AD22:AD37">
    <cfRule type="cellIs" dxfId="350" priority="48" stopIfTrue="1" operator="greaterThanOrEqual">
      <formula>100</formula>
    </cfRule>
    <cfRule type="cellIs" dxfId="349" priority="47" stopIfTrue="1" operator="between">
      <formula>-99.999999999999</formula>
      <formula>99.999999999999</formula>
    </cfRule>
    <cfRule type="cellIs" dxfId="348" priority="46" stopIfTrue="1" operator="lessThanOrEqual">
      <formula>-100</formula>
    </cfRule>
    <cfRule type="cellIs" dxfId="347" priority="45" stopIfTrue="1" operator="equal">
      <formula>0</formula>
    </cfRule>
  </conditionalFormatting>
  <conditionalFormatting sqref="AD38:AD44">
    <cfRule type="cellIs" dxfId="346" priority="34" operator="greaterThanOrEqual">
      <formula>100</formula>
    </cfRule>
    <cfRule type="cellIs" dxfId="345" priority="33" operator="lessThanOrEqual">
      <formula>99</formula>
    </cfRule>
    <cfRule type="cellIs" dxfId="344" priority="39" stopIfTrue="1" operator="between">
      <formula>-99.999999999999</formula>
      <formula>99.999999999999</formula>
    </cfRule>
    <cfRule type="cellIs" dxfId="343" priority="40" stopIfTrue="1" operator="greaterThanOrEqual">
      <formula>100</formula>
    </cfRule>
    <cfRule type="cellIs" dxfId="342" priority="38" stopIfTrue="1" operator="lessThanOrEqual">
      <formula>-100</formula>
    </cfRule>
    <cfRule type="cellIs" dxfId="341" priority="37" stopIfTrue="1" operator="equal">
      <formula>0</formula>
    </cfRule>
  </conditionalFormatting>
  <conditionalFormatting sqref="AD47:AD50">
    <cfRule type="cellIs" dxfId="340" priority="25" operator="lessThanOrEqual">
      <formula>99</formula>
    </cfRule>
    <cfRule type="cellIs" dxfId="339" priority="26" operator="greaterThanOrEqual">
      <formula>100</formula>
    </cfRule>
  </conditionalFormatting>
  <conditionalFormatting sqref="AD47:AD51">
    <cfRule type="cellIs" dxfId="338" priority="30" stopIfTrue="1" operator="lessThanOrEqual">
      <formula>-100</formula>
    </cfRule>
    <cfRule type="cellIs" dxfId="337" priority="29" stopIfTrue="1" operator="equal">
      <formula>0</formula>
    </cfRule>
    <cfRule type="cellIs" dxfId="336" priority="32" stopIfTrue="1" operator="greaterThanOrEqual">
      <formula>100</formula>
    </cfRule>
    <cfRule type="cellIs" dxfId="335" priority="31" stopIfTrue="1" operator="between">
      <formula>-99.999999999999</formula>
      <formula>99.999999999999</formula>
    </cfRule>
  </conditionalFormatting>
  <conditionalFormatting sqref="AD52:AD56">
    <cfRule type="cellIs" dxfId="334" priority="18" operator="greaterThanOrEqual">
      <formula>100</formula>
    </cfRule>
    <cfRule type="cellIs" dxfId="333" priority="17" operator="lessThanOrEqual">
      <formula>99</formula>
    </cfRule>
  </conditionalFormatting>
  <conditionalFormatting sqref="AD52:AD57">
    <cfRule type="cellIs" dxfId="332" priority="24" stopIfTrue="1" operator="greaterThanOrEqual">
      <formula>100</formula>
    </cfRule>
    <cfRule type="cellIs" dxfId="331" priority="23" stopIfTrue="1" operator="between">
      <formula>-99.999999999999</formula>
      <formula>99.999999999999</formula>
    </cfRule>
    <cfRule type="cellIs" dxfId="330" priority="22" stopIfTrue="1" operator="lessThanOrEqual">
      <formula>-100</formula>
    </cfRule>
    <cfRule type="cellIs" dxfId="329" priority="21" stopIfTrue="1" operator="equal">
      <formula>0</formula>
    </cfRule>
  </conditionalFormatting>
  <conditionalFormatting sqref="AD58:AD72">
    <cfRule type="cellIs" dxfId="328" priority="10" operator="greaterThanOrEqual">
      <formula>100</formula>
    </cfRule>
    <cfRule type="cellIs" dxfId="327" priority="9" operator="lessThanOrEqual">
      <formula>99</formula>
    </cfRule>
  </conditionalFormatting>
  <conditionalFormatting sqref="AD58:AD73">
    <cfRule type="cellIs" dxfId="326" priority="14" stopIfTrue="1" operator="lessThanOrEqual">
      <formula>-100</formula>
    </cfRule>
    <cfRule type="cellIs" dxfId="325" priority="16" stopIfTrue="1" operator="greaterThanOrEqual">
      <formula>100</formula>
    </cfRule>
    <cfRule type="cellIs" dxfId="324" priority="15" stopIfTrue="1" operator="between">
      <formula>-99.999999999999</formula>
      <formula>99.999999999999</formula>
    </cfRule>
    <cfRule type="cellIs" dxfId="323" priority="13" stopIfTrue="1" operator="equal">
      <formula>0</formula>
    </cfRule>
  </conditionalFormatting>
  <conditionalFormatting sqref="AD74:AD80">
    <cfRule type="cellIs" dxfId="322" priority="2" operator="greaterThanOrEqual">
      <formula>100</formula>
    </cfRule>
    <cfRule type="cellIs" dxfId="321" priority="5" stopIfTrue="1" operator="equal">
      <formula>0</formula>
    </cfRule>
    <cfRule type="cellIs" dxfId="320" priority="6" stopIfTrue="1" operator="lessThanOrEqual">
      <formula>-100</formula>
    </cfRule>
    <cfRule type="cellIs" dxfId="319" priority="1" operator="lessThanOrEqual">
      <formula>99</formula>
    </cfRule>
    <cfRule type="cellIs" dxfId="318" priority="8" stopIfTrue="1" operator="greaterThanOrEqual">
      <formula>100</formula>
    </cfRule>
    <cfRule type="cellIs" dxfId="317" priority="7" stopIfTrue="1" operator="between">
      <formula>-99.999999999999</formula>
      <formula>99.999999999999</formula>
    </cfRule>
  </conditionalFormatting>
  <pageMargins left="0.7" right="0.7" top="0.75" bottom="0.75" header="0.3" footer="0.3"/>
  <pageSetup paperSize="9" scale="30"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BAB45-FAFA-4A8A-9530-DD675281DE60}">
  <sheetPr>
    <pageSetUpPr fitToPage="1"/>
  </sheetPr>
  <dimension ref="B6:AD71"/>
  <sheetViews>
    <sheetView zoomScaleNormal="100" workbookViewId="0"/>
  </sheetViews>
  <sheetFormatPr defaultColWidth="9.140625" defaultRowHeight="15" x14ac:dyDescent="0.25"/>
  <cols>
    <col min="1" max="1" width="9.140625" style="20"/>
    <col min="2" max="2" width="27.5703125" style="20" customWidth="1"/>
    <col min="3" max="3" width="4.85546875" style="20" bestFit="1" customWidth="1"/>
    <col min="4" max="4" width="8.42578125" style="20" customWidth="1"/>
    <col min="5" max="6" width="11.28515625" style="20" customWidth="1"/>
    <col min="7" max="20" width="9.42578125" style="20" customWidth="1"/>
    <col min="21" max="30" width="9.7109375" style="20" customWidth="1"/>
    <col min="31" max="16384" width="9.140625" style="20"/>
  </cols>
  <sheetData>
    <row r="6" spans="2:30" ht="12" customHeight="1" x14ac:dyDescent="0.25">
      <c r="B6" s="16"/>
      <c r="C6" s="17"/>
      <c r="D6" s="17"/>
      <c r="E6" s="17"/>
      <c r="F6" s="17"/>
      <c r="G6" s="17"/>
      <c r="H6" s="17"/>
      <c r="I6" s="17"/>
      <c r="J6" s="17"/>
      <c r="K6" s="17"/>
      <c r="L6" s="17"/>
      <c r="M6" s="17"/>
      <c r="N6" s="17"/>
      <c r="O6" s="17"/>
      <c r="P6" s="17"/>
      <c r="Q6" s="17"/>
      <c r="R6" s="17"/>
      <c r="S6" s="17"/>
      <c r="T6" s="17"/>
      <c r="U6" s="17"/>
      <c r="V6" s="17"/>
      <c r="W6" s="17"/>
      <c r="X6" s="17"/>
      <c r="Y6" s="17"/>
      <c r="Z6" s="17"/>
      <c r="AA6" s="19"/>
      <c r="AB6" s="19"/>
      <c r="AC6" s="19"/>
      <c r="AD6" s="19" t="s">
        <v>0</v>
      </c>
    </row>
    <row r="7" spans="2:30" ht="27" customHeight="1" x14ac:dyDescent="0.25">
      <c r="B7" s="331" t="s">
        <v>65</v>
      </c>
      <c r="C7" s="331"/>
      <c r="D7" s="331"/>
      <c r="E7" s="331"/>
      <c r="F7" s="331"/>
      <c r="G7" s="331"/>
      <c r="H7" s="331"/>
      <c r="I7" s="331"/>
      <c r="J7" s="331"/>
      <c r="K7" s="331"/>
      <c r="L7" s="331"/>
      <c r="M7" s="331"/>
      <c r="N7" s="331"/>
      <c r="O7" s="331"/>
      <c r="P7" s="331"/>
      <c r="Q7" s="331"/>
      <c r="R7" s="331"/>
      <c r="S7" s="331"/>
      <c r="T7" s="331"/>
      <c r="U7" s="347"/>
      <c r="V7" s="347"/>
      <c r="W7" s="347"/>
      <c r="X7" s="347"/>
      <c r="Y7" s="347"/>
      <c r="Z7" s="347"/>
      <c r="AA7" s="47"/>
      <c r="AB7" s="47"/>
      <c r="AC7" s="47"/>
      <c r="AD7" s="47"/>
    </row>
    <row r="8" spans="2:30" ht="12" customHeight="1" x14ac:dyDescent="0.25">
      <c r="B8" s="56" t="s">
        <v>2</v>
      </c>
      <c r="C8" s="57"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547</v>
      </c>
    </row>
    <row r="9" spans="2:30" ht="11.1" customHeight="1" x14ac:dyDescent="0.25">
      <c r="B9" s="372" t="s">
        <v>34</v>
      </c>
      <c r="C9" s="372"/>
      <c r="D9" s="372"/>
      <c r="E9" s="372"/>
      <c r="F9" s="372"/>
      <c r="G9" s="372"/>
      <c r="H9" s="372"/>
      <c r="I9" s="372"/>
      <c r="J9" s="372"/>
      <c r="K9" s="372"/>
      <c r="L9" s="372"/>
      <c r="M9" s="372"/>
      <c r="N9" s="372"/>
      <c r="O9" s="372"/>
      <c r="P9" s="372"/>
      <c r="Q9" s="372"/>
      <c r="R9" s="372"/>
      <c r="S9" s="372"/>
      <c r="T9" s="372"/>
      <c r="U9" s="349" t="s">
        <v>35</v>
      </c>
      <c r="V9" s="349" t="s">
        <v>6</v>
      </c>
      <c r="W9" s="349" t="s">
        <v>35</v>
      </c>
      <c r="X9" s="349" t="s">
        <v>6</v>
      </c>
      <c r="Y9" s="349" t="s">
        <v>66</v>
      </c>
      <c r="Z9" s="349" t="s">
        <v>6</v>
      </c>
      <c r="AA9" s="30"/>
      <c r="AB9" s="30"/>
      <c r="AC9" s="30"/>
      <c r="AD9" s="30"/>
    </row>
    <row r="10" spans="2:30" ht="11.1" customHeight="1" x14ac:dyDescent="0.25">
      <c r="B10" s="373" t="s">
        <v>36</v>
      </c>
      <c r="C10" s="373"/>
      <c r="D10" s="373"/>
      <c r="E10" s="373"/>
      <c r="F10" s="373"/>
      <c r="G10" s="373"/>
      <c r="H10" s="373"/>
      <c r="I10" s="373"/>
      <c r="J10" s="373"/>
      <c r="K10" s="373"/>
      <c r="L10" s="373"/>
      <c r="M10" s="373"/>
      <c r="N10" s="373"/>
      <c r="O10" s="373"/>
      <c r="P10" s="373"/>
      <c r="Q10" s="373"/>
      <c r="R10" s="373"/>
      <c r="S10" s="373"/>
      <c r="T10" s="373"/>
      <c r="U10" s="337"/>
      <c r="V10" s="337"/>
      <c r="W10" s="337"/>
      <c r="X10" s="337"/>
      <c r="Y10" s="337"/>
      <c r="Z10" s="337"/>
      <c r="AA10" s="48"/>
      <c r="AB10" s="48"/>
      <c r="AC10" s="48"/>
      <c r="AD10" s="48"/>
    </row>
    <row r="11" spans="2:30" ht="11.1" customHeight="1" x14ac:dyDescent="0.25">
      <c r="B11" s="59" t="s">
        <v>67</v>
      </c>
      <c r="C11" s="22" t="s">
        <v>6</v>
      </c>
      <c r="D11" s="60">
        <v>7736</v>
      </c>
      <c r="E11" s="60">
        <v>12046</v>
      </c>
      <c r="F11" s="60">
        <v>10341</v>
      </c>
      <c r="G11" s="60">
        <v>10324</v>
      </c>
      <c r="H11" s="60">
        <v>5035</v>
      </c>
      <c r="I11" s="60">
        <v>4473</v>
      </c>
      <c r="J11" s="60">
        <v>4370</v>
      </c>
      <c r="K11" s="60">
        <v>4498</v>
      </c>
      <c r="L11" s="60">
        <v>5654</v>
      </c>
      <c r="M11" s="60">
        <v>6503</v>
      </c>
      <c r="N11" s="60">
        <v>10215</v>
      </c>
      <c r="O11" s="60">
        <v>9262</v>
      </c>
      <c r="P11" s="60">
        <v>7819</v>
      </c>
      <c r="Q11" s="60">
        <v>8196</v>
      </c>
      <c r="R11" s="60">
        <v>6354</v>
      </c>
      <c r="S11" s="60">
        <v>4221</v>
      </c>
      <c r="T11" s="60">
        <v>4578</v>
      </c>
      <c r="U11" s="60">
        <v>2984</v>
      </c>
      <c r="V11" s="60">
        <v>5904</v>
      </c>
      <c r="W11" s="60">
        <v>9806</v>
      </c>
      <c r="X11" s="60">
        <v>7881</v>
      </c>
      <c r="Y11" s="60">
        <v>5640</v>
      </c>
      <c r="Z11" s="60">
        <v>6646</v>
      </c>
      <c r="AA11" s="49">
        <v>8511</v>
      </c>
      <c r="AB11" s="49">
        <v>9145</v>
      </c>
      <c r="AC11" s="49">
        <v>7961</v>
      </c>
      <c r="AD11" s="10" t="s">
        <v>19</v>
      </c>
    </row>
    <row r="12" spans="2:30" ht="11.1" customHeight="1" x14ac:dyDescent="0.25">
      <c r="B12" s="59" t="s">
        <v>68</v>
      </c>
      <c r="C12" s="22" t="s">
        <v>6</v>
      </c>
      <c r="D12" s="60">
        <v>74</v>
      </c>
      <c r="E12" s="60">
        <v>16</v>
      </c>
      <c r="F12" s="60">
        <v>811</v>
      </c>
      <c r="G12" s="60">
        <v>554</v>
      </c>
      <c r="H12" s="60">
        <v>139</v>
      </c>
      <c r="I12" s="60">
        <v>213</v>
      </c>
      <c r="J12" s="60">
        <v>235</v>
      </c>
      <c r="K12" s="60">
        <v>280</v>
      </c>
      <c r="L12" s="60">
        <v>0</v>
      </c>
      <c r="M12" s="60">
        <v>0</v>
      </c>
      <c r="N12" s="60">
        <v>0</v>
      </c>
      <c r="O12" s="60">
        <v>0</v>
      </c>
      <c r="P12" s="60">
        <v>29</v>
      </c>
      <c r="Q12" s="60">
        <v>1</v>
      </c>
      <c r="R12" s="60">
        <v>0</v>
      </c>
      <c r="S12" s="60">
        <v>1</v>
      </c>
      <c r="T12" s="60">
        <v>0</v>
      </c>
      <c r="U12" s="60">
        <v>0</v>
      </c>
      <c r="V12" s="60">
        <v>42</v>
      </c>
      <c r="W12" s="60">
        <v>24</v>
      </c>
      <c r="X12" s="60">
        <v>0</v>
      </c>
      <c r="Y12" s="60">
        <v>2</v>
      </c>
      <c r="Z12" s="60">
        <v>0</v>
      </c>
      <c r="AA12" s="49">
        <v>19</v>
      </c>
      <c r="AB12" s="49">
        <v>19</v>
      </c>
      <c r="AC12" s="49">
        <v>17</v>
      </c>
      <c r="AD12" s="10" t="s">
        <v>19</v>
      </c>
    </row>
    <row r="13" spans="2:30" ht="11.1" customHeight="1" x14ac:dyDescent="0.25">
      <c r="B13" s="59" t="s">
        <v>13</v>
      </c>
      <c r="C13" s="22" t="s">
        <v>6</v>
      </c>
      <c r="D13" s="60">
        <v>7810</v>
      </c>
      <c r="E13" s="60">
        <v>12062</v>
      </c>
      <c r="F13" s="60">
        <v>11152</v>
      </c>
      <c r="G13" s="60">
        <v>10878</v>
      </c>
      <c r="H13" s="60">
        <v>5174</v>
      </c>
      <c r="I13" s="60">
        <v>4686</v>
      </c>
      <c r="J13" s="60">
        <v>4605</v>
      </c>
      <c r="K13" s="60">
        <v>4778</v>
      </c>
      <c r="L13" s="60">
        <v>5654</v>
      </c>
      <c r="M13" s="60">
        <v>6503</v>
      </c>
      <c r="N13" s="60">
        <v>10215</v>
      </c>
      <c r="O13" s="60">
        <v>9263</v>
      </c>
      <c r="P13" s="60">
        <v>7848</v>
      </c>
      <c r="Q13" s="60">
        <v>8197</v>
      </c>
      <c r="R13" s="60">
        <v>6354</v>
      </c>
      <c r="S13" s="60">
        <v>4222</v>
      </c>
      <c r="T13" s="60">
        <v>4578</v>
      </c>
      <c r="U13" s="60">
        <v>2984</v>
      </c>
      <c r="V13" s="60">
        <v>5946</v>
      </c>
      <c r="W13" s="60">
        <v>9830</v>
      </c>
      <c r="X13" s="60">
        <v>7882</v>
      </c>
      <c r="Y13" s="60">
        <v>5642</v>
      </c>
      <c r="Z13" s="60">
        <v>6646</v>
      </c>
      <c r="AA13" s="49">
        <v>8531</v>
      </c>
      <c r="AB13" s="49">
        <v>9164</v>
      </c>
      <c r="AC13" s="49">
        <v>7979</v>
      </c>
      <c r="AD13" s="10" t="s">
        <v>19</v>
      </c>
    </row>
    <row r="14" spans="2:30" ht="11.1" customHeight="1" x14ac:dyDescent="0.25">
      <c r="B14" s="374" t="s">
        <v>40</v>
      </c>
      <c r="C14" s="374"/>
      <c r="D14" s="374"/>
      <c r="E14" s="374"/>
      <c r="F14" s="374"/>
      <c r="G14" s="374"/>
      <c r="H14" s="374"/>
      <c r="I14" s="374"/>
      <c r="J14" s="374"/>
      <c r="K14" s="374"/>
      <c r="L14" s="374"/>
      <c r="M14" s="374"/>
      <c r="N14" s="374"/>
      <c r="O14" s="374"/>
      <c r="P14" s="374"/>
      <c r="Q14" s="374"/>
      <c r="R14" s="374"/>
      <c r="S14" s="374"/>
      <c r="T14" s="374"/>
      <c r="U14" s="351"/>
      <c r="V14" s="351"/>
      <c r="W14" s="351"/>
      <c r="X14" s="351"/>
      <c r="Y14" s="351"/>
      <c r="Z14" s="351"/>
      <c r="AA14" s="50"/>
      <c r="AB14" s="50"/>
      <c r="AC14" s="50"/>
      <c r="AD14" s="10"/>
    </row>
    <row r="15" spans="2:30" ht="11.1" customHeight="1" x14ac:dyDescent="0.25">
      <c r="B15" s="59" t="s">
        <v>69</v>
      </c>
      <c r="C15" s="22" t="s">
        <v>6</v>
      </c>
      <c r="D15" s="60">
        <v>0.09</v>
      </c>
      <c r="E15" s="60">
        <v>19</v>
      </c>
      <c r="F15" s="60">
        <v>4</v>
      </c>
      <c r="G15" s="60">
        <v>49</v>
      </c>
      <c r="H15" s="60">
        <v>82</v>
      </c>
      <c r="I15" s="60">
        <v>30</v>
      </c>
      <c r="J15" s="60">
        <v>7</v>
      </c>
      <c r="K15" s="60">
        <v>7</v>
      </c>
      <c r="L15" s="60">
        <v>2</v>
      </c>
      <c r="M15" s="60" t="s">
        <v>19</v>
      </c>
      <c r="N15" s="60" t="s">
        <v>19</v>
      </c>
      <c r="O15" s="60" t="s">
        <v>19</v>
      </c>
      <c r="P15" s="60" t="s">
        <v>19</v>
      </c>
      <c r="Q15" s="60" t="s">
        <v>19</v>
      </c>
      <c r="R15" s="60">
        <v>0.05</v>
      </c>
      <c r="S15" s="60">
        <v>1</v>
      </c>
      <c r="T15" s="60">
        <v>1</v>
      </c>
      <c r="U15" s="60">
        <v>26</v>
      </c>
      <c r="V15" s="60">
        <v>32</v>
      </c>
      <c r="W15" s="60">
        <v>39</v>
      </c>
      <c r="X15" s="60">
        <v>1</v>
      </c>
      <c r="Y15" s="60">
        <v>57</v>
      </c>
      <c r="Z15" s="60">
        <v>1</v>
      </c>
      <c r="AA15" s="49">
        <v>57</v>
      </c>
      <c r="AB15" s="49">
        <v>9</v>
      </c>
      <c r="AC15" s="49" t="s">
        <v>19</v>
      </c>
      <c r="AD15" s="49" t="s">
        <v>19</v>
      </c>
    </row>
    <row r="16" spans="2:30" ht="11.1" customHeight="1" x14ac:dyDescent="0.25">
      <c r="B16" s="59" t="s">
        <v>43</v>
      </c>
      <c r="C16" s="22" t="s">
        <v>6</v>
      </c>
      <c r="D16" s="60">
        <v>7</v>
      </c>
      <c r="E16" s="60">
        <v>5</v>
      </c>
      <c r="F16" s="60">
        <v>3</v>
      </c>
      <c r="G16" s="60">
        <v>4</v>
      </c>
      <c r="H16" s="60">
        <v>3</v>
      </c>
      <c r="I16" s="60">
        <v>14</v>
      </c>
      <c r="J16" s="60" t="s">
        <v>19</v>
      </c>
      <c r="K16" s="60" t="s">
        <v>19</v>
      </c>
      <c r="L16" s="60" t="s">
        <v>19</v>
      </c>
      <c r="M16" s="60" t="s">
        <v>19</v>
      </c>
      <c r="N16" s="60" t="s">
        <v>19</v>
      </c>
      <c r="O16" s="60" t="s">
        <v>19</v>
      </c>
      <c r="P16" s="60" t="s">
        <v>19</v>
      </c>
      <c r="Q16" s="60" t="s">
        <v>19</v>
      </c>
      <c r="R16" s="60" t="s">
        <v>19</v>
      </c>
      <c r="S16" s="60" t="s">
        <v>19</v>
      </c>
      <c r="T16" s="60" t="s">
        <v>19</v>
      </c>
      <c r="U16" s="60" t="s">
        <v>19</v>
      </c>
      <c r="V16" s="60" t="s">
        <v>19</v>
      </c>
      <c r="W16" s="60" t="s">
        <v>19</v>
      </c>
      <c r="X16" s="60" t="s">
        <v>19</v>
      </c>
      <c r="Y16" s="60" t="s">
        <v>19</v>
      </c>
      <c r="Z16" s="60" t="s">
        <v>19</v>
      </c>
      <c r="AA16" s="49" t="s">
        <v>19</v>
      </c>
      <c r="AB16" s="49" t="s">
        <v>19</v>
      </c>
      <c r="AC16" s="49" t="s">
        <v>19</v>
      </c>
      <c r="AD16" s="49" t="s">
        <v>19</v>
      </c>
    </row>
    <row r="17" spans="2:30" ht="11.1" customHeight="1" x14ac:dyDescent="0.25">
      <c r="B17" s="59" t="s">
        <v>70</v>
      </c>
      <c r="C17" s="22" t="s">
        <v>6</v>
      </c>
      <c r="D17" s="60">
        <v>927</v>
      </c>
      <c r="E17" s="60">
        <v>3275</v>
      </c>
      <c r="F17" s="60">
        <v>1958</v>
      </c>
      <c r="G17" s="60">
        <v>1148</v>
      </c>
      <c r="H17" s="60">
        <v>2924</v>
      </c>
      <c r="I17" s="60">
        <v>867</v>
      </c>
      <c r="J17" s="60">
        <v>1236</v>
      </c>
      <c r="K17" s="60">
        <v>588</v>
      </c>
      <c r="L17" s="60">
        <v>2331</v>
      </c>
      <c r="M17" s="60">
        <v>333</v>
      </c>
      <c r="N17" s="60">
        <v>183</v>
      </c>
      <c r="O17" s="60">
        <v>206</v>
      </c>
      <c r="P17" s="60">
        <v>4</v>
      </c>
      <c r="Q17" s="60">
        <v>188</v>
      </c>
      <c r="R17" s="60">
        <v>13</v>
      </c>
      <c r="S17" s="60">
        <v>155</v>
      </c>
      <c r="T17" s="60">
        <v>246</v>
      </c>
      <c r="U17" s="60">
        <v>264</v>
      </c>
      <c r="V17" s="60">
        <v>602</v>
      </c>
      <c r="W17" s="60">
        <v>475</v>
      </c>
      <c r="X17" s="60">
        <v>395</v>
      </c>
      <c r="Y17" s="60">
        <v>413</v>
      </c>
      <c r="Z17" s="60">
        <v>311</v>
      </c>
      <c r="AA17" s="49">
        <v>749</v>
      </c>
      <c r="AB17" s="49">
        <v>484</v>
      </c>
      <c r="AC17" s="49">
        <v>1175</v>
      </c>
      <c r="AD17" s="10" t="s">
        <v>19</v>
      </c>
    </row>
    <row r="18" spans="2:30" ht="11.1" customHeight="1" x14ac:dyDescent="0.25">
      <c r="B18" s="59" t="s">
        <v>13</v>
      </c>
      <c r="C18" s="22" t="s">
        <v>6</v>
      </c>
      <c r="D18" s="60">
        <v>934</v>
      </c>
      <c r="E18" s="60">
        <v>3299</v>
      </c>
      <c r="F18" s="60">
        <v>1965</v>
      </c>
      <c r="G18" s="60">
        <v>1202</v>
      </c>
      <c r="H18" s="60">
        <v>3009</v>
      </c>
      <c r="I18" s="60">
        <v>910</v>
      </c>
      <c r="J18" s="60">
        <v>1243</v>
      </c>
      <c r="K18" s="60">
        <v>595</v>
      </c>
      <c r="L18" s="60">
        <v>2333</v>
      </c>
      <c r="M18" s="60">
        <v>333</v>
      </c>
      <c r="N18" s="60">
        <v>183</v>
      </c>
      <c r="O18" s="60">
        <v>206</v>
      </c>
      <c r="P18" s="60">
        <v>4</v>
      </c>
      <c r="Q18" s="60">
        <v>188</v>
      </c>
      <c r="R18" s="60">
        <v>14</v>
      </c>
      <c r="S18" s="60">
        <v>157</v>
      </c>
      <c r="T18" s="60">
        <v>247</v>
      </c>
      <c r="U18" s="60">
        <v>291</v>
      </c>
      <c r="V18" s="60">
        <v>634</v>
      </c>
      <c r="W18" s="60">
        <v>514</v>
      </c>
      <c r="X18" s="60">
        <v>396</v>
      </c>
      <c r="Y18" s="60">
        <v>470</v>
      </c>
      <c r="Z18" s="60">
        <v>312</v>
      </c>
      <c r="AA18" s="49">
        <v>806</v>
      </c>
      <c r="AB18" s="49">
        <v>493</v>
      </c>
      <c r="AC18" s="49">
        <v>1175</v>
      </c>
      <c r="AD18" s="10" t="s">
        <v>19</v>
      </c>
    </row>
    <row r="19" spans="2:30" ht="11.1" customHeight="1" x14ac:dyDescent="0.25">
      <c r="B19" s="373" t="s">
        <v>71</v>
      </c>
      <c r="C19" s="373"/>
      <c r="D19" s="373"/>
      <c r="E19" s="373"/>
      <c r="F19" s="373"/>
      <c r="G19" s="373"/>
      <c r="H19" s="373"/>
      <c r="I19" s="373"/>
      <c r="J19" s="373"/>
      <c r="K19" s="373"/>
      <c r="L19" s="373"/>
      <c r="M19" s="373"/>
      <c r="N19" s="373"/>
      <c r="O19" s="373"/>
      <c r="P19" s="373"/>
      <c r="Q19" s="373"/>
      <c r="R19" s="373"/>
      <c r="S19" s="373"/>
      <c r="T19" s="373"/>
      <c r="U19" s="337"/>
      <c r="V19" s="337"/>
      <c r="W19" s="337"/>
      <c r="X19" s="337"/>
      <c r="Y19" s="337"/>
      <c r="Z19" s="337"/>
      <c r="AA19" s="48"/>
      <c r="AB19" s="48"/>
      <c r="AC19" s="48"/>
      <c r="AD19" s="48"/>
    </row>
    <row r="20" spans="2:30" ht="11.1" customHeight="1" x14ac:dyDescent="0.25">
      <c r="B20" s="59" t="s">
        <v>72</v>
      </c>
      <c r="C20" s="22" t="s">
        <v>6</v>
      </c>
      <c r="D20" s="60">
        <v>15</v>
      </c>
      <c r="E20" s="60">
        <v>38</v>
      </c>
      <c r="F20" s="60">
        <v>46</v>
      </c>
      <c r="G20" s="60">
        <v>23</v>
      </c>
      <c r="H20" s="60">
        <v>20</v>
      </c>
      <c r="I20" s="60">
        <v>29</v>
      </c>
      <c r="J20" s="60">
        <v>46</v>
      </c>
      <c r="K20" s="60">
        <v>17</v>
      </c>
      <c r="L20" s="60">
        <v>15</v>
      </c>
      <c r="M20" s="60">
        <v>19</v>
      </c>
      <c r="N20" s="60">
        <v>23</v>
      </c>
      <c r="O20" s="60">
        <v>37</v>
      </c>
      <c r="P20" s="60">
        <v>55</v>
      </c>
      <c r="Q20" s="60">
        <v>56</v>
      </c>
      <c r="R20" s="60">
        <v>18</v>
      </c>
      <c r="S20" s="60">
        <v>41</v>
      </c>
      <c r="T20" s="60">
        <v>0</v>
      </c>
      <c r="U20" s="60">
        <v>59</v>
      </c>
      <c r="V20" s="60">
        <v>24</v>
      </c>
      <c r="W20" s="60">
        <v>43</v>
      </c>
      <c r="X20" s="60">
        <v>62</v>
      </c>
      <c r="Y20" s="60">
        <v>20</v>
      </c>
      <c r="Z20" s="60">
        <v>7</v>
      </c>
      <c r="AA20" s="49">
        <v>12</v>
      </c>
      <c r="AB20" s="49">
        <v>14</v>
      </c>
      <c r="AC20" s="49">
        <v>8</v>
      </c>
      <c r="AD20" s="10" t="s">
        <v>19</v>
      </c>
    </row>
    <row r="21" spans="2:30" ht="11.1" customHeight="1" x14ac:dyDescent="0.25">
      <c r="B21" s="59" t="s">
        <v>73</v>
      </c>
      <c r="C21" s="22" t="s">
        <v>6</v>
      </c>
      <c r="D21" s="60">
        <v>1416</v>
      </c>
      <c r="E21" s="60">
        <v>2213</v>
      </c>
      <c r="F21" s="60">
        <v>2401</v>
      </c>
      <c r="G21" s="60">
        <v>2250</v>
      </c>
      <c r="H21" s="60">
        <v>6191</v>
      </c>
      <c r="I21" s="60">
        <v>7053</v>
      </c>
      <c r="J21" s="60">
        <v>8137</v>
      </c>
      <c r="K21" s="60">
        <v>2184</v>
      </c>
      <c r="L21" s="60">
        <v>1897</v>
      </c>
      <c r="M21" s="60">
        <v>1416</v>
      </c>
      <c r="N21" s="60">
        <v>1195</v>
      </c>
      <c r="O21" s="60">
        <v>955</v>
      </c>
      <c r="P21" s="60">
        <v>1749</v>
      </c>
      <c r="Q21" s="60">
        <v>2482</v>
      </c>
      <c r="R21" s="60">
        <v>1043</v>
      </c>
      <c r="S21" s="60">
        <v>382</v>
      </c>
      <c r="T21" s="60">
        <v>319</v>
      </c>
      <c r="U21" s="60">
        <v>217</v>
      </c>
      <c r="V21" s="60">
        <v>376</v>
      </c>
      <c r="W21" s="60">
        <v>310</v>
      </c>
      <c r="X21" s="60">
        <v>97</v>
      </c>
      <c r="Y21" s="60">
        <v>565</v>
      </c>
      <c r="Z21" s="60">
        <v>550</v>
      </c>
      <c r="AA21" s="49">
        <v>1085</v>
      </c>
      <c r="AB21" s="49">
        <v>203</v>
      </c>
      <c r="AC21" s="49">
        <v>221</v>
      </c>
      <c r="AD21" s="10" t="s">
        <v>19</v>
      </c>
    </row>
    <row r="22" spans="2:30" ht="11.25" customHeight="1" x14ac:dyDescent="0.25">
      <c r="B22" s="59" t="s">
        <v>74</v>
      </c>
      <c r="C22" s="22" t="s">
        <v>6</v>
      </c>
      <c r="D22" s="60">
        <v>3913</v>
      </c>
      <c r="E22" s="60">
        <v>4880</v>
      </c>
      <c r="F22" s="60">
        <v>5785</v>
      </c>
      <c r="G22" s="60">
        <v>3411</v>
      </c>
      <c r="H22" s="60">
        <v>5153</v>
      </c>
      <c r="I22" s="60">
        <v>5243</v>
      </c>
      <c r="J22" s="60">
        <v>4995</v>
      </c>
      <c r="K22" s="60">
        <v>3815</v>
      </c>
      <c r="L22" s="60">
        <v>4309</v>
      </c>
      <c r="M22" s="60">
        <v>1799</v>
      </c>
      <c r="N22" s="60">
        <v>6229</v>
      </c>
      <c r="O22" s="60">
        <v>5900</v>
      </c>
      <c r="P22" s="60">
        <v>6263</v>
      </c>
      <c r="Q22" s="60">
        <v>6777</v>
      </c>
      <c r="R22" s="60">
        <v>527</v>
      </c>
      <c r="S22" s="60">
        <v>157</v>
      </c>
      <c r="T22" s="60">
        <v>1006</v>
      </c>
      <c r="U22" s="60">
        <v>1766</v>
      </c>
      <c r="V22" s="60">
        <v>932</v>
      </c>
      <c r="W22" s="60">
        <v>813</v>
      </c>
      <c r="X22" s="60">
        <v>80</v>
      </c>
      <c r="Y22" s="60">
        <v>29</v>
      </c>
      <c r="Z22" s="60">
        <v>124</v>
      </c>
      <c r="AA22" s="49">
        <v>495</v>
      </c>
      <c r="AB22" s="49">
        <v>223</v>
      </c>
      <c r="AC22" s="49">
        <v>626</v>
      </c>
      <c r="AD22" s="10" t="s">
        <v>19</v>
      </c>
    </row>
    <row r="23" spans="2:30" ht="11.1" customHeight="1" x14ac:dyDescent="0.25">
      <c r="B23" s="59" t="s">
        <v>75</v>
      </c>
      <c r="C23" s="22" t="s">
        <v>6</v>
      </c>
      <c r="D23" s="60">
        <v>3855</v>
      </c>
      <c r="E23" s="60">
        <v>4506</v>
      </c>
      <c r="F23" s="60">
        <v>5510</v>
      </c>
      <c r="G23" s="60">
        <v>5126</v>
      </c>
      <c r="H23" s="60">
        <v>3583</v>
      </c>
      <c r="I23" s="60">
        <v>3575</v>
      </c>
      <c r="J23" s="60">
        <v>3469</v>
      </c>
      <c r="K23" s="60">
        <v>3871</v>
      </c>
      <c r="L23" s="60">
        <v>3598</v>
      </c>
      <c r="M23" s="60">
        <v>4265</v>
      </c>
      <c r="N23" s="60">
        <v>3961</v>
      </c>
      <c r="O23" s="60">
        <v>3890</v>
      </c>
      <c r="P23" s="60">
        <v>4938</v>
      </c>
      <c r="Q23" s="60">
        <v>4534</v>
      </c>
      <c r="R23" s="60">
        <v>3589</v>
      </c>
      <c r="S23" s="60">
        <v>2628</v>
      </c>
      <c r="T23" s="60">
        <v>2437</v>
      </c>
      <c r="U23" s="60">
        <v>2600</v>
      </c>
      <c r="V23" s="60">
        <v>3138</v>
      </c>
      <c r="W23" s="60">
        <v>3585</v>
      </c>
      <c r="X23" s="60">
        <v>2572</v>
      </c>
      <c r="Y23" s="60">
        <v>1867</v>
      </c>
      <c r="Z23" s="60">
        <v>1794</v>
      </c>
      <c r="AA23" s="49">
        <v>4704</v>
      </c>
      <c r="AB23" s="49">
        <v>4385</v>
      </c>
      <c r="AC23" s="49">
        <v>1343</v>
      </c>
      <c r="AD23" s="10" t="s">
        <v>19</v>
      </c>
    </row>
    <row r="24" spans="2:30" ht="11.1" customHeight="1" x14ac:dyDescent="0.25">
      <c r="B24" s="59" t="s">
        <v>76</v>
      </c>
      <c r="C24" s="22" t="s">
        <v>6</v>
      </c>
      <c r="D24" s="60">
        <v>557</v>
      </c>
      <c r="E24" s="60">
        <v>553</v>
      </c>
      <c r="F24" s="60">
        <v>868</v>
      </c>
      <c r="G24" s="60">
        <v>743</v>
      </c>
      <c r="H24" s="60">
        <v>573</v>
      </c>
      <c r="I24" s="60">
        <v>699</v>
      </c>
      <c r="J24" s="60">
        <v>671</v>
      </c>
      <c r="K24" s="60">
        <v>884</v>
      </c>
      <c r="L24" s="60">
        <v>1024</v>
      </c>
      <c r="M24" s="60">
        <v>1131</v>
      </c>
      <c r="N24" s="60">
        <v>982</v>
      </c>
      <c r="O24" s="60">
        <v>812</v>
      </c>
      <c r="P24" s="60">
        <v>1087</v>
      </c>
      <c r="Q24" s="60">
        <v>1108</v>
      </c>
      <c r="R24" s="60">
        <v>894</v>
      </c>
      <c r="S24" s="60">
        <v>710</v>
      </c>
      <c r="T24" s="60">
        <v>709</v>
      </c>
      <c r="U24" s="60">
        <v>891</v>
      </c>
      <c r="V24" s="60">
        <v>1081</v>
      </c>
      <c r="W24" s="60">
        <v>1049</v>
      </c>
      <c r="X24" s="60">
        <v>923</v>
      </c>
      <c r="Y24" s="60">
        <v>941</v>
      </c>
      <c r="Z24" s="60">
        <v>1244</v>
      </c>
      <c r="AA24" s="49">
        <v>2312</v>
      </c>
      <c r="AB24" s="49">
        <v>2867</v>
      </c>
      <c r="AC24" s="49">
        <v>582</v>
      </c>
      <c r="AD24" s="10" t="s">
        <v>19</v>
      </c>
    </row>
    <row r="25" spans="2:30" ht="11.1" customHeight="1" x14ac:dyDescent="0.25">
      <c r="B25" s="59" t="s">
        <v>77</v>
      </c>
      <c r="C25" s="22" t="s">
        <v>6</v>
      </c>
      <c r="D25" s="60">
        <v>142</v>
      </c>
      <c r="E25" s="60">
        <v>228</v>
      </c>
      <c r="F25" s="60">
        <v>332</v>
      </c>
      <c r="G25" s="60">
        <v>1690</v>
      </c>
      <c r="H25" s="60">
        <v>469</v>
      </c>
      <c r="I25" s="60">
        <v>580</v>
      </c>
      <c r="J25" s="60">
        <v>753</v>
      </c>
      <c r="K25" s="60">
        <v>636</v>
      </c>
      <c r="L25" s="60">
        <v>641</v>
      </c>
      <c r="M25" s="60">
        <v>501</v>
      </c>
      <c r="N25" s="60">
        <v>517</v>
      </c>
      <c r="O25" s="60">
        <v>487</v>
      </c>
      <c r="P25" s="60">
        <v>555</v>
      </c>
      <c r="Q25" s="60">
        <v>407</v>
      </c>
      <c r="R25" s="60">
        <v>574</v>
      </c>
      <c r="S25" s="60">
        <v>515</v>
      </c>
      <c r="T25" s="60">
        <v>847</v>
      </c>
      <c r="U25" s="60">
        <v>1442</v>
      </c>
      <c r="V25" s="60">
        <v>1780</v>
      </c>
      <c r="W25" s="60">
        <v>2836</v>
      </c>
      <c r="X25" s="60">
        <v>708</v>
      </c>
      <c r="Y25" s="60">
        <v>3453</v>
      </c>
      <c r="Z25" s="60">
        <v>1359</v>
      </c>
      <c r="AA25" s="49">
        <v>1239</v>
      </c>
      <c r="AB25" s="49">
        <v>2359</v>
      </c>
      <c r="AC25" s="49">
        <v>3977</v>
      </c>
      <c r="AD25" s="10" t="s">
        <v>19</v>
      </c>
    </row>
    <row r="26" spans="2:30" ht="11.1" customHeight="1" x14ac:dyDescent="0.25">
      <c r="B26" s="59" t="s">
        <v>78</v>
      </c>
      <c r="C26" s="22" t="s">
        <v>6</v>
      </c>
      <c r="D26" s="60">
        <v>220</v>
      </c>
      <c r="E26" s="60">
        <v>344</v>
      </c>
      <c r="F26" s="60">
        <v>806</v>
      </c>
      <c r="G26" s="60">
        <v>330</v>
      </c>
      <c r="H26" s="60">
        <v>537</v>
      </c>
      <c r="I26" s="60">
        <v>593</v>
      </c>
      <c r="J26" s="60">
        <v>449</v>
      </c>
      <c r="K26" s="60">
        <v>404</v>
      </c>
      <c r="L26" s="60">
        <v>451</v>
      </c>
      <c r="M26" s="60">
        <v>591</v>
      </c>
      <c r="N26" s="60">
        <v>630</v>
      </c>
      <c r="O26" s="60">
        <v>600</v>
      </c>
      <c r="P26" s="60">
        <v>672</v>
      </c>
      <c r="Q26" s="60">
        <v>640</v>
      </c>
      <c r="R26" s="60">
        <v>971</v>
      </c>
      <c r="S26" s="60">
        <v>452</v>
      </c>
      <c r="T26" s="60">
        <v>279</v>
      </c>
      <c r="U26" s="60">
        <v>395</v>
      </c>
      <c r="V26" s="60">
        <v>1528</v>
      </c>
      <c r="W26" s="60">
        <v>1469</v>
      </c>
      <c r="X26" s="60">
        <v>382</v>
      </c>
      <c r="Y26" s="60">
        <v>409</v>
      </c>
      <c r="Z26" s="60">
        <v>714</v>
      </c>
      <c r="AA26" s="49">
        <v>738</v>
      </c>
      <c r="AB26" s="49">
        <v>647</v>
      </c>
      <c r="AC26" s="49">
        <v>1373</v>
      </c>
      <c r="AD26" s="10" t="s">
        <v>19</v>
      </c>
    </row>
    <row r="27" spans="2:30" ht="11.1" customHeight="1" x14ac:dyDescent="0.25">
      <c r="B27" s="59" t="s">
        <v>79</v>
      </c>
      <c r="C27" s="22" t="s">
        <v>6</v>
      </c>
      <c r="D27" s="60">
        <v>111</v>
      </c>
      <c r="E27" s="60">
        <v>110</v>
      </c>
      <c r="F27" s="60">
        <v>171</v>
      </c>
      <c r="G27" s="60">
        <v>533</v>
      </c>
      <c r="H27" s="60">
        <v>165</v>
      </c>
      <c r="I27" s="60">
        <v>217</v>
      </c>
      <c r="J27" s="60">
        <v>187</v>
      </c>
      <c r="K27" s="60">
        <v>150</v>
      </c>
      <c r="L27" s="60">
        <v>188</v>
      </c>
      <c r="M27" s="60">
        <v>227</v>
      </c>
      <c r="N27" s="60">
        <v>174</v>
      </c>
      <c r="O27" s="60">
        <v>245</v>
      </c>
      <c r="P27" s="60">
        <v>86</v>
      </c>
      <c r="Q27" s="60">
        <v>241</v>
      </c>
      <c r="R27" s="60">
        <v>303</v>
      </c>
      <c r="S27" s="60">
        <v>207</v>
      </c>
      <c r="T27" s="60">
        <v>210</v>
      </c>
      <c r="U27" s="60">
        <v>158</v>
      </c>
      <c r="V27" s="60">
        <v>392</v>
      </c>
      <c r="W27" s="60">
        <v>364</v>
      </c>
      <c r="X27" s="60">
        <v>208</v>
      </c>
      <c r="Y27" s="60">
        <v>143</v>
      </c>
      <c r="Z27" s="60">
        <v>177</v>
      </c>
      <c r="AA27" s="49">
        <v>705</v>
      </c>
      <c r="AB27" s="49">
        <v>556</v>
      </c>
      <c r="AC27" s="49">
        <v>450</v>
      </c>
      <c r="AD27" s="10" t="s">
        <v>19</v>
      </c>
    </row>
    <row r="28" spans="2:30" ht="11.1" customHeight="1" x14ac:dyDescent="0.25">
      <c r="B28" s="59" t="s">
        <v>80</v>
      </c>
      <c r="C28" s="22" t="s">
        <v>6</v>
      </c>
      <c r="D28" s="60">
        <v>1499</v>
      </c>
      <c r="E28" s="60">
        <v>2164</v>
      </c>
      <c r="F28" s="60">
        <v>2562</v>
      </c>
      <c r="G28" s="60">
        <v>152</v>
      </c>
      <c r="H28" s="60">
        <v>5066</v>
      </c>
      <c r="I28" s="60">
        <v>4027</v>
      </c>
      <c r="J28" s="60">
        <v>4042</v>
      </c>
      <c r="K28" s="60">
        <v>4505</v>
      </c>
      <c r="L28" s="60">
        <v>4282</v>
      </c>
      <c r="M28" s="60">
        <v>3302</v>
      </c>
      <c r="N28" s="60">
        <v>3381</v>
      </c>
      <c r="O28" s="60">
        <v>3297</v>
      </c>
      <c r="P28" s="60">
        <v>4814</v>
      </c>
      <c r="Q28" s="60">
        <v>3600</v>
      </c>
      <c r="R28" s="60">
        <v>4063</v>
      </c>
      <c r="S28" s="60">
        <v>3503</v>
      </c>
      <c r="T28" s="60">
        <v>3959</v>
      </c>
      <c r="U28" s="60">
        <v>5279</v>
      </c>
      <c r="V28" s="60">
        <v>7206</v>
      </c>
      <c r="W28" s="60">
        <v>6174</v>
      </c>
      <c r="X28" s="60">
        <v>6789</v>
      </c>
      <c r="Y28" s="60">
        <v>10138</v>
      </c>
      <c r="Z28" s="60">
        <v>9671</v>
      </c>
      <c r="AA28" s="49">
        <v>12891</v>
      </c>
      <c r="AB28" s="49">
        <v>13755</v>
      </c>
      <c r="AC28" s="49">
        <v>13392</v>
      </c>
      <c r="AD28" s="10" t="s">
        <v>19</v>
      </c>
    </row>
    <row r="29" spans="2:30" ht="11.25" customHeight="1" x14ac:dyDescent="0.25">
      <c r="B29" s="59" t="s">
        <v>81</v>
      </c>
      <c r="C29" s="22" t="s">
        <v>6</v>
      </c>
      <c r="D29" s="60">
        <v>1460</v>
      </c>
      <c r="E29" s="60">
        <v>1245</v>
      </c>
      <c r="F29" s="60">
        <v>1991</v>
      </c>
      <c r="G29" s="60">
        <v>1955</v>
      </c>
      <c r="H29" s="60">
        <v>2403</v>
      </c>
      <c r="I29" s="60">
        <v>3211</v>
      </c>
      <c r="J29" s="60">
        <v>3556</v>
      </c>
      <c r="K29" s="60">
        <v>3885</v>
      </c>
      <c r="L29" s="60">
        <v>3909</v>
      </c>
      <c r="M29" s="60">
        <v>8135</v>
      </c>
      <c r="N29" s="60">
        <v>6227</v>
      </c>
      <c r="O29" s="60">
        <v>5549</v>
      </c>
      <c r="P29" s="60">
        <v>3137</v>
      </c>
      <c r="Q29" s="60">
        <v>4962</v>
      </c>
      <c r="R29" s="60">
        <v>5125</v>
      </c>
      <c r="S29" s="60">
        <v>4824</v>
      </c>
      <c r="T29" s="60">
        <v>3820</v>
      </c>
      <c r="U29" s="60">
        <v>3173</v>
      </c>
      <c r="V29" s="60">
        <v>4994</v>
      </c>
      <c r="W29" s="60">
        <v>5320</v>
      </c>
      <c r="X29" s="60">
        <v>2878</v>
      </c>
      <c r="Y29" s="60">
        <v>2122</v>
      </c>
      <c r="Z29" s="60">
        <v>5227</v>
      </c>
      <c r="AA29" s="49">
        <v>5964</v>
      </c>
      <c r="AB29" s="49">
        <v>7543</v>
      </c>
      <c r="AC29" s="49">
        <v>2953</v>
      </c>
      <c r="AD29" s="10" t="s">
        <v>19</v>
      </c>
    </row>
    <row r="30" spans="2:30" ht="11.1" customHeight="1" x14ac:dyDescent="0.25">
      <c r="B30" s="59" t="s">
        <v>82</v>
      </c>
      <c r="C30" s="22" t="s">
        <v>6</v>
      </c>
      <c r="D30" s="60">
        <v>374</v>
      </c>
      <c r="E30" s="60">
        <v>387</v>
      </c>
      <c r="F30" s="60">
        <v>682</v>
      </c>
      <c r="G30" s="60">
        <v>3043</v>
      </c>
      <c r="H30" s="60">
        <v>676</v>
      </c>
      <c r="I30" s="60">
        <v>691</v>
      </c>
      <c r="J30" s="60">
        <v>611</v>
      </c>
      <c r="K30" s="60">
        <v>524</v>
      </c>
      <c r="L30" s="60">
        <v>615</v>
      </c>
      <c r="M30" s="60">
        <v>4727</v>
      </c>
      <c r="N30" s="60">
        <v>0</v>
      </c>
      <c r="O30" s="60">
        <v>0</v>
      </c>
      <c r="P30" s="60">
        <v>1234</v>
      </c>
      <c r="Q30" s="60">
        <v>913</v>
      </c>
      <c r="R30" s="60">
        <v>10614</v>
      </c>
      <c r="S30" s="60">
        <v>12562</v>
      </c>
      <c r="T30" s="60">
        <v>12662</v>
      </c>
      <c r="U30" s="60">
        <v>15639</v>
      </c>
      <c r="V30" s="60">
        <v>15828</v>
      </c>
      <c r="W30" s="60">
        <v>15517</v>
      </c>
      <c r="X30" s="60">
        <v>15561</v>
      </c>
      <c r="Y30" s="60">
        <v>13860</v>
      </c>
      <c r="Z30" s="60">
        <v>18109</v>
      </c>
      <c r="AA30" s="49">
        <v>17834</v>
      </c>
      <c r="AB30" s="49">
        <v>16458</v>
      </c>
      <c r="AC30" s="49">
        <v>12959</v>
      </c>
      <c r="AD30" s="10" t="s">
        <v>19</v>
      </c>
    </row>
    <row r="31" spans="2:30" ht="11.1" customHeight="1" x14ac:dyDescent="0.25">
      <c r="B31" s="59" t="s">
        <v>13</v>
      </c>
      <c r="C31" s="22" t="s">
        <v>6</v>
      </c>
      <c r="D31" s="60">
        <v>13562</v>
      </c>
      <c r="E31" s="60">
        <v>16667</v>
      </c>
      <c r="F31" s="60">
        <v>21154</v>
      </c>
      <c r="G31" s="60">
        <v>19256</v>
      </c>
      <c r="H31" s="60">
        <v>24836</v>
      </c>
      <c r="I31" s="60">
        <v>25918</v>
      </c>
      <c r="J31" s="60">
        <v>26918</v>
      </c>
      <c r="K31" s="60">
        <v>20877</v>
      </c>
      <c r="L31" s="60">
        <v>20931</v>
      </c>
      <c r="M31" s="60">
        <v>26112</v>
      </c>
      <c r="N31" s="60">
        <v>23319</v>
      </c>
      <c r="O31" s="60">
        <v>21772</v>
      </c>
      <c r="P31" s="60">
        <v>24590</v>
      </c>
      <c r="Q31" s="60">
        <v>25719</v>
      </c>
      <c r="R31" s="60">
        <v>27722</v>
      </c>
      <c r="S31" s="60">
        <v>25980</v>
      </c>
      <c r="T31" s="60">
        <v>26246</v>
      </c>
      <c r="U31" s="60">
        <v>31620</v>
      </c>
      <c r="V31" s="60">
        <v>37279</v>
      </c>
      <c r="W31" s="60">
        <v>37481</v>
      </c>
      <c r="X31" s="60">
        <v>30261</v>
      </c>
      <c r="Y31" s="60">
        <v>33545</v>
      </c>
      <c r="Z31" s="60">
        <v>38976</v>
      </c>
      <c r="AA31" s="49">
        <v>47979</v>
      </c>
      <c r="AB31" s="49">
        <v>49008</v>
      </c>
      <c r="AC31" s="49">
        <v>37884</v>
      </c>
      <c r="AD31" s="10" t="s">
        <v>19</v>
      </c>
    </row>
    <row r="32" spans="2:30" ht="11.1" customHeight="1" x14ac:dyDescent="0.25">
      <c r="B32" s="61" t="s">
        <v>83</v>
      </c>
      <c r="C32" s="22" t="s">
        <v>6</v>
      </c>
      <c r="D32" s="60">
        <v>0</v>
      </c>
      <c r="E32" s="60">
        <v>0</v>
      </c>
      <c r="F32" s="60">
        <v>0</v>
      </c>
      <c r="G32" s="60">
        <v>0</v>
      </c>
      <c r="H32" s="60">
        <v>0</v>
      </c>
      <c r="I32" s="60">
        <v>0</v>
      </c>
      <c r="J32" s="60">
        <v>0</v>
      </c>
      <c r="K32" s="60">
        <v>0</v>
      </c>
      <c r="L32" s="60">
        <v>0</v>
      </c>
      <c r="M32" s="60">
        <v>0</v>
      </c>
      <c r="N32" s="60">
        <v>0</v>
      </c>
      <c r="O32" s="60">
        <v>0</v>
      </c>
      <c r="P32" s="60">
        <v>0</v>
      </c>
      <c r="Q32" s="60">
        <v>0</v>
      </c>
      <c r="R32" s="60">
        <v>0</v>
      </c>
      <c r="S32" s="60">
        <v>0</v>
      </c>
      <c r="T32" s="60">
        <v>0</v>
      </c>
      <c r="U32" s="60">
        <v>0</v>
      </c>
      <c r="V32" s="60">
        <v>0</v>
      </c>
      <c r="W32" s="60">
        <v>0</v>
      </c>
      <c r="X32" s="60">
        <v>0</v>
      </c>
      <c r="Y32" s="60">
        <v>876</v>
      </c>
      <c r="Z32" s="60">
        <v>0</v>
      </c>
      <c r="AA32" s="49">
        <v>2104</v>
      </c>
      <c r="AB32" s="49">
        <v>2</v>
      </c>
      <c r="AC32" s="49">
        <v>1373</v>
      </c>
      <c r="AD32" s="10" t="s">
        <v>19</v>
      </c>
    </row>
    <row r="33" spans="2:30" ht="11.45" customHeight="1" x14ac:dyDescent="0.25">
      <c r="B33" s="61" t="s">
        <v>55</v>
      </c>
      <c r="C33" s="22" t="s">
        <v>6</v>
      </c>
      <c r="D33" s="60">
        <v>22306</v>
      </c>
      <c r="E33" s="60">
        <v>32028</v>
      </c>
      <c r="F33" s="60">
        <v>34270</v>
      </c>
      <c r="G33" s="60">
        <v>31336</v>
      </c>
      <c r="H33" s="60">
        <v>33019</v>
      </c>
      <c r="I33" s="60">
        <v>31514</v>
      </c>
      <c r="J33" s="60">
        <v>32766</v>
      </c>
      <c r="K33" s="60">
        <v>26250</v>
      </c>
      <c r="L33" s="60">
        <v>28917</v>
      </c>
      <c r="M33" s="60">
        <v>32948</v>
      </c>
      <c r="N33" s="60">
        <v>33717</v>
      </c>
      <c r="O33" s="60">
        <v>31241</v>
      </c>
      <c r="P33" s="60">
        <v>32442</v>
      </c>
      <c r="Q33" s="60">
        <v>34104</v>
      </c>
      <c r="R33" s="60">
        <v>34090</v>
      </c>
      <c r="S33" s="60">
        <v>30359</v>
      </c>
      <c r="T33" s="60">
        <v>31071</v>
      </c>
      <c r="U33" s="60">
        <v>34894</v>
      </c>
      <c r="V33" s="60">
        <v>43860</v>
      </c>
      <c r="W33" s="60">
        <v>47825</v>
      </c>
      <c r="X33" s="60">
        <v>38538</v>
      </c>
      <c r="Y33" s="60">
        <v>40534</v>
      </c>
      <c r="Z33" s="60">
        <v>45934</v>
      </c>
      <c r="AA33" s="49">
        <v>59420</v>
      </c>
      <c r="AB33" s="49">
        <v>58666</v>
      </c>
      <c r="AC33" s="49">
        <v>48411</v>
      </c>
      <c r="AD33" s="10" t="s">
        <v>19</v>
      </c>
    </row>
    <row r="34" spans="2:30" ht="12" customHeight="1" x14ac:dyDescent="0.25">
      <c r="B34" s="373" t="s">
        <v>29</v>
      </c>
      <c r="C34" s="373"/>
      <c r="D34" s="373"/>
      <c r="E34" s="373"/>
      <c r="F34" s="373"/>
      <c r="G34" s="373"/>
      <c r="H34" s="373"/>
      <c r="I34" s="373"/>
      <c r="J34" s="373"/>
      <c r="K34" s="373"/>
      <c r="L34" s="373"/>
      <c r="M34" s="373"/>
      <c r="N34" s="373"/>
      <c r="O34" s="373"/>
      <c r="P34" s="373"/>
      <c r="Q34" s="373"/>
      <c r="R34" s="373"/>
      <c r="S34" s="373"/>
      <c r="T34" s="373"/>
      <c r="U34" s="375"/>
      <c r="V34" s="375"/>
      <c r="W34" s="375"/>
      <c r="X34" s="375"/>
      <c r="Y34" s="375"/>
      <c r="Z34" s="375"/>
      <c r="AA34" s="51"/>
      <c r="AB34" s="51"/>
      <c r="AC34" s="51"/>
      <c r="AD34" s="51"/>
    </row>
    <row r="35" spans="2:30" ht="11.1" customHeight="1" x14ac:dyDescent="0.25">
      <c r="B35" s="59" t="s">
        <v>75</v>
      </c>
      <c r="C35" s="22" t="s">
        <v>6</v>
      </c>
      <c r="D35" s="60" t="s">
        <v>19</v>
      </c>
      <c r="E35" s="60" t="s">
        <v>19</v>
      </c>
      <c r="F35" s="60" t="s">
        <v>19</v>
      </c>
      <c r="G35" s="60" t="s">
        <v>19</v>
      </c>
      <c r="H35" s="60" t="s">
        <v>19</v>
      </c>
      <c r="I35" s="60" t="s">
        <v>19</v>
      </c>
      <c r="J35" s="60" t="s">
        <v>19</v>
      </c>
      <c r="K35" s="60" t="s">
        <v>19</v>
      </c>
      <c r="L35" s="60" t="s">
        <v>19</v>
      </c>
      <c r="M35" s="60" t="s">
        <v>19</v>
      </c>
      <c r="N35" s="29">
        <v>4200</v>
      </c>
      <c r="O35" s="60">
        <v>5770</v>
      </c>
      <c r="P35" s="60">
        <v>5200</v>
      </c>
      <c r="Q35" s="60">
        <v>7680</v>
      </c>
      <c r="R35" s="60" t="s">
        <v>19</v>
      </c>
      <c r="S35" s="60" t="s">
        <v>19</v>
      </c>
      <c r="T35" s="60" t="s">
        <v>19</v>
      </c>
      <c r="U35" s="60" t="s">
        <v>19</v>
      </c>
      <c r="V35" s="60" t="s">
        <v>19</v>
      </c>
      <c r="W35" s="60">
        <v>22797</v>
      </c>
      <c r="X35" s="60">
        <v>20807</v>
      </c>
      <c r="Y35" s="60">
        <v>38674</v>
      </c>
      <c r="Z35" s="60">
        <v>39037</v>
      </c>
      <c r="AA35" s="49" t="s">
        <v>19</v>
      </c>
      <c r="AB35" s="49">
        <v>64590</v>
      </c>
      <c r="AC35" s="49">
        <v>66298</v>
      </c>
      <c r="AD35" s="10" t="s">
        <v>19</v>
      </c>
    </row>
    <row r="36" spans="2:30" ht="11.1" customHeight="1" x14ac:dyDescent="0.25">
      <c r="B36" s="59" t="s">
        <v>84</v>
      </c>
      <c r="C36" s="14" t="s">
        <v>6</v>
      </c>
      <c r="D36" s="52" t="s">
        <v>19</v>
      </c>
      <c r="E36" s="52" t="s">
        <v>19</v>
      </c>
      <c r="F36" s="52" t="s">
        <v>19</v>
      </c>
      <c r="G36" s="52" t="s">
        <v>19</v>
      </c>
      <c r="H36" s="52" t="s">
        <v>19</v>
      </c>
      <c r="I36" s="52" t="s">
        <v>19</v>
      </c>
      <c r="J36" s="52" t="s">
        <v>19</v>
      </c>
      <c r="K36" s="52" t="s">
        <v>19</v>
      </c>
      <c r="L36" s="52" t="s">
        <v>19</v>
      </c>
      <c r="M36" s="52" t="s">
        <v>19</v>
      </c>
      <c r="N36" s="29" t="s">
        <v>19</v>
      </c>
      <c r="O36" s="52">
        <v>18980</v>
      </c>
      <c r="P36" s="52">
        <v>20970</v>
      </c>
      <c r="Q36" s="52">
        <v>9250</v>
      </c>
      <c r="R36" s="52" t="s">
        <v>19</v>
      </c>
      <c r="S36" s="52" t="s">
        <v>19</v>
      </c>
      <c r="T36" s="52" t="s">
        <v>19</v>
      </c>
      <c r="U36" s="52" t="s">
        <v>19</v>
      </c>
      <c r="V36" s="52" t="s">
        <v>19</v>
      </c>
      <c r="W36" s="52" t="s">
        <v>19</v>
      </c>
      <c r="X36" s="52">
        <v>8900</v>
      </c>
      <c r="Y36" s="52">
        <v>8139</v>
      </c>
      <c r="Z36" s="52">
        <v>13749</v>
      </c>
      <c r="AA36" s="49" t="s">
        <v>19</v>
      </c>
      <c r="AB36" s="49">
        <v>17487</v>
      </c>
      <c r="AC36" s="49">
        <v>10107</v>
      </c>
      <c r="AD36" s="10" t="s">
        <v>19</v>
      </c>
    </row>
    <row r="37" spans="2:30" ht="11.1" customHeight="1" x14ac:dyDescent="0.25">
      <c r="B37" s="62" t="s">
        <v>85</v>
      </c>
      <c r="C37" s="29" t="s">
        <v>6</v>
      </c>
      <c r="D37" s="49">
        <v>55000</v>
      </c>
      <c r="E37" s="49">
        <v>55000</v>
      </c>
      <c r="F37" s="49">
        <v>34500</v>
      </c>
      <c r="G37" s="49">
        <v>4627</v>
      </c>
      <c r="H37" s="49">
        <v>21900</v>
      </c>
      <c r="I37" s="49">
        <v>27800</v>
      </c>
      <c r="J37" s="49">
        <v>24800</v>
      </c>
      <c r="K37" s="49">
        <v>26000</v>
      </c>
      <c r="L37" s="49">
        <v>24600</v>
      </c>
      <c r="M37" s="49">
        <v>22570</v>
      </c>
      <c r="N37" s="49">
        <v>16700</v>
      </c>
      <c r="O37" s="49">
        <v>730</v>
      </c>
      <c r="P37" s="49">
        <v>810</v>
      </c>
      <c r="Q37" s="49">
        <v>284</v>
      </c>
      <c r="R37" s="49">
        <v>23900</v>
      </c>
      <c r="S37" s="49">
        <v>15200</v>
      </c>
      <c r="T37" s="49">
        <v>24100</v>
      </c>
      <c r="U37" s="49">
        <v>24522</v>
      </c>
      <c r="V37" s="49">
        <v>34447</v>
      </c>
      <c r="W37" s="49">
        <v>2754</v>
      </c>
      <c r="X37" s="49">
        <v>259</v>
      </c>
      <c r="Y37" s="49">
        <v>1250</v>
      </c>
      <c r="Z37" s="49">
        <v>1555</v>
      </c>
      <c r="AA37" s="49">
        <v>62470</v>
      </c>
      <c r="AB37" s="49">
        <v>235</v>
      </c>
      <c r="AC37" s="49">
        <v>249</v>
      </c>
      <c r="AD37" s="10" t="s">
        <v>19</v>
      </c>
    </row>
    <row r="38" spans="2:30" ht="11.1" customHeight="1" x14ac:dyDescent="0.25">
      <c r="B38" s="63" t="s">
        <v>13</v>
      </c>
      <c r="C38" s="64" t="s">
        <v>6</v>
      </c>
      <c r="D38" s="65">
        <v>55000</v>
      </c>
      <c r="E38" s="65">
        <v>55000</v>
      </c>
      <c r="F38" s="65">
        <v>34500</v>
      </c>
      <c r="G38" s="65">
        <v>4627</v>
      </c>
      <c r="H38" s="65">
        <v>21900</v>
      </c>
      <c r="I38" s="65">
        <v>27800</v>
      </c>
      <c r="J38" s="65">
        <v>24800</v>
      </c>
      <c r="K38" s="65">
        <v>26000</v>
      </c>
      <c r="L38" s="65">
        <v>24600</v>
      </c>
      <c r="M38" s="65">
        <v>22570</v>
      </c>
      <c r="N38" s="65">
        <v>20900</v>
      </c>
      <c r="O38" s="65">
        <v>25480</v>
      </c>
      <c r="P38" s="65">
        <v>26980</v>
      </c>
      <c r="Q38" s="65">
        <v>17214</v>
      </c>
      <c r="R38" s="65">
        <v>23900</v>
      </c>
      <c r="S38" s="65">
        <v>15200</v>
      </c>
      <c r="T38" s="65">
        <v>24100</v>
      </c>
      <c r="U38" s="65">
        <v>24522</v>
      </c>
      <c r="V38" s="65">
        <v>34447</v>
      </c>
      <c r="W38" s="65">
        <v>25551</v>
      </c>
      <c r="X38" s="65">
        <v>29966</v>
      </c>
      <c r="Y38" s="65">
        <v>48063</v>
      </c>
      <c r="Z38" s="65">
        <v>54340</v>
      </c>
      <c r="AA38" s="49">
        <v>62470</v>
      </c>
      <c r="AB38" s="49">
        <v>82312</v>
      </c>
      <c r="AC38" s="49">
        <v>76654</v>
      </c>
      <c r="AD38" s="10" t="s">
        <v>19</v>
      </c>
    </row>
    <row r="39" spans="2:30" ht="11.1" customHeight="1" thickBot="1" x14ac:dyDescent="0.3">
      <c r="B39" s="53" t="s">
        <v>58</v>
      </c>
      <c r="C39" s="36" t="s">
        <v>6</v>
      </c>
      <c r="D39" s="66">
        <v>77306</v>
      </c>
      <c r="E39" s="66">
        <v>87028</v>
      </c>
      <c r="F39" s="66">
        <v>68770</v>
      </c>
      <c r="G39" s="66">
        <v>35963</v>
      </c>
      <c r="H39" s="66">
        <v>54919</v>
      </c>
      <c r="I39" s="66">
        <v>59314</v>
      </c>
      <c r="J39" s="66">
        <v>57566</v>
      </c>
      <c r="K39" s="66">
        <v>52250</v>
      </c>
      <c r="L39" s="66">
        <v>53517</v>
      </c>
      <c r="M39" s="66">
        <v>55518</v>
      </c>
      <c r="N39" s="66">
        <v>54617</v>
      </c>
      <c r="O39" s="66">
        <v>56721</v>
      </c>
      <c r="P39" s="66">
        <v>59422</v>
      </c>
      <c r="Q39" s="66">
        <v>51318</v>
      </c>
      <c r="R39" s="66">
        <v>57990</v>
      </c>
      <c r="S39" s="66">
        <v>45559</v>
      </c>
      <c r="T39" s="66">
        <v>55171</v>
      </c>
      <c r="U39" s="66">
        <v>59416</v>
      </c>
      <c r="V39" s="66">
        <v>78307</v>
      </c>
      <c r="W39" s="66">
        <v>73375</v>
      </c>
      <c r="X39" s="66">
        <v>68504</v>
      </c>
      <c r="Y39" s="66">
        <v>88597</v>
      </c>
      <c r="Z39" s="66">
        <v>100274</v>
      </c>
      <c r="AA39" s="54">
        <v>121889</v>
      </c>
      <c r="AB39" s="55">
        <v>140979</v>
      </c>
      <c r="AC39" s="55">
        <v>125065</v>
      </c>
      <c r="AD39" s="298" t="s">
        <v>19</v>
      </c>
    </row>
    <row r="40" spans="2:30" ht="11.1" customHeight="1" thickTop="1" x14ac:dyDescent="0.25">
      <c r="B40" s="376" t="s">
        <v>59</v>
      </c>
      <c r="C40" s="376"/>
      <c r="D40" s="376"/>
      <c r="E40" s="376"/>
      <c r="F40" s="376"/>
      <c r="G40" s="376"/>
      <c r="H40" s="376"/>
      <c r="I40" s="376"/>
      <c r="J40" s="376"/>
      <c r="K40" s="376"/>
      <c r="L40" s="376"/>
      <c r="M40" s="376"/>
      <c r="N40" s="376"/>
      <c r="O40" s="376"/>
      <c r="P40" s="376"/>
      <c r="Q40" s="376"/>
      <c r="R40" s="376"/>
      <c r="S40" s="376"/>
      <c r="T40" s="376"/>
      <c r="U40" s="336" t="s">
        <v>35</v>
      </c>
      <c r="V40" s="336" t="s">
        <v>6</v>
      </c>
      <c r="W40" s="336" t="s">
        <v>35</v>
      </c>
      <c r="X40" s="336" t="s">
        <v>6</v>
      </c>
      <c r="Y40" s="336" t="s">
        <v>66</v>
      </c>
      <c r="Z40" s="336" t="s">
        <v>6</v>
      </c>
      <c r="AA40" s="30"/>
      <c r="AB40" s="30"/>
      <c r="AC40" s="30"/>
      <c r="AD40" s="30"/>
    </row>
    <row r="41" spans="2:30" ht="11.1" customHeight="1" x14ac:dyDescent="0.25">
      <c r="B41" s="372" t="s">
        <v>36</v>
      </c>
      <c r="C41" s="372"/>
      <c r="D41" s="372"/>
      <c r="E41" s="372"/>
      <c r="F41" s="372"/>
      <c r="G41" s="372"/>
      <c r="H41" s="372"/>
      <c r="I41" s="372"/>
      <c r="J41" s="372"/>
      <c r="K41" s="372"/>
      <c r="L41" s="372"/>
      <c r="M41" s="372"/>
      <c r="N41" s="372"/>
      <c r="O41" s="372"/>
      <c r="P41" s="372"/>
      <c r="Q41" s="372"/>
      <c r="R41" s="372"/>
      <c r="S41" s="372"/>
      <c r="T41" s="372"/>
      <c r="U41" s="349"/>
      <c r="V41" s="349"/>
      <c r="W41" s="349"/>
      <c r="X41" s="349"/>
      <c r="Y41" s="349"/>
      <c r="Z41" s="349"/>
      <c r="AA41" s="30"/>
      <c r="AB41" s="30"/>
      <c r="AC41" s="30"/>
      <c r="AD41" s="30"/>
    </row>
    <row r="42" spans="2:30" ht="11.1" customHeight="1" x14ac:dyDescent="0.25">
      <c r="B42" s="59" t="s">
        <v>67</v>
      </c>
      <c r="C42" s="22" t="s">
        <v>35</v>
      </c>
      <c r="D42" s="60">
        <v>640</v>
      </c>
      <c r="E42" s="60">
        <v>996</v>
      </c>
      <c r="F42" s="60">
        <v>1123</v>
      </c>
      <c r="G42" s="60">
        <v>1121</v>
      </c>
      <c r="H42" s="60">
        <v>547</v>
      </c>
      <c r="I42" s="60">
        <v>437</v>
      </c>
      <c r="J42" s="60">
        <v>427</v>
      </c>
      <c r="K42" s="60">
        <v>272</v>
      </c>
      <c r="L42" s="60">
        <v>342</v>
      </c>
      <c r="M42" s="60">
        <v>369</v>
      </c>
      <c r="N42" s="60" t="s">
        <v>19</v>
      </c>
      <c r="O42" s="60" t="s">
        <v>19</v>
      </c>
      <c r="P42" s="60">
        <v>391</v>
      </c>
      <c r="Q42" s="60">
        <v>441</v>
      </c>
      <c r="R42" s="60">
        <v>318</v>
      </c>
      <c r="S42" s="60">
        <v>211</v>
      </c>
      <c r="T42" s="60">
        <v>229</v>
      </c>
      <c r="U42" s="60">
        <v>149</v>
      </c>
      <c r="V42" s="60">
        <v>192</v>
      </c>
      <c r="W42" s="60">
        <v>324</v>
      </c>
      <c r="X42" s="60">
        <v>270</v>
      </c>
      <c r="Y42" s="60">
        <v>188</v>
      </c>
      <c r="Z42" s="60">
        <v>69</v>
      </c>
      <c r="AA42" s="49">
        <v>374</v>
      </c>
      <c r="AB42" s="49">
        <v>423</v>
      </c>
      <c r="AC42" s="49">
        <v>326</v>
      </c>
      <c r="AD42" s="10" t="s">
        <v>19</v>
      </c>
    </row>
    <row r="43" spans="2:30" ht="11.1" customHeight="1" x14ac:dyDescent="0.25">
      <c r="B43" s="59" t="s">
        <v>68</v>
      </c>
      <c r="C43" s="22" t="s">
        <v>35</v>
      </c>
      <c r="D43" s="60">
        <v>7</v>
      </c>
      <c r="E43" s="60">
        <v>2</v>
      </c>
      <c r="F43" s="60">
        <v>85</v>
      </c>
      <c r="G43" s="60">
        <v>68</v>
      </c>
      <c r="H43" s="60">
        <v>14</v>
      </c>
      <c r="I43" s="60">
        <v>26</v>
      </c>
      <c r="J43" s="60">
        <v>28</v>
      </c>
      <c r="K43" s="60">
        <v>31</v>
      </c>
      <c r="L43" s="60" t="s">
        <v>19</v>
      </c>
      <c r="M43" s="60" t="s">
        <v>19</v>
      </c>
      <c r="N43" s="60" t="s">
        <v>19</v>
      </c>
      <c r="O43" s="60">
        <v>1.7999999999999999E-2</v>
      </c>
      <c r="P43" s="60">
        <v>29</v>
      </c>
      <c r="Q43" s="60">
        <v>0.12</v>
      </c>
      <c r="R43" s="60">
        <v>0.02</v>
      </c>
      <c r="S43" s="60">
        <v>0.05</v>
      </c>
      <c r="T43" s="60" t="s">
        <v>19</v>
      </c>
      <c r="U43" s="60" t="s">
        <v>19</v>
      </c>
      <c r="V43" s="60">
        <v>2</v>
      </c>
      <c r="W43" s="60">
        <v>1</v>
      </c>
      <c r="X43" s="60">
        <v>0.01</v>
      </c>
      <c r="Y43" s="60">
        <v>0.13200000000000001</v>
      </c>
      <c r="Z43" s="60" t="s">
        <v>19</v>
      </c>
      <c r="AA43" s="49">
        <v>1</v>
      </c>
      <c r="AB43" s="49">
        <v>2</v>
      </c>
      <c r="AC43" s="49" t="s">
        <v>19</v>
      </c>
      <c r="AD43" s="10" t="s">
        <v>19</v>
      </c>
    </row>
    <row r="44" spans="2:30" ht="11.1" customHeight="1" x14ac:dyDescent="0.25">
      <c r="B44" s="59" t="s">
        <v>13</v>
      </c>
      <c r="C44" s="22" t="s">
        <v>35</v>
      </c>
      <c r="D44" s="60">
        <v>647</v>
      </c>
      <c r="E44" s="60">
        <v>999</v>
      </c>
      <c r="F44" s="60">
        <v>1208</v>
      </c>
      <c r="G44" s="60">
        <v>1189</v>
      </c>
      <c r="H44" s="60">
        <v>561</v>
      </c>
      <c r="I44" s="60">
        <v>463</v>
      </c>
      <c r="J44" s="60">
        <v>455</v>
      </c>
      <c r="K44" s="60">
        <v>302</v>
      </c>
      <c r="L44" s="60">
        <v>342</v>
      </c>
      <c r="M44" s="60">
        <v>369</v>
      </c>
      <c r="N44" s="60" t="s">
        <v>19</v>
      </c>
      <c r="O44" s="60">
        <v>1.7999999999999999E-2</v>
      </c>
      <c r="P44" s="60">
        <v>420</v>
      </c>
      <c r="Q44" s="60">
        <v>441</v>
      </c>
      <c r="R44" s="60">
        <v>318</v>
      </c>
      <c r="S44" s="60">
        <v>211</v>
      </c>
      <c r="T44" s="60">
        <v>229</v>
      </c>
      <c r="U44" s="60">
        <v>149</v>
      </c>
      <c r="V44" s="60">
        <v>195</v>
      </c>
      <c r="W44" s="60">
        <v>326</v>
      </c>
      <c r="X44" s="60">
        <v>270</v>
      </c>
      <c r="Y44" s="60">
        <v>188</v>
      </c>
      <c r="Z44" s="60">
        <v>69</v>
      </c>
      <c r="AA44" s="49">
        <v>375</v>
      </c>
      <c r="AB44" s="49">
        <v>425</v>
      </c>
      <c r="AC44" s="49">
        <v>326</v>
      </c>
      <c r="AD44" s="10" t="s">
        <v>19</v>
      </c>
    </row>
    <row r="45" spans="2:30" ht="11.1" customHeight="1" x14ac:dyDescent="0.25">
      <c r="B45" s="373" t="s">
        <v>40</v>
      </c>
      <c r="C45" s="373"/>
      <c r="D45" s="373"/>
      <c r="E45" s="373"/>
      <c r="F45" s="373"/>
      <c r="G45" s="373"/>
      <c r="H45" s="373"/>
      <c r="I45" s="373"/>
      <c r="J45" s="373"/>
      <c r="K45" s="373"/>
      <c r="L45" s="373"/>
      <c r="M45" s="373"/>
      <c r="N45" s="373"/>
      <c r="O45" s="373"/>
      <c r="P45" s="373"/>
      <c r="Q45" s="373"/>
      <c r="R45" s="373"/>
      <c r="S45" s="373"/>
      <c r="T45" s="373"/>
      <c r="U45" s="337"/>
      <c r="V45" s="337"/>
      <c r="W45" s="337"/>
      <c r="X45" s="337"/>
      <c r="Y45" s="337"/>
      <c r="Z45" s="337"/>
      <c r="AA45" s="48"/>
      <c r="AB45" s="48"/>
      <c r="AC45" s="48"/>
      <c r="AD45" s="48"/>
    </row>
    <row r="46" spans="2:30" ht="11.1" customHeight="1" x14ac:dyDescent="0.25">
      <c r="B46" s="59" t="s">
        <v>69</v>
      </c>
      <c r="C46" s="22" t="s">
        <v>35</v>
      </c>
      <c r="D46" s="60">
        <v>1.7000000000000001E-2</v>
      </c>
      <c r="E46" s="60">
        <v>5</v>
      </c>
      <c r="F46" s="60">
        <v>1</v>
      </c>
      <c r="G46" s="60">
        <v>9</v>
      </c>
      <c r="H46" s="60">
        <v>25</v>
      </c>
      <c r="I46" s="60">
        <v>5</v>
      </c>
      <c r="J46" s="60">
        <v>1</v>
      </c>
      <c r="K46" s="60">
        <v>1</v>
      </c>
      <c r="L46" s="60">
        <v>0.31</v>
      </c>
      <c r="M46" s="60" t="s">
        <v>19</v>
      </c>
      <c r="N46" s="60" t="s">
        <v>19</v>
      </c>
      <c r="O46" s="60" t="s">
        <v>19</v>
      </c>
      <c r="P46" s="60" t="s">
        <v>19</v>
      </c>
      <c r="Q46" s="60" t="s">
        <v>19</v>
      </c>
      <c r="R46" s="60">
        <v>1.2E-2</v>
      </c>
      <c r="S46" s="60">
        <v>0.2</v>
      </c>
      <c r="T46" s="60">
        <v>0.161</v>
      </c>
      <c r="U46" s="60">
        <v>5</v>
      </c>
      <c r="V46" s="60">
        <v>5</v>
      </c>
      <c r="W46" s="60">
        <v>7</v>
      </c>
      <c r="X46" s="60">
        <v>0.13200000000000001</v>
      </c>
      <c r="Y46" s="60">
        <v>9</v>
      </c>
      <c r="Z46" s="60">
        <v>0.126</v>
      </c>
      <c r="AA46" s="49">
        <v>6</v>
      </c>
      <c r="AB46" s="49">
        <v>1</v>
      </c>
      <c r="AC46" s="49" t="s">
        <v>19</v>
      </c>
      <c r="AD46" s="10" t="s">
        <v>19</v>
      </c>
    </row>
    <row r="47" spans="2:30" ht="11.1" customHeight="1" x14ac:dyDescent="0.25">
      <c r="B47" s="59" t="s">
        <v>43</v>
      </c>
      <c r="C47" s="22" t="s">
        <v>35</v>
      </c>
      <c r="D47" s="60">
        <v>2</v>
      </c>
      <c r="E47" s="60">
        <v>2</v>
      </c>
      <c r="F47" s="60">
        <v>1</v>
      </c>
      <c r="G47" s="60">
        <v>2</v>
      </c>
      <c r="H47" s="60">
        <v>1</v>
      </c>
      <c r="I47" s="60">
        <v>4</v>
      </c>
      <c r="J47" s="60" t="s">
        <v>19</v>
      </c>
      <c r="K47" s="60" t="s">
        <v>19</v>
      </c>
      <c r="L47" s="60" t="s">
        <v>19</v>
      </c>
      <c r="M47" s="60" t="s">
        <v>19</v>
      </c>
      <c r="N47" s="60" t="s">
        <v>19</v>
      </c>
      <c r="O47" s="60" t="s">
        <v>19</v>
      </c>
      <c r="P47" s="60" t="s">
        <v>19</v>
      </c>
      <c r="Q47" s="60" t="s">
        <v>19</v>
      </c>
      <c r="R47" s="60" t="s">
        <v>19</v>
      </c>
      <c r="S47" s="60" t="s">
        <v>19</v>
      </c>
      <c r="T47" s="60" t="s">
        <v>19</v>
      </c>
      <c r="U47" s="60" t="s">
        <v>19</v>
      </c>
      <c r="V47" s="60" t="s">
        <v>19</v>
      </c>
      <c r="W47" s="60" t="s">
        <v>19</v>
      </c>
      <c r="X47" s="60" t="s">
        <v>19</v>
      </c>
      <c r="Y47" s="60" t="s">
        <v>19</v>
      </c>
      <c r="Z47" s="60" t="s">
        <v>19</v>
      </c>
      <c r="AA47" s="49" t="s">
        <v>19</v>
      </c>
      <c r="AB47" s="49" t="s">
        <v>19</v>
      </c>
      <c r="AC47" s="49" t="s">
        <v>19</v>
      </c>
      <c r="AD47" s="10" t="s">
        <v>19</v>
      </c>
    </row>
    <row r="48" spans="2:30" ht="11.1" customHeight="1" x14ac:dyDescent="0.25">
      <c r="B48" s="59" t="s">
        <v>70</v>
      </c>
      <c r="C48" s="22" t="s">
        <v>35</v>
      </c>
      <c r="D48" s="60">
        <v>274</v>
      </c>
      <c r="E48" s="60">
        <v>342</v>
      </c>
      <c r="F48" s="60">
        <v>201</v>
      </c>
      <c r="G48" s="60">
        <v>118</v>
      </c>
      <c r="H48" s="60">
        <v>300</v>
      </c>
      <c r="I48" s="60">
        <v>92</v>
      </c>
      <c r="J48" s="60">
        <v>144</v>
      </c>
      <c r="K48" s="60">
        <v>60</v>
      </c>
      <c r="L48" s="60">
        <v>239</v>
      </c>
      <c r="M48" s="60">
        <v>35</v>
      </c>
      <c r="N48" s="60">
        <v>19</v>
      </c>
      <c r="O48" s="60">
        <v>21</v>
      </c>
      <c r="P48" s="60">
        <v>1</v>
      </c>
      <c r="Q48" s="60">
        <v>11</v>
      </c>
      <c r="R48" s="60">
        <v>4</v>
      </c>
      <c r="S48" s="60">
        <v>30</v>
      </c>
      <c r="T48" s="60">
        <v>47</v>
      </c>
      <c r="U48" s="60">
        <v>51</v>
      </c>
      <c r="V48" s="60">
        <v>75</v>
      </c>
      <c r="W48" s="60">
        <v>59</v>
      </c>
      <c r="X48" s="60">
        <v>49</v>
      </c>
      <c r="Y48" s="60">
        <v>68</v>
      </c>
      <c r="Z48" s="60">
        <v>31</v>
      </c>
      <c r="AA48" s="49">
        <v>50</v>
      </c>
      <c r="AB48" s="49">
        <v>31</v>
      </c>
      <c r="AC48" s="49">
        <v>63</v>
      </c>
      <c r="AD48" s="10" t="s">
        <v>19</v>
      </c>
    </row>
    <row r="49" spans="2:30" ht="11.1" customHeight="1" x14ac:dyDescent="0.25">
      <c r="B49" s="59" t="s">
        <v>13</v>
      </c>
      <c r="C49" s="22" t="s">
        <v>35</v>
      </c>
      <c r="D49" s="60">
        <v>276</v>
      </c>
      <c r="E49" s="60">
        <v>349</v>
      </c>
      <c r="F49" s="60">
        <v>202</v>
      </c>
      <c r="G49" s="60">
        <v>129</v>
      </c>
      <c r="H49" s="60">
        <v>326</v>
      </c>
      <c r="I49" s="60">
        <v>101</v>
      </c>
      <c r="J49" s="60">
        <v>146</v>
      </c>
      <c r="K49" s="60">
        <v>62</v>
      </c>
      <c r="L49" s="60">
        <v>239</v>
      </c>
      <c r="M49" s="60">
        <v>35</v>
      </c>
      <c r="N49" s="60">
        <v>19</v>
      </c>
      <c r="O49" s="60">
        <v>21</v>
      </c>
      <c r="P49" s="60">
        <v>1</v>
      </c>
      <c r="Q49" s="60">
        <v>11</v>
      </c>
      <c r="R49" s="60">
        <v>4</v>
      </c>
      <c r="S49" s="60">
        <v>30</v>
      </c>
      <c r="T49" s="60">
        <v>47</v>
      </c>
      <c r="U49" s="60">
        <v>56</v>
      </c>
      <c r="V49" s="60">
        <v>80</v>
      </c>
      <c r="W49" s="60">
        <v>65</v>
      </c>
      <c r="X49" s="60">
        <v>50</v>
      </c>
      <c r="Y49" s="60">
        <v>77</v>
      </c>
      <c r="Z49" s="60">
        <v>31</v>
      </c>
      <c r="AA49" s="49">
        <v>57</v>
      </c>
      <c r="AB49" s="49">
        <v>32</v>
      </c>
      <c r="AC49" s="49">
        <v>63</v>
      </c>
      <c r="AD49" s="10" t="s">
        <v>19</v>
      </c>
    </row>
    <row r="50" spans="2:30" ht="11.1" customHeight="1" x14ac:dyDescent="0.25">
      <c r="B50" s="373" t="s">
        <v>71</v>
      </c>
      <c r="C50" s="373"/>
      <c r="D50" s="373"/>
      <c r="E50" s="373"/>
      <c r="F50" s="373"/>
      <c r="G50" s="373"/>
      <c r="H50" s="373"/>
      <c r="I50" s="373"/>
      <c r="J50" s="373"/>
      <c r="K50" s="373"/>
      <c r="L50" s="373"/>
      <c r="M50" s="373"/>
      <c r="N50" s="373"/>
      <c r="O50" s="373"/>
      <c r="P50" s="373"/>
      <c r="Q50" s="373"/>
      <c r="R50" s="373"/>
      <c r="S50" s="373"/>
      <c r="T50" s="373"/>
      <c r="U50" s="337"/>
      <c r="V50" s="337"/>
      <c r="W50" s="337"/>
      <c r="X50" s="337"/>
      <c r="Y50" s="337"/>
      <c r="Z50" s="337"/>
      <c r="AA50" s="48"/>
      <c r="AB50" s="48"/>
      <c r="AC50" s="48"/>
      <c r="AD50" s="48"/>
    </row>
    <row r="51" spans="2:30" ht="11.1" customHeight="1" x14ac:dyDescent="0.25">
      <c r="B51" s="59" t="s">
        <v>72</v>
      </c>
      <c r="C51" s="22" t="s">
        <v>35</v>
      </c>
      <c r="D51" s="60">
        <v>4</v>
      </c>
      <c r="E51" s="60">
        <v>9</v>
      </c>
      <c r="F51" s="60">
        <v>12</v>
      </c>
      <c r="G51" s="60">
        <v>6</v>
      </c>
      <c r="H51" s="60">
        <v>6</v>
      </c>
      <c r="I51" s="60">
        <v>8</v>
      </c>
      <c r="J51" s="60">
        <v>12</v>
      </c>
      <c r="K51" s="60">
        <v>12</v>
      </c>
      <c r="L51" s="60">
        <v>10</v>
      </c>
      <c r="M51" s="60">
        <v>10</v>
      </c>
      <c r="N51" s="60">
        <v>4</v>
      </c>
      <c r="O51" s="60">
        <v>6</v>
      </c>
      <c r="P51" s="60">
        <v>7</v>
      </c>
      <c r="Q51" s="60">
        <v>11</v>
      </c>
      <c r="R51" s="60">
        <v>11</v>
      </c>
      <c r="S51" s="60">
        <v>6</v>
      </c>
      <c r="T51" s="60">
        <v>0</v>
      </c>
      <c r="U51" s="60">
        <v>11</v>
      </c>
      <c r="V51" s="60">
        <v>13</v>
      </c>
      <c r="W51" s="60">
        <v>12</v>
      </c>
      <c r="X51" s="60">
        <v>26</v>
      </c>
      <c r="Y51" s="60">
        <v>17</v>
      </c>
      <c r="Z51" s="60">
        <v>6</v>
      </c>
      <c r="AA51" s="49">
        <v>5</v>
      </c>
      <c r="AB51" s="49">
        <v>3</v>
      </c>
      <c r="AC51" s="49">
        <v>2</v>
      </c>
      <c r="AD51" s="10" t="s">
        <v>19</v>
      </c>
    </row>
    <row r="52" spans="2:30" ht="11.1" customHeight="1" x14ac:dyDescent="0.25">
      <c r="B52" s="59" t="s">
        <v>73</v>
      </c>
      <c r="C52" s="22" t="s">
        <v>35</v>
      </c>
      <c r="D52" s="60">
        <v>381</v>
      </c>
      <c r="E52" s="60">
        <v>453</v>
      </c>
      <c r="F52" s="60">
        <v>510</v>
      </c>
      <c r="G52" s="60">
        <v>489</v>
      </c>
      <c r="H52" s="60">
        <v>969</v>
      </c>
      <c r="I52" s="60">
        <v>1102</v>
      </c>
      <c r="J52" s="60">
        <v>1299</v>
      </c>
      <c r="K52" s="60">
        <v>857</v>
      </c>
      <c r="L52" s="60">
        <v>870</v>
      </c>
      <c r="M52" s="60">
        <v>924</v>
      </c>
      <c r="N52" s="60">
        <v>1200</v>
      </c>
      <c r="O52" s="60">
        <v>738</v>
      </c>
      <c r="P52" s="60">
        <v>891</v>
      </c>
      <c r="Q52" s="60">
        <v>888</v>
      </c>
      <c r="R52" s="60">
        <v>439</v>
      </c>
      <c r="S52" s="60">
        <v>149</v>
      </c>
      <c r="T52" s="60">
        <v>138</v>
      </c>
      <c r="U52" s="60">
        <v>77</v>
      </c>
      <c r="V52" s="60">
        <v>165</v>
      </c>
      <c r="W52" s="60">
        <v>89</v>
      </c>
      <c r="X52" s="60">
        <v>53</v>
      </c>
      <c r="Y52" s="60">
        <v>246</v>
      </c>
      <c r="Z52" s="60">
        <v>220</v>
      </c>
      <c r="AA52" s="49">
        <v>209</v>
      </c>
      <c r="AB52" s="49">
        <v>70</v>
      </c>
      <c r="AC52" s="49">
        <v>65</v>
      </c>
      <c r="AD52" s="10" t="s">
        <v>19</v>
      </c>
    </row>
    <row r="53" spans="2:30" ht="11.25" customHeight="1" x14ac:dyDescent="0.25">
      <c r="B53" s="59" t="s">
        <v>74</v>
      </c>
      <c r="C53" s="22" t="s">
        <v>35</v>
      </c>
      <c r="D53" s="60">
        <v>709</v>
      </c>
      <c r="E53" s="60">
        <v>923</v>
      </c>
      <c r="F53" s="60">
        <v>1155</v>
      </c>
      <c r="G53" s="60">
        <v>579</v>
      </c>
      <c r="H53" s="60">
        <v>1028</v>
      </c>
      <c r="I53" s="60">
        <v>1059</v>
      </c>
      <c r="J53" s="60">
        <v>984</v>
      </c>
      <c r="K53" s="60">
        <v>1034</v>
      </c>
      <c r="L53" s="60">
        <v>1168</v>
      </c>
      <c r="M53" s="60">
        <v>413</v>
      </c>
      <c r="N53" s="60">
        <v>1463</v>
      </c>
      <c r="O53" s="60">
        <v>1404</v>
      </c>
      <c r="P53" s="60">
        <v>1288</v>
      </c>
      <c r="Q53" s="60">
        <v>1589</v>
      </c>
      <c r="R53" s="60">
        <v>114</v>
      </c>
      <c r="S53" s="60">
        <v>41</v>
      </c>
      <c r="T53" s="60">
        <v>183</v>
      </c>
      <c r="U53" s="60">
        <v>324</v>
      </c>
      <c r="V53" s="60">
        <v>186</v>
      </c>
      <c r="W53" s="60">
        <v>136</v>
      </c>
      <c r="X53" s="60">
        <v>17</v>
      </c>
      <c r="Y53" s="60">
        <v>6</v>
      </c>
      <c r="Z53" s="60">
        <v>16</v>
      </c>
      <c r="AA53" s="49">
        <v>46</v>
      </c>
      <c r="AB53" s="49">
        <v>34</v>
      </c>
      <c r="AC53" s="49">
        <v>101</v>
      </c>
      <c r="AD53" s="10" t="s">
        <v>19</v>
      </c>
    </row>
    <row r="54" spans="2:30" ht="11.1" customHeight="1" x14ac:dyDescent="0.25">
      <c r="B54" s="59" t="s">
        <v>75</v>
      </c>
      <c r="C54" s="22" t="s">
        <v>35</v>
      </c>
      <c r="D54" s="60">
        <v>766</v>
      </c>
      <c r="E54" s="60">
        <v>878</v>
      </c>
      <c r="F54" s="60">
        <v>1041</v>
      </c>
      <c r="G54" s="60">
        <v>970</v>
      </c>
      <c r="H54" s="60">
        <v>670</v>
      </c>
      <c r="I54" s="60">
        <v>701</v>
      </c>
      <c r="J54" s="60">
        <v>666</v>
      </c>
      <c r="K54" s="60">
        <v>634</v>
      </c>
      <c r="L54" s="60">
        <v>588</v>
      </c>
      <c r="M54" s="60">
        <v>644</v>
      </c>
      <c r="N54" s="60">
        <v>665</v>
      </c>
      <c r="O54" s="60">
        <v>654</v>
      </c>
      <c r="P54" s="60">
        <v>707</v>
      </c>
      <c r="Q54" s="60">
        <v>759</v>
      </c>
      <c r="R54" s="60">
        <v>554</v>
      </c>
      <c r="S54" s="60">
        <v>409</v>
      </c>
      <c r="T54" s="60">
        <v>380</v>
      </c>
      <c r="U54" s="60">
        <v>323</v>
      </c>
      <c r="V54" s="60">
        <v>327</v>
      </c>
      <c r="W54" s="60">
        <v>331</v>
      </c>
      <c r="X54" s="60">
        <v>289</v>
      </c>
      <c r="Y54" s="60">
        <v>234</v>
      </c>
      <c r="Z54" s="60">
        <v>211</v>
      </c>
      <c r="AA54" s="49">
        <v>223</v>
      </c>
      <c r="AB54" s="49">
        <v>185</v>
      </c>
      <c r="AC54" s="49">
        <v>52</v>
      </c>
      <c r="AD54" s="10" t="s">
        <v>19</v>
      </c>
    </row>
    <row r="55" spans="2:30" ht="11.1" customHeight="1" x14ac:dyDescent="0.25">
      <c r="B55" s="59" t="s">
        <v>76</v>
      </c>
      <c r="C55" s="22" t="s">
        <v>35</v>
      </c>
      <c r="D55" s="60">
        <v>321</v>
      </c>
      <c r="E55" s="60">
        <v>298</v>
      </c>
      <c r="F55" s="60">
        <v>430</v>
      </c>
      <c r="G55" s="60">
        <v>366</v>
      </c>
      <c r="H55" s="60">
        <v>261</v>
      </c>
      <c r="I55" s="60">
        <v>375</v>
      </c>
      <c r="J55" s="60">
        <v>347</v>
      </c>
      <c r="K55" s="60">
        <v>349</v>
      </c>
      <c r="L55" s="60">
        <v>406</v>
      </c>
      <c r="M55" s="60">
        <v>341</v>
      </c>
      <c r="N55" s="60">
        <v>336</v>
      </c>
      <c r="O55" s="60">
        <v>280</v>
      </c>
      <c r="P55" s="60">
        <v>319</v>
      </c>
      <c r="Q55" s="60">
        <v>383</v>
      </c>
      <c r="R55" s="60">
        <v>283</v>
      </c>
      <c r="S55" s="60">
        <v>225</v>
      </c>
      <c r="T55" s="60">
        <v>224</v>
      </c>
      <c r="U55" s="60">
        <v>239</v>
      </c>
      <c r="V55" s="60">
        <v>270</v>
      </c>
      <c r="W55" s="60">
        <v>265</v>
      </c>
      <c r="X55" s="60">
        <v>235</v>
      </c>
      <c r="Y55" s="60">
        <v>180</v>
      </c>
      <c r="Z55" s="60">
        <v>158</v>
      </c>
      <c r="AA55" s="49">
        <v>146</v>
      </c>
      <c r="AB55" s="49">
        <v>164</v>
      </c>
      <c r="AC55" s="49">
        <v>47</v>
      </c>
      <c r="AD55" s="10" t="s">
        <v>19</v>
      </c>
    </row>
    <row r="56" spans="2:30" ht="11.1" customHeight="1" x14ac:dyDescent="0.25">
      <c r="B56" s="59" t="s">
        <v>77</v>
      </c>
      <c r="C56" s="22" t="s">
        <v>35</v>
      </c>
      <c r="D56" s="60">
        <v>49</v>
      </c>
      <c r="E56" s="60">
        <v>93</v>
      </c>
      <c r="F56" s="60">
        <v>142</v>
      </c>
      <c r="G56" s="60">
        <v>413</v>
      </c>
      <c r="H56" s="60">
        <v>180</v>
      </c>
      <c r="I56" s="60">
        <v>232</v>
      </c>
      <c r="J56" s="60">
        <v>308</v>
      </c>
      <c r="K56" s="60">
        <v>248</v>
      </c>
      <c r="L56" s="60">
        <v>240</v>
      </c>
      <c r="M56" s="60">
        <v>222</v>
      </c>
      <c r="N56" s="60">
        <v>225</v>
      </c>
      <c r="O56" s="60">
        <v>215</v>
      </c>
      <c r="P56" s="60">
        <v>165</v>
      </c>
      <c r="Q56" s="60">
        <v>167</v>
      </c>
      <c r="R56" s="60">
        <v>184</v>
      </c>
      <c r="S56" s="60">
        <v>158</v>
      </c>
      <c r="T56" s="60">
        <v>146</v>
      </c>
      <c r="U56" s="60">
        <v>133</v>
      </c>
      <c r="V56" s="60">
        <v>173</v>
      </c>
      <c r="W56" s="60">
        <v>181</v>
      </c>
      <c r="X56" s="60">
        <v>168</v>
      </c>
      <c r="Y56" s="60">
        <v>177</v>
      </c>
      <c r="Z56" s="60">
        <v>171</v>
      </c>
      <c r="AA56" s="49">
        <v>151</v>
      </c>
      <c r="AB56" s="49">
        <v>190</v>
      </c>
      <c r="AC56" s="49">
        <v>154</v>
      </c>
      <c r="AD56" s="10" t="s">
        <v>19</v>
      </c>
    </row>
    <row r="57" spans="2:30" ht="11.1" customHeight="1" x14ac:dyDescent="0.25">
      <c r="B57" s="59" t="s">
        <v>78</v>
      </c>
      <c r="C57" s="22" t="s">
        <v>35</v>
      </c>
      <c r="D57" s="60">
        <v>44</v>
      </c>
      <c r="E57" s="60">
        <v>71</v>
      </c>
      <c r="F57" s="60">
        <v>136</v>
      </c>
      <c r="G57" s="60">
        <v>132</v>
      </c>
      <c r="H57" s="60">
        <v>97</v>
      </c>
      <c r="I57" s="60">
        <v>106</v>
      </c>
      <c r="J57" s="60">
        <v>79</v>
      </c>
      <c r="K57" s="60">
        <v>75</v>
      </c>
      <c r="L57" s="60">
        <v>90</v>
      </c>
      <c r="M57" s="60">
        <v>103</v>
      </c>
      <c r="N57" s="60">
        <v>123</v>
      </c>
      <c r="O57" s="60">
        <v>111</v>
      </c>
      <c r="P57" s="60">
        <v>82</v>
      </c>
      <c r="Q57" s="60">
        <v>113</v>
      </c>
      <c r="R57" s="60">
        <v>145</v>
      </c>
      <c r="S57" s="60">
        <v>73</v>
      </c>
      <c r="T57" s="60">
        <v>72</v>
      </c>
      <c r="U57" s="60">
        <v>100</v>
      </c>
      <c r="V57" s="60">
        <v>222</v>
      </c>
      <c r="W57" s="60">
        <v>195</v>
      </c>
      <c r="X57" s="60">
        <v>89</v>
      </c>
      <c r="Y57" s="60">
        <v>85</v>
      </c>
      <c r="Z57" s="60">
        <v>108</v>
      </c>
      <c r="AA57" s="49">
        <v>148</v>
      </c>
      <c r="AB57" s="49">
        <v>134</v>
      </c>
      <c r="AC57" s="49">
        <v>202</v>
      </c>
      <c r="AD57" s="10" t="s">
        <v>19</v>
      </c>
    </row>
    <row r="58" spans="2:30" ht="11.1" customHeight="1" x14ac:dyDescent="0.25">
      <c r="B58" s="59" t="s">
        <v>79</v>
      </c>
      <c r="C58" s="22" t="s">
        <v>35</v>
      </c>
      <c r="D58" s="60">
        <v>21</v>
      </c>
      <c r="E58" s="60">
        <v>22</v>
      </c>
      <c r="F58" s="60">
        <v>33</v>
      </c>
      <c r="G58" s="60">
        <v>91</v>
      </c>
      <c r="H58" s="60">
        <v>33</v>
      </c>
      <c r="I58" s="60">
        <v>44</v>
      </c>
      <c r="J58" s="60">
        <v>39</v>
      </c>
      <c r="K58" s="60">
        <v>41</v>
      </c>
      <c r="L58" s="60">
        <v>51</v>
      </c>
      <c r="M58" s="60">
        <v>41</v>
      </c>
      <c r="N58" s="60">
        <v>49</v>
      </c>
      <c r="O58" s="60">
        <v>70</v>
      </c>
      <c r="P58" s="60">
        <v>25</v>
      </c>
      <c r="Q58" s="60">
        <v>64</v>
      </c>
      <c r="R58" s="60">
        <v>73</v>
      </c>
      <c r="S58" s="60">
        <v>63</v>
      </c>
      <c r="T58" s="60">
        <v>50</v>
      </c>
      <c r="U58" s="60">
        <v>48</v>
      </c>
      <c r="V58" s="60">
        <v>70</v>
      </c>
      <c r="W58" s="60">
        <v>61</v>
      </c>
      <c r="X58" s="60">
        <v>45</v>
      </c>
      <c r="Y58" s="60">
        <v>60</v>
      </c>
      <c r="Z58" s="60">
        <v>70</v>
      </c>
      <c r="AA58" s="49">
        <v>103</v>
      </c>
      <c r="AB58" s="49">
        <v>47</v>
      </c>
      <c r="AC58" s="49">
        <v>70</v>
      </c>
      <c r="AD58" s="10" t="s">
        <v>19</v>
      </c>
    </row>
    <row r="59" spans="2:30" ht="11.1" customHeight="1" x14ac:dyDescent="0.25">
      <c r="B59" s="59" t="s">
        <v>80</v>
      </c>
      <c r="C59" s="22" t="s">
        <v>35</v>
      </c>
      <c r="D59" s="60">
        <v>431</v>
      </c>
      <c r="E59" s="60">
        <v>546</v>
      </c>
      <c r="F59" s="60">
        <v>622</v>
      </c>
      <c r="G59" s="60">
        <v>29</v>
      </c>
      <c r="H59" s="60">
        <v>1273</v>
      </c>
      <c r="I59" s="60">
        <v>908</v>
      </c>
      <c r="J59" s="60">
        <v>915</v>
      </c>
      <c r="K59" s="60">
        <v>916</v>
      </c>
      <c r="L59" s="60">
        <v>849</v>
      </c>
      <c r="M59" s="60">
        <v>613</v>
      </c>
      <c r="N59" s="60">
        <v>671</v>
      </c>
      <c r="O59" s="60">
        <v>693</v>
      </c>
      <c r="P59" s="60">
        <v>701</v>
      </c>
      <c r="Q59" s="60">
        <v>741</v>
      </c>
      <c r="R59" s="60">
        <v>608</v>
      </c>
      <c r="S59" s="60">
        <v>695</v>
      </c>
      <c r="T59" s="60">
        <v>744</v>
      </c>
      <c r="U59" s="60">
        <v>829</v>
      </c>
      <c r="V59" s="60">
        <v>1002</v>
      </c>
      <c r="W59" s="60">
        <v>829</v>
      </c>
      <c r="X59" s="60">
        <v>946</v>
      </c>
      <c r="Y59" s="60">
        <v>811</v>
      </c>
      <c r="Z59" s="60">
        <v>780</v>
      </c>
      <c r="AA59" s="49">
        <v>803</v>
      </c>
      <c r="AB59" s="49">
        <v>731</v>
      </c>
      <c r="AC59" s="49">
        <v>683</v>
      </c>
      <c r="AD59" s="10" t="s">
        <v>19</v>
      </c>
    </row>
    <row r="60" spans="2:30" ht="11.25" customHeight="1" x14ac:dyDescent="0.25">
      <c r="B60" s="59" t="s">
        <v>81</v>
      </c>
      <c r="C60" s="22" t="s">
        <v>35</v>
      </c>
      <c r="D60" s="60">
        <v>314</v>
      </c>
      <c r="E60" s="60">
        <v>268</v>
      </c>
      <c r="F60" s="60">
        <v>388</v>
      </c>
      <c r="G60" s="60">
        <v>527</v>
      </c>
      <c r="H60" s="60">
        <v>404</v>
      </c>
      <c r="I60" s="60">
        <v>540</v>
      </c>
      <c r="J60" s="60">
        <v>597</v>
      </c>
      <c r="K60" s="60">
        <v>623</v>
      </c>
      <c r="L60" s="60">
        <v>626</v>
      </c>
      <c r="M60" s="60">
        <v>1128</v>
      </c>
      <c r="N60" s="60">
        <v>797</v>
      </c>
      <c r="O60" s="60">
        <v>707</v>
      </c>
      <c r="P60" s="60">
        <v>444</v>
      </c>
      <c r="Q60" s="60">
        <v>636</v>
      </c>
      <c r="R60" s="60">
        <v>691</v>
      </c>
      <c r="S60" s="60">
        <v>617</v>
      </c>
      <c r="T60" s="60">
        <v>489</v>
      </c>
      <c r="U60" s="60">
        <v>519</v>
      </c>
      <c r="V60" s="60">
        <v>598</v>
      </c>
      <c r="W60" s="60">
        <v>296</v>
      </c>
      <c r="X60" s="60">
        <v>461</v>
      </c>
      <c r="Y60" s="60">
        <v>458</v>
      </c>
      <c r="Z60" s="60">
        <v>465</v>
      </c>
      <c r="AA60" s="49">
        <v>635</v>
      </c>
      <c r="AB60" s="49">
        <v>538</v>
      </c>
      <c r="AC60" s="49">
        <v>304</v>
      </c>
      <c r="AD60" s="10" t="s">
        <v>19</v>
      </c>
    </row>
    <row r="61" spans="2:30" ht="11.1" customHeight="1" x14ac:dyDescent="0.25">
      <c r="B61" s="59" t="s">
        <v>82</v>
      </c>
      <c r="C61" s="22" t="s">
        <v>35</v>
      </c>
      <c r="D61" s="60">
        <v>142</v>
      </c>
      <c r="E61" s="60">
        <v>145</v>
      </c>
      <c r="F61" s="60">
        <v>222</v>
      </c>
      <c r="G61" s="60">
        <v>656</v>
      </c>
      <c r="H61" s="60">
        <v>192</v>
      </c>
      <c r="I61" s="60">
        <v>220</v>
      </c>
      <c r="J61" s="60">
        <v>198</v>
      </c>
      <c r="K61" s="60">
        <v>206</v>
      </c>
      <c r="L61" s="60">
        <v>236</v>
      </c>
      <c r="M61" s="60">
        <v>1093</v>
      </c>
      <c r="N61" s="60">
        <v>0</v>
      </c>
      <c r="O61" s="60">
        <v>0</v>
      </c>
      <c r="P61" s="60">
        <v>265</v>
      </c>
      <c r="Q61" s="60">
        <v>284</v>
      </c>
      <c r="R61" s="60">
        <v>2382</v>
      </c>
      <c r="S61" s="60">
        <v>2653</v>
      </c>
      <c r="T61" s="60">
        <v>2638</v>
      </c>
      <c r="U61" s="60">
        <v>3302</v>
      </c>
      <c r="V61" s="60">
        <v>3422</v>
      </c>
      <c r="W61" s="60">
        <v>3438</v>
      </c>
      <c r="X61" s="60">
        <v>3279</v>
      </c>
      <c r="Y61" s="60">
        <v>3241</v>
      </c>
      <c r="Z61" s="60">
        <v>2840</v>
      </c>
      <c r="AA61" s="49">
        <v>3072</v>
      </c>
      <c r="AB61" s="49">
        <v>3277</v>
      </c>
      <c r="AC61" s="49">
        <v>2889</v>
      </c>
      <c r="AD61" s="10" t="s">
        <v>19</v>
      </c>
    </row>
    <row r="62" spans="2:30" ht="11.1" customHeight="1" x14ac:dyDescent="0.25">
      <c r="B62" s="59" t="s">
        <v>13</v>
      </c>
      <c r="C62" s="22" t="s">
        <v>35</v>
      </c>
      <c r="D62" s="60">
        <v>3181</v>
      </c>
      <c r="E62" s="60">
        <v>3705</v>
      </c>
      <c r="F62" s="60">
        <v>4691</v>
      </c>
      <c r="G62" s="60">
        <v>4259</v>
      </c>
      <c r="H62" s="60">
        <v>5113</v>
      </c>
      <c r="I62" s="60">
        <v>5294</v>
      </c>
      <c r="J62" s="60">
        <v>5445</v>
      </c>
      <c r="K62" s="60">
        <v>4995</v>
      </c>
      <c r="L62" s="60">
        <v>5134</v>
      </c>
      <c r="M62" s="60">
        <v>5533</v>
      </c>
      <c r="N62" s="60">
        <v>5532</v>
      </c>
      <c r="O62" s="60">
        <v>4880</v>
      </c>
      <c r="P62" s="60">
        <v>4894</v>
      </c>
      <c r="Q62" s="60">
        <v>5635</v>
      </c>
      <c r="R62" s="60">
        <v>5484</v>
      </c>
      <c r="S62" s="60">
        <v>5090</v>
      </c>
      <c r="T62" s="60">
        <v>5064</v>
      </c>
      <c r="U62" s="60">
        <v>5905</v>
      </c>
      <c r="V62" s="60">
        <v>6448</v>
      </c>
      <c r="W62" s="60">
        <v>5833</v>
      </c>
      <c r="X62" s="60">
        <v>5606</v>
      </c>
      <c r="Y62" s="60">
        <v>5515</v>
      </c>
      <c r="Z62" s="60">
        <v>5045</v>
      </c>
      <c r="AA62" s="49">
        <v>5540</v>
      </c>
      <c r="AB62" s="49">
        <v>5372</v>
      </c>
      <c r="AC62" s="49">
        <v>4570</v>
      </c>
      <c r="AD62" s="10" t="s">
        <v>19</v>
      </c>
    </row>
    <row r="63" spans="2:30" ht="11.1" customHeight="1" x14ac:dyDescent="0.25">
      <c r="B63" s="61" t="s">
        <v>83</v>
      </c>
      <c r="C63" s="22" t="s">
        <v>35</v>
      </c>
      <c r="D63" s="60">
        <v>0</v>
      </c>
      <c r="E63" s="60">
        <v>0</v>
      </c>
      <c r="F63" s="60">
        <v>0</v>
      </c>
      <c r="G63" s="60">
        <v>0</v>
      </c>
      <c r="H63" s="60">
        <v>0</v>
      </c>
      <c r="I63" s="60">
        <v>0</v>
      </c>
      <c r="J63" s="60">
        <v>0</v>
      </c>
      <c r="K63" s="60">
        <v>0</v>
      </c>
      <c r="L63" s="60">
        <v>0</v>
      </c>
      <c r="M63" s="60">
        <v>0</v>
      </c>
      <c r="N63" s="60">
        <v>0</v>
      </c>
      <c r="O63" s="60">
        <v>0</v>
      </c>
      <c r="P63" s="60">
        <v>0</v>
      </c>
      <c r="Q63" s="60">
        <v>0</v>
      </c>
      <c r="R63" s="60">
        <v>0</v>
      </c>
      <c r="S63" s="60">
        <v>0</v>
      </c>
      <c r="T63" s="60">
        <v>0</v>
      </c>
      <c r="U63" s="60">
        <v>0</v>
      </c>
      <c r="V63" s="60">
        <v>0</v>
      </c>
      <c r="W63" s="60">
        <v>0</v>
      </c>
      <c r="X63" s="60">
        <v>0</v>
      </c>
      <c r="Y63" s="60">
        <v>76</v>
      </c>
      <c r="Z63" s="60">
        <v>0</v>
      </c>
      <c r="AA63" s="49">
        <v>27</v>
      </c>
      <c r="AB63" s="49">
        <v>0</v>
      </c>
      <c r="AC63" s="49">
        <v>0</v>
      </c>
      <c r="AD63" s="10" t="s">
        <v>19</v>
      </c>
    </row>
    <row r="64" spans="2:30" ht="11.45" customHeight="1" x14ac:dyDescent="0.25">
      <c r="B64" s="61" t="s">
        <v>55</v>
      </c>
      <c r="C64" s="22" t="s">
        <v>35</v>
      </c>
      <c r="D64" s="60">
        <v>4105</v>
      </c>
      <c r="E64" s="60">
        <v>5053</v>
      </c>
      <c r="F64" s="60">
        <v>6101</v>
      </c>
      <c r="G64" s="60">
        <v>5578</v>
      </c>
      <c r="H64" s="60">
        <v>6000</v>
      </c>
      <c r="I64" s="60">
        <v>5858</v>
      </c>
      <c r="J64" s="60">
        <v>6045</v>
      </c>
      <c r="K64" s="60">
        <v>5359</v>
      </c>
      <c r="L64" s="60">
        <v>5714</v>
      </c>
      <c r="M64" s="60">
        <v>5937</v>
      </c>
      <c r="N64" s="60">
        <v>5550</v>
      </c>
      <c r="O64" s="60">
        <v>4901</v>
      </c>
      <c r="P64" s="60">
        <v>5315</v>
      </c>
      <c r="Q64" s="60">
        <v>6087</v>
      </c>
      <c r="R64" s="60">
        <v>5805</v>
      </c>
      <c r="S64" s="60">
        <v>5331</v>
      </c>
      <c r="T64" s="60">
        <v>5340</v>
      </c>
      <c r="U64" s="60">
        <v>6110</v>
      </c>
      <c r="V64" s="60">
        <v>6722</v>
      </c>
      <c r="W64" s="60">
        <v>6224</v>
      </c>
      <c r="X64" s="60">
        <v>5926</v>
      </c>
      <c r="Y64" s="60">
        <v>5857</v>
      </c>
      <c r="Z64" s="60">
        <v>5145</v>
      </c>
      <c r="AA64" s="49">
        <v>5998</v>
      </c>
      <c r="AB64" s="49">
        <v>5829</v>
      </c>
      <c r="AC64" s="49">
        <v>4960</v>
      </c>
      <c r="AD64" s="10" t="s">
        <v>19</v>
      </c>
    </row>
    <row r="65" spans="2:30" ht="12" customHeight="1" x14ac:dyDescent="0.25">
      <c r="B65" s="373" t="s">
        <v>29</v>
      </c>
      <c r="C65" s="373"/>
      <c r="D65" s="373"/>
      <c r="E65" s="373"/>
      <c r="F65" s="373"/>
      <c r="G65" s="373"/>
      <c r="H65" s="373"/>
      <c r="I65" s="373"/>
      <c r="J65" s="373"/>
      <c r="K65" s="373"/>
      <c r="L65" s="373"/>
      <c r="M65" s="373"/>
      <c r="N65" s="373"/>
      <c r="O65" s="373"/>
      <c r="P65" s="373"/>
      <c r="Q65" s="373"/>
      <c r="R65" s="373"/>
      <c r="S65" s="373"/>
      <c r="T65" s="373"/>
      <c r="U65" s="375"/>
      <c r="V65" s="375"/>
      <c r="W65" s="375"/>
      <c r="X65" s="375"/>
      <c r="Y65" s="375"/>
      <c r="Z65" s="375"/>
      <c r="AA65" s="51"/>
      <c r="AB65" s="51"/>
      <c r="AC65" s="51"/>
      <c r="AD65" s="51"/>
    </row>
    <row r="66" spans="2:30" ht="11.1" customHeight="1" x14ac:dyDescent="0.25">
      <c r="B66" s="59" t="s">
        <v>75</v>
      </c>
      <c r="C66" s="22" t="s">
        <v>35</v>
      </c>
      <c r="D66" s="60" t="s">
        <v>19</v>
      </c>
      <c r="E66" s="60" t="s">
        <v>19</v>
      </c>
      <c r="F66" s="60" t="s">
        <v>19</v>
      </c>
      <c r="G66" s="60" t="s">
        <v>19</v>
      </c>
      <c r="H66" s="60" t="s">
        <v>19</v>
      </c>
      <c r="I66" s="60" t="s">
        <v>19</v>
      </c>
      <c r="J66" s="60" t="s">
        <v>19</v>
      </c>
      <c r="K66" s="60" t="s">
        <v>19</v>
      </c>
      <c r="L66" s="60" t="s">
        <v>19</v>
      </c>
      <c r="M66" s="60" t="s">
        <v>19</v>
      </c>
      <c r="N66" s="60" t="s">
        <v>19</v>
      </c>
      <c r="O66" s="60">
        <v>699</v>
      </c>
      <c r="P66" s="60">
        <v>651</v>
      </c>
      <c r="Q66" s="60">
        <v>881</v>
      </c>
      <c r="R66" s="60" t="s">
        <v>19</v>
      </c>
      <c r="S66" s="60" t="s">
        <v>19</v>
      </c>
      <c r="T66" s="60" t="s">
        <v>19</v>
      </c>
      <c r="U66" s="60" t="s">
        <v>19</v>
      </c>
      <c r="V66" s="60" t="s">
        <v>19</v>
      </c>
      <c r="W66" s="60">
        <v>2342</v>
      </c>
      <c r="X66" s="60" t="s">
        <v>19</v>
      </c>
      <c r="Y66" s="60" t="s">
        <v>19</v>
      </c>
      <c r="Z66" s="60">
        <v>3665</v>
      </c>
      <c r="AA66" s="49" t="s">
        <v>19</v>
      </c>
      <c r="AB66" s="49">
        <v>5361</v>
      </c>
      <c r="AC66" s="49" t="s">
        <v>19</v>
      </c>
      <c r="AD66" s="10" t="s">
        <v>19</v>
      </c>
    </row>
    <row r="67" spans="2:30" ht="11.1" customHeight="1" x14ac:dyDescent="0.25">
      <c r="B67" s="59" t="s">
        <v>84</v>
      </c>
      <c r="C67" s="22" t="s">
        <v>35</v>
      </c>
      <c r="D67" s="60" t="s">
        <v>19</v>
      </c>
      <c r="E67" s="60" t="s">
        <v>19</v>
      </c>
      <c r="F67" s="60" t="s">
        <v>19</v>
      </c>
      <c r="G67" s="60" t="s">
        <v>19</v>
      </c>
      <c r="H67" s="60" t="s">
        <v>19</v>
      </c>
      <c r="I67" s="60" t="s">
        <v>19</v>
      </c>
      <c r="J67" s="60" t="s">
        <v>19</v>
      </c>
      <c r="K67" s="60" t="s">
        <v>19</v>
      </c>
      <c r="L67" s="60" t="s">
        <v>19</v>
      </c>
      <c r="M67" s="60" t="s">
        <v>19</v>
      </c>
      <c r="N67" s="60" t="s">
        <v>19</v>
      </c>
      <c r="O67" s="60" t="s">
        <v>19</v>
      </c>
      <c r="P67" s="60" t="s">
        <v>19</v>
      </c>
      <c r="Q67" s="60" t="s">
        <v>19</v>
      </c>
      <c r="R67" s="60" t="s">
        <v>19</v>
      </c>
      <c r="S67" s="60" t="s">
        <v>19</v>
      </c>
      <c r="T67" s="60" t="s">
        <v>19</v>
      </c>
      <c r="U67" s="60" t="s">
        <v>19</v>
      </c>
      <c r="V67" s="60" t="s">
        <v>19</v>
      </c>
      <c r="W67" s="60" t="s">
        <v>19</v>
      </c>
      <c r="X67" s="60" t="s">
        <v>19</v>
      </c>
      <c r="Y67" s="60" t="s">
        <v>19</v>
      </c>
      <c r="Z67" s="60" t="s">
        <v>19</v>
      </c>
      <c r="AA67" s="49" t="s">
        <v>19</v>
      </c>
      <c r="AB67" s="49" t="s">
        <v>19</v>
      </c>
      <c r="AC67" s="49" t="s">
        <v>19</v>
      </c>
      <c r="AD67" s="10" t="s">
        <v>19</v>
      </c>
    </row>
    <row r="68" spans="2:30" ht="11.1" customHeight="1" x14ac:dyDescent="0.25">
      <c r="B68" s="59" t="s">
        <v>85</v>
      </c>
      <c r="C68" s="22" t="s">
        <v>35</v>
      </c>
      <c r="D68" s="60" t="s">
        <v>19</v>
      </c>
      <c r="E68" s="60" t="s">
        <v>19</v>
      </c>
      <c r="F68" s="60" t="s">
        <v>19</v>
      </c>
      <c r="G68" s="60" t="s">
        <v>19</v>
      </c>
      <c r="H68" s="60" t="s">
        <v>19</v>
      </c>
      <c r="I68" s="60" t="s">
        <v>19</v>
      </c>
      <c r="J68" s="60" t="s">
        <v>19</v>
      </c>
      <c r="K68" s="60" t="s">
        <v>19</v>
      </c>
      <c r="L68" s="60" t="s">
        <v>19</v>
      </c>
      <c r="M68" s="60" t="s">
        <v>19</v>
      </c>
      <c r="N68" s="60" t="s">
        <v>19</v>
      </c>
      <c r="O68" s="60" t="s">
        <v>19</v>
      </c>
      <c r="P68" s="60" t="s">
        <v>19</v>
      </c>
      <c r="Q68" s="60" t="s">
        <v>19</v>
      </c>
      <c r="R68" s="60" t="s">
        <v>19</v>
      </c>
      <c r="S68" s="60">
        <v>815</v>
      </c>
      <c r="T68" s="60">
        <v>1011</v>
      </c>
      <c r="U68" s="60" t="s">
        <v>19</v>
      </c>
      <c r="V68" s="60" t="s">
        <v>19</v>
      </c>
      <c r="W68" s="60" t="s">
        <v>19</v>
      </c>
      <c r="X68" s="60" t="s">
        <v>19</v>
      </c>
      <c r="Y68" s="60" t="s">
        <v>19</v>
      </c>
      <c r="Z68" s="60">
        <v>1</v>
      </c>
      <c r="AA68" s="49" t="s">
        <v>19</v>
      </c>
      <c r="AB68" s="49" t="s">
        <v>19</v>
      </c>
      <c r="AC68" s="49" t="s">
        <v>19</v>
      </c>
      <c r="AD68" s="10" t="s">
        <v>19</v>
      </c>
    </row>
    <row r="69" spans="2:30" ht="11.1" customHeight="1" x14ac:dyDescent="0.25">
      <c r="B69" s="59" t="s">
        <v>13</v>
      </c>
      <c r="C69" s="22" t="s">
        <v>35</v>
      </c>
      <c r="D69" s="60" t="s">
        <v>19</v>
      </c>
      <c r="E69" s="60" t="s">
        <v>19</v>
      </c>
      <c r="F69" s="60" t="s">
        <v>19</v>
      </c>
      <c r="G69" s="60" t="s">
        <v>19</v>
      </c>
      <c r="H69" s="60" t="s">
        <v>19</v>
      </c>
      <c r="I69" s="60" t="s">
        <v>19</v>
      </c>
      <c r="J69" s="60" t="s">
        <v>19</v>
      </c>
      <c r="K69" s="60" t="s">
        <v>19</v>
      </c>
      <c r="L69" s="60" t="s">
        <v>19</v>
      </c>
      <c r="M69" s="60" t="s">
        <v>19</v>
      </c>
      <c r="N69" s="60" t="s">
        <v>19</v>
      </c>
      <c r="O69" s="60">
        <v>699</v>
      </c>
      <c r="P69" s="60">
        <v>651</v>
      </c>
      <c r="Q69" s="60">
        <v>881</v>
      </c>
      <c r="R69" s="60" t="s">
        <v>19</v>
      </c>
      <c r="S69" s="60">
        <v>815</v>
      </c>
      <c r="T69" s="60">
        <v>1011</v>
      </c>
      <c r="U69" s="60" t="s">
        <v>19</v>
      </c>
      <c r="V69" s="60" t="s">
        <v>19</v>
      </c>
      <c r="W69" s="60">
        <v>2342</v>
      </c>
      <c r="X69" s="60" t="s">
        <v>19</v>
      </c>
      <c r="Y69" s="60" t="s">
        <v>19</v>
      </c>
      <c r="Z69" s="60">
        <v>3666</v>
      </c>
      <c r="AA69" s="49" t="s">
        <v>19</v>
      </c>
      <c r="AB69" s="49">
        <v>5361</v>
      </c>
      <c r="AC69" s="49" t="s">
        <v>19</v>
      </c>
      <c r="AD69" s="10" t="s">
        <v>19</v>
      </c>
    </row>
    <row r="70" spans="2:30" ht="11.1" customHeight="1" x14ac:dyDescent="0.25">
      <c r="B70" s="67" t="s">
        <v>58</v>
      </c>
      <c r="C70" s="45" t="s">
        <v>35</v>
      </c>
      <c r="D70" s="68">
        <v>4105</v>
      </c>
      <c r="E70" s="68">
        <v>5053</v>
      </c>
      <c r="F70" s="68">
        <v>6101</v>
      </c>
      <c r="G70" s="68">
        <v>5578</v>
      </c>
      <c r="H70" s="68">
        <v>6000</v>
      </c>
      <c r="I70" s="68">
        <v>5858</v>
      </c>
      <c r="J70" s="68">
        <v>6045</v>
      </c>
      <c r="K70" s="68">
        <v>5359</v>
      </c>
      <c r="L70" s="68">
        <v>5714</v>
      </c>
      <c r="M70" s="68">
        <v>5937</v>
      </c>
      <c r="N70" s="68">
        <v>5550</v>
      </c>
      <c r="O70" s="68">
        <v>5600</v>
      </c>
      <c r="P70" s="68">
        <v>5966</v>
      </c>
      <c r="Q70" s="68">
        <v>6968</v>
      </c>
      <c r="R70" s="68">
        <v>5805</v>
      </c>
      <c r="S70" s="68">
        <v>6146</v>
      </c>
      <c r="T70" s="68">
        <v>6351</v>
      </c>
      <c r="U70" s="68">
        <v>6110</v>
      </c>
      <c r="V70" s="68">
        <v>6722</v>
      </c>
      <c r="W70" s="68">
        <v>8566</v>
      </c>
      <c r="X70" s="68">
        <v>5926</v>
      </c>
      <c r="Y70" s="68">
        <v>5857</v>
      </c>
      <c r="Z70" s="68">
        <v>8812</v>
      </c>
      <c r="AA70" s="49">
        <v>5998</v>
      </c>
      <c r="AB70" s="49">
        <v>11190</v>
      </c>
      <c r="AC70" s="49">
        <v>4960</v>
      </c>
      <c r="AD70" s="297" t="s">
        <v>19</v>
      </c>
    </row>
    <row r="71" spans="2:30" ht="40.5" customHeight="1" x14ac:dyDescent="0.25">
      <c r="B71" s="328" t="s">
        <v>518</v>
      </c>
      <c r="C71" s="328"/>
      <c r="D71" s="328"/>
      <c r="E71" s="328"/>
      <c r="F71" s="328"/>
      <c r="G71" s="328"/>
      <c r="H71" s="328"/>
      <c r="I71" s="328"/>
      <c r="J71" s="328"/>
      <c r="K71" s="328"/>
      <c r="L71" s="328"/>
      <c r="M71" s="328"/>
      <c r="N71" s="328"/>
      <c r="O71" s="328"/>
      <c r="P71" s="328"/>
      <c r="Q71" s="328"/>
      <c r="R71" s="328"/>
      <c r="S71" s="328"/>
      <c r="T71" s="328"/>
      <c r="U71" s="328"/>
      <c r="V71" s="328"/>
      <c r="W71" s="328"/>
      <c r="X71" s="328"/>
      <c r="Y71" s="328"/>
      <c r="Z71" s="328"/>
      <c r="AA71" s="328"/>
      <c r="AB71" s="328"/>
      <c r="AC71" s="328"/>
    </row>
  </sheetData>
  <mergeCells count="12">
    <mergeCell ref="B71:AC71"/>
    <mergeCell ref="B7:Z7"/>
    <mergeCell ref="B9:Z9"/>
    <mergeCell ref="B10:Z10"/>
    <mergeCell ref="B14:Z14"/>
    <mergeCell ref="B19:Z19"/>
    <mergeCell ref="B34:Z34"/>
    <mergeCell ref="B40:Z40"/>
    <mergeCell ref="B41:Z41"/>
    <mergeCell ref="B45:Z45"/>
    <mergeCell ref="B50:Z50"/>
    <mergeCell ref="B65:Z65"/>
  </mergeCells>
  <conditionalFormatting sqref="B6:Y6 AA6:AD6 B9:AC35 B36:M36 O36:AC36 B37:AC70 B71">
    <cfRule type="cellIs" dxfId="316" priority="102" stopIfTrue="1" operator="greaterThanOrEqual">
      <formula>100</formula>
    </cfRule>
    <cfRule type="cellIs" dxfId="315" priority="101" stopIfTrue="1" operator="between">
      <formula>-99.999999999999</formula>
      <formula>99.999999999999</formula>
    </cfRule>
    <cfRule type="cellIs" dxfId="314" priority="100" stopIfTrue="1" operator="lessThanOrEqual">
      <formula>-100</formula>
    </cfRule>
  </conditionalFormatting>
  <conditionalFormatting sqref="B9:AC35 B36:M36 O36:AC36 B37:AC70 B6:Y6 AA6:AD6 B71">
    <cfRule type="cellIs" dxfId="313" priority="99" stopIfTrue="1" operator="equal">
      <formula>0</formula>
    </cfRule>
  </conditionalFormatting>
  <conditionalFormatting sqref="B7:AD8">
    <cfRule type="cellIs" dxfId="312" priority="68" stopIfTrue="1" operator="greaterThanOrEqual">
      <formula>100</formula>
    </cfRule>
    <cfRule type="cellIs" dxfId="311" priority="67" stopIfTrue="1" operator="between">
      <formula>-99.999999999999</formula>
      <formula>99.999999999999</formula>
    </cfRule>
    <cfRule type="cellIs" dxfId="310" priority="66" stopIfTrue="1" operator="lessThanOrEqual">
      <formula>-100</formula>
    </cfRule>
    <cfRule type="cellIs" dxfId="309" priority="65" stopIfTrue="1" operator="equal">
      <formula>0</formula>
    </cfRule>
  </conditionalFormatting>
  <conditionalFormatting sqref="D11:AC13 D35:AC35 D36:M36 O36:AC36 D37:AC39">
    <cfRule type="cellIs" dxfId="308" priority="96" operator="greaterThanOrEqual">
      <formula>100</formula>
    </cfRule>
    <cfRule type="cellIs" dxfId="307" priority="95" operator="lessThanOrEqual">
      <formula>99</formula>
    </cfRule>
  </conditionalFormatting>
  <conditionalFormatting sqref="D15:AC18">
    <cfRule type="cellIs" dxfId="306" priority="98" operator="greaterThanOrEqual">
      <formula>100</formula>
    </cfRule>
    <cfRule type="cellIs" dxfId="305" priority="97" operator="lessThanOrEqual">
      <formula>99</formula>
    </cfRule>
  </conditionalFormatting>
  <conditionalFormatting sqref="D20:AD33">
    <cfRule type="cellIs" dxfId="304" priority="42" operator="greaterThanOrEqual">
      <formula>100</formula>
    </cfRule>
    <cfRule type="cellIs" dxfId="303" priority="41" operator="lessThanOrEqual">
      <formula>99</formula>
    </cfRule>
  </conditionalFormatting>
  <conditionalFormatting sqref="D42:AD44">
    <cfRule type="cellIs" dxfId="302" priority="25" operator="lessThanOrEqual">
      <formula>99</formula>
    </cfRule>
    <cfRule type="cellIs" dxfId="301" priority="26" operator="greaterThanOrEqual">
      <formula>100</formula>
    </cfRule>
  </conditionalFormatting>
  <conditionalFormatting sqref="D46:AD49">
    <cfRule type="cellIs" dxfId="300" priority="17" operator="lessThanOrEqual">
      <formula>99</formula>
    </cfRule>
    <cfRule type="cellIs" dxfId="299" priority="18" operator="greaterThanOrEqual">
      <formula>100</formula>
    </cfRule>
  </conditionalFormatting>
  <conditionalFormatting sqref="D51:AD64">
    <cfRule type="cellIs" dxfId="298" priority="9" operator="lessThanOrEqual">
      <formula>99</formula>
    </cfRule>
    <cfRule type="cellIs" dxfId="297" priority="10" operator="greaterThanOrEqual">
      <formula>100</formula>
    </cfRule>
  </conditionalFormatting>
  <conditionalFormatting sqref="D66:AD70">
    <cfRule type="cellIs" dxfId="296" priority="2" operator="greaterThanOrEqual">
      <formula>100</formula>
    </cfRule>
    <cfRule type="cellIs" dxfId="295" priority="1" operator="lessThanOrEqual">
      <formula>99</formula>
    </cfRule>
  </conditionalFormatting>
  <conditionalFormatting sqref="AD9:AD19">
    <cfRule type="cellIs" dxfId="294" priority="53" stopIfTrue="1" operator="equal">
      <formula>0</formula>
    </cfRule>
    <cfRule type="cellIs" dxfId="293" priority="54" stopIfTrue="1" operator="lessThanOrEqual">
      <formula>-100</formula>
    </cfRule>
    <cfRule type="cellIs" dxfId="292" priority="55" stopIfTrue="1" operator="between">
      <formula>-99.999999999999</formula>
      <formula>99.999999999999</formula>
    </cfRule>
    <cfRule type="cellIs" dxfId="291" priority="56" stopIfTrue="1" operator="greaterThanOrEqual">
      <formula>100</formula>
    </cfRule>
  </conditionalFormatting>
  <conditionalFormatting sqref="AD11:AD18">
    <cfRule type="cellIs" dxfId="290" priority="49" operator="lessThanOrEqual">
      <formula>99</formula>
    </cfRule>
    <cfRule type="cellIs" dxfId="289" priority="50" operator="greaterThanOrEqual">
      <formula>100</formula>
    </cfRule>
  </conditionalFormatting>
  <conditionalFormatting sqref="AD20:AD34">
    <cfRule type="cellIs" dxfId="288" priority="45" stopIfTrue="1" operator="equal">
      <formula>0</formula>
    </cfRule>
    <cfRule type="cellIs" dxfId="287" priority="47" stopIfTrue="1" operator="between">
      <formula>-99.999999999999</formula>
      <formula>99.999999999999</formula>
    </cfRule>
    <cfRule type="cellIs" dxfId="286" priority="48" stopIfTrue="1" operator="greaterThanOrEqual">
      <formula>100</formula>
    </cfRule>
    <cfRule type="cellIs" dxfId="285" priority="46" stopIfTrue="1" operator="lessThanOrEqual">
      <formula>-100</formula>
    </cfRule>
  </conditionalFormatting>
  <conditionalFormatting sqref="AD35:AD39">
    <cfRule type="cellIs" dxfId="284" priority="34" operator="greaterThanOrEqual">
      <formula>100</formula>
    </cfRule>
    <cfRule type="cellIs" dxfId="283" priority="33" operator="lessThanOrEqual">
      <formula>99</formula>
    </cfRule>
  </conditionalFormatting>
  <conditionalFormatting sqref="AD35:AD41">
    <cfRule type="cellIs" dxfId="282" priority="39" stopIfTrue="1" operator="between">
      <formula>-99.999999999999</formula>
      <formula>99.999999999999</formula>
    </cfRule>
    <cfRule type="cellIs" dxfId="281" priority="40" stopIfTrue="1" operator="greaterThanOrEqual">
      <formula>100</formula>
    </cfRule>
    <cfRule type="cellIs" dxfId="280" priority="37" stopIfTrue="1" operator="equal">
      <formula>0</formula>
    </cfRule>
    <cfRule type="cellIs" dxfId="279" priority="38" stopIfTrue="1" operator="lessThanOrEqual">
      <formula>-100</formula>
    </cfRule>
  </conditionalFormatting>
  <conditionalFormatting sqref="AD42:AD45">
    <cfRule type="cellIs" dxfId="278" priority="30" stopIfTrue="1" operator="lessThanOrEqual">
      <formula>-100</formula>
    </cfRule>
    <cfRule type="cellIs" dxfId="277" priority="32" stopIfTrue="1" operator="greaterThanOrEqual">
      <formula>100</formula>
    </cfRule>
    <cfRule type="cellIs" dxfId="276" priority="31" stopIfTrue="1" operator="between">
      <formula>-99.999999999999</formula>
      <formula>99.999999999999</formula>
    </cfRule>
    <cfRule type="cellIs" dxfId="275" priority="29" stopIfTrue="1" operator="equal">
      <formula>0</formula>
    </cfRule>
  </conditionalFormatting>
  <conditionalFormatting sqref="AD46:AD50">
    <cfRule type="cellIs" dxfId="274" priority="24" stopIfTrue="1" operator="greaterThanOrEqual">
      <formula>100</formula>
    </cfRule>
    <cfRule type="cellIs" dxfId="273" priority="23" stopIfTrue="1" operator="between">
      <formula>-99.999999999999</formula>
      <formula>99.999999999999</formula>
    </cfRule>
    <cfRule type="cellIs" dxfId="272" priority="22" stopIfTrue="1" operator="lessThanOrEqual">
      <formula>-100</formula>
    </cfRule>
    <cfRule type="cellIs" dxfId="271" priority="21" stopIfTrue="1" operator="equal">
      <formula>0</formula>
    </cfRule>
  </conditionalFormatting>
  <conditionalFormatting sqref="AD51:AD65">
    <cfRule type="cellIs" dxfId="270" priority="13" stopIfTrue="1" operator="equal">
      <formula>0</formula>
    </cfRule>
    <cfRule type="cellIs" dxfId="269" priority="14" stopIfTrue="1" operator="lessThanOrEqual">
      <formula>-100</formula>
    </cfRule>
    <cfRule type="cellIs" dxfId="268" priority="15" stopIfTrue="1" operator="between">
      <formula>-99.999999999999</formula>
      <formula>99.999999999999</formula>
    </cfRule>
    <cfRule type="cellIs" dxfId="267" priority="16" stopIfTrue="1" operator="greaterThanOrEqual">
      <formula>100</formula>
    </cfRule>
  </conditionalFormatting>
  <conditionalFormatting sqref="AD66:AD70">
    <cfRule type="cellIs" dxfId="266" priority="5" stopIfTrue="1" operator="equal">
      <formula>0</formula>
    </cfRule>
    <cfRule type="cellIs" dxfId="265" priority="6" stopIfTrue="1" operator="lessThanOrEqual">
      <formula>-100</formula>
    </cfRule>
    <cfRule type="cellIs" dxfId="264" priority="7" stopIfTrue="1" operator="between">
      <formula>-99.999999999999</formula>
      <formula>99.999999999999</formula>
    </cfRule>
    <cfRule type="cellIs" dxfId="263" priority="8" stopIfTrue="1" operator="greaterThanOrEqual">
      <formula>100</formula>
    </cfRule>
  </conditionalFormatting>
  <pageMargins left="0.7" right="0.7" top="0.75" bottom="0.75" header="0.3" footer="0.3"/>
  <pageSetup paperSize="9" scale="30"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A0364-938C-4150-BEB5-F366AF5905B6}">
  <sheetPr>
    <pageSetUpPr fitToPage="1"/>
  </sheetPr>
  <dimension ref="B6:AE258"/>
  <sheetViews>
    <sheetView zoomScaleNormal="100" workbookViewId="0"/>
  </sheetViews>
  <sheetFormatPr defaultColWidth="9.140625" defaultRowHeight="15" x14ac:dyDescent="0.25"/>
  <cols>
    <col min="1" max="1" width="9.140625" style="20"/>
    <col min="2" max="2" width="29.5703125" style="20" customWidth="1"/>
    <col min="3" max="3" width="7.140625" style="20" bestFit="1" customWidth="1"/>
    <col min="4" max="30" width="9.85546875" style="20" customWidth="1"/>
    <col min="31" max="16384" width="9.140625" style="20"/>
  </cols>
  <sheetData>
    <row r="6" spans="2:30" ht="12" customHeight="1" x14ac:dyDescent="0.25">
      <c r="B6" s="17"/>
      <c r="C6" s="17"/>
      <c r="D6" s="17"/>
      <c r="E6" s="17"/>
      <c r="F6" s="17"/>
      <c r="G6" s="17"/>
      <c r="H6" s="17"/>
      <c r="I6" s="17"/>
      <c r="J6" s="17"/>
      <c r="K6" s="17"/>
      <c r="L6" s="17"/>
      <c r="M6" s="17"/>
      <c r="N6" s="17"/>
      <c r="O6" s="17"/>
      <c r="P6" s="17"/>
      <c r="Q6" s="17"/>
      <c r="R6" s="17"/>
      <c r="S6" s="17"/>
      <c r="T6" s="17"/>
      <c r="U6" s="17"/>
      <c r="V6" s="17"/>
      <c r="W6" s="17"/>
      <c r="X6" s="17"/>
      <c r="Y6" s="17"/>
      <c r="Z6" s="17"/>
      <c r="AA6" s="19"/>
      <c r="AB6" s="19"/>
      <c r="AC6" s="19"/>
      <c r="AD6" s="19" t="s">
        <v>0</v>
      </c>
    </row>
    <row r="7" spans="2:30" ht="27" customHeight="1" x14ac:dyDescent="0.25">
      <c r="B7" s="322" t="s">
        <v>86</v>
      </c>
      <c r="C7" s="322"/>
      <c r="D7" s="322"/>
      <c r="E7" s="322"/>
      <c r="F7" s="322"/>
      <c r="G7" s="322"/>
      <c r="H7" s="322"/>
      <c r="I7" s="322"/>
      <c r="J7" s="322"/>
      <c r="K7" s="322"/>
      <c r="L7" s="322"/>
      <c r="M7" s="322"/>
      <c r="N7" s="322"/>
      <c r="O7" s="322"/>
      <c r="P7" s="322"/>
      <c r="Q7" s="322"/>
      <c r="R7" s="322"/>
      <c r="S7" s="322"/>
      <c r="T7" s="322"/>
      <c r="U7" s="322"/>
      <c r="V7" s="322"/>
      <c r="W7" s="322"/>
      <c r="X7" s="322"/>
      <c r="Y7" s="322"/>
      <c r="Z7" s="322"/>
      <c r="AA7" s="47"/>
      <c r="AB7" s="47"/>
      <c r="AC7" s="47"/>
      <c r="AD7" s="47"/>
    </row>
    <row r="8" spans="2:30" ht="18.75" customHeight="1" x14ac:dyDescent="0.25">
      <c r="B8" s="71" t="s">
        <v>2</v>
      </c>
      <c r="C8" s="28" t="s">
        <v>3</v>
      </c>
      <c r="D8" s="284" t="s">
        <v>166</v>
      </c>
      <c r="E8" s="284" t="s">
        <v>167</v>
      </c>
      <c r="F8" s="284" t="s">
        <v>168</v>
      </c>
      <c r="G8" s="284" t="s">
        <v>169</v>
      </c>
      <c r="H8" s="284" t="s">
        <v>170</v>
      </c>
      <c r="I8" s="284" t="s">
        <v>171</v>
      </c>
      <c r="J8" s="284" t="s">
        <v>172</v>
      </c>
      <c r="K8" s="284" t="s">
        <v>173</v>
      </c>
      <c r="L8" s="284" t="s">
        <v>174</v>
      </c>
      <c r="M8" s="284" t="s">
        <v>175</v>
      </c>
      <c r="N8" s="284" t="s">
        <v>176</v>
      </c>
      <c r="O8" s="284" t="s">
        <v>177</v>
      </c>
      <c r="P8" s="284" t="s">
        <v>178</v>
      </c>
      <c r="Q8" s="284" t="s">
        <v>179</v>
      </c>
      <c r="R8" s="284" t="s">
        <v>180</v>
      </c>
      <c r="S8" s="284" t="s">
        <v>181</v>
      </c>
      <c r="T8" s="284" t="s">
        <v>182</v>
      </c>
      <c r="U8" s="284" t="s">
        <v>183</v>
      </c>
      <c r="V8" s="284" t="s">
        <v>184</v>
      </c>
      <c r="W8" s="284" t="s">
        <v>185</v>
      </c>
      <c r="X8" s="284" t="s">
        <v>186</v>
      </c>
      <c r="Y8" s="284" t="s">
        <v>187</v>
      </c>
      <c r="Z8" s="284" t="s">
        <v>188</v>
      </c>
      <c r="AA8" s="285" t="s">
        <v>189</v>
      </c>
      <c r="AB8" s="285" t="s">
        <v>190</v>
      </c>
      <c r="AC8" s="285" t="s">
        <v>191</v>
      </c>
      <c r="AD8" s="285" t="s">
        <v>547</v>
      </c>
    </row>
    <row r="9" spans="2:30" ht="11.1" customHeight="1" x14ac:dyDescent="0.25">
      <c r="B9" s="379" t="s">
        <v>15</v>
      </c>
      <c r="C9" s="379"/>
      <c r="D9" s="379"/>
      <c r="E9" s="379"/>
      <c r="F9" s="379"/>
      <c r="G9" s="379"/>
      <c r="H9" s="379"/>
      <c r="I9" s="379"/>
      <c r="J9" s="379"/>
      <c r="K9" s="379"/>
      <c r="L9" s="379"/>
      <c r="M9" s="379"/>
      <c r="N9" s="379"/>
      <c r="O9" s="379"/>
      <c r="P9" s="379"/>
      <c r="Q9" s="379"/>
      <c r="R9" s="379"/>
      <c r="S9" s="379"/>
      <c r="T9" s="379"/>
      <c r="U9" s="379"/>
      <c r="V9" s="379"/>
      <c r="W9" s="379"/>
      <c r="X9" s="379"/>
      <c r="Y9" s="379"/>
      <c r="Z9" s="366"/>
      <c r="AA9" s="30"/>
      <c r="AB9" s="30"/>
      <c r="AC9" s="30"/>
      <c r="AD9" s="30"/>
    </row>
    <row r="10" spans="2:30" ht="11.1" customHeight="1" x14ac:dyDescent="0.25">
      <c r="B10" s="380" t="s">
        <v>87</v>
      </c>
      <c r="C10" s="380"/>
      <c r="D10" s="380"/>
      <c r="E10" s="380"/>
      <c r="F10" s="380"/>
      <c r="G10" s="380"/>
      <c r="H10" s="380"/>
      <c r="I10" s="380"/>
      <c r="J10" s="380"/>
      <c r="K10" s="380"/>
      <c r="L10" s="380"/>
      <c r="M10" s="380"/>
      <c r="N10" s="380"/>
      <c r="O10" s="380"/>
      <c r="P10" s="380"/>
      <c r="Q10" s="380"/>
      <c r="R10" s="380"/>
      <c r="S10" s="380"/>
      <c r="T10" s="380"/>
      <c r="U10" s="380"/>
      <c r="V10" s="380"/>
      <c r="W10" s="380"/>
      <c r="X10" s="380"/>
      <c r="Y10" s="380"/>
      <c r="Z10" s="381"/>
      <c r="AA10" s="30"/>
      <c r="AB10" s="30"/>
      <c r="AC10" s="30"/>
      <c r="AD10" s="30"/>
    </row>
    <row r="11" spans="2:30" ht="11.1" customHeight="1" x14ac:dyDescent="0.25">
      <c r="B11" s="72" t="s">
        <v>88</v>
      </c>
      <c r="C11" s="8" t="s">
        <v>89</v>
      </c>
      <c r="D11" s="73">
        <v>52676.11</v>
      </c>
      <c r="E11" s="73">
        <v>61503.6</v>
      </c>
      <c r="F11" s="73">
        <v>65603.47</v>
      </c>
      <c r="G11" s="73">
        <v>48320.85</v>
      </c>
      <c r="H11" s="73">
        <v>34640.44</v>
      </c>
      <c r="I11" s="73">
        <v>32072.17</v>
      </c>
      <c r="J11" s="73">
        <v>29152.46</v>
      </c>
      <c r="K11" s="73">
        <v>35661.199999999997</v>
      </c>
      <c r="L11" s="73">
        <v>33301.910000000003</v>
      </c>
      <c r="M11" s="73">
        <v>22880.35</v>
      </c>
      <c r="N11" s="73">
        <v>24151.96</v>
      </c>
      <c r="O11" s="73">
        <v>25996.31</v>
      </c>
      <c r="P11" s="73">
        <v>28304.57</v>
      </c>
      <c r="Q11" s="73">
        <v>16617.36</v>
      </c>
      <c r="R11" s="73">
        <v>26041.32</v>
      </c>
      <c r="S11" s="73">
        <v>39882.81</v>
      </c>
      <c r="T11" s="73">
        <v>34365.25</v>
      </c>
      <c r="U11" s="73">
        <v>73689.919999999998</v>
      </c>
      <c r="V11" s="73">
        <v>46138.61</v>
      </c>
      <c r="W11" s="73">
        <v>26035.119999999999</v>
      </c>
      <c r="X11" s="73">
        <v>38402</v>
      </c>
      <c r="Y11" s="73">
        <v>45697.14</v>
      </c>
      <c r="Z11" s="73">
        <v>29689.96</v>
      </c>
      <c r="AA11" s="49">
        <v>27087.35</v>
      </c>
      <c r="AB11" s="49">
        <v>24303.54</v>
      </c>
      <c r="AC11" s="49">
        <v>27701.67</v>
      </c>
      <c r="AD11" s="10">
        <v>29981.26</v>
      </c>
    </row>
    <row r="12" spans="2:30" ht="11.1" customHeight="1" x14ac:dyDescent="0.25">
      <c r="B12" s="72" t="s">
        <v>90</v>
      </c>
      <c r="C12" s="8" t="s">
        <v>89</v>
      </c>
      <c r="D12" s="73">
        <v>42615.360000000001</v>
      </c>
      <c r="E12" s="73">
        <v>31009.68</v>
      </c>
      <c r="F12" s="73">
        <v>84854.46</v>
      </c>
      <c r="G12" s="73">
        <v>71909.899999999994</v>
      </c>
      <c r="H12" s="73">
        <v>42796.76</v>
      </c>
      <c r="I12" s="73">
        <v>36615.699999999997</v>
      </c>
      <c r="J12" s="73">
        <v>31056.75</v>
      </c>
      <c r="K12" s="73">
        <v>32798.620000000003</v>
      </c>
      <c r="L12" s="73">
        <v>24762.12</v>
      </c>
      <c r="M12" s="73">
        <v>48658.33</v>
      </c>
      <c r="N12" s="73">
        <v>46493.19</v>
      </c>
      <c r="O12" s="73">
        <v>59286.68</v>
      </c>
      <c r="P12" s="73">
        <v>61372.02</v>
      </c>
      <c r="Q12" s="73">
        <v>41960.73</v>
      </c>
      <c r="R12" s="73">
        <v>37858.769999999997</v>
      </c>
      <c r="S12" s="73">
        <v>67967.64</v>
      </c>
      <c r="T12" s="73">
        <v>61857.78</v>
      </c>
      <c r="U12" s="73">
        <v>40338.559999999998</v>
      </c>
      <c r="V12" s="73">
        <v>62817.57</v>
      </c>
      <c r="W12" s="73">
        <v>65255.4</v>
      </c>
      <c r="X12" s="73">
        <v>69951.86</v>
      </c>
      <c r="Y12" s="73">
        <v>30788.76</v>
      </c>
      <c r="Z12" s="73">
        <v>41164.82</v>
      </c>
      <c r="AA12" s="49">
        <v>55158</v>
      </c>
      <c r="AB12" s="49">
        <v>81484.2</v>
      </c>
      <c r="AC12" s="49">
        <v>43746.62</v>
      </c>
      <c r="AD12" s="10">
        <v>22937.200000000001</v>
      </c>
    </row>
    <row r="13" spans="2:30" ht="11.1" customHeight="1" x14ac:dyDescent="0.25">
      <c r="B13" s="72" t="s">
        <v>91</v>
      </c>
      <c r="C13" s="8" t="s">
        <v>89</v>
      </c>
      <c r="D13" s="73">
        <v>13670.48</v>
      </c>
      <c r="E13" s="73">
        <v>13411.96</v>
      </c>
      <c r="F13" s="73">
        <v>11933.36</v>
      </c>
      <c r="G13" s="73">
        <v>13129.82</v>
      </c>
      <c r="H13" s="73">
        <v>4543.3500000000004</v>
      </c>
      <c r="I13" s="73">
        <v>4388</v>
      </c>
      <c r="J13" s="73">
        <v>3948.3</v>
      </c>
      <c r="K13" s="73">
        <v>3250.89</v>
      </c>
      <c r="L13" s="73">
        <v>3828.4</v>
      </c>
      <c r="M13" s="73">
        <v>1881.28</v>
      </c>
      <c r="N13" s="73">
        <v>2314.2800000000002</v>
      </c>
      <c r="O13" s="73">
        <v>2874.88</v>
      </c>
      <c r="P13" s="73">
        <v>4557.72</v>
      </c>
      <c r="Q13" s="73">
        <v>4491.3599999999997</v>
      </c>
      <c r="R13" s="73">
        <v>4221.25</v>
      </c>
      <c r="S13" s="73">
        <v>5371.67</v>
      </c>
      <c r="T13" s="73">
        <v>8461.44</v>
      </c>
      <c r="U13" s="73">
        <v>6971.99</v>
      </c>
      <c r="V13" s="73">
        <v>4332.63</v>
      </c>
      <c r="W13" s="73">
        <v>5270.73</v>
      </c>
      <c r="X13" s="73">
        <v>6384.86</v>
      </c>
      <c r="Y13" s="73">
        <v>4991.3999999999996</v>
      </c>
      <c r="Z13" s="73">
        <v>3512.57</v>
      </c>
      <c r="AA13" s="49">
        <v>5216.33</v>
      </c>
      <c r="AB13" s="49">
        <v>4545.21</v>
      </c>
      <c r="AC13" s="49">
        <v>3529.18</v>
      </c>
      <c r="AD13" s="10">
        <v>4137.1099999999997</v>
      </c>
    </row>
    <row r="14" spans="2:30" ht="11.1" customHeight="1" x14ac:dyDescent="0.25">
      <c r="B14" s="72" t="s">
        <v>92</v>
      </c>
      <c r="C14" s="8" t="s">
        <v>89</v>
      </c>
      <c r="D14" s="73">
        <v>139.13999999999999</v>
      </c>
      <c r="E14" s="73">
        <v>168.72</v>
      </c>
      <c r="F14" s="73">
        <v>94.4</v>
      </c>
      <c r="G14" s="73">
        <v>31.12</v>
      </c>
      <c r="H14" s="73">
        <v>47.13</v>
      </c>
      <c r="I14" s="73">
        <v>12.24</v>
      </c>
      <c r="J14" s="73">
        <v>29.82</v>
      </c>
      <c r="K14" s="73">
        <v>249.05</v>
      </c>
      <c r="L14" s="73">
        <v>362.93</v>
      </c>
      <c r="M14" s="73">
        <v>246.36</v>
      </c>
      <c r="N14" s="73">
        <v>93.35</v>
      </c>
      <c r="O14" s="73">
        <v>59.63</v>
      </c>
      <c r="P14" s="73">
        <v>95.01</v>
      </c>
      <c r="Q14" s="73">
        <v>77.83</v>
      </c>
      <c r="R14" s="73">
        <v>232.1</v>
      </c>
      <c r="S14" s="73">
        <v>297.38</v>
      </c>
      <c r="T14" s="73">
        <v>206.09</v>
      </c>
      <c r="U14" s="73">
        <v>561.28</v>
      </c>
      <c r="V14" s="73">
        <v>431.74</v>
      </c>
      <c r="W14" s="73">
        <v>110.81</v>
      </c>
      <c r="X14" s="73">
        <v>186.61</v>
      </c>
      <c r="Y14" s="73">
        <v>875.2</v>
      </c>
      <c r="Z14" s="73">
        <v>142.1</v>
      </c>
      <c r="AA14" s="49">
        <v>141.304</v>
      </c>
      <c r="AB14" s="49">
        <v>368.68900000000002</v>
      </c>
      <c r="AC14" s="49">
        <v>224.02099999999999</v>
      </c>
      <c r="AD14" s="10">
        <v>133.57</v>
      </c>
    </row>
    <row r="15" spans="2:30" ht="11.1" customHeight="1" x14ac:dyDescent="0.25">
      <c r="B15" s="72" t="s">
        <v>93</v>
      </c>
      <c r="C15" s="8" t="s">
        <v>89</v>
      </c>
      <c r="D15" s="73">
        <v>32.299999999999997</v>
      </c>
      <c r="E15" s="73">
        <v>36.08</v>
      </c>
      <c r="F15" s="73">
        <v>33.909999999999997</v>
      </c>
      <c r="G15" s="73">
        <v>42.14</v>
      </c>
      <c r="H15" s="73">
        <v>20.53</v>
      </c>
      <c r="I15" s="73">
        <v>37.17</v>
      </c>
      <c r="J15" s="73">
        <v>74.3</v>
      </c>
      <c r="K15" s="73">
        <v>60.03</v>
      </c>
      <c r="L15" s="73">
        <v>15.15</v>
      </c>
      <c r="M15" s="73">
        <v>12.68</v>
      </c>
      <c r="N15" s="73">
        <v>14.68</v>
      </c>
      <c r="O15" s="73">
        <v>8.31</v>
      </c>
      <c r="P15" s="73">
        <v>6.9</v>
      </c>
      <c r="Q15" s="73">
        <v>18.46</v>
      </c>
      <c r="R15" s="73">
        <v>15.3</v>
      </c>
      <c r="S15" s="73">
        <v>93.43</v>
      </c>
      <c r="T15" s="73">
        <v>405.21</v>
      </c>
      <c r="U15" s="73">
        <v>111.24</v>
      </c>
      <c r="V15" s="73">
        <v>39.03</v>
      </c>
      <c r="W15" s="73">
        <v>251.11</v>
      </c>
      <c r="X15" s="73">
        <v>55</v>
      </c>
      <c r="Y15" s="73">
        <v>395.81</v>
      </c>
      <c r="Z15" s="73">
        <v>311.54000000000002</v>
      </c>
      <c r="AA15" s="49">
        <v>194.38</v>
      </c>
      <c r="AB15" s="49">
        <v>84.712999999999994</v>
      </c>
      <c r="AC15" s="49">
        <v>83.453000000000003</v>
      </c>
      <c r="AD15" s="10">
        <v>219.23</v>
      </c>
    </row>
    <row r="16" spans="2:30" ht="11.1" customHeight="1" x14ac:dyDescent="0.25">
      <c r="B16" s="72" t="s">
        <v>94</v>
      </c>
      <c r="C16" s="8" t="s">
        <v>89</v>
      </c>
      <c r="D16" s="73">
        <v>109133.39</v>
      </c>
      <c r="E16" s="73">
        <v>106130.04</v>
      </c>
      <c r="F16" s="73">
        <v>162519.6</v>
      </c>
      <c r="G16" s="73">
        <v>133433.82999999999</v>
      </c>
      <c r="H16" s="73">
        <v>82048.210000000006</v>
      </c>
      <c r="I16" s="73">
        <v>73125.279999999999</v>
      </c>
      <c r="J16" s="73">
        <v>64261.63</v>
      </c>
      <c r="K16" s="73">
        <v>72019.789999999994</v>
      </c>
      <c r="L16" s="73">
        <v>62270.51</v>
      </c>
      <c r="M16" s="73">
        <v>73679</v>
      </c>
      <c r="N16" s="73">
        <v>73067.460000000006</v>
      </c>
      <c r="O16" s="73">
        <v>88225.81</v>
      </c>
      <c r="P16" s="73">
        <v>94336.22</v>
      </c>
      <c r="Q16" s="73">
        <v>63165.74</v>
      </c>
      <c r="R16" s="73">
        <v>68368.740000000005</v>
      </c>
      <c r="S16" s="73">
        <v>113612.93</v>
      </c>
      <c r="T16" s="73">
        <v>105295.77</v>
      </c>
      <c r="U16" s="73">
        <v>121672.99</v>
      </c>
      <c r="V16" s="73">
        <v>113759.58</v>
      </c>
      <c r="W16" s="73">
        <v>96923.17</v>
      </c>
      <c r="X16" s="73">
        <v>114980.33</v>
      </c>
      <c r="Y16" s="73">
        <v>82748.31</v>
      </c>
      <c r="Z16" s="73">
        <v>74820.990000000005</v>
      </c>
      <c r="AA16" s="49">
        <v>87797.36</v>
      </c>
      <c r="AB16" s="49">
        <v>110786.36</v>
      </c>
      <c r="AC16" s="49">
        <v>75284.94</v>
      </c>
      <c r="AD16" s="10">
        <v>57408.36</v>
      </c>
    </row>
    <row r="17" spans="2:31" ht="11.1" customHeight="1" x14ac:dyDescent="0.25">
      <c r="B17" s="69" t="s">
        <v>95</v>
      </c>
      <c r="C17" s="8" t="s">
        <v>89</v>
      </c>
      <c r="D17" s="73">
        <v>2114.59</v>
      </c>
      <c r="E17" s="73">
        <v>1231.72</v>
      </c>
      <c r="F17" s="73">
        <v>2148.39</v>
      </c>
      <c r="G17" s="73">
        <v>1200.8800000000001</v>
      </c>
      <c r="H17" s="73">
        <v>491.54</v>
      </c>
      <c r="I17" s="73">
        <v>853.41</v>
      </c>
      <c r="J17" s="73">
        <v>737.59</v>
      </c>
      <c r="K17" s="73">
        <v>826.89</v>
      </c>
      <c r="L17" s="73">
        <v>1479.71</v>
      </c>
      <c r="M17" s="73">
        <v>771.57</v>
      </c>
      <c r="N17" s="73">
        <v>918.86</v>
      </c>
      <c r="O17" s="73">
        <v>602.29</v>
      </c>
      <c r="P17" s="73">
        <v>491.65</v>
      </c>
      <c r="Q17" s="73">
        <v>1542.57</v>
      </c>
      <c r="R17" s="73">
        <v>2670.19</v>
      </c>
      <c r="S17" s="73">
        <v>1588.53</v>
      </c>
      <c r="T17" s="73">
        <v>1531.37</v>
      </c>
      <c r="U17" s="73">
        <v>2340.85</v>
      </c>
      <c r="V17" s="73">
        <v>5052.3999999999996</v>
      </c>
      <c r="W17" s="73">
        <v>1226.74</v>
      </c>
      <c r="X17" s="73">
        <v>2653.51</v>
      </c>
      <c r="Y17" s="73">
        <v>2095.5100000000002</v>
      </c>
      <c r="Z17" s="73">
        <v>1805.31</v>
      </c>
      <c r="AA17" s="49">
        <v>3951.97</v>
      </c>
      <c r="AB17" s="49">
        <v>1573.74</v>
      </c>
      <c r="AC17" s="49">
        <v>2364.2600000000002</v>
      </c>
      <c r="AD17" s="10">
        <v>931.48</v>
      </c>
    </row>
    <row r="18" spans="2:31" ht="11.1" customHeight="1" x14ac:dyDescent="0.25">
      <c r="B18" s="90" t="s">
        <v>13</v>
      </c>
      <c r="C18" s="22" t="s">
        <v>89</v>
      </c>
      <c r="D18" s="60">
        <v>111247.98</v>
      </c>
      <c r="E18" s="60">
        <v>107361.76</v>
      </c>
      <c r="F18" s="60">
        <v>164667.99</v>
      </c>
      <c r="G18" s="60">
        <v>134634.71</v>
      </c>
      <c r="H18" s="60">
        <v>82539.75</v>
      </c>
      <c r="I18" s="60">
        <v>73978.69</v>
      </c>
      <c r="J18" s="60">
        <v>64999.22</v>
      </c>
      <c r="K18" s="60">
        <v>72846.679999999993</v>
      </c>
      <c r="L18" s="60">
        <v>63750.22</v>
      </c>
      <c r="M18" s="60">
        <v>74450.570000000007</v>
      </c>
      <c r="N18" s="60">
        <v>73986.320000000007</v>
      </c>
      <c r="O18" s="60">
        <v>88828.1</v>
      </c>
      <c r="P18" s="60">
        <v>94827.87</v>
      </c>
      <c r="Q18" s="60">
        <v>64708.31</v>
      </c>
      <c r="R18" s="60">
        <v>71038.929999999993</v>
      </c>
      <c r="S18" s="60">
        <v>115201.46</v>
      </c>
      <c r="T18" s="60">
        <v>106827.14</v>
      </c>
      <c r="U18" s="60">
        <v>124013.84</v>
      </c>
      <c r="V18" s="60">
        <v>118811.98</v>
      </c>
      <c r="W18" s="60">
        <v>98149.91</v>
      </c>
      <c r="X18" s="60">
        <v>117633.84</v>
      </c>
      <c r="Y18" s="60">
        <v>84843.82</v>
      </c>
      <c r="Z18" s="60">
        <v>76626.3</v>
      </c>
      <c r="AA18" s="91">
        <v>91749.33</v>
      </c>
      <c r="AB18" s="91">
        <v>112360.1</v>
      </c>
      <c r="AC18" s="91">
        <v>77649.2</v>
      </c>
      <c r="AD18" s="10">
        <v>58339.839999999997</v>
      </c>
      <c r="AE18" s="312"/>
    </row>
    <row r="19" spans="2:31" ht="11.1" customHeight="1" x14ac:dyDescent="0.25">
      <c r="B19" s="370" t="s">
        <v>16</v>
      </c>
      <c r="C19" s="370"/>
      <c r="D19" s="370"/>
      <c r="E19" s="370"/>
      <c r="F19" s="370"/>
      <c r="G19" s="370"/>
      <c r="H19" s="370"/>
      <c r="I19" s="370"/>
      <c r="J19" s="370"/>
      <c r="K19" s="370"/>
      <c r="L19" s="370"/>
      <c r="M19" s="370"/>
      <c r="N19" s="370"/>
      <c r="O19" s="370"/>
      <c r="P19" s="370"/>
      <c r="Q19" s="370"/>
      <c r="R19" s="370"/>
      <c r="S19" s="370"/>
      <c r="T19" s="370"/>
      <c r="U19" s="370"/>
      <c r="V19" s="370"/>
      <c r="W19" s="370"/>
      <c r="X19" s="370"/>
      <c r="Y19" s="370"/>
      <c r="Z19" s="367"/>
      <c r="AA19" s="50"/>
      <c r="AB19" s="50"/>
      <c r="AC19" s="50"/>
      <c r="AD19" s="50"/>
    </row>
    <row r="20" spans="2:31" ht="11.1" customHeight="1" x14ac:dyDescent="0.25">
      <c r="B20" s="377" t="s">
        <v>87</v>
      </c>
      <c r="C20" s="377"/>
      <c r="D20" s="377"/>
      <c r="E20" s="377"/>
      <c r="F20" s="377"/>
      <c r="G20" s="377"/>
      <c r="H20" s="377"/>
      <c r="I20" s="377"/>
      <c r="J20" s="377"/>
      <c r="K20" s="377"/>
      <c r="L20" s="377"/>
      <c r="M20" s="377"/>
      <c r="N20" s="377"/>
      <c r="O20" s="377"/>
      <c r="P20" s="377"/>
      <c r="Q20" s="377"/>
      <c r="R20" s="377"/>
      <c r="S20" s="377"/>
      <c r="T20" s="377"/>
      <c r="U20" s="377"/>
      <c r="V20" s="377"/>
      <c r="W20" s="377"/>
      <c r="X20" s="377"/>
      <c r="Y20" s="377"/>
      <c r="Z20" s="378"/>
      <c r="AA20" s="50"/>
      <c r="AB20" s="50"/>
      <c r="AC20" s="50"/>
      <c r="AD20" s="50"/>
    </row>
    <row r="21" spans="2:31" ht="11.1" customHeight="1" x14ac:dyDescent="0.25">
      <c r="B21" s="72" t="s">
        <v>88</v>
      </c>
      <c r="C21" s="8" t="s">
        <v>89</v>
      </c>
      <c r="D21" s="73">
        <v>11409.15</v>
      </c>
      <c r="E21" s="73">
        <v>11691.33</v>
      </c>
      <c r="F21" s="73">
        <v>13873.01</v>
      </c>
      <c r="G21" s="73">
        <v>13509.91</v>
      </c>
      <c r="H21" s="73">
        <v>10700.03</v>
      </c>
      <c r="I21" s="73">
        <v>8818.89</v>
      </c>
      <c r="J21" s="73">
        <v>9525.06</v>
      </c>
      <c r="K21" s="73">
        <v>7226.43</v>
      </c>
      <c r="L21" s="73">
        <v>7287.01</v>
      </c>
      <c r="M21" s="73">
        <v>6558.49</v>
      </c>
      <c r="N21" s="73">
        <v>4446.2</v>
      </c>
      <c r="O21" s="73">
        <v>2919.08</v>
      </c>
      <c r="P21" s="73">
        <v>3136.21</v>
      </c>
      <c r="Q21" s="73">
        <v>5171.1099999999997</v>
      </c>
      <c r="R21" s="73">
        <v>4780.67</v>
      </c>
      <c r="S21" s="73">
        <v>4925.4399999999996</v>
      </c>
      <c r="T21" s="73">
        <v>8218.92</v>
      </c>
      <c r="U21" s="73">
        <v>7311.65</v>
      </c>
      <c r="V21" s="73">
        <v>3111.57</v>
      </c>
      <c r="W21" s="73">
        <v>3870.91</v>
      </c>
      <c r="X21" s="73">
        <v>8349.2999999999993</v>
      </c>
      <c r="Y21" s="73">
        <v>2580.4</v>
      </c>
      <c r="Z21" s="73">
        <v>4018.86</v>
      </c>
      <c r="AA21" s="49">
        <v>4242.51</v>
      </c>
      <c r="AB21" s="49">
        <v>3421.71</v>
      </c>
      <c r="AC21" s="49">
        <v>2564.6</v>
      </c>
      <c r="AD21" s="10">
        <v>3862.17</v>
      </c>
    </row>
    <row r="22" spans="2:31" ht="11.1" customHeight="1" x14ac:dyDescent="0.25">
      <c r="B22" s="72" t="s">
        <v>91</v>
      </c>
      <c r="C22" s="8" t="s">
        <v>89</v>
      </c>
      <c r="D22" s="73">
        <v>14960.96</v>
      </c>
      <c r="E22" s="73">
        <v>14286.88</v>
      </c>
      <c r="F22" s="73">
        <v>12025.65</v>
      </c>
      <c r="G22" s="73">
        <v>8220.82</v>
      </c>
      <c r="H22" s="73">
        <v>6901.87</v>
      </c>
      <c r="I22" s="73">
        <v>5289.94</v>
      </c>
      <c r="J22" s="73">
        <v>4907.58</v>
      </c>
      <c r="K22" s="73">
        <v>5205.5600000000004</v>
      </c>
      <c r="L22" s="73">
        <v>3314.77</v>
      </c>
      <c r="M22" s="73">
        <v>2718.69</v>
      </c>
      <c r="N22" s="73">
        <v>1369.86</v>
      </c>
      <c r="O22" s="73">
        <v>611.36</v>
      </c>
      <c r="P22" s="73">
        <v>593.15</v>
      </c>
      <c r="Q22" s="73">
        <v>927.51</v>
      </c>
      <c r="R22" s="73">
        <v>783.7</v>
      </c>
      <c r="S22" s="73">
        <v>589.48</v>
      </c>
      <c r="T22" s="73">
        <v>896.3</v>
      </c>
      <c r="U22" s="73">
        <v>980.8</v>
      </c>
      <c r="V22" s="73">
        <v>333.8</v>
      </c>
      <c r="W22" s="73">
        <v>407.82</v>
      </c>
      <c r="X22" s="73">
        <v>1721.19</v>
      </c>
      <c r="Y22" s="73">
        <v>570.29999999999995</v>
      </c>
      <c r="Z22" s="73">
        <v>701.71</v>
      </c>
      <c r="AA22" s="49">
        <v>836.71</v>
      </c>
      <c r="AB22" s="49">
        <v>661.02300000000002</v>
      </c>
      <c r="AC22" s="49">
        <v>511.875</v>
      </c>
      <c r="AD22" s="10">
        <v>755.82</v>
      </c>
    </row>
    <row r="23" spans="2:31" ht="11.1" customHeight="1" x14ac:dyDescent="0.25">
      <c r="B23" s="72" t="s">
        <v>92</v>
      </c>
      <c r="C23" s="8" t="s">
        <v>89</v>
      </c>
      <c r="D23" s="73">
        <v>846</v>
      </c>
      <c r="E23" s="73">
        <v>1145.1500000000001</v>
      </c>
      <c r="F23" s="73">
        <v>982.35</v>
      </c>
      <c r="G23" s="73">
        <v>2109.14</v>
      </c>
      <c r="H23" s="73">
        <v>1585.96</v>
      </c>
      <c r="I23" s="73">
        <v>973.59</v>
      </c>
      <c r="J23" s="73">
        <v>586.97</v>
      </c>
      <c r="K23" s="73">
        <v>533.87</v>
      </c>
      <c r="L23" s="73">
        <v>677.47</v>
      </c>
      <c r="M23" s="73">
        <v>506.75</v>
      </c>
      <c r="N23" s="73">
        <v>257.77</v>
      </c>
      <c r="O23" s="73">
        <v>124.44</v>
      </c>
      <c r="P23" s="73">
        <v>51.97</v>
      </c>
      <c r="Q23" s="73">
        <v>64.03</v>
      </c>
      <c r="R23" s="73">
        <v>27.25</v>
      </c>
      <c r="S23" s="73">
        <v>32.44</v>
      </c>
      <c r="T23" s="73">
        <v>65.150000000000006</v>
      </c>
      <c r="U23" s="73">
        <v>235.65</v>
      </c>
      <c r="V23" s="73">
        <v>38.49</v>
      </c>
      <c r="W23" s="73">
        <v>17.75</v>
      </c>
      <c r="X23" s="73">
        <v>195.1</v>
      </c>
      <c r="Y23" s="73">
        <v>45.95</v>
      </c>
      <c r="Z23" s="73">
        <v>38.46</v>
      </c>
      <c r="AA23" s="49">
        <v>48.204000000000001</v>
      </c>
      <c r="AB23" s="49">
        <v>10.74</v>
      </c>
      <c r="AC23" s="49">
        <v>23.048999999999999</v>
      </c>
      <c r="AD23" s="10">
        <v>28</v>
      </c>
    </row>
    <row r="24" spans="2:31" ht="11.1" customHeight="1" x14ac:dyDescent="0.25">
      <c r="B24" s="72" t="s">
        <v>93</v>
      </c>
      <c r="C24" s="8" t="s">
        <v>89</v>
      </c>
      <c r="D24" s="73">
        <v>38.6</v>
      </c>
      <c r="E24" s="73">
        <v>7.35</v>
      </c>
      <c r="F24" s="73">
        <v>6.56</v>
      </c>
      <c r="G24" s="73">
        <v>22.02</v>
      </c>
      <c r="H24" s="73">
        <v>17.38</v>
      </c>
      <c r="I24" s="73">
        <v>8.59</v>
      </c>
      <c r="J24" s="73">
        <v>123.27</v>
      </c>
      <c r="K24" s="73">
        <v>87.99</v>
      </c>
      <c r="L24" s="73">
        <v>81.510000000000005</v>
      </c>
      <c r="M24" s="73">
        <v>299.18</v>
      </c>
      <c r="N24" s="73">
        <v>5.01</v>
      </c>
      <c r="O24" s="73">
        <v>115.36</v>
      </c>
      <c r="P24" s="73">
        <v>10.96</v>
      </c>
      <c r="Q24" s="73">
        <v>0.17</v>
      </c>
      <c r="R24" s="73">
        <v>1.2</v>
      </c>
      <c r="S24" s="73">
        <v>1.66</v>
      </c>
      <c r="T24" s="73">
        <v>14.84</v>
      </c>
      <c r="U24" s="73">
        <v>23.89</v>
      </c>
      <c r="V24" s="73">
        <v>13.45</v>
      </c>
      <c r="W24" s="73">
        <v>1.99</v>
      </c>
      <c r="X24" s="73">
        <v>18.8</v>
      </c>
      <c r="Y24" s="73">
        <v>1.85</v>
      </c>
      <c r="Z24" s="73">
        <v>1.82</v>
      </c>
      <c r="AA24" s="49">
        <v>0</v>
      </c>
      <c r="AB24" s="49">
        <v>1.095</v>
      </c>
      <c r="AC24" s="49">
        <v>4.4320000000000004</v>
      </c>
      <c r="AD24" s="10">
        <v>18.66</v>
      </c>
    </row>
    <row r="25" spans="2:31" ht="11.1" customHeight="1" x14ac:dyDescent="0.25">
      <c r="B25" s="69" t="s">
        <v>152</v>
      </c>
      <c r="C25" s="8" t="s">
        <v>89</v>
      </c>
      <c r="D25" s="73">
        <v>696.15</v>
      </c>
      <c r="E25" s="73">
        <v>314.27999999999997</v>
      </c>
      <c r="F25" s="73">
        <v>668.94</v>
      </c>
      <c r="G25" s="73">
        <v>710.38</v>
      </c>
      <c r="H25" s="73">
        <v>582.08000000000004</v>
      </c>
      <c r="I25" s="73">
        <v>390.44</v>
      </c>
      <c r="J25" s="73">
        <v>439.44</v>
      </c>
      <c r="K25" s="73">
        <v>187.04</v>
      </c>
      <c r="L25" s="73">
        <v>313.18</v>
      </c>
      <c r="M25" s="73">
        <v>361.68</v>
      </c>
      <c r="N25" s="73">
        <v>370.68</v>
      </c>
      <c r="O25" s="73">
        <v>117.56</v>
      </c>
      <c r="P25" s="73">
        <v>413.44</v>
      </c>
      <c r="Q25" s="73">
        <v>561.01</v>
      </c>
      <c r="R25" s="73">
        <v>413.98</v>
      </c>
      <c r="S25" s="73">
        <v>284.64999999999998</v>
      </c>
      <c r="T25" s="73">
        <v>318.11</v>
      </c>
      <c r="U25" s="73">
        <v>310.29000000000002</v>
      </c>
      <c r="V25" s="73">
        <v>466.35</v>
      </c>
      <c r="W25" s="73">
        <v>303.77999999999997</v>
      </c>
      <c r="X25" s="73">
        <v>942.03</v>
      </c>
      <c r="Y25" s="73">
        <v>124.84</v>
      </c>
      <c r="Z25" s="73">
        <v>100.34</v>
      </c>
      <c r="AA25" s="49">
        <v>266.51100000000002</v>
      </c>
      <c r="AB25" s="49">
        <v>163.221</v>
      </c>
      <c r="AC25" s="49">
        <v>403.17599999999999</v>
      </c>
      <c r="AD25" s="10">
        <v>151.53</v>
      </c>
    </row>
    <row r="26" spans="2:31" ht="12" customHeight="1" x14ac:dyDescent="0.25">
      <c r="B26" s="69" t="s">
        <v>13</v>
      </c>
      <c r="C26" s="8" t="s">
        <v>89</v>
      </c>
      <c r="D26" s="73">
        <v>27950.86</v>
      </c>
      <c r="E26" s="73">
        <v>27444.99</v>
      </c>
      <c r="F26" s="73">
        <v>27556.51</v>
      </c>
      <c r="G26" s="73">
        <v>24572.27</v>
      </c>
      <c r="H26" s="73">
        <v>19787.32</v>
      </c>
      <c r="I26" s="73">
        <v>15481.45</v>
      </c>
      <c r="J26" s="73">
        <v>15582.32</v>
      </c>
      <c r="K26" s="73">
        <v>13240.89</v>
      </c>
      <c r="L26" s="73">
        <v>11673.94</v>
      </c>
      <c r="M26" s="73">
        <v>10444.790000000001</v>
      </c>
      <c r="N26" s="73">
        <v>6449.52</v>
      </c>
      <c r="O26" s="73">
        <v>3887.8</v>
      </c>
      <c r="P26" s="73">
        <v>4205.7299999999996</v>
      </c>
      <c r="Q26" s="73">
        <v>6723.83</v>
      </c>
      <c r="R26" s="73">
        <v>6006.8</v>
      </c>
      <c r="S26" s="73">
        <v>5833.67</v>
      </c>
      <c r="T26" s="73">
        <v>9513.32</v>
      </c>
      <c r="U26" s="73">
        <v>8862.2800000000007</v>
      </c>
      <c r="V26" s="73">
        <v>3963.66</v>
      </c>
      <c r="W26" s="73">
        <v>4602.25</v>
      </c>
      <c r="X26" s="73">
        <v>11226.42</v>
      </c>
      <c r="Y26" s="73">
        <v>3323.34</v>
      </c>
      <c r="Z26" s="73">
        <v>4861.1899999999996</v>
      </c>
      <c r="AA26" s="49">
        <v>5393.94</v>
      </c>
      <c r="AB26" s="49">
        <v>4257.79</v>
      </c>
      <c r="AC26" s="49">
        <v>3507.13</v>
      </c>
      <c r="AD26" s="10">
        <v>4816.18</v>
      </c>
    </row>
    <row r="27" spans="2:31" ht="11.1" customHeight="1" x14ac:dyDescent="0.25">
      <c r="B27" s="12" t="s">
        <v>96</v>
      </c>
      <c r="C27" s="8" t="s">
        <v>89</v>
      </c>
      <c r="D27" s="73">
        <v>7151.19</v>
      </c>
      <c r="E27" s="73">
        <v>5388.52</v>
      </c>
      <c r="F27" s="73">
        <v>7117.3</v>
      </c>
      <c r="G27" s="73">
        <v>8844</v>
      </c>
      <c r="H27" s="73">
        <v>14311.28</v>
      </c>
      <c r="I27" s="73">
        <v>14398.68</v>
      </c>
      <c r="J27" s="73">
        <v>15946.39</v>
      </c>
      <c r="K27" s="73">
        <v>12258.24</v>
      </c>
      <c r="L27" s="73">
        <v>10423.280000000001</v>
      </c>
      <c r="M27" s="73">
        <v>9428.35</v>
      </c>
      <c r="N27" s="73">
        <v>7707.4</v>
      </c>
      <c r="O27" s="73">
        <v>9570.18</v>
      </c>
      <c r="P27" s="73">
        <v>28344.3</v>
      </c>
      <c r="Q27" s="73">
        <v>16057.29</v>
      </c>
      <c r="R27" s="73">
        <v>18242.93</v>
      </c>
      <c r="S27" s="73">
        <v>23178.34</v>
      </c>
      <c r="T27" s="73">
        <v>14534.81</v>
      </c>
      <c r="U27" s="73">
        <v>14279.24</v>
      </c>
      <c r="V27" s="73">
        <v>12908.47</v>
      </c>
      <c r="W27" s="73">
        <v>15008.3</v>
      </c>
      <c r="X27" s="73">
        <v>19719.82</v>
      </c>
      <c r="Y27" s="73">
        <v>14019.14</v>
      </c>
      <c r="Z27" s="73">
        <v>13550.71</v>
      </c>
      <c r="AA27" s="49">
        <v>16026.77</v>
      </c>
      <c r="AB27" s="49">
        <v>11286.27</v>
      </c>
      <c r="AC27" s="49">
        <v>7362.08</v>
      </c>
      <c r="AD27" s="10">
        <v>11688.35</v>
      </c>
    </row>
    <row r="28" spans="2:31" ht="11.1" customHeight="1" x14ac:dyDescent="0.25">
      <c r="B28" s="377" t="s">
        <v>97</v>
      </c>
      <c r="C28" s="377"/>
      <c r="D28" s="377"/>
      <c r="E28" s="377"/>
      <c r="F28" s="377"/>
      <c r="G28" s="377"/>
      <c r="H28" s="377"/>
      <c r="I28" s="377"/>
      <c r="J28" s="377"/>
      <c r="K28" s="377"/>
      <c r="L28" s="377"/>
      <c r="M28" s="377"/>
      <c r="N28" s="377"/>
      <c r="O28" s="377"/>
      <c r="P28" s="377"/>
      <c r="Q28" s="377"/>
      <c r="R28" s="377"/>
      <c r="S28" s="377"/>
      <c r="T28" s="377"/>
      <c r="U28" s="377"/>
      <c r="V28" s="377"/>
      <c r="W28" s="377"/>
      <c r="X28" s="377"/>
      <c r="Y28" s="377"/>
      <c r="Z28" s="378"/>
      <c r="AA28" s="50"/>
      <c r="AB28" s="50"/>
      <c r="AC28" s="50"/>
      <c r="AD28" s="50"/>
    </row>
    <row r="29" spans="2:31" ht="11.1" customHeight="1" x14ac:dyDescent="0.25">
      <c r="B29" s="72" t="s">
        <v>98</v>
      </c>
      <c r="C29" s="8" t="s">
        <v>89</v>
      </c>
      <c r="D29" s="73">
        <v>1044</v>
      </c>
      <c r="E29" s="73">
        <v>1543</v>
      </c>
      <c r="F29" s="73">
        <v>1715</v>
      </c>
      <c r="G29" s="73">
        <v>639</v>
      </c>
      <c r="H29" s="73">
        <v>1240</v>
      </c>
      <c r="I29" s="73">
        <v>914</v>
      </c>
      <c r="J29" s="73">
        <v>1432</v>
      </c>
      <c r="K29" s="73">
        <v>1401</v>
      </c>
      <c r="L29" s="73">
        <v>1227</v>
      </c>
      <c r="M29" s="73">
        <v>674</v>
      </c>
      <c r="N29" s="73">
        <v>455</v>
      </c>
      <c r="O29" s="73">
        <v>892</v>
      </c>
      <c r="P29" s="73">
        <v>595</v>
      </c>
      <c r="Q29" s="73">
        <v>577</v>
      </c>
      <c r="R29" s="73">
        <v>613</v>
      </c>
      <c r="S29" s="73">
        <v>807</v>
      </c>
      <c r="T29" s="73">
        <v>642</v>
      </c>
      <c r="U29" s="73">
        <v>732</v>
      </c>
      <c r="V29" s="73">
        <v>861</v>
      </c>
      <c r="W29" s="73">
        <v>682</v>
      </c>
      <c r="X29" s="73">
        <v>574</v>
      </c>
      <c r="Y29" s="73">
        <v>553</v>
      </c>
      <c r="Z29" s="73">
        <v>347</v>
      </c>
      <c r="AA29" s="49">
        <v>890</v>
      </c>
      <c r="AB29" s="49">
        <v>724</v>
      </c>
      <c r="AC29" s="49">
        <v>821</v>
      </c>
      <c r="AD29" s="10">
        <v>780.72</v>
      </c>
    </row>
    <row r="30" spans="2:31" ht="11.1" customHeight="1" x14ac:dyDescent="0.25">
      <c r="B30" s="72" t="s">
        <v>95</v>
      </c>
      <c r="C30" s="8" t="s">
        <v>89</v>
      </c>
      <c r="D30" s="73">
        <v>40</v>
      </c>
      <c r="E30" s="73">
        <v>90</v>
      </c>
      <c r="F30" s="73">
        <v>115</v>
      </c>
      <c r="G30" s="73">
        <v>148</v>
      </c>
      <c r="H30" s="73">
        <v>0</v>
      </c>
      <c r="I30" s="73">
        <v>5</v>
      </c>
      <c r="J30" s="73">
        <v>28</v>
      </c>
      <c r="K30" s="73">
        <v>46</v>
      </c>
      <c r="L30" s="73">
        <v>12</v>
      </c>
      <c r="M30" s="73">
        <v>2</v>
      </c>
      <c r="N30" s="73">
        <v>5</v>
      </c>
      <c r="O30" s="73">
        <v>1</v>
      </c>
      <c r="P30" s="73">
        <v>2</v>
      </c>
      <c r="Q30" s="73">
        <v>1</v>
      </c>
      <c r="R30" s="73">
        <v>0</v>
      </c>
      <c r="S30" s="73">
        <v>1</v>
      </c>
      <c r="T30" s="73">
        <v>1</v>
      </c>
      <c r="U30" s="73">
        <v>1</v>
      </c>
      <c r="V30" s="73">
        <v>0</v>
      </c>
      <c r="W30" s="73">
        <v>1</v>
      </c>
      <c r="X30" s="73">
        <v>3</v>
      </c>
      <c r="Y30" s="73">
        <v>2</v>
      </c>
      <c r="Z30" s="73">
        <v>11</v>
      </c>
      <c r="AA30" s="49">
        <v>10</v>
      </c>
      <c r="AB30" s="49">
        <v>1</v>
      </c>
      <c r="AC30" s="49">
        <v>0</v>
      </c>
      <c r="AD30" s="10">
        <v>0</v>
      </c>
    </row>
    <row r="31" spans="2:31" ht="11.1" customHeight="1" x14ac:dyDescent="0.25">
      <c r="B31" s="72" t="s">
        <v>13</v>
      </c>
      <c r="C31" s="8" t="s">
        <v>89</v>
      </c>
      <c r="D31" s="73">
        <v>1084</v>
      </c>
      <c r="E31" s="73">
        <v>1632</v>
      </c>
      <c r="F31" s="73">
        <v>1830</v>
      </c>
      <c r="G31" s="73">
        <v>787</v>
      </c>
      <c r="H31" s="73">
        <v>1241</v>
      </c>
      <c r="I31" s="73">
        <v>919</v>
      </c>
      <c r="J31" s="73">
        <v>1460</v>
      </c>
      <c r="K31" s="73">
        <v>1447</v>
      </c>
      <c r="L31" s="73">
        <v>1239</v>
      </c>
      <c r="M31" s="73">
        <v>676</v>
      </c>
      <c r="N31" s="73">
        <v>460</v>
      </c>
      <c r="O31" s="73">
        <v>893</v>
      </c>
      <c r="P31" s="73">
        <v>597</v>
      </c>
      <c r="Q31" s="73">
        <v>577</v>
      </c>
      <c r="R31" s="73">
        <v>613</v>
      </c>
      <c r="S31" s="73">
        <v>808</v>
      </c>
      <c r="T31" s="73">
        <v>642</v>
      </c>
      <c r="U31" s="73">
        <v>733</v>
      </c>
      <c r="V31" s="73">
        <v>862</v>
      </c>
      <c r="W31" s="73">
        <v>682</v>
      </c>
      <c r="X31" s="73">
        <v>577</v>
      </c>
      <c r="Y31" s="73">
        <v>555</v>
      </c>
      <c r="Z31" s="73">
        <v>358</v>
      </c>
      <c r="AA31" s="49">
        <v>900</v>
      </c>
      <c r="AB31" s="49">
        <v>725</v>
      </c>
      <c r="AC31" s="49">
        <v>821</v>
      </c>
      <c r="AD31" s="10">
        <v>780.72</v>
      </c>
    </row>
    <row r="32" spans="2:31" ht="11.1" customHeight="1" x14ac:dyDescent="0.25">
      <c r="B32" s="7" t="s">
        <v>99</v>
      </c>
      <c r="C32" s="8" t="s">
        <v>89</v>
      </c>
      <c r="D32" s="73" t="s">
        <v>19</v>
      </c>
      <c r="E32" s="73" t="s">
        <v>19</v>
      </c>
      <c r="F32" s="73" t="s">
        <v>19</v>
      </c>
      <c r="G32" s="73" t="s">
        <v>19</v>
      </c>
      <c r="H32" s="73">
        <v>1327</v>
      </c>
      <c r="I32" s="73">
        <v>2186</v>
      </c>
      <c r="J32" s="73">
        <v>1714</v>
      </c>
      <c r="K32" s="73">
        <v>898</v>
      </c>
      <c r="L32" s="73">
        <v>1323</v>
      </c>
      <c r="M32" s="73">
        <v>707</v>
      </c>
      <c r="N32" s="73">
        <v>826</v>
      </c>
      <c r="O32" s="73">
        <v>176</v>
      </c>
      <c r="P32" s="73">
        <v>785</v>
      </c>
      <c r="Q32" s="73">
        <v>556</v>
      </c>
      <c r="R32" s="73">
        <v>194</v>
      </c>
      <c r="S32" s="73">
        <v>641</v>
      </c>
      <c r="T32" s="73">
        <v>418</v>
      </c>
      <c r="U32" s="73">
        <v>480</v>
      </c>
      <c r="V32" s="73">
        <v>336</v>
      </c>
      <c r="W32" s="73">
        <v>339</v>
      </c>
      <c r="X32" s="73">
        <v>285</v>
      </c>
      <c r="Y32" s="73">
        <v>647</v>
      </c>
      <c r="Z32" s="73">
        <v>404</v>
      </c>
      <c r="AA32" s="49">
        <v>224</v>
      </c>
      <c r="AB32" s="49">
        <v>688</v>
      </c>
      <c r="AC32" s="49">
        <v>263</v>
      </c>
      <c r="AD32" s="10">
        <v>368.78</v>
      </c>
    </row>
    <row r="33" spans="2:31" ht="11.1" customHeight="1" x14ac:dyDescent="0.25">
      <c r="B33" s="12" t="s">
        <v>100</v>
      </c>
      <c r="C33" s="8" t="s">
        <v>89</v>
      </c>
      <c r="D33" s="73">
        <v>9</v>
      </c>
      <c r="E33" s="73" t="s">
        <v>19</v>
      </c>
      <c r="F33" s="73" t="s">
        <v>19</v>
      </c>
      <c r="G33" s="73" t="s">
        <v>19</v>
      </c>
      <c r="H33" s="73" t="s">
        <v>19</v>
      </c>
      <c r="I33" s="73" t="s">
        <v>19</v>
      </c>
      <c r="J33" s="73" t="s">
        <v>19</v>
      </c>
      <c r="K33" s="73" t="s">
        <v>19</v>
      </c>
      <c r="L33" s="73" t="s">
        <v>19</v>
      </c>
      <c r="M33" s="73" t="s">
        <v>19</v>
      </c>
      <c r="N33" s="73" t="s">
        <v>19</v>
      </c>
      <c r="O33" s="73" t="s">
        <v>19</v>
      </c>
      <c r="P33" s="73" t="s">
        <v>19</v>
      </c>
      <c r="Q33" s="73" t="s">
        <v>19</v>
      </c>
      <c r="R33" s="73" t="s">
        <v>19</v>
      </c>
      <c r="S33" s="73" t="s">
        <v>19</v>
      </c>
      <c r="T33" s="73" t="s">
        <v>19</v>
      </c>
      <c r="U33" s="73" t="s">
        <v>19</v>
      </c>
      <c r="V33" s="73" t="s">
        <v>19</v>
      </c>
      <c r="W33" s="73" t="s">
        <v>19</v>
      </c>
      <c r="X33" s="73" t="s">
        <v>19</v>
      </c>
      <c r="Y33" s="73" t="s">
        <v>19</v>
      </c>
      <c r="Z33" s="73" t="s">
        <v>19</v>
      </c>
      <c r="AA33" s="49" t="s">
        <v>19</v>
      </c>
      <c r="AB33" s="49" t="s">
        <v>19</v>
      </c>
      <c r="AC33" s="49" t="s">
        <v>19</v>
      </c>
      <c r="AD33" s="49" t="s">
        <v>19</v>
      </c>
    </row>
    <row r="34" spans="2:31" ht="11.1" customHeight="1" x14ac:dyDescent="0.25">
      <c r="B34" s="12" t="s">
        <v>530</v>
      </c>
      <c r="C34" s="8" t="s">
        <v>89</v>
      </c>
      <c r="D34" s="73">
        <v>0</v>
      </c>
      <c r="E34" s="73">
        <v>0</v>
      </c>
      <c r="F34" s="73">
        <v>0</v>
      </c>
      <c r="G34" s="73">
        <v>0</v>
      </c>
      <c r="H34" s="73">
        <v>0</v>
      </c>
      <c r="I34" s="73">
        <v>0</v>
      </c>
      <c r="J34" s="73">
        <v>0</v>
      </c>
      <c r="K34" s="73">
        <v>0</v>
      </c>
      <c r="L34" s="73">
        <v>0</v>
      </c>
      <c r="M34" s="73">
        <v>0</v>
      </c>
      <c r="N34" s="73">
        <v>0</v>
      </c>
      <c r="O34" s="73">
        <v>0</v>
      </c>
      <c r="P34" s="73">
        <v>0</v>
      </c>
      <c r="Q34" s="73">
        <v>0</v>
      </c>
      <c r="R34" s="73">
        <v>0</v>
      </c>
      <c r="S34" s="73">
        <v>0</v>
      </c>
      <c r="T34" s="73">
        <v>0</v>
      </c>
      <c r="U34" s="73">
        <v>0</v>
      </c>
      <c r="V34" s="73">
        <v>0</v>
      </c>
      <c r="W34" s="73">
        <v>0</v>
      </c>
      <c r="X34" s="73">
        <v>0</v>
      </c>
      <c r="Y34" s="73">
        <v>0</v>
      </c>
      <c r="Z34" s="73">
        <v>642</v>
      </c>
      <c r="AA34" s="49">
        <v>616</v>
      </c>
      <c r="AB34" s="49">
        <v>490</v>
      </c>
      <c r="AC34" s="49">
        <v>859</v>
      </c>
      <c r="AD34" s="10">
        <v>543.80999999999995</v>
      </c>
    </row>
    <row r="35" spans="2:31" ht="12" customHeight="1" x14ac:dyDescent="0.25">
      <c r="B35" s="59" t="s">
        <v>13</v>
      </c>
      <c r="C35" s="22" t="s">
        <v>89</v>
      </c>
      <c r="D35" s="60">
        <v>36195</v>
      </c>
      <c r="E35" s="60">
        <v>34466</v>
      </c>
      <c r="F35" s="60">
        <v>36504</v>
      </c>
      <c r="G35" s="60">
        <v>34203</v>
      </c>
      <c r="H35" s="60">
        <v>36666</v>
      </c>
      <c r="I35" s="60">
        <v>32985</v>
      </c>
      <c r="J35" s="60">
        <v>34702</v>
      </c>
      <c r="K35" s="60">
        <v>27844</v>
      </c>
      <c r="L35" s="60">
        <v>24659</v>
      </c>
      <c r="M35" s="60">
        <v>21256</v>
      </c>
      <c r="N35" s="60">
        <v>15443</v>
      </c>
      <c r="O35" s="60">
        <v>14528</v>
      </c>
      <c r="P35" s="60">
        <v>33932</v>
      </c>
      <c r="Q35" s="60">
        <v>23914</v>
      </c>
      <c r="R35" s="60">
        <v>25056</v>
      </c>
      <c r="S35" s="60">
        <v>30460</v>
      </c>
      <c r="T35" s="60">
        <v>25109</v>
      </c>
      <c r="U35" s="60">
        <v>24355</v>
      </c>
      <c r="V35" s="60">
        <v>18070</v>
      </c>
      <c r="W35" s="60">
        <v>20632</v>
      </c>
      <c r="X35" s="60">
        <v>31808</v>
      </c>
      <c r="Y35" s="60">
        <v>18544</v>
      </c>
      <c r="Z35" s="60">
        <v>19817</v>
      </c>
      <c r="AA35" s="91">
        <v>23161</v>
      </c>
      <c r="AB35" s="49">
        <v>17447</v>
      </c>
      <c r="AC35" s="91">
        <v>12811</v>
      </c>
      <c r="AD35" s="10">
        <v>18197.84</v>
      </c>
      <c r="AE35" s="312"/>
    </row>
    <row r="36" spans="2:31" ht="11.1" customHeight="1" x14ac:dyDescent="0.25">
      <c r="B36" s="370" t="s">
        <v>101</v>
      </c>
      <c r="C36" s="370"/>
      <c r="D36" s="370"/>
      <c r="E36" s="370"/>
      <c r="F36" s="370"/>
      <c r="G36" s="370"/>
      <c r="H36" s="370"/>
      <c r="I36" s="370"/>
      <c r="J36" s="370"/>
      <c r="K36" s="370"/>
      <c r="L36" s="370"/>
      <c r="M36" s="370"/>
      <c r="N36" s="370"/>
      <c r="O36" s="370"/>
      <c r="P36" s="370"/>
      <c r="Q36" s="370"/>
      <c r="R36" s="370"/>
      <c r="S36" s="370"/>
      <c r="T36" s="370"/>
      <c r="U36" s="370"/>
      <c r="V36" s="370"/>
      <c r="W36" s="370"/>
      <c r="X36" s="370"/>
      <c r="Y36" s="370"/>
      <c r="Z36" s="367"/>
      <c r="AA36" s="50"/>
      <c r="AB36" s="50"/>
      <c r="AC36" s="50"/>
      <c r="AD36" s="50"/>
    </row>
    <row r="37" spans="2:31" ht="11.1" customHeight="1" x14ac:dyDescent="0.25">
      <c r="B37" s="12" t="s">
        <v>102</v>
      </c>
      <c r="C37" s="8" t="s">
        <v>89</v>
      </c>
      <c r="D37" s="73">
        <v>15224.91</v>
      </c>
      <c r="E37" s="73">
        <v>14012.29</v>
      </c>
      <c r="F37" s="73">
        <v>14107.19</v>
      </c>
      <c r="G37" s="73">
        <v>12490.46</v>
      </c>
      <c r="H37" s="73">
        <v>15066.35</v>
      </c>
      <c r="I37" s="73">
        <v>7880.59</v>
      </c>
      <c r="J37" s="73">
        <v>14026.63</v>
      </c>
      <c r="K37" s="73">
        <v>5767.96</v>
      </c>
      <c r="L37" s="73">
        <v>2891.44</v>
      </c>
      <c r="M37" s="73">
        <v>597.44000000000005</v>
      </c>
      <c r="N37" s="73">
        <v>1783.45</v>
      </c>
      <c r="O37" s="73">
        <v>3028.3</v>
      </c>
      <c r="P37" s="73">
        <v>620.27</v>
      </c>
      <c r="Q37" s="73">
        <v>1186.97</v>
      </c>
      <c r="R37" s="73">
        <v>1036.3800000000001</v>
      </c>
      <c r="S37" s="73">
        <v>794.59</v>
      </c>
      <c r="T37" s="73">
        <v>1570.75</v>
      </c>
      <c r="U37" s="73">
        <v>2318.9</v>
      </c>
      <c r="V37" s="73">
        <v>2215.11</v>
      </c>
      <c r="W37" s="73">
        <v>2569.31</v>
      </c>
      <c r="X37" s="73">
        <v>8072.59</v>
      </c>
      <c r="Y37" s="73">
        <v>5013</v>
      </c>
      <c r="Z37" s="73">
        <v>9268.39</v>
      </c>
      <c r="AA37" s="49">
        <v>8952.49</v>
      </c>
      <c r="AB37" s="49">
        <v>10174.879999999999</v>
      </c>
      <c r="AC37" s="49">
        <v>4681.1000000000004</v>
      </c>
      <c r="AD37" s="10">
        <v>13790.23</v>
      </c>
    </row>
    <row r="38" spans="2:31" ht="11.1" customHeight="1" x14ac:dyDescent="0.25">
      <c r="B38" s="12" t="s">
        <v>103</v>
      </c>
      <c r="C38" s="8" t="s">
        <v>89</v>
      </c>
      <c r="D38" s="73">
        <v>9397.75</v>
      </c>
      <c r="E38" s="73">
        <v>21264.2</v>
      </c>
      <c r="F38" s="73">
        <v>9754.24</v>
      </c>
      <c r="G38" s="73">
        <v>18039.11</v>
      </c>
      <c r="H38" s="73">
        <v>14184.05</v>
      </c>
      <c r="I38" s="73">
        <v>11021.25</v>
      </c>
      <c r="J38" s="73">
        <v>11294.94</v>
      </c>
      <c r="K38" s="73">
        <v>7166.67</v>
      </c>
      <c r="L38" s="73">
        <v>13896.26</v>
      </c>
      <c r="M38" s="73">
        <v>10725.21</v>
      </c>
      <c r="N38" s="73">
        <v>14787.37</v>
      </c>
      <c r="O38" s="73">
        <v>16261.08</v>
      </c>
      <c r="P38" s="73">
        <v>10636.29</v>
      </c>
      <c r="Q38" s="73">
        <v>11694.55</v>
      </c>
      <c r="R38" s="73">
        <v>15506.87</v>
      </c>
      <c r="S38" s="73">
        <v>6452.29</v>
      </c>
      <c r="T38" s="73">
        <v>1854.03</v>
      </c>
      <c r="U38" s="73">
        <v>2229.89</v>
      </c>
      <c r="V38" s="73">
        <v>2534.2600000000002</v>
      </c>
      <c r="W38" s="73">
        <v>2791.87</v>
      </c>
      <c r="X38" s="73">
        <v>4541.1499999999996</v>
      </c>
      <c r="Y38" s="73">
        <v>12454.11</v>
      </c>
      <c r="Z38" s="73">
        <v>21843.83</v>
      </c>
      <c r="AA38" s="49">
        <v>33109.33</v>
      </c>
      <c r="AB38" s="49">
        <v>14433.2</v>
      </c>
      <c r="AC38" s="49">
        <v>17378.62</v>
      </c>
      <c r="AD38" s="10">
        <v>27115.57</v>
      </c>
    </row>
    <row r="39" spans="2:31" ht="11.1" customHeight="1" x14ac:dyDescent="0.25">
      <c r="B39" s="12" t="s">
        <v>104</v>
      </c>
      <c r="C39" s="8" t="s">
        <v>89</v>
      </c>
      <c r="D39" s="73">
        <v>5918.63</v>
      </c>
      <c r="E39" s="73">
        <v>7318.68</v>
      </c>
      <c r="F39" s="73">
        <v>6234.54</v>
      </c>
      <c r="G39" s="73">
        <v>11933.27</v>
      </c>
      <c r="H39" s="73">
        <v>8180.29</v>
      </c>
      <c r="I39" s="73">
        <v>8047.24</v>
      </c>
      <c r="J39" s="73">
        <v>6842.91</v>
      </c>
      <c r="K39" s="73">
        <v>5970.94</v>
      </c>
      <c r="L39" s="73">
        <v>12245.22</v>
      </c>
      <c r="M39" s="73">
        <v>12180.78</v>
      </c>
      <c r="N39" s="73">
        <v>11781.16</v>
      </c>
      <c r="O39" s="73">
        <v>13722.83</v>
      </c>
      <c r="P39" s="73">
        <v>13901.41</v>
      </c>
      <c r="Q39" s="73">
        <v>14572.61</v>
      </c>
      <c r="R39" s="73">
        <v>16528.759999999998</v>
      </c>
      <c r="S39" s="73">
        <v>13437.92</v>
      </c>
      <c r="T39" s="73">
        <v>15428.02</v>
      </c>
      <c r="U39" s="73">
        <v>18164.759999999998</v>
      </c>
      <c r="V39" s="73">
        <v>18362.7</v>
      </c>
      <c r="W39" s="73">
        <v>15774.26</v>
      </c>
      <c r="X39" s="73">
        <v>12746.85</v>
      </c>
      <c r="Y39" s="73">
        <v>12427.35</v>
      </c>
      <c r="Z39" s="73">
        <v>16636.900000000001</v>
      </c>
      <c r="AA39" s="49">
        <v>13736.26</v>
      </c>
      <c r="AB39" s="49">
        <v>13464.22</v>
      </c>
      <c r="AC39" s="49">
        <v>13417.51</v>
      </c>
      <c r="AD39" s="10">
        <v>13547.79</v>
      </c>
    </row>
    <row r="40" spans="2:31" ht="11.1" customHeight="1" x14ac:dyDescent="0.25">
      <c r="B40" s="12" t="s">
        <v>105</v>
      </c>
      <c r="C40" s="8" t="s">
        <v>89</v>
      </c>
      <c r="D40" s="73">
        <v>1723.35</v>
      </c>
      <c r="E40" s="73">
        <v>1220.29</v>
      </c>
      <c r="F40" s="73">
        <v>1346.43</v>
      </c>
      <c r="G40" s="73">
        <v>1174.58</v>
      </c>
      <c r="H40" s="73">
        <v>1158.6099999999999</v>
      </c>
      <c r="I40" s="73">
        <v>918.08</v>
      </c>
      <c r="J40" s="73">
        <v>715.99</v>
      </c>
      <c r="K40" s="73">
        <v>880.17</v>
      </c>
      <c r="L40" s="73">
        <v>563.29999999999995</v>
      </c>
      <c r="M40" s="73">
        <v>526.77</v>
      </c>
      <c r="N40" s="73">
        <v>691.15</v>
      </c>
      <c r="O40" s="73">
        <v>428.21</v>
      </c>
      <c r="P40" s="73">
        <v>401.59</v>
      </c>
      <c r="Q40" s="73">
        <v>297.95999999999998</v>
      </c>
      <c r="R40" s="73">
        <v>244.92</v>
      </c>
      <c r="S40" s="73">
        <v>303.48</v>
      </c>
      <c r="T40" s="73">
        <v>231.77</v>
      </c>
      <c r="U40" s="73">
        <v>178.58</v>
      </c>
      <c r="V40" s="73">
        <v>77.09</v>
      </c>
      <c r="W40" s="73">
        <v>109.45</v>
      </c>
      <c r="X40" s="73">
        <v>106.08</v>
      </c>
      <c r="Y40" s="73">
        <v>123.29</v>
      </c>
      <c r="Z40" s="73">
        <v>144.28</v>
      </c>
      <c r="AA40" s="49">
        <v>214.64099999999999</v>
      </c>
      <c r="AB40" s="49">
        <v>125.14400000000001</v>
      </c>
      <c r="AC40" s="49">
        <v>80.492000000000004</v>
      </c>
      <c r="AD40" s="10">
        <v>71.34</v>
      </c>
    </row>
    <row r="41" spans="2:31" ht="11.1" customHeight="1" x14ac:dyDescent="0.25">
      <c r="B41" s="12" t="s">
        <v>106</v>
      </c>
      <c r="C41" s="8" t="s">
        <v>89</v>
      </c>
      <c r="D41" s="73">
        <v>1204.1300000000001</v>
      </c>
      <c r="E41" s="73">
        <v>747.04</v>
      </c>
      <c r="F41" s="73">
        <v>838.16</v>
      </c>
      <c r="G41" s="73">
        <v>498.77</v>
      </c>
      <c r="H41" s="73">
        <v>488.14</v>
      </c>
      <c r="I41" s="73">
        <v>604.96</v>
      </c>
      <c r="J41" s="73">
        <v>573.09</v>
      </c>
      <c r="K41" s="73">
        <v>722.52</v>
      </c>
      <c r="L41" s="73">
        <v>683.23</v>
      </c>
      <c r="M41" s="73">
        <v>573.27</v>
      </c>
      <c r="N41" s="73">
        <v>595.16999999999996</v>
      </c>
      <c r="O41" s="73">
        <v>221.8</v>
      </c>
      <c r="P41" s="73">
        <v>249.26</v>
      </c>
      <c r="Q41" s="73">
        <v>401.8</v>
      </c>
      <c r="R41" s="73">
        <v>141.57</v>
      </c>
      <c r="S41" s="73">
        <v>144.65</v>
      </c>
      <c r="T41" s="73">
        <v>29.99</v>
      </c>
      <c r="U41" s="73">
        <v>10.16</v>
      </c>
      <c r="V41" s="73">
        <v>40.83</v>
      </c>
      <c r="W41" s="73">
        <v>109.29</v>
      </c>
      <c r="X41" s="73">
        <v>170.7</v>
      </c>
      <c r="Y41" s="73">
        <v>8.75</v>
      </c>
      <c r="Z41" s="73">
        <v>5</v>
      </c>
      <c r="AA41" s="49">
        <v>28.061</v>
      </c>
      <c r="AB41" s="49">
        <v>5.2409999999999997</v>
      </c>
      <c r="AC41" s="49">
        <v>10.896000000000001</v>
      </c>
      <c r="AD41" s="10">
        <v>8.32</v>
      </c>
    </row>
    <row r="42" spans="2:31" ht="11.1" customHeight="1" x14ac:dyDescent="0.25">
      <c r="B42" s="12" t="s">
        <v>107</v>
      </c>
      <c r="C42" s="8" t="s">
        <v>89</v>
      </c>
      <c r="D42" s="73">
        <v>2696.49</v>
      </c>
      <c r="E42" s="73">
        <v>3019.87</v>
      </c>
      <c r="F42" s="73">
        <v>5118.8999999999996</v>
      </c>
      <c r="G42" s="73">
        <v>5485.71</v>
      </c>
      <c r="H42" s="73">
        <v>4346.62</v>
      </c>
      <c r="I42" s="73">
        <v>4324.2299999999996</v>
      </c>
      <c r="J42" s="73">
        <v>3645.81</v>
      </c>
      <c r="K42" s="73">
        <v>3362.29</v>
      </c>
      <c r="L42" s="73">
        <v>4383.3900000000003</v>
      </c>
      <c r="M42" s="73">
        <v>3016.29</v>
      </c>
      <c r="N42" s="73">
        <v>3743.26</v>
      </c>
      <c r="O42" s="73">
        <v>3371.53</v>
      </c>
      <c r="P42" s="73">
        <v>2270.9</v>
      </c>
      <c r="Q42" s="73">
        <v>2030.31</v>
      </c>
      <c r="R42" s="73">
        <v>1729.11</v>
      </c>
      <c r="S42" s="73">
        <v>931.9</v>
      </c>
      <c r="T42" s="73">
        <v>532.16</v>
      </c>
      <c r="U42" s="73">
        <v>332.97</v>
      </c>
      <c r="V42" s="73">
        <v>451.07</v>
      </c>
      <c r="W42" s="73">
        <v>566.12</v>
      </c>
      <c r="X42" s="73">
        <v>744.17</v>
      </c>
      <c r="Y42" s="73">
        <v>396.35</v>
      </c>
      <c r="Z42" s="73">
        <v>732.75</v>
      </c>
      <c r="AA42" s="49">
        <v>495.22</v>
      </c>
      <c r="AB42" s="49">
        <v>591.53800000000001</v>
      </c>
      <c r="AC42" s="49">
        <v>431.17700000000002</v>
      </c>
      <c r="AD42" s="10">
        <v>609.29999999999995</v>
      </c>
    </row>
    <row r="43" spans="2:31" ht="11.25" customHeight="1" x14ac:dyDescent="0.25">
      <c r="B43" s="12" t="s">
        <v>52</v>
      </c>
      <c r="C43" s="8" t="s">
        <v>89</v>
      </c>
      <c r="D43" s="73">
        <v>791.72</v>
      </c>
      <c r="E43" s="73">
        <v>1533.2</v>
      </c>
      <c r="F43" s="73">
        <v>620.59</v>
      </c>
      <c r="G43" s="73">
        <v>1532.62</v>
      </c>
      <c r="H43" s="73">
        <v>1238.6500000000001</v>
      </c>
      <c r="I43" s="73">
        <v>951.08</v>
      </c>
      <c r="J43" s="73">
        <v>387.11</v>
      </c>
      <c r="K43" s="73">
        <v>801.9</v>
      </c>
      <c r="L43" s="73">
        <v>979.78</v>
      </c>
      <c r="M43" s="73">
        <v>905.92</v>
      </c>
      <c r="N43" s="73">
        <v>1101.4000000000001</v>
      </c>
      <c r="O43" s="73">
        <v>1370.63</v>
      </c>
      <c r="P43" s="73">
        <v>936.49</v>
      </c>
      <c r="Q43" s="73">
        <v>935.54</v>
      </c>
      <c r="R43" s="73">
        <v>1804.94</v>
      </c>
      <c r="S43" s="73">
        <v>1955.68</v>
      </c>
      <c r="T43" s="73">
        <v>2512.9699999999998</v>
      </c>
      <c r="U43" s="73">
        <v>2104.4499999999998</v>
      </c>
      <c r="V43" s="73">
        <v>1493.91</v>
      </c>
      <c r="W43" s="73">
        <v>2268.92</v>
      </c>
      <c r="X43" s="73">
        <v>1372.38</v>
      </c>
      <c r="Y43" s="73">
        <v>1178.08</v>
      </c>
      <c r="Z43" s="73">
        <v>2215.8200000000002</v>
      </c>
      <c r="AA43" s="49">
        <v>7485.82</v>
      </c>
      <c r="AB43" s="49">
        <v>1444.44</v>
      </c>
      <c r="AC43" s="49">
        <v>850.07100000000003</v>
      </c>
      <c r="AD43" s="10">
        <v>1500.92</v>
      </c>
    </row>
    <row r="44" spans="2:31" ht="11.25" customHeight="1" x14ac:dyDescent="0.25">
      <c r="B44" s="12" t="s">
        <v>48</v>
      </c>
      <c r="C44" s="8" t="s">
        <v>89</v>
      </c>
      <c r="D44" s="73">
        <v>1462.69</v>
      </c>
      <c r="E44" s="73">
        <v>1553.74</v>
      </c>
      <c r="F44" s="73">
        <v>1681.35</v>
      </c>
      <c r="G44" s="73">
        <v>1646.31</v>
      </c>
      <c r="H44" s="73">
        <v>1360.85</v>
      </c>
      <c r="I44" s="73">
        <v>1264.1300000000001</v>
      </c>
      <c r="J44" s="73">
        <v>1627.96</v>
      </c>
      <c r="K44" s="73">
        <v>1432.22</v>
      </c>
      <c r="L44" s="73">
        <v>1636.51</v>
      </c>
      <c r="M44" s="73">
        <v>1469.93</v>
      </c>
      <c r="N44" s="73">
        <v>1359.99</v>
      </c>
      <c r="O44" s="73">
        <v>1572.25</v>
      </c>
      <c r="P44" s="73">
        <v>983.69</v>
      </c>
      <c r="Q44" s="73">
        <v>1041.4100000000001</v>
      </c>
      <c r="R44" s="73">
        <v>1321.43</v>
      </c>
      <c r="S44" s="73">
        <v>741.37</v>
      </c>
      <c r="T44" s="73">
        <v>425.93</v>
      </c>
      <c r="U44" s="73">
        <v>486.57</v>
      </c>
      <c r="V44" s="73">
        <v>472.33</v>
      </c>
      <c r="W44" s="73">
        <v>448.36</v>
      </c>
      <c r="X44" s="73">
        <v>630.01</v>
      </c>
      <c r="Y44" s="73">
        <v>207.86</v>
      </c>
      <c r="Z44" s="73">
        <v>331.11</v>
      </c>
      <c r="AA44" s="49">
        <v>391.53300000000002</v>
      </c>
      <c r="AB44" s="49">
        <v>170.21600000000001</v>
      </c>
      <c r="AC44" s="49">
        <v>148.03399999999999</v>
      </c>
      <c r="AD44" s="10">
        <v>186.01</v>
      </c>
    </row>
    <row r="45" spans="2:31" ht="11.1" customHeight="1" x14ac:dyDescent="0.25">
      <c r="B45" s="12" t="s">
        <v>108</v>
      </c>
      <c r="C45" s="8" t="s">
        <v>89</v>
      </c>
      <c r="D45" s="73">
        <v>5460.13</v>
      </c>
      <c r="E45" s="73">
        <v>6380.84</v>
      </c>
      <c r="F45" s="73">
        <v>6549.96</v>
      </c>
      <c r="G45" s="73">
        <v>3606.39</v>
      </c>
      <c r="H45" s="73">
        <v>5530.59</v>
      </c>
      <c r="I45" s="73">
        <v>4966.79</v>
      </c>
      <c r="J45" s="73">
        <v>3620.94</v>
      </c>
      <c r="K45" s="73">
        <v>3991.32</v>
      </c>
      <c r="L45" s="73">
        <v>3781.56</v>
      </c>
      <c r="M45" s="73">
        <v>4267.75</v>
      </c>
      <c r="N45" s="73">
        <v>4168.7700000000004</v>
      </c>
      <c r="O45" s="73">
        <v>3015.67</v>
      </c>
      <c r="P45" s="73">
        <v>4831.4799999999996</v>
      </c>
      <c r="Q45" s="73">
        <v>4126.13</v>
      </c>
      <c r="R45" s="73">
        <v>4157.17</v>
      </c>
      <c r="S45" s="73">
        <v>2897.11</v>
      </c>
      <c r="T45" s="73">
        <v>2768.72</v>
      </c>
      <c r="U45" s="73">
        <v>2998.06</v>
      </c>
      <c r="V45" s="73">
        <v>3541.85</v>
      </c>
      <c r="W45" s="73">
        <v>3668.17</v>
      </c>
      <c r="X45" s="73">
        <v>4252.09</v>
      </c>
      <c r="Y45" s="73">
        <v>4370.78</v>
      </c>
      <c r="Z45" s="73">
        <v>4564.4399999999996</v>
      </c>
      <c r="AA45" s="49">
        <v>7328.5</v>
      </c>
      <c r="AB45" s="49">
        <v>4174.1400000000003</v>
      </c>
      <c r="AC45" s="49">
        <v>5330.39</v>
      </c>
      <c r="AD45" s="10">
        <v>3696.68</v>
      </c>
    </row>
    <row r="46" spans="2:31" ht="11.1" customHeight="1" x14ac:dyDescent="0.25">
      <c r="B46" s="12" t="s">
        <v>109</v>
      </c>
      <c r="C46" s="8" t="s">
        <v>89</v>
      </c>
      <c r="D46" s="73">
        <v>970.57</v>
      </c>
      <c r="E46" s="73">
        <v>1431.39</v>
      </c>
      <c r="F46" s="73">
        <v>1783.75</v>
      </c>
      <c r="G46" s="73">
        <v>852.1</v>
      </c>
      <c r="H46" s="73">
        <v>827.66</v>
      </c>
      <c r="I46" s="73">
        <v>493.8</v>
      </c>
      <c r="J46" s="73">
        <v>729.18</v>
      </c>
      <c r="K46" s="73">
        <v>736.64</v>
      </c>
      <c r="L46" s="73">
        <v>629.19000000000005</v>
      </c>
      <c r="M46" s="73">
        <v>581.01</v>
      </c>
      <c r="N46" s="73">
        <v>862.61</v>
      </c>
      <c r="O46" s="73">
        <v>637.82000000000005</v>
      </c>
      <c r="P46" s="73">
        <v>492.85</v>
      </c>
      <c r="Q46" s="73">
        <v>400.7</v>
      </c>
      <c r="R46" s="73">
        <v>312.13</v>
      </c>
      <c r="S46" s="73">
        <v>235.7</v>
      </c>
      <c r="T46" s="73">
        <v>224.2</v>
      </c>
      <c r="U46" s="73">
        <v>260.83</v>
      </c>
      <c r="V46" s="73">
        <v>244.44</v>
      </c>
      <c r="W46" s="73">
        <v>234.48</v>
      </c>
      <c r="X46" s="73">
        <v>279.27</v>
      </c>
      <c r="Y46" s="73">
        <v>383.16</v>
      </c>
      <c r="Z46" s="73">
        <v>162.97999999999999</v>
      </c>
      <c r="AA46" s="49">
        <v>201.22900000000001</v>
      </c>
      <c r="AB46" s="49">
        <v>168.483</v>
      </c>
      <c r="AC46" s="49">
        <v>310.26299999999998</v>
      </c>
      <c r="AD46" s="10">
        <v>318.12</v>
      </c>
    </row>
    <row r="47" spans="2:31" ht="11.1" customHeight="1" x14ac:dyDescent="0.25">
      <c r="B47" s="12" t="s">
        <v>110</v>
      </c>
      <c r="C47" s="8" t="s">
        <v>89</v>
      </c>
      <c r="D47" s="73">
        <v>145.76</v>
      </c>
      <c r="E47" s="73">
        <v>161.62</v>
      </c>
      <c r="F47" s="73">
        <v>390.81</v>
      </c>
      <c r="G47" s="73">
        <v>294.22000000000003</v>
      </c>
      <c r="H47" s="73">
        <v>312.35000000000002</v>
      </c>
      <c r="I47" s="73">
        <v>274.43</v>
      </c>
      <c r="J47" s="73">
        <v>137.43</v>
      </c>
      <c r="K47" s="73">
        <v>189.63</v>
      </c>
      <c r="L47" s="73">
        <v>225.35</v>
      </c>
      <c r="M47" s="73">
        <v>316.37</v>
      </c>
      <c r="N47" s="73">
        <v>552.12</v>
      </c>
      <c r="O47" s="73">
        <v>598.94000000000005</v>
      </c>
      <c r="P47" s="73">
        <v>608.32000000000005</v>
      </c>
      <c r="Q47" s="73">
        <v>701.22</v>
      </c>
      <c r="R47" s="73">
        <v>585.02</v>
      </c>
      <c r="S47" s="73">
        <v>549.09</v>
      </c>
      <c r="T47" s="73">
        <v>415.13</v>
      </c>
      <c r="U47" s="73">
        <v>293</v>
      </c>
      <c r="V47" s="73">
        <v>243.48</v>
      </c>
      <c r="W47" s="73">
        <v>234.53</v>
      </c>
      <c r="X47" s="73">
        <v>12.97</v>
      </c>
      <c r="Y47" s="73">
        <v>210.09</v>
      </c>
      <c r="Z47" s="73">
        <v>75.489999999999995</v>
      </c>
      <c r="AA47" s="49">
        <v>198.345</v>
      </c>
      <c r="AB47" s="49">
        <v>227.03899999999999</v>
      </c>
      <c r="AC47" s="49">
        <v>122.58499999999999</v>
      </c>
      <c r="AD47" s="10">
        <v>93.13</v>
      </c>
    </row>
    <row r="48" spans="2:31" ht="11.1" customHeight="1" x14ac:dyDescent="0.25">
      <c r="B48" s="12" t="s">
        <v>111</v>
      </c>
      <c r="C48" s="8" t="s">
        <v>89</v>
      </c>
      <c r="D48" s="73">
        <v>737.62</v>
      </c>
      <c r="E48" s="73">
        <v>590.80999999999995</v>
      </c>
      <c r="F48" s="73">
        <v>705.24</v>
      </c>
      <c r="G48" s="73">
        <v>795.16</v>
      </c>
      <c r="H48" s="73">
        <v>1089.92</v>
      </c>
      <c r="I48" s="73">
        <v>1219.1099999999999</v>
      </c>
      <c r="J48" s="73">
        <v>1003.63</v>
      </c>
      <c r="K48" s="73">
        <v>1217.3</v>
      </c>
      <c r="L48" s="73">
        <v>1004.66</v>
      </c>
      <c r="M48" s="73">
        <v>1115.1600000000001</v>
      </c>
      <c r="N48" s="73">
        <v>1603.55</v>
      </c>
      <c r="O48" s="73">
        <v>1305.8399999999999</v>
      </c>
      <c r="P48" s="73">
        <v>1586.52</v>
      </c>
      <c r="Q48" s="73">
        <v>1216.8399999999999</v>
      </c>
      <c r="R48" s="73">
        <v>926.37</v>
      </c>
      <c r="S48" s="73">
        <v>613.95000000000005</v>
      </c>
      <c r="T48" s="73">
        <v>750.55</v>
      </c>
      <c r="U48" s="73">
        <v>792.58</v>
      </c>
      <c r="V48" s="73">
        <v>991.77</v>
      </c>
      <c r="W48" s="73">
        <v>581.17999999999995</v>
      </c>
      <c r="X48" s="73">
        <v>366.53</v>
      </c>
      <c r="Y48" s="73">
        <v>470.81</v>
      </c>
      <c r="Z48" s="73">
        <v>503.3</v>
      </c>
      <c r="AA48" s="49">
        <v>130.06899999999999</v>
      </c>
      <c r="AB48" s="49">
        <v>473.93400000000003</v>
      </c>
      <c r="AC48" s="49">
        <v>415.01799999999997</v>
      </c>
      <c r="AD48" s="10">
        <v>653.92999999999995</v>
      </c>
    </row>
    <row r="49" spans="2:30" ht="11.1" customHeight="1" x14ac:dyDescent="0.25">
      <c r="B49" s="75" t="s">
        <v>112</v>
      </c>
      <c r="C49" s="8" t="s">
        <v>89</v>
      </c>
      <c r="D49" s="73">
        <v>1309.1600000000001</v>
      </c>
      <c r="E49" s="73">
        <v>2209.44</v>
      </c>
      <c r="F49" s="73">
        <v>1064.1500000000001</v>
      </c>
      <c r="G49" s="73">
        <v>1250.08</v>
      </c>
      <c r="H49" s="73">
        <v>655.02</v>
      </c>
      <c r="I49" s="73">
        <v>317.11</v>
      </c>
      <c r="J49" s="73">
        <v>327.97</v>
      </c>
      <c r="K49" s="73">
        <v>265.62</v>
      </c>
      <c r="L49" s="73">
        <v>372.7</v>
      </c>
      <c r="M49" s="73">
        <v>234.08</v>
      </c>
      <c r="N49" s="73">
        <v>175.3</v>
      </c>
      <c r="O49" s="73">
        <v>224.6</v>
      </c>
      <c r="P49" s="73">
        <v>238.89</v>
      </c>
      <c r="Q49" s="73">
        <v>378.07</v>
      </c>
      <c r="R49" s="73">
        <v>533.59</v>
      </c>
      <c r="S49" s="73">
        <v>287.22000000000003</v>
      </c>
      <c r="T49" s="73">
        <v>520.16</v>
      </c>
      <c r="U49" s="73">
        <v>688.68</v>
      </c>
      <c r="V49" s="73">
        <v>893.26</v>
      </c>
      <c r="W49" s="73">
        <v>875.6</v>
      </c>
      <c r="X49" s="73">
        <v>561.4</v>
      </c>
      <c r="Y49" s="73">
        <v>555.55999999999995</v>
      </c>
      <c r="Z49" s="73">
        <v>102.35</v>
      </c>
      <c r="AA49" s="49">
        <v>12.807</v>
      </c>
      <c r="AB49" s="49">
        <v>55.646000000000001</v>
      </c>
      <c r="AC49" s="49">
        <v>841.13699999999994</v>
      </c>
      <c r="AD49" s="10">
        <v>1205.44</v>
      </c>
    </row>
    <row r="50" spans="2:30" ht="11.1" customHeight="1" x14ac:dyDescent="0.25">
      <c r="B50" s="12" t="s">
        <v>113</v>
      </c>
      <c r="C50" s="8" t="s">
        <v>89</v>
      </c>
      <c r="D50" s="73">
        <v>955.77</v>
      </c>
      <c r="E50" s="73">
        <v>1086.1500000000001</v>
      </c>
      <c r="F50" s="73">
        <v>653.54999999999995</v>
      </c>
      <c r="G50" s="73">
        <v>1078.6099999999999</v>
      </c>
      <c r="H50" s="73">
        <v>942.72</v>
      </c>
      <c r="I50" s="73">
        <v>719.64</v>
      </c>
      <c r="J50" s="73">
        <v>902.61</v>
      </c>
      <c r="K50" s="73">
        <v>480.56</v>
      </c>
      <c r="L50" s="73">
        <v>566.69000000000005</v>
      </c>
      <c r="M50" s="73">
        <v>486.27</v>
      </c>
      <c r="N50" s="73">
        <v>536.16</v>
      </c>
      <c r="O50" s="73">
        <v>1179.4100000000001</v>
      </c>
      <c r="P50" s="73">
        <v>561.48</v>
      </c>
      <c r="Q50" s="73">
        <v>659.41</v>
      </c>
      <c r="R50" s="73">
        <v>564.95000000000005</v>
      </c>
      <c r="S50" s="73">
        <v>398.85</v>
      </c>
      <c r="T50" s="73">
        <v>499.69</v>
      </c>
      <c r="U50" s="73">
        <v>740.61</v>
      </c>
      <c r="V50" s="73">
        <v>465.84</v>
      </c>
      <c r="W50" s="73">
        <v>394.11</v>
      </c>
      <c r="X50" s="73">
        <v>365</v>
      </c>
      <c r="Y50" s="73">
        <v>578.66</v>
      </c>
      <c r="Z50" s="73">
        <v>386.9</v>
      </c>
      <c r="AA50" s="49">
        <v>436.16899999999998</v>
      </c>
      <c r="AB50" s="49">
        <v>630.25300000000004</v>
      </c>
      <c r="AC50" s="49">
        <v>491.24799999999999</v>
      </c>
      <c r="AD50" s="10">
        <v>359.56</v>
      </c>
    </row>
    <row r="51" spans="2:30" ht="11.1" customHeight="1" x14ac:dyDescent="0.25">
      <c r="B51" s="12" t="s">
        <v>114</v>
      </c>
      <c r="C51" s="8" t="s">
        <v>89</v>
      </c>
      <c r="D51" s="73">
        <v>701.65</v>
      </c>
      <c r="E51" s="73">
        <v>840.57</v>
      </c>
      <c r="F51" s="73">
        <v>1145.24</v>
      </c>
      <c r="G51" s="73">
        <v>789.62</v>
      </c>
      <c r="H51" s="73">
        <v>949.59</v>
      </c>
      <c r="I51" s="73">
        <v>1030.06</v>
      </c>
      <c r="J51" s="73">
        <v>889.99</v>
      </c>
      <c r="K51" s="73">
        <v>815.34</v>
      </c>
      <c r="L51" s="73">
        <v>471.29</v>
      </c>
      <c r="M51" s="73">
        <v>571.96</v>
      </c>
      <c r="N51" s="73">
        <v>762.72</v>
      </c>
      <c r="O51" s="73">
        <v>601.37</v>
      </c>
      <c r="P51" s="73">
        <v>531.53</v>
      </c>
      <c r="Q51" s="73">
        <v>597.04999999999995</v>
      </c>
      <c r="R51" s="73">
        <v>560.51</v>
      </c>
      <c r="S51" s="73">
        <v>588.84</v>
      </c>
      <c r="T51" s="73">
        <v>568.71</v>
      </c>
      <c r="U51" s="73">
        <v>675.31</v>
      </c>
      <c r="V51" s="73">
        <v>715.11</v>
      </c>
      <c r="W51" s="73">
        <v>817.36</v>
      </c>
      <c r="X51" s="73">
        <v>498.84</v>
      </c>
      <c r="Y51" s="73">
        <v>489.8</v>
      </c>
      <c r="Z51" s="73">
        <v>579.09</v>
      </c>
      <c r="AA51" s="49">
        <v>226.47800000000001</v>
      </c>
      <c r="AB51" s="49">
        <v>391.55</v>
      </c>
      <c r="AC51" s="49">
        <v>445.548</v>
      </c>
      <c r="AD51" s="10">
        <v>536.04999999999995</v>
      </c>
    </row>
    <row r="52" spans="2:30" ht="11.1" customHeight="1" x14ac:dyDescent="0.25">
      <c r="B52" s="12" t="s">
        <v>115</v>
      </c>
      <c r="C52" s="8" t="s">
        <v>89</v>
      </c>
      <c r="D52" s="73">
        <v>599.27</v>
      </c>
      <c r="E52" s="73">
        <v>717.76</v>
      </c>
      <c r="F52" s="73">
        <v>727.2</v>
      </c>
      <c r="G52" s="73">
        <v>384.41</v>
      </c>
      <c r="H52" s="73">
        <v>372.38</v>
      </c>
      <c r="I52" s="73">
        <v>408.49</v>
      </c>
      <c r="J52" s="73">
        <v>321.95999999999998</v>
      </c>
      <c r="K52" s="73">
        <v>385.41</v>
      </c>
      <c r="L52" s="73">
        <v>450.3</v>
      </c>
      <c r="M52" s="73">
        <v>297.97000000000003</v>
      </c>
      <c r="N52" s="73">
        <v>292.69</v>
      </c>
      <c r="O52" s="73">
        <v>363.07</v>
      </c>
      <c r="P52" s="73">
        <v>212.46</v>
      </c>
      <c r="Q52" s="73">
        <v>148.69</v>
      </c>
      <c r="R52" s="73">
        <v>81.89</v>
      </c>
      <c r="S52" s="73">
        <v>142.75</v>
      </c>
      <c r="T52" s="73">
        <v>335.82</v>
      </c>
      <c r="U52" s="73">
        <v>165.57</v>
      </c>
      <c r="V52" s="73">
        <v>460.14</v>
      </c>
      <c r="W52" s="73">
        <v>452.41</v>
      </c>
      <c r="X52" s="73">
        <v>397.72</v>
      </c>
      <c r="Y52" s="73">
        <v>128.30000000000001</v>
      </c>
      <c r="Z52" s="73">
        <v>61.21</v>
      </c>
      <c r="AA52" s="49">
        <v>135.73599999999999</v>
      </c>
      <c r="AB52" s="49">
        <v>72.363</v>
      </c>
      <c r="AC52" s="49">
        <v>154.983</v>
      </c>
      <c r="AD52" s="10">
        <v>54.39</v>
      </c>
    </row>
    <row r="53" spans="2:30" ht="11.1" customHeight="1" x14ac:dyDescent="0.25">
      <c r="B53" s="77" t="s">
        <v>127</v>
      </c>
      <c r="C53" s="8" t="s">
        <v>89</v>
      </c>
      <c r="D53" s="73">
        <v>94.1</v>
      </c>
      <c r="E53" s="73">
        <v>228.94</v>
      </c>
      <c r="F53" s="73">
        <v>297.99</v>
      </c>
      <c r="G53" s="73">
        <v>520.04999999999995</v>
      </c>
      <c r="H53" s="73">
        <v>387.68</v>
      </c>
      <c r="I53" s="73">
        <v>436.73</v>
      </c>
      <c r="J53" s="73">
        <v>571.36</v>
      </c>
      <c r="K53" s="73">
        <v>452.12</v>
      </c>
      <c r="L53" s="73">
        <v>464.53</v>
      </c>
      <c r="M53" s="73">
        <v>687.9</v>
      </c>
      <c r="N53" s="73">
        <v>987.77</v>
      </c>
      <c r="O53" s="73">
        <v>716.99</v>
      </c>
      <c r="P53" s="73">
        <v>926.79</v>
      </c>
      <c r="Q53" s="73">
        <v>915.81</v>
      </c>
      <c r="R53" s="73">
        <v>1137.28</v>
      </c>
      <c r="S53" s="73">
        <v>849.04</v>
      </c>
      <c r="T53" s="73">
        <v>894.97</v>
      </c>
      <c r="U53" s="73">
        <v>845.86</v>
      </c>
      <c r="V53" s="73">
        <v>1042.48</v>
      </c>
      <c r="W53" s="73">
        <v>920.23</v>
      </c>
      <c r="X53" s="73">
        <v>1350.35</v>
      </c>
      <c r="Y53" s="73">
        <v>1120.78</v>
      </c>
      <c r="Z53" s="73">
        <v>1725.02</v>
      </c>
      <c r="AA53" s="49">
        <v>1365.72</v>
      </c>
      <c r="AB53" s="49">
        <v>1395.43</v>
      </c>
      <c r="AC53" s="49">
        <v>1544.05</v>
      </c>
      <c r="AD53" s="10">
        <v>1184.54</v>
      </c>
    </row>
    <row r="54" spans="2:30" ht="11.1" customHeight="1" x14ac:dyDescent="0.25">
      <c r="B54" s="12" t="s">
        <v>116</v>
      </c>
      <c r="C54" s="8" t="s">
        <v>89</v>
      </c>
      <c r="D54" s="73">
        <v>24.17</v>
      </c>
      <c r="E54" s="73">
        <v>159.56</v>
      </c>
      <c r="F54" s="73">
        <v>127.39</v>
      </c>
      <c r="G54" s="73">
        <v>165.78</v>
      </c>
      <c r="H54" s="73">
        <v>148.4</v>
      </c>
      <c r="I54" s="73">
        <v>90.62</v>
      </c>
      <c r="J54" s="73">
        <v>102.26</v>
      </c>
      <c r="K54" s="73">
        <v>95.22</v>
      </c>
      <c r="L54" s="73">
        <v>107.98</v>
      </c>
      <c r="M54" s="73">
        <v>80.34</v>
      </c>
      <c r="N54" s="73">
        <v>132.86000000000001</v>
      </c>
      <c r="O54" s="73">
        <v>135.94</v>
      </c>
      <c r="P54" s="73">
        <v>172.22</v>
      </c>
      <c r="Q54" s="73">
        <v>113.75</v>
      </c>
      <c r="R54" s="73">
        <v>79.36</v>
      </c>
      <c r="S54" s="73">
        <v>165.54</v>
      </c>
      <c r="T54" s="73">
        <v>123.49</v>
      </c>
      <c r="U54" s="73">
        <v>135.88</v>
      </c>
      <c r="V54" s="73">
        <v>194.09</v>
      </c>
      <c r="W54" s="73">
        <v>208.07</v>
      </c>
      <c r="X54" s="73">
        <v>305.44</v>
      </c>
      <c r="Y54" s="73">
        <v>129.15</v>
      </c>
      <c r="Z54" s="73">
        <v>310.93</v>
      </c>
      <c r="AA54" s="49">
        <v>292.22000000000003</v>
      </c>
      <c r="AB54" s="49">
        <v>489.291</v>
      </c>
      <c r="AC54" s="49">
        <v>343.35599999999999</v>
      </c>
      <c r="AD54" s="10">
        <v>169.76</v>
      </c>
    </row>
    <row r="55" spans="2:30" ht="11.1" customHeight="1" x14ac:dyDescent="0.25">
      <c r="B55" s="77" t="s">
        <v>117</v>
      </c>
      <c r="C55" s="8" t="s">
        <v>89</v>
      </c>
      <c r="D55" s="73">
        <v>47.07</v>
      </c>
      <c r="E55" s="73">
        <v>0</v>
      </c>
      <c r="F55" s="73">
        <v>135.13999999999999</v>
      </c>
      <c r="G55" s="73">
        <v>164.35</v>
      </c>
      <c r="H55" s="73">
        <v>365.79</v>
      </c>
      <c r="I55" s="73">
        <v>288.17</v>
      </c>
      <c r="J55" s="73">
        <v>407.06</v>
      </c>
      <c r="K55" s="73">
        <v>380.38</v>
      </c>
      <c r="L55" s="73">
        <v>340.38</v>
      </c>
      <c r="M55" s="73">
        <v>349.49</v>
      </c>
      <c r="N55" s="73">
        <v>480.25</v>
      </c>
      <c r="O55" s="73">
        <v>302.41000000000003</v>
      </c>
      <c r="P55" s="73">
        <v>287.89999999999998</v>
      </c>
      <c r="Q55" s="73">
        <v>274.14999999999998</v>
      </c>
      <c r="R55" s="73">
        <v>363.67</v>
      </c>
      <c r="S55" s="73">
        <v>226.23</v>
      </c>
      <c r="T55" s="73">
        <v>239.36</v>
      </c>
      <c r="U55" s="73">
        <v>218.87</v>
      </c>
      <c r="V55" s="73">
        <v>250.56</v>
      </c>
      <c r="W55" s="73">
        <v>213.52</v>
      </c>
      <c r="X55" s="73">
        <v>314.06</v>
      </c>
      <c r="Y55" s="73">
        <v>175.5</v>
      </c>
      <c r="Z55" s="73">
        <v>179.72</v>
      </c>
      <c r="AA55" s="49">
        <v>214.01</v>
      </c>
      <c r="AB55" s="49">
        <v>464.48</v>
      </c>
      <c r="AC55" s="49">
        <v>367.72399999999999</v>
      </c>
      <c r="AD55" s="10">
        <v>232.6</v>
      </c>
    </row>
    <row r="56" spans="2:30" ht="11.1" customHeight="1" x14ac:dyDescent="0.25">
      <c r="B56" s="77" t="s">
        <v>129</v>
      </c>
      <c r="C56" s="8" t="s">
        <v>89</v>
      </c>
      <c r="D56" s="73">
        <v>12.25</v>
      </c>
      <c r="E56" s="73">
        <v>11.79</v>
      </c>
      <c r="F56" s="73">
        <v>13.51</v>
      </c>
      <c r="G56" s="73">
        <v>15.63</v>
      </c>
      <c r="H56" s="73">
        <v>49.8</v>
      </c>
      <c r="I56" s="73">
        <v>48.78</v>
      </c>
      <c r="J56" s="73">
        <v>87.43</v>
      </c>
      <c r="K56" s="73">
        <v>76.180000000000007</v>
      </c>
      <c r="L56" s="73">
        <v>41.61</v>
      </c>
      <c r="M56" s="73">
        <v>67.959999999999994</v>
      </c>
      <c r="N56" s="73">
        <v>73.41</v>
      </c>
      <c r="O56" s="73">
        <v>118.44</v>
      </c>
      <c r="P56" s="73">
        <v>35.299999999999997</v>
      </c>
      <c r="Q56" s="73">
        <v>49.81</v>
      </c>
      <c r="R56" s="73">
        <v>86.55</v>
      </c>
      <c r="S56" s="73">
        <v>50.3</v>
      </c>
      <c r="T56" s="73">
        <v>44.82</v>
      </c>
      <c r="U56" s="73">
        <v>14.33</v>
      </c>
      <c r="V56" s="73">
        <v>48.36</v>
      </c>
      <c r="W56" s="73">
        <v>70.31</v>
      </c>
      <c r="X56" s="73">
        <v>35.799999999999997</v>
      </c>
      <c r="Y56" s="73">
        <v>30.66</v>
      </c>
      <c r="Z56" s="73">
        <v>18.95</v>
      </c>
      <c r="AA56" s="49">
        <v>39.433999999999997</v>
      </c>
      <c r="AB56" s="49">
        <v>25.021000000000001</v>
      </c>
      <c r="AC56" s="49">
        <v>30.331</v>
      </c>
      <c r="AD56" s="10">
        <v>52.2</v>
      </c>
    </row>
    <row r="57" spans="2:30" ht="11.1" customHeight="1" x14ac:dyDescent="0.25">
      <c r="B57" s="77" t="s">
        <v>95</v>
      </c>
      <c r="C57" s="8" t="s">
        <v>89</v>
      </c>
      <c r="D57" s="73">
        <v>9854</v>
      </c>
      <c r="E57" s="73">
        <v>7568.98</v>
      </c>
      <c r="F57" s="73">
        <v>10516.96</v>
      </c>
      <c r="G57" s="73">
        <v>7329.72</v>
      </c>
      <c r="H57" s="73">
        <v>8077.01</v>
      </c>
      <c r="I57" s="73">
        <v>9241.92</v>
      </c>
      <c r="J57" s="73">
        <v>10709.6</v>
      </c>
      <c r="K57" s="73">
        <v>8436.9</v>
      </c>
      <c r="L57" s="73">
        <v>8803.94</v>
      </c>
      <c r="M57" s="73">
        <v>7346.16</v>
      </c>
      <c r="N57" s="73">
        <v>9469.14</v>
      </c>
      <c r="O57" s="73">
        <v>6496.01</v>
      </c>
      <c r="P57" s="73">
        <v>8093.16</v>
      </c>
      <c r="Q57" s="73">
        <v>8901.26</v>
      </c>
      <c r="R57" s="73">
        <v>8642.2199999999993</v>
      </c>
      <c r="S57" s="73">
        <v>8366.7099999999991</v>
      </c>
      <c r="T57" s="73">
        <v>8386.11</v>
      </c>
      <c r="U57" s="73">
        <v>9257.5400000000009</v>
      </c>
      <c r="V57" s="73">
        <v>12357.27</v>
      </c>
      <c r="W57" s="73">
        <v>10654.38</v>
      </c>
      <c r="X57" s="73">
        <v>11764.69</v>
      </c>
      <c r="Y57" s="73">
        <v>11149.23</v>
      </c>
      <c r="Z57" s="73">
        <v>10429.459999999999</v>
      </c>
      <c r="AA57" s="49">
        <v>9741.16</v>
      </c>
      <c r="AB57" s="49">
        <v>10971.99</v>
      </c>
      <c r="AC57" s="49">
        <v>8218.7099999999991</v>
      </c>
      <c r="AD57" s="10">
        <v>9576.43</v>
      </c>
    </row>
    <row r="58" spans="2:30" ht="12" customHeight="1" x14ac:dyDescent="0.25">
      <c r="B58" s="92" t="s">
        <v>13</v>
      </c>
      <c r="C58" s="22" t="s">
        <v>89</v>
      </c>
      <c r="D58" s="60">
        <v>59331.19</v>
      </c>
      <c r="E58" s="60">
        <v>72057.16</v>
      </c>
      <c r="F58" s="60">
        <v>63812.29</v>
      </c>
      <c r="G58" s="60">
        <v>70046.95</v>
      </c>
      <c r="H58" s="60">
        <v>65732.47</v>
      </c>
      <c r="I58" s="60">
        <v>54547.21</v>
      </c>
      <c r="J58" s="60">
        <v>58925.86</v>
      </c>
      <c r="K58" s="60">
        <v>43627.29</v>
      </c>
      <c r="L58" s="60">
        <v>54539.31</v>
      </c>
      <c r="M58" s="60">
        <v>46398.03</v>
      </c>
      <c r="N58" s="60">
        <v>55940.3</v>
      </c>
      <c r="O58" s="60">
        <v>55673.14</v>
      </c>
      <c r="P58" s="60">
        <v>48578.8</v>
      </c>
      <c r="Q58" s="60">
        <v>50644.04</v>
      </c>
      <c r="R58" s="60">
        <v>56344.69</v>
      </c>
      <c r="S58" s="60">
        <v>40133.21</v>
      </c>
      <c r="T58" s="60">
        <v>38357.35</v>
      </c>
      <c r="U58" s="60">
        <v>42913.4</v>
      </c>
      <c r="V58" s="60">
        <v>47095.95</v>
      </c>
      <c r="W58" s="60">
        <v>43961.93</v>
      </c>
      <c r="X58" s="60">
        <v>48888.09</v>
      </c>
      <c r="Y58" s="60">
        <v>51601.27</v>
      </c>
      <c r="Z58" s="60">
        <v>70277.919999999998</v>
      </c>
      <c r="AA58" s="91">
        <v>84735.22</v>
      </c>
      <c r="AB58" s="91">
        <v>59948.51</v>
      </c>
      <c r="AC58" s="91">
        <v>55613.23</v>
      </c>
      <c r="AD58" s="10">
        <v>74962.31</v>
      </c>
    </row>
    <row r="59" spans="2:30" ht="12.75" customHeight="1" x14ac:dyDescent="0.25">
      <c r="B59" s="382" t="s">
        <v>147</v>
      </c>
      <c r="C59" s="382"/>
      <c r="D59" s="382"/>
      <c r="E59" s="382"/>
      <c r="F59" s="382"/>
      <c r="G59" s="382"/>
      <c r="H59" s="382"/>
      <c r="I59" s="382"/>
      <c r="J59" s="382"/>
      <c r="K59" s="382"/>
      <c r="L59" s="382"/>
      <c r="M59" s="382"/>
      <c r="N59" s="382"/>
      <c r="O59" s="382"/>
      <c r="P59" s="382"/>
      <c r="Q59" s="382"/>
      <c r="R59" s="382"/>
      <c r="S59" s="382"/>
      <c r="T59" s="382"/>
      <c r="U59" s="382"/>
      <c r="V59" s="382"/>
      <c r="W59" s="382"/>
      <c r="X59" s="382"/>
      <c r="Y59" s="382"/>
      <c r="Z59" s="382"/>
      <c r="AA59" s="51"/>
      <c r="AB59" s="51"/>
      <c r="AC59" s="51"/>
      <c r="AD59" s="51"/>
    </row>
    <row r="60" spans="2:30" ht="12" customHeight="1" x14ac:dyDescent="0.25">
      <c r="B60" s="78" t="s">
        <v>115</v>
      </c>
      <c r="C60" s="8" t="s">
        <v>89</v>
      </c>
      <c r="D60" s="73" t="s">
        <v>19</v>
      </c>
      <c r="E60" s="73" t="s">
        <v>19</v>
      </c>
      <c r="F60" s="73" t="s">
        <v>19</v>
      </c>
      <c r="G60" s="73" t="s">
        <v>19</v>
      </c>
      <c r="H60" s="73">
        <v>1956.68</v>
      </c>
      <c r="I60" s="73">
        <v>4930.63</v>
      </c>
      <c r="J60" s="73">
        <v>3406.49</v>
      </c>
      <c r="K60" s="73">
        <v>2947.26</v>
      </c>
      <c r="L60" s="73">
        <v>4619.9799999999996</v>
      </c>
      <c r="M60" s="73">
        <v>2917.85</v>
      </c>
      <c r="N60" s="73">
        <v>3201.17</v>
      </c>
      <c r="O60" s="73">
        <v>3445.61</v>
      </c>
      <c r="P60" s="73">
        <v>3200.93</v>
      </c>
      <c r="Q60" s="73">
        <v>3186.35</v>
      </c>
      <c r="R60" s="73">
        <v>2759.14</v>
      </c>
      <c r="S60" s="73">
        <v>3152.66</v>
      </c>
      <c r="T60" s="73">
        <v>2055.13</v>
      </c>
      <c r="U60" s="73">
        <v>2400.44</v>
      </c>
      <c r="V60" s="73">
        <v>3584.57</v>
      </c>
      <c r="W60" s="73">
        <v>2480.21</v>
      </c>
      <c r="X60" s="73">
        <v>4253.54</v>
      </c>
      <c r="Y60" s="73">
        <v>2080.31</v>
      </c>
      <c r="Z60" s="73">
        <v>2419.39</v>
      </c>
      <c r="AA60" s="49">
        <v>2953.08</v>
      </c>
      <c r="AB60" s="49">
        <v>3713.31</v>
      </c>
      <c r="AC60" s="49">
        <v>3211.68</v>
      </c>
      <c r="AD60" s="10">
        <v>2744.32</v>
      </c>
    </row>
    <row r="61" spans="2:30" ht="12" customHeight="1" x14ac:dyDescent="0.25">
      <c r="B61" s="78" t="s">
        <v>106</v>
      </c>
      <c r="C61" s="8" t="s">
        <v>89</v>
      </c>
      <c r="D61" s="73" t="s">
        <v>19</v>
      </c>
      <c r="E61" s="73" t="s">
        <v>19</v>
      </c>
      <c r="F61" s="73" t="s">
        <v>19</v>
      </c>
      <c r="G61" s="73" t="s">
        <v>19</v>
      </c>
      <c r="H61" s="73">
        <v>8.08</v>
      </c>
      <c r="I61" s="73">
        <v>4.17</v>
      </c>
      <c r="J61" s="73">
        <v>3.06</v>
      </c>
      <c r="K61" s="73">
        <v>1.76</v>
      </c>
      <c r="L61" s="73">
        <v>3.18</v>
      </c>
      <c r="M61" s="73">
        <v>3.07</v>
      </c>
      <c r="N61" s="73">
        <v>7.34</v>
      </c>
      <c r="O61" s="73">
        <v>8.61</v>
      </c>
      <c r="P61" s="73">
        <v>24.37</v>
      </c>
      <c r="Q61" s="73">
        <v>29.56</v>
      </c>
      <c r="R61" s="73">
        <v>9.25</v>
      </c>
      <c r="S61" s="73">
        <v>3.96</v>
      </c>
      <c r="T61" s="73">
        <v>0.31</v>
      </c>
      <c r="U61" s="73">
        <v>0.64</v>
      </c>
      <c r="V61" s="73">
        <v>0.42</v>
      </c>
      <c r="W61" s="73">
        <v>2.2599999999999998</v>
      </c>
      <c r="X61" s="73">
        <v>0.02</v>
      </c>
      <c r="Y61" s="73">
        <v>1.22</v>
      </c>
      <c r="Z61" s="73">
        <v>0.89</v>
      </c>
      <c r="AA61" s="49">
        <v>0.67</v>
      </c>
      <c r="AB61" s="49">
        <v>0.05</v>
      </c>
      <c r="AC61" s="49">
        <v>0.20200000000000001</v>
      </c>
      <c r="AD61" s="10">
        <v>1.43</v>
      </c>
    </row>
    <row r="62" spans="2:30" ht="12" customHeight="1" x14ac:dyDescent="0.25">
      <c r="B62" s="78" t="s">
        <v>108</v>
      </c>
      <c r="C62" s="8" t="s">
        <v>89</v>
      </c>
      <c r="D62" s="73" t="s">
        <v>19</v>
      </c>
      <c r="E62" s="73" t="s">
        <v>19</v>
      </c>
      <c r="F62" s="73" t="s">
        <v>19</v>
      </c>
      <c r="G62" s="73" t="s">
        <v>19</v>
      </c>
      <c r="H62" s="73">
        <v>2851.59</v>
      </c>
      <c r="I62" s="73">
        <v>2589.9499999999998</v>
      </c>
      <c r="J62" s="73">
        <v>3226.39</v>
      </c>
      <c r="K62" s="73">
        <v>2700.75</v>
      </c>
      <c r="L62" s="73">
        <v>2233.89</v>
      </c>
      <c r="M62" s="73">
        <v>2176.7600000000002</v>
      </c>
      <c r="N62" s="73">
        <v>3582.25</v>
      </c>
      <c r="O62" s="73">
        <v>1696.11</v>
      </c>
      <c r="P62" s="73">
        <v>2301.9</v>
      </c>
      <c r="Q62" s="73">
        <v>2486.64</v>
      </c>
      <c r="R62" s="73">
        <v>2157.15</v>
      </c>
      <c r="S62" s="73">
        <v>1377.07</v>
      </c>
      <c r="T62" s="73">
        <v>1750.82</v>
      </c>
      <c r="U62" s="73">
        <v>1683.01</v>
      </c>
      <c r="V62" s="73">
        <v>1674.57</v>
      </c>
      <c r="W62" s="73">
        <v>1378.43</v>
      </c>
      <c r="X62" s="73">
        <v>2132.61</v>
      </c>
      <c r="Y62" s="73">
        <v>1996.87</v>
      </c>
      <c r="Z62" s="73">
        <v>2191.46</v>
      </c>
      <c r="AA62" s="49">
        <v>1770.09</v>
      </c>
      <c r="AB62" s="49">
        <v>3337.07</v>
      </c>
      <c r="AC62" s="49">
        <v>4156.68</v>
      </c>
      <c r="AD62" s="10">
        <v>3645.62</v>
      </c>
    </row>
    <row r="63" spans="2:30" ht="12" customHeight="1" x14ac:dyDescent="0.25">
      <c r="B63" s="77" t="s">
        <v>127</v>
      </c>
      <c r="C63" s="8" t="s">
        <v>89</v>
      </c>
      <c r="D63" s="73" t="s">
        <v>19</v>
      </c>
      <c r="E63" s="73" t="s">
        <v>19</v>
      </c>
      <c r="F63" s="73" t="s">
        <v>19</v>
      </c>
      <c r="G63" s="73" t="s">
        <v>19</v>
      </c>
      <c r="H63" s="73">
        <v>12713.27</v>
      </c>
      <c r="I63" s="73">
        <v>12188.72</v>
      </c>
      <c r="J63" s="73">
        <v>14301.51</v>
      </c>
      <c r="K63" s="73">
        <v>11612.66</v>
      </c>
      <c r="L63" s="73">
        <v>12622.37</v>
      </c>
      <c r="M63" s="73">
        <v>16900.759999999998</v>
      </c>
      <c r="N63" s="73">
        <v>18115.98</v>
      </c>
      <c r="O63" s="73">
        <v>15193.35</v>
      </c>
      <c r="P63" s="73">
        <v>14632.59</v>
      </c>
      <c r="Q63" s="73">
        <v>12232.56</v>
      </c>
      <c r="R63" s="73">
        <v>14192.05</v>
      </c>
      <c r="S63" s="73">
        <v>12648.05</v>
      </c>
      <c r="T63" s="73">
        <v>13676.27</v>
      </c>
      <c r="U63" s="73">
        <v>15459.34</v>
      </c>
      <c r="V63" s="73">
        <v>16886.009999999998</v>
      </c>
      <c r="W63" s="73">
        <v>16210.24</v>
      </c>
      <c r="X63" s="73">
        <v>19593.18</v>
      </c>
      <c r="Y63" s="73">
        <v>16478.64</v>
      </c>
      <c r="Z63" s="73">
        <v>20526.54</v>
      </c>
      <c r="AA63" s="49">
        <v>17047.259999999998</v>
      </c>
      <c r="AB63" s="49">
        <v>18594.61</v>
      </c>
      <c r="AC63" s="49">
        <v>21640.400000000001</v>
      </c>
      <c r="AD63" s="10">
        <v>17174.93</v>
      </c>
    </row>
    <row r="64" spans="2:30" ht="12" customHeight="1" x14ac:dyDescent="0.25">
      <c r="B64" s="77" t="s">
        <v>116</v>
      </c>
      <c r="C64" s="8" t="s">
        <v>89</v>
      </c>
      <c r="D64" s="73" t="s">
        <v>19</v>
      </c>
      <c r="E64" s="73" t="s">
        <v>19</v>
      </c>
      <c r="F64" s="73" t="s">
        <v>19</v>
      </c>
      <c r="G64" s="73" t="s">
        <v>19</v>
      </c>
      <c r="H64" s="73">
        <v>1531.82</v>
      </c>
      <c r="I64" s="73">
        <v>1400.12</v>
      </c>
      <c r="J64" s="73">
        <v>1144.19</v>
      </c>
      <c r="K64" s="73">
        <v>1540.55</v>
      </c>
      <c r="L64" s="73">
        <v>1634.87</v>
      </c>
      <c r="M64" s="73">
        <v>2229.2399999999998</v>
      </c>
      <c r="N64" s="73">
        <v>2209.89</v>
      </c>
      <c r="O64" s="73">
        <v>1436.25</v>
      </c>
      <c r="P64" s="73">
        <v>1481.59</v>
      </c>
      <c r="Q64" s="73">
        <v>987.54</v>
      </c>
      <c r="R64" s="73">
        <v>1023.07</v>
      </c>
      <c r="S64" s="73">
        <v>1590.53</v>
      </c>
      <c r="T64" s="73">
        <v>1616.99</v>
      </c>
      <c r="U64" s="73">
        <v>1442.71</v>
      </c>
      <c r="V64" s="73">
        <v>1506.9</v>
      </c>
      <c r="W64" s="73">
        <v>1660.64</v>
      </c>
      <c r="X64" s="73">
        <v>1732.59</v>
      </c>
      <c r="Y64" s="73">
        <v>1398.45</v>
      </c>
      <c r="Z64" s="73">
        <v>1647.46</v>
      </c>
      <c r="AA64" s="49">
        <v>1769.6</v>
      </c>
      <c r="AB64" s="49">
        <v>2401.39</v>
      </c>
      <c r="AC64" s="49">
        <v>2404.86</v>
      </c>
      <c r="AD64" s="10">
        <v>1687.38</v>
      </c>
    </row>
    <row r="65" spans="2:30" ht="12" customHeight="1" x14ac:dyDescent="0.25">
      <c r="B65" s="77" t="s">
        <v>117</v>
      </c>
      <c r="C65" s="8" t="s">
        <v>89</v>
      </c>
      <c r="D65" s="73" t="s">
        <v>19</v>
      </c>
      <c r="E65" s="73" t="s">
        <v>19</v>
      </c>
      <c r="F65" s="73" t="s">
        <v>19</v>
      </c>
      <c r="G65" s="73" t="s">
        <v>19</v>
      </c>
      <c r="H65" s="73">
        <v>887.88</v>
      </c>
      <c r="I65" s="73">
        <v>667.87</v>
      </c>
      <c r="J65" s="73">
        <v>595.55999999999995</v>
      </c>
      <c r="K65" s="73">
        <v>542.26</v>
      </c>
      <c r="L65" s="73">
        <v>508.67</v>
      </c>
      <c r="M65" s="73">
        <v>460.04</v>
      </c>
      <c r="N65" s="73">
        <v>629.54</v>
      </c>
      <c r="O65" s="73">
        <v>293.35000000000002</v>
      </c>
      <c r="P65" s="73">
        <v>327.29000000000002</v>
      </c>
      <c r="Q65" s="73">
        <v>254.4</v>
      </c>
      <c r="R65" s="73">
        <v>371.31</v>
      </c>
      <c r="S65" s="73">
        <v>227.62</v>
      </c>
      <c r="T65" s="73">
        <v>251.46</v>
      </c>
      <c r="U65" s="73">
        <v>258.22000000000003</v>
      </c>
      <c r="V65" s="73">
        <v>266.93</v>
      </c>
      <c r="W65" s="73">
        <v>200.1</v>
      </c>
      <c r="X65" s="73">
        <v>281.83</v>
      </c>
      <c r="Y65" s="73">
        <v>307.97000000000003</v>
      </c>
      <c r="Z65" s="73">
        <v>382.47</v>
      </c>
      <c r="AA65" s="49">
        <v>277.53100000000001</v>
      </c>
      <c r="AB65" s="49">
        <v>464.62900000000002</v>
      </c>
      <c r="AC65" s="49">
        <v>409.82</v>
      </c>
      <c r="AD65" s="10">
        <v>237.27</v>
      </c>
    </row>
    <row r="66" spans="2:30" ht="12" customHeight="1" x14ac:dyDescent="0.25">
      <c r="B66" s="77" t="s">
        <v>550</v>
      </c>
      <c r="C66" s="8" t="s">
        <v>89</v>
      </c>
      <c r="D66" s="73" t="s">
        <v>19</v>
      </c>
      <c r="E66" s="73" t="s">
        <v>19</v>
      </c>
      <c r="F66" s="73" t="s">
        <v>19</v>
      </c>
      <c r="G66" s="73" t="s">
        <v>19</v>
      </c>
      <c r="H66" s="73">
        <v>140.68</v>
      </c>
      <c r="I66" s="73">
        <v>23.93</v>
      </c>
      <c r="J66" s="73">
        <v>103.26</v>
      </c>
      <c r="K66" s="73">
        <v>82.48</v>
      </c>
      <c r="L66" s="73">
        <v>81.760000000000005</v>
      </c>
      <c r="M66" s="73">
        <v>124.85</v>
      </c>
      <c r="N66" s="73">
        <v>243.43</v>
      </c>
      <c r="O66" s="73">
        <v>165.29</v>
      </c>
      <c r="P66" s="73">
        <v>51.01</v>
      </c>
      <c r="Q66" s="73">
        <v>74.540000000000006</v>
      </c>
      <c r="R66" s="73">
        <v>130.47999999999999</v>
      </c>
      <c r="S66" s="73">
        <v>70.47</v>
      </c>
      <c r="T66" s="73">
        <v>59.45</v>
      </c>
      <c r="U66" s="73">
        <v>44.29</v>
      </c>
      <c r="V66" s="73">
        <v>37.82</v>
      </c>
      <c r="W66" s="73">
        <v>24.37</v>
      </c>
      <c r="X66" s="73">
        <v>48.32</v>
      </c>
      <c r="Y66" s="73">
        <v>29.58</v>
      </c>
      <c r="Z66" s="73">
        <v>46.58</v>
      </c>
      <c r="AA66" s="49">
        <v>55.353000000000002</v>
      </c>
      <c r="AB66" s="49">
        <v>89.498999999999995</v>
      </c>
      <c r="AC66" s="49">
        <v>53.021999999999998</v>
      </c>
      <c r="AD66" s="10">
        <v>69.36</v>
      </c>
    </row>
    <row r="67" spans="2:30" ht="12" customHeight="1" x14ac:dyDescent="0.25">
      <c r="B67" s="77" t="s">
        <v>118</v>
      </c>
      <c r="C67" s="8" t="s">
        <v>89</v>
      </c>
      <c r="D67" s="73" t="s">
        <v>19</v>
      </c>
      <c r="E67" s="73" t="s">
        <v>19</v>
      </c>
      <c r="F67" s="73" t="s">
        <v>19</v>
      </c>
      <c r="G67" s="73" t="s">
        <v>19</v>
      </c>
      <c r="H67" s="73">
        <v>399.14</v>
      </c>
      <c r="I67" s="73">
        <v>294.58999999999997</v>
      </c>
      <c r="J67" s="73">
        <v>402.46</v>
      </c>
      <c r="K67" s="73">
        <v>434.18</v>
      </c>
      <c r="L67" s="73">
        <v>401.32</v>
      </c>
      <c r="M67" s="73">
        <v>334.34</v>
      </c>
      <c r="N67" s="73">
        <v>320</v>
      </c>
      <c r="O67" s="73">
        <v>377.27</v>
      </c>
      <c r="P67" s="73">
        <v>223.93</v>
      </c>
      <c r="Q67" s="73">
        <v>247.97</v>
      </c>
      <c r="R67" s="73">
        <v>247.22</v>
      </c>
      <c r="S67" s="73">
        <v>216.05</v>
      </c>
      <c r="T67" s="73">
        <v>702.4</v>
      </c>
      <c r="U67" s="73">
        <v>446.77</v>
      </c>
      <c r="V67" s="73">
        <v>165.91</v>
      </c>
      <c r="W67" s="73">
        <v>397.96</v>
      </c>
      <c r="X67" s="73">
        <v>235.39</v>
      </c>
      <c r="Y67" s="73">
        <v>476.49</v>
      </c>
      <c r="Z67" s="73">
        <v>457.05</v>
      </c>
      <c r="AA67" s="49">
        <v>530.91800000000001</v>
      </c>
      <c r="AB67" s="49">
        <v>328.54500000000002</v>
      </c>
      <c r="AC67" s="49">
        <v>488.40499999999997</v>
      </c>
      <c r="AD67" s="10">
        <v>435.55</v>
      </c>
    </row>
    <row r="68" spans="2:30" ht="12" customHeight="1" x14ac:dyDescent="0.25">
      <c r="B68" s="77" t="s">
        <v>95</v>
      </c>
      <c r="C68" s="8" t="s">
        <v>89</v>
      </c>
      <c r="D68" s="73" t="s">
        <v>19</v>
      </c>
      <c r="E68" s="73" t="s">
        <v>19</v>
      </c>
      <c r="F68" s="73" t="s">
        <v>19</v>
      </c>
      <c r="G68" s="73" t="s">
        <v>19</v>
      </c>
      <c r="H68" s="73">
        <v>1104.47</v>
      </c>
      <c r="I68" s="73">
        <v>1398.84</v>
      </c>
      <c r="J68" s="73">
        <v>1408.12</v>
      </c>
      <c r="K68" s="73">
        <v>1678.47</v>
      </c>
      <c r="L68" s="73">
        <v>1677.95</v>
      </c>
      <c r="M68" s="73">
        <v>2396.5500000000002</v>
      </c>
      <c r="N68" s="73">
        <v>2260.12</v>
      </c>
      <c r="O68" s="73">
        <v>1934.24</v>
      </c>
      <c r="P68" s="73">
        <v>1585.92</v>
      </c>
      <c r="Q68" s="73">
        <v>1360.61</v>
      </c>
      <c r="R68" s="73">
        <v>1133.27</v>
      </c>
      <c r="S68" s="73">
        <v>1110.28</v>
      </c>
      <c r="T68" s="73">
        <v>801.95</v>
      </c>
      <c r="U68" s="73">
        <v>643.03</v>
      </c>
      <c r="V68" s="73">
        <v>1162.8499999999999</v>
      </c>
      <c r="W68" s="73">
        <v>947.01</v>
      </c>
      <c r="X68" s="73">
        <v>1153.53</v>
      </c>
      <c r="Y68" s="73">
        <v>1129.1199999999999</v>
      </c>
      <c r="Z68" s="73">
        <v>1094.58</v>
      </c>
      <c r="AA68" s="49">
        <v>850.11699999999996</v>
      </c>
      <c r="AB68" s="49">
        <v>922.54200000000003</v>
      </c>
      <c r="AC68" s="49">
        <v>1026.83</v>
      </c>
      <c r="AD68" s="10">
        <v>1625.27</v>
      </c>
    </row>
    <row r="69" spans="2:30" ht="12" customHeight="1" x14ac:dyDescent="0.25">
      <c r="B69" s="93" t="s">
        <v>13</v>
      </c>
      <c r="C69" s="22" t="s">
        <v>89</v>
      </c>
      <c r="D69" s="60" t="s">
        <v>19</v>
      </c>
      <c r="E69" s="60" t="s">
        <v>19</v>
      </c>
      <c r="F69" s="60" t="s">
        <v>19</v>
      </c>
      <c r="G69" s="60" t="s">
        <v>19</v>
      </c>
      <c r="H69" s="60">
        <v>21593.61</v>
      </c>
      <c r="I69" s="60">
        <v>23498.82</v>
      </c>
      <c r="J69" s="60">
        <v>24591.040000000001</v>
      </c>
      <c r="K69" s="60">
        <v>21540.37</v>
      </c>
      <c r="L69" s="60">
        <v>23783.99</v>
      </c>
      <c r="M69" s="60">
        <v>27543.46</v>
      </c>
      <c r="N69" s="60">
        <v>30569.72</v>
      </c>
      <c r="O69" s="60">
        <v>24550.080000000002</v>
      </c>
      <c r="P69" s="60">
        <v>23829.53</v>
      </c>
      <c r="Q69" s="60">
        <v>20860.169999999998</v>
      </c>
      <c r="R69" s="60">
        <v>22022.94</v>
      </c>
      <c r="S69" s="60">
        <v>20396.689999999999</v>
      </c>
      <c r="T69" s="60">
        <v>20914.78</v>
      </c>
      <c r="U69" s="60">
        <v>22378.45</v>
      </c>
      <c r="V69" s="60">
        <v>25285.98</v>
      </c>
      <c r="W69" s="60">
        <v>23301.22</v>
      </c>
      <c r="X69" s="60">
        <v>29431.01</v>
      </c>
      <c r="Y69" s="60">
        <v>23898.65</v>
      </c>
      <c r="Z69" s="60">
        <v>28766.42</v>
      </c>
      <c r="AA69" s="91">
        <v>25254.62</v>
      </c>
      <c r="AB69" s="91">
        <v>29851.65</v>
      </c>
      <c r="AC69" s="91">
        <v>33391.89</v>
      </c>
      <c r="AD69" s="10">
        <v>27621.13</v>
      </c>
    </row>
    <row r="70" spans="2:30" ht="12.75" customHeight="1" x14ac:dyDescent="0.25">
      <c r="B70" s="383" t="s">
        <v>119</v>
      </c>
      <c r="C70" s="383"/>
      <c r="D70" s="383"/>
      <c r="E70" s="383"/>
      <c r="F70" s="383"/>
      <c r="G70" s="383"/>
      <c r="H70" s="383"/>
      <c r="I70" s="383"/>
      <c r="J70" s="383"/>
      <c r="K70" s="383"/>
      <c r="L70" s="383"/>
      <c r="M70" s="383"/>
      <c r="N70" s="383"/>
      <c r="O70" s="383"/>
      <c r="P70" s="383"/>
      <c r="Q70" s="383"/>
      <c r="R70" s="383"/>
      <c r="S70" s="383"/>
      <c r="T70" s="383"/>
      <c r="U70" s="383"/>
      <c r="V70" s="383"/>
      <c r="W70" s="383"/>
      <c r="X70" s="383"/>
      <c r="Y70" s="383"/>
      <c r="Z70" s="384"/>
      <c r="AA70" s="80"/>
      <c r="AB70" s="80"/>
      <c r="AC70" s="80"/>
      <c r="AD70" s="80"/>
    </row>
    <row r="71" spans="2:30" ht="12" customHeight="1" x14ac:dyDescent="0.25">
      <c r="B71" s="77" t="s">
        <v>102</v>
      </c>
      <c r="C71" s="8" t="s">
        <v>89</v>
      </c>
      <c r="D71" s="73">
        <v>1984.25</v>
      </c>
      <c r="E71" s="73">
        <v>2869.85</v>
      </c>
      <c r="F71" s="73">
        <v>998.37</v>
      </c>
      <c r="G71" s="73">
        <v>1306.72</v>
      </c>
      <c r="H71" s="73">
        <v>857.14</v>
      </c>
      <c r="I71" s="73">
        <v>715</v>
      </c>
      <c r="J71" s="73">
        <v>819.97</v>
      </c>
      <c r="K71" s="73">
        <v>569.88</v>
      </c>
      <c r="L71" s="73">
        <v>711.13</v>
      </c>
      <c r="M71" s="73">
        <v>122.3</v>
      </c>
      <c r="N71" s="73">
        <v>235.98</v>
      </c>
      <c r="O71" s="73">
        <v>479.07</v>
      </c>
      <c r="P71" s="73">
        <v>405</v>
      </c>
      <c r="Q71" s="73">
        <v>178.28</v>
      </c>
      <c r="R71" s="73">
        <v>0.02</v>
      </c>
      <c r="S71" s="73">
        <v>0.01</v>
      </c>
      <c r="T71" s="73">
        <v>74.92</v>
      </c>
      <c r="U71" s="73">
        <v>0</v>
      </c>
      <c r="V71" s="73">
        <v>0</v>
      </c>
      <c r="W71" s="73">
        <v>96.02</v>
      </c>
      <c r="X71" s="73">
        <v>0</v>
      </c>
      <c r="Y71" s="73">
        <v>0</v>
      </c>
      <c r="Z71" s="73">
        <v>2.42</v>
      </c>
      <c r="AA71" s="49">
        <v>181.24799999999999</v>
      </c>
      <c r="AB71" s="49">
        <v>415.55</v>
      </c>
      <c r="AC71" s="49">
        <v>159.929</v>
      </c>
      <c r="AD71" s="10">
        <v>14.75</v>
      </c>
    </row>
    <row r="72" spans="2:30" ht="12" customHeight="1" x14ac:dyDescent="0.25">
      <c r="B72" s="77" t="s">
        <v>120</v>
      </c>
      <c r="C72" s="8" t="s">
        <v>89</v>
      </c>
      <c r="D72" s="73">
        <v>1458.08</v>
      </c>
      <c r="E72" s="73">
        <v>1265.98</v>
      </c>
      <c r="F72" s="73">
        <v>2081.9699999999998</v>
      </c>
      <c r="G72" s="73">
        <v>2588.6</v>
      </c>
      <c r="H72" s="73">
        <v>4607.84</v>
      </c>
      <c r="I72" s="73">
        <v>6428.61</v>
      </c>
      <c r="J72" s="73">
        <v>7708.16</v>
      </c>
      <c r="K72" s="73">
        <v>6259.68</v>
      </c>
      <c r="L72" s="73">
        <v>5551.93</v>
      </c>
      <c r="M72" s="73">
        <v>4976.9399999999996</v>
      </c>
      <c r="N72" s="73">
        <v>4063.31</v>
      </c>
      <c r="O72" s="73">
        <v>5873.77</v>
      </c>
      <c r="P72" s="73">
        <v>6679.39</v>
      </c>
      <c r="Q72" s="73">
        <v>6716.25</v>
      </c>
      <c r="R72" s="73">
        <v>7092.1</v>
      </c>
      <c r="S72" s="73">
        <v>6117.4</v>
      </c>
      <c r="T72" s="73">
        <v>4230.01</v>
      </c>
      <c r="U72" s="73">
        <v>4380.6000000000004</v>
      </c>
      <c r="V72" s="73">
        <v>5856.08</v>
      </c>
      <c r="W72" s="73">
        <v>4574.93</v>
      </c>
      <c r="X72" s="73">
        <v>4141.1899999999996</v>
      </c>
      <c r="Y72" s="73">
        <v>6516.45</v>
      </c>
      <c r="Z72" s="73">
        <v>5916.07</v>
      </c>
      <c r="AA72" s="49">
        <v>5500.36</v>
      </c>
      <c r="AB72" s="49">
        <v>4318.82</v>
      </c>
      <c r="AC72" s="49">
        <v>4580</v>
      </c>
      <c r="AD72" s="10">
        <v>6037.49</v>
      </c>
    </row>
    <row r="73" spans="2:30" ht="12" customHeight="1" x14ac:dyDescent="0.25">
      <c r="B73" s="77" t="s">
        <v>121</v>
      </c>
      <c r="C73" s="8" t="s">
        <v>89</v>
      </c>
      <c r="D73" s="73">
        <v>1058.95</v>
      </c>
      <c r="E73" s="73">
        <v>863.53</v>
      </c>
      <c r="F73" s="73">
        <v>620.26</v>
      </c>
      <c r="G73" s="73">
        <v>309.38</v>
      </c>
      <c r="H73" s="73">
        <v>902.97</v>
      </c>
      <c r="I73" s="73">
        <v>2129.5700000000002</v>
      </c>
      <c r="J73" s="73">
        <v>1819.94</v>
      </c>
      <c r="K73" s="73">
        <v>1974.25</v>
      </c>
      <c r="L73" s="73">
        <v>4607.57</v>
      </c>
      <c r="M73" s="73">
        <v>2755.35</v>
      </c>
      <c r="N73" s="73">
        <v>2386.5500000000002</v>
      </c>
      <c r="O73" s="73">
        <v>2395.44</v>
      </c>
      <c r="P73" s="73">
        <v>1487.98</v>
      </c>
      <c r="Q73" s="73">
        <v>1707.4</v>
      </c>
      <c r="R73" s="73">
        <v>1367.25</v>
      </c>
      <c r="S73" s="73">
        <v>1221.5999999999999</v>
      </c>
      <c r="T73" s="73">
        <v>1265.51</v>
      </c>
      <c r="U73" s="73">
        <v>939.59</v>
      </c>
      <c r="V73" s="73">
        <v>1426.88</v>
      </c>
      <c r="W73" s="73">
        <v>1298.19</v>
      </c>
      <c r="X73" s="73">
        <v>1072.76</v>
      </c>
      <c r="Y73" s="73">
        <v>926.32</v>
      </c>
      <c r="Z73" s="73">
        <v>1084.25</v>
      </c>
      <c r="AA73" s="49">
        <v>935.56899999999996</v>
      </c>
      <c r="AB73" s="49">
        <v>766.24199999999996</v>
      </c>
      <c r="AC73" s="49">
        <v>999.12800000000004</v>
      </c>
      <c r="AD73" s="10">
        <v>1320.25</v>
      </c>
    </row>
    <row r="74" spans="2:30" ht="12" customHeight="1" x14ac:dyDescent="0.25">
      <c r="B74" s="77" t="s">
        <v>122</v>
      </c>
      <c r="C74" s="8" t="s">
        <v>89</v>
      </c>
      <c r="D74" s="73">
        <v>404.68</v>
      </c>
      <c r="E74" s="73">
        <v>295.07</v>
      </c>
      <c r="F74" s="73">
        <v>469.73</v>
      </c>
      <c r="G74" s="73">
        <v>273.77</v>
      </c>
      <c r="H74" s="73">
        <v>414.88</v>
      </c>
      <c r="I74" s="73">
        <v>530.02</v>
      </c>
      <c r="J74" s="73">
        <v>711.01</v>
      </c>
      <c r="K74" s="73">
        <v>755.02</v>
      </c>
      <c r="L74" s="73">
        <v>784.03</v>
      </c>
      <c r="M74" s="73">
        <v>312.16000000000003</v>
      </c>
      <c r="N74" s="73">
        <v>371.23</v>
      </c>
      <c r="O74" s="73">
        <v>200.71</v>
      </c>
      <c r="P74" s="73">
        <v>309.67</v>
      </c>
      <c r="Q74" s="73">
        <v>312.91000000000003</v>
      </c>
      <c r="R74" s="73">
        <v>425.46</v>
      </c>
      <c r="S74" s="73">
        <v>501.48</v>
      </c>
      <c r="T74" s="73">
        <v>383.93</v>
      </c>
      <c r="U74" s="73">
        <v>365.57</v>
      </c>
      <c r="V74" s="73">
        <v>625.88</v>
      </c>
      <c r="W74" s="73">
        <v>290.35000000000002</v>
      </c>
      <c r="X74" s="73">
        <v>413.59</v>
      </c>
      <c r="Y74" s="73">
        <v>568.72</v>
      </c>
      <c r="Z74" s="73">
        <v>575.37</v>
      </c>
      <c r="AA74" s="49">
        <v>512.72500000000002</v>
      </c>
      <c r="AB74" s="49">
        <v>774.476</v>
      </c>
      <c r="AC74" s="49">
        <v>1056.3900000000001</v>
      </c>
      <c r="AD74" s="10">
        <v>1059.3399999999999</v>
      </c>
    </row>
    <row r="75" spans="2:30" ht="12" customHeight="1" x14ac:dyDescent="0.25">
      <c r="B75" s="77" t="s">
        <v>123</v>
      </c>
      <c r="C75" s="8" t="s">
        <v>89</v>
      </c>
      <c r="D75" s="73">
        <v>152.11000000000001</v>
      </c>
      <c r="E75" s="73">
        <v>234.14</v>
      </c>
      <c r="F75" s="73">
        <v>128.07</v>
      </c>
      <c r="G75" s="73">
        <v>324.60000000000002</v>
      </c>
      <c r="H75" s="73">
        <v>301.94</v>
      </c>
      <c r="I75" s="73">
        <v>578.55999999999995</v>
      </c>
      <c r="J75" s="73">
        <v>475.24</v>
      </c>
      <c r="K75" s="73">
        <v>507.74</v>
      </c>
      <c r="L75" s="73">
        <v>461.48</v>
      </c>
      <c r="M75" s="73">
        <v>293.35000000000002</v>
      </c>
      <c r="N75" s="73">
        <v>234.23</v>
      </c>
      <c r="O75" s="73">
        <v>453.52</v>
      </c>
      <c r="P75" s="73">
        <v>295.45</v>
      </c>
      <c r="Q75" s="73">
        <v>226.66</v>
      </c>
      <c r="R75" s="73">
        <v>491.88</v>
      </c>
      <c r="S75" s="73">
        <v>306.63</v>
      </c>
      <c r="T75" s="73">
        <v>281.12</v>
      </c>
      <c r="U75" s="73">
        <v>291.38</v>
      </c>
      <c r="V75" s="73">
        <v>179.1</v>
      </c>
      <c r="W75" s="73">
        <v>268.17</v>
      </c>
      <c r="X75" s="73">
        <v>546.05999999999995</v>
      </c>
      <c r="Y75" s="73">
        <v>232.75</v>
      </c>
      <c r="Z75" s="73">
        <v>297.66000000000003</v>
      </c>
      <c r="AA75" s="49">
        <v>50.643999999999998</v>
      </c>
      <c r="AB75" s="49">
        <v>409.95600000000002</v>
      </c>
      <c r="AC75" s="49">
        <v>316.488</v>
      </c>
      <c r="AD75" s="10">
        <v>346.17</v>
      </c>
    </row>
    <row r="76" spans="2:30" ht="12" customHeight="1" x14ac:dyDescent="0.25">
      <c r="B76" s="77" t="s">
        <v>124</v>
      </c>
      <c r="C76" s="8" t="s">
        <v>89</v>
      </c>
      <c r="D76" s="73">
        <v>121.67</v>
      </c>
      <c r="E76" s="73">
        <v>149.19</v>
      </c>
      <c r="F76" s="73">
        <v>101.46</v>
      </c>
      <c r="G76" s="73">
        <v>214.88</v>
      </c>
      <c r="H76" s="73">
        <v>174.88</v>
      </c>
      <c r="I76" s="73">
        <v>368.96</v>
      </c>
      <c r="J76" s="73">
        <v>358.09</v>
      </c>
      <c r="K76" s="73">
        <v>502.58</v>
      </c>
      <c r="L76" s="73">
        <v>467.35</v>
      </c>
      <c r="M76" s="73">
        <v>298.08999999999997</v>
      </c>
      <c r="N76" s="73">
        <v>166.64</v>
      </c>
      <c r="O76" s="73">
        <v>276.99</v>
      </c>
      <c r="P76" s="73">
        <v>223.71</v>
      </c>
      <c r="Q76" s="73">
        <v>238.38</v>
      </c>
      <c r="R76" s="73">
        <v>312.58</v>
      </c>
      <c r="S76" s="73">
        <v>382.73</v>
      </c>
      <c r="T76" s="73">
        <v>257.68</v>
      </c>
      <c r="U76" s="73">
        <v>329.93</v>
      </c>
      <c r="V76" s="73">
        <v>332.23</v>
      </c>
      <c r="W76" s="73">
        <v>564.34</v>
      </c>
      <c r="X76" s="73">
        <v>250.09</v>
      </c>
      <c r="Y76" s="73">
        <v>350.36</v>
      </c>
      <c r="Z76" s="73">
        <v>321.01</v>
      </c>
      <c r="AA76" s="49">
        <v>322.51499999999999</v>
      </c>
      <c r="AB76" s="49">
        <v>296.76100000000002</v>
      </c>
      <c r="AC76" s="49">
        <v>264.26600000000002</v>
      </c>
      <c r="AD76" s="10">
        <v>281.22000000000003</v>
      </c>
    </row>
    <row r="77" spans="2:30" ht="12" customHeight="1" x14ac:dyDescent="0.25">
      <c r="B77" s="77" t="s">
        <v>48</v>
      </c>
      <c r="C77" s="8" t="s">
        <v>89</v>
      </c>
      <c r="D77" s="73">
        <v>143.52000000000001</v>
      </c>
      <c r="E77" s="73">
        <v>178.48</v>
      </c>
      <c r="F77" s="73">
        <v>107.53</v>
      </c>
      <c r="G77" s="73">
        <v>90.11</v>
      </c>
      <c r="H77" s="73">
        <v>125.98</v>
      </c>
      <c r="I77" s="73">
        <v>226.41</v>
      </c>
      <c r="J77" s="73">
        <v>259.75</v>
      </c>
      <c r="K77" s="73">
        <v>180.23</v>
      </c>
      <c r="L77" s="73">
        <v>325.60000000000002</v>
      </c>
      <c r="M77" s="73">
        <v>287.73</v>
      </c>
      <c r="N77" s="73">
        <v>217.73</v>
      </c>
      <c r="O77" s="73">
        <v>222.79</v>
      </c>
      <c r="P77" s="73">
        <v>85.6</v>
      </c>
      <c r="Q77" s="73">
        <v>89.73</v>
      </c>
      <c r="R77" s="73">
        <v>129.74</v>
      </c>
      <c r="S77" s="73">
        <v>110.81</v>
      </c>
      <c r="T77" s="73">
        <v>102.08</v>
      </c>
      <c r="U77" s="73">
        <v>45.26</v>
      </c>
      <c r="V77" s="73">
        <v>71.010000000000005</v>
      </c>
      <c r="W77" s="73">
        <v>84.12</v>
      </c>
      <c r="X77" s="73">
        <v>88.11</v>
      </c>
      <c r="Y77" s="73">
        <v>43.37</v>
      </c>
      <c r="Z77" s="73">
        <v>50.4</v>
      </c>
      <c r="AA77" s="49">
        <v>38.302</v>
      </c>
      <c r="AB77" s="49">
        <v>45.688000000000002</v>
      </c>
      <c r="AC77" s="49">
        <v>61.639000000000003</v>
      </c>
      <c r="AD77" s="10">
        <v>60.02</v>
      </c>
    </row>
    <row r="78" spans="2:30" ht="12" customHeight="1" x14ac:dyDescent="0.25">
      <c r="B78" s="77" t="s">
        <v>69</v>
      </c>
      <c r="C78" s="8" t="s">
        <v>89</v>
      </c>
      <c r="D78" s="73">
        <v>69.64</v>
      </c>
      <c r="E78" s="73">
        <v>29.3</v>
      </c>
      <c r="F78" s="73">
        <v>122.76</v>
      </c>
      <c r="G78" s="73">
        <v>50.56</v>
      </c>
      <c r="H78" s="73">
        <v>169.77</v>
      </c>
      <c r="I78" s="73">
        <v>278.93</v>
      </c>
      <c r="J78" s="73">
        <v>277.52</v>
      </c>
      <c r="K78" s="73">
        <v>403.9</v>
      </c>
      <c r="L78" s="73">
        <v>487.37</v>
      </c>
      <c r="M78" s="73">
        <v>289.62</v>
      </c>
      <c r="N78" s="73">
        <v>122.92</v>
      </c>
      <c r="O78" s="73">
        <v>141.79</v>
      </c>
      <c r="P78" s="73">
        <v>132.88999999999999</v>
      </c>
      <c r="Q78" s="73">
        <v>156.12</v>
      </c>
      <c r="R78" s="73">
        <v>417.2</v>
      </c>
      <c r="S78" s="73">
        <v>501.22</v>
      </c>
      <c r="T78" s="73">
        <v>327.48</v>
      </c>
      <c r="U78" s="73">
        <v>223.45</v>
      </c>
      <c r="V78" s="73">
        <v>312.61</v>
      </c>
      <c r="W78" s="73">
        <v>272.60000000000002</v>
      </c>
      <c r="X78" s="73">
        <v>219.11</v>
      </c>
      <c r="Y78" s="73">
        <v>267.41000000000003</v>
      </c>
      <c r="Z78" s="73">
        <v>418.35</v>
      </c>
      <c r="AA78" s="49">
        <v>278.38900000000001</v>
      </c>
      <c r="AB78" s="49">
        <v>292.35500000000002</v>
      </c>
      <c r="AC78" s="49">
        <v>330.13299999999998</v>
      </c>
      <c r="AD78" s="10">
        <v>523.78</v>
      </c>
    </row>
    <row r="79" spans="2:30" ht="12" customHeight="1" x14ac:dyDescent="0.25">
      <c r="B79" s="77" t="s">
        <v>125</v>
      </c>
      <c r="C79" s="8" t="s">
        <v>89</v>
      </c>
      <c r="D79" s="73">
        <v>23.89</v>
      </c>
      <c r="E79" s="73">
        <v>34.619999999999997</v>
      </c>
      <c r="F79" s="73">
        <v>35.71</v>
      </c>
      <c r="G79" s="73">
        <v>28.18</v>
      </c>
      <c r="H79" s="73">
        <v>35.78</v>
      </c>
      <c r="I79" s="73">
        <v>134.16999999999999</v>
      </c>
      <c r="J79" s="73">
        <v>60.75</v>
      </c>
      <c r="K79" s="73">
        <v>67.099999999999994</v>
      </c>
      <c r="L79" s="73">
        <v>59.35</v>
      </c>
      <c r="M79" s="73">
        <v>87.97</v>
      </c>
      <c r="N79" s="73">
        <v>112.87</v>
      </c>
      <c r="O79" s="73">
        <v>62</v>
      </c>
      <c r="P79" s="73">
        <v>17.87</v>
      </c>
      <c r="Q79" s="73">
        <v>139.74</v>
      </c>
      <c r="R79" s="73">
        <v>117.96</v>
      </c>
      <c r="S79" s="73">
        <v>129.12</v>
      </c>
      <c r="T79" s="73">
        <v>114.34</v>
      </c>
      <c r="U79" s="73">
        <v>48.41</v>
      </c>
      <c r="V79" s="73">
        <v>17.45</v>
      </c>
      <c r="W79" s="73">
        <v>116.18</v>
      </c>
      <c r="X79" s="73">
        <v>29.68</v>
      </c>
      <c r="Y79" s="73">
        <v>36.590000000000003</v>
      </c>
      <c r="Z79" s="73">
        <v>122.51</v>
      </c>
      <c r="AA79" s="49">
        <v>90.924999999999997</v>
      </c>
      <c r="AB79" s="49">
        <v>108.654</v>
      </c>
      <c r="AC79" s="49">
        <v>47.756</v>
      </c>
      <c r="AD79" s="10">
        <v>30.77</v>
      </c>
    </row>
    <row r="80" spans="2:30" ht="12" customHeight="1" x14ac:dyDescent="0.25">
      <c r="B80" s="77" t="s">
        <v>109</v>
      </c>
      <c r="C80" s="8" t="s">
        <v>89</v>
      </c>
      <c r="D80" s="73">
        <v>197.12</v>
      </c>
      <c r="E80" s="73">
        <v>423.01</v>
      </c>
      <c r="F80" s="73">
        <v>319.77</v>
      </c>
      <c r="G80" s="73">
        <v>165.75</v>
      </c>
      <c r="H80" s="73">
        <v>182.15</v>
      </c>
      <c r="I80" s="73">
        <v>940.48</v>
      </c>
      <c r="J80" s="73">
        <v>845.4</v>
      </c>
      <c r="K80" s="73">
        <v>970.52</v>
      </c>
      <c r="L80" s="73">
        <v>1038.52</v>
      </c>
      <c r="M80" s="73">
        <v>1064.5999999999999</v>
      </c>
      <c r="N80" s="73">
        <v>131.30000000000001</v>
      </c>
      <c r="O80" s="73">
        <v>222.97</v>
      </c>
      <c r="P80" s="73">
        <v>106.71</v>
      </c>
      <c r="Q80" s="73">
        <v>201.36</v>
      </c>
      <c r="R80" s="73">
        <v>75.459999999999994</v>
      </c>
      <c r="S80" s="73">
        <v>63.4</v>
      </c>
      <c r="T80" s="73">
        <v>21.28</v>
      </c>
      <c r="U80" s="73">
        <v>6.06</v>
      </c>
      <c r="V80" s="73">
        <v>4.2300000000000004</v>
      </c>
      <c r="W80" s="73">
        <v>7.29</v>
      </c>
      <c r="X80" s="73">
        <v>3.46</v>
      </c>
      <c r="Y80" s="73">
        <v>3.15</v>
      </c>
      <c r="Z80" s="73">
        <v>1.3</v>
      </c>
      <c r="AA80" s="49">
        <v>3.06</v>
      </c>
      <c r="AB80" s="49">
        <v>1.6950000000000001</v>
      </c>
      <c r="AC80" s="49">
        <v>2.5110000000000001</v>
      </c>
      <c r="AD80" s="10">
        <v>1.91</v>
      </c>
    </row>
    <row r="81" spans="2:30" ht="12" customHeight="1" x14ac:dyDescent="0.25">
      <c r="B81" s="77" t="s">
        <v>103</v>
      </c>
      <c r="C81" s="8" t="s">
        <v>89</v>
      </c>
      <c r="D81" s="73">
        <v>72.599999999999994</v>
      </c>
      <c r="E81" s="73">
        <v>27.98</v>
      </c>
      <c r="F81" s="73">
        <v>19.22</v>
      </c>
      <c r="G81" s="73">
        <v>34.35</v>
      </c>
      <c r="H81" s="73">
        <v>3.72</v>
      </c>
      <c r="I81" s="73">
        <v>214.24</v>
      </c>
      <c r="J81" s="73">
        <v>612.46</v>
      </c>
      <c r="K81" s="73">
        <v>687.94</v>
      </c>
      <c r="L81" s="73">
        <v>374.63</v>
      </c>
      <c r="M81" s="73">
        <v>164.68</v>
      </c>
      <c r="N81" s="73">
        <v>11.76</v>
      </c>
      <c r="O81" s="73">
        <v>3.64</v>
      </c>
      <c r="P81" s="73">
        <v>25.54</v>
      </c>
      <c r="Q81" s="73">
        <v>80.94</v>
      </c>
      <c r="R81" s="73">
        <v>18.760000000000002</v>
      </c>
      <c r="S81" s="73">
        <v>99.44</v>
      </c>
      <c r="T81" s="73">
        <v>36.32</v>
      </c>
      <c r="U81" s="73">
        <v>3.74</v>
      </c>
      <c r="V81" s="73">
        <v>10.18</v>
      </c>
      <c r="W81" s="73">
        <v>13.6</v>
      </c>
      <c r="X81" s="73">
        <v>56.27</v>
      </c>
      <c r="Y81" s="73">
        <v>40.79</v>
      </c>
      <c r="Z81" s="73">
        <v>45.58</v>
      </c>
      <c r="AA81" s="49">
        <v>55.322000000000003</v>
      </c>
      <c r="AB81" s="49">
        <v>19.774999999999999</v>
      </c>
      <c r="AC81" s="49">
        <v>13.808999999999999</v>
      </c>
      <c r="AD81" s="10">
        <v>12.74</v>
      </c>
    </row>
    <row r="82" spans="2:30" ht="12" customHeight="1" x14ac:dyDescent="0.25">
      <c r="B82" s="77" t="s">
        <v>126</v>
      </c>
      <c r="C82" s="8" t="s">
        <v>89</v>
      </c>
      <c r="D82" s="73">
        <v>45.1</v>
      </c>
      <c r="E82" s="73">
        <v>29.73</v>
      </c>
      <c r="F82" s="73">
        <v>125.15</v>
      </c>
      <c r="G82" s="73">
        <v>67.11</v>
      </c>
      <c r="H82" s="73">
        <v>103.71</v>
      </c>
      <c r="I82" s="73">
        <v>367.77</v>
      </c>
      <c r="J82" s="73">
        <v>349.7</v>
      </c>
      <c r="K82" s="73">
        <v>185.72</v>
      </c>
      <c r="L82" s="73">
        <v>232.18</v>
      </c>
      <c r="M82" s="73">
        <v>115.56</v>
      </c>
      <c r="N82" s="73">
        <v>76.45</v>
      </c>
      <c r="O82" s="73">
        <v>104.13</v>
      </c>
      <c r="P82" s="73">
        <v>47.42</v>
      </c>
      <c r="Q82" s="73">
        <v>149.08000000000001</v>
      </c>
      <c r="R82" s="73">
        <v>80.819999999999993</v>
      </c>
      <c r="S82" s="73">
        <v>38.5</v>
      </c>
      <c r="T82" s="73">
        <v>57.35</v>
      </c>
      <c r="U82" s="73">
        <v>25.08</v>
      </c>
      <c r="V82" s="73">
        <v>113.98</v>
      </c>
      <c r="W82" s="73">
        <v>27.78</v>
      </c>
      <c r="X82" s="73">
        <v>11.52</v>
      </c>
      <c r="Y82" s="73">
        <v>33.049999999999997</v>
      </c>
      <c r="Z82" s="73">
        <v>26.5</v>
      </c>
      <c r="AA82" s="49">
        <v>42.426000000000002</v>
      </c>
      <c r="AB82" s="49">
        <v>54.77</v>
      </c>
      <c r="AC82" s="49">
        <v>45.378</v>
      </c>
      <c r="AD82" s="10">
        <v>67.510000000000005</v>
      </c>
    </row>
    <row r="83" spans="2:30" ht="12" customHeight="1" x14ac:dyDescent="0.25">
      <c r="B83" s="77" t="s">
        <v>107</v>
      </c>
      <c r="C83" s="8" t="s">
        <v>89</v>
      </c>
      <c r="D83" s="73">
        <v>59.58</v>
      </c>
      <c r="E83" s="73">
        <v>30.95</v>
      </c>
      <c r="F83" s="73">
        <v>16.04</v>
      </c>
      <c r="G83" s="73">
        <v>2.0299999999999998</v>
      </c>
      <c r="H83" s="73">
        <v>1.93</v>
      </c>
      <c r="I83" s="73">
        <v>6.57</v>
      </c>
      <c r="J83" s="73">
        <v>25.76</v>
      </c>
      <c r="K83" s="73">
        <v>57.54</v>
      </c>
      <c r="L83" s="73">
        <v>114.29</v>
      </c>
      <c r="M83" s="73">
        <v>27.55</v>
      </c>
      <c r="N83" s="73">
        <v>3.7</v>
      </c>
      <c r="O83" s="73">
        <v>0.21</v>
      </c>
      <c r="P83" s="73">
        <v>1.42</v>
      </c>
      <c r="Q83" s="73">
        <v>2.44</v>
      </c>
      <c r="R83" s="73">
        <v>0.76</v>
      </c>
      <c r="S83" s="73">
        <v>0.94</v>
      </c>
      <c r="T83" s="73">
        <v>0.59</v>
      </c>
      <c r="U83" s="73">
        <v>3.15</v>
      </c>
      <c r="V83" s="73">
        <v>4.9000000000000004</v>
      </c>
      <c r="W83" s="73">
        <v>1.1599999999999999</v>
      </c>
      <c r="X83" s="73">
        <v>6.58</v>
      </c>
      <c r="Y83" s="73">
        <v>1.54</v>
      </c>
      <c r="Z83" s="73">
        <v>0.95</v>
      </c>
      <c r="AA83" s="49">
        <v>1.137</v>
      </c>
      <c r="AB83" s="49">
        <v>1.778</v>
      </c>
      <c r="AC83" s="49">
        <v>4.0739999999999998</v>
      </c>
      <c r="AD83" s="10">
        <v>1.24</v>
      </c>
    </row>
    <row r="84" spans="2:30" ht="12" customHeight="1" x14ac:dyDescent="0.25">
      <c r="B84" s="77" t="s">
        <v>116</v>
      </c>
      <c r="C84" s="8" t="s">
        <v>89</v>
      </c>
      <c r="D84" s="73">
        <v>5.34</v>
      </c>
      <c r="E84" s="73">
        <v>5.53</v>
      </c>
      <c r="F84" s="73">
        <v>8.5399999999999991</v>
      </c>
      <c r="G84" s="73">
        <v>6.4</v>
      </c>
      <c r="H84" s="73">
        <v>3.51</v>
      </c>
      <c r="I84" s="73">
        <v>6.15</v>
      </c>
      <c r="J84" s="73">
        <v>13.25</v>
      </c>
      <c r="K84" s="73">
        <v>9.2200000000000006</v>
      </c>
      <c r="L84" s="73">
        <v>16.23</v>
      </c>
      <c r="M84" s="73">
        <v>8.81</v>
      </c>
      <c r="N84" s="73">
        <v>10.65</v>
      </c>
      <c r="O84" s="73">
        <v>9.01</v>
      </c>
      <c r="P84" s="73">
        <v>9.49</v>
      </c>
      <c r="Q84" s="73">
        <v>3.4</v>
      </c>
      <c r="R84" s="73">
        <v>5.05</v>
      </c>
      <c r="S84" s="73">
        <v>8.0500000000000007</v>
      </c>
      <c r="T84" s="73">
        <v>13.36</v>
      </c>
      <c r="U84" s="73">
        <v>14.41</v>
      </c>
      <c r="V84" s="73">
        <v>7.83</v>
      </c>
      <c r="W84" s="73">
        <v>25.9</v>
      </c>
      <c r="X84" s="73">
        <v>26.51</v>
      </c>
      <c r="Y84" s="73">
        <v>30.98</v>
      </c>
      <c r="Z84" s="73">
        <v>0.01</v>
      </c>
      <c r="AA84" s="49">
        <v>39.351999999999997</v>
      </c>
      <c r="AB84" s="49">
        <v>64.495999999999995</v>
      </c>
      <c r="AC84" s="49">
        <v>51.826000000000001</v>
      </c>
      <c r="AD84" s="10">
        <v>31.14</v>
      </c>
    </row>
    <row r="85" spans="2:30" ht="12" customHeight="1" x14ac:dyDescent="0.25">
      <c r="B85" s="77" t="s">
        <v>127</v>
      </c>
      <c r="C85" s="8" t="s">
        <v>89</v>
      </c>
      <c r="D85" s="73">
        <v>57.29</v>
      </c>
      <c r="E85" s="73">
        <v>33.590000000000003</v>
      </c>
      <c r="F85" s="73">
        <v>49.59</v>
      </c>
      <c r="G85" s="73">
        <v>153.66999999999999</v>
      </c>
      <c r="H85" s="73">
        <v>142.24</v>
      </c>
      <c r="I85" s="73">
        <v>393.02</v>
      </c>
      <c r="J85" s="73">
        <v>546.54999999999995</v>
      </c>
      <c r="K85" s="73">
        <v>421.43</v>
      </c>
      <c r="L85" s="73">
        <v>474.13</v>
      </c>
      <c r="M85" s="73">
        <v>410.96</v>
      </c>
      <c r="N85" s="73">
        <v>310.86</v>
      </c>
      <c r="O85" s="73">
        <v>472.07</v>
      </c>
      <c r="P85" s="73">
        <v>539.14</v>
      </c>
      <c r="Q85" s="73">
        <v>538.46</v>
      </c>
      <c r="R85" s="73">
        <v>548.78</v>
      </c>
      <c r="S85" s="73">
        <v>511.58</v>
      </c>
      <c r="T85" s="73">
        <v>412.97</v>
      </c>
      <c r="U85" s="73">
        <v>360.74</v>
      </c>
      <c r="V85" s="73">
        <v>243.09</v>
      </c>
      <c r="W85" s="73">
        <v>637.04</v>
      </c>
      <c r="X85" s="73">
        <v>754.94</v>
      </c>
      <c r="Y85" s="73">
        <v>657.7</v>
      </c>
      <c r="Z85" s="73">
        <v>730.85</v>
      </c>
      <c r="AA85" s="49">
        <v>643.72</v>
      </c>
      <c r="AB85" s="49">
        <v>565.28599999999994</v>
      </c>
      <c r="AC85" s="49">
        <v>678.04899999999998</v>
      </c>
      <c r="AD85" s="10">
        <v>389.74</v>
      </c>
    </row>
    <row r="86" spans="2:30" ht="12" customHeight="1" x14ac:dyDescent="0.25">
      <c r="B86" s="81" t="s">
        <v>117</v>
      </c>
      <c r="C86" s="8" t="s">
        <v>89</v>
      </c>
      <c r="D86" s="73">
        <v>69.55</v>
      </c>
      <c r="E86" s="73">
        <v>63.01</v>
      </c>
      <c r="F86" s="73">
        <v>89.22</v>
      </c>
      <c r="G86" s="73">
        <v>72.19</v>
      </c>
      <c r="H86" s="73">
        <v>212.5</v>
      </c>
      <c r="I86" s="73">
        <v>138.9</v>
      </c>
      <c r="J86" s="73">
        <v>187.16</v>
      </c>
      <c r="K86" s="73">
        <v>246.1</v>
      </c>
      <c r="L86" s="73">
        <v>136.63</v>
      </c>
      <c r="M86" s="73">
        <v>85.56</v>
      </c>
      <c r="N86" s="73">
        <v>105.61</v>
      </c>
      <c r="O86" s="73">
        <v>97.09</v>
      </c>
      <c r="P86" s="73">
        <v>90.6</v>
      </c>
      <c r="Q86" s="73">
        <v>56.32</v>
      </c>
      <c r="R86" s="73">
        <v>116.76</v>
      </c>
      <c r="S86" s="73">
        <v>86.53</v>
      </c>
      <c r="T86" s="73">
        <v>58.34</v>
      </c>
      <c r="U86" s="73">
        <v>28.75</v>
      </c>
      <c r="V86" s="73">
        <v>22.52</v>
      </c>
      <c r="W86" s="73">
        <v>26.71</v>
      </c>
      <c r="X86" s="73">
        <v>27.31</v>
      </c>
      <c r="Y86" s="73">
        <v>36.43</v>
      </c>
      <c r="Z86" s="73">
        <v>38.56</v>
      </c>
      <c r="AA86" s="49">
        <v>39.292999999999999</v>
      </c>
      <c r="AB86" s="49">
        <v>77.748999999999995</v>
      </c>
      <c r="AC86" s="49">
        <v>38.674999999999997</v>
      </c>
      <c r="AD86" s="10">
        <v>70.94</v>
      </c>
    </row>
    <row r="87" spans="2:30" ht="12" customHeight="1" x14ac:dyDescent="0.25">
      <c r="B87" s="77" t="s">
        <v>129</v>
      </c>
      <c r="C87" s="8" t="s">
        <v>89</v>
      </c>
      <c r="D87" s="73">
        <v>0</v>
      </c>
      <c r="E87" s="73">
        <v>0.65</v>
      </c>
      <c r="F87" s="73">
        <v>0.15</v>
      </c>
      <c r="G87" s="73">
        <v>0.3</v>
      </c>
      <c r="H87" s="73">
        <v>4.45</v>
      </c>
      <c r="I87" s="73">
        <v>3.79</v>
      </c>
      <c r="J87" s="73">
        <v>4.1399999999999997</v>
      </c>
      <c r="K87" s="73">
        <v>5.52</v>
      </c>
      <c r="L87" s="73">
        <v>3.9</v>
      </c>
      <c r="M87" s="73">
        <v>3.82</v>
      </c>
      <c r="N87" s="73">
        <v>2.9</v>
      </c>
      <c r="O87" s="73">
        <v>1.36</v>
      </c>
      <c r="P87" s="73">
        <v>0.27</v>
      </c>
      <c r="Q87" s="73">
        <v>0.13</v>
      </c>
      <c r="R87" s="73">
        <v>0.06</v>
      </c>
      <c r="S87" s="73">
        <v>0.37</v>
      </c>
      <c r="T87" s="73">
        <v>0.21</v>
      </c>
      <c r="U87" s="73">
        <v>0</v>
      </c>
      <c r="V87" s="73">
        <v>0.12</v>
      </c>
      <c r="W87" s="73">
        <v>0</v>
      </c>
      <c r="X87" s="73">
        <v>0.78</v>
      </c>
      <c r="Y87" s="73">
        <v>0.09</v>
      </c>
      <c r="Z87" s="73">
        <v>0.13</v>
      </c>
      <c r="AA87" s="49">
        <v>0.34499999999999997</v>
      </c>
      <c r="AB87" s="49">
        <v>0.29699999999999999</v>
      </c>
      <c r="AC87" s="49">
        <v>0.14699999999999999</v>
      </c>
      <c r="AD87" s="10">
        <v>0.53</v>
      </c>
    </row>
    <row r="88" spans="2:30" ht="12" customHeight="1" x14ac:dyDescent="0.25">
      <c r="B88" s="77" t="s">
        <v>95</v>
      </c>
      <c r="C88" s="8" t="s">
        <v>89</v>
      </c>
      <c r="D88" s="73">
        <v>437.74</v>
      </c>
      <c r="E88" s="73">
        <v>311.39</v>
      </c>
      <c r="F88" s="73">
        <v>460.54</v>
      </c>
      <c r="G88" s="73">
        <v>664.84</v>
      </c>
      <c r="H88" s="73">
        <v>329.76</v>
      </c>
      <c r="I88" s="73">
        <v>842.84</v>
      </c>
      <c r="J88" s="73">
        <v>1578.88</v>
      </c>
      <c r="K88" s="73">
        <v>1700.37</v>
      </c>
      <c r="L88" s="73">
        <v>2144.88</v>
      </c>
      <c r="M88" s="73">
        <v>1475.94</v>
      </c>
      <c r="N88" s="73">
        <v>412.14</v>
      </c>
      <c r="O88" s="73">
        <v>675.86</v>
      </c>
      <c r="P88" s="73">
        <v>616.16</v>
      </c>
      <c r="Q88" s="73">
        <v>841.25</v>
      </c>
      <c r="R88" s="73">
        <v>795.06</v>
      </c>
      <c r="S88" s="73">
        <v>1136.6199999999999</v>
      </c>
      <c r="T88" s="73">
        <v>836.37</v>
      </c>
      <c r="U88" s="73">
        <v>628.08000000000004</v>
      </c>
      <c r="V88" s="73">
        <v>812.34</v>
      </c>
      <c r="W88" s="73">
        <v>854.35</v>
      </c>
      <c r="X88" s="73">
        <v>827.94</v>
      </c>
      <c r="Y88" s="73">
        <v>1013.23</v>
      </c>
      <c r="Z88" s="73">
        <v>1003.37</v>
      </c>
      <c r="AA88" s="49">
        <v>716.65800000000002</v>
      </c>
      <c r="AB88" s="49">
        <v>564.61800000000005</v>
      </c>
      <c r="AC88" s="49">
        <v>754.37599999999998</v>
      </c>
      <c r="AD88" s="10">
        <v>1162.46</v>
      </c>
    </row>
    <row r="89" spans="2:30" ht="12" customHeight="1" x14ac:dyDescent="0.25">
      <c r="B89" s="94" t="s">
        <v>13</v>
      </c>
      <c r="C89" s="22" t="s">
        <v>89</v>
      </c>
      <c r="D89" s="60">
        <v>6361.11</v>
      </c>
      <c r="E89" s="60">
        <v>6846</v>
      </c>
      <c r="F89" s="60">
        <v>5754.08</v>
      </c>
      <c r="G89" s="60">
        <v>6353.44</v>
      </c>
      <c r="H89" s="60">
        <v>8575.15</v>
      </c>
      <c r="I89" s="60">
        <v>14303.99</v>
      </c>
      <c r="J89" s="60">
        <v>16653.73</v>
      </c>
      <c r="K89" s="60">
        <v>15504.74</v>
      </c>
      <c r="L89" s="60">
        <v>17991.2</v>
      </c>
      <c r="M89" s="60">
        <v>12780.99</v>
      </c>
      <c r="N89" s="60">
        <v>8976.83</v>
      </c>
      <c r="O89" s="60">
        <v>11692.42</v>
      </c>
      <c r="P89" s="60">
        <v>11074.31</v>
      </c>
      <c r="Q89" s="60">
        <v>11638.85</v>
      </c>
      <c r="R89" s="60">
        <v>11995.7</v>
      </c>
      <c r="S89" s="60">
        <v>11216.43</v>
      </c>
      <c r="T89" s="60">
        <v>8473.86</v>
      </c>
      <c r="U89" s="60">
        <v>7694.2</v>
      </c>
      <c r="V89" s="60">
        <v>10040.43</v>
      </c>
      <c r="W89" s="60">
        <v>9158.73</v>
      </c>
      <c r="X89" s="60">
        <v>8475.9</v>
      </c>
      <c r="Y89" s="60">
        <v>10758.93</v>
      </c>
      <c r="Z89" s="60">
        <v>10635.29</v>
      </c>
      <c r="AA89" s="91">
        <v>9451.99</v>
      </c>
      <c r="AB89" s="91">
        <v>8778.9699999999993</v>
      </c>
      <c r="AC89" s="91">
        <v>9404.58</v>
      </c>
      <c r="AD89" s="10">
        <v>11412</v>
      </c>
    </row>
    <row r="90" spans="2:30" ht="12.75" customHeight="1" x14ac:dyDescent="0.25">
      <c r="B90" s="383" t="s">
        <v>128</v>
      </c>
      <c r="C90" s="383"/>
      <c r="D90" s="383"/>
      <c r="E90" s="383"/>
      <c r="F90" s="383"/>
      <c r="G90" s="383"/>
      <c r="H90" s="383"/>
      <c r="I90" s="383"/>
      <c r="J90" s="383"/>
      <c r="K90" s="383"/>
      <c r="L90" s="383"/>
      <c r="M90" s="383"/>
      <c r="N90" s="383"/>
      <c r="O90" s="383"/>
      <c r="P90" s="383"/>
      <c r="Q90" s="383"/>
      <c r="R90" s="383"/>
      <c r="S90" s="383"/>
      <c r="T90" s="383"/>
      <c r="U90" s="383"/>
      <c r="V90" s="383"/>
      <c r="W90" s="383"/>
      <c r="X90" s="383"/>
      <c r="Y90" s="383"/>
      <c r="Z90" s="384"/>
      <c r="AA90" s="80"/>
      <c r="AB90" s="80"/>
      <c r="AC90" s="80"/>
      <c r="AD90" s="80"/>
    </row>
    <row r="91" spans="2:30" ht="12" customHeight="1" x14ac:dyDescent="0.25">
      <c r="B91" s="77" t="s">
        <v>116</v>
      </c>
      <c r="C91" s="8" t="s">
        <v>89</v>
      </c>
      <c r="D91" s="73">
        <v>2847.7</v>
      </c>
      <c r="E91" s="73">
        <v>1709.78</v>
      </c>
      <c r="F91" s="73">
        <v>1249.05</v>
      </c>
      <c r="G91" s="73">
        <v>1783.67</v>
      </c>
      <c r="H91" s="73" t="s">
        <v>19</v>
      </c>
      <c r="I91" s="73" t="s">
        <v>19</v>
      </c>
      <c r="J91" s="73" t="s">
        <v>19</v>
      </c>
      <c r="K91" s="73" t="s">
        <v>19</v>
      </c>
      <c r="L91" s="73" t="s">
        <v>19</v>
      </c>
      <c r="M91" s="73" t="s">
        <v>19</v>
      </c>
      <c r="N91" s="73" t="s">
        <v>19</v>
      </c>
      <c r="O91" s="73" t="s">
        <v>19</v>
      </c>
      <c r="P91" s="73" t="s">
        <v>19</v>
      </c>
      <c r="Q91" s="73" t="s">
        <v>19</v>
      </c>
      <c r="R91" s="73" t="s">
        <v>19</v>
      </c>
      <c r="S91" s="73" t="s">
        <v>19</v>
      </c>
      <c r="T91" s="73" t="s">
        <v>19</v>
      </c>
      <c r="U91" s="73" t="s">
        <v>19</v>
      </c>
      <c r="V91" s="73" t="s">
        <v>19</v>
      </c>
      <c r="W91" s="73" t="s">
        <v>19</v>
      </c>
      <c r="X91" s="73" t="s">
        <v>19</v>
      </c>
      <c r="Y91" s="73" t="s">
        <v>19</v>
      </c>
      <c r="Z91" s="73" t="s">
        <v>19</v>
      </c>
      <c r="AA91" s="49" t="s">
        <v>19</v>
      </c>
      <c r="AB91" s="49" t="s">
        <v>19</v>
      </c>
      <c r="AC91" s="49" t="s">
        <v>19</v>
      </c>
      <c r="AD91" s="49" t="s">
        <v>19</v>
      </c>
    </row>
    <row r="92" spans="2:30" ht="12" customHeight="1" x14ac:dyDescent="0.25">
      <c r="B92" s="77" t="s">
        <v>127</v>
      </c>
      <c r="C92" s="8" t="s">
        <v>89</v>
      </c>
      <c r="D92" s="73">
        <v>11034.12</v>
      </c>
      <c r="E92" s="73">
        <v>6624.25</v>
      </c>
      <c r="F92" s="73">
        <v>10405.75</v>
      </c>
      <c r="G92" s="73">
        <v>12182.64</v>
      </c>
      <c r="H92" s="73" t="s">
        <v>19</v>
      </c>
      <c r="I92" s="73" t="s">
        <v>19</v>
      </c>
      <c r="J92" s="73" t="s">
        <v>19</v>
      </c>
      <c r="K92" s="73" t="s">
        <v>19</v>
      </c>
      <c r="L92" s="73" t="s">
        <v>19</v>
      </c>
      <c r="M92" s="73" t="s">
        <v>19</v>
      </c>
      <c r="N92" s="73" t="s">
        <v>19</v>
      </c>
      <c r="O92" s="73" t="s">
        <v>19</v>
      </c>
      <c r="P92" s="73" t="s">
        <v>19</v>
      </c>
      <c r="Q92" s="73" t="s">
        <v>19</v>
      </c>
      <c r="R92" s="73" t="s">
        <v>19</v>
      </c>
      <c r="S92" s="73" t="s">
        <v>19</v>
      </c>
      <c r="T92" s="73" t="s">
        <v>19</v>
      </c>
      <c r="U92" s="73" t="s">
        <v>19</v>
      </c>
      <c r="V92" s="73" t="s">
        <v>19</v>
      </c>
      <c r="W92" s="73" t="s">
        <v>19</v>
      </c>
      <c r="X92" s="73" t="s">
        <v>19</v>
      </c>
      <c r="Y92" s="73" t="s">
        <v>19</v>
      </c>
      <c r="Z92" s="73" t="s">
        <v>19</v>
      </c>
      <c r="AA92" s="49" t="s">
        <v>19</v>
      </c>
      <c r="AB92" s="49" t="s">
        <v>19</v>
      </c>
      <c r="AC92" s="49" t="s">
        <v>19</v>
      </c>
      <c r="AD92" s="49" t="s">
        <v>19</v>
      </c>
    </row>
    <row r="93" spans="2:30" ht="12" customHeight="1" x14ac:dyDescent="0.25">
      <c r="B93" s="81" t="s">
        <v>117</v>
      </c>
      <c r="C93" s="8" t="s">
        <v>89</v>
      </c>
      <c r="D93" s="73">
        <v>955.93</v>
      </c>
      <c r="E93" s="73">
        <v>650.54</v>
      </c>
      <c r="F93" s="73">
        <v>929.67</v>
      </c>
      <c r="G93" s="73">
        <v>549.34</v>
      </c>
      <c r="H93" s="73" t="s">
        <v>19</v>
      </c>
      <c r="I93" s="73" t="s">
        <v>19</v>
      </c>
      <c r="J93" s="73" t="s">
        <v>19</v>
      </c>
      <c r="K93" s="73" t="s">
        <v>19</v>
      </c>
      <c r="L93" s="73" t="s">
        <v>19</v>
      </c>
      <c r="M93" s="73" t="s">
        <v>19</v>
      </c>
      <c r="N93" s="73" t="s">
        <v>19</v>
      </c>
      <c r="O93" s="73" t="s">
        <v>19</v>
      </c>
      <c r="P93" s="73" t="s">
        <v>19</v>
      </c>
      <c r="Q93" s="73" t="s">
        <v>19</v>
      </c>
      <c r="R93" s="73" t="s">
        <v>19</v>
      </c>
      <c r="S93" s="73" t="s">
        <v>19</v>
      </c>
      <c r="T93" s="73" t="s">
        <v>19</v>
      </c>
      <c r="U93" s="73" t="s">
        <v>19</v>
      </c>
      <c r="V93" s="73" t="s">
        <v>19</v>
      </c>
      <c r="W93" s="73" t="s">
        <v>19</v>
      </c>
      <c r="X93" s="73" t="s">
        <v>19</v>
      </c>
      <c r="Y93" s="73" t="s">
        <v>19</v>
      </c>
      <c r="Z93" s="73" t="s">
        <v>19</v>
      </c>
      <c r="AA93" s="49" t="s">
        <v>19</v>
      </c>
      <c r="AB93" s="49" t="s">
        <v>19</v>
      </c>
      <c r="AC93" s="49" t="s">
        <v>19</v>
      </c>
      <c r="AD93" s="49" t="s">
        <v>19</v>
      </c>
    </row>
    <row r="94" spans="2:30" ht="12" customHeight="1" x14ac:dyDescent="0.25">
      <c r="B94" s="77" t="s">
        <v>118</v>
      </c>
      <c r="C94" s="8" t="s">
        <v>89</v>
      </c>
      <c r="D94" s="73">
        <v>414.89</v>
      </c>
      <c r="E94" s="73">
        <v>367.94</v>
      </c>
      <c r="F94" s="73">
        <v>520.02</v>
      </c>
      <c r="G94" s="73">
        <v>543.75</v>
      </c>
      <c r="H94" s="73" t="s">
        <v>19</v>
      </c>
      <c r="I94" s="73" t="s">
        <v>19</v>
      </c>
      <c r="J94" s="73" t="s">
        <v>19</v>
      </c>
      <c r="K94" s="73" t="s">
        <v>19</v>
      </c>
      <c r="L94" s="73" t="s">
        <v>19</v>
      </c>
      <c r="M94" s="73" t="s">
        <v>19</v>
      </c>
      <c r="N94" s="73" t="s">
        <v>19</v>
      </c>
      <c r="O94" s="73" t="s">
        <v>19</v>
      </c>
      <c r="P94" s="73" t="s">
        <v>19</v>
      </c>
      <c r="Q94" s="73" t="s">
        <v>19</v>
      </c>
      <c r="R94" s="73" t="s">
        <v>19</v>
      </c>
      <c r="S94" s="73" t="s">
        <v>19</v>
      </c>
      <c r="T94" s="73" t="s">
        <v>19</v>
      </c>
      <c r="U94" s="73" t="s">
        <v>19</v>
      </c>
      <c r="V94" s="73" t="s">
        <v>19</v>
      </c>
      <c r="W94" s="73" t="s">
        <v>19</v>
      </c>
      <c r="X94" s="73" t="s">
        <v>19</v>
      </c>
      <c r="Y94" s="73" t="s">
        <v>19</v>
      </c>
      <c r="Z94" s="73" t="s">
        <v>19</v>
      </c>
      <c r="AA94" s="49" t="s">
        <v>19</v>
      </c>
      <c r="AB94" s="49" t="s">
        <v>19</v>
      </c>
      <c r="AC94" s="49" t="s">
        <v>19</v>
      </c>
      <c r="AD94" s="49" t="s">
        <v>19</v>
      </c>
    </row>
    <row r="95" spans="2:30" ht="12" customHeight="1" x14ac:dyDescent="0.25">
      <c r="B95" s="77" t="s">
        <v>129</v>
      </c>
      <c r="C95" s="8" t="s">
        <v>89</v>
      </c>
      <c r="D95" s="73">
        <v>143.47</v>
      </c>
      <c r="E95" s="73">
        <v>83.02</v>
      </c>
      <c r="F95" s="73">
        <v>136.29</v>
      </c>
      <c r="G95" s="73">
        <v>110.07</v>
      </c>
      <c r="H95" s="73" t="s">
        <v>19</v>
      </c>
      <c r="I95" s="73" t="s">
        <v>19</v>
      </c>
      <c r="J95" s="73" t="s">
        <v>19</v>
      </c>
      <c r="K95" s="73" t="s">
        <v>19</v>
      </c>
      <c r="L95" s="73" t="s">
        <v>19</v>
      </c>
      <c r="M95" s="73" t="s">
        <v>19</v>
      </c>
      <c r="N95" s="73" t="s">
        <v>19</v>
      </c>
      <c r="O95" s="73" t="s">
        <v>19</v>
      </c>
      <c r="P95" s="73" t="s">
        <v>19</v>
      </c>
      <c r="Q95" s="73" t="s">
        <v>19</v>
      </c>
      <c r="R95" s="73" t="s">
        <v>19</v>
      </c>
      <c r="S95" s="73" t="s">
        <v>19</v>
      </c>
      <c r="T95" s="73" t="s">
        <v>19</v>
      </c>
      <c r="U95" s="73" t="s">
        <v>19</v>
      </c>
      <c r="V95" s="73" t="s">
        <v>19</v>
      </c>
      <c r="W95" s="73" t="s">
        <v>19</v>
      </c>
      <c r="X95" s="73" t="s">
        <v>19</v>
      </c>
      <c r="Y95" s="73" t="s">
        <v>19</v>
      </c>
      <c r="Z95" s="73" t="s">
        <v>19</v>
      </c>
      <c r="AA95" s="49" t="s">
        <v>19</v>
      </c>
      <c r="AB95" s="49" t="s">
        <v>19</v>
      </c>
      <c r="AC95" s="49" t="s">
        <v>19</v>
      </c>
      <c r="AD95" s="49" t="s">
        <v>19</v>
      </c>
    </row>
    <row r="96" spans="2:30" ht="12" customHeight="1" x14ac:dyDescent="0.25">
      <c r="B96" s="77" t="s">
        <v>95</v>
      </c>
      <c r="C96" s="8" t="s">
        <v>89</v>
      </c>
      <c r="D96" s="73">
        <v>138.13</v>
      </c>
      <c r="E96" s="73">
        <v>85.55</v>
      </c>
      <c r="F96" s="73">
        <v>102.86</v>
      </c>
      <c r="G96" s="73">
        <v>128.18</v>
      </c>
      <c r="H96" s="73" t="s">
        <v>19</v>
      </c>
      <c r="I96" s="73" t="s">
        <v>19</v>
      </c>
      <c r="J96" s="73" t="s">
        <v>19</v>
      </c>
      <c r="K96" s="73" t="s">
        <v>19</v>
      </c>
      <c r="L96" s="73" t="s">
        <v>19</v>
      </c>
      <c r="M96" s="73" t="s">
        <v>19</v>
      </c>
      <c r="N96" s="73" t="s">
        <v>19</v>
      </c>
      <c r="O96" s="73" t="s">
        <v>19</v>
      </c>
      <c r="P96" s="73" t="s">
        <v>19</v>
      </c>
      <c r="Q96" s="73" t="s">
        <v>19</v>
      </c>
      <c r="R96" s="73" t="s">
        <v>19</v>
      </c>
      <c r="S96" s="73" t="s">
        <v>19</v>
      </c>
      <c r="T96" s="73" t="s">
        <v>19</v>
      </c>
      <c r="U96" s="73" t="s">
        <v>19</v>
      </c>
      <c r="V96" s="73" t="s">
        <v>19</v>
      </c>
      <c r="W96" s="73" t="s">
        <v>19</v>
      </c>
      <c r="X96" s="73" t="s">
        <v>19</v>
      </c>
      <c r="Y96" s="73" t="s">
        <v>19</v>
      </c>
      <c r="Z96" s="73" t="s">
        <v>19</v>
      </c>
      <c r="AA96" s="49" t="s">
        <v>19</v>
      </c>
      <c r="AB96" s="49" t="s">
        <v>19</v>
      </c>
      <c r="AC96" s="49" t="s">
        <v>19</v>
      </c>
      <c r="AD96" s="49" t="s">
        <v>19</v>
      </c>
    </row>
    <row r="97" spans="2:30" ht="12" customHeight="1" x14ac:dyDescent="0.25">
      <c r="B97" s="94" t="s">
        <v>13</v>
      </c>
      <c r="C97" s="22" t="s">
        <v>89</v>
      </c>
      <c r="D97" s="60">
        <v>15534.24</v>
      </c>
      <c r="E97" s="60">
        <v>9521.08</v>
      </c>
      <c r="F97" s="60">
        <v>13343.64</v>
      </c>
      <c r="G97" s="60">
        <v>15297.65</v>
      </c>
      <c r="H97" s="60" t="s">
        <v>19</v>
      </c>
      <c r="I97" s="60" t="s">
        <v>19</v>
      </c>
      <c r="J97" s="60" t="s">
        <v>19</v>
      </c>
      <c r="K97" s="60" t="s">
        <v>19</v>
      </c>
      <c r="L97" s="60" t="s">
        <v>19</v>
      </c>
      <c r="M97" s="60" t="s">
        <v>19</v>
      </c>
      <c r="N97" s="60" t="s">
        <v>19</v>
      </c>
      <c r="O97" s="60" t="s">
        <v>19</v>
      </c>
      <c r="P97" s="60" t="s">
        <v>19</v>
      </c>
      <c r="Q97" s="60" t="s">
        <v>19</v>
      </c>
      <c r="R97" s="60" t="s">
        <v>19</v>
      </c>
      <c r="S97" s="60" t="s">
        <v>19</v>
      </c>
      <c r="T97" s="60" t="s">
        <v>19</v>
      </c>
      <c r="U97" s="60" t="s">
        <v>19</v>
      </c>
      <c r="V97" s="60" t="s">
        <v>19</v>
      </c>
      <c r="W97" s="60" t="s">
        <v>19</v>
      </c>
      <c r="X97" s="60" t="s">
        <v>19</v>
      </c>
      <c r="Y97" s="60" t="s">
        <v>19</v>
      </c>
      <c r="Z97" s="60" t="s">
        <v>19</v>
      </c>
      <c r="AA97" s="91" t="s">
        <v>19</v>
      </c>
      <c r="AB97" s="91" t="s">
        <v>19</v>
      </c>
      <c r="AC97" s="91" t="s">
        <v>19</v>
      </c>
      <c r="AD97" s="49" t="s">
        <v>19</v>
      </c>
    </row>
    <row r="98" spans="2:30" ht="12.75" customHeight="1" x14ac:dyDescent="0.25">
      <c r="B98" s="383" t="s">
        <v>130</v>
      </c>
      <c r="C98" s="383"/>
      <c r="D98" s="383"/>
      <c r="E98" s="383"/>
      <c r="F98" s="383"/>
      <c r="G98" s="383"/>
      <c r="H98" s="383"/>
      <c r="I98" s="383"/>
      <c r="J98" s="383"/>
      <c r="K98" s="383"/>
      <c r="L98" s="383"/>
      <c r="M98" s="383"/>
      <c r="N98" s="383"/>
      <c r="O98" s="383"/>
      <c r="P98" s="383"/>
      <c r="Q98" s="383"/>
      <c r="R98" s="383"/>
      <c r="S98" s="383"/>
      <c r="T98" s="383"/>
      <c r="U98" s="383"/>
      <c r="V98" s="383"/>
      <c r="W98" s="383"/>
      <c r="X98" s="383"/>
      <c r="Y98" s="383"/>
      <c r="Z98" s="384"/>
      <c r="AA98" s="80"/>
      <c r="AB98" s="80"/>
      <c r="AC98" s="80"/>
      <c r="AD98" s="80"/>
    </row>
    <row r="99" spans="2:30" ht="12" customHeight="1" x14ac:dyDescent="0.25">
      <c r="B99" s="77" t="s">
        <v>116</v>
      </c>
      <c r="C99" s="8" t="s">
        <v>89</v>
      </c>
      <c r="D99" s="73" t="s">
        <v>19</v>
      </c>
      <c r="E99" s="73">
        <v>6.38</v>
      </c>
      <c r="F99" s="73">
        <v>6.39</v>
      </c>
      <c r="G99" s="73">
        <v>57.07</v>
      </c>
      <c r="H99" s="73" t="s">
        <v>19</v>
      </c>
      <c r="I99" s="73" t="s">
        <v>19</v>
      </c>
      <c r="J99" s="73" t="s">
        <v>19</v>
      </c>
      <c r="K99" s="73" t="s">
        <v>19</v>
      </c>
      <c r="L99" s="73" t="s">
        <v>19</v>
      </c>
      <c r="M99" s="73" t="s">
        <v>19</v>
      </c>
      <c r="N99" s="73" t="s">
        <v>19</v>
      </c>
      <c r="O99" s="73" t="s">
        <v>19</v>
      </c>
      <c r="P99" s="73" t="s">
        <v>19</v>
      </c>
      <c r="Q99" s="73" t="s">
        <v>19</v>
      </c>
      <c r="R99" s="73" t="s">
        <v>19</v>
      </c>
      <c r="S99" s="73" t="s">
        <v>19</v>
      </c>
      <c r="T99" s="73" t="s">
        <v>19</v>
      </c>
      <c r="U99" s="73" t="s">
        <v>19</v>
      </c>
      <c r="V99" s="73" t="s">
        <v>19</v>
      </c>
      <c r="W99" s="73" t="s">
        <v>19</v>
      </c>
      <c r="X99" s="73" t="s">
        <v>19</v>
      </c>
      <c r="Y99" s="73" t="s">
        <v>19</v>
      </c>
      <c r="Z99" s="73" t="s">
        <v>19</v>
      </c>
      <c r="AA99" s="49" t="s">
        <v>19</v>
      </c>
      <c r="AB99" s="49" t="s">
        <v>19</v>
      </c>
      <c r="AC99" s="49" t="s">
        <v>19</v>
      </c>
      <c r="AD99" s="49" t="s">
        <v>19</v>
      </c>
    </row>
    <row r="100" spans="2:30" ht="12" customHeight="1" x14ac:dyDescent="0.25">
      <c r="B100" s="81" t="s">
        <v>117</v>
      </c>
      <c r="C100" s="8" t="s">
        <v>89</v>
      </c>
      <c r="D100" s="73" t="s">
        <v>19</v>
      </c>
      <c r="E100" s="73">
        <v>0.04</v>
      </c>
      <c r="F100" s="73">
        <v>0.24</v>
      </c>
      <c r="G100" s="73">
        <v>4.8600000000000003</v>
      </c>
      <c r="H100" s="73" t="s">
        <v>19</v>
      </c>
      <c r="I100" s="73" t="s">
        <v>19</v>
      </c>
      <c r="J100" s="73" t="s">
        <v>19</v>
      </c>
      <c r="K100" s="73" t="s">
        <v>19</v>
      </c>
      <c r="L100" s="73" t="s">
        <v>19</v>
      </c>
      <c r="M100" s="73" t="s">
        <v>19</v>
      </c>
      <c r="N100" s="73" t="s">
        <v>19</v>
      </c>
      <c r="O100" s="73" t="s">
        <v>19</v>
      </c>
      <c r="P100" s="73" t="s">
        <v>19</v>
      </c>
      <c r="Q100" s="73" t="s">
        <v>19</v>
      </c>
      <c r="R100" s="73" t="s">
        <v>19</v>
      </c>
      <c r="S100" s="73" t="s">
        <v>19</v>
      </c>
      <c r="T100" s="73" t="s">
        <v>19</v>
      </c>
      <c r="U100" s="73" t="s">
        <v>19</v>
      </c>
      <c r="V100" s="73" t="s">
        <v>19</v>
      </c>
      <c r="W100" s="73" t="s">
        <v>19</v>
      </c>
      <c r="X100" s="73" t="s">
        <v>19</v>
      </c>
      <c r="Y100" s="73" t="s">
        <v>19</v>
      </c>
      <c r="Z100" s="73" t="s">
        <v>19</v>
      </c>
      <c r="AA100" s="49" t="s">
        <v>19</v>
      </c>
      <c r="AB100" s="49" t="s">
        <v>19</v>
      </c>
      <c r="AC100" s="49" t="s">
        <v>19</v>
      </c>
      <c r="AD100" s="49" t="s">
        <v>19</v>
      </c>
    </row>
    <row r="101" spans="2:30" ht="12" customHeight="1" x14ac:dyDescent="0.25">
      <c r="B101" s="12" t="s">
        <v>108</v>
      </c>
      <c r="C101" s="8" t="s">
        <v>89</v>
      </c>
      <c r="D101" s="73">
        <v>675.08</v>
      </c>
      <c r="E101" s="73">
        <v>1083.79</v>
      </c>
      <c r="F101" s="73">
        <v>1032.45</v>
      </c>
      <c r="G101" s="73">
        <v>2316.59</v>
      </c>
      <c r="H101" s="73" t="s">
        <v>19</v>
      </c>
      <c r="I101" s="73" t="s">
        <v>19</v>
      </c>
      <c r="J101" s="73" t="s">
        <v>19</v>
      </c>
      <c r="K101" s="73" t="s">
        <v>19</v>
      </c>
      <c r="L101" s="73" t="s">
        <v>19</v>
      </c>
      <c r="M101" s="73" t="s">
        <v>19</v>
      </c>
      <c r="N101" s="73" t="s">
        <v>19</v>
      </c>
      <c r="O101" s="73" t="s">
        <v>19</v>
      </c>
      <c r="P101" s="73" t="s">
        <v>19</v>
      </c>
      <c r="Q101" s="73" t="s">
        <v>19</v>
      </c>
      <c r="R101" s="73" t="s">
        <v>19</v>
      </c>
      <c r="S101" s="73" t="s">
        <v>19</v>
      </c>
      <c r="T101" s="73" t="s">
        <v>19</v>
      </c>
      <c r="U101" s="73" t="s">
        <v>19</v>
      </c>
      <c r="V101" s="73" t="s">
        <v>19</v>
      </c>
      <c r="W101" s="73" t="s">
        <v>19</v>
      </c>
      <c r="X101" s="73" t="s">
        <v>19</v>
      </c>
      <c r="Y101" s="73" t="s">
        <v>19</v>
      </c>
      <c r="Z101" s="73" t="s">
        <v>19</v>
      </c>
      <c r="AA101" s="49" t="s">
        <v>19</v>
      </c>
      <c r="AB101" s="49" t="s">
        <v>19</v>
      </c>
      <c r="AC101" s="49" t="s">
        <v>19</v>
      </c>
      <c r="AD101" s="49" t="s">
        <v>19</v>
      </c>
    </row>
    <row r="102" spans="2:30" ht="12" customHeight="1" x14ac:dyDescent="0.25">
      <c r="B102" s="78" t="s">
        <v>131</v>
      </c>
      <c r="C102" s="8" t="s">
        <v>89</v>
      </c>
      <c r="D102" s="73" t="s">
        <v>19</v>
      </c>
      <c r="E102" s="73">
        <v>2.17</v>
      </c>
      <c r="F102" s="73">
        <v>3.74</v>
      </c>
      <c r="G102" s="73">
        <v>217.6</v>
      </c>
      <c r="H102" s="73" t="s">
        <v>19</v>
      </c>
      <c r="I102" s="73" t="s">
        <v>19</v>
      </c>
      <c r="J102" s="73" t="s">
        <v>19</v>
      </c>
      <c r="K102" s="73" t="s">
        <v>19</v>
      </c>
      <c r="L102" s="73" t="s">
        <v>19</v>
      </c>
      <c r="M102" s="73" t="s">
        <v>19</v>
      </c>
      <c r="N102" s="73" t="s">
        <v>19</v>
      </c>
      <c r="O102" s="73" t="s">
        <v>19</v>
      </c>
      <c r="P102" s="73" t="s">
        <v>19</v>
      </c>
      <c r="Q102" s="73" t="s">
        <v>19</v>
      </c>
      <c r="R102" s="73" t="s">
        <v>19</v>
      </c>
      <c r="S102" s="73" t="s">
        <v>19</v>
      </c>
      <c r="T102" s="73" t="s">
        <v>19</v>
      </c>
      <c r="U102" s="73" t="s">
        <v>19</v>
      </c>
      <c r="V102" s="73" t="s">
        <v>19</v>
      </c>
      <c r="W102" s="73" t="s">
        <v>19</v>
      </c>
      <c r="X102" s="73" t="s">
        <v>19</v>
      </c>
      <c r="Y102" s="73" t="s">
        <v>19</v>
      </c>
      <c r="Z102" s="73" t="s">
        <v>19</v>
      </c>
      <c r="AA102" s="49" t="s">
        <v>19</v>
      </c>
      <c r="AB102" s="49" t="s">
        <v>19</v>
      </c>
      <c r="AC102" s="49" t="s">
        <v>19</v>
      </c>
      <c r="AD102" s="49" t="s">
        <v>19</v>
      </c>
    </row>
    <row r="103" spans="2:30" ht="12" customHeight="1" x14ac:dyDescent="0.25">
      <c r="B103" s="77" t="s">
        <v>129</v>
      </c>
      <c r="C103" s="8" t="s">
        <v>89</v>
      </c>
      <c r="D103" s="73" t="s">
        <v>19</v>
      </c>
      <c r="E103" s="73">
        <v>0.19</v>
      </c>
      <c r="F103" s="73">
        <v>0.56999999999999995</v>
      </c>
      <c r="G103" s="73">
        <v>3.76</v>
      </c>
      <c r="H103" s="73" t="s">
        <v>19</v>
      </c>
      <c r="I103" s="73" t="s">
        <v>19</v>
      </c>
      <c r="J103" s="73" t="s">
        <v>19</v>
      </c>
      <c r="K103" s="73" t="s">
        <v>19</v>
      </c>
      <c r="L103" s="73" t="s">
        <v>19</v>
      </c>
      <c r="M103" s="73" t="s">
        <v>19</v>
      </c>
      <c r="N103" s="73" t="s">
        <v>19</v>
      </c>
      <c r="O103" s="73" t="s">
        <v>19</v>
      </c>
      <c r="P103" s="73" t="s">
        <v>19</v>
      </c>
      <c r="Q103" s="73" t="s">
        <v>19</v>
      </c>
      <c r="R103" s="73" t="s">
        <v>19</v>
      </c>
      <c r="S103" s="73" t="s">
        <v>19</v>
      </c>
      <c r="T103" s="73" t="s">
        <v>19</v>
      </c>
      <c r="U103" s="73" t="s">
        <v>19</v>
      </c>
      <c r="V103" s="73" t="s">
        <v>19</v>
      </c>
      <c r="W103" s="73" t="s">
        <v>19</v>
      </c>
      <c r="X103" s="73" t="s">
        <v>19</v>
      </c>
      <c r="Y103" s="73" t="s">
        <v>19</v>
      </c>
      <c r="Z103" s="73" t="s">
        <v>19</v>
      </c>
      <c r="AA103" s="49" t="s">
        <v>19</v>
      </c>
      <c r="AB103" s="49" t="s">
        <v>19</v>
      </c>
      <c r="AC103" s="49" t="s">
        <v>19</v>
      </c>
      <c r="AD103" s="49" t="s">
        <v>19</v>
      </c>
    </row>
    <row r="104" spans="2:30" ht="12" customHeight="1" x14ac:dyDescent="0.25">
      <c r="B104" s="12" t="s">
        <v>106</v>
      </c>
      <c r="C104" s="8" t="s">
        <v>89</v>
      </c>
      <c r="D104" s="73">
        <v>270.82</v>
      </c>
      <c r="E104" s="73">
        <v>447.2</v>
      </c>
      <c r="F104" s="73">
        <v>85.68</v>
      </c>
      <c r="G104" s="73">
        <v>34.520000000000003</v>
      </c>
      <c r="H104" s="73" t="s">
        <v>19</v>
      </c>
      <c r="I104" s="73" t="s">
        <v>19</v>
      </c>
      <c r="J104" s="73" t="s">
        <v>19</v>
      </c>
      <c r="K104" s="73" t="s">
        <v>19</v>
      </c>
      <c r="L104" s="73" t="s">
        <v>19</v>
      </c>
      <c r="M104" s="73" t="s">
        <v>19</v>
      </c>
      <c r="N104" s="73" t="s">
        <v>19</v>
      </c>
      <c r="O104" s="73" t="s">
        <v>19</v>
      </c>
      <c r="P104" s="73" t="s">
        <v>19</v>
      </c>
      <c r="Q104" s="73" t="s">
        <v>19</v>
      </c>
      <c r="R104" s="73" t="s">
        <v>19</v>
      </c>
      <c r="S104" s="73" t="s">
        <v>19</v>
      </c>
      <c r="T104" s="73" t="s">
        <v>19</v>
      </c>
      <c r="U104" s="73" t="s">
        <v>19</v>
      </c>
      <c r="V104" s="73" t="s">
        <v>19</v>
      </c>
      <c r="W104" s="73" t="s">
        <v>19</v>
      </c>
      <c r="X104" s="73" t="s">
        <v>19</v>
      </c>
      <c r="Y104" s="73" t="s">
        <v>19</v>
      </c>
      <c r="Z104" s="73" t="s">
        <v>19</v>
      </c>
      <c r="AA104" s="49" t="s">
        <v>19</v>
      </c>
      <c r="AB104" s="49" t="s">
        <v>19</v>
      </c>
      <c r="AC104" s="49" t="s">
        <v>19</v>
      </c>
      <c r="AD104" s="49" t="s">
        <v>19</v>
      </c>
    </row>
    <row r="105" spans="2:30" ht="12" customHeight="1" x14ac:dyDescent="0.25">
      <c r="B105" s="78" t="s">
        <v>115</v>
      </c>
      <c r="C105" s="8" t="s">
        <v>89</v>
      </c>
      <c r="D105" s="73">
        <v>2514.54</v>
      </c>
      <c r="E105" s="73">
        <v>3489.84</v>
      </c>
      <c r="F105" s="73">
        <v>4097.5200000000004</v>
      </c>
      <c r="G105" s="73">
        <v>2333.0100000000002</v>
      </c>
      <c r="H105" s="73" t="s">
        <v>19</v>
      </c>
      <c r="I105" s="73" t="s">
        <v>19</v>
      </c>
      <c r="J105" s="73" t="s">
        <v>19</v>
      </c>
      <c r="K105" s="73" t="s">
        <v>19</v>
      </c>
      <c r="L105" s="73" t="s">
        <v>19</v>
      </c>
      <c r="M105" s="73" t="s">
        <v>19</v>
      </c>
      <c r="N105" s="73" t="s">
        <v>19</v>
      </c>
      <c r="O105" s="73" t="s">
        <v>19</v>
      </c>
      <c r="P105" s="73" t="s">
        <v>19</v>
      </c>
      <c r="Q105" s="73" t="s">
        <v>19</v>
      </c>
      <c r="R105" s="73" t="s">
        <v>19</v>
      </c>
      <c r="S105" s="73" t="s">
        <v>19</v>
      </c>
      <c r="T105" s="73" t="s">
        <v>19</v>
      </c>
      <c r="U105" s="73" t="s">
        <v>19</v>
      </c>
      <c r="V105" s="73" t="s">
        <v>19</v>
      </c>
      <c r="W105" s="73" t="s">
        <v>19</v>
      </c>
      <c r="X105" s="73" t="s">
        <v>19</v>
      </c>
      <c r="Y105" s="73" t="s">
        <v>19</v>
      </c>
      <c r="Z105" s="73" t="s">
        <v>19</v>
      </c>
      <c r="AA105" s="49" t="s">
        <v>19</v>
      </c>
      <c r="AB105" s="49" t="s">
        <v>19</v>
      </c>
      <c r="AC105" s="49" t="s">
        <v>19</v>
      </c>
      <c r="AD105" s="49" t="s">
        <v>19</v>
      </c>
    </row>
    <row r="106" spans="2:30" ht="12" customHeight="1" x14ac:dyDescent="0.25">
      <c r="B106" s="77" t="s">
        <v>95</v>
      </c>
      <c r="C106" s="8" t="s">
        <v>89</v>
      </c>
      <c r="D106" s="73">
        <v>557.71</v>
      </c>
      <c r="E106" s="73">
        <v>561.83000000000004</v>
      </c>
      <c r="F106" s="73">
        <v>549.25</v>
      </c>
      <c r="G106" s="73">
        <v>651.63</v>
      </c>
      <c r="H106" s="73" t="s">
        <v>19</v>
      </c>
      <c r="I106" s="73" t="s">
        <v>19</v>
      </c>
      <c r="J106" s="73" t="s">
        <v>19</v>
      </c>
      <c r="K106" s="73" t="s">
        <v>19</v>
      </c>
      <c r="L106" s="73" t="s">
        <v>19</v>
      </c>
      <c r="M106" s="73" t="s">
        <v>19</v>
      </c>
      <c r="N106" s="73" t="s">
        <v>19</v>
      </c>
      <c r="O106" s="73" t="s">
        <v>19</v>
      </c>
      <c r="P106" s="73" t="s">
        <v>19</v>
      </c>
      <c r="Q106" s="73" t="s">
        <v>19</v>
      </c>
      <c r="R106" s="73" t="s">
        <v>19</v>
      </c>
      <c r="S106" s="73" t="s">
        <v>19</v>
      </c>
      <c r="T106" s="73" t="s">
        <v>19</v>
      </c>
      <c r="U106" s="73" t="s">
        <v>19</v>
      </c>
      <c r="V106" s="73" t="s">
        <v>19</v>
      </c>
      <c r="W106" s="73" t="s">
        <v>19</v>
      </c>
      <c r="X106" s="73" t="s">
        <v>19</v>
      </c>
      <c r="Y106" s="73" t="s">
        <v>19</v>
      </c>
      <c r="Z106" s="73" t="s">
        <v>19</v>
      </c>
      <c r="AA106" s="49" t="s">
        <v>19</v>
      </c>
      <c r="AB106" s="49" t="s">
        <v>19</v>
      </c>
      <c r="AC106" s="49" t="s">
        <v>19</v>
      </c>
      <c r="AD106" s="49" t="s">
        <v>19</v>
      </c>
    </row>
    <row r="107" spans="2:30" ht="12" customHeight="1" x14ac:dyDescent="0.25">
      <c r="B107" s="94" t="s">
        <v>132</v>
      </c>
      <c r="C107" s="22" t="s">
        <v>89</v>
      </c>
      <c r="D107" s="60">
        <v>4018.15</v>
      </c>
      <c r="E107" s="60">
        <v>5591.44</v>
      </c>
      <c r="F107" s="60">
        <v>5775.84</v>
      </c>
      <c r="G107" s="60">
        <v>5619.04</v>
      </c>
      <c r="H107" s="60" t="s">
        <v>19</v>
      </c>
      <c r="I107" s="60" t="s">
        <v>19</v>
      </c>
      <c r="J107" s="60" t="s">
        <v>19</v>
      </c>
      <c r="K107" s="60" t="s">
        <v>19</v>
      </c>
      <c r="L107" s="60" t="s">
        <v>19</v>
      </c>
      <c r="M107" s="60" t="s">
        <v>19</v>
      </c>
      <c r="N107" s="60" t="s">
        <v>19</v>
      </c>
      <c r="O107" s="60" t="s">
        <v>19</v>
      </c>
      <c r="P107" s="60" t="s">
        <v>19</v>
      </c>
      <c r="Q107" s="60" t="s">
        <v>19</v>
      </c>
      <c r="R107" s="60" t="s">
        <v>19</v>
      </c>
      <c r="S107" s="60" t="s">
        <v>19</v>
      </c>
      <c r="T107" s="60" t="s">
        <v>19</v>
      </c>
      <c r="U107" s="60" t="s">
        <v>19</v>
      </c>
      <c r="V107" s="60" t="s">
        <v>19</v>
      </c>
      <c r="W107" s="60" t="s">
        <v>19</v>
      </c>
      <c r="X107" s="60" t="s">
        <v>19</v>
      </c>
      <c r="Y107" s="60" t="s">
        <v>19</v>
      </c>
      <c r="Z107" s="60" t="s">
        <v>19</v>
      </c>
      <c r="AA107" s="91" t="s">
        <v>19</v>
      </c>
      <c r="AB107" s="91" t="s">
        <v>19</v>
      </c>
      <c r="AC107" s="91" t="s">
        <v>19</v>
      </c>
      <c r="AD107" s="49" t="s">
        <v>19</v>
      </c>
    </row>
    <row r="108" spans="2:30" ht="12.75" customHeight="1" x14ac:dyDescent="0.25">
      <c r="B108" s="385" t="s">
        <v>133</v>
      </c>
      <c r="C108" s="385"/>
      <c r="D108" s="385"/>
      <c r="E108" s="385"/>
      <c r="F108" s="385"/>
      <c r="G108" s="385"/>
      <c r="H108" s="385"/>
      <c r="I108" s="385"/>
      <c r="J108" s="385"/>
      <c r="K108" s="385"/>
      <c r="L108" s="385"/>
      <c r="M108" s="385"/>
      <c r="N108" s="385"/>
      <c r="O108" s="385"/>
      <c r="P108" s="385"/>
      <c r="Q108" s="385"/>
      <c r="R108" s="385"/>
      <c r="S108" s="385"/>
      <c r="T108" s="385"/>
      <c r="U108" s="385"/>
      <c r="V108" s="385"/>
      <c r="W108" s="385"/>
      <c r="X108" s="385"/>
      <c r="Y108" s="385"/>
      <c r="Z108" s="385"/>
      <c r="AA108" s="48"/>
      <c r="AB108" s="48"/>
      <c r="AC108" s="48"/>
      <c r="AD108" s="48"/>
    </row>
    <row r="109" spans="2:30" ht="12" customHeight="1" x14ac:dyDescent="0.25">
      <c r="B109" s="78" t="s">
        <v>134</v>
      </c>
      <c r="C109" s="8" t="s">
        <v>89</v>
      </c>
      <c r="D109" s="73">
        <v>963.01</v>
      </c>
      <c r="E109" s="73">
        <v>603.96</v>
      </c>
      <c r="F109" s="73">
        <v>787.2</v>
      </c>
      <c r="G109" s="73">
        <v>1438.53</v>
      </c>
      <c r="H109" s="73">
        <v>988.77</v>
      </c>
      <c r="I109" s="73">
        <v>957.28</v>
      </c>
      <c r="J109" s="73">
        <v>1073.92</v>
      </c>
      <c r="K109" s="73">
        <v>2467.8000000000002</v>
      </c>
      <c r="L109" s="73">
        <v>5909.65</v>
      </c>
      <c r="M109" s="73">
        <v>2772.17</v>
      </c>
      <c r="N109" s="73">
        <v>4560.58</v>
      </c>
      <c r="O109" s="73">
        <v>2420.6999999999998</v>
      </c>
      <c r="P109" s="73">
        <v>1766.21</v>
      </c>
      <c r="Q109" s="73">
        <v>1802.42</v>
      </c>
      <c r="R109" s="73">
        <v>1847.97</v>
      </c>
      <c r="S109" s="73">
        <v>1943.74</v>
      </c>
      <c r="T109" s="73">
        <v>2026.12</v>
      </c>
      <c r="U109" s="73">
        <v>3870.73</v>
      </c>
      <c r="V109" s="73">
        <v>4061.32</v>
      </c>
      <c r="W109" s="73">
        <v>2723.39</v>
      </c>
      <c r="X109" s="73">
        <v>2704.39</v>
      </c>
      <c r="Y109" s="73">
        <v>3321.29</v>
      </c>
      <c r="Z109" s="73">
        <v>4147.26</v>
      </c>
      <c r="AA109" s="49">
        <v>4902.83</v>
      </c>
      <c r="AB109" s="49">
        <v>3009.73</v>
      </c>
      <c r="AC109" s="49">
        <v>2190.14</v>
      </c>
      <c r="AD109" s="10">
        <v>2116.84</v>
      </c>
    </row>
    <row r="110" spans="2:30" ht="12" customHeight="1" x14ac:dyDescent="0.25">
      <c r="B110" s="78" t="s">
        <v>135</v>
      </c>
      <c r="C110" s="8" t="s">
        <v>89</v>
      </c>
      <c r="D110" s="73">
        <v>31.96</v>
      </c>
      <c r="E110" s="73">
        <v>8.06</v>
      </c>
      <c r="F110" s="73">
        <v>5.3</v>
      </c>
      <c r="G110" s="73">
        <v>13.19</v>
      </c>
      <c r="H110" s="73">
        <v>46.6</v>
      </c>
      <c r="I110" s="73">
        <v>3.18</v>
      </c>
      <c r="J110" s="73">
        <v>2.31</v>
      </c>
      <c r="K110" s="73">
        <v>13.05</v>
      </c>
      <c r="L110" s="73">
        <v>61.52</v>
      </c>
      <c r="M110" s="73">
        <v>9.32</v>
      </c>
      <c r="N110" s="73">
        <v>29.55</v>
      </c>
      <c r="O110" s="73">
        <v>9.68</v>
      </c>
      <c r="P110" s="73">
        <v>0</v>
      </c>
      <c r="Q110" s="73">
        <v>0</v>
      </c>
      <c r="R110" s="73">
        <v>0</v>
      </c>
      <c r="S110" s="73">
        <v>0</v>
      </c>
      <c r="T110" s="73">
        <v>0</v>
      </c>
      <c r="U110" s="73">
        <v>0</v>
      </c>
      <c r="V110" s="73">
        <v>0</v>
      </c>
      <c r="W110" s="73">
        <v>0</v>
      </c>
      <c r="X110" s="73">
        <v>0</v>
      </c>
      <c r="Y110" s="73">
        <v>0</v>
      </c>
      <c r="Z110" s="73">
        <v>9.69</v>
      </c>
      <c r="AA110" s="49">
        <v>36.844000000000001</v>
      </c>
      <c r="AB110" s="49">
        <v>70.932000000000002</v>
      </c>
      <c r="AC110" s="49">
        <v>18.765999999999998</v>
      </c>
      <c r="AD110" s="10">
        <v>37.64</v>
      </c>
    </row>
    <row r="111" spans="2:30" ht="12" customHeight="1" x14ac:dyDescent="0.25">
      <c r="B111" s="78" t="s">
        <v>136</v>
      </c>
      <c r="C111" s="8" t="s">
        <v>89</v>
      </c>
      <c r="D111" s="73">
        <v>21354.76</v>
      </c>
      <c r="E111" s="73">
        <v>17291.87</v>
      </c>
      <c r="F111" s="73">
        <v>25254</v>
      </c>
      <c r="G111" s="73">
        <v>29308.67</v>
      </c>
      <c r="H111" s="73">
        <v>29660.63</v>
      </c>
      <c r="I111" s="73">
        <v>20393.38</v>
      </c>
      <c r="J111" s="73">
        <v>16795.419999999998</v>
      </c>
      <c r="K111" s="73">
        <v>10261.870000000001</v>
      </c>
      <c r="L111" s="73">
        <v>11357.62</v>
      </c>
      <c r="M111" s="73">
        <v>7599.85</v>
      </c>
      <c r="N111" s="73">
        <v>14320.21</v>
      </c>
      <c r="O111" s="73">
        <v>10589.02</v>
      </c>
      <c r="P111" s="73">
        <v>16634.55</v>
      </c>
      <c r="Q111" s="73">
        <v>12605.9</v>
      </c>
      <c r="R111" s="73">
        <v>11394.32</v>
      </c>
      <c r="S111" s="73">
        <v>14396.59</v>
      </c>
      <c r="T111" s="73">
        <v>17319.63</v>
      </c>
      <c r="U111" s="73">
        <v>24703.66</v>
      </c>
      <c r="V111" s="73">
        <v>12604.66</v>
      </c>
      <c r="W111" s="73">
        <v>18785.11</v>
      </c>
      <c r="X111" s="73">
        <v>14684.94</v>
      </c>
      <c r="Y111" s="73">
        <v>24427.78</v>
      </c>
      <c r="Z111" s="73">
        <v>20877.38</v>
      </c>
      <c r="AA111" s="49">
        <v>15467.59</v>
      </c>
      <c r="AB111" s="49">
        <v>23991.759999999998</v>
      </c>
      <c r="AC111" s="49">
        <v>20974.44</v>
      </c>
      <c r="AD111" s="10">
        <v>27873.94</v>
      </c>
    </row>
    <row r="112" spans="2:30" ht="12" customHeight="1" x14ac:dyDescent="0.25">
      <c r="B112" s="78" t="s">
        <v>137</v>
      </c>
      <c r="C112" s="8" t="s">
        <v>89</v>
      </c>
      <c r="D112" s="73">
        <v>11640.1</v>
      </c>
      <c r="E112" s="73">
        <v>12162.16</v>
      </c>
      <c r="F112" s="73">
        <v>16168.94</v>
      </c>
      <c r="G112" s="73">
        <v>16746.5</v>
      </c>
      <c r="H112" s="73">
        <v>11396.75</v>
      </c>
      <c r="I112" s="73">
        <v>8447.7000000000007</v>
      </c>
      <c r="J112" s="73">
        <v>8675.0300000000007</v>
      </c>
      <c r="K112" s="73">
        <v>4483.13</v>
      </c>
      <c r="L112" s="73">
        <v>4867.3599999999997</v>
      </c>
      <c r="M112" s="73">
        <v>10874.64</v>
      </c>
      <c r="N112" s="73">
        <v>8092.55</v>
      </c>
      <c r="O112" s="73">
        <v>6383.87</v>
      </c>
      <c r="P112" s="73">
        <v>4135.3599999999997</v>
      </c>
      <c r="Q112" s="73">
        <v>5377.33</v>
      </c>
      <c r="R112" s="73">
        <v>5027.32</v>
      </c>
      <c r="S112" s="73">
        <v>4722.1400000000003</v>
      </c>
      <c r="T112" s="73">
        <v>5442.41</v>
      </c>
      <c r="U112" s="73">
        <v>7955.04</v>
      </c>
      <c r="V112" s="73">
        <v>7292.16</v>
      </c>
      <c r="W112" s="73">
        <v>4294.09</v>
      </c>
      <c r="X112" s="73">
        <v>4640.01</v>
      </c>
      <c r="Y112" s="73">
        <v>3027.78</v>
      </c>
      <c r="Z112" s="73">
        <v>3817.57</v>
      </c>
      <c r="AA112" s="49">
        <v>3915.73</v>
      </c>
      <c r="AB112" s="49">
        <v>3979.63</v>
      </c>
      <c r="AC112" s="49">
        <v>3449.42</v>
      </c>
      <c r="AD112" s="10">
        <v>3209.41</v>
      </c>
    </row>
    <row r="113" spans="2:31" ht="12" customHeight="1" x14ac:dyDescent="0.25">
      <c r="B113" s="79" t="s">
        <v>138</v>
      </c>
      <c r="C113" s="8" t="s">
        <v>89</v>
      </c>
      <c r="D113" s="73">
        <v>10998.04</v>
      </c>
      <c r="E113" s="73">
        <v>13492.35</v>
      </c>
      <c r="F113" s="73">
        <v>12034.87</v>
      </c>
      <c r="G113" s="73">
        <v>19916.59</v>
      </c>
      <c r="H113" s="73">
        <v>18754.72</v>
      </c>
      <c r="I113" s="73">
        <v>11907.16</v>
      </c>
      <c r="J113" s="73">
        <v>11992.2</v>
      </c>
      <c r="K113" s="73">
        <v>7862.65</v>
      </c>
      <c r="L113" s="73">
        <v>7180.07</v>
      </c>
      <c r="M113" s="73">
        <v>6581.9</v>
      </c>
      <c r="N113" s="73">
        <v>7310.1</v>
      </c>
      <c r="O113" s="73">
        <v>7286.13</v>
      </c>
      <c r="P113" s="73">
        <v>5442.97</v>
      </c>
      <c r="Q113" s="73">
        <v>5856.31</v>
      </c>
      <c r="R113" s="73">
        <v>4609.71</v>
      </c>
      <c r="S113" s="73">
        <v>7184.51</v>
      </c>
      <c r="T113" s="73">
        <v>6816.62</v>
      </c>
      <c r="U113" s="73">
        <v>9076.06</v>
      </c>
      <c r="V113" s="73">
        <v>9318.81</v>
      </c>
      <c r="W113" s="73">
        <v>9245.5499999999993</v>
      </c>
      <c r="X113" s="73">
        <v>7316.98</v>
      </c>
      <c r="Y113" s="73">
        <v>6726.06</v>
      </c>
      <c r="Z113" s="73">
        <v>4614.75</v>
      </c>
      <c r="AA113" s="49">
        <v>8418.2199999999993</v>
      </c>
      <c r="AB113" s="49">
        <v>7181.15</v>
      </c>
      <c r="AC113" s="49">
        <v>8267.84</v>
      </c>
      <c r="AD113" s="10">
        <v>6412.04</v>
      </c>
    </row>
    <row r="114" spans="2:31" ht="12" customHeight="1" x14ac:dyDescent="0.25">
      <c r="B114" s="77" t="s">
        <v>139</v>
      </c>
      <c r="C114" s="8" t="s">
        <v>89</v>
      </c>
      <c r="D114" s="73">
        <v>5133.3900000000003</v>
      </c>
      <c r="E114" s="73">
        <v>4700.29</v>
      </c>
      <c r="F114" s="73">
        <v>6262.99</v>
      </c>
      <c r="G114" s="73">
        <v>7875.44</v>
      </c>
      <c r="H114" s="73">
        <v>4845.8100000000004</v>
      </c>
      <c r="I114" s="73">
        <v>2696.75</v>
      </c>
      <c r="J114" s="73">
        <v>1662.37</v>
      </c>
      <c r="K114" s="73">
        <v>2327.38</v>
      </c>
      <c r="L114" s="73">
        <v>1793.75</v>
      </c>
      <c r="M114" s="73">
        <v>2415.1799999999998</v>
      </c>
      <c r="N114" s="73">
        <v>2679.54</v>
      </c>
      <c r="O114" s="73">
        <v>2201.16</v>
      </c>
      <c r="P114" s="73">
        <v>1215.8800000000001</v>
      </c>
      <c r="Q114" s="73">
        <v>1449.77</v>
      </c>
      <c r="R114" s="73">
        <v>1022.25</v>
      </c>
      <c r="S114" s="73">
        <v>1227.18</v>
      </c>
      <c r="T114" s="73">
        <v>1356.42</v>
      </c>
      <c r="U114" s="73">
        <v>1373.96</v>
      </c>
      <c r="V114" s="73">
        <v>1019.72</v>
      </c>
      <c r="W114" s="73">
        <v>1601.89</v>
      </c>
      <c r="X114" s="73">
        <v>876.66</v>
      </c>
      <c r="Y114" s="73">
        <v>1094.52</v>
      </c>
      <c r="Z114" s="73">
        <v>949.21</v>
      </c>
      <c r="AA114" s="49">
        <v>1047.23</v>
      </c>
      <c r="AB114" s="49">
        <v>956.95799999999997</v>
      </c>
      <c r="AC114" s="49">
        <v>2076.12</v>
      </c>
      <c r="AD114" s="10">
        <v>1725.23</v>
      </c>
    </row>
    <row r="115" spans="2:31" ht="12" customHeight="1" x14ac:dyDescent="0.25">
      <c r="B115" s="77" t="s">
        <v>140</v>
      </c>
      <c r="C115" s="8" t="s">
        <v>89</v>
      </c>
      <c r="D115" s="73">
        <v>0</v>
      </c>
      <c r="E115" s="73">
        <v>7.37</v>
      </c>
      <c r="F115" s="73">
        <v>5.92</v>
      </c>
      <c r="G115" s="73">
        <v>114.84</v>
      </c>
      <c r="H115" s="73">
        <v>145.4</v>
      </c>
      <c r="I115" s="73">
        <v>18.07</v>
      </c>
      <c r="J115" s="73">
        <v>23.71</v>
      </c>
      <c r="K115" s="73">
        <v>18.95</v>
      </c>
      <c r="L115" s="73">
        <v>43.44</v>
      </c>
      <c r="M115" s="73">
        <v>16.18</v>
      </c>
      <c r="N115" s="73">
        <v>40.04</v>
      </c>
      <c r="O115" s="73">
        <v>14.91</v>
      </c>
      <c r="P115" s="73">
        <v>23.23</v>
      </c>
      <c r="Q115" s="73">
        <v>16.75</v>
      </c>
      <c r="R115" s="73">
        <v>18.41</v>
      </c>
      <c r="S115" s="73">
        <v>18.55</v>
      </c>
      <c r="T115" s="73">
        <v>20.74</v>
      </c>
      <c r="U115" s="73">
        <v>27.55</v>
      </c>
      <c r="V115" s="73">
        <v>27.03</v>
      </c>
      <c r="W115" s="73">
        <v>24.4</v>
      </c>
      <c r="X115" s="73">
        <v>75.27</v>
      </c>
      <c r="Y115" s="73">
        <v>24.04</v>
      </c>
      <c r="Z115" s="73">
        <v>24.5</v>
      </c>
      <c r="AA115" s="49">
        <v>44</v>
      </c>
      <c r="AB115" s="49">
        <v>28.731999999999999</v>
      </c>
      <c r="AC115" s="49">
        <v>68.316999999999993</v>
      </c>
      <c r="AD115" s="10">
        <v>16.100000000000001</v>
      </c>
    </row>
    <row r="116" spans="2:31" ht="12" customHeight="1" x14ac:dyDescent="0.25">
      <c r="B116" s="77" t="s">
        <v>95</v>
      </c>
      <c r="C116" s="8" t="s">
        <v>89</v>
      </c>
      <c r="D116" s="73">
        <v>1480.4</v>
      </c>
      <c r="E116" s="73">
        <v>1611.65</v>
      </c>
      <c r="F116" s="73">
        <v>2175.65</v>
      </c>
      <c r="G116" s="73">
        <v>3528.7</v>
      </c>
      <c r="H116" s="73">
        <v>2073.8000000000002</v>
      </c>
      <c r="I116" s="73">
        <v>2407.36</v>
      </c>
      <c r="J116" s="73">
        <v>2245.64</v>
      </c>
      <c r="K116" s="73">
        <v>1269.18</v>
      </c>
      <c r="L116" s="73">
        <v>1388.01</v>
      </c>
      <c r="M116" s="73">
        <v>1690.94</v>
      </c>
      <c r="N116" s="73">
        <v>1862.49</v>
      </c>
      <c r="O116" s="73">
        <v>1234.05</v>
      </c>
      <c r="P116" s="73">
        <v>1698.83</v>
      </c>
      <c r="Q116" s="73">
        <v>926.11</v>
      </c>
      <c r="R116" s="73">
        <v>921.52</v>
      </c>
      <c r="S116" s="73">
        <v>1723.13</v>
      </c>
      <c r="T116" s="73">
        <v>1992.81</v>
      </c>
      <c r="U116" s="73">
        <v>1747.69</v>
      </c>
      <c r="V116" s="73">
        <v>1350.01</v>
      </c>
      <c r="W116" s="73">
        <v>1727.05</v>
      </c>
      <c r="X116" s="73">
        <v>1779.83</v>
      </c>
      <c r="Y116" s="73">
        <v>1168.2</v>
      </c>
      <c r="Z116" s="73">
        <v>1206.72</v>
      </c>
      <c r="AA116" s="49">
        <v>852.22199999999998</v>
      </c>
      <c r="AB116" s="49">
        <v>928.71699999999998</v>
      </c>
      <c r="AC116" s="49">
        <v>1560.51</v>
      </c>
      <c r="AD116" s="10">
        <v>1692.55</v>
      </c>
    </row>
    <row r="117" spans="2:31" ht="12" customHeight="1" x14ac:dyDescent="0.25">
      <c r="B117" s="93" t="s">
        <v>13</v>
      </c>
      <c r="C117" s="22" t="s">
        <v>89</v>
      </c>
      <c r="D117" s="60">
        <v>51601.66</v>
      </c>
      <c r="E117" s="60">
        <v>49877.71</v>
      </c>
      <c r="F117" s="60">
        <v>62694.87</v>
      </c>
      <c r="G117" s="60">
        <v>78942.460000000006</v>
      </c>
      <c r="H117" s="60">
        <v>67912.479999999996</v>
      </c>
      <c r="I117" s="60">
        <v>46830.879999999997</v>
      </c>
      <c r="J117" s="60">
        <v>42470.6</v>
      </c>
      <c r="K117" s="60">
        <v>28704.01</v>
      </c>
      <c r="L117" s="60">
        <v>32601.42</v>
      </c>
      <c r="M117" s="60">
        <v>31960.18</v>
      </c>
      <c r="N117" s="60">
        <v>38895.06</v>
      </c>
      <c r="O117" s="60">
        <v>30139.52</v>
      </c>
      <c r="P117" s="60">
        <v>30917.03</v>
      </c>
      <c r="Q117" s="60">
        <v>28034.59</v>
      </c>
      <c r="R117" s="60">
        <v>24841.5</v>
      </c>
      <c r="S117" s="60">
        <v>31215.84</v>
      </c>
      <c r="T117" s="60">
        <v>34974.75</v>
      </c>
      <c r="U117" s="60">
        <v>48754.69</v>
      </c>
      <c r="V117" s="60">
        <v>35673.71</v>
      </c>
      <c r="W117" s="60">
        <v>38401.480000000003</v>
      </c>
      <c r="X117" s="60">
        <v>32078.080000000002</v>
      </c>
      <c r="Y117" s="60">
        <v>39789.67</v>
      </c>
      <c r="Z117" s="60">
        <v>35647.08</v>
      </c>
      <c r="AA117" s="49">
        <v>34684.660000000003</v>
      </c>
      <c r="AB117" s="49">
        <v>40147.599999999999</v>
      </c>
      <c r="AC117" s="49">
        <v>38605.56</v>
      </c>
      <c r="AD117" s="10">
        <v>43083.74</v>
      </c>
    </row>
    <row r="118" spans="2:31" ht="12" customHeight="1" x14ac:dyDescent="0.25">
      <c r="B118" s="95" t="s">
        <v>22</v>
      </c>
      <c r="C118" s="22" t="s">
        <v>89</v>
      </c>
      <c r="D118" s="60">
        <v>56873.95</v>
      </c>
      <c r="E118" s="60">
        <v>56516.9</v>
      </c>
      <c r="F118" s="60">
        <v>62134.09</v>
      </c>
      <c r="G118" s="60">
        <v>72431.990000000005</v>
      </c>
      <c r="H118" s="60">
        <v>77840.009999999995</v>
      </c>
      <c r="I118" s="60">
        <v>38155.68</v>
      </c>
      <c r="J118" s="60">
        <v>43807.23</v>
      </c>
      <c r="K118" s="60">
        <v>37524.769999999997</v>
      </c>
      <c r="L118" s="60">
        <v>40975.35</v>
      </c>
      <c r="M118" s="60">
        <v>44567.63</v>
      </c>
      <c r="N118" s="60">
        <v>45341.35</v>
      </c>
      <c r="O118" s="60">
        <v>24220.46</v>
      </c>
      <c r="P118" s="60">
        <v>30551.39</v>
      </c>
      <c r="Q118" s="60">
        <v>40603.31</v>
      </c>
      <c r="R118" s="60">
        <v>38365.69</v>
      </c>
      <c r="S118" s="60">
        <v>39476.68</v>
      </c>
      <c r="T118" s="60">
        <v>36807.42</v>
      </c>
      <c r="U118" s="60">
        <v>35874.75</v>
      </c>
      <c r="V118" s="60">
        <v>38543.96</v>
      </c>
      <c r="W118" s="60">
        <v>39734.910000000003</v>
      </c>
      <c r="X118" s="60">
        <v>43424.71</v>
      </c>
      <c r="Y118" s="60">
        <v>41268.019999999997</v>
      </c>
      <c r="Z118" s="60">
        <v>35489.629999999997</v>
      </c>
      <c r="AA118" s="49">
        <v>35447.019999999997</v>
      </c>
      <c r="AB118" s="49">
        <v>32571</v>
      </c>
      <c r="AC118" s="49">
        <v>46871.69</v>
      </c>
      <c r="AD118" s="10">
        <v>39382.949999999997</v>
      </c>
      <c r="AE118" s="312"/>
    </row>
    <row r="119" spans="2:31" ht="12.75" customHeight="1" x14ac:dyDescent="0.25">
      <c r="B119" s="386" t="s">
        <v>141</v>
      </c>
      <c r="C119" s="386"/>
      <c r="D119" s="386"/>
      <c r="E119" s="386"/>
      <c r="F119" s="386"/>
      <c r="G119" s="386"/>
      <c r="H119" s="386"/>
      <c r="I119" s="386"/>
      <c r="J119" s="386"/>
      <c r="K119" s="386"/>
      <c r="L119" s="386"/>
      <c r="M119" s="386"/>
      <c r="N119" s="386"/>
      <c r="O119" s="386"/>
      <c r="P119" s="386"/>
      <c r="Q119" s="386"/>
      <c r="R119" s="386"/>
      <c r="S119" s="386"/>
      <c r="T119" s="386"/>
      <c r="U119" s="386"/>
      <c r="V119" s="386"/>
      <c r="W119" s="386"/>
      <c r="X119" s="386"/>
      <c r="Y119" s="386"/>
      <c r="Z119" s="387"/>
      <c r="AA119" s="80"/>
      <c r="AB119" s="80"/>
      <c r="AC119" s="80"/>
      <c r="AD119" s="80"/>
    </row>
    <row r="120" spans="2:31" ht="12" customHeight="1" x14ac:dyDescent="0.25">
      <c r="B120" s="77" t="s">
        <v>142</v>
      </c>
      <c r="C120" s="8" t="s">
        <v>89</v>
      </c>
      <c r="D120" s="73">
        <v>24.25</v>
      </c>
      <c r="E120" s="73">
        <v>54.11</v>
      </c>
      <c r="F120" s="73">
        <v>231.27</v>
      </c>
      <c r="G120" s="73">
        <v>124.35</v>
      </c>
      <c r="H120" s="73">
        <v>148.05000000000001</v>
      </c>
      <c r="I120" s="73">
        <v>91.02</v>
      </c>
      <c r="J120" s="73">
        <v>31.35</v>
      </c>
      <c r="K120" s="73">
        <v>13</v>
      </c>
      <c r="L120" s="73">
        <v>22.7</v>
      </c>
      <c r="M120" s="73">
        <v>20.38</v>
      </c>
      <c r="N120" s="73" t="s">
        <v>24</v>
      </c>
      <c r="O120" s="73" t="s">
        <v>24</v>
      </c>
      <c r="P120" s="73" t="s">
        <v>24</v>
      </c>
      <c r="Q120" s="73" t="s">
        <v>24</v>
      </c>
      <c r="R120" s="73" t="s">
        <v>24</v>
      </c>
      <c r="S120" s="73" t="s">
        <v>24</v>
      </c>
      <c r="T120" s="73" t="s">
        <v>24</v>
      </c>
      <c r="U120" s="73" t="s">
        <v>24</v>
      </c>
      <c r="V120" s="73" t="s">
        <v>24</v>
      </c>
      <c r="W120" s="73" t="s">
        <v>24</v>
      </c>
      <c r="X120" s="73" t="s">
        <v>24</v>
      </c>
      <c r="Y120" s="73" t="s">
        <v>24</v>
      </c>
      <c r="Z120" s="73" t="s">
        <v>24</v>
      </c>
      <c r="AA120" s="49" t="s">
        <v>24</v>
      </c>
      <c r="AB120" s="49" t="s">
        <v>24</v>
      </c>
      <c r="AC120" s="49" t="s">
        <v>24</v>
      </c>
      <c r="AD120" s="49" t="s">
        <v>24</v>
      </c>
    </row>
    <row r="121" spans="2:31" ht="12" customHeight="1" x14ac:dyDescent="0.25">
      <c r="B121" s="77" t="s">
        <v>135</v>
      </c>
      <c r="C121" s="8" t="s">
        <v>89</v>
      </c>
      <c r="D121" s="73">
        <v>0.57999999999999996</v>
      </c>
      <c r="E121" s="73">
        <v>622.41</v>
      </c>
      <c r="F121" s="73">
        <v>0.16</v>
      </c>
      <c r="G121" s="73">
        <v>0.15</v>
      </c>
      <c r="H121" s="73">
        <v>0.1</v>
      </c>
      <c r="I121" s="73">
        <v>0.1</v>
      </c>
      <c r="J121" s="73" t="s">
        <v>24</v>
      </c>
      <c r="K121" s="73">
        <v>0.01</v>
      </c>
      <c r="L121" s="73" t="s">
        <v>24</v>
      </c>
      <c r="M121" s="73" t="s">
        <v>24</v>
      </c>
      <c r="N121" s="73" t="s">
        <v>24</v>
      </c>
      <c r="O121" s="73" t="s">
        <v>24</v>
      </c>
      <c r="P121" s="73" t="s">
        <v>24</v>
      </c>
      <c r="Q121" s="73" t="s">
        <v>24</v>
      </c>
      <c r="R121" s="73" t="s">
        <v>24</v>
      </c>
      <c r="S121" s="73" t="s">
        <v>24</v>
      </c>
      <c r="T121" s="73" t="s">
        <v>24</v>
      </c>
      <c r="U121" s="73" t="s">
        <v>24</v>
      </c>
      <c r="V121" s="73" t="s">
        <v>24</v>
      </c>
      <c r="W121" s="73" t="s">
        <v>24</v>
      </c>
      <c r="X121" s="73" t="s">
        <v>24</v>
      </c>
      <c r="Y121" s="73" t="s">
        <v>24</v>
      </c>
      <c r="Z121" s="73" t="s">
        <v>24</v>
      </c>
      <c r="AA121" s="49" t="s">
        <v>24</v>
      </c>
      <c r="AB121" s="49" t="s">
        <v>24</v>
      </c>
      <c r="AC121" s="49" t="s">
        <v>24</v>
      </c>
      <c r="AD121" s="49" t="s">
        <v>24</v>
      </c>
    </row>
    <row r="122" spans="2:31" ht="12" customHeight="1" x14ac:dyDescent="0.25">
      <c r="B122" s="77" t="s">
        <v>136</v>
      </c>
      <c r="C122" s="8" t="s">
        <v>89</v>
      </c>
      <c r="D122" s="73">
        <v>3550.9</v>
      </c>
      <c r="E122" s="73">
        <v>4803.8900000000003</v>
      </c>
      <c r="F122" s="73">
        <v>8845.36</v>
      </c>
      <c r="G122" s="73">
        <v>3863.9</v>
      </c>
      <c r="H122" s="73">
        <v>2374.7600000000002</v>
      </c>
      <c r="I122" s="73">
        <v>951.33</v>
      </c>
      <c r="J122" s="73">
        <v>424.22</v>
      </c>
      <c r="K122" s="73">
        <v>316.81</v>
      </c>
      <c r="L122" s="73">
        <v>183.94</v>
      </c>
      <c r="M122" s="73">
        <v>80.91</v>
      </c>
      <c r="N122" s="73" t="s">
        <v>24</v>
      </c>
      <c r="O122" s="73" t="s">
        <v>24</v>
      </c>
      <c r="P122" s="73" t="s">
        <v>24</v>
      </c>
      <c r="Q122" s="73" t="s">
        <v>24</v>
      </c>
      <c r="R122" s="73" t="s">
        <v>24</v>
      </c>
      <c r="S122" s="73" t="s">
        <v>24</v>
      </c>
      <c r="T122" s="73" t="s">
        <v>24</v>
      </c>
      <c r="U122" s="73" t="s">
        <v>24</v>
      </c>
      <c r="V122" s="73" t="s">
        <v>24</v>
      </c>
      <c r="W122" s="73" t="s">
        <v>24</v>
      </c>
      <c r="X122" s="73" t="s">
        <v>24</v>
      </c>
      <c r="Y122" s="73" t="s">
        <v>24</v>
      </c>
      <c r="Z122" s="73" t="s">
        <v>24</v>
      </c>
      <c r="AA122" s="49" t="s">
        <v>24</v>
      </c>
      <c r="AB122" s="49" t="s">
        <v>24</v>
      </c>
      <c r="AC122" s="49" t="s">
        <v>24</v>
      </c>
      <c r="AD122" s="49" t="s">
        <v>24</v>
      </c>
    </row>
    <row r="123" spans="2:31" ht="12" customHeight="1" x14ac:dyDescent="0.25">
      <c r="B123" s="77" t="s">
        <v>137</v>
      </c>
      <c r="C123" s="8" t="s">
        <v>89</v>
      </c>
      <c r="D123" s="73">
        <v>2650.02</v>
      </c>
      <c r="E123" s="73">
        <v>9121.9500000000007</v>
      </c>
      <c r="F123" s="73">
        <v>5945.72</v>
      </c>
      <c r="G123" s="73">
        <v>6130.44</v>
      </c>
      <c r="H123" s="73">
        <v>3416.75</v>
      </c>
      <c r="I123" s="73">
        <v>1699.03</v>
      </c>
      <c r="J123" s="73">
        <v>651.41</v>
      </c>
      <c r="K123" s="73">
        <v>485.79</v>
      </c>
      <c r="L123" s="73">
        <v>439.04</v>
      </c>
      <c r="M123" s="73">
        <v>365</v>
      </c>
      <c r="N123" s="73" t="s">
        <v>24</v>
      </c>
      <c r="O123" s="73" t="s">
        <v>24</v>
      </c>
      <c r="P123" s="73" t="s">
        <v>24</v>
      </c>
      <c r="Q123" s="73" t="s">
        <v>24</v>
      </c>
      <c r="R123" s="73" t="s">
        <v>24</v>
      </c>
      <c r="S123" s="73" t="s">
        <v>24</v>
      </c>
      <c r="T123" s="73" t="s">
        <v>24</v>
      </c>
      <c r="U123" s="73" t="s">
        <v>24</v>
      </c>
      <c r="V123" s="73" t="s">
        <v>24</v>
      </c>
      <c r="W123" s="73" t="s">
        <v>24</v>
      </c>
      <c r="X123" s="73" t="s">
        <v>24</v>
      </c>
      <c r="Y123" s="73" t="s">
        <v>24</v>
      </c>
      <c r="Z123" s="73" t="s">
        <v>24</v>
      </c>
      <c r="AA123" s="49" t="s">
        <v>24</v>
      </c>
      <c r="AB123" s="49" t="s">
        <v>24</v>
      </c>
      <c r="AC123" s="49" t="s">
        <v>24</v>
      </c>
      <c r="AD123" s="49" t="s">
        <v>24</v>
      </c>
    </row>
    <row r="124" spans="2:31" ht="12" customHeight="1" x14ac:dyDescent="0.25">
      <c r="B124" s="77" t="s">
        <v>143</v>
      </c>
      <c r="C124" s="8" t="s">
        <v>89</v>
      </c>
      <c r="D124" s="73">
        <v>28.11</v>
      </c>
      <c r="E124" s="73">
        <v>28.02</v>
      </c>
      <c r="F124" s="73">
        <v>12.7</v>
      </c>
      <c r="G124" s="73">
        <v>63.49</v>
      </c>
      <c r="H124" s="73">
        <v>103.49</v>
      </c>
      <c r="I124" s="73">
        <v>24.27</v>
      </c>
      <c r="J124" s="73">
        <v>101.33</v>
      </c>
      <c r="K124" s="73">
        <v>44.05</v>
      </c>
      <c r="L124" s="73" t="s">
        <v>24</v>
      </c>
      <c r="M124" s="73" t="s">
        <v>24</v>
      </c>
      <c r="N124" s="73" t="s">
        <v>24</v>
      </c>
      <c r="O124" s="73" t="s">
        <v>24</v>
      </c>
      <c r="P124" s="73" t="s">
        <v>24</v>
      </c>
      <c r="Q124" s="73" t="s">
        <v>24</v>
      </c>
      <c r="R124" s="73" t="s">
        <v>24</v>
      </c>
      <c r="S124" s="73" t="s">
        <v>24</v>
      </c>
      <c r="T124" s="73" t="s">
        <v>24</v>
      </c>
      <c r="U124" s="73" t="s">
        <v>24</v>
      </c>
      <c r="V124" s="73" t="s">
        <v>24</v>
      </c>
      <c r="W124" s="73" t="s">
        <v>24</v>
      </c>
      <c r="X124" s="73" t="s">
        <v>24</v>
      </c>
      <c r="Y124" s="73" t="s">
        <v>24</v>
      </c>
      <c r="Z124" s="73" t="s">
        <v>24</v>
      </c>
      <c r="AA124" s="49" t="s">
        <v>24</v>
      </c>
      <c r="AB124" s="49" t="s">
        <v>24</v>
      </c>
      <c r="AC124" s="49" t="s">
        <v>24</v>
      </c>
      <c r="AD124" s="49" t="s">
        <v>24</v>
      </c>
    </row>
    <row r="125" spans="2:31" ht="12" customHeight="1" x14ac:dyDescent="0.25">
      <c r="B125" s="77" t="s">
        <v>144</v>
      </c>
      <c r="C125" s="8" t="s">
        <v>89</v>
      </c>
      <c r="D125" s="73">
        <v>3477.13</v>
      </c>
      <c r="E125" s="73">
        <v>14130.47</v>
      </c>
      <c r="F125" s="73">
        <v>17198.12</v>
      </c>
      <c r="G125" s="73">
        <v>21244.98</v>
      </c>
      <c r="H125" s="73">
        <v>13672.43</v>
      </c>
      <c r="I125" s="73">
        <v>5271.26</v>
      </c>
      <c r="J125" s="73">
        <v>2312.3000000000002</v>
      </c>
      <c r="K125" s="73">
        <v>1859.33</v>
      </c>
      <c r="L125" s="73">
        <v>1516.73</v>
      </c>
      <c r="M125" s="73">
        <v>1167.93</v>
      </c>
      <c r="N125" s="73" t="s">
        <v>24</v>
      </c>
      <c r="O125" s="73" t="s">
        <v>24</v>
      </c>
      <c r="P125" s="73" t="s">
        <v>24</v>
      </c>
      <c r="Q125" s="73" t="s">
        <v>24</v>
      </c>
      <c r="R125" s="73" t="s">
        <v>24</v>
      </c>
      <c r="S125" s="73" t="s">
        <v>24</v>
      </c>
      <c r="T125" s="73" t="s">
        <v>24</v>
      </c>
      <c r="U125" s="73" t="s">
        <v>24</v>
      </c>
      <c r="V125" s="73" t="s">
        <v>24</v>
      </c>
      <c r="W125" s="73" t="s">
        <v>24</v>
      </c>
      <c r="X125" s="73" t="s">
        <v>24</v>
      </c>
      <c r="Y125" s="73" t="s">
        <v>24</v>
      </c>
      <c r="Z125" s="73" t="s">
        <v>24</v>
      </c>
      <c r="AA125" s="49" t="s">
        <v>24</v>
      </c>
      <c r="AB125" s="49" t="s">
        <v>24</v>
      </c>
      <c r="AC125" s="49" t="s">
        <v>24</v>
      </c>
      <c r="AD125" s="49" t="s">
        <v>24</v>
      </c>
    </row>
    <row r="126" spans="2:31" ht="12" customHeight="1" x14ac:dyDescent="0.25">
      <c r="B126" s="77" t="s">
        <v>95</v>
      </c>
      <c r="C126" s="8" t="s">
        <v>89</v>
      </c>
      <c r="D126" s="73">
        <v>237.02</v>
      </c>
      <c r="E126" s="73">
        <v>300.27999999999997</v>
      </c>
      <c r="F126" s="73">
        <v>495.8</v>
      </c>
      <c r="G126" s="73">
        <v>398.64</v>
      </c>
      <c r="H126" s="73">
        <v>282.2</v>
      </c>
      <c r="I126" s="73">
        <v>163.68</v>
      </c>
      <c r="J126" s="73">
        <v>63.49</v>
      </c>
      <c r="K126" s="73">
        <v>30.42</v>
      </c>
      <c r="L126" s="73">
        <v>37.24</v>
      </c>
      <c r="M126" s="73">
        <v>21.5</v>
      </c>
      <c r="N126" s="73" t="s">
        <v>24</v>
      </c>
      <c r="O126" s="73" t="s">
        <v>24</v>
      </c>
      <c r="P126" s="73" t="s">
        <v>24</v>
      </c>
      <c r="Q126" s="73" t="s">
        <v>24</v>
      </c>
      <c r="R126" s="73" t="s">
        <v>24</v>
      </c>
      <c r="S126" s="73" t="s">
        <v>24</v>
      </c>
      <c r="T126" s="73" t="s">
        <v>24</v>
      </c>
      <c r="U126" s="73" t="s">
        <v>24</v>
      </c>
      <c r="V126" s="73" t="s">
        <v>24</v>
      </c>
      <c r="W126" s="73" t="s">
        <v>24</v>
      </c>
      <c r="X126" s="73" t="s">
        <v>24</v>
      </c>
      <c r="Y126" s="73" t="s">
        <v>24</v>
      </c>
      <c r="Z126" s="73" t="s">
        <v>24</v>
      </c>
      <c r="AA126" s="49" t="s">
        <v>24</v>
      </c>
      <c r="AB126" s="49" t="s">
        <v>24</v>
      </c>
      <c r="AC126" s="49" t="s">
        <v>24</v>
      </c>
      <c r="AD126" s="49" t="s">
        <v>24</v>
      </c>
    </row>
    <row r="127" spans="2:31" ht="12" customHeight="1" x14ac:dyDescent="0.25">
      <c r="B127" s="93" t="s">
        <v>13</v>
      </c>
      <c r="C127" s="22" t="s">
        <v>89</v>
      </c>
      <c r="D127" s="60">
        <v>9968.01</v>
      </c>
      <c r="E127" s="60">
        <v>29061.13</v>
      </c>
      <c r="F127" s="60">
        <v>32729.13</v>
      </c>
      <c r="G127" s="60">
        <v>31825.95</v>
      </c>
      <c r="H127" s="60">
        <v>19997.78</v>
      </c>
      <c r="I127" s="60">
        <v>8200.69</v>
      </c>
      <c r="J127" s="60">
        <v>3584.1</v>
      </c>
      <c r="K127" s="60">
        <v>2749.41</v>
      </c>
      <c r="L127" s="60">
        <v>2199.65</v>
      </c>
      <c r="M127" s="60">
        <v>1655.72</v>
      </c>
      <c r="N127" s="60" t="s">
        <v>24</v>
      </c>
      <c r="O127" s="60" t="s">
        <v>24</v>
      </c>
      <c r="P127" s="60" t="s">
        <v>24</v>
      </c>
      <c r="Q127" s="60" t="s">
        <v>24</v>
      </c>
      <c r="R127" s="60" t="s">
        <v>24</v>
      </c>
      <c r="S127" s="60" t="s">
        <v>24</v>
      </c>
      <c r="T127" s="60" t="s">
        <v>24</v>
      </c>
      <c r="U127" s="60" t="s">
        <v>24</v>
      </c>
      <c r="V127" s="60" t="s">
        <v>24</v>
      </c>
      <c r="W127" s="60" t="s">
        <v>24</v>
      </c>
      <c r="X127" s="60" t="s">
        <v>24</v>
      </c>
      <c r="Y127" s="60" t="s">
        <v>24</v>
      </c>
      <c r="Z127" s="60" t="s">
        <v>24</v>
      </c>
      <c r="AA127" s="49" t="s">
        <v>24</v>
      </c>
      <c r="AB127" s="49" t="s">
        <v>24</v>
      </c>
      <c r="AC127" s="49" t="s">
        <v>24</v>
      </c>
      <c r="AD127" s="49" t="s">
        <v>24</v>
      </c>
    </row>
    <row r="128" spans="2:31" ht="12" customHeight="1" x14ac:dyDescent="0.25">
      <c r="B128" s="95" t="s">
        <v>25</v>
      </c>
      <c r="C128" s="22" t="s">
        <v>89</v>
      </c>
      <c r="D128" s="60">
        <v>1725.62</v>
      </c>
      <c r="E128" s="60" t="s">
        <v>24</v>
      </c>
      <c r="F128" s="60" t="s">
        <v>24</v>
      </c>
      <c r="G128" s="60" t="s">
        <v>24</v>
      </c>
      <c r="H128" s="60">
        <v>694.29</v>
      </c>
      <c r="I128" s="60">
        <v>1474.52</v>
      </c>
      <c r="J128" s="60">
        <v>386.84</v>
      </c>
      <c r="K128" s="60">
        <v>191.36</v>
      </c>
      <c r="L128" s="60" t="s">
        <v>24</v>
      </c>
      <c r="M128" s="60" t="s">
        <v>24</v>
      </c>
      <c r="N128" s="60">
        <v>1163.3399999999999</v>
      </c>
      <c r="O128" s="60">
        <v>3743.6</v>
      </c>
      <c r="P128" s="60">
        <v>2945.91</v>
      </c>
      <c r="Q128" s="60">
        <v>1026.81</v>
      </c>
      <c r="R128" s="60">
        <v>502.23</v>
      </c>
      <c r="S128" s="60">
        <v>546.17999999999995</v>
      </c>
      <c r="T128" s="60">
        <v>2761.49</v>
      </c>
      <c r="U128" s="60">
        <v>4610.1099999999997</v>
      </c>
      <c r="V128" s="60">
        <v>5998.46</v>
      </c>
      <c r="W128" s="60">
        <v>6715.12</v>
      </c>
      <c r="X128" s="60">
        <v>6334.38</v>
      </c>
      <c r="Y128" s="60">
        <v>5340.25</v>
      </c>
      <c r="Z128" s="60">
        <v>4688.68</v>
      </c>
      <c r="AA128" s="49">
        <v>4437.87</v>
      </c>
      <c r="AB128" s="49">
        <v>1257.25</v>
      </c>
      <c r="AC128" s="49">
        <v>4046.12</v>
      </c>
      <c r="AD128" s="10">
        <v>2746.23</v>
      </c>
    </row>
    <row r="129" spans="2:31" ht="12" customHeight="1" x14ac:dyDescent="0.25">
      <c r="B129" s="95" t="s">
        <v>26</v>
      </c>
      <c r="C129" s="22" t="s">
        <v>89</v>
      </c>
      <c r="D129" s="60">
        <v>1957.2</v>
      </c>
      <c r="E129" s="60">
        <v>443.51</v>
      </c>
      <c r="F129" s="60">
        <v>2858.1</v>
      </c>
      <c r="G129" s="60">
        <v>735.71</v>
      </c>
      <c r="H129" s="60">
        <v>1158.32</v>
      </c>
      <c r="I129" s="60">
        <v>1889.42</v>
      </c>
      <c r="J129" s="60">
        <v>1907.35</v>
      </c>
      <c r="K129" s="60">
        <v>886.85</v>
      </c>
      <c r="L129" s="60">
        <v>1042.08</v>
      </c>
      <c r="M129" s="60">
        <v>232.02</v>
      </c>
      <c r="N129" s="60">
        <v>461</v>
      </c>
      <c r="O129" s="60">
        <v>93</v>
      </c>
      <c r="P129" s="60">
        <v>1657</v>
      </c>
      <c r="Q129" s="60">
        <v>2075</v>
      </c>
      <c r="R129" s="60">
        <v>242</v>
      </c>
      <c r="S129" s="60" t="s">
        <v>24</v>
      </c>
      <c r="T129" s="60">
        <v>890</v>
      </c>
      <c r="U129" s="60">
        <v>1035</v>
      </c>
      <c r="V129" s="60">
        <v>572</v>
      </c>
      <c r="W129" s="60">
        <v>2699</v>
      </c>
      <c r="X129" s="60">
        <v>1002</v>
      </c>
      <c r="Y129" s="60">
        <v>350</v>
      </c>
      <c r="Z129" s="60">
        <v>1607</v>
      </c>
      <c r="AA129" s="49">
        <v>621</v>
      </c>
      <c r="AB129" s="49">
        <v>2728</v>
      </c>
      <c r="AC129" s="49">
        <v>3631</v>
      </c>
      <c r="AD129" s="10">
        <v>3137.5</v>
      </c>
    </row>
    <row r="130" spans="2:31" ht="12" customHeight="1" x14ac:dyDescent="0.25">
      <c r="B130" s="95" t="s">
        <v>153</v>
      </c>
      <c r="C130" s="22" t="s">
        <v>89</v>
      </c>
      <c r="D130" s="60">
        <v>53262</v>
      </c>
      <c r="E130" s="60">
        <v>29918</v>
      </c>
      <c r="F130" s="60">
        <v>26474</v>
      </c>
      <c r="G130" s="60">
        <v>31019</v>
      </c>
      <c r="H130" s="60">
        <v>32137</v>
      </c>
      <c r="I130" s="60">
        <v>46085</v>
      </c>
      <c r="J130" s="60">
        <v>37942</v>
      </c>
      <c r="K130" s="60">
        <v>26605</v>
      </c>
      <c r="L130" s="60">
        <v>32648</v>
      </c>
      <c r="M130" s="60">
        <v>28088</v>
      </c>
      <c r="N130" s="60">
        <v>43916</v>
      </c>
      <c r="O130" s="60">
        <v>52527</v>
      </c>
      <c r="P130" s="60">
        <v>42497</v>
      </c>
      <c r="Q130" s="60">
        <v>64739</v>
      </c>
      <c r="R130" s="60">
        <v>67404</v>
      </c>
      <c r="S130" s="60">
        <v>51806</v>
      </c>
      <c r="T130" s="60">
        <v>75160</v>
      </c>
      <c r="U130" s="60">
        <v>127201</v>
      </c>
      <c r="V130" s="60">
        <v>103258</v>
      </c>
      <c r="W130" s="60">
        <v>107324</v>
      </c>
      <c r="X130" s="60">
        <v>117893</v>
      </c>
      <c r="Y130" s="60">
        <v>161984</v>
      </c>
      <c r="Z130" s="60">
        <v>90069</v>
      </c>
      <c r="AA130" s="49">
        <v>127469</v>
      </c>
      <c r="AB130" s="49">
        <v>106691</v>
      </c>
      <c r="AC130" s="49">
        <v>120708</v>
      </c>
      <c r="AD130" s="10">
        <v>120437.6</v>
      </c>
    </row>
    <row r="131" spans="2:31" ht="12.75" customHeight="1" thickBot="1" x14ac:dyDescent="0.3">
      <c r="B131" s="96" t="s">
        <v>58</v>
      </c>
      <c r="C131" s="97" t="s">
        <v>89</v>
      </c>
      <c r="D131" s="66">
        <v>408076</v>
      </c>
      <c r="E131" s="66">
        <v>401661</v>
      </c>
      <c r="F131" s="66">
        <v>476748</v>
      </c>
      <c r="G131" s="66">
        <v>481110</v>
      </c>
      <c r="H131" s="66">
        <v>414847</v>
      </c>
      <c r="I131" s="66">
        <v>341950</v>
      </c>
      <c r="J131" s="66">
        <v>329970</v>
      </c>
      <c r="K131" s="66">
        <v>278025</v>
      </c>
      <c r="L131" s="66">
        <v>294190</v>
      </c>
      <c r="M131" s="66">
        <v>288932</v>
      </c>
      <c r="N131" s="66">
        <v>314693</v>
      </c>
      <c r="O131" s="66">
        <v>305995</v>
      </c>
      <c r="P131" s="66">
        <v>320811</v>
      </c>
      <c r="Q131" s="66">
        <v>308244</v>
      </c>
      <c r="R131" s="66">
        <v>317814</v>
      </c>
      <c r="S131" s="66">
        <v>340453</v>
      </c>
      <c r="T131" s="66">
        <v>350276</v>
      </c>
      <c r="U131" s="66">
        <v>438829</v>
      </c>
      <c r="V131" s="66">
        <v>403350</v>
      </c>
      <c r="W131" s="66">
        <v>390078</v>
      </c>
      <c r="X131" s="66">
        <v>436969</v>
      </c>
      <c r="Y131" s="66">
        <v>438379</v>
      </c>
      <c r="Z131" s="66">
        <v>373625</v>
      </c>
      <c r="AA131" s="54">
        <v>437012</v>
      </c>
      <c r="AB131" s="55">
        <v>411782</v>
      </c>
      <c r="AC131" s="55">
        <v>402733</v>
      </c>
      <c r="AD131" s="298">
        <v>399321.13</v>
      </c>
      <c r="AE131" s="312"/>
    </row>
    <row r="132" spans="2:31" ht="13.5" customHeight="1" thickTop="1" x14ac:dyDescent="0.25">
      <c r="B132" s="388" t="s">
        <v>59</v>
      </c>
      <c r="C132" s="388"/>
      <c r="D132" s="388"/>
      <c r="E132" s="388"/>
      <c r="F132" s="388"/>
      <c r="G132" s="388"/>
      <c r="H132" s="388"/>
      <c r="I132" s="388"/>
      <c r="J132" s="388"/>
      <c r="K132" s="388"/>
      <c r="L132" s="388"/>
      <c r="M132" s="388"/>
      <c r="N132" s="388"/>
      <c r="O132" s="388"/>
      <c r="P132" s="388"/>
      <c r="Q132" s="388"/>
      <c r="R132" s="388"/>
      <c r="S132" s="388"/>
      <c r="T132" s="388"/>
      <c r="U132" s="388"/>
      <c r="V132" s="388"/>
      <c r="W132" s="388"/>
      <c r="X132" s="388"/>
      <c r="Y132" s="388"/>
      <c r="Z132" s="388"/>
      <c r="AA132" s="48"/>
      <c r="AB132" s="48"/>
      <c r="AC132" s="48"/>
      <c r="AD132" s="48"/>
    </row>
    <row r="133" spans="2:31" ht="11.1" customHeight="1" x14ac:dyDescent="0.25">
      <c r="B133" s="382" t="s">
        <v>15</v>
      </c>
      <c r="C133" s="382"/>
      <c r="D133" s="382"/>
      <c r="E133" s="382"/>
      <c r="F133" s="382"/>
      <c r="G133" s="382"/>
      <c r="H133" s="382"/>
      <c r="I133" s="382"/>
      <c r="J133" s="382"/>
      <c r="K133" s="382"/>
      <c r="L133" s="382"/>
      <c r="M133" s="382"/>
      <c r="N133" s="382"/>
      <c r="O133" s="382"/>
      <c r="P133" s="382"/>
      <c r="Q133" s="382"/>
      <c r="R133" s="382"/>
      <c r="S133" s="382"/>
      <c r="T133" s="382"/>
      <c r="U133" s="382"/>
      <c r="V133" s="382"/>
      <c r="W133" s="382"/>
      <c r="X133" s="382"/>
      <c r="Y133" s="382"/>
      <c r="Z133" s="382"/>
      <c r="AA133" s="48"/>
      <c r="AB133" s="48"/>
      <c r="AC133" s="48"/>
      <c r="AD133" s="48"/>
    </row>
    <row r="134" spans="2:31" ht="11.1" customHeight="1" x14ac:dyDescent="0.25">
      <c r="B134" s="389" t="s">
        <v>87</v>
      </c>
      <c r="C134" s="389"/>
      <c r="D134" s="389"/>
      <c r="E134" s="389"/>
      <c r="F134" s="389"/>
      <c r="G134" s="389"/>
      <c r="H134" s="389"/>
      <c r="I134" s="389"/>
      <c r="J134" s="389"/>
      <c r="K134" s="389"/>
      <c r="L134" s="389"/>
      <c r="M134" s="389"/>
      <c r="N134" s="389"/>
      <c r="O134" s="389"/>
      <c r="P134" s="389"/>
      <c r="Q134" s="389"/>
      <c r="R134" s="389"/>
      <c r="S134" s="389"/>
      <c r="T134" s="389"/>
      <c r="U134" s="389"/>
      <c r="V134" s="389"/>
      <c r="W134" s="389"/>
      <c r="X134" s="389"/>
      <c r="Y134" s="389"/>
      <c r="Z134" s="390"/>
      <c r="AA134" s="48"/>
      <c r="AB134" s="48"/>
      <c r="AC134" s="48"/>
      <c r="AD134" s="48"/>
    </row>
    <row r="135" spans="2:31" ht="11.1" customHeight="1" x14ac:dyDescent="0.25">
      <c r="B135" s="72" t="s">
        <v>88</v>
      </c>
      <c r="C135" s="8" t="s">
        <v>35</v>
      </c>
      <c r="D135" s="73">
        <v>2809.08</v>
      </c>
      <c r="E135" s="73">
        <v>2195.35</v>
      </c>
      <c r="F135" s="73">
        <v>2116.2399999999998</v>
      </c>
      <c r="G135" s="73">
        <v>1957.9</v>
      </c>
      <c r="H135" s="73">
        <v>1969.32</v>
      </c>
      <c r="I135" s="73">
        <v>2186.2399999999998</v>
      </c>
      <c r="J135" s="73">
        <v>1784.66</v>
      </c>
      <c r="K135" s="73">
        <v>1748.96</v>
      </c>
      <c r="L135" s="73">
        <v>1833.81</v>
      </c>
      <c r="M135" s="73">
        <v>1234.78</v>
      </c>
      <c r="N135" s="73">
        <v>1023.82</v>
      </c>
      <c r="O135" s="73">
        <v>1274.33</v>
      </c>
      <c r="P135" s="73">
        <v>1626.7</v>
      </c>
      <c r="Q135" s="73">
        <v>864.13800000000003</v>
      </c>
      <c r="R135" s="73">
        <v>1339.58</v>
      </c>
      <c r="S135" s="73">
        <v>2024.51</v>
      </c>
      <c r="T135" s="73">
        <v>1759.62</v>
      </c>
      <c r="U135" s="73">
        <v>3257.74</v>
      </c>
      <c r="V135" s="73">
        <v>1999.7</v>
      </c>
      <c r="W135" s="73">
        <v>1091.1600000000001</v>
      </c>
      <c r="X135" s="73">
        <v>1480.54</v>
      </c>
      <c r="Y135" s="73">
        <v>2065.69</v>
      </c>
      <c r="Z135" s="73">
        <v>1357.92</v>
      </c>
      <c r="AA135" s="49">
        <v>973.36699999999996</v>
      </c>
      <c r="AB135" s="49">
        <v>929.88599999999997</v>
      </c>
      <c r="AC135" s="49">
        <v>1242.18</v>
      </c>
      <c r="AD135" s="10">
        <v>1206</v>
      </c>
    </row>
    <row r="136" spans="2:31" ht="11.1" customHeight="1" x14ac:dyDescent="0.25">
      <c r="B136" s="72" t="s">
        <v>90</v>
      </c>
      <c r="C136" s="8" t="s">
        <v>35</v>
      </c>
      <c r="D136" s="73">
        <v>3608.5</v>
      </c>
      <c r="E136" s="73">
        <v>2221.67</v>
      </c>
      <c r="F136" s="73">
        <v>6285.52</v>
      </c>
      <c r="G136" s="73">
        <v>5418.99</v>
      </c>
      <c r="H136" s="73">
        <v>3325.31</v>
      </c>
      <c r="I136" s="73">
        <v>3572.27</v>
      </c>
      <c r="J136" s="73">
        <v>2827.44</v>
      </c>
      <c r="K136" s="73">
        <v>3247.39</v>
      </c>
      <c r="L136" s="73">
        <v>2674.1</v>
      </c>
      <c r="M136" s="73">
        <v>5380.09</v>
      </c>
      <c r="N136" s="73">
        <v>5214.1000000000004</v>
      </c>
      <c r="O136" s="73">
        <v>5771.14</v>
      </c>
      <c r="P136" s="73">
        <v>7576.8</v>
      </c>
      <c r="Q136" s="73">
        <v>4855.3</v>
      </c>
      <c r="R136" s="73">
        <v>2990.43</v>
      </c>
      <c r="S136" s="73">
        <v>5779.56</v>
      </c>
      <c r="T136" s="73">
        <v>4555.07</v>
      </c>
      <c r="U136" s="73">
        <v>2862.93</v>
      </c>
      <c r="V136" s="73">
        <v>4756.8</v>
      </c>
      <c r="W136" s="73">
        <v>4954.8500000000004</v>
      </c>
      <c r="X136" s="73">
        <v>5710.36</v>
      </c>
      <c r="Y136" s="73">
        <v>2889.33</v>
      </c>
      <c r="Z136" s="73">
        <v>3062.72</v>
      </c>
      <c r="AA136" s="49">
        <v>3939.86</v>
      </c>
      <c r="AB136" s="49">
        <v>7201</v>
      </c>
      <c r="AC136" s="49">
        <v>4058.13</v>
      </c>
      <c r="AD136" s="10">
        <v>2046.14</v>
      </c>
    </row>
    <row r="137" spans="2:31" ht="11.1" customHeight="1" x14ac:dyDescent="0.25">
      <c r="B137" s="72" t="s">
        <v>91</v>
      </c>
      <c r="C137" s="8" t="s">
        <v>35</v>
      </c>
      <c r="D137" s="73">
        <v>1128.9100000000001</v>
      </c>
      <c r="E137" s="73">
        <v>971.50199999999995</v>
      </c>
      <c r="F137" s="73">
        <v>867.88099999999997</v>
      </c>
      <c r="G137" s="73">
        <v>1131.8800000000001</v>
      </c>
      <c r="H137" s="73">
        <v>395.07499999999999</v>
      </c>
      <c r="I137" s="73">
        <v>417.90600000000001</v>
      </c>
      <c r="J137" s="73">
        <v>411.92700000000002</v>
      </c>
      <c r="K137" s="73">
        <v>281.46300000000002</v>
      </c>
      <c r="L137" s="73">
        <v>355.47300000000001</v>
      </c>
      <c r="M137" s="73">
        <v>200.56700000000001</v>
      </c>
      <c r="N137" s="73">
        <v>218.33</v>
      </c>
      <c r="O137" s="73">
        <v>354.92599999999999</v>
      </c>
      <c r="P137" s="73">
        <v>425.95699999999999</v>
      </c>
      <c r="Q137" s="73">
        <v>498.03500000000003</v>
      </c>
      <c r="R137" s="73">
        <v>500.15</v>
      </c>
      <c r="S137" s="73">
        <v>497.37799999999999</v>
      </c>
      <c r="T137" s="73">
        <v>691.86099999999999</v>
      </c>
      <c r="U137" s="73">
        <v>547.25300000000004</v>
      </c>
      <c r="V137" s="73">
        <v>369.21899999999999</v>
      </c>
      <c r="W137" s="73">
        <v>390.137</v>
      </c>
      <c r="X137" s="73">
        <v>488.358</v>
      </c>
      <c r="Y137" s="73">
        <v>656.33399999999995</v>
      </c>
      <c r="Z137" s="73">
        <v>361.14400000000001</v>
      </c>
      <c r="AA137" s="49">
        <v>434.69400000000002</v>
      </c>
      <c r="AB137" s="49">
        <v>387.613</v>
      </c>
      <c r="AC137" s="49">
        <v>362.39699999999999</v>
      </c>
      <c r="AD137" s="10">
        <v>418.74</v>
      </c>
    </row>
    <row r="138" spans="2:31" ht="11.1" customHeight="1" x14ac:dyDescent="0.25">
      <c r="B138" s="72" t="s">
        <v>92</v>
      </c>
      <c r="C138" s="8" t="s">
        <v>35</v>
      </c>
      <c r="D138" s="73">
        <v>11.491</v>
      </c>
      <c r="E138" s="73">
        <v>12.222</v>
      </c>
      <c r="F138" s="73">
        <v>6.7430000000000003</v>
      </c>
      <c r="G138" s="73">
        <v>2.0179999999999998</v>
      </c>
      <c r="H138" s="73">
        <v>3.367</v>
      </c>
      <c r="I138" s="73">
        <v>1.0660000000000001</v>
      </c>
      <c r="J138" s="73">
        <v>1.8260000000000001</v>
      </c>
      <c r="K138" s="73">
        <v>19.248000000000001</v>
      </c>
      <c r="L138" s="73">
        <v>28.356999999999999</v>
      </c>
      <c r="M138" s="73">
        <v>20.081</v>
      </c>
      <c r="N138" s="73">
        <v>7.1929999999999996</v>
      </c>
      <c r="O138" s="73">
        <v>6.2</v>
      </c>
      <c r="P138" s="73">
        <v>10.185</v>
      </c>
      <c r="Q138" s="73">
        <v>8.4610000000000003</v>
      </c>
      <c r="R138" s="73">
        <v>14.71</v>
      </c>
      <c r="S138" s="73">
        <v>21.231999999999999</v>
      </c>
      <c r="T138" s="73">
        <v>12.513999999999999</v>
      </c>
      <c r="U138" s="73">
        <v>35.706000000000003</v>
      </c>
      <c r="V138" s="73">
        <v>28.423999999999999</v>
      </c>
      <c r="W138" s="73">
        <v>6.5190000000000001</v>
      </c>
      <c r="X138" s="73">
        <v>10.161</v>
      </c>
      <c r="Y138" s="73">
        <v>48.622</v>
      </c>
      <c r="Z138" s="73">
        <v>9.5449999999999999</v>
      </c>
      <c r="AA138" s="49">
        <v>8.3119999999999994</v>
      </c>
      <c r="AB138" s="49">
        <v>21.745000000000001</v>
      </c>
      <c r="AC138" s="49">
        <v>15.552</v>
      </c>
      <c r="AD138" s="10">
        <v>10.31</v>
      </c>
    </row>
    <row r="139" spans="2:31" ht="11.1" customHeight="1" x14ac:dyDescent="0.25">
      <c r="B139" s="72" t="s">
        <v>93</v>
      </c>
      <c r="C139" s="8" t="s">
        <v>35</v>
      </c>
      <c r="D139" s="73">
        <v>2.794</v>
      </c>
      <c r="E139" s="73">
        <v>2.6760000000000002</v>
      </c>
      <c r="F139" s="73">
        <v>6.2629999999999999</v>
      </c>
      <c r="G139" s="73">
        <v>6.85</v>
      </c>
      <c r="H139" s="73">
        <v>6.149</v>
      </c>
      <c r="I139" s="73">
        <v>14.579000000000001</v>
      </c>
      <c r="J139" s="73">
        <v>9.0340000000000007</v>
      </c>
      <c r="K139" s="73">
        <v>7.6040000000000001</v>
      </c>
      <c r="L139" s="73">
        <v>0.92200000000000004</v>
      </c>
      <c r="M139" s="73">
        <v>1.0509999999999999</v>
      </c>
      <c r="N139" s="73">
        <v>1.853</v>
      </c>
      <c r="O139" s="73">
        <v>0.81499999999999995</v>
      </c>
      <c r="P139" s="73">
        <v>0.39700000000000002</v>
      </c>
      <c r="Q139" s="73">
        <v>1.6120000000000001</v>
      </c>
      <c r="R139" s="73">
        <v>1.88</v>
      </c>
      <c r="S139" s="73">
        <v>4.8410000000000002</v>
      </c>
      <c r="T139" s="73">
        <v>23.629000000000001</v>
      </c>
      <c r="U139" s="73">
        <v>11.606999999999999</v>
      </c>
      <c r="V139" s="73">
        <v>5.141</v>
      </c>
      <c r="W139" s="73">
        <v>10.531000000000001</v>
      </c>
      <c r="X139" s="73">
        <v>3.2509999999999999</v>
      </c>
      <c r="Y139" s="73">
        <v>22.001999999999999</v>
      </c>
      <c r="Z139" s="73">
        <v>22.315000000000001</v>
      </c>
      <c r="AA139" s="49">
        <v>17.006</v>
      </c>
      <c r="AB139" s="49">
        <v>10.824</v>
      </c>
      <c r="AC139" s="49">
        <v>8.2100000000000009</v>
      </c>
      <c r="AD139" s="10">
        <v>15.08</v>
      </c>
    </row>
    <row r="140" spans="2:31" ht="11.1" customHeight="1" x14ac:dyDescent="0.25">
      <c r="B140" s="72" t="s">
        <v>94</v>
      </c>
      <c r="C140" s="8" t="s">
        <v>35</v>
      </c>
      <c r="D140" s="73">
        <v>7560.77</v>
      </c>
      <c r="E140" s="73">
        <v>5403.42</v>
      </c>
      <c r="F140" s="73">
        <v>9282.64</v>
      </c>
      <c r="G140" s="73">
        <v>8517.64</v>
      </c>
      <c r="H140" s="73">
        <v>5699.22</v>
      </c>
      <c r="I140" s="73">
        <v>6192.07</v>
      </c>
      <c r="J140" s="73">
        <v>5034.8900000000003</v>
      </c>
      <c r="K140" s="73">
        <v>5304.66</v>
      </c>
      <c r="L140" s="73">
        <v>4892.66</v>
      </c>
      <c r="M140" s="73">
        <v>6836.56</v>
      </c>
      <c r="N140" s="73">
        <v>6465.3</v>
      </c>
      <c r="O140" s="73">
        <v>7407.4</v>
      </c>
      <c r="P140" s="73">
        <v>9640.0400000000009</v>
      </c>
      <c r="Q140" s="73">
        <v>6227.55</v>
      </c>
      <c r="R140" s="73">
        <v>4846.75</v>
      </c>
      <c r="S140" s="73">
        <v>8327.52</v>
      </c>
      <c r="T140" s="73">
        <v>7042.69</v>
      </c>
      <c r="U140" s="73">
        <v>6715.23</v>
      </c>
      <c r="V140" s="73">
        <v>7159.28</v>
      </c>
      <c r="W140" s="73">
        <v>6453.2</v>
      </c>
      <c r="X140" s="73">
        <v>7692.67</v>
      </c>
      <c r="Y140" s="73">
        <v>5681.98</v>
      </c>
      <c r="Z140" s="73">
        <v>4813.6400000000003</v>
      </c>
      <c r="AA140" s="49">
        <v>5373.24</v>
      </c>
      <c r="AB140" s="49">
        <v>8551.07</v>
      </c>
      <c r="AC140" s="49">
        <v>5686.47</v>
      </c>
      <c r="AD140" s="10">
        <v>3696.26</v>
      </c>
    </row>
    <row r="141" spans="2:31" ht="11.1" customHeight="1" x14ac:dyDescent="0.25">
      <c r="B141" s="69" t="s">
        <v>95</v>
      </c>
      <c r="C141" s="8" t="s">
        <v>35</v>
      </c>
      <c r="D141" s="73">
        <v>423.21100000000001</v>
      </c>
      <c r="E141" s="73">
        <v>201.86099999999999</v>
      </c>
      <c r="F141" s="73">
        <v>468.94200000000001</v>
      </c>
      <c r="G141" s="73">
        <v>224.19300000000001</v>
      </c>
      <c r="H141" s="73">
        <v>61.54</v>
      </c>
      <c r="I141" s="73">
        <v>84.768000000000001</v>
      </c>
      <c r="J141" s="73">
        <v>89.147999999999996</v>
      </c>
      <c r="K141" s="73">
        <v>95.08</v>
      </c>
      <c r="L141" s="73">
        <v>238.77600000000001</v>
      </c>
      <c r="M141" s="73">
        <v>66.918000000000006</v>
      </c>
      <c r="N141" s="73">
        <v>64.241</v>
      </c>
      <c r="O141" s="73">
        <v>58.006</v>
      </c>
      <c r="P141" s="73">
        <v>33.061</v>
      </c>
      <c r="Q141" s="73">
        <v>76.843999999999994</v>
      </c>
      <c r="R141" s="73">
        <v>152.70699999999999</v>
      </c>
      <c r="S141" s="73">
        <v>108.526</v>
      </c>
      <c r="T141" s="73">
        <v>101.96299999999999</v>
      </c>
      <c r="U141" s="73">
        <v>148.34200000000001</v>
      </c>
      <c r="V141" s="73">
        <v>363.358</v>
      </c>
      <c r="W141" s="73">
        <v>82.772000000000006</v>
      </c>
      <c r="X141" s="73">
        <v>117.54300000000001</v>
      </c>
      <c r="Y141" s="73">
        <v>103.241</v>
      </c>
      <c r="Z141" s="73">
        <v>109.511</v>
      </c>
      <c r="AA141" s="49">
        <v>295.59399999999999</v>
      </c>
      <c r="AB141" s="49">
        <v>112.414</v>
      </c>
      <c r="AC141" s="49">
        <v>111.663</v>
      </c>
      <c r="AD141" s="10">
        <v>55.91</v>
      </c>
    </row>
    <row r="142" spans="2:31" ht="11.1" customHeight="1" x14ac:dyDescent="0.25">
      <c r="B142" s="90" t="s">
        <v>13</v>
      </c>
      <c r="C142" s="22" t="s">
        <v>35</v>
      </c>
      <c r="D142" s="60">
        <v>7983.98</v>
      </c>
      <c r="E142" s="60">
        <v>5605.28</v>
      </c>
      <c r="F142" s="60">
        <v>9751.59</v>
      </c>
      <c r="G142" s="60">
        <v>8741.83</v>
      </c>
      <c r="H142" s="60">
        <v>5760.76</v>
      </c>
      <c r="I142" s="60">
        <v>6276.83</v>
      </c>
      <c r="J142" s="60">
        <v>5124.04</v>
      </c>
      <c r="K142" s="60">
        <v>5399.74</v>
      </c>
      <c r="L142" s="60">
        <v>5131.4399999999996</v>
      </c>
      <c r="M142" s="60">
        <v>6903.48</v>
      </c>
      <c r="N142" s="60">
        <v>6529.54</v>
      </c>
      <c r="O142" s="60">
        <v>7465.41</v>
      </c>
      <c r="P142" s="60">
        <v>9673.1</v>
      </c>
      <c r="Q142" s="60">
        <v>6304.39</v>
      </c>
      <c r="R142" s="60">
        <v>4999.45</v>
      </c>
      <c r="S142" s="60">
        <v>8436.0400000000009</v>
      </c>
      <c r="T142" s="60">
        <v>7144.65</v>
      </c>
      <c r="U142" s="60">
        <v>6863.57</v>
      </c>
      <c r="V142" s="60">
        <v>7522.64</v>
      </c>
      <c r="W142" s="60">
        <v>6535.97</v>
      </c>
      <c r="X142" s="60">
        <v>7810.21</v>
      </c>
      <c r="Y142" s="60">
        <v>5785.22</v>
      </c>
      <c r="Z142" s="60">
        <v>4923.1499999999996</v>
      </c>
      <c r="AA142" s="49">
        <v>5668.83</v>
      </c>
      <c r="AB142" s="49">
        <v>8663.48</v>
      </c>
      <c r="AC142" s="49">
        <v>5798.13</v>
      </c>
      <c r="AD142" s="10">
        <v>3752.17</v>
      </c>
    </row>
    <row r="143" spans="2:31" ht="11.1" customHeight="1" x14ac:dyDescent="0.25">
      <c r="B143" s="383" t="s">
        <v>16</v>
      </c>
      <c r="C143" s="383"/>
      <c r="D143" s="383"/>
      <c r="E143" s="383"/>
      <c r="F143" s="383"/>
      <c r="G143" s="383"/>
      <c r="H143" s="383"/>
      <c r="I143" s="383"/>
      <c r="J143" s="383"/>
      <c r="K143" s="383"/>
      <c r="L143" s="383"/>
      <c r="M143" s="383"/>
      <c r="N143" s="383"/>
      <c r="O143" s="383"/>
      <c r="P143" s="383"/>
      <c r="Q143" s="383"/>
      <c r="R143" s="383"/>
      <c r="S143" s="383"/>
      <c r="T143" s="383"/>
      <c r="U143" s="383"/>
      <c r="V143" s="383"/>
      <c r="W143" s="383"/>
      <c r="X143" s="383"/>
      <c r="Y143" s="383"/>
      <c r="Z143" s="384"/>
      <c r="AA143" s="80"/>
      <c r="AB143" s="80"/>
      <c r="AC143" s="80"/>
      <c r="AD143" s="80"/>
    </row>
    <row r="144" spans="2:31" ht="11.1" customHeight="1" x14ac:dyDescent="0.25">
      <c r="B144" s="377" t="s">
        <v>87</v>
      </c>
      <c r="C144" s="377"/>
      <c r="D144" s="377"/>
      <c r="E144" s="377"/>
      <c r="F144" s="377"/>
      <c r="G144" s="377"/>
      <c r="H144" s="377"/>
      <c r="I144" s="377"/>
      <c r="J144" s="377"/>
      <c r="K144" s="377"/>
      <c r="L144" s="377"/>
      <c r="M144" s="377"/>
      <c r="N144" s="377"/>
      <c r="O144" s="377"/>
      <c r="P144" s="377"/>
      <c r="Q144" s="377"/>
      <c r="R144" s="377"/>
      <c r="S144" s="377"/>
      <c r="T144" s="377"/>
      <c r="U144" s="377"/>
      <c r="V144" s="377"/>
      <c r="W144" s="377"/>
      <c r="X144" s="377"/>
      <c r="Y144" s="377"/>
      <c r="Z144" s="378"/>
      <c r="AA144" s="50"/>
      <c r="AB144" s="50"/>
      <c r="AC144" s="50"/>
      <c r="AD144" s="50"/>
    </row>
    <row r="145" spans="2:30" ht="11.1" customHeight="1" x14ac:dyDescent="0.25">
      <c r="B145" s="72" t="s">
        <v>88</v>
      </c>
      <c r="C145" s="8" t="s">
        <v>35</v>
      </c>
      <c r="D145" s="73">
        <v>682.46699999999998</v>
      </c>
      <c r="E145" s="73">
        <v>531.42399999999998</v>
      </c>
      <c r="F145" s="73">
        <v>591.34799999999996</v>
      </c>
      <c r="G145" s="73">
        <v>706.21600000000001</v>
      </c>
      <c r="H145" s="73">
        <v>664.59900000000005</v>
      </c>
      <c r="I145" s="73">
        <v>653.25099999999998</v>
      </c>
      <c r="J145" s="73">
        <v>705.56</v>
      </c>
      <c r="K145" s="73">
        <v>567.22400000000005</v>
      </c>
      <c r="L145" s="73">
        <v>590.99900000000002</v>
      </c>
      <c r="M145" s="73">
        <v>468.46499999999997</v>
      </c>
      <c r="N145" s="73">
        <v>395.21800000000002</v>
      </c>
      <c r="O145" s="73">
        <v>278.00799999999998</v>
      </c>
      <c r="P145" s="73">
        <v>277.78699999999998</v>
      </c>
      <c r="Q145" s="73">
        <v>377.178</v>
      </c>
      <c r="R145" s="73">
        <v>381.84300000000002</v>
      </c>
      <c r="S145" s="73">
        <v>323.61599999999999</v>
      </c>
      <c r="T145" s="73">
        <v>477.56700000000001</v>
      </c>
      <c r="U145" s="73">
        <v>441.52499999999998</v>
      </c>
      <c r="V145" s="73">
        <v>185.21299999999999</v>
      </c>
      <c r="W145" s="73">
        <v>222.239</v>
      </c>
      <c r="X145" s="73">
        <v>552.93399999999997</v>
      </c>
      <c r="Y145" s="73">
        <v>215.03299999999999</v>
      </c>
      <c r="Z145" s="73">
        <v>251.179</v>
      </c>
      <c r="AA145" s="49">
        <v>0</v>
      </c>
      <c r="AB145" s="49">
        <v>190.095</v>
      </c>
      <c r="AC145" s="49">
        <v>233.14500000000001</v>
      </c>
      <c r="AD145" s="10">
        <v>214.57</v>
      </c>
    </row>
    <row r="146" spans="2:30" ht="11.1" customHeight="1" x14ac:dyDescent="0.25">
      <c r="B146" s="72" t="s">
        <v>91</v>
      </c>
      <c r="C146" s="8" t="s">
        <v>35</v>
      </c>
      <c r="D146" s="73">
        <v>1446.47</v>
      </c>
      <c r="E146" s="73">
        <v>1190.57</v>
      </c>
      <c r="F146" s="73">
        <v>1145.3</v>
      </c>
      <c r="G146" s="73">
        <v>888.73800000000006</v>
      </c>
      <c r="H146" s="73">
        <v>750.20399999999995</v>
      </c>
      <c r="I146" s="73">
        <v>705.32600000000002</v>
      </c>
      <c r="J146" s="73">
        <v>663.18700000000001</v>
      </c>
      <c r="K146" s="73">
        <v>694.07500000000005</v>
      </c>
      <c r="L146" s="73">
        <v>529.51700000000005</v>
      </c>
      <c r="M146" s="73">
        <v>418.26100000000002</v>
      </c>
      <c r="N146" s="73">
        <v>253.678</v>
      </c>
      <c r="O146" s="73">
        <v>101.89400000000001</v>
      </c>
      <c r="P146" s="73">
        <v>91.254999999999995</v>
      </c>
      <c r="Q146" s="73">
        <v>117.259</v>
      </c>
      <c r="R146" s="73">
        <v>102.312</v>
      </c>
      <c r="S146" s="73">
        <v>73.778000000000006</v>
      </c>
      <c r="T146" s="73">
        <v>122.446</v>
      </c>
      <c r="U146" s="73">
        <v>102.91800000000001</v>
      </c>
      <c r="V146" s="73">
        <v>41.725999999999999</v>
      </c>
      <c r="W146" s="73">
        <v>44.392000000000003</v>
      </c>
      <c r="X146" s="73">
        <v>277.61200000000002</v>
      </c>
      <c r="Y146" s="73">
        <v>95.05</v>
      </c>
      <c r="Z146" s="73">
        <v>70.171000000000006</v>
      </c>
      <c r="AA146" s="49">
        <v>83.671000000000006</v>
      </c>
      <c r="AB146" s="49">
        <v>73.447000000000003</v>
      </c>
      <c r="AC146" s="49">
        <v>73.125</v>
      </c>
      <c r="AD146" s="10">
        <v>58.14</v>
      </c>
    </row>
    <row r="147" spans="2:30" ht="11.1" customHeight="1" x14ac:dyDescent="0.25">
      <c r="B147" s="72" t="s">
        <v>92</v>
      </c>
      <c r="C147" s="8" t="s">
        <v>35</v>
      </c>
      <c r="D147" s="73">
        <v>70.082999999999998</v>
      </c>
      <c r="E147" s="73">
        <v>78.975999999999999</v>
      </c>
      <c r="F147" s="73">
        <v>64.206999999999994</v>
      </c>
      <c r="G147" s="73">
        <v>167.12700000000001</v>
      </c>
      <c r="H147" s="73">
        <v>122.48399999999999</v>
      </c>
      <c r="I147" s="73">
        <v>84.661000000000001</v>
      </c>
      <c r="J147" s="73">
        <v>58.697000000000003</v>
      </c>
      <c r="K147" s="73">
        <v>46.872</v>
      </c>
      <c r="L147" s="73">
        <v>48.430999999999997</v>
      </c>
      <c r="M147" s="73">
        <v>44.066000000000003</v>
      </c>
      <c r="N147" s="73">
        <v>26.335999999999999</v>
      </c>
      <c r="O147" s="73">
        <v>8.75</v>
      </c>
      <c r="P147" s="73">
        <v>5.1260000000000003</v>
      </c>
      <c r="Q147" s="73">
        <v>5.0949999999999998</v>
      </c>
      <c r="R147" s="73">
        <v>2.3559999999999999</v>
      </c>
      <c r="S147" s="73">
        <v>2.9510000000000001</v>
      </c>
      <c r="T147" s="73">
        <v>4.7489999999999997</v>
      </c>
      <c r="U147" s="73">
        <v>16.870999999999999</v>
      </c>
      <c r="V147" s="73">
        <v>2.99</v>
      </c>
      <c r="W147" s="73">
        <v>1.1000000000000001</v>
      </c>
      <c r="X147" s="73">
        <v>13.936</v>
      </c>
      <c r="Y147" s="73">
        <v>3.3580000000000001</v>
      </c>
      <c r="Z147" s="73">
        <v>2.4039999999999999</v>
      </c>
      <c r="AA147" s="49">
        <v>1.653</v>
      </c>
      <c r="AB147" s="49">
        <v>1.2350000000000001</v>
      </c>
      <c r="AC147" s="49">
        <v>2.4489999999999998</v>
      </c>
      <c r="AD147" s="10">
        <v>1.4</v>
      </c>
    </row>
    <row r="148" spans="2:30" ht="11.1" customHeight="1" x14ac:dyDescent="0.25">
      <c r="B148" s="72" t="s">
        <v>93</v>
      </c>
      <c r="C148" s="8" t="s">
        <v>35</v>
      </c>
      <c r="D148" s="73">
        <v>3.86</v>
      </c>
      <c r="E148" s="73">
        <v>0.61299999999999999</v>
      </c>
      <c r="F148" s="73">
        <v>2.6829999999999998</v>
      </c>
      <c r="G148" s="73">
        <v>3.4569999999999999</v>
      </c>
      <c r="H148" s="73">
        <v>4.6550000000000002</v>
      </c>
      <c r="I148" s="73">
        <v>3.6190000000000002</v>
      </c>
      <c r="J148" s="73">
        <v>12.327</v>
      </c>
      <c r="K148" s="73">
        <v>8.0030000000000001</v>
      </c>
      <c r="L148" s="73">
        <v>10.742000000000001</v>
      </c>
      <c r="M148" s="73">
        <v>32.439</v>
      </c>
      <c r="N148" s="73">
        <v>1.33</v>
      </c>
      <c r="O148" s="73">
        <v>12.791</v>
      </c>
      <c r="P148" s="73">
        <v>2.2839999999999998</v>
      </c>
      <c r="Q148" s="73">
        <v>3.4000000000000002E-2</v>
      </c>
      <c r="R148" s="73">
        <v>0.27500000000000002</v>
      </c>
      <c r="S148" s="73">
        <v>0.25700000000000001</v>
      </c>
      <c r="T148" s="73">
        <v>2.2029999999999998</v>
      </c>
      <c r="U148" s="73">
        <v>5.194</v>
      </c>
      <c r="V148" s="73">
        <v>2.544</v>
      </c>
      <c r="W148" s="73">
        <v>0.47</v>
      </c>
      <c r="X148" s="73">
        <v>4.0090000000000003</v>
      </c>
      <c r="Y148" s="73">
        <v>0.41499999999999998</v>
      </c>
      <c r="Z148" s="73">
        <v>0.33</v>
      </c>
      <c r="AA148" s="49">
        <v>0</v>
      </c>
      <c r="AB148" s="49">
        <v>0.23499999999999999</v>
      </c>
      <c r="AC148" s="49">
        <v>0.86</v>
      </c>
      <c r="AD148" s="10">
        <v>1.67</v>
      </c>
    </row>
    <row r="149" spans="2:30" ht="11.1" customHeight="1" x14ac:dyDescent="0.25">
      <c r="B149" s="69" t="s">
        <v>154</v>
      </c>
      <c r="C149" s="8" t="s">
        <v>35</v>
      </c>
      <c r="D149" s="73">
        <v>164.25399999999999</v>
      </c>
      <c r="E149" s="73">
        <v>69.557000000000002</v>
      </c>
      <c r="F149" s="73">
        <v>57.039000000000001</v>
      </c>
      <c r="G149" s="73">
        <v>72.784999999999997</v>
      </c>
      <c r="H149" s="73">
        <v>51.9</v>
      </c>
      <c r="I149" s="73">
        <v>37.798999999999999</v>
      </c>
      <c r="J149" s="73">
        <v>34.613</v>
      </c>
      <c r="K149" s="73">
        <v>26.15</v>
      </c>
      <c r="L149" s="73">
        <v>28.1</v>
      </c>
      <c r="M149" s="73">
        <v>25.472999999999999</v>
      </c>
      <c r="N149" s="73">
        <v>22.684999999999999</v>
      </c>
      <c r="O149" s="73">
        <v>12.632</v>
      </c>
      <c r="P149" s="73">
        <v>16.131</v>
      </c>
      <c r="Q149" s="73">
        <v>20.158000000000001</v>
      </c>
      <c r="R149" s="73">
        <v>18.600000000000001</v>
      </c>
      <c r="S149" s="73">
        <v>18.91</v>
      </c>
      <c r="T149" s="73">
        <v>24.792999999999999</v>
      </c>
      <c r="U149" s="73">
        <v>22.757999999999999</v>
      </c>
      <c r="V149" s="73">
        <v>16.736000000000001</v>
      </c>
      <c r="W149" s="73">
        <v>9.8209999999999997</v>
      </c>
      <c r="X149" s="73">
        <v>22.527000000000001</v>
      </c>
      <c r="Y149" s="73">
        <v>8.7409999999999997</v>
      </c>
      <c r="Z149" s="73">
        <v>6.8769999999999998</v>
      </c>
      <c r="AA149" s="49">
        <v>0.441</v>
      </c>
      <c r="AB149" s="49">
        <v>8.2959999999999994</v>
      </c>
      <c r="AC149" s="49">
        <v>11.353</v>
      </c>
      <c r="AD149" s="10">
        <v>12.94</v>
      </c>
    </row>
    <row r="150" spans="2:30" ht="12" customHeight="1" x14ac:dyDescent="0.25">
      <c r="B150" s="90" t="s">
        <v>13</v>
      </c>
      <c r="C150" s="22" t="s">
        <v>35</v>
      </c>
      <c r="D150" s="60">
        <v>2367.13</v>
      </c>
      <c r="E150" s="60">
        <v>1871.14</v>
      </c>
      <c r="F150" s="60">
        <v>1860.58</v>
      </c>
      <c r="G150" s="60">
        <v>1838.32</v>
      </c>
      <c r="H150" s="60">
        <v>1593.84</v>
      </c>
      <c r="I150" s="60">
        <v>1484.66</v>
      </c>
      <c r="J150" s="60">
        <v>1474.38</v>
      </c>
      <c r="K150" s="60">
        <v>1342.32</v>
      </c>
      <c r="L150" s="60">
        <v>1207.79</v>
      </c>
      <c r="M150" s="60">
        <v>988.70399999999995</v>
      </c>
      <c r="N150" s="60">
        <v>699.24699999999996</v>
      </c>
      <c r="O150" s="60">
        <v>414.07499999999999</v>
      </c>
      <c r="P150" s="60">
        <v>392.58300000000003</v>
      </c>
      <c r="Q150" s="60">
        <v>519.72400000000005</v>
      </c>
      <c r="R150" s="60">
        <v>505.38600000000002</v>
      </c>
      <c r="S150" s="60">
        <v>419.512</v>
      </c>
      <c r="T150" s="60">
        <v>631.75800000000004</v>
      </c>
      <c r="U150" s="60">
        <v>589.26599999999996</v>
      </c>
      <c r="V150" s="60">
        <v>249.209</v>
      </c>
      <c r="W150" s="60">
        <v>278.02199999999999</v>
      </c>
      <c r="X150" s="60">
        <v>871.01800000000003</v>
      </c>
      <c r="Y150" s="60">
        <v>322.59699999999998</v>
      </c>
      <c r="Z150" s="60">
        <v>330.96100000000001</v>
      </c>
      <c r="AA150" s="49">
        <v>85.765000000000001</v>
      </c>
      <c r="AB150" s="49">
        <v>273.30799999999999</v>
      </c>
      <c r="AC150" s="49">
        <v>320.93200000000002</v>
      </c>
      <c r="AD150" s="10">
        <v>288.70999999999998</v>
      </c>
    </row>
    <row r="151" spans="2:30" ht="11.1" customHeight="1" x14ac:dyDescent="0.25">
      <c r="B151" s="12" t="s">
        <v>145</v>
      </c>
      <c r="C151" s="8" t="s">
        <v>35</v>
      </c>
      <c r="D151" s="73">
        <v>500.53800000000001</v>
      </c>
      <c r="E151" s="73">
        <v>359.23500000000001</v>
      </c>
      <c r="F151" s="73">
        <v>273.98899999999998</v>
      </c>
      <c r="G151" s="73">
        <v>330</v>
      </c>
      <c r="H151" s="73">
        <v>578</v>
      </c>
      <c r="I151" s="73">
        <v>806.827</v>
      </c>
      <c r="J151" s="73">
        <v>872.28399999999999</v>
      </c>
      <c r="K151" s="73">
        <v>597.10299999999995</v>
      </c>
      <c r="L151" s="73">
        <v>453.65499999999997</v>
      </c>
      <c r="M151" s="73">
        <v>339.31900000000002</v>
      </c>
      <c r="N151" s="73">
        <v>265.29599999999999</v>
      </c>
      <c r="O151" s="73">
        <v>269.625</v>
      </c>
      <c r="P151" s="73">
        <v>796.26599999999996</v>
      </c>
      <c r="Q151" s="73">
        <v>526.68399999999997</v>
      </c>
      <c r="R151" s="73">
        <v>446.245</v>
      </c>
      <c r="S151" s="73">
        <v>638.90700000000004</v>
      </c>
      <c r="T151" s="73">
        <v>381.08199999999999</v>
      </c>
      <c r="U151" s="73">
        <v>375.79300000000001</v>
      </c>
      <c r="V151" s="73">
        <v>282.57</v>
      </c>
      <c r="W151" s="73">
        <v>278.30500000000001</v>
      </c>
      <c r="X151" s="73">
        <v>368.24599999999998</v>
      </c>
      <c r="Y151" s="73">
        <v>363.93700000000001</v>
      </c>
      <c r="Z151" s="73">
        <v>297.49799999999999</v>
      </c>
      <c r="AA151" s="49">
        <v>287.83699999999999</v>
      </c>
      <c r="AB151" s="49">
        <v>253.87100000000001</v>
      </c>
      <c r="AC151" s="49">
        <v>201.41300000000001</v>
      </c>
      <c r="AD151" s="10">
        <v>355.49</v>
      </c>
    </row>
    <row r="152" spans="2:30" ht="11.1" customHeight="1" x14ac:dyDescent="0.25">
      <c r="B152" s="377" t="s">
        <v>98</v>
      </c>
      <c r="C152" s="377"/>
      <c r="D152" s="377"/>
      <c r="E152" s="377"/>
      <c r="F152" s="377"/>
      <c r="G152" s="377"/>
      <c r="H152" s="377"/>
      <c r="I152" s="377"/>
      <c r="J152" s="377"/>
      <c r="K152" s="377"/>
      <c r="L152" s="377"/>
      <c r="M152" s="377"/>
      <c r="N152" s="377"/>
      <c r="O152" s="377"/>
      <c r="P152" s="377"/>
      <c r="Q152" s="377"/>
      <c r="R152" s="377"/>
      <c r="S152" s="377"/>
      <c r="T152" s="377"/>
      <c r="U152" s="377"/>
      <c r="V152" s="377"/>
      <c r="W152" s="377"/>
      <c r="X152" s="377"/>
      <c r="Y152" s="377"/>
      <c r="Z152" s="378"/>
      <c r="AA152" s="50"/>
      <c r="AB152" s="50"/>
      <c r="AC152" s="50"/>
      <c r="AD152" s="50"/>
    </row>
    <row r="153" spans="2:30" ht="11.1" customHeight="1" x14ac:dyDescent="0.25">
      <c r="B153" s="72" t="s">
        <v>98</v>
      </c>
      <c r="C153" s="8" t="s">
        <v>35</v>
      </c>
      <c r="D153" s="73">
        <v>160</v>
      </c>
      <c r="E153" s="73">
        <v>251</v>
      </c>
      <c r="F153" s="73">
        <v>251</v>
      </c>
      <c r="G153" s="73">
        <v>120</v>
      </c>
      <c r="H153" s="73">
        <v>198</v>
      </c>
      <c r="I153" s="73">
        <v>152</v>
      </c>
      <c r="J153" s="73">
        <v>191</v>
      </c>
      <c r="K153" s="73">
        <v>208</v>
      </c>
      <c r="L153" s="73">
        <v>161</v>
      </c>
      <c r="M153" s="73">
        <v>109</v>
      </c>
      <c r="N153" s="73">
        <v>70</v>
      </c>
      <c r="O153" s="73">
        <v>82</v>
      </c>
      <c r="P153" s="73">
        <v>75</v>
      </c>
      <c r="Q153" s="73">
        <v>78</v>
      </c>
      <c r="R153" s="73">
        <v>85</v>
      </c>
      <c r="S153" s="73">
        <v>106</v>
      </c>
      <c r="T153" s="73">
        <v>84</v>
      </c>
      <c r="U153" s="73">
        <v>87</v>
      </c>
      <c r="V153" s="73">
        <v>93</v>
      </c>
      <c r="W153" s="73">
        <v>73</v>
      </c>
      <c r="X153" s="73">
        <v>64</v>
      </c>
      <c r="Y153" s="73">
        <v>56</v>
      </c>
      <c r="Z153" s="73">
        <v>32</v>
      </c>
      <c r="AA153" s="49">
        <v>60</v>
      </c>
      <c r="AB153" s="49">
        <v>51</v>
      </c>
      <c r="AC153" s="49">
        <v>58</v>
      </c>
      <c r="AD153" s="10">
        <v>51.13</v>
      </c>
    </row>
    <row r="154" spans="2:30" ht="11.1" customHeight="1" x14ac:dyDescent="0.25">
      <c r="B154" s="72" t="s">
        <v>95</v>
      </c>
      <c r="C154" s="8" t="s">
        <v>35</v>
      </c>
      <c r="D154" s="73">
        <v>16</v>
      </c>
      <c r="E154" s="73">
        <v>29</v>
      </c>
      <c r="F154" s="73">
        <v>27</v>
      </c>
      <c r="G154" s="73">
        <v>13</v>
      </c>
      <c r="H154" s="73">
        <v>0</v>
      </c>
      <c r="I154" s="73">
        <v>2</v>
      </c>
      <c r="J154" s="73">
        <v>18</v>
      </c>
      <c r="K154" s="73">
        <v>9</v>
      </c>
      <c r="L154" s="73">
        <v>3</v>
      </c>
      <c r="M154" s="73">
        <v>2</v>
      </c>
      <c r="N154" s="73">
        <v>1</v>
      </c>
      <c r="O154" s="73">
        <v>0</v>
      </c>
      <c r="P154" s="73">
        <v>1</v>
      </c>
      <c r="Q154" s="73">
        <v>0</v>
      </c>
      <c r="R154" s="73">
        <v>0</v>
      </c>
      <c r="S154" s="73">
        <v>0</v>
      </c>
      <c r="T154" s="73">
        <v>0</v>
      </c>
      <c r="U154" s="73">
        <v>0</v>
      </c>
      <c r="V154" s="73">
        <v>0</v>
      </c>
      <c r="W154" s="73">
        <v>0</v>
      </c>
      <c r="X154" s="73">
        <v>0</v>
      </c>
      <c r="Y154" s="73">
        <v>1</v>
      </c>
      <c r="Z154" s="73">
        <v>1</v>
      </c>
      <c r="AA154" s="49">
        <v>2</v>
      </c>
      <c r="AB154" s="49">
        <v>0</v>
      </c>
      <c r="AC154" s="49">
        <v>0</v>
      </c>
      <c r="AD154" s="10">
        <v>0</v>
      </c>
    </row>
    <row r="155" spans="2:30" ht="11.1" customHeight="1" x14ac:dyDescent="0.25">
      <c r="B155" s="72" t="s">
        <v>13</v>
      </c>
      <c r="C155" s="8" t="s">
        <v>35</v>
      </c>
      <c r="D155" s="73">
        <v>176</v>
      </c>
      <c r="E155" s="73">
        <v>279</v>
      </c>
      <c r="F155" s="73">
        <v>278</v>
      </c>
      <c r="G155" s="73">
        <v>133</v>
      </c>
      <c r="H155" s="73">
        <v>199</v>
      </c>
      <c r="I155" s="73">
        <v>154</v>
      </c>
      <c r="J155" s="73">
        <v>209</v>
      </c>
      <c r="K155" s="73">
        <v>216</v>
      </c>
      <c r="L155" s="73">
        <v>164</v>
      </c>
      <c r="M155" s="73">
        <v>111</v>
      </c>
      <c r="N155" s="73">
        <v>71</v>
      </c>
      <c r="O155" s="73">
        <v>82</v>
      </c>
      <c r="P155" s="73">
        <v>75</v>
      </c>
      <c r="Q155" s="73">
        <v>78</v>
      </c>
      <c r="R155" s="73">
        <v>85</v>
      </c>
      <c r="S155" s="73">
        <v>106</v>
      </c>
      <c r="T155" s="73">
        <v>84</v>
      </c>
      <c r="U155" s="73">
        <v>87</v>
      </c>
      <c r="V155" s="73">
        <v>93</v>
      </c>
      <c r="W155" s="73">
        <v>73</v>
      </c>
      <c r="X155" s="73">
        <v>65</v>
      </c>
      <c r="Y155" s="73">
        <v>57</v>
      </c>
      <c r="Z155" s="73">
        <v>33</v>
      </c>
      <c r="AA155" s="49">
        <v>62</v>
      </c>
      <c r="AB155" s="49">
        <v>51</v>
      </c>
      <c r="AC155" s="49">
        <v>58</v>
      </c>
      <c r="AD155" s="10">
        <v>51.13</v>
      </c>
    </row>
    <row r="156" spans="2:30" ht="11.1" customHeight="1" x14ac:dyDescent="0.25">
      <c r="B156" s="12" t="s">
        <v>99</v>
      </c>
      <c r="C156" s="8" t="s">
        <v>35</v>
      </c>
      <c r="D156" s="73" t="s">
        <v>19</v>
      </c>
      <c r="E156" s="73" t="s">
        <v>19</v>
      </c>
      <c r="F156" s="73" t="s">
        <v>19</v>
      </c>
      <c r="G156" s="73" t="s">
        <v>19</v>
      </c>
      <c r="H156" s="73">
        <v>107</v>
      </c>
      <c r="I156" s="73">
        <v>190</v>
      </c>
      <c r="J156" s="73">
        <v>154</v>
      </c>
      <c r="K156" s="73">
        <v>67</v>
      </c>
      <c r="L156" s="73">
        <v>83</v>
      </c>
      <c r="M156" s="73">
        <v>53</v>
      </c>
      <c r="N156" s="73">
        <v>43</v>
      </c>
      <c r="O156" s="73">
        <v>18</v>
      </c>
      <c r="P156" s="73">
        <v>46</v>
      </c>
      <c r="Q156" s="73">
        <v>42</v>
      </c>
      <c r="R156" s="73">
        <v>24</v>
      </c>
      <c r="S156" s="73">
        <v>33</v>
      </c>
      <c r="T156" s="73">
        <v>22</v>
      </c>
      <c r="U156" s="73">
        <v>42</v>
      </c>
      <c r="V156" s="73">
        <v>28</v>
      </c>
      <c r="W156" s="73">
        <v>29</v>
      </c>
      <c r="X156" s="73">
        <v>20</v>
      </c>
      <c r="Y156" s="73">
        <v>38</v>
      </c>
      <c r="Z156" s="73">
        <v>22</v>
      </c>
      <c r="AA156" s="49">
        <v>38</v>
      </c>
      <c r="AB156" s="49">
        <v>65</v>
      </c>
      <c r="AC156" s="49">
        <v>10</v>
      </c>
      <c r="AD156" s="10">
        <v>11.17</v>
      </c>
    </row>
    <row r="157" spans="2:30" ht="11.1" customHeight="1" x14ac:dyDescent="0.25">
      <c r="B157" s="12" t="s">
        <v>100</v>
      </c>
      <c r="C157" s="8" t="s">
        <v>35</v>
      </c>
      <c r="D157" s="73" t="s">
        <v>19</v>
      </c>
      <c r="E157" s="73" t="s">
        <v>19</v>
      </c>
      <c r="F157" s="73" t="s">
        <v>19</v>
      </c>
      <c r="G157" s="73" t="s">
        <v>19</v>
      </c>
      <c r="H157" s="73" t="s">
        <v>19</v>
      </c>
      <c r="I157" s="73" t="s">
        <v>19</v>
      </c>
      <c r="J157" s="73" t="s">
        <v>19</v>
      </c>
      <c r="K157" s="73" t="s">
        <v>19</v>
      </c>
      <c r="L157" s="73" t="s">
        <v>19</v>
      </c>
      <c r="M157" s="73" t="s">
        <v>19</v>
      </c>
      <c r="N157" s="73" t="s">
        <v>19</v>
      </c>
      <c r="O157" s="73" t="s">
        <v>19</v>
      </c>
      <c r="P157" s="73" t="s">
        <v>19</v>
      </c>
      <c r="Q157" s="73" t="s">
        <v>19</v>
      </c>
      <c r="R157" s="73" t="s">
        <v>19</v>
      </c>
      <c r="S157" s="73" t="s">
        <v>19</v>
      </c>
      <c r="T157" s="73" t="s">
        <v>19</v>
      </c>
      <c r="U157" s="73" t="s">
        <v>19</v>
      </c>
      <c r="V157" s="73" t="s">
        <v>19</v>
      </c>
      <c r="W157" s="73" t="s">
        <v>19</v>
      </c>
      <c r="X157" s="73" t="s">
        <v>19</v>
      </c>
      <c r="Y157" s="73" t="s">
        <v>19</v>
      </c>
      <c r="Z157" s="73" t="s">
        <v>19</v>
      </c>
      <c r="AA157" s="49" t="s">
        <v>19</v>
      </c>
      <c r="AB157" s="49" t="s">
        <v>19</v>
      </c>
      <c r="AC157" s="49" t="s">
        <v>19</v>
      </c>
      <c r="AD157" s="49" t="s">
        <v>19</v>
      </c>
    </row>
    <row r="158" spans="2:30" ht="11.1" customHeight="1" x14ac:dyDescent="0.25">
      <c r="B158" s="12" t="s">
        <v>530</v>
      </c>
      <c r="C158" s="8" t="s">
        <v>35</v>
      </c>
      <c r="D158" s="73">
        <v>0</v>
      </c>
      <c r="E158" s="73">
        <v>0</v>
      </c>
      <c r="F158" s="73">
        <v>0</v>
      </c>
      <c r="G158" s="73">
        <v>0</v>
      </c>
      <c r="H158" s="73">
        <v>0</v>
      </c>
      <c r="I158" s="73">
        <v>0</v>
      </c>
      <c r="J158" s="73">
        <v>0</v>
      </c>
      <c r="K158" s="73">
        <v>0</v>
      </c>
      <c r="L158" s="73">
        <v>0</v>
      </c>
      <c r="M158" s="73">
        <v>0</v>
      </c>
      <c r="N158" s="73">
        <v>0</v>
      </c>
      <c r="O158" s="73">
        <v>0</v>
      </c>
      <c r="P158" s="73">
        <v>0</v>
      </c>
      <c r="Q158" s="73">
        <v>0</v>
      </c>
      <c r="R158" s="73">
        <v>0</v>
      </c>
      <c r="S158" s="73">
        <v>0</v>
      </c>
      <c r="T158" s="73">
        <v>0</v>
      </c>
      <c r="U158" s="73">
        <v>0</v>
      </c>
      <c r="V158" s="73">
        <v>0</v>
      </c>
      <c r="W158" s="73">
        <v>0</v>
      </c>
      <c r="X158" s="73">
        <v>0</v>
      </c>
      <c r="Y158" s="73">
        <v>0</v>
      </c>
      <c r="Z158" s="73">
        <v>46</v>
      </c>
      <c r="AA158" s="49">
        <v>46</v>
      </c>
      <c r="AB158" s="49">
        <v>34</v>
      </c>
      <c r="AC158" s="49">
        <v>60</v>
      </c>
      <c r="AD158" s="10">
        <v>32.950000000000003</v>
      </c>
    </row>
    <row r="159" spans="2:30" ht="12" customHeight="1" x14ac:dyDescent="0.25">
      <c r="B159" s="59" t="s">
        <v>13</v>
      </c>
      <c r="C159" s="283" t="s">
        <v>35</v>
      </c>
      <c r="D159" s="60">
        <v>3044</v>
      </c>
      <c r="E159" s="60">
        <v>2510</v>
      </c>
      <c r="F159" s="60">
        <v>2412</v>
      </c>
      <c r="G159" s="60">
        <v>2302</v>
      </c>
      <c r="H159" s="60">
        <v>2477</v>
      </c>
      <c r="I159" s="60">
        <v>2636</v>
      </c>
      <c r="J159" s="60">
        <v>2710</v>
      </c>
      <c r="K159" s="60">
        <v>2223</v>
      </c>
      <c r="L159" s="60">
        <v>1908</v>
      </c>
      <c r="M159" s="60">
        <v>1492</v>
      </c>
      <c r="N159" s="60">
        <v>1079</v>
      </c>
      <c r="O159" s="60">
        <v>784</v>
      </c>
      <c r="P159" s="60">
        <v>1310</v>
      </c>
      <c r="Q159" s="60">
        <v>1167</v>
      </c>
      <c r="R159" s="60">
        <v>1061</v>
      </c>
      <c r="S159" s="60">
        <v>1197</v>
      </c>
      <c r="T159" s="60">
        <v>1119</v>
      </c>
      <c r="U159" s="60">
        <v>1094</v>
      </c>
      <c r="V159" s="60">
        <v>653</v>
      </c>
      <c r="W159" s="60">
        <v>658</v>
      </c>
      <c r="X159" s="60">
        <v>1324</v>
      </c>
      <c r="Y159" s="60">
        <v>781</v>
      </c>
      <c r="Z159" s="60">
        <v>730</v>
      </c>
      <c r="AA159" s="49">
        <v>519</v>
      </c>
      <c r="AB159" s="49">
        <v>678</v>
      </c>
      <c r="AC159" s="49">
        <v>651</v>
      </c>
      <c r="AD159" s="10">
        <v>739.43</v>
      </c>
    </row>
    <row r="160" spans="2:30" ht="11.1" customHeight="1" x14ac:dyDescent="0.25">
      <c r="B160" s="383" t="s">
        <v>155</v>
      </c>
      <c r="C160" s="383"/>
      <c r="D160" s="383"/>
      <c r="E160" s="383"/>
      <c r="F160" s="383"/>
      <c r="G160" s="383"/>
      <c r="H160" s="383"/>
      <c r="I160" s="383"/>
      <c r="J160" s="383"/>
      <c r="K160" s="383"/>
      <c r="L160" s="383"/>
      <c r="M160" s="383"/>
      <c r="N160" s="383"/>
      <c r="O160" s="383"/>
      <c r="P160" s="383"/>
      <c r="Q160" s="383"/>
      <c r="R160" s="383"/>
      <c r="S160" s="383"/>
      <c r="T160" s="383"/>
      <c r="U160" s="383"/>
      <c r="V160" s="383"/>
      <c r="W160" s="383"/>
      <c r="X160" s="383"/>
      <c r="Y160" s="383"/>
      <c r="Z160" s="384"/>
      <c r="AA160" s="80"/>
      <c r="AB160" s="80"/>
      <c r="AC160" s="80"/>
      <c r="AD160" s="80"/>
    </row>
    <row r="161" spans="2:30" ht="11.1" customHeight="1" x14ac:dyDescent="0.25">
      <c r="B161" s="12" t="s">
        <v>102</v>
      </c>
      <c r="C161" s="8" t="s">
        <v>35</v>
      </c>
      <c r="D161" s="73">
        <v>4728.26</v>
      </c>
      <c r="E161" s="73">
        <v>4015</v>
      </c>
      <c r="F161" s="73">
        <v>4186.12</v>
      </c>
      <c r="G161" s="73">
        <v>3422.05</v>
      </c>
      <c r="H161" s="73">
        <v>4162.12</v>
      </c>
      <c r="I161" s="73">
        <v>2373.11</v>
      </c>
      <c r="J161" s="73">
        <v>3166.3</v>
      </c>
      <c r="K161" s="73">
        <v>2218.4699999999998</v>
      </c>
      <c r="L161" s="73">
        <v>906.43499999999995</v>
      </c>
      <c r="M161" s="73">
        <v>238.99199999999999</v>
      </c>
      <c r="N161" s="73">
        <v>582.57799999999997</v>
      </c>
      <c r="O161" s="73">
        <v>562.40300000000002</v>
      </c>
      <c r="P161" s="73">
        <v>164.55</v>
      </c>
      <c r="Q161" s="73">
        <v>229.19900000000001</v>
      </c>
      <c r="R161" s="73">
        <v>216.822</v>
      </c>
      <c r="S161" s="73">
        <v>209.67</v>
      </c>
      <c r="T161" s="73">
        <v>267.142</v>
      </c>
      <c r="U161" s="73">
        <v>414.84199999999998</v>
      </c>
      <c r="V161" s="73">
        <v>416.38400000000001</v>
      </c>
      <c r="W161" s="73">
        <v>495.05900000000003</v>
      </c>
      <c r="X161" s="73">
        <v>931.09400000000005</v>
      </c>
      <c r="Y161" s="73">
        <v>900</v>
      </c>
      <c r="Z161" s="73">
        <v>1772.16</v>
      </c>
      <c r="AA161" s="49">
        <v>1944.3</v>
      </c>
      <c r="AB161" s="49">
        <v>1456.88</v>
      </c>
      <c r="AC161" s="49">
        <v>568.74</v>
      </c>
      <c r="AD161" s="10">
        <v>1379.02</v>
      </c>
    </row>
    <row r="162" spans="2:30" ht="11.1" customHeight="1" x14ac:dyDescent="0.25">
      <c r="B162" s="12" t="s">
        <v>103</v>
      </c>
      <c r="C162" s="8" t="s">
        <v>35</v>
      </c>
      <c r="D162" s="73">
        <v>6209.3</v>
      </c>
      <c r="E162" s="73">
        <v>9492.9599999999991</v>
      </c>
      <c r="F162" s="73">
        <v>7561.44</v>
      </c>
      <c r="G162" s="73">
        <v>9156.92</v>
      </c>
      <c r="H162" s="73">
        <v>8865.0499999999993</v>
      </c>
      <c r="I162" s="73">
        <v>8678.16</v>
      </c>
      <c r="J162" s="73">
        <v>6310.04</v>
      </c>
      <c r="K162" s="73">
        <v>4229.63</v>
      </c>
      <c r="L162" s="73">
        <v>3755.76</v>
      </c>
      <c r="M162" s="73">
        <v>3504.98</v>
      </c>
      <c r="N162" s="73">
        <v>3964.44</v>
      </c>
      <c r="O162" s="73">
        <v>3459.81</v>
      </c>
      <c r="P162" s="73">
        <v>4013.7</v>
      </c>
      <c r="Q162" s="73">
        <v>4046.57</v>
      </c>
      <c r="R162" s="73">
        <v>4006.96</v>
      </c>
      <c r="S162" s="73">
        <v>3934.34</v>
      </c>
      <c r="T162" s="73">
        <v>1343.52</v>
      </c>
      <c r="U162" s="73">
        <v>1715.32</v>
      </c>
      <c r="V162" s="73">
        <v>1407.93</v>
      </c>
      <c r="W162" s="73">
        <v>1517.33</v>
      </c>
      <c r="X162" s="73">
        <v>1888.54</v>
      </c>
      <c r="Y162" s="73">
        <v>7052.4</v>
      </c>
      <c r="Z162" s="73">
        <v>11914.82</v>
      </c>
      <c r="AA162" s="49">
        <v>10813.42</v>
      </c>
      <c r="AB162" s="49">
        <v>6197.61</v>
      </c>
      <c r="AC162" s="49">
        <v>6712.77</v>
      </c>
      <c r="AD162" s="10">
        <v>11738.34</v>
      </c>
    </row>
    <row r="163" spans="2:30" ht="11.1" customHeight="1" x14ac:dyDescent="0.25">
      <c r="B163" s="12" t="s">
        <v>104</v>
      </c>
      <c r="C163" s="8" t="s">
        <v>35</v>
      </c>
      <c r="D163" s="73">
        <v>3312.96</v>
      </c>
      <c r="E163" s="73">
        <v>3485.09</v>
      </c>
      <c r="F163" s="73">
        <v>2630.63</v>
      </c>
      <c r="G163" s="73">
        <v>2854.85</v>
      </c>
      <c r="H163" s="73">
        <v>3366.38</v>
      </c>
      <c r="I163" s="73">
        <v>3725.58</v>
      </c>
      <c r="J163" s="73">
        <v>3338.01</v>
      </c>
      <c r="K163" s="73">
        <v>2562.65</v>
      </c>
      <c r="L163" s="73">
        <v>2627.74</v>
      </c>
      <c r="M163" s="73">
        <v>3000.2</v>
      </c>
      <c r="N163" s="73">
        <v>2805.04</v>
      </c>
      <c r="O163" s="73">
        <v>2789.2</v>
      </c>
      <c r="P163" s="73">
        <v>2658.02</v>
      </c>
      <c r="Q163" s="73">
        <v>2835.14</v>
      </c>
      <c r="R163" s="73">
        <v>2607.06</v>
      </c>
      <c r="S163" s="73">
        <v>2324.9</v>
      </c>
      <c r="T163" s="73">
        <v>2905.47</v>
      </c>
      <c r="U163" s="73">
        <v>2939.29</v>
      </c>
      <c r="V163" s="73">
        <v>2803.47</v>
      </c>
      <c r="W163" s="73">
        <v>2361.42</v>
      </c>
      <c r="X163" s="73">
        <v>2055.9499999999998</v>
      </c>
      <c r="Y163" s="73">
        <v>1949.73</v>
      </c>
      <c r="Z163" s="73">
        <v>2227.16</v>
      </c>
      <c r="AA163" s="49">
        <v>2013.6</v>
      </c>
      <c r="AB163" s="49">
        <v>1829.93</v>
      </c>
      <c r="AC163" s="49">
        <v>1764.61</v>
      </c>
      <c r="AD163" s="10">
        <v>1892.16</v>
      </c>
    </row>
    <row r="164" spans="2:30" ht="11.1" customHeight="1" x14ac:dyDescent="0.25">
      <c r="B164" s="12" t="s">
        <v>105</v>
      </c>
      <c r="C164" s="8" t="s">
        <v>35</v>
      </c>
      <c r="D164" s="73">
        <v>1554.93</v>
      </c>
      <c r="E164" s="73">
        <v>1008.52</v>
      </c>
      <c r="F164" s="73">
        <v>773.81899999999996</v>
      </c>
      <c r="G164" s="73">
        <v>863.66899999999998</v>
      </c>
      <c r="H164" s="73">
        <v>777.59500000000003</v>
      </c>
      <c r="I164" s="73">
        <v>637.57000000000005</v>
      </c>
      <c r="J164" s="73">
        <v>509.51100000000002</v>
      </c>
      <c r="K164" s="73">
        <v>489.00299999999999</v>
      </c>
      <c r="L164" s="73">
        <v>218.33799999999999</v>
      </c>
      <c r="M164" s="73">
        <v>224.16</v>
      </c>
      <c r="N164" s="73">
        <v>193.60400000000001</v>
      </c>
      <c r="O164" s="73">
        <v>185.37899999999999</v>
      </c>
      <c r="P164" s="73">
        <v>140.91399999999999</v>
      </c>
      <c r="Q164" s="73">
        <v>85.875</v>
      </c>
      <c r="R164" s="73">
        <v>64.456000000000003</v>
      </c>
      <c r="S164" s="73">
        <v>92.248999999999995</v>
      </c>
      <c r="T164" s="73">
        <v>73.116</v>
      </c>
      <c r="U164" s="73">
        <v>52.066000000000003</v>
      </c>
      <c r="V164" s="73">
        <v>25.698</v>
      </c>
      <c r="W164" s="73">
        <v>29.425000000000001</v>
      </c>
      <c r="X164" s="73">
        <v>31.759</v>
      </c>
      <c r="Y164" s="73">
        <v>26.802</v>
      </c>
      <c r="Z164" s="73">
        <v>25.626000000000001</v>
      </c>
      <c r="AA164" s="49">
        <v>19.547999999999998</v>
      </c>
      <c r="AB164" s="49">
        <v>18.349</v>
      </c>
      <c r="AC164" s="49">
        <v>12.331</v>
      </c>
      <c r="AD164" s="10">
        <v>7.75</v>
      </c>
    </row>
    <row r="165" spans="2:30" ht="11.1" customHeight="1" x14ac:dyDescent="0.25">
      <c r="B165" s="12" t="s">
        <v>106</v>
      </c>
      <c r="C165" s="8" t="s">
        <v>35</v>
      </c>
      <c r="D165" s="73">
        <v>704.96600000000001</v>
      </c>
      <c r="E165" s="73">
        <v>375.40899999999999</v>
      </c>
      <c r="F165" s="73">
        <v>362.85199999999998</v>
      </c>
      <c r="G165" s="73">
        <v>328.15499999999997</v>
      </c>
      <c r="H165" s="73">
        <v>280.55599999999998</v>
      </c>
      <c r="I165" s="73">
        <v>279.17500000000001</v>
      </c>
      <c r="J165" s="73">
        <v>266.56299999999999</v>
      </c>
      <c r="K165" s="73">
        <v>397.00099999999998</v>
      </c>
      <c r="L165" s="73">
        <v>289.51100000000002</v>
      </c>
      <c r="M165" s="73">
        <v>203.29</v>
      </c>
      <c r="N165" s="73">
        <v>163.51300000000001</v>
      </c>
      <c r="O165" s="73">
        <v>93.198999999999998</v>
      </c>
      <c r="P165" s="73">
        <v>106.986</v>
      </c>
      <c r="Q165" s="73">
        <v>98.242999999999995</v>
      </c>
      <c r="R165" s="73">
        <v>45.524000000000001</v>
      </c>
      <c r="S165" s="73">
        <v>44.378</v>
      </c>
      <c r="T165" s="73">
        <v>9.9339999999999993</v>
      </c>
      <c r="U165" s="73">
        <v>3.3119999999999998</v>
      </c>
      <c r="V165" s="73">
        <v>15.648</v>
      </c>
      <c r="W165" s="73">
        <v>30.448</v>
      </c>
      <c r="X165" s="73">
        <v>51.728999999999999</v>
      </c>
      <c r="Y165" s="73">
        <v>3.8260000000000001</v>
      </c>
      <c r="Z165" s="73">
        <v>2.1930000000000001</v>
      </c>
      <c r="AA165" s="49">
        <v>3.4860000000000002</v>
      </c>
      <c r="AB165" s="49">
        <v>3.1150000000000002</v>
      </c>
      <c r="AC165" s="49">
        <v>2.399</v>
      </c>
      <c r="AD165" s="10">
        <v>1.34</v>
      </c>
    </row>
    <row r="166" spans="2:30" ht="11.1" customHeight="1" x14ac:dyDescent="0.25">
      <c r="B166" s="12" t="s">
        <v>107</v>
      </c>
      <c r="C166" s="8" t="s">
        <v>35</v>
      </c>
      <c r="D166" s="73">
        <v>2462.69</v>
      </c>
      <c r="E166" s="73">
        <v>2848.96</v>
      </c>
      <c r="F166" s="73">
        <v>3791.79</v>
      </c>
      <c r="G166" s="73">
        <v>3657.16</v>
      </c>
      <c r="H166" s="73">
        <v>4179.47</v>
      </c>
      <c r="I166" s="73">
        <v>3391.57</v>
      </c>
      <c r="J166" s="73">
        <v>2787.33</v>
      </c>
      <c r="K166" s="73">
        <v>2586.4</v>
      </c>
      <c r="L166" s="73">
        <v>2408.46</v>
      </c>
      <c r="M166" s="73">
        <v>1774.31</v>
      </c>
      <c r="N166" s="73">
        <v>1627.52</v>
      </c>
      <c r="O166" s="73">
        <v>1248.72</v>
      </c>
      <c r="P166" s="73">
        <v>1297.67</v>
      </c>
      <c r="Q166" s="73">
        <v>1030.6300000000001</v>
      </c>
      <c r="R166" s="73">
        <v>785.96799999999996</v>
      </c>
      <c r="S166" s="73">
        <v>561.39499999999998</v>
      </c>
      <c r="T166" s="73">
        <v>350.12200000000001</v>
      </c>
      <c r="U166" s="73">
        <v>289.55399999999997</v>
      </c>
      <c r="V166" s="73">
        <v>308.96499999999997</v>
      </c>
      <c r="W166" s="73">
        <v>432.16399999999999</v>
      </c>
      <c r="X166" s="73">
        <v>367.036</v>
      </c>
      <c r="Y166" s="73">
        <v>283.10700000000003</v>
      </c>
      <c r="Z166" s="73">
        <v>281.82799999999997</v>
      </c>
      <c r="AA166" s="49">
        <v>217.202</v>
      </c>
      <c r="AB166" s="49">
        <v>127.009</v>
      </c>
      <c r="AC166" s="49">
        <v>101.61</v>
      </c>
      <c r="AD166" s="10">
        <v>134.80000000000001</v>
      </c>
    </row>
    <row r="167" spans="2:30" ht="11.25" customHeight="1" x14ac:dyDescent="0.25">
      <c r="B167" s="12" t="s">
        <v>52</v>
      </c>
      <c r="C167" s="8" t="s">
        <v>35</v>
      </c>
      <c r="D167" s="73">
        <v>420.90800000000002</v>
      </c>
      <c r="E167" s="73">
        <v>604.69500000000005</v>
      </c>
      <c r="F167" s="73">
        <v>496.47800000000001</v>
      </c>
      <c r="G167" s="73">
        <v>509.17700000000002</v>
      </c>
      <c r="H167" s="73">
        <v>607.18899999999996</v>
      </c>
      <c r="I167" s="73">
        <v>450.11399999999998</v>
      </c>
      <c r="J167" s="73">
        <v>290.19499999999999</v>
      </c>
      <c r="K167" s="73">
        <v>369.54599999999999</v>
      </c>
      <c r="L167" s="73">
        <v>366.94200000000001</v>
      </c>
      <c r="M167" s="73">
        <v>388.80900000000003</v>
      </c>
      <c r="N167" s="73">
        <v>359.983</v>
      </c>
      <c r="O167" s="73">
        <v>404.322</v>
      </c>
      <c r="P167" s="73">
        <v>339.31400000000002</v>
      </c>
      <c r="Q167" s="73">
        <v>343.952</v>
      </c>
      <c r="R167" s="73">
        <v>499.98700000000002</v>
      </c>
      <c r="S167" s="73">
        <v>596.24800000000005</v>
      </c>
      <c r="T167" s="73">
        <v>800.29100000000005</v>
      </c>
      <c r="U167" s="73">
        <v>689.95</v>
      </c>
      <c r="V167" s="73">
        <v>746.95899999999995</v>
      </c>
      <c r="W167" s="73">
        <v>683.16300000000001</v>
      </c>
      <c r="X167" s="73">
        <v>538.18799999999999</v>
      </c>
      <c r="Y167" s="73">
        <v>528.29</v>
      </c>
      <c r="Z167" s="73">
        <v>518.32000000000005</v>
      </c>
      <c r="AA167" s="49">
        <v>465.416</v>
      </c>
      <c r="AB167" s="49">
        <v>360.22899999999998</v>
      </c>
      <c r="AC167" s="49">
        <v>280.71300000000002</v>
      </c>
      <c r="AD167" s="10">
        <v>359.93</v>
      </c>
    </row>
    <row r="168" spans="2:30" ht="11.25" customHeight="1" x14ac:dyDescent="0.25">
      <c r="B168" s="12" t="s">
        <v>48</v>
      </c>
      <c r="C168" s="8" t="s">
        <v>35</v>
      </c>
      <c r="D168" s="73">
        <v>989.72199999999998</v>
      </c>
      <c r="E168" s="73">
        <v>822.09900000000005</v>
      </c>
      <c r="F168" s="73">
        <v>918.78099999999995</v>
      </c>
      <c r="G168" s="73">
        <v>795.327</v>
      </c>
      <c r="H168" s="73">
        <v>850.54600000000005</v>
      </c>
      <c r="I168" s="73">
        <v>719.08100000000002</v>
      </c>
      <c r="J168" s="73">
        <v>782.67899999999997</v>
      </c>
      <c r="K168" s="73">
        <v>770.02</v>
      </c>
      <c r="L168" s="73">
        <v>629.43399999999997</v>
      </c>
      <c r="M168" s="73">
        <v>644.71100000000001</v>
      </c>
      <c r="N168" s="73">
        <v>541.83299999999997</v>
      </c>
      <c r="O168" s="73">
        <v>403.14800000000002</v>
      </c>
      <c r="P168" s="73">
        <v>390.35700000000003</v>
      </c>
      <c r="Q168" s="73">
        <v>403.65300000000002</v>
      </c>
      <c r="R168" s="73">
        <v>334.54500000000002</v>
      </c>
      <c r="S168" s="73">
        <v>200.375</v>
      </c>
      <c r="T168" s="73">
        <v>116.379</v>
      </c>
      <c r="U168" s="73">
        <v>144.816</v>
      </c>
      <c r="V168" s="73">
        <v>214.70599999999999</v>
      </c>
      <c r="W168" s="73">
        <v>178.636</v>
      </c>
      <c r="X168" s="73">
        <v>184.392</v>
      </c>
      <c r="Y168" s="73">
        <v>98.975999999999999</v>
      </c>
      <c r="Z168" s="73">
        <v>102.64100000000001</v>
      </c>
      <c r="AA168" s="49">
        <v>86.813999999999993</v>
      </c>
      <c r="AB168" s="49">
        <v>31.957999999999998</v>
      </c>
      <c r="AC168" s="49">
        <v>40.207999999999998</v>
      </c>
      <c r="AD168" s="10">
        <v>30.95</v>
      </c>
    </row>
    <row r="169" spans="2:30" ht="11.1" customHeight="1" x14ac:dyDescent="0.25">
      <c r="B169" s="12" t="s">
        <v>108</v>
      </c>
      <c r="C169" s="8" t="s">
        <v>35</v>
      </c>
      <c r="D169" s="73">
        <v>1674.19</v>
      </c>
      <c r="E169" s="73">
        <v>1743.41</v>
      </c>
      <c r="F169" s="73">
        <v>1465.32</v>
      </c>
      <c r="G169" s="73">
        <v>1178.56</v>
      </c>
      <c r="H169" s="73">
        <v>1053.45</v>
      </c>
      <c r="I169" s="73">
        <v>1092.33</v>
      </c>
      <c r="J169" s="73">
        <v>871.601</v>
      </c>
      <c r="K169" s="73">
        <v>740.51</v>
      </c>
      <c r="L169" s="73">
        <v>645.47299999999996</v>
      </c>
      <c r="M169" s="73">
        <v>760.74900000000002</v>
      </c>
      <c r="N169" s="73">
        <v>611.28</v>
      </c>
      <c r="O169" s="73">
        <v>558.45500000000004</v>
      </c>
      <c r="P169" s="73">
        <v>743.30799999999999</v>
      </c>
      <c r="Q169" s="73">
        <v>751.57500000000005</v>
      </c>
      <c r="R169" s="73">
        <v>657.00300000000004</v>
      </c>
      <c r="S169" s="73">
        <v>533.54499999999996</v>
      </c>
      <c r="T169" s="73">
        <v>599.29600000000005</v>
      </c>
      <c r="U169" s="73">
        <v>523.226</v>
      </c>
      <c r="V169" s="73">
        <v>649.88400000000001</v>
      </c>
      <c r="W169" s="73">
        <v>723.50900000000001</v>
      </c>
      <c r="X169" s="73">
        <v>645.74599999999998</v>
      </c>
      <c r="Y169" s="73">
        <v>568.33399999999995</v>
      </c>
      <c r="Z169" s="73">
        <v>614.57899999999995</v>
      </c>
      <c r="AA169" s="49">
        <v>555.84400000000005</v>
      </c>
      <c r="AB169" s="49">
        <v>621.36</v>
      </c>
      <c r="AC169" s="49">
        <v>544.18399999999997</v>
      </c>
      <c r="AD169" s="10">
        <v>494.21</v>
      </c>
    </row>
    <row r="170" spans="2:30" ht="11.1" customHeight="1" x14ac:dyDescent="0.25">
      <c r="B170" s="12" t="s">
        <v>109</v>
      </c>
      <c r="C170" s="8" t="s">
        <v>35</v>
      </c>
      <c r="D170" s="73">
        <v>453.673</v>
      </c>
      <c r="E170" s="73">
        <v>447.31200000000001</v>
      </c>
      <c r="F170" s="73">
        <v>456.214</v>
      </c>
      <c r="G170" s="73">
        <v>220.75800000000001</v>
      </c>
      <c r="H170" s="73">
        <v>266.99700000000001</v>
      </c>
      <c r="I170" s="73">
        <v>176.684</v>
      </c>
      <c r="J170" s="73">
        <v>220.977</v>
      </c>
      <c r="K170" s="73">
        <v>253.148</v>
      </c>
      <c r="L170" s="73">
        <v>193.60599999999999</v>
      </c>
      <c r="M170" s="73">
        <v>169.89699999999999</v>
      </c>
      <c r="N170" s="73">
        <v>200.614</v>
      </c>
      <c r="O170" s="73">
        <v>146.48599999999999</v>
      </c>
      <c r="P170" s="73">
        <v>174.16200000000001</v>
      </c>
      <c r="Q170" s="73">
        <v>129.68700000000001</v>
      </c>
      <c r="R170" s="73">
        <v>106.538</v>
      </c>
      <c r="S170" s="73">
        <v>96.616</v>
      </c>
      <c r="T170" s="73">
        <v>93.82</v>
      </c>
      <c r="U170" s="73">
        <v>107.348</v>
      </c>
      <c r="V170" s="73">
        <v>101.866</v>
      </c>
      <c r="W170" s="73">
        <v>92.331000000000003</v>
      </c>
      <c r="X170" s="73">
        <v>127.761</v>
      </c>
      <c r="Y170" s="73">
        <v>146.37700000000001</v>
      </c>
      <c r="Z170" s="73">
        <v>116.41</v>
      </c>
      <c r="AA170" s="49">
        <v>121.184</v>
      </c>
      <c r="AB170" s="49">
        <v>93.087999999999994</v>
      </c>
      <c r="AC170" s="49">
        <v>85.927000000000007</v>
      </c>
      <c r="AD170" s="10">
        <v>72.3</v>
      </c>
    </row>
    <row r="171" spans="2:30" ht="11.1" customHeight="1" x14ac:dyDescent="0.25">
      <c r="B171" s="12" t="s">
        <v>110</v>
      </c>
      <c r="C171" s="8" t="s">
        <v>35</v>
      </c>
      <c r="D171" s="73">
        <v>90.706000000000003</v>
      </c>
      <c r="E171" s="73">
        <v>74.09</v>
      </c>
      <c r="F171" s="73">
        <v>120.997</v>
      </c>
      <c r="G171" s="73">
        <v>144.232</v>
      </c>
      <c r="H171" s="73">
        <v>146.64500000000001</v>
      </c>
      <c r="I171" s="73">
        <v>158.827</v>
      </c>
      <c r="J171" s="73">
        <v>86.438000000000002</v>
      </c>
      <c r="K171" s="73">
        <v>90.302999999999997</v>
      </c>
      <c r="L171" s="73">
        <v>73.891000000000005</v>
      </c>
      <c r="M171" s="73">
        <v>94.162999999999997</v>
      </c>
      <c r="N171" s="73">
        <v>131.46299999999999</v>
      </c>
      <c r="O171" s="73">
        <v>203.03299999999999</v>
      </c>
      <c r="P171" s="73">
        <v>218.82400000000001</v>
      </c>
      <c r="Q171" s="73">
        <v>180.267</v>
      </c>
      <c r="R171" s="73">
        <v>90.006</v>
      </c>
      <c r="S171" s="73">
        <v>149.21299999999999</v>
      </c>
      <c r="T171" s="73">
        <v>92.46</v>
      </c>
      <c r="U171" s="73">
        <v>65.259</v>
      </c>
      <c r="V171" s="73">
        <v>48.311999999999998</v>
      </c>
      <c r="W171" s="73">
        <v>46.444000000000003</v>
      </c>
      <c r="X171" s="73">
        <v>2.1619999999999999</v>
      </c>
      <c r="Y171" s="73">
        <v>34.44</v>
      </c>
      <c r="Z171" s="73">
        <v>11.632</v>
      </c>
      <c r="AA171" s="49">
        <v>30.486999999999998</v>
      </c>
      <c r="AB171" s="49">
        <v>33.654000000000003</v>
      </c>
      <c r="AC171" s="49">
        <v>15.817</v>
      </c>
      <c r="AD171" s="10">
        <v>9.3800000000000008</v>
      </c>
    </row>
    <row r="172" spans="2:30" ht="11.1" customHeight="1" x14ac:dyDescent="0.25">
      <c r="B172" s="12" t="s">
        <v>111</v>
      </c>
      <c r="C172" s="8" t="s">
        <v>35</v>
      </c>
      <c r="D172" s="73">
        <v>377.56599999999997</v>
      </c>
      <c r="E172" s="73">
        <v>276.09199999999998</v>
      </c>
      <c r="F172" s="73">
        <v>239.07</v>
      </c>
      <c r="G172" s="73">
        <v>405.70699999999999</v>
      </c>
      <c r="H172" s="73">
        <v>622.82399999999996</v>
      </c>
      <c r="I172" s="73">
        <v>617.12300000000005</v>
      </c>
      <c r="J172" s="73">
        <v>573.51099999999997</v>
      </c>
      <c r="K172" s="73">
        <v>488.88200000000001</v>
      </c>
      <c r="L172" s="73">
        <v>298.125</v>
      </c>
      <c r="M172" s="73">
        <v>440.78399999999999</v>
      </c>
      <c r="N172" s="73">
        <v>445.44</v>
      </c>
      <c r="O172" s="73">
        <v>530.83900000000006</v>
      </c>
      <c r="P172" s="73">
        <v>624.62199999999996</v>
      </c>
      <c r="Q172" s="73">
        <v>548.13599999999997</v>
      </c>
      <c r="R172" s="73">
        <v>350.90199999999999</v>
      </c>
      <c r="S172" s="73">
        <v>195.536</v>
      </c>
      <c r="T172" s="73">
        <v>262.435</v>
      </c>
      <c r="U172" s="73">
        <v>251.619</v>
      </c>
      <c r="V172" s="73">
        <v>312.86500000000001</v>
      </c>
      <c r="W172" s="73">
        <v>148.26400000000001</v>
      </c>
      <c r="X172" s="73">
        <v>111.07</v>
      </c>
      <c r="Y172" s="73">
        <v>113.721</v>
      </c>
      <c r="Z172" s="73">
        <v>116.776</v>
      </c>
      <c r="AA172" s="49">
        <v>78.83</v>
      </c>
      <c r="AB172" s="49">
        <v>100.524</v>
      </c>
      <c r="AC172" s="49">
        <v>149.321</v>
      </c>
      <c r="AD172" s="10">
        <v>177.7</v>
      </c>
    </row>
    <row r="173" spans="2:30" ht="11.1" customHeight="1" x14ac:dyDescent="0.25">
      <c r="B173" s="75" t="s">
        <v>112</v>
      </c>
      <c r="C173" s="8" t="s">
        <v>35</v>
      </c>
      <c r="D173" s="73">
        <v>395.67200000000003</v>
      </c>
      <c r="E173" s="73">
        <v>602.56299999999999</v>
      </c>
      <c r="F173" s="73">
        <v>283.02300000000002</v>
      </c>
      <c r="G173" s="73">
        <v>377.66899999999998</v>
      </c>
      <c r="H173" s="73">
        <v>232.27699999999999</v>
      </c>
      <c r="I173" s="73">
        <v>192.19399999999999</v>
      </c>
      <c r="J173" s="73">
        <v>172.61799999999999</v>
      </c>
      <c r="K173" s="73">
        <v>167.05799999999999</v>
      </c>
      <c r="L173" s="73">
        <v>174.98099999999999</v>
      </c>
      <c r="M173" s="73">
        <v>98.355999999999995</v>
      </c>
      <c r="N173" s="73">
        <v>64.927999999999997</v>
      </c>
      <c r="O173" s="73">
        <v>97.234999999999999</v>
      </c>
      <c r="P173" s="73">
        <v>108.099</v>
      </c>
      <c r="Q173" s="73">
        <v>150.03</v>
      </c>
      <c r="R173" s="73">
        <v>238.21299999999999</v>
      </c>
      <c r="S173" s="73">
        <v>170.96700000000001</v>
      </c>
      <c r="T173" s="73">
        <v>155.739</v>
      </c>
      <c r="U173" s="73">
        <v>171.745</v>
      </c>
      <c r="V173" s="73">
        <v>168.85900000000001</v>
      </c>
      <c r="W173" s="73">
        <v>205.541</v>
      </c>
      <c r="X173" s="73">
        <v>139.65100000000001</v>
      </c>
      <c r="Y173" s="73">
        <v>138.88999999999999</v>
      </c>
      <c r="Z173" s="73">
        <v>29.751999999999999</v>
      </c>
      <c r="AA173" s="49">
        <v>1.4359999999999999</v>
      </c>
      <c r="AB173" s="49">
        <v>30.338999999999999</v>
      </c>
      <c r="AC173" s="49">
        <v>163.976</v>
      </c>
      <c r="AD173" s="10">
        <v>148.27000000000001</v>
      </c>
    </row>
    <row r="174" spans="2:30" ht="11.1" customHeight="1" x14ac:dyDescent="0.25">
      <c r="B174" s="12" t="s">
        <v>146</v>
      </c>
      <c r="C174" s="8" t="s">
        <v>35</v>
      </c>
      <c r="D174" s="73">
        <v>377.96600000000001</v>
      </c>
      <c r="E174" s="73">
        <v>403.59500000000003</v>
      </c>
      <c r="F174" s="73">
        <v>429.82900000000001</v>
      </c>
      <c r="G174" s="73">
        <v>367.51</v>
      </c>
      <c r="H174" s="73">
        <v>428.35</v>
      </c>
      <c r="I174" s="73">
        <v>324.90100000000001</v>
      </c>
      <c r="J174" s="73">
        <v>337.70499999999998</v>
      </c>
      <c r="K174" s="73">
        <v>229.81700000000001</v>
      </c>
      <c r="L174" s="73">
        <v>159.78800000000001</v>
      </c>
      <c r="M174" s="73">
        <v>194.48500000000001</v>
      </c>
      <c r="N174" s="73">
        <v>178.37100000000001</v>
      </c>
      <c r="O174" s="73">
        <v>176.643</v>
      </c>
      <c r="P174" s="73">
        <v>204.50299999999999</v>
      </c>
      <c r="Q174" s="73">
        <v>205.07499999999999</v>
      </c>
      <c r="R174" s="73">
        <v>178.786</v>
      </c>
      <c r="S174" s="73">
        <v>157.03800000000001</v>
      </c>
      <c r="T174" s="73">
        <v>162.77000000000001</v>
      </c>
      <c r="U174" s="73">
        <v>145.506</v>
      </c>
      <c r="V174" s="73">
        <v>164.61199999999999</v>
      </c>
      <c r="W174" s="73">
        <v>147.61600000000001</v>
      </c>
      <c r="X174" s="73">
        <v>164.154</v>
      </c>
      <c r="Y174" s="73">
        <v>144.30000000000001</v>
      </c>
      <c r="Z174" s="73">
        <v>180.81899999999999</v>
      </c>
      <c r="AA174" s="49">
        <v>142.83099999999999</v>
      </c>
      <c r="AB174" s="49">
        <v>141.67599999999999</v>
      </c>
      <c r="AC174" s="49">
        <v>131.989</v>
      </c>
      <c r="AD174" s="10">
        <v>101.99</v>
      </c>
    </row>
    <row r="175" spans="2:30" ht="11.1" customHeight="1" x14ac:dyDescent="0.25">
      <c r="B175" s="12" t="s">
        <v>114</v>
      </c>
      <c r="C175" s="8" t="s">
        <v>35</v>
      </c>
      <c r="D175" s="73">
        <v>136.06</v>
      </c>
      <c r="E175" s="73">
        <v>159.202</v>
      </c>
      <c r="F175" s="73">
        <v>142.97900000000001</v>
      </c>
      <c r="G175" s="73">
        <v>135.44399999999999</v>
      </c>
      <c r="H175" s="73">
        <v>156.96</v>
      </c>
      <c r="I175" s="73">
        <v>178.21299999999999</v>
      </c>
      <c r="J175" s="73">
        <v>142.285</v>
      </c>
      <c r="K175" s="73">
        <v>99.677000000000007</v>
      </c>
      <c r="L175" s="73">
        <v>63.518000000000001</v>
      </c>
      <c r="M175" s="73">
        <v>97.605999999999995</v>
      </c>
      <c r="N175" s="73">
        <v>133.81200000000001</v>
      </c>
      <c r="O175" s="73">
        <v>88.44</v>
      </c>
      <c r="P175" s="73">
        <v>78.167000000000002</v>
      </c>
      <c r="Q175" s="73">
        <v>89.111999999999995</v>
      </c>
      <c r="R175" s="73">
        <v>77.742999999999995</v>
      </c>
      <c r="S175" s="73">
        <v>72.076999999999998</v>
      </c>
      <c r="T175" s="73">
        <v>74.343000000000004</v>
      </c>
      <c r="U175" s="73">
        <v>77.983000000000004</v>
      </c>
      <c r="V175" s="73">
        <v>84.132999999999996</v>
      </c>
      <c r="W175" s="73">
        <v>82.147999999999996</v>
      </c>
      <c r="X175" s="73">
        <v>63.954000000000001</v>
      </c>
      <c r="Y175" s="73">
        <v>62.793999999999997</v>
      </c>
      <c r="Z175" s="73">
        <v>62.267000000000003</v>
      </c>
      <c r="AA175" s="49">
        <v>52.546999999999997</v>
      </c>
      <c r="AB175" s="49">
        <v>36.389000000000003</v>
      </c>
      <c r="AC175" s="49">
        <v>37.04</v>
      </c>
      <c r="AD175" s="10">
        <v>39.299999999999997</v>
      </c>
    </row>
    <row r="176" spans="2:30" ht="11.1" customHeight="1" x14ac:dyDescent="0.25">
      <c r="B176" s="78" t="s">
        <v>115</v>
      </c>
      <c r="C176" s="8" t="s">
        <v>35</v>
      </c>
      <c r="D176" s="73">
        <v>121.64400000000001</v>
      </c>
      <c r="E176" s="73">
        <v>105.246</v>
      </c>
      <c r="F176" s="73">
        <v>102.85899999999999</v>
      </c>
      <c r="G176" s="73">
        <v>67.801000000000002</v>
      </c>
      <c r="H176" s="73">
        <v>58.924999999999997</v>
      </c>
      <c r="I176" s="73">
        <v>55.73</v>
      </c>
      <c r="J176" s="73">
        <v>46.668999999999997</v>
      </c>
      <c r="K176" s="73">
        <v>54.671999999999997</v>
      </c>
      <c r="L176" s="73">
        <v>59.723999999999997</v>
      </c>
      <c r="M176" s="73">
        <v>39.680999999999997</v>
      </c>
      <c r="N176" s="73">
        <v>40.597999999999999</v>
      </c>
      <c r="O176" s="73">
        <v>41.119</v>
      </c>
      <c r="P176" s="73">
        <v>26.603999999999999</v>
      </c>
      <c r="Q176" s="73">
        <v>15.922000000000001</v>
      </c>
      <c r="R176" s="73">
        <v>8.8350000000000009</v>
      </c>
      <c r="S176" s="73">
        <v>17.454999999999998</v>
      </c>
      <c r="T176" s="73">
        <v>36.034999999999997</v>
      </c>
      <c r="U176" s="73">
        <v>19.88</v>
      </c>
      <c r="V176" s="73">
        <v>51.128999999999998</v>
      </c>
      <c r="W176" s="73">
        <v>46.835000000000001</v>
      </c>
      <c r="X176" s="73">
        <v>33.372</v>
      </c>
      <c r="Y176" s="73">
        <v>11.855</v>
      </c>
      <c r="Z176" s="73">
        <v>5.726</v>
      </c>
      <c r="AA176" s="49">
        <v>19.954000000000001</v>
      </c>
      <c r="AB176" s="49">
        <v>4.4219999999999997</v>
      </c>
      <c r="AC176" s="49">
        <v>11.237</v>
      </c>
      <c r="AD176" s="10">
        <v>3.07</v>
      </c>
    </row>
    <row r="177" spans="2:30" ht="11.1" customHeight="1" x14ac:dyDescent="0.25">
      <c r="B177" s="12" t="s">
        <v>127</v>
      </c>
      <c r="C177" s="283" t="s">
        <v>35</v>
      </c>
      <c r="D177" s="84">
        <v>38.909999999999997</v>
      </c>
      <c r="E177" s="85">
        <v>71.105000000000004</v>
      </c>
      <c r="F177" s="85">
        <v>90.304000000000002</v>
      </c>
      <c r="G177" s="73">
        <v>107.676</v>
      </c>
      <c r="H177" s="73">
        <v>100.43899999999999</v>
      </c>
      <c r="I177" s="73">
        <v>98.878</v>
      </c>
      <c r="J177" s="73">
        <v>98.006</v>
      </c>
      <c r="K177" s="73">
        <v>89.355999999999995</v>
      </c>
      <c r="L177" s="73">
        <v>80.652000000000001</v>
      </c>
      <c r="M177" s="73">
        <v>122.071</v>
      </c>
      <c r="N177" s="73">
        <v>141.11199999999999</v>
      </c>
      <c r="O177" s="73">
        <v>113.81100000000001</v>
      </c>
      <c r="P177" s="73">
        <v>133.73699999999999</v>
      </c>
      <c r="Q177" s="73">
        <v>143.77099999999999</v>
      </c>
      <c r="R177" s="73">
        <v>164.59</v>
      </c>
      <c r="S177" s="73">
        <v>134.98699999999999</v>
      </c>
      <c r="T177" s="73">
        <v>138.75700000000001</v>
      </c>
      <c r="U177" s="73">
        <v>134.47999999999999</v>
      </c>
      <c r="V177" s="73">
        <v>147.66300000000001</v>
      </c>
      <c r="W177" s="73">
        <v>129.79499999999999</v>
      </c>
      <c r="X177" s="73">
        <v>168.20500000000001</v>
      </c>
      <c r="Y177" s="73">
        <v>190.214</v>
      </c>
      <c r="Z177" s="73">
        <v>190.87100000000001</v>
      </c>
      <c r="AA177" s="49">
        <v>158.80500000000001</v>
      </c>
      <c r="AB177" s="49">
        <v>166.923</v>
      </c>
      <c r="AC177" s="49">
        <v>141.321</v>
      </c>
      <c r="AD177" s="10">
        <v>140.51</v>
      </c>
    </row>
    <row r="178" spans="2:30" ht="11.1" customHeight="1" x14ac:dyDescent="0.25">
      <c r="B178" s="12" t="s">
        <v>116</v>
      </c>
      <c r="C178" s="8" t="s">
        <v>35</v>
      </c>
      <c r="D178" s="73">
        <v>16.510999999999999</v>
      </c>
      <c r="E178" s="73">
        <v>43.709000000000003</v>
      </c>
      <c r="F178" s="73">
        <v>33.36</v>
      </c>
      <c r="G178" s="73">
        <v>31.701000000000001</v>
      </c>
      <c r="H178" s="73">
        <v>39.055</v>
      </c>
      <c r="I178" s="73">
        <v>29.428999999999998</v>
      </c>
      <c r="J178" s="73">
        <v>23.35</v>
      </c>
      <c r="K178" s="73">
        <v>19.475000000000001</v>
      </c>
      <c r="L178" s="73">
        <v>16.899999999999999</v>
      </c>
      <c r="M178" s="73">
        <v>17.347999999999999</v>
      </c>
      <c r="N178" s="73">
        <v>21.571999999999999</v>
      </c>
      <c r="O178" s="73">
        <v>26.451000000000001</v>
      </c>
      <c r="P178" s="73">
        <v>33.972000000000001</v>
      </c>
      <c r="Q178" s="73">
        <v>24.468</v>
      </c>
      <c r="R178" s="73">
        <v>14.353</v>
      </c>
      <c r="S178" s="73">
        <v>27.827000000000002</v>
      </c>
      <c r="T178" s="73">
        <v>20.55</v>
      </c>
      <c r="U178" s="73">
        <v>22.687000000000001</v>
      </c>
      <c r="V178" s="73">
        <v>34.293999999999997</v>
      </c>
      <c r="W178" s="73">
        <v>33.506999999999998</v>
      </c>
      <c r="X178" s="73">
        <v>44.984000000000002</v>
      </c>
      <c r="Y178" s="73">
        <v>43.441000000000003</v>
      </c>
      <c r="Z178" s="73">
        <v>50.420999999999999</v>
      </c>
      <c r="AA178" s="49">
        <v>38.918999999999997</v>
      </c>
      <c r="AB178" s="49">
        <v>66.209000000000003</v>
      </c>
      <c r="AC178" s="49">
        <v>52.9</v>
      </c>
      <c r="AD178" s="10">
        <v>36.200000000000003</v>
      </c>
    </row>
    <row r="179" spans="2:30" ht="11.1" customHeight="1" x14ac:dyDescent="0.25">
      <c r="B179" s="77" t="s">
        <v>117</v>
      </c>
      <c r="C179" s="8" t="s">
        <v>35</v>
      </c>
      <c r="D179" s="73">
        <v>30.030999999999999</v>
      </c>
      <c r="E179" s="73">
        <v>0</v>
      </c>
      <c r="F179" s="73">
        <v>49.51</v>
      </c>
      <c r="G179" s="73">
        <v>77.171000000000006</v>
      </c>
      <c r="H179" s="73">
        <v>123.203</v>
      </c>
      <c r="I179" s="73">
        <v>134.67099999999999</v>
      </c>
      <c r="J179" s="73">
        <v>140.084</v>
      </c>
      <c r="K179" s="73">
        <v>154.38499999999999</v>
      </c>
      <c r="L179" s="73">
        <v>133.48699999999999</v>
      </c>
      <c r="M179" s="73">
        <v>150.00299999999999</v>
      </c>
      <c r="N179" s="73">
        <v>157.983</v>
      </c>
      <c r="O179" s="73">
        <v>134.41499999999999</v>
      </c>
      <c r="P179" s="73">
        <v>149.17699999999999</v>
      </c>
      <c r="Q179" s="73">
        <v>124.623</v>
      </c>
      <c r="R179" s="73">
        <v>133.71100000000001</v>
      </c>
      <c r="S179" s="73">
        <v>122.96299999999999</v>
      </c>
      <c r="T179" s="73">
        <v>125.989</v>
      </c>
      <c r="U179" s="73">
        <v>114.602</v>
      </c>
      <c r="V179" s="73">
        <v>113.9</v>
      </c>
      <c r="W179" s="73">
        <v>140.483</v>
      </c>
      <c r="X179" s="73">
        <v>138.80799999999999</v>
      </c>
      <c r="Y179" s="73">
        <v>100.283</v>
      </c>
      <c r="Z179" s="73">
        <v>98.352000000000004</v>
      </c>
      <c r="AA179" s="49">
        <v>80.254000000000005</v>
      </c>
      <c r="AB179" s="49">
        <v>99.734999999999999</v>
      </c>
      <c r="AC179" s="49">
        <v>86.656000000000006</v>
      </c>
      <c r="AD179" s="10">
        <v>99.83</v>
      </c>
    </row>
    <row r="180" spans="2:30" ht="11.1" customHeight="1" x14ac:dyDescent="0.25">
      <c r="B180" s="77" t="s">
        <v>129</v>
      </c>
      <c r="C180" s="8" t="s">
        <v>35</v>
      </c>
      <c r="D180" s="73">
        <v>7.6740000000000004</v>
      </c>
      <c r="E180" s="73">
        <v>8.0380000000000003</v>
      </c>
      <c r="F180" s="73">
        <v>7.91</v>
      </c>
      <c r="G180" s="73">
        <v>10.228999999999999</v>
      </c>
      <c r="H180" s="73">
        <v>31.933</v>
      </c>
      <c r="I180" s="73">
        <v>52.191000000000003</v>
      </c>
      <c r="J180" s="73">
        <v>47.985999999999997</v>
      </c>
      <c r="K180" s="73">
        <v>65.132999999999996</v>
      </c>
      <c r="L180" s="73">
        <v>35.582000000000001</v>
      </c>
      <c r="M180" s="73">
        <v>44.432000000000002</v>
      </c>
      <c r="N180" s="73">
        <v>45.892000000000003</v>
      </c>
      <c r="O180" s="73">
        <v>65.814999999999998</v>
      </c>
      <c r="P180" s="73">
        <v>47.09</v>
      </c>
      <c r="Q180" s="73">
        <v>51.371000000000002</v>
      </c>
      <c r="R180" s="73">
        <v>47.828000000000003</v>
      </c>
      <c r="S180" s="73">
        <v>41.593000000000004</v>
      </c>
      <c r="T180" s="73">
        <v>37.677999999999997</v>
      </c>
      <c r="U180" s="73">
        <v>29.890999999999998</v>
      </c>
      <c r="V180" s="73">
        <v>29.321999999999999</v>
      </c>
      <c r="W180" s="73">
        <v>29.423999999999999</v>
      </c>
      <c r="X180" s="73">
        <v>32.615000000000002</v>
      </c>
      <c r="Y180" s="73">
        <v>22.864999999999998</v>
      </c>
      <c r="Z180" s="73">
        <v>15.93</v>
      </c>
      <c r="AA180" s="49">
        <v>23.648</v>
      </c>
      <c r="AB180" s="49">
        <v>20.832999999999998</v>
      </c>
      <c r="AC180" s="49">
        <v>22.053000000000001</v>
      </c>
      <c r="AD180" s="10">
        <v>27.05</v>
      </c>
    </row>
    <row r="181" spans="2:30" ht="11.1" customHeight="1" x14ac:dyDescent="0.25">
      <c r="B181" s="77" t="s">
        <v>95</v>
      </c>
      <c r="C181" s="8" t="s">
        <v>35</v>
      </c>
      <c r="D181" s="73">
        <v>3667.68</v>
      </c>
      <c r="E181" s="73">
        <v>3904.24</v>
      </c>
      <c r="F181" s="73">
        <v>4470.5</v>
      </c>
      <c r="G181" s="73">
        <v>3568.66</v>
      </c>
      <c r="H181" s="73">
        <v>4208.5</v>
      </c>
      <c r="I181" s="73">
        <v>4723.03</v>
      </c>
      <c r="J181" s="73">
        <v>4843.58</v>
      </c>
      <c r="K181" s="73">
        <v>3862.16</v>
      </c>
      <c r="L181" s="73">
        <v>3189.74</v>
      </c>
      <c r="M181" s="73">
        <v>3001.84</v>
      </c>
      <c r="N181" s="73">
        <v>3037.76</v>
      </c>
      <c r="O181" s="73">
        <v>2694.28</v>
      </c>
      <c r="P181" s="73">
        <v>2949.11</v>
      </c>
      <c r="Q181" s="73">
        <v>3262.11</v>
      </c>
      <c r="R181" s="73">
        <v>3034.99</v>
      </c>
      <c r="S181" s="73">
        <v>2456.9</v>
      </c>
      <c r="T181" s="73">
        <v>2555.87</v>
      </c>
      <c r="U181" s="73">
        <v>2711.56</v>
      </c>
      <c r="V181" s="73">
        <v>2936.71</v>
      </c>
      <c r="W181" s="73">
        <v>2967.87</v>
      </c>
      <c r="X181" s="73">
        <v>2773.29</v>
      </c>
      <c r="Y181" s="73">
        <v>2571.98</v>
      </c>
      <c r="Z181" s="73">
        <v>2400.91</v>
      </c>
      <c r="AA181" s="49">
        <v>2046.91</v>
      </c>
      <c r="AB181" s="49">
        <v>1799.17</v>
      </c>
      <c r="AC181" s="49">
        <v>1747.89</v>
      </c>
      <c r="AD181" s="10">
        <v>1570.03</v>
      </c>
    </row>
    <row r="182" spans="2:30" ht="12" customHeight="1" x14ac:dyDescent="0.25">
      <c r="B182" s="92" t="s">
        <v>13</v>
      </c>
      <c r="C182" s="22" t="s">
        <v>35</v>
      </c>
      <c r="D182" s="60">
        <v>27772.01</v>
      </c>
      <c r="E182" s="60">
        <v>30491.32</v>
      </c>
      <c r="F182" s="60">
        <v>28613.78</v>
      </c>
      <c r="G182" s="60">
        <v>28280.44</v>
      </c>
      <c r="H182" s="60">
        <v>30558.46</v>
      </c>
      <c r="I182" s="60">
        <v>28088.55</v>
      </c>
      <c r="J182" s="60">
        <v>25055.439999999999</v>
      </c>
      <c r="K182" s="60">
        <v>19937.29</v>
      </c>
      <c r="L182" s="60">
        <v>16328.08</v>
      </c>
      <c r="M182" s="60">
        <v>15210.86</v>
      </c>
      <c r="N182" s="60">
        <v>15449.34</v>
      </c>
      <c r="O182" s="60">
        <v>14023.2</v>
      </c>
      <c r="P182" s="60">
        <v>14602.88</v>
      </c>
      <c r="Q182" s="60">
        <v>14749.41</v>
      </c>
      <c r="R182" s="60">
        <v>13664.82</v>
      </c>
      <c r="S182" s="60">
        <v>12140.27</v>
      </c>
      <c r="T182" s="60">
        <v>10221.719999999999</v>
      </c>
      <c r="U182" s="60">
        <v>10624.93</v>
      </c>
      <c r="V182" s="60">
        <v>10783.32</v>
      </c>
      <c r="W182" s="60">
        <v>10521.41</v>
      </c>
      <c r="X182" s="60">
        <v>10494.46</v>
      </c>
      <c r="Y182" s="60">
        <v>14992.63</v>
      </c>
      <c r="Z182" s="60">
        <v>20739.189999999999</v>
      </c>
      <c r="AA182" s="49">
        <v>18915.43</v>
      </c>
      <c r="AB182" s="49">
        <v>13239.4</v>
      </c>
      <c r="AC182" s="49">
        <v>12673.69</v>
      </c>
      <c r="AD182" s="10">
        <v>18464.12</v>
      </c>
    </row>
    <row r="183" spans="2:30" ht="12.75" customHeight="1" x14ac:dyDescent="0.25">
      <c r="B183" s="383" t="s">
        <v>147</v>
      </c>
      <c r="C183" s="383"/>
      <c r="D183" s="383"/>
      <c r="E183" s="383"/>
      <c r="F183" s="383"/>
      <c r="G183" s="383"/>
      <c r="H183" s="383"/>
      <c r="I183" s="383"/>
      <c r="J183" s="383"/>
      <c r="K183" s="383"/>
      <c r="L183" s="383"/>
      <c r="M183" s="383"/>
      <c r="N183" s="383"/>
      <c r="O183" s="383"/>
      <c r="P183" s="383"/>
      <c r="Q183" s="383"/>
      <c r="R183" s="383"/>
      <c r="S183" s="383"/>
      <c r="T183" s="383"/>
      <c r="U183" s="383"/>
      <c r="V183" s="383"/>
      <c r="W183" s="383"/>
      <c r="X183" s="383"/>
      <c r="Y183" s="383"/>
      <c r="Z183" s="384"/>
      <c r="AA183" s="80"/>
      <c r="AB183" s="80"/>
      <c r="AC183" s="80"/>
      <c r="AD183" s="80"/>
    </row>
    <row r="184" spans="2:30" ht="12" customHeight="1" x14ac:dyDescent="0.25">
      <c r="B184" s="78" t="s">
        <v>115</v>
      </c>
      <c r="C184" s="8" t="s">
        <v>35</v>
      </c>
      <c r="D184" s="73" t="s">
        <v>19</v>
      </c>
      <c r="E184" s="73" t="s">
        <v>19</v>
      </c>
      <c r="F184" s="73" t="s">
        <v>19</v>
      </c>
      <c r="G184" s="73" t="s">
        <v>19</v>
      </c>
      <c r="H184" s="73">
        <v>497.89600000000002</v>
      </c>
      <c r="I184" s="73">
        <v>651.05200000000002</v>
      </c>
      <c r="J184" s="73">
        <v>452.63299999999998</v>
      </c>
      <c r="K184" s="73">
        <v>483.95800000000003</v>
      </c>
      <c r="L184" s="73">
        <v>612.73299999999995</v>
      </c>
      <c r="M184" s="73">
        <v>376.5</v>
      </c>
      <c r="N184" s="73">
        <v>391.346</v>
      </c>
      <c r="O184" s="73">
        <v>392.31400000000002</v>
      </c>
      <c r="P184" s="73">
        <v>400.62200000000001</v>
      </c>
      <c r="Q184" s="73">
        <v>341.154</v>
      </c>
      <c r="R184" s="73">
        <v>297.64600000000002</v>
      </c>
      <c r="S184" s="73">
        <v>385.416</v>
      </c>
      <c r="T184" s="73">
        <v>235.95400000000001</v>
      </c>
      <c r="U184" s="73">
        <v>263.49900000000002</v>
      </c>
      <c r="V184" s="73">
        <v>398.29</v>
      </c>
      <c r="W184" s="73">
        <v>256.75400000000002</v>
      </c>
      <c r="X184" s="73">
        <v>356.899</v>
      </c>
      <c r="Y184" s="73">
        <v>192.226</v>
      </c>
      <c r="Z184" s="73">
        <v>226.322</v>
      </c>
      <c r="AA184" s="49">
        <v>222.27600000000001</v>
      </c>
      <c r="AB184" s="49">
        <v>227</v>
      </c>
      <c r="AC184" s="49">
        <v>233</v>
      </c>
      <c r="AD184" s="10">
        <v>194.63</v>
      </c>
    </row>
    <row r="185" spans="2:30" ht="12" customHeight="1" x14ac:dyDescent="0.25">
      <c r="B185" s="12" t="s">
        <v>106</v>
      </c>
      <c r="C185" s="8" t="s">
        <v>35</v>
      </c>
      <c r="D185" s="73" t="s">
        <v>19</v>
      </c>
      <c r="E185" s="73" t="s">
        <v>19</v>
      </c>
      <c r="F185" s="73" t="s">
        <v>19</v>
      </c>
      <c r="G185" s="73" t="s">
        <v>19</v>
      </c>
      <c r="H185" s="73">
        <v>4.6580000000000004</v>
      </c>
      <c r="I185" s="73">
        <v>1.8029999999999999</v>
      </c>
      <c r="J185" s="73">
        <v>1.427</v>
      </c>
      <c r="K185" s="73">
        <v>0.76600000000000001</v>
      </c>
      <c r="L185" s="73">
        <v>1.357</v>
      </c>
      <c r="M185" s="73">
        <v>1.097</v>
      </c>
      <c r="N185" s="73">
        <v>2.0190000000000001</v>
      </c>
      <c r="O185" s="73">
        <v>3.6240000000000001</v>
      </c>
      <c r="P185" s="73">
        <v>10.471</v>
      </c>
      <c r="Q185" s="73">
        <v>7.2320000000000002</v>
      </c>
      <c r="R185" s="73">
        <v>2.9689999999999999</v>
      </c>
      <c r="S185" s="73">
        <v>1.22</v>
      </c>
      <c r="T185" s="73">
        <v>0.107</v>
      </c>
      <c r="U185" s="73">
        <v>0.21299999999999999</v>
      </c>
      <c r="V185" s="73">
        <v>0.16600000000000001</v>
      </c>
      <c r="W185" s="73">
        <v>0.63500000000000001</v>
      </c>
      <c r="X185" s="73">
        <v>7.0000000000000001E-3</v>
      </c>
      <c r="Y185" s="73">
        <v>0.53400000000000003</v>
      </c>
      <c r="Z185" s="73">
        <v>0.39200000000000002</v>
      </c>
      <c r="AA185" s="49">
        <v>0.25900000000000001</v>
      </c>
      <c r="AB185" s="49">
        <v>0</v>
      </c>
      <c r="AC185" s="49">
        <v>0</v>
      </c>
      <c r="AD185" s="10">
        <v>0.23</v>
      </c>
    </row>
    <row r="186" spans="2:30" ht="12" customHeight="1" x14ac:dyDescent="0.25">
      <c r="B186" s="78" t="s">
        <v>108</v>
      </c>
      <c r="C186" s="8" t="s">
        <v>35</v>
      </c>
      <c r="D186" s="73" t="s">
        <v>19</v>
      </c>
      <c r="E186" s="73" t="s">
        <v>19</v>
      </c>
      <c r="F186" s="73" t="s">
        <v>19</v>
      </c>
      <c r="G186" s="73" t="s">
        <v>19</v>
      </c>
      <c r="H186" s="73">
        <v>543.16300000000001</v>
      </c>
      <c r="I186" s="73">
        <v>553.41300000000001</v>
      </c>
      <c r="J186" s="73">
        <v>891.78</v>
      </c>
      <c r="K186" s="73">
        <v>540.15200000000004</v>
      </c>
      <c r="L186" s="73">
        <v>381.21199999999999</v>
      </c>
      <c r="M186" s="73">
        <v>375.30700000000002</v>
      </c>
      <c r="N186" s="73">
        <v>432.13799999999998</v>
      </c>
      <c r="O186" s="73">
        <v>311.61799999999999</v>
      </c>
      <c r="P186" s="73">
        <v>354.142</v>
      </c>
      <c r="Q186" s="73">
        <v>452.94799999999998</v>
      </c>
      <c r="R186" s="73">
        <v>340.78699999999998</v>
      </c>
      <c r="S186" s="73">
        <v>258.36799999999999</v>
      </c>
      <c r="T186" s="73">
        <v>360.99700000000001</v>
      </c>
      <c r="U186" s="73">
        <v>293.72300000000001</v>
      </c>
      <c r="V186" s="73">
        <v>307.26299999999998</v>
      </c>
      <c r="W186" s="73">
        <v>288.37900000000002</v>
      </c>
      <c r="X186" s="73">
        <v>323.86799999999999</v>
      </c>
      <c r="Y186" s="73">
        <v>259.65699999999998</v>
      </c>
      <c r="Z186" s="73">
        <v>295.05500000000001</v>
      </c>
      <c r="AA186" s="49">
        <v>237.17400000000001</v>
      </c>
      <c r="AB186" s="49">
        <v>367</v>
      </c>
      <c r="AC186" s="49">
        <v>424</v>
      </c>
      <c r="AD186" s="10">
        <v>487.38</v>
      </c>
    </row>
    <row r="187" spans="2:30" ht="12" customHeight="1" x14ac:dyDescent="0.25">
      <c r="B187" s="79" t="s">
        <v>127</v>
      </c>
      <c r="C187" s="8" t="s">
        <v>35</v>
      </c>
      <c r="D187" s="73" t="s">
        <v>19</v>
      </c>
      <c r="E187" s="73" t="s">
        <v>19</v>
      </c>
      <c r="F187" s="73" t="s">
        <v>19</v>
      </c>
      <c r="G187" s="73" t="s">
        <v>19</v>
      </c>
      <c r="H187" s="73">
        <v>2385.23</v>
      </c>
      <c r="I187" s="73">
        <v>2429</v>
      </c>
      <c r="J187" s="73">
        <v>2453.09</v>
      </c>
      <c r="K187" s="73">
        <v>2178.7399999999998</v>
      </c>
      <c r="L187" s="73">
        <v>2191.39</v>
      </c>
      <c r="M187" s="73">
        <v>2649.02</v>
      </c>
      <c r="N187" s="73">
        <v>2415.4699999999998</v>
      </c>
      <c r="O187" s="73">
        <v>2170.48</v>
      </c>
      <c r="P187" s="73">
        <v>2111.4899999999998</v>
      </c>
      <c r="Q187" s="73">
        <v>1920.34</v>
      </c>
      <c r="R187" s="73">
        <v>2053.85</v>
      </c>
      <c r="S187" s="73">
        <v>2010.82</v>
      </c>
      <c r="T187" s="73">
        <v>2120.35</v>
      </c>
      <c r="U187" s="73">
        <v>2457.77</v>
      </c>
      <c r="V187" s="73">
        <v>2462.54</v>
      </c>
      <c r="W187" s="73">
        <v>2283.13</v>
      </c>
      <c r="X187" s="73">
        <v>2440.61</v>
      </c>
      <c r="Y187" s="73">
        <v>2247.09</v>
      </c>
      <c r="Z187" s="73">
        <v>2648.48</v>
      </c>
      <c r="AA187" s="49">
        <v>2027.35</v>
      </c>
      <c r="AB187" s="49">
        <v>2048</v>
      </c>
      <c r="AC187" s="49">
        <v>2258</v>
      </c>
      <c r="AD187" s="10">
        <v>2061.8200000000002</v>
      </c>
    </row>
    <row r="188" spans="2:30" ht="12" customHeight="1" x14ac:dyDescent="0.25">
      <c r="B188" s="77" t="s">
        <v>116</v>
      </c>
      <c r="C188" s="8" t="s">
        <v>35</v>
      </c>
      <c r="D188" s="73" t="s">
        <v>19</v>
      </c>
      <c r="E188" s="73" t="s">
        <v>19</v>
      </c>
      <c r="F188" s="73" t="s">
        <v>19</v>
      </c>
      <c r="G188" s="73" t="s">
        <v>19</v>
      </c>
      <c r="H188" s="73">
        <v>287.94</v>
      </c>
      <c r="I188" s="73">
        <v>318.21100000000001</v>
      </c>
      <c r="J188" s="73">
        <v>261.23700000000002</v>
      </c>
      <c r="K188" s="73">
        <v>308.11799999999999</v>
      </c>
      <c r="L188" s="73">
        <v>255.851</v>
      </c>
      <c r="M188" s="73">
        <v>379.77</v>
      </c>
      <c r="N188" s="73">
        <v>331.32</v>
      </c>
      <c r="O188" s="73">
        <v>279.43</v>
      </c>
      <c r="P188" s="73">
        <v>292.23</v>
      </c>
      <c r="Q188" s="73">
        <v>212.381</v>
      </c>
      <c r="R188" s="73">
        <v>185.01</v>
      </c>
      <c r="S188" s="73">
        <v>267.32</v>
      </c>
      <c r="T188" s="73">
        <v>269.05500000000001</v>
      </c>
      <c r="U188" s="73">
        <v>240.85499999999999</v>
      </c>
      <c r="V188" s="73">
        <v>243.42599999999999</v>
      </c>
      <c r="W188" s="73">
        <v>267.41699999999997</v>
      </c>
      <c r="X188" s="73">
        <v>255.16499999999999</v>
      </c>
      <c r="Y188" s="73">
        <v>213.001</v>
      </c>
      <c r="Z188" s="73">
        <v>235.19200000000001</v>
      </c>
      <c r="AA188" s="49">
        <v>235.684</v>
      </c>
      <c r="AB188" s="49">
        <v>287</v>
      </c>
      <c r="AC188" s="49">
        <v>265</v>
      </c>
      <c r="AD188" s="10">
        <v>230.2</v>
      </c>
    </row>
    <row r="189" spans="2:30" ht="12" customHeight="1" x14ac:dyDescent="0.25">
      <c r="B189" s="77" t="s">
        <v>117</v>
      </c>
      <c r="C189" s="8" t="s">
        <v>35</v>
      </c>
      <c r="D189" s="73" t="s">
        <v>19</v>
      </c>
      <c r="E189" s="73" t="s">
        <v>19</v>
      </c>
      <c r="F189" s="73" t="s">
        <v>19</v>
      </c>
      <c r="G189" s="73" t="s">
        <v>19</v>
      </c>
      <c r="H189" s="73">
        <v>271.53100000000001</v>
      </c>
      <c r="I189" s="73">
        <v>318.803</v>
      </c>
      <c r="J189" s="73">
        <v>306.99700000000001</v>
      </c>
      <c r="K189" s="73">
        <v>263.97500000000002</v>
      </c>
      <c r="L189" s="73">
        <v>199.482</v>
      </c>
      <c r="M189" s="73">
        <v>197.446</v>
      </c>
      <c r="N189" s="73">
        <v>177.339</v>
      </c>
      <c r="O189" s="73">
        <v>130.38900000000001</v>
      </c>
      <c r="P189" s="73">
        <v>169.59200000000001</v>
      </c>
      <c r="Q189" s="73">
        <v>115.646</v>
      </c>
      <c r="R189" s="73">
        <v>136.517</v>
      </c>
      <c r="S189" s="73">
        <v>116.73699999999999</v>
      </c>
      <c r="T189" s="73">
        <v>132.357</v>
      </c>
      <c r="U189" s="73">
        <v>135.20400000000001</v>
      </c>
      <c r="V189" s="73">
        <v>175.18100000000001</v>
      </c>
      <c r="W189" s="73">
        <v>141.928</v>
      </c>
      <c r="X189" s="73">
        <v>124.566</v>
      </c>
      <c r="Y189" s="73">
        <v>151.851</v>
      </c>
      <c r="Z189" s="73">
        <v>145.41399999999999</v>
      </c>
      <c r="AA189" s="49">
        <v>103.944</v>
      </c>
      <c r="AB189" s="49">
        <v>100</v>
      </c>
      <c r="AC189" s="49">
        <v>97</v>
      </c>
      <c r="AD189" s="10">
        <v>101.83</v>
      </c>
    </row>
    <row r="190" spans="2:30" ht="12" customHeight="1" x14ac:dyDescent="0.25">
      <c r="B190" s="77" t="s">
        <v>129</v>
      </c>
      <c r="C190" s="8" t="s">
        <v>35</v>
      </c>
      <c r="D190" s="73" t="s">
        <v>19</v>
      </c>
      <c r="E190" s="73" t="s">
        <v>19</v>
      </c>
      <c r="F190" s="73" t="s">
        <v>19</v>
      </c>
      <c r="G190" s="73" t="s">
        <v>19</v>
      </c>
      <c r="H190" s="73">
        <v>90.191000000000003</v>
      </c>
      <c r="I190" s="73">
        <v>46.045000000000002</v>
      </c>
      <c r="J190" s="73">
        <v>56.665999999999997</v>
      </c>
      <c r="K190" s="73">
        <v>70.516999999999996</v>
      </c>
      <c r="L190" s="73">
        <v>69.888999999999996</v>
      </c>
      <c r="M190" s="73">
        <v>81.614999999999995</v>
      </c>
      <c r="N190" s="73">
        <v>97.375</v>
      </c>
      <c r="O190" s="73">
        <v>91.84</v>
      </c>
      <c r="P190" s="73">
        <v>68.040000000000006</v>
      </c>
      <c r="Q190" s="73">
        <v>76.861000000000004</v>
      </c>
      <c r="R190" s="73">
        <v>72.102000000000004</v>
      </c>
      <c r="S190" s="73">
        <v>58.256999999999998</v>
      </c>
      <c r="T190" s="73">
        <v>49.969000000000001</v>
      </c>
      <c r="U190" s="73">
        <v>55.375999999999998</v>
      </c>
      <c r="V190" s="73">
        <v>61.122</v>
      </c>
      <c r="W190" s="73">
        <v>40.642000000000003</v>
      </c>
      <c r="X190" s="73">
        <v>44.027000000000001</v>
      </c>
      <c r="Y190" s="73">
        <v>44.289000000000001</v>
      </c>
      <c r="Z190" s="73">
        <v>38.789000000000001</v>
      </c>
      <c r="AA190" s="49">
        <v>33.194000000000003</v>
      </c>
      <c r="AB190" s="49">
        <v>45</v>
      </c>
      <c r="AC190" s="49">
        <v>40</v>
      </c>
      <c r="AD190" s="10">
        <v>35.94</v>
      </c>
    </row>
    <row r="191" spans="2:30" ht="12" customHeight="1" x14ac:dyDescent="0.25">
      <c r="B191" s="77" t="s">
        <v>148</v>
      </c>
      <c r="C191" s="8" t="s">
        <v>35</v>
      </c>
      <c r="D191" s="73" t="s">
        <v>19</v>
      </c>
      <c r="E191" s="73" t="s">
        <v>19</v>
      </c>
      <c r="F191" s="73" t="s">
        <v>19</v>
      </c>
      <c r="G191" s="73" t="s">
        <v>19</v>
      </c>
      <c r="H191" s="73">
        <v>222.76599999999999</v>
      </c>
      <c r="I191" s="73">
        <v>211.45</v>
      </c>
      <c r="J191" s="73">
        <v>197.62</v>
      </c>
      <c r="K191" s="73">
        <v>232.83600000000001</v>
      </c>
      <c r="L191" s="73">
        <v>195.923</v>
      </c>
      <c r="M191" s="73">
        <v>175.4</v>
      </c>
      <c r="N191" s="73">
        <v>207.00800000000001</v>
      </c>
      <c r="O191" s="73">
        <v>282.96100000000001</v>
      </c>
      <c r="P191" s="73">
        <v>244.91300000000001</v>
      </c>
      <c r="Q191" s="73">
        <v>190.64099999999999</v>
      </c>
      <c r="R191" s="73">
        <v>182.857</v>
      </c>
      <c r="S191" s="73">
        <v>181.54400000000001</v>
      </c>
      <c r="T191" s="73">
        <v>212.91399999999999</v>
      </c>
      <c r="U191" s="73">
        <v>124.395</v>
      </c>
      <c r="V191" s="73">
        <v>114.1</v>
      </c>
      <c r="W191" s="73">
        <v>154.36600000000001</v>
      </c>
      <c r="X191" s="73">
        <v>157.63200000000001</v>
      </c>
      <c r="Y191" s="73">
        <v>155.53299999999999</v>
      </c>
      <c r="Z191" s="73">
        <v>160.61500000000001</v>
      </c>
      <c r="AA191" s="49">
        <v>122.553</v>
      </c>
      <c r="AB191" s="49">
        <v>134</v>
      </c>
      <c r="AC191" s="49">
        <v>149</v>
      </c>
      <c r="AD191" s="10">
        <v>136.41</v>
      </c>
    </row>
    <row r="192" spans="2:30" ht="12" customHeight="1" x14ac:dyDescent="0.25">
      <c r="B192" s="77" t="s">
        <v>95</v>
      </c>
      <c r="C192" s="8" t="s">
        <v>35</v>
      </c>
      <c r="D192" s="73" t="s">
        <v>19</v>
      </c>
      <c r="E192" s="73" t="s">
        <v>19</v>
      </c>
      <c r="F192" s="73" t="s">
        <v>19</v>
      </c>
      <c r="G192" s="73" t="s">
        <v>19</v>
      </c>
      <c r="H192" s="73">
        <v>362.90899999999999</v>
      </c>
      <c r="I192" s="73">
        <v>396.27800000000002</v>
      </c>
      <c r="J192" s="73">
        <v>419.98599999999999</v>
      </c>
      <c r="K192" s="73">
        <v>422.57799999999997</v>
      </c>
      <c r="L192" s="73">
        <v>342.65499999999997</v>
      </c>
      <c r="M192" s="73">
        <v>549.43200000000002</v>
      </c>
      <c r="N192" s="73">
        <v>455.32299999999998</v>
      </c>
      <c r="O192" s="73">
        <v>453.07600000000002</v>
      </c>
      <c r="P192" s="73">
        <v>403.78300000000002</v>
      </c>
      <c r="Q192" s="73">
        <v>313.47399999999999</v>
      </c>
      <c r="R192" s="73">
        <v>244.99</v>
      </c>
      <c r="S192" s="73">
        <v>275.83199999999999</v>
      </c>
      <c r="T192" s="73">
        <v>214.048</v>
      </c>
      <c r="U192" s="73">
        <v>145.43</v>
      </c>
      <c r="V192" s="73">
        <v>175.76400000000001</v>
      </c>
      <c r="W192" s="73">
        <v>215.76599999999999</v>
      </c>
      <c r="X192" s="73">
        <v>275.16899999999998</v>
      </c>
      <c r="Y192" s="73">
        <v>272.27199999999999</v>
      </c>
      <c r="Z192" s="73">
        <v>273.45100000000002</v>
      </c>
      <c r="AA192" s="49">
        <v>194.733</v>
      </c>
      <c r="AB192" s="49">
        <v>208</v>
      </c>
      <c r="AC192" s="49">
        <v>229</v>
      </c>
      <c r="AD192" s="10">
        <v>287.55</v>
      </c>
    </row>
    <row r="193" spans="2:30" ht="12" customHeight="1" x14ac:dyDescent="0.25">
      <c r="B193" s="93" t="s">
        <v>13</v>
      </c>
      <c r="C193" s="22" t="s">
        <v>35</v>
      </c>
      <c r="D193" s="60" t="s">
        <v>19</v>
      </c>
      <c r="E193" s="60" t="s">
        <v>19</v>
      </c>
      <c r="F193" s="60" t="s">
        <v>19</v>
      </c>
      <c r="G193" s="60" t="s">
        <v>19</v>
      </c>
      <c r="H193" s="60">
        <v>4666.29</v>
      </c>
      <c r="I193" s="60">
        <v>4926.0600000000004</v>
      </c>
      <c r="J193" s="60">
        <v>5041.4399999999996</v>
      </c>
      <c r="K193" s="60">
        <v>4501.6400000000003</v>
      </c>
      <c r="L193" s="60">
        <v>4250.49</v>
      </c>
      <c r="M193" s="60">
        <v>4785.59</v>
      </c>
      <c r="N193" s="60">
        <v>4509.34</v>
      </c>
      <c r="O193" s="60">
        <v>4115.74</v>
      </c>
      <c r="P193" s="60">
        <v>4055.28</v>
      </c>
      <c r="Q193" s="60">
        <v>3630.68</v>
      </c>
      <c r="R193" s="60">
        <v>3516.73</v>
      </c>
      <c r="S193" s="60">
        <v>3555.52</v>
      </c>
      <c r="T193" s="60">
        <v>3595.75</v>
      </c>
      <c r="U193" s="60">
        <v>3716.46</v>
      </c>
      <c r="V193" s="60">
        <v>3937.86</v>
      </c>
      <c r="W193" s="60">
        <v>3649.02</v>
      </c>
      <c r="X193" s="60">
        <v>3977.94</v>
      </c>
      <c r="Y193" s="60">
        <v>3536.45</v>
      </c>
      <c r="Z193" s="60">
        <v>4023.71</v>
      </c>
      <c r="AA193" s="49">
        <v>3177.17</v>
      </c>
      <c r="AB193" s="49">
        <v>3415</v>
      </c>
      <c r="AC193" s="49">
        <v>3695</v>
      </c>
      <c r="AD193" s="10">
        <v>3535.99</v>
      </c>
    </row>
    <row r="194" spans="2:30" ht="12.75" customHeight="1" x14ac:dyDescent="0.25">
      <c r="B194" s="383" t="s">
        <v>119</v>
      </c>
      <c r="C194" s="383"/>
      <c r="D194" s="383"/>
      <c r="E194" s="383"/>
      <c r="F194" s="383"/>
      <c r="G194" s="383"/>
      <c r="H194" s="383"/>
      <c r="I194" s="383"/>
      <c r="J194" s="383"/>
      <c r="K194" s="383"/>
      <c r="L194" s="383"/>
      <c r="M194" s="383"/>
      <c r="N194" s="383"/>
      <c r="O194" s="383"/>
      <c r="P194" s="383"/>
      <c r="Q194" s="383"/>
      <c r="R194" s="383"/>
      <c r="S194" s="383"/>
      <c r="T194" s="383"/>
      <c r="U194" s="383"/>
      <c r="V194" s="383"/>
      <c r="W194" s="383"/>
      <c r="X194" s="383"/>
      <c r="Y194" s="383"/>
      <c r="Z194" s="384"/>
      <c r="AA194" s="80"/>
      <c r="AB194" s="80"/>
      <c r="AC194" s="80"/>
      <c r="AD194" s="80"/>
    </row>
    <row r="195" spans="2:30" ht="12" customHeight="1" x14ac:dyDescent="0.25">
      <c r="B195" s="77" t="s">
        <v>102</v>
      </c>
      <c r="C195" s="8" t="s">
        <v>35</v>
      </c>
      <c r="D195" s="73">
        <v>616.37400000000002</v>
      </c>
      <c r="E195" s="73">
        <v>822.30899999999997</v>
      </c>
      <c r="F195" s="73">
        <v>296.30399999999997</v>
      </c>
      <c r="G195" s="73">
        <v>358.00900000000001</v>
      </c>
      <c r="H195" s="73">
        <v>236.78200000000001</v>
      </c>
      <c r="I195" s="73">
        <v>215.29900000000001</v>
      </c>
      <c r="J195" s="73">
        <v>185.09899999999999</v>
      </c>
      <c r="K195" s="73">
        <v>150.36600000000001</v>
      </c>
      <c r="L195" s="73">
        <v>222.93199999999999</v>
      </c>
      <c r="M195" s="73">
        <v>48.920999999999999</v>
      </c>
      <c r="N195" s="73">
        <v>78.662000000000006</v>
      </c>
      <c r="O195" s="73">
        <v>90.566000000000003</v>
      </c>
      <c r="P195" s="73">
        <v>115.715</v>
      </c>
      <c r="Q195" s="73">
        <v>34.417000000000002</v>
      </c>
      <c r="R195" s="73">
        <v>6.0000000000000001E-3</v>
      </c>
      <c r="S195" s="73">
        <v>3.0000000000000001E-3</v>
      </c>
      <c r="T195" s="73">
        <v>12.743</v>
      </c>
      <c r="U195" s="73">
        <v>0</v>
      </c>
      <c r="V195" s="73">
        <v>0</v>
      </c>
      <c r="W195" s="73">
        <v>18.501000000000001</v>
      </c>
      <c r="X195" s="73">
        <v>0</v>
      </c>
      <c r="Y195" s="73">
        <v>0</v>
      </c>
      <c r="Z195" s="73">
        <v>0.46200000000000002</v>
      </c>
      <c r="AA195" s="49">
        <v>29.294</v>
      </c>
      <c r="AB195" s="49">
        <v>59.5</v>
      </c>
      <c r="AC195" s="49">
        <v>19.431000000000001</v>
      </c>
      <c r="AD195" s="10">
        <v>1.48</v>
      </c>
    </row>
    <row r="196" spans="2:30" ht="12" customHeight="1" x14ac:dyDescent="0.25">
      <c r="B196" s="77" t="s">
        <v>120</v>
      </c>
      <c r="C196" s="8" t="s">
        <v>35</v>
      </c>
      <c r="D196" s="73">
        <v>684.71400000000006</v>
      </c>
      <c r="E196" s="73">
        <v>555.25599999999997</v>
      </c>
      <c r="F196" s="73">
        <v>782.697</v>
      </c>
      <c r="G196" s="73">
        <v>917.94600000000003</v>
      </c>
      <c r="H196" s="73">
        <v>1657.5</v>
      </c>
      <c r="I196" s="73">
        <v>2482.09</v>
      </c>
      <c r="J196" s="73">
        <v>2280.52</v>
      </c>
      <c r="K196" s="73">
        <v>1545.61</v>
      </c>
      <c r="L196" s="73">
        <v>1039.69</v>
      </c>
      <c r="M196" s="73">
        <v>1034.71</v>
      </c>
      <c r="N196" s="73">
        <v>812.66300000000001</v>
      </c>
      <c r="O196" s="73">
        <v>851.27200000000005</v>
      </c>
      <c r="P196" s="73">
        <v>968.02800000000002</v>
      </c>
      <c r="Q196" s="73">
        <v>973.37099999999998</v>
      </c>
      <c r="R196" s="73">
        <v>1027.8399999999999</v>
      </c>
      <c r="S196" s="73">
        <v>886.58</v>
      </c>
      <c r="T196" s="73">
        <v>594.93899999999996</v>
      </c>
      <c r="U196" s="73">
        <v>616.12</v>
      </c>
      <c r="V196" s="73">
        <v>732.01099999999997</v>
      </c>
      <c r="W196" s="73">
        <v>538.22900000000004</v>
      </c>
      <c r="X196" s="73">
        <v>517.649</v>
      </c>
      <c r="Y196" s="73">
        <v>693.24</v>
      </c>
      <c r="Z196" s="73">
        <v>636.13699999999994</v>
      </c>
      <c r="AA196" s="49">
        <v>679.05600000000004</v>
      </c>
      <c r="AB196" s="49">
        <v>708.03099999999995</v>
      </c>
      <c r="AC196" s="49">
        <v>719.75</v>
      </c>
      <c r="AD196" s="10">
        <v>670.83</v>
      </c>
    </row>
    <row r="197" spans="2:30" ht="12" customHeight="1" x14ac:dyDescent="0.25">
      <c r="B197" s="77" t="s">
        <v>121</v>
      </c>
      <c r="C197" s="8" t="s">
        <v>35</v>
      </c>
      <c r="D197" s="73">
        <v>441.64100000000002</v>
      </c>
      <c r="E197" s="73">
        <v>328.34300000000002</v>
      </c>
      <c r="F197" s="73">
        <v>397.60899999999998</v>
      </c>
      <c r="G197" s="73">
        <v>229.17400000000001</v>
      </c>
      <c r="H197" s="73">
        <v>374.67899999999997</v>
      </c>
      <c r="I197" s="73">
        <v>946.476</v>
      </c>
      <c r="J197" s="73">
        <v>1005.51</v>
      </c>
      <c r="K197" s="73">
        <v>789.70399999999995</v>
      </c>
      <c r="L197" s="73">
        <v>1023.91</v>
      </c>
      <c r="M197" s="73">
        <v>808.024</v>
      </c>
      <c r="N197" s="73">
        <v>681.875</v>
      </c>
      <c r="O197" s="73">
        <v>469.69600000000003</v>
      </c>
      <c r="P197" s="73">
        <v>297.596</v>
      </c>
      <c r="Q197" s="73">
        <v>341.48099999999999</v>
      </c>
      <c r="R197" s="73">
        <v>273.45</v>
      </c>
      <c r="S197" s="73">
        <v>207.05099999999999</v>
      </c>
      <c r="T197" s="73">
        <v>238.327</v>
      </c>
      <c r="U197" s="73">
        <v>176.95</v>
      </c>
      <c r="V197" s="73">
        <v>317.08600000000001</v>
      </c>
      <c r="W197" s="73">
        <v>288.48700000000002</v>
      </c>
      <c r="X197" s="73">
        <v>214.553</v>
      </c>
      <c r="Y197" s="73">
        <v>171.541</v>
      </c>
      <c r="Z197" s="73">
        <v>204.57599999999999</v>
      </c>
      <c r="AA197" s="49">
        <v>228.18799999999999</v>
      </c>
      <c r="AB197" s="49">
        <v>237.59200000000001</v>
      </c>
      <c r="AC197" s="49">
        <v>216.923</v>
      </c>
      <c r="AD197" s="10">
        <v>220.04</v>
      </c>
    </row>
    <row r="198" spans="2:30" ht="12" customHeight="1" x14ac:dyDescent="0.25">
      <c r="B198" s="77" t="s">
        <v>122</v>
      </c>
      <c r="C198" s="8" t="s">
        <v>35</v>
      </c>
      <c r="D198" s="73">
        <v>122.313</v>
      </c>
      <c r="E198" s="73">
        <v>107.696</v>
      </c>
      <c r="F198" s="73">
        <v>149.59899999999999</v>
      </c>
      <c r="G198" s="73">
        <v>119.036</v>
      </c>
      <c r="H198" s="73">
        <v>212.76400000000001</v>
      </c>
      <c r="I198" s="73">
        <v>351.01299999999998</v>
      </c>
      <c r="J198" s="73">
        <v>534.54999999999995</v>
      </c>
      <c r="K198" s="73">
        <v>463.21300000000002</v>
      </c>
      <c r="L198" s="73">
        <v>323.99</v>
      </c>
      <c r="M198" s="73">
        <v>218.72300000000001</v>
      </c>
      <c r="N198" s="73">
        <v>185.61799999999999</v>
      </c>
      <c r="O198" s="73">
        <v>211.285</v>
      </c>
      <c r="P198" s="73">
        <v>172.04</v>
      </c>
      <c r="Q198" s="73">
        <v>208.61099999999999</v>
      </c>
      <c r="R198" s="73">
        <v>215.00200000000001</v>
      </c>
      <c r="S198" s="73">
        <v>240.01300000000001</v>
      </c>
      <c r="T198" s="73">
        <v>173.72900000000001</v>
      </c>
      <c r="U198" s="73">
        <v>212.55</v>
      </c>
      <c r="V198" s="73">
        <v>240.726</v>
      </c>
      <c r="W198" s="73">
        <v>200.74600000000001</v>
      </c>
      <c r="X198" s="73">
        <v>158.465</v>
      </c>
      <c r="Y198" s="73">
        <v>145.827</v>
      </c>
      <c r="Z198" s="73">
        <v>151.41200000000001</v>
      </c>
      <c r="AA198" s="49">
        <v>197.202</v>
      </c>
      <c r="AB198" s="49">
        <v>228.36799999999999</v>
      </c>
      <c r="AC198" s="49">
        <v>190.79499999999999</v>
      </c>
      <c r="AD198" s="10">
        <v>211.87</v>
      </c>
    </row>
    <row r="199" spans="2:30" ht="12" customHeight="1" x14ac:dyDescent="0.25">
      <c r="B199" s="77" t="s">
        <v>150</v>
      </c>
      <c r="C199" s="8" t="s">
        <v>35</v>
      </c>
      <c r="D199" s="73">
        <v>102.015</v>
      </c>
      <c r="E199" s="73">
        <v>97.563999999999993</v>
      </c>
      <c r="F199" s="73">
        <v>70.778999999999996</v>
      </c>
      <c r="G199" s="73">
        <v>118.474</v>
      </c>
      <c r="H199" s="73">
        <v>184.113</v>
      </c>
      <c r="I199" s="73">
        <v>246.20099999999999</v>
      </c>
      <c r="J199" s="73">
        <v>318.96699999999998</v>
      </c>
      <c r="K199" s="73">
        <v>336.27600000000001</v>
      </c>
      <c r="L199" s="73">
        <v>278.01299999999998</v>
      </c>
      <c r="M199" s="73">
        <v>220.571</v>
      </c>
      <c r="N199" s="73">
        <v>141.10900000000001</v>
      </c>
      <c r="O199" s="73">
        <v>147.405</v>
      </c>
      <c r="P199" s="73">
        <v>158.00200000000001</v>
      </c>
      <c r="Q199" s="73">
        <v>184.28</v>
      </c>
      <c r="R199" s="73">
        <v>239.94499999999999</v>
      </c>
      <c r="S199" s="73">
        <v>174.23</v>
      </c>
      <c r="T199" s="73">
        <v>137.13499999999999</v>
      </c>
      <c r="U199" s="73">
        <v>121.812</v>
      </c>
      <c r="V199" s="73">
        <v>132.51300000000001</v>
      </c>
      <c r="W199" s="73">
        <v>120.258</v>
      </c>
      <c r="X199" s="73">
        <v>124.104</v>
      </c>
      <c r="Y199" s="73">
        <v>122.5</v>
      </c>
      <c r="Z199" s="73">
        <v>124.59399999999999</v>
      </c>
      <c r="AA199" s="49">
        <v>84.406000000000006</v>
      </c>
      <c r="AB199" s="49">
        <v>93.555999999999997</v>
      </c>
      <c r="AC199" s="49">
        <v>80.366</v>
      </c>
      <c r="AD199" s="10">
        <v>94.07</v>
      </c>
    </row>
    <row r="200" spans="2:30" ht="12" customHeight="1" x14ac:dyDescent="0.25">
      <c r="B200" s="77" t="s">
        <v>124</v>
      </c>
      <c r="C200" s="8" t="s">
        <v>35</v>
      </c>
      <c r="D200" s="73">
        <v>67.879000000000005</v>
      </c>
      <c r="E200" s="73">
        <v>55.674999999999997</v>
      </c>
      <c r="F200" s="73">
        <v>39.182000000000002</v>
      </c>
      <c r="G200" s="73">
        <v>104.318</v>
      </c>
      <c r="H200" s="73">
        <v>80.242999999999995</v>
      </c>
      <c r="I200" s="73">
        <v>158.13300000000001</v>
      </c>
      <c r="J200" s="73">
        <v>159.40100000000001</v>
      </c>
      <c r="K200" s="73">
        <v>193.31299999999999</v>
      </c>
      <c r="L200" s="73">
        <v>139.935</v>
      </c>
      <c r="M200" s="73">
        <v>86.427000000000007</v>
      </c>
      <c r="N200" s="73">
        <v>41.915999999999997</v>
      </c>
      <c r="O200" s="73">
        <v>67.58</v>
      </c>
      <c r="P200" s="73">
        <v>63.926000000000002</v>
      </c>
      <c r="Q200" s="73">
        <v>77.153000000000006</v>
      </c>
      <c r="R200" s="73">
        <v>99.986000000000004</v>
      </c>
      <c r="S200" s="73">
        <v>119.76</v>
      </c>
      <c r="T200" s="73">
        <v>77.977000000000004</v>
      </c>
      <c r="U200" s="73">
        <v>82.28</v>
      </c>
      <c r="V200" s="73">
        <v>80.384</v>
      </c>
      <c r="W200" s="73">
        <v>86.641999999999996</v>
      </c>
      <c r="X200" s="73">
        <v>64.441000000000003</v>
      </c>
      <c r="Y200" s="73">
        <v>93.206999999999994</v>
      </c>
      <c r="Z200" s="73">
        <v>62.222999999999999</v>
      </c>
      <c r="AA200" s="49">
        <v>74.441999999999993</v>
      </c>
      <c r="AB200" s="49">
        <v>58.929000000000002</v>
      </c>
      <c r="AC200" s="49">
        <v>68.590999999999994</v>
      </c>
      <c r="AD200" s="10">
        <v>59.46</v>
      </c>
    </row>
    <row r="201" spans="2:30" ht="12" customHeight="1" x14ac:dyDescent="0.25">
      <c r="B201" s="77" t="s">
        <v>48</v>
      </c>
      <c r="C201" s="8" t="s">
        <v>35</v>
      </c>
      <c r="D201" s="73">
        <v>97.119</v>
      </c>
      <c r="E201" s="73">
        <v>94.438999999999993</v>
      </c>
      <c r="F201" s="73">
        <v>58.765999999999998</v>
      </c>
      <c r="G201" s="73">
        <v>43.536000000000001</v>
      </c>
      <c r="H201" s="73">
        <v>78.739999999999995</v>
      </c>
      <c r="I201" s="73">
        <v>128.79499999999999</v>
      </c>
      <c r="J201" s="73">
        <v>124.887</v>
      </c>
      <c r="K201" s="73">
        <v>133.511</v>
      </c>
      <c r="L201" s="73">
        <v>125.23699999999999</v>
      </c>
      <c r="M201" s="73">
        <v>126.202</v>
      </c>
      <c r="N201" s="73">
        <v>72.58</v>
      </c>
      <c r="O201" s="73">
        <v>57.127000000000002</v>
      </c>
      <c r="P201" s="73">
        <v>33.969000000000001</v>
      </c>
      <c r="Q201" s="73">
        <v>34.78</v>
      </c>
      <c r="R201" s="73">
        <v>32.847000000000001</v>
      </c>
      <c r="S201" s="73">
        <v>29.951000000000001</v>
      </c>
      <c r="T201" s="73">
        <v>27.891999999999999</v>
      </c>
      <c r="U201" s="73">
        <v>13.473000000000001</v>
      </c>
      <c r="V201" s="73">
        <v>23.911999999999999</v>
      </c>
      <c r="W201" s="73">
        <v>29.007999999999999</v>
      </c>
      <c r="X201" s="73">
        <v>25.788</v>
      </c>
      <c r="Y201" s="73">
        <v>20.652999999999999</v>
      </c>
      <c r="Z201" s="73">
        <v>18</v>
      </c>
      <c r="AA201" s="49">
        <v>11.91</v>
      </c>
      <c r="AB201" s="49">
        <v>17.294</v>
      </c>
      <c r="AC201" s="49">
        <v>16.742000000000001</v>
      </c>
      <c r="AD201" s="10">
        <v>9.99</v>
      </c>
    </row>
    <row r="202" spans="2:30" ht="12" customHeight="1" x14ac:dyDescent="0.25">
      <c r="B202" s="77" t="s">
        <v>69</v>
      </c>
      <c r="C202" s="8" t="s">
        <v>35</v>
      </c>
      <c r="D202" s="73">
        <v>35.094999999999999</v>
      </c>
      <c r="E202" s="73">
        <v>21.771999999999998</v>
      </c>
      <c r="F202" s="73">
        <v>58.188000000000002</v>
      </c>
      <c r="G202" s="73">
        <v>45.561999999999998</v>
      </c>
      <c r="H202" s="73">
        <v>166.16300000000001</v>
      </c>
      <c r="I202" s="73">
        <v>183.251</v>
      </c>
      <c r="J202" s="73">
        <v>115.95099999999999</v>
      </c>
      <c r="K202" s="73">
        <v>242.828</v>
      </c>
      <c r="L202" s="73">
        <v>178.119</v>
      </c>
      <c r="M202" s="73">
        <v>108.31399999999999</v>
      </c>
      <c r="N202" s="73">
        <v>56.734000000000002</v>
      </c>
      <c r="O202" s="73">
        <v>27.855</v>
      </c>
      <c r="P202" s="73">
        <v>24.151</v>
      </c>
      <c r="Q202" s="73">
        <v>34.442999999999998</v>
      </c>
      <c r="R202" s="73">
        <v>88.626000000000005</v>
      </c>
      <c r="S202" s="73">
        <v>77.804000000000002</v>
      </c>
      <c r="T202" s="73">
        <v>73.295000000000002</v>
      </c>
      <c r="U202" s="73">
        <v>58.935000000000002</v>
      </c>
      <c r="V202" s="73">
        <v>58.95</v>
      </c>
      <c r="W202" s="73">
        <v>69.503</v>
      </c>
      <c r="X202" s="73">
        <v>57.399000000000001</v>
      </c>
      <c r="Y202" s="73">
        <v>62.744</v>
      </c>
      <c r="Z202" s="73">
        <v>76.977999999999994</v>
      </c>
      <c r="AA202" s="49">
        <v>48.57</v>
      </c>
      <c r="AB202" s="49">
        <v>69.272999999999996</v>
      </c>
      <c r="AC202" s="49">
        <v>50.637999999999998</v>
      </c>
      <c r="AD202" s="10">
        <v>68.959999999999994</v>
      </c>
    </row>
    <row r="203" spans="2:30" ht="12" customHeight="1" x14ac:dyDescent="0.25">
      <c r="B203" s="77" t="s">
        <v>125</v>
      </c>
      <c r="C203" s="8" t="s">
        <v>35</v>
      </c>
      <c r="D203" s="73">
        <v>43.607999999999997</v>
      </c>
      <c r="E203" s="73">
        <v>31.484000000000002</v>
      </c>
      <c r="F203" s="73">
        <v>32.473999999999997</v>
      </c>
      <c r="G203" s="73">
        <v>34.387</v>
      </c>
      <c r="H203" s="73">
        <v>40.670999999999999</v>
      </c>
      <c r="I203" s="73">
        <v>67.088999999999999</v>
      </c>
      <c r="J203" s="73">
        <v>92.072999999999993</v>
      </c>
      <c r="K203" s="73">
        <v>101.67700000000001</v>
      </c>
      <c r="L203" s="73">
        <v>65.236000000000004</v>
      </c>
      <c r="M203" s="73">
        <v>57.884999999999998</v>
      </c>
      <c r="N203" s="73">
        <v>45.154000000000003</v>
      </c>
      <c r="O203" s="73">
        <v>45.265999999999998</v>
      </c>
      <c r="P203" s="73">
        <v>27.922999999999998</v>
      </c>
      <c r="Q203" s="73">
        <v>41.466999999999999</v>
      </c>
      <c r="R203" s="73">
        <v>35.015000000000001</v>
      </c>
      <c r="S203" s="73">
        <v>42.475999999999999</v>
      </c>
      <c r="T203" s="73">
        <v>28.164999999999999</v>
      </c>
      <c r="U203" s="73">
        <v>18.84</v>
      </c>
      <c r="V203" s="73">
        <v>21.036000000000001</v>
      </c>
      <c r="W203" s="73">
        <v>23.713000000000001</v>
      </c>
      <c r="X203" s="73">
        <v>22.146000000000001</v>
      </c>
      <c r="Y203" s="73">
        <v>23.911999999999999</v>
      </c>
      <c r="Z203" s="73">
        <v>27.103999999999999</v>
      </c>
      <c r="AA203" s="49">
        <v>19.63</v>
      </c>
      <c r="AB203" s="49">
        <v>23.329000000000001</v>
      </c>
      <c r="AC203" s="49">
        <v>31.053000000000001</v>
      </c>
      <c r="AD203" s="10">
        <v>17.989999999999998</v>
      </c>
    </row>
    <row r="204" spans="2:30" ht="12" customHeight="1" x14ac:dyDescent="0.25">
      <c r="B204" s="77" t="s">
        <v>109</v>
      </c>
      <c r="C204" s="8" t="s">
        <v>35</v>
      </c>
      <c r="D204" s="73">
        <v>92.138000000000005</v>
      </c>
      <c r="E204" s="73">
        <v>132.19300000000001</v>
      </c>
      <c r="F204" s="73">
        <v>81.784000000000006</v>
      </c>
      <c r="G204" s="73">
        <v>42.942999999999998</v>
      </c>
      <c r="H204" s="73">
        <v>66.968999999999994</v>
      </c>
      <c r="I204" s="73">
        <v>336.48899999999998</v>
      </c>
      <c r="J204" s="73">
        <v>256.577</v>
      </c>
      <c r="K204" s="73">
        <v>252.08500000000001</v>
      </c>
      <c r="L204" s="73">
        <v>319.54899999999998</v>
      </c>
      <c r="M204" s="73">
        <v>311.28899999999999</v>
      </c>
      <c r="N204" s="73">
        <v>54.710999999999999</v>
      </c>
      <c r="O204" s="73">
        <v>54.384999999999998</v>
      </c>
      <c r="P204" s="73">
        <v>40.271000000000001</v>
      </c>
      <c r="Q204" s="73">
        <v>65.167000000000002</v>
      </c>
      <c r="R204" s="73">
        <v>25.757000000000001</v>
      </c>
      <c r="S204" s="73">
        <v>25.988</v>
      </c>
      <c r="T204" s="73">
        <v>8.91</v>
      </c>
      <c r="U204" s="73">
        <v>2.496</v>
      </c>
      <c r="V204" s="73">
        <v>2.0840000000000001</v>
      </c>
      <c r="W204" s="73">
        <v>2.851</v>
      </c>
      <c r="X204" s="73">
        <v>1.5820000000000001</v>
      </c>
      <c r="Y204" s="73">
        <v>1.204</v>
      </c>
      <c r="Z204" s="73">
        <v>0.93100000000000005</v>
      </c>
      <c r="AA204" s="49">
        <v>0.92300000000000004</v>
      </c>
      <c r="AB204" s="49">
        <v>0.93700000000000006</v>
      </c>
      <c r="AC204" s="49">
        <v>0.69599999999999995</v>
      </c>
      <c r="AD204" s="10">
        <v>0.43</v>
      </c>
    </row>
    <row r="205" spans="2:30" ht="12" customHeight="1" x14ac:dyDescent="0.25">
      <c r="B205" s="77" t="s">
        <v>103</v>
      </c>
      <c r="C205" s="8" t="s">
        <v>35</v>
      </c>
      <c r="D205" s="73">
        <v>47.969000000000001</v>
      </c>
      <c r="E205" s="73">
        <v>12.494999999999999</v>
      </c>
      <c r="F205" s="73">
        <v>14.906000000000001</v>
      </c>
      <c r="G205" s="73">
        <v>17.439</v>
      </c>
      <c r="H205" s="73">
        <v>1.391</v>
      </c>
      <c r="I205" s="73">
        <v>168.70099999999999</v>
      </c>
      <c r="J205" s="73">
        <v>342.16800000000001</v>
      </c>
      <c r="K205" s="73">
        <v>224.08699999999999</v>
      </c>
      <c r="L205" s="73">
        <v>101.253</v>
      </c>
      <c r="M205" s="73">
        <v>53.817</v>
      </c>
      <c r="N205" s="73">
        <v>3.5329999999999999</v>
      </c>
      <c r="O205" s="73">
        <v>1.5449999999999999</v>
      </c>
      <c r="P205" s="73">
        <v>9.6389999999999993</v>
      </c>
      <c r="Q205" s="73">
        <v>28.01</v>
      </c>
      <c r="R205" s="73">
        <v>4.8499999999999996</v>
      </c>
      <c r="S205" s="73">
        <v>60.642000000000003</v>
      </c>
      <c r="T205" s="73">
        <v>26.324999999999999</v>
      </c>
      <c r="U205" s="73">
        <v>2.8769999999999998</v>
      </c>
      <c r="V205" s="73">
        <v>10.954000000000001</v>
      </c>
      <c r="W205" s="73">
        <v>14.956</v>
      </c>
      <c r="X205" s="73">
        <v>23.402000000000001</v>
      </c>
      <c r="Y205" s="73">
        <v>23.097999999999999</v>
      </c>
      <c r="Z205" s="73">
        <v>24.864000000000001</v>
      </c>
      <c r="AA205" s="49">
        <v>30.7</v>
      </c>
      <c r="AB205" s="49">
        <v>8.4920000000000009</v>
      </c>
      <c r="AC205" s="49">
        <v>5.3339999999999996</v>
      </c>
      <c r="AD205" s="10">
        <v>4.63</v>
      </c>
    </row>
    <row r="206" spans="2:30" ht="12" customHeight="1" x14ac:dyDescent="0.25">
      <c r="B206" s="77" t="s">
        <v>126</v>
      </c>
      <c r="C206" s="8" t="s">
        <v>35</v>
      </c>
      <c r="D206" s="73">
        <v>29.085000000000001</v>
      </c>
      <c r="E206" s="73">
        <v>23.417000000000002</v>
      </c>
      <c r="F206" s="73">
        <v>23.614999999999998</v>
      </c>
      <c r="G206" s="73">
        <v>22.751999999999999</v>
      </c>
      <c r="H206" s="73">
        <v>25.236000000000001</v>
      </c>
      <c r="I206" s="73">
        <v>64.98</v>
      </c>
      <c r="J206" s="73">
        <v>73.938999999999993</v>
      </c>
      <c r="K206" s="73">
        <v>70.376000000000005</v>
      </c>
      <c r="L206" s="73">
        <v>66.34</v>
      </c>
      <c r="M206" s="73">
        <v>46.23</v>
      </c>
      <c r="N206" s="73">
        <v>28.111000000000001</v>
      </c>
      <c r="O206" s="73">
        <v>29.754999999999999</v>
      </c>
      <c r="P206" s="73">
        <v>18.821000000000002</v>
      </c>
      <c r="Q206" s="73">
        <v>22.087</v>
      </c>
      <c r="R206" s="73">
        <v>22.704000000000001</v>
      </c>
      <c r="S206" s="73">
        <v>21.512</v>
      </c>
      <c r="T206" s="73">
        <v>18.683</v>
      </c>
      <c r="U206" s="73">
        <v>11.946</v>
      </c>
      <c r="V206" s="73">
        <v>14.484</v>
      </c>
      <c r="W206" s="73">
        <v>12.688000000000001</v>
      </c>
      <c r="X206" s="73">
        <v>14.051</v>
      </c>
      <c r="Y206" s="73">
        <v>11.358000000000001</v>
      </c>
      <c r="Z206" s="73">
        <v>9.4649999999999999</v>
      </c>
      <c r="AA206" s="49">
        <v>8.0210000000000008</v>
      </c>
      <c r="AB206" s="49">
        <v>9.1519999999999992</v>
      </c>
      <c r="AC206" s="49">
        <v>10.241</v>
      </c>
      <c r="AD206" s="10">
        <v>10.199999999999999</v>
      </c>
    </row>
    <row r="207" spans="2:30" ht="12" customHeight="1" x14ac:dyDescent="0.25">
      <c r="B207" s="77" t="s">
        <v>107</v>
      </c>
      <c r="C207" s="8" t="s">
        <v>35</v>
      </c>
      <c r="D207" s="73">
        <v>54.420999999999999</v>
      </c>
      <c r="E207" s="73">
        <v>29.2</v>
      </c>
      <c r="F207" s="73">
        <v>11.973000000000001</v>
      </c>
      <c r="G207" s="73">
        <v>1.36</v>
      </c>
      <c r="H207" s="73">
        <v>1.859</v>
      </c>
      <c r="I207" s="73">
        <v>5.165</v>
      </c>
      <c r="J207" s="73">
        <v>19.707999999999998</v>
      </c>
      <c r="K207" s="73">
        <v>44.265999999999998</v>
      </c>
      <c r="L207" s="73">
        <v>62.802999999999997</v>
      </c>
      <c r="M207" s="73">
        <v>16.21</v>
      </c>
      <c r="N207" s="73">
        <v>1.482</v>
      </c>
      <c r="O207" s="73">
        <v>0.08</v>
      </c>
      <c r="P207" s="73">
        <v>0.81200000000000006</v>
      </c>
      <c r="Q207" s="73">
        <v>1.2410000000000001</v>
      </c>
      <c r="R207" s="73">
        <v>0.34699999999999998</v>
      </c>
      <c r="S207" s="73">
        <v>0.56999999999999995</v>
      </c>
      <c r="T207" s="73">
        <v>0.39800000000000002</v>
      </c>
      <c r="U207" s="73">
        <v>2.7450000000000001</v>
      </c>
      <c r="V207" s="73">
        <v>4.3440000000000003</v>
      </c>
      <c r="W207" s="73">
        <v>0.77400000000000002</v>
      </c>
      <c r="X207" s="73">
        <v>3.2469999999999999</v>
      </c>
      <c r="Y207" s="73">
        <v>1.101</v>
      </c>
      <c r="Z207" s="73">
        <v>0.63100000000000001</v>
      </c>
      <c r="AA207" s="49">
        <v>0.252</v>
      </c>
      <c r="AB207" s="49">
        <v>0.54600000000000004</v>
      </c>
      <c r="AC207" s="49">
        <v>0.96</v>
      </c>
      <c r="AD207" s="10">
        <v>0.28000000000000003</v>
      </c>
    </row>
    <row r="208" spans="2:30" ht="12" customHeight="1" x14ac:dyDescent="0.25">
      <c r="B208" s="77" t="s">
        <v>116</v>
      </c>
      <c r="C208" s="8" t="s">
        <v>35</v>
      </c>
      <c r="D208" s="73">
        <v>3.411</v>
      </c>
      <c r="E208" s="73">
        <v>1.4279999999999999</v>
      </c>
      <c r="F208" s="73">
        <v>2.2200000000000002</v>
      </c>
      <c r="G208" s="73">
        <v>1.2250000000000001</v>
      </c>
      <c r="H208" s="73">
        <v>0.92600000000000005</v>
      </c>
      <c r="I208" s="73">
        <v>1.998</v>
      </c>
      <c r="J208" s="73">
        <v>3.0289999999999999</v>
      </c>
      <c r="K208" s="73">
        <v>1.927</v>
      </c>
      <c r="L208" s="73">
        <v>2.5430000000000001</v>
      </c>
      <c r="M208" s="73">
        <v>1.889</v>
      </c>
      <c r="N208" s="73">
        <v>1.5229999999999999</v>
      </c>
      <c r="O208" s="73">
        <v>1.7549999999999999</v>
      </c>
      <c r="P208" s="73">
        <v>1.8720000000000001</v>
      </c>
      <c r="Q208" s="73">
        <v>0.73199999999999998</v>
      </c>
      <c r="R208" s="73">
        <v>0.91400000000000003</v>
      </c>
      <c r="S208" s="73">
        <v>1.3540000000000001</v>
      </c>
      <c r="T208" s="73">
        <v>2.2229999999999999</v>
      </c>
      <c r="U208" s="73">
        <v>2.407</v>
      </c>
      <c r="V208" s="73">
        <v>3.1989999999999998</v>
      </c>
      <c r="W208" s="73">
        <v>4.1719999999999997</v>
      </c>
      <c r="X208" s="73">
        <v>3.9039999999999999</v>
      </c>
      <c r="Y208" s="73">
        <v>4.7190000000000003</v>
      </c>
      <c r="Z208" s="73">
        <v>3.851</v>
      </c>
      <c r="AA208" s="49">
        <v>5.2409999999999997</v>
      </c>
      <c r="AB208" s="49">
        <v>7.6980000000000004</v>
      </c>
      <c r="AC208" s="49">
        <v>5.718</v>
      </c>
      <c r="AD208" s="10">
        <v>6.64</v>
      </c>
    </row>
    <row r="209" spans="2:30" ht="12" customHeight="1" x14ac:dyDescent="0.25">
      <c r="B209" s="77" t="s">
        <v>127</v>
      </c>
      <c r="C209" s="8" t="s">
        <v>35</v>
      </c>
      <c r="D209" s="73">
        <v>12.441000000000001</v>
      </c>
      <c r="E209" s="73">
        <v>10.433999999999999</v>
      </c>
      <c r="F209" s="73">
        <v>15.031000000000001</v>
      </c>
      <c r="G209" s="73">
        <v>31.818999999999999</v>
      </c>
      <c r="H209" s="73">
        <v>36.853999999999999</v>
      </c>
      <c r="I209" s="73">
        <v>79.882999999999996</v>
      </c>
      <c r="J209" s="73">
        <v>93.751999999999995</v>
      </c>
      <c r="K209" s="73">
        <v>87.984999999999999</v>
      </c>
      <c r="L209" s="73">
        <v>82.316000000000003</v>
      </c>
      <c r="M209" s="73">
        <v>77.396000000000001</v>
      </c>
      <c r="N209" s="73">
        <v>51.814</v>
      </c>
      <c r="O209" s="73">
        <v>78.679000000000002</v>
      </c>
      <c r="P209" s="73">
        <v>77.799000000000007</v>
      </c>
      <c r="Q209" s="73">
        <v>84.531000000000006</v>
      </c>
      <c r="R209" s="73">
        <v>79.418000000000006</v>
      </c>
      <c r="S209" s="73">
        <v>81.332999999999998</v>
      </c>
      <c r="T209" s="73">
        <v>64.028000000000006</v>
      </c>
      <c r="U209" s="73">
        <v>57.351999999999997</v>
      </c>
      <c r="V209" s="73">
        <v>67.153999999999996</v>
      </c>
      <c r="W209" s="73">
        <v>89.725999999999999</v>
      </c>
      <c r="X209" s="73">
        <v>94.037999999999997</v>
      </c>
      <c r="Y209" s="73">
        <v>99.650999999999996</v>
      </c>
      <c r="Z209" s="73">
        <v>74.575999999999993</v>
      </c>
      <c r="AA209" s="49">
        <v>74.850999999999999</v>
      </c>
      <c r="AB209" s="49">
        <v>71.061999999999998</v>
      </c>
      <c r="AC209" s="49">
        <v>66.239000000000004</v>
      </c>
      <c r="AD209" s="10">
        <v>46.23</v>
      </c>
    </row>
    <row r="210" spans="2:30" ht="12" customHeight="1" x14ac:dyDescent="0.25">
      <c r="B210" s="77" t="s">
        <v>117</v>
      </c>
      <c r="C210" s="8" t="s">
        <v>35</v>
      </c>
      <c r="D210" s="73">
        <v>21.922000000000001</v>
      </c>
      <c r="E210" s="73">
        <v>23.777999999999999</v>
      </c>
      <c r="F210" s="73">
        <v>32.445999999999998</v>
      </c>
      <c r="G210" s="73">
        <v>33.898000000000003</v>
      </c>
      <c r="H210" s="73">
        <v>64.986999999999995</v>
      </c>
      <c r="I210" s="73">
        <v>64.911000000000001</v>
      </c>
      <c r="J210" s="73">
        <v>64.412000000000006</v>
      </c>
      <c r="K210" s="73">
        <v>81.227999999999994</v>
      </c>
      <c r="L210" s="73">
        <v>53.588999999999999</v>
      </c>
      <c r="M210" s="73">
        <v>36.722999999999999</v>
      </c>
      <c r="N210" s="73">
        <v>36.805</v>
      </c>
      <c r="O210" s="73">
        <v>43.155999999999999</v>
      </c>
      <c r="P210" s="73">
        <v>46.945999999999998</v>
      </c>
      <c r="Q210" s="73">
        <v>25.602</v>
      </c>
      <c r="R210" s="73">
        <v>42.927</v>
      </c>
      <c r="S210" s="73">
        <v>44.378</v>
      </c>
      <c r="T210" s="73">
        <v>30.712</v>
      </c>
      <c r="U210" s="73">
        <v>18.555</v>
      </c>
      <c r="V210" s="73">
        <v>21.248000000000001</v>
      </c>
      <c r="W210" s="73">
        <v>19.216000000000001</v>
      </c>
      <c r="X210" s="73">
        <v>12.069000000000001</v>
      </c>
      <c r="Y210" s="73">
        <v>17.960999999999999</v>
      </c>
      <c r="Z210" s="73">
        <v>21.13</v>
      </c>
      <c r="AA210" s="49">
        <v>14.715999999999999</v>
      </c>
      <c r="AB210" s="49">
        <v>16.693999999999999</v>
      </c>
      <c r="AC210" s="49">
        <v>9.1140000000000008</v>
      </c>
      <c r="AD210" s="10">
        <v>30.45</v>
      </c>
    </row>
    <row r="211" spans="2:30" ht="12" customHeight="1" x14ac:dyDescent="0.25">
      <c r="B211" s="77" t="s">
        <v>129</v>
      </c>
      <c r="C211" s="8" t="s">
        <v>35</v>
      </c>
      <c r="D211" s="73">
        <v>0</v>
      </c>
      <c r="E211" s="73">
        <v>0.64</v>
      </c>
      <c r="F211" s="73">
        <v>9.5000000000000001E-2</v>
      </c>
      <c r="G211" s="73">
        <v>0.19700000000000001</v>
      </c>
      <c r="H211" s="73">
        <v>2.823</v>
      </c>
      <c r="I211" s="73">
        <v>4.0609999999999999</v>
      </c>
      <c r="J211" s="73">
        <v>2.2719999999999998</v>
      </c>
      <c r="K211" s="73">
        <v>3.89</v>
      </c>
      <c r="L211" s="73">
        <v>3.3420000000000001</v>
      </c>
      <c r="M211" s="73">
        <v>2.4990000000000001</v>
      </c>
      <c r="N211" s="73">
        <v>1.454</v>
      </c>
      <c r="O211" s="73">
        <v>0.76200000000000001</v>
      </c>
      <c r="P211" s="73">
        <v>0.372</v>
      </c>
      <c r="Q211" s="73">
        <v>0.14399999999999999</v>
      </c>
      <c r="R211" s="73">
        <v>3.5999999999999997E-2</v>
      </c>
      <c r="S211" s="73">
        <v>0.314</v>
      </c>
      <c r="T211" s="73">
        <v>0.18</v>
      </c>
      <c r="U211" s="73">
        <v>0</v>
      </c>
      <c r="V211" s="73">
        <v>0.13600000000000001</v>
      </c>
      <c r="W211" s="73">
        <v>1.4999999999999999E-2</v>
      </c>
      <c r="X211" s="73">
        <v>0.71199999999999997</v>
      </c>
      <c r="Y211" s="73">
        <v>0.129</v>
      </c>
      <c r="Z211" s="73">
        <v>0.108</v>
      </c>
      <c r="AA211" s="49">
        <v>0.20699999999999999</v>
      </c>
      <c r="AB211" s="49">
        <v>0.14799999999999999</v>
      </c>
      <c r="AC211" s="49">
        <v>0.11</v>
      </c>
      <c r="AD211" s="10">
        <v>0.27</v>
      </c>
    </row>
    <row r="212" spans="2:30" ht="12" customHeight="1" x14ac:dyDescent="0.25">
      <c r="B212" s="77" t="s">
        <v>95</v>
      </c>
      <c r="C212" s="8" t="s">
        <v>35</v>
      </c>
      <c r="D212" s="73">
        <v>171.14400000000001</v>
      </c>
      <c r="E212" s="73">
        <v>140.82400000000001</v>
      </c>
      <c r="F212" s="73">
        <v>186.465</v>
      </c>
      <c r="G212" s="73">
        <v>305.83999999999997</v>
      </c>
      <c r="H212" s="73">
        <v>150.268</v>
      </c>
      <c r="I212" s="73">
        <v>353.90800000000002</v>
      </c>
      <c r="J212" s="73">
        <v>590.53399999999999</v>
      </c>
      <c r="K212" s="73">
        <v>684.04200000000003</v>
      </c>
      <c r="L212" s="73">
        <v>625.44200000000001</v>
      </c>
      <c r="M212" s="73">
        <v>456.68099999999998</v>
      </c>
      <c r="N212" s="73">
        <v>209.238</v>
      </c>
      <c r="O212" s="73">
        <v>195.459</v>
      </c>
      <c r="P212" s="73">
        <v>157.06399999999999</v>
      </c>
      <c r="Q212" s="73">
        <v>205.678</v>
      </c>
      <c r="R212" s="73">
        <v>199.93799999999999</v>
      </c>
      <c r="S212" s="73">
        <v>312.649</v>
      </c>
      <c r="T212" s="73">
        <v>278.63</v>
      </c>
      <c r="U212" s="73">
        <v>166.75299999999999</v>
      </c>
      <c r="V212" s="73">
        <v>205.709</v>
      </c>
      <c r="W212" s="73">
        <v>239.57599999999999</v>
      </c>
      <c r="X212" s="73">
        <v>222.02500000000001</v>
      </c>
      <c r="Y212" s="73">
        <v>213.47399999999999</v>
      </c>
      <c r="Z212" s="73">
        <v>209.452</v>
      </c>
      <c r="AA212" s="49">
        <v>188.727</v>
      </c>
      <c r="AB212" s="49">
        <v>146.37100000000001</v>
      </c>
      <c r="AC212" s="49">
        <v>162.12100000000001</v>
      </c>
      <c r="AD212" s="10">
        <v>149.81</v>
      </c>
    </row>
    <row r="213" spans="2:30" ht="12" customHeight="1" x14ac:dyDescent="0.25">
      <c r="B213" s="94" t="s">
        <v>13</v>
      </c>
      <c r="C213" s="22" t="s">
        <v>35</v>
      </c>
      <c r="D213" s="60">
        <v>2643.29</v>
      </c>
      <c r="E213" s="60">
        <v>2488.9499999999998</v>
      </c>
      <c r="F213" s="60">
        <v>2254.13</v>
      </c>
      <c r="G213" s="60">
        <v>2427.92</v>
      </c>
      <c r="H213" s="60">
        <v>3382.97</v>
      </c>
      <c r="I213" s="60">
        <v>5858.44</v>
      </c>
      <c r="J213" s="60">
        <v>6263.35</v>
      </c>
      <c r="K213" s="60">
        <v>5406.38</v>
      </c>
      <c r="L213" s="60">
        <v>4714.24</v>
      </c>
      <c r="M213" s="60">
        <v>3712.51</v>
      </c>
      <c r="N213" s="60">
        <v>2504.98</v>
      </c>
      <c r="O213" s="60">
        <v>2373.63</v>
      </c>
      <c r="P213" s="60">
        <v>2214.9499999999998</v>
      </c>
      <c r="Q213" s="60">
        <v>2363.1999999999998</v>
      </c>
      <c r="R213" s="60">
        <v>2389.61</v>
      </c>
      <c r="S213" s="60">
        <v>2326.61</v>
      </c>
      <c r="T213" s="60">
        <v>1794.29</v>
      </c>
      <c r="U213" s="60">
        <v>1566.09</v>
      </c>
      <c r="V213" s="60">
        <v>1935.93</v>
      </c>
      <c r="W213" s="60">
        <v>1759.06</v>
      </c>
      <c r="X213" s="60">
        <v>1559.58</v>
      </c>
      <c r="Y213" s="60">
        <v>1706.32</v>
      </c>
      <c r="Z213" s="60">
        <v>1646.5</v>
      </c>
      <c r="AA213" s="49">
        <v>1696.34</v>
      </c>
      <c r="AB213" s="49">
        <v>1756.97</v>
      </c>
      <c r="AC213" s="49">
        <v>1654.82</v>
      </c>
      <c r="AD213" s="10">
        <v>1603.61</v>
      </c>
    </row>
    <row r="214" spans="2:30" ht="12" customHeight="1" x14ac:dyDescent="0.25">
      <c r="B214" s="383" t="s">
        <v>128</v>
      </c>
      <c r="C214" s="383"/>
      <c r="D214" s="383"/>
      <c r="E214" s="383"/>
      <c r="F214" s="383"/>
      <c r="G214" s="383"/>
      <c r="H214" s="383"/>
      <c r="I214" s="383"/>
      <c r="J214" s="383"/>
      <c r="K214" s="383"/>
      <c r="L214" s="383"/>
      <c r="M214" s="383"/>
      <c r="N214" s="383"/>
      <c r="O214" s="383"/>
      <c r="P214" s="383"/>
      <c r="Q214" s="383"/>
      <c r="R214" s="383"/>
      <c r="S214" s="383"/>
      <c r="T214" s="383"/>
      <c r="U214" s="383"/>
      <c r="V214" s="383"/>
      <c r="W214" s="383"/>
      <c r="X214" s="383"/>
      <c r="Y214" s="383"/>
      <c r="Z214" s="384"/>
      <c r="AA214" s="86"/>
      <c r="AB214" s="86"/>
      <c r="AC214" s="86"/>
      <c r="AD214" s="86"/>
    </row>
    <row r="215" spans="2:30" ht="12" customHeight="1" x14ac:dyDescent="0.25">
      <c r="B215" s="77" t="s">
        <v>116</v>
      </c>
      <c r="C215" s="8" t="s">
        <v>35</v>
      </c>
      <c r="D215" s="73">
        <v>529.31600000000003</v>
      </c>
      <c r="E215" s="73">
        <v>451.14100000000002</v>
      </c>
      <c r="F215" s="73">
        <v>289.13600000000002</v>
      </c>
      <c r="G215" s="73">
        <v>307.00299999999999</v>
      </c>
      <c r="H215" s="73" t="s">
        <v>19</v>
      </c>
      <c r="I215" s="73" t="s">
        <v>19</v>
      </c>
      <c r="J215" s="73" t="s">
        <v>19</v>
      </c>
      <c r="K215" s="73" t="s">
        <v>19</v>
      </c>
      <c r="L215" s="73" t="s">
        <v>19</v>
      </c>
      <c r="M215" s="73" t="s">
        <v>19</v>
      </c>
      <c r="N215" s="73" t="s">
        <v>19</v>
      </c>
      <c r="O215" s="73" t="s">
        <v>19</v>
      </c>
      <c r="P215" s="73" t="s">
        <v>19</v>
      </c>
      <c r="Q215" s="73" t="s">
        <v>19</v>
      </c>
      <c r="R215" s="73" t="s">
        <v>19</v>
      </c>
      <c r="S215" s="73" t="s">
        <v>19</v>
      </c>
      <c r="T215" s="73" t="s">
        <v>19</v>
      </c>
      <c r="U215" s="73" t="s">
        <v>19</v>
      </c>
      <c r="V215" s="73" t="s">
        <v>19</v>
      </c>
      <c r="W215" s="73" t="s">
        <v>19</v>
      </c>
      <c r="X215" s="73" t="s">
        <v>19</v>
      </c>
      <c r="Y215" s="73" t="s">
        <v>19</v>
      </c>
      <c r="Z215" s="73" t="s">
        <v>19</v>
      </c>
      <c r="AA215" s="49" t="s">
        <v>19</v>
      </c>
      <c r="AB215" s="49" t="s">
        <v>19</v>
      </c>
      <c r="AC215" s="49" t="s">
        <v>19</v>
      </c>
      <c r="AD215" s="49" t="s">
        <v>19</v>
      </c>
    </row>
    <row r="216" spans="2:30" ht="12" customHeight="1" x14ac:dyDescent="0.25">
      <c r="B216" s="77" t="s">
        <v>127</v>
      </c>
      <c r="C216" s="8" t="s">
        <v>35</v>
      </c>
      <c r="D216" s="73">
        <v>1932.42</v>
      </c>
      <c r="E216" s="73">
        <v>1747.83</v>
      </c>
      <c r="F216" s="73">
        <v>2408.75</v>
      </c>
      <c r="G216" s="73">
        <v>2268.65</v>
      </c>
      <c r="H216" s="73" t="s">
        <v>19</v>
      </c>
      <c r="I216" s="73" t="s">
        <v>19</v>
      </c>
      <c r="J216" s="73" t="s">
        <v>19</v>
      </c>
      <c r="K216" s="73" t="s">
        <v>19</v>
      </c>
      <c r="L216" s="73" t="s">
        <v>19</v>
      </c>
      <c r="M216" s="73" t="s">
        <v>19</v>
      </c>
      <c r="N216" s="73" t="s">
        <v>19</v>
      </c>
      <c r="O216" s="73" t="s">
        <v>19</v>
      </c>
      <c r="P216" s="73" t="s">
        <v>19</v>
      </c>
      <c r="Q216" s="73" t="s">
        <v>19</v>
      </c>
      <c r="R216" s="73" t="s">
        <v>19</v>
      </c>
      <c r="S216" s="73" t="s">
        <v>19</v>
      </c>
      <c r="T216" s="73" t="s">
        <v>19</v>
      </c>
      <c r="U216" s="73" t="s">
        <v>19</v>
      </c>
      <c r="V216" s="73" t="s">
        <v>19</v>
      </c>
      <c r="W216" s="73" t="s">
        <v>19</v>
      </c>
      <c r="X216" s="73" t="s">
        <v>19</v>
      </c>
      <c r="Y216" s="73" t="s">
        <v>19</v>
      </c>
      <c r="Z216" s="73" t="s">
        <v>19</v>
      </c>
      <c r="AA216" s="49" t="s">
        <v>19</v>
      </c>
      <c r="AB216" s="49" t="s">
        <v>19</v>
      </c>
      <c r="AC216" s="49" t="s">
        <v>19</v>
      </c>
      <c r="AD216" s="49" t="s">
        <v>19</v>
      </c>
    </row>
    <row r="217" spans="2:30" ht="12" customHeight="1" x14ac:dyDescent="0.25">
      <c r="B217" s="81" t="s">
        <v>117</v>
      </c>
      <c r="C217" s="8" t="s">
        <v>35</v>
      </c>
      <c r="D217" s="73">
        <v>300.87599999999998</v>
      </c>
      <c r="E217" s="73">
        <v>245.51599999999999</v>
      </c>
      <c r="F217" s="73">
        <v>340.54300000000001</v>
      </c>
      <c r="G217" s="73">
        <v>257.91399999999999</v>
      </c>
      <c r="H217" s="73" t="s">
        <v>19</v>
      </c>
      <c r="I217" s="73" t="s">
        <v>19</v>
      </c>
      <c r="J217" s="73" t="s">
        <v>19</v>
      </c>
      <c r="K217" s="73" t="s">
        <v>19</v>
      </c>
      <c r="L217" s="73" t="s">
        <v>19</v>
      </c>
      <c r="M217" s="73" t="s">
        <v>19</v>
      </c>
      <c r="N217" s="73" t="s">
        <v>19</v>
      </c>
      <c r="O217" s="73" t="s">
        <v>19</v>
      </c>
      <c r="P217" s="73" t="s">
        <v>19</v>
      </c>
      <c r="Q217" s="73" t="s">
        <v>19</v>
      </c>
      <c r="R217" s="73" t="s">
        <v>19</v>
      </c>
      <c r="S217" s="73" t="s">
        <v>19</v>
      </c>
      <c r="T217" s="73" t="s">
        <v>19</v>
      </c>
      <c r="U217" s="73" t="s">
        <v>19</v>
      </c>
      <c r="V217" s="73" t="s">
        <v>19</v>
      </c>
      <c r="W217" s="73" t="s">
        <v>19</v>
      </c>
      <c r="X217" s="73" t="s">
        <v>19</v>
      </c>
      <c r="Y217" s="73" t="s">
        <v>19</v>
      </c>
      <c r="Z217" s="73" t="s">
        <v>19</v>
      </c>
      <c r="AA217" s="49" t="s">
        <v>19</v>
      </c>
      <c r="AB217" s="49" t="s">
        <v>19</v>
      </c>
      <c r="AC217" s="49" t="s">
        <v>19</v>
      </c>
      <c r="AD217" s="49" t="s">
        <v>19</v>
      </c>
    </row>
    <row r="218" spans="2:30" ht="12" customHeight="1" x14ac:dyDescent="0.25">
      <c r="B218" s="77" t="s">
        <v>118</v>
      </c>
      <c r="C218" s="8" t="s">
        <v>35</v>
      </c>
      <c r="D218" s="73">
        <v>185.042</v>
      </c>
      <c r="E218" s="73">
        <v>194.946</v>
      </c>
      <c r="F218" s="73">
        <v>287.67099999999999</v>
      </c>
      <c r="G218" s="73">
        <v>207.11699999999999</v>
      </c>
      <c r="H218" s="73" t="s">
        <v>19</v>
      </c>
      <c r="I218" s="73" t="s">
        <v>19</v>
      </c>
      <c r="J218" s="73" t="s">
        <v>19</v>
      </c>
      <c r="K218" s="73" t="s">
        <v>19</v>
      </c>
      <c r="L218" s="73" t="s">
        <v>19</v>
      </c>
      <c r="M218" s="73" t="s">
        <v>19</v>
      </c>
      <c r="N218" s="73" t="s">
        <v>19</v>
      </c>
      <c r="O218" s="73" t="s">
        <v>19</v>
      </c>
      <c r="P218" s="73" t="s">
        <v>19</v>
      </c>
      <c r="Q218" s="73" t="s">
        <v>19</v>
      </c>
      <c r="R218" s="73" t="s">
        <v>19</v>
      </c>
      <c r="S218" s="73" t="s">
        <v>19</v>
      </c>
      <c r="T218" s="73" t="s">
        <v>19</v>
      </c>
      <c r="U218" s="73" t="s">
        <v>19</v>
      </c>
      <c r="V218" s="73" t="s">
        <v>19</v>
      </c>
      <c r="W218" s="73" t="s">
        <v>19</v>
      </c>
      <c r="X218" s="73" t="s">
        <v>19</v>
      </c>
      <c r="Y218" s="73" t="s">
        <v>19</v>
      </c>
      <c r="Z218" s="73" t="s">
        <v>19</v>
      </c>
      <c r="AA218" s="49" t="s">
        <v>19</v>
      </c>
      <c r="AB218" s="49" t="s">
        <v>19</v>
      </c>
      <c r="AC218" s="49" t="s">
        <v>19</v>
      </c>
      <c r="AD218" s="49" t="s">
        <v>19</v>
      </c>
    </row>
    <row r="219" spans="2:30" ht="12" customHeight="1" x14ac:dyDescent="0.25">
      <c r="B219" s="77" t="s">
        <v>129</v>
      </c>
      <c r="C219" s="8" t="s">
        <v>35</v>
      </c>
      <c r="D219" s="73">
        <v>64.042000000000002</v>
      </c>
      <c r="E219" s="73">
        <v>56.493000000000002</v>
      </c>
      <c r="F219" s="73">
        <v>79.709000000000003</v>
      </c>
      <c r="G219" s="73">
        <v>71.953000000000003</v>
      </c>
      <c r="H219" s="73" t="s">
        <v>19</v>
      </c>
      <c r="I219" s="73" t="s">
        <v>19</v>
      </c>
      <c r="J219" s="73" t="s">
        <v>19</v>
      </c>
      <c r="K219" s="73" t="s">
        <v>19</v>
      </c>
      <c r="L219" s="73" t="s">
        <v>19</v>
      </c>
      <c r="M219" s="73" t="s">
        <v>19</v>
      </c>
      <c r="N219" s="73" t="s">
        <v>19</v>
      </c>
      <c r="O219" s="73" t="s">
        <v>19</v>
      </c>
      <c r="P219" s="73" t="s">
        <v>19</v>
      </c>
      <c r="Q219" s="73" t="s">
        <v>19</v>
      </c>
      <c r="R219" s="73" t="s">
        <v>19</v>
      </c>
      <c r="S219" s="73" t="s">
        <v>19</v>
      </c>
      <c r="T219" s="73" t="s">
        <v>19</v>
      </c>
      <c r="U219" s="73" t="s">
        <v>19</v>
      </c>
      <c r="V219" s="73" t="s">
        <v>19</v>
      </c>
      <c r="W219" s="73" t="s">
        <v>19</v>
      </c>
      <c r="X219" s="73" t="s">
        <v>19</v>
      </c>
      <c r="Y219" s="73" t="s">
        <v>19</v>
      </c>
      <c r="Z219" s="73" t="s">
        <v>19</v>
      </c>
      <c r="AA219" s="49" t="s">
        <v>19</v>
      </c>
      <c r="AB219" s="49" t="s">
        <v>19</v>
      </c>
      <c r="AC219" s="49" t="s">
        <v>19</v>
      </c>
      <c r="AD219" s="49" t="s">
        <v>19</v>
      </c>
    </row>
    <row r="220" spans="2:30" ht="12" customHeight="1" x14ac:dyDescent="0.25">
      <c r="B220" s="77" t="s">
        <v>95</v>
      </c>
      <c r="C220" s="8" t="s">
        <v>35</v>
      </c>
      <c r="D220" s="73">
        <v>32.89</v>
      </c>
      <c r="E220" s="73">
        <v>30.018000000000001</v>
      </c>
      <c r="F220" s="73">
        <v>33.661999999999999</v>
      </c>
      <c r="G220" s="73">
        <v>44.283999999999999</v>
      </c>
      <c r="H220" s="73" t="s">
        <v>19</v>
      </c>
      <c r="I220" s="73" t="s">
        <v>19</v>
      </c>
      <c r="J220" s="73" t="s">
        <v>19</v>
      </c>
      <c r="K220" s="73" t="s">
        <v>19</v>
      </c>
      <c r="L220" s="73" t="s">
        <v>19</v>
      </c>
      <c r="M220" s="73" t="s">
        <v>19</v>
      </c>
      <c r="N220" s="73" t="s">
        <v>19</v>
      </c>
      <c r="O220" s="73" t="s">
        <v>19</v>
      </c>
      <c r="P220" s="73" t="s">
        <v>19</v>
      </c>
      <c r="Q220" s="73" t="s">
        <v>19</v>
      </c>
      <c r="R220" s="73" t="s">
        <v>19</v>
      </c>
      <c r="S220" s="73" t="s">
        <v>19</v>
      </c>
      <c r="T220" s="73" t="s">
        <v>19</v>
      </c>
      <c r="U220" s="73" t="s">
        <v>19</v>
      </c>
      <c r="V220" s="73" t="s">
        <v>19</v>
      </c>
      <c r="W220" s="73" t="s">
        <v>19</v>
      </c>
      <c r="X220" s="73" t="s">
        <v>19</v>
      </c>
      <c r="Y220" s="73" t="s">
        <v>19</v>
      </c>
      <c r="Z220" s="73" t="s">
        <v>19</v>
      </c>
      <c r="AA220" s="49" t="s">
        <v>19</v>
      </c>
      <c r="AB220" s="49" t="s">
        <v>19</v>
      </c>
      <c r="AC220" s="49" t="s">
        <v>19</v>
      </c>
      <c r="AD220" s="49" t="s">
        <v>19</v>
      </c>
    </row>
    <row r="221" spans="2:30" ht="12" customHeight="1" x14ac:dyDescent="0.25">
      <c r="B221" s="94" t="s">
        <v>13</v>
      </c>
      <c r="C221" s="22" t="s">
        <v>35</v>
      </c>
      <c r="D221" s="60">
        <v>3044.59</v>
      </c>
      <c r="E221" s="60">
        <v>2725.94</v>
      </c>
      <c r="F221" s="60">
        <v>3439.47</v>
      </c>
      <c r="G221" s="60">
        <v>3156.92</v>
      </c>
      <c r="H221" s="60" t="s">
        <v>19</v>
      </c>
      <c r="I221" s="60" t="s">
        <v>19</v>
      </c>
      <c r="J221" s="60" t="s">
        <v>19</v>
      </c>
      <c r="K221" s="60" t="s">
        <v>19</v>
      </c>
      <c r="L221" s="60" t="s">
        <v>19</v>
      </c>
      <c r="M221" s="60" t="s">
        <v>19</v>
      </c>
      <c r="N221" s="60" t="s">
        <v>19</v>
      </c>
      <c r="O221" s="60" t="s">
        <v>19</v>
      </c>
      <c r="P221" s="60" t="s">
        <v>19</v>
      </c>
      <c r="Q221" s="60" t="s">
        <v>19</v>
      </c>
      <c r="R221" s="60" t="s">
        <v>19</v>
      </c>
      <c r="S221" s="60" t="s">
        <v>19</v>
      </c>
      <c r="T221" s="60" t="s">
        <v>19</v>
      </c>
      <c r="U221" s="60" t="s">
        <v>19</v>
      </c>
      <c r="V221" s="60" t="s">
        <v>19</v>
      </c>
      <c r="W221" s="60" t="s">
        <v>19</v>
      </c>
      <c r="X221" s="60" t="s">
        <v>19</v>
      </c>
      <c r="Y221" s="60" t="s">
        <v>19</v>
      </c>
      <c r="Z221" s="60" t="s">
        <v>19</v>
      </c>
      <c r="AA221" s="49" t="s">
        <v>19</v>
      </c>
      <c r="AB221" s="49" t="s">
        <v>19</v>
      </c>
      <c r="AC221" s="49" t="s">
        <v>19</v>
      </c>
      <c r="AD221" s="49" t="s">
        <v>19</v>
      </c>
    </row>
    <row r="222" spans="2:30" ht="12.75" customHeight="1" x14ac:dyDescent="0.25">
      <c r="B222" s="383" t="s">
        <v>130</v>
      </c>
      <c r="C222" s="383"/>
      <c r="D222" s="383"/>
      <c r="E222" s="383"/>
      <c r="F222" s="383"/>
      <c r="G222" s="383"/>
      <c r="H222" s="383"/>
      <c r="I222" s="383"/>
      <c r="J222" s="383"/>
      <c r="K222" s="383"/>
      <c r="L222" s="383"/>
      <c r="M222" s="383"/>
      <c r="N222" s="383"/>
      <c r="O222" s="383"/>
      <c r="P222" s="383"/>
      <c r="Q222" s="383"/>
      <c r="R222" s="383"/>
      <c r="S222" s="383"/>
      <c r="T222" s="383"/>
      <c r="U222" s="383"/>
      <c r="V222" s="383"/>
      <c r="W222" s="383"/>
      <c r="X222" s="383"/>
      <c r="Y222" s="383"/>
      <c r="Z222" s="384"/>
      <c r="AA222" s="80"/>
      <c r="AB222" s="80"/>
      <c r="AC222" s="80"/>
      <c r="AD222" s="80"/>
    </row>
    <row r="223" spans="2:30" ht="12" customHeight="1" x14ac:dyDescent="0.25">
      <c r="B223" s="77" t="s">
        <v>116</v>
      </c>
      <c r="C223" s="8" t="s">
        <v>35</v>
      </c>
      <c r="D223" s="73" t="s">
        <v>19</v>
      </c>
      <c r="E223" s="73">
        <v>1.6890000000000001</v>
      </c>
      <c r="F223" s="73">
        <v>1.484</v>
      </c>
      <c r="G223" s="31">
        <v>9.8239999999999998</v>
      </c>
      <c r="H223" s="31" t="s">
        <v>19</v>
      </c>
      <c r="I223" s="31" t="s">
        <v>19</v>
      </c>
      <c r="J223" s="31" t="s">
        <v>19</v>
      </c>
      <c r="K223" s="31" t="s">
        <v>19</v>
      </c>
      <c r="L223" s="31" t="s">
        <v>19</v>
      </c>
      <c r="M223" s="31" t="s">
        <v>19</v>
      </c>
      <c r="N223" s="31" t="s">
        <v>19</v>
      </c>
      <c r="O223" s="31" t="s">
        <v>19</v>
      </c>
      <c r="P223" s="31" t="s">
        <v>19</v>
      </c>
      <c r="Q223" s="31" t="s">
        <v>19</v>
      </c>
      <c r="R223" s="31" t="s">
        <v>19</v>
      </c>
      <c r="S223" s="31" t="s">
        <v>19</v>
      </c>
      <c r="T223" s="31" t="s">
        <v>19</v>
      </c>
      <c r="U223" s="31" t="s">
        <v>19</v>
      </c>
      <c r="V223" s="31" t="s">
        <v>19</v>
      </c>
      <c r="W223" s="31" t="s">
        <v>19</v>
      </c>
      <c r="X223" s="31" t="s">
        <v>19</v>
      </c>
      <c r="Y223" s="31" t="s">
        <v>19</v>
      </c>
      <c r="Z223" s="31" t="s">
        <v>19</v>
      </c>
      <c r="AA223" s="87" t="s">
        <v>19</v>
      </c>
      <c r="AB223" s="87" t="s">
        <v>19</v>
      </c>
      <c r="AC223" s="87" t="s">
        <v>19</v>
      </c>
      <c r="AD223" s="49" t="s">
        <v>19</v>
      </c>
    </row>
    <row r="224" spans="2:30" ht="12" customHeight="1" x14ac:dyDescent="0.25">
      <c r="B224" s="81" t="s">
        <v>117</v>
      </c>
      <c r="C224" s="8" t="s">
        <v>35</v>
      </c>
      <c r="D224" s="73" t="s">
        <v>19</v>
      </c>
      <c r="E224" s="73">
        <v>1.9E-2</v>
      </c>
      <c r="F224" s="73">
        <v>0.09</v>
      </c>
      <c r="G224" s="31">
        <v>2.29</v>
      </c>
      <c r="H224" s="31" t="s">
        <v>19</v>
      </c>
      <c r="I224" s="31" t="s">
        <v>19</v>
      </c>
      <c r="J224" s="31" t="s">
        <v>19</v>
      </c>
      <c r="K224" s="31" t="s">
        <v>19</v>
      </c>
      <c r="L224" s="31" t="s">
        <v>19</v>
      </c>
      <c r="M224" s="31" t="s">
        <v>19</v>
      </c>
      <c r="N224" s="31" t="s">
        <v>19</v>
      </c>
      <c r="O224" s="31" t="s">
        <v>19</v>
      </c>
      <c r="P224" s="31" t="s">
        <v>19</v>
      </c>
      <c r="Q224" s="31" t="s">
        <v>19</v>
      </c>
      <c r="R224" s="31" t="s">
        <v>19</v>
      </c>
      <c r="S224" s="31" t="s">
        <v>19</v>
      </c>
      <c r="T224" s="31" t="s">
        <v>19</v>
      </c>
      <c r="U224" s="31" t="s">
        <v>19</v>
      </c>
      <c r="V224" s="31" t="s">
        <v>19</v>
      </c>
      <c r="W224" s="31" t="s">
        <v>19</v>
      </c>
      <c r="X224" s="31" t="s">
        <v>19</v>
      </c>
      <c r="Y224" s="31" t="s">
        <v>19</v>
      </c>
      <c r="Z224" s="31" t="s">
        <v>19</v>
      </c>
      <c r="AA224" s="87" t="s">
        <v>19</v>
      </c>
      <c r="AB224" s="87" t="s">
        <v>19</v>
      </c>
      <c r="AC224" s="87" t="s">
        <v>19</v>
      </c>
      <c r="AD224" s="49" t="s">
        <v>19</v>
      </c>
    </row>
    <row r="225" spans="2:30" ht="12" customHeight="1" x14ac:dyDescent="0.25">
      <c r="B225" s="12" t="s">
        <v>108</v>
      </c>
      <c r="C225" s="8" t="s">
        <v>35</v>
      </c>
      <c r="D225" s="73">
        <v>206.999</v>
      </c>
      <c r="E225" s="73">
        <v>296.125</v>
      </c>
      <c r="F225" s="73">
        <v>230.97800000000001</v>
      </c>
      <c r="G225" s="31">
        <v>456.92500000000001</v>
      </c>
      <c r="H225" s="31" t="s">
        <v>19</v>
      </c>
      <c r="I225" s="31" t="s">
        <v>19</v>
      </c>
      <c r="J225" s="31" t="s">
        <v>19</v>
      </c>
      <c r="K225" s="31" t="s">
        <v>19</v>
      </c>
      <c r="L225" s="31" t="s">
        <v>19</v>
      </c>
      <c r="M225" s="31" t="s">
        <v>19</v>
      </c>
      <c r="N225" s="31" t="s">
        <v>19</v>
      </c>
      <c r="O225" s="31" t="s">
        <v>19</v>
      </c>
      <c r="P225" s="31" t="s">
        <v>19</v>
      </c>
      <c r="Q225" s="31" t="s">
        <v>19</v>
      </c>
      <c r="R225" s="31" t="s">
        <v>19</v>
      </c>
      <c r="S225" s="31" t="s">
        <v>19</v>
      </c>
      <c r="T225" s="31" t="s">
        <v>19</v>
      </c>
      <c r="U225" s="31" t="s">
        <v>19</v>
      </c>
      <c r="V225" s="31" t="s">
        <v>19</v>
      </c>
      <c r="W225" s="31" t="s">
        <v>19</v>
      </c>
      <c r="X225" s="31" t="s">
        <v>19</v>
      </c>
      <c r="Y225" s="31" t="s">
        <v>19</v>
      </c>
      <c r="Z225" s="31" t="s">
        <v>19</v>
      </c>
      <c r="AA225" s="87" t="s">
        <v>19</v>
      </c>
      <c r="AB225" s="87" t="s">
        <v>19</v>
      </c>
      <c r="AC225" s="87" t="s">
        <v>19</v>
      </c>
      <c r="AD225" s="49" t="s">
        <v>19</v>
      </c>
    </row>
    <row r="226" spans="2:30" ht="12" customHeight="1" x14ac:dyDescent="0.25">
      <c r="B226" s="78" t="s">
        <v>131</v>
      </c>
      <c r="C226" s="8" t="s">
        <v>35</v>
      </c>
      <c r="D226" s="73" t="s">
        <v>19</v>
      </c>
      <c r="E226" s="73">
        <v>0.57899999999999996</v>
      </c>
      <c r="F226" s="73">
        <v>0.86799999999999999</v>
      </c>
      <c r="G226" s="31">
        <v>40.524000000000001</v>
      </c>
      <c r="H226" s="31" t="s">
        <v>19</v>
      </c>
      <c r="I226" s="31" t="s">
        <v>19</v>
      </c>
      <c r="J226" s="31" t="s">
        <v>19</v>
      </c>
      <c r="K226" s="31" t="s">
        <v>19</v>
      </c>
      <c r="L226" s="31" t="s">
        <v>19</v>
      </c>
      <c r="M226" s="31" t="s">
        <v>19</v>
      </c>
      <c r="N226" s="31" t="s">
        <v>19</v>
      </c>
      <c r="O226" s="31" t="s">
        <v>19</v>
      </c>
      <c r="P226" s="31" t="s">
        <v>19</v>
      </c>
      <c r="Q226" s="31" t="s">
        <v>19</v>
      </c>
      <c r="R226" s="31" t="s">
        <v>19</v>
      </c>
      <c r="S226" s="31" t="s">
        <v>19</v>
      </c>
      <c r="T226" s="31" t="s">
        <v>19</v>
      </c>
      <c r="U226" s="31" t="s">
        <v>19</v>
      </c>
      <c r="V226" s="31" t="s">
        <v>19</v>
      </c>
      <c r="W226" s="31" t="s">
        <v>19</v>
      </c>
      <c r="X226" s="31" t="s">
        <v>19</v>
      </c>
      <c r="Y226" s="31" t="s">
        <v>19</v>
      </c>
      <c r="Z226" s="31" t="s">
        <v>19</v>
      </c>
      <c r="AA226" s="87" t="s">
        <v>19</v>
      </c>
      <c r="AB226" s="87" t="s">
        <v>19</v>
      </c>
      <c r="AC226" s="87" t="s">
        <v>19</v>
      </c>
      <c r="AD226" s="49" t="s">
        <v>19</v>
      </c>
    </row>
    <row r="227" spans="2:30" ht="12" customHeight="1" x14ac:dyDescent="0.25">
      <c r="B227" s="77" t="s">
        <v>129</v>
      </c>
      <c r="C227" s="8" t="s">
        <v>35</v>
      </c>
      <c r="D227" s="73" t="s">
        <v>19</v>
      </c>
      <c r="E227" s="73">
        <v>0.13</v>
      </c>
      <c r="F227" s="73">
        <v>0.33500000000000002</v>
      </c>
      <c r="G227" s="31">
        <v>2.4609999999999999</v>
      </c>
      <c r="H227" s="31" t="s">
        <v>19</v>
      </c>
      <c r="I227" s="31" t="s">
        <v>19</v>
      </c>
      <c r="J227" s="31" t="s">
        <v>19</v>
      </c>
      <c r="K227" s="31" t="s">
        <v>19</v>
      </c>
      <c r="L227" s="31" t="s">
        <v>19</v>
      </c>
      <c r="M227" s="31" t="s">
        <v>19</v>
      </c>
      <c r="N227" s="31" t="s">
        <v>19</v>
      </c>
      <c r="O227" s="31" t="s">
        <v>19</v>
      </c>
      <c r="P227" s="31" t="s">
        <v>19</v>
      </c>
      <c r="Q227" s="31" t="s">
        <v>19</v>
      </c>
      <c r="R227" s="31" t="s">
        <v>19</v>
      </c>
      <c r="S227" s="31" t="s">
        <v>19</v>
      </c>
      <c r="T227" s="31" t="s">
        <v>19</v>
      </c>
      <c r="U227" s="31" t="s">
        <v>19</v>
      </c>
      <c r="V227" s="31" t="s">
        <v>19</v>
      </c>
      <c r="W227" s="31" t="s">
        <v>19</v>
      </c>
      <c r="X227" s="31" t="s">
        <v>19</v>
      </c>
      <c r="Y227" s="31" t="s">
        <v>19</v>
      </c>
      <c r="Z227" s="31" t="s">
        <v>19</v>
      </c>
      <c r="AA227" s="87" t="s">
        <v>19</v>
      </c>
      <c r="AB227" s="87" t="s">
        <v>19</v>
      </c>
      <c r="AC227" s="87" t="s">
        <v>19</v>
      </c>
      <c r="AD227" s="49" t="s">
        <v>19</v>
      </c>
    </row>
    <row r="228" spans="2:30" ht="12" customHeight="1" x14ac:dyDescent="0.25">
      <c r="B228" s="12" t="s">
        <v>106</v>
      </c>
      <c r="C228" s="8" t="s">
        <v>35</v>
      </c>
      <c r="D228" s="73">
        <v>158.56299999999999</v>
      </c>
      <c r="E228" s="73">
        <v>224.73500000000001</v>
      </c>
      <c r="F228" s="73">
        <v>37.093000000000004</v>
      </c>
      <c r="G228" s="31">
        <v>22.721</v>
      </c>
      <c r="H228" s="31" t="s">
        <v>19</v>
      </c>
      <c r="I228" s="31" t="s">
        <v>19</v>
      </c>
      <c r="J228" s="31" t="s">
        <v>19</v>
      </c>
      <c r="K228" s="31" t="s">
        <v>19</v>
      </c>
      <c r="L228" s="31" t="s">
        <v>19</v>
      </c>
      <c r="M228" s="31" t="s">
        <v>19</v>
      </c>
      <c r="N228" s="31" t="s">
        <v>19</v>
      </c>
      <c r="O228" s="31" t="s">
        <v>19</v>
      </c>
      <c r="P228" s="31" t="s">
        <v>19</v>
      </c>
      <c r="Q228" s="31" t="s">
        <v>19</v>
      </c>
      <c r="R228" s="31" t="s">
        <v>19</v>
      </c>
      <c r="S228" s="31" t="s">
        <v>19</v>
      </c>
      <c r="T228" s="31" t="s">
        <v>19</v>
      </c>
      <c r="U228" s="31" t="s">
        <v>19</v>
      </c>
      <c r="V228" s="31" t="s">
        <v>19</v>
      </c>
      <c r="W228" s="31" t="s">
        <v>19</v>
      </c>
      <c r="X228" s="31" t="s">
        <v>19</v>
      </c>
      <c r="Y228" s="31" t="s">
        <v>19</v>
      </c>
      <c r="Z228" s="31" t="s">
        <v>19</v>
      </c>
      <c r="AA228" s="87" t="s">
        <v>19</v>
      </c>
      <c r="AB228" s="87" t="s">
        <v>19</v>
      </c>
      <c r="AC228" s="87" t="s">
        <v>19</v>
      </c>
      <c r="AD228" s="49" t="s">
        <v>19</v>
      </c>
    </row>
    <row r="229" spans="2:30" ht="12" customHeight="1" x14ac:dyDescent="0.25">
      <c r="B229" s="78" t="s">
        <v>115</v>
      </c>
      <c r="C229" s="8" t="s">
        <v>35</v>
      </c>
      <c r="D229" s="73">
        <v>461.55700000000002</v>
      </c>
      <c r="E229" s="73">
        <v>511.70800000000003</v>
      </c>
      <c r="F229" s="73">
        <v>579.56799999999998</v>
      </c>
      <c r="G229" s="31">
        <v>411.46899999999999</v>
      </c>
      <c r="H229" s="31" t="s">
        <v>19</v>
      </c>
      <c r="I229" s="31" t="s">
        <v>19</v>
      </c>
      <c r="J229" s="31" t="s">
        <v>19</v>
      </c>
      <c r="K229" s="31" t="s">
        <v>19</v>
      </c>
      <c r="L229" s="31" t="s">
        <v>19</v>
      </c>
      <c r="M229" s="31" t="s">
        <v>19</v>
      </c>
      <c r="N229" s="31" t="s">
        <v>19</v>
      </c>
      <c r="O229" s="31" t="s">
        <v>19</v>
      </c>
      <c r="P229" s="31" t="s">
        <v>19</v>
      </c>
      <c r="Q229" s="31" t="s">
        <v>19</v>
      </c>
      <c r="R229" s="31" t="s">
        <v>19</v>
      </c>
      <c r="S229" s="31" t="s">
        <v>19</v>
      </c>
      <c r="T229" s="31" t="s">
        <v>19</v>
      </c>
      <c r="U229" s="31" t="s">
        <v>19</v>
      </c>
      <c r="V229" s="31" t="s">
        <v>19</v>
      </c>
      <c r="W229" s="31" t="s">
        <v>19</v>
      </c>
      <c r="X229" s="31" t="s">
        <v>19</v>
      </c>
      <c r="Y229" s="31" t="s">
        <v>19</v>
      </c>
      <c r="Z229" s="31" t="s">
        <v>19</v>
      </c>
      <c r="AA229" s="87" t="s">
        <v>19</v>
      </c>
      <c r="AB229" s="87" t="s">
        <v>19</v>
      </c>
      <c r="AC229" s="87" t="s">
        <v>19</v>
      </c>
      <c r="AD229" s="49" t="s">
        <v>19</v>
      </c>
    </row>
    <row r="230" spans="2:30" ht="12" customHeight="1" x14ac:dyDescent="0.25">
      <c r="B230" s="77" t="s">
        <v>95</v>
      </c>
      <c r="C230" s="8" t="s">
        <v>35</v>
      </c>
      <c r="D230" s="73">
        <v>188.251</v>
      </c>
      <c r="E230" s="73">
        <v>200.49199999999999</v>
      </c>
      <c r="F230" s="73">
        <v>159.642</v>
      </c>
      <c r="G230" s="31">
        <v>215.78</v>
      </c>
      <c r="H230" s="31" t="s">
        <v>19</v>
      </c>
      <c r="I230" s="31" t="s">
        <v>19</v>
      </c>
      <c r="J230" s="31" t="s">
        <v>19</v>
      </c>
      <c r="K230" s="31" t="s">
        <v>19</v>
      </c>
      <c r="L230" s="31" t="s">
        <v>19</v>
      </c>
      <c r="M230" s="31" t="s">
        <v>19</v>
      </c>
      <c r="N230" s="31" t="s">
        <v>19</v>
      </c>
      <c r="O230" s="31" t="s">
        <v>19</v>
      </c>
      <c r="P230" s="31" t="s">
        <v>19</v>
      </c>
      <c r="Q230" s="31" t="s">
        <v>19</v>
      </c>
      <c r="R230" s="31" t="s">
        <v>19</v>
      </c>
      <c r="S230" s="31" t="s">
        <v>19</v>
      </c>
      <c r="T230" s="31" t="s">
        <v>19</v>
      </c>
      <c r="U230" s="31" t="s">
        <v>19</v>
      </c>
      <c r="V230" s="31" t="s">
        <v>19</v>
      </c>
      <c r="W230" s="31" t="s">
        <v>19</v>
      </c>
      <c r="X230" s="31" t="s">
        <v>19</v>
      </c>
      <c r="Y230" s="31" t="s">
        <v>19</v>
      </c>
      <c r="Z230" s="31" t="s">
        <v>19</v>
      </c>
      <c r="AA230" s="87" t="s">
        <v>19</v>
      </c>
      <c r="AB230" s="87" t="s">
        <v>19</v>
      </c>
      <c r="AC230" s="87" t="s">
        <v>19</v>
      </c>
      <c r="AD230" s="49" t="s">
        <v>19</v>
      </c>
    </row>
    <row r="231" spans="2:30" ht="12" customHeight="1" x14ac:dyDescent="0.25">
      <c r="B231" s="94" t="s">
        <v>132</v>
      </c>
      <c r="C231" s="22" t="s">
        <v>35</v>
      </c>
      <c r="D231" s="60">
        <v>1015.37</v>
      </c>
      <c r="E231" s="60">
        <v>1235.48</v>
      </c>
      <c r="F231" s="60">
        <v>1010.06</v>
      </c>
      <c r="G231" s="43">
        <v>1161.99</v>
      </c>
      <c r="H231" s="43" t="s">
        <v>19</v>
      </c>
      <c r="I231" s="43" t="s">
        <v>19</v>
      </c>
      <c r="J231" s="43" t="s">
        <v>19</v>
      </c>
      <c r="K231" s="43" t="s">
        <v>19</v>
      </c>
      <c r="L231" s="43" t="s">
        <v>19</v>
      </c>
      <c r="M231" s="43" t="s">
        <v>19</v>
      </c>
      <c r="N231" s="43" t="s">
        <v>19</v>
      </c>
      <c r="O231" s="43" t="s">
        <v>19</v>
      </c>
      <c r="P231" s="43" t="s">
        <v>19</v>
      </c>
      <c r="Q231" s="43" t="s">
        <v>19</v>
      </c>
      <c r="R231" s="43" t="s">
        <v>19</v>
      </c>
      <c r="S231" s="43" t="s">
        <v>19</v>
      </c>
      <c r="T231" s="43" t="s">
        <v>19</v>
      </c>
      <c r="U231" s="43" t="s">
        <v>19</v>
      </c>
      <c r="V231" s="43" t="s">
        <v>19</v>
      </c>
      <c r="W231" s="43" t="s">
        <v>19</v>
      </c>
      <c r="X231" s="43" t="s">
        <v>19</v>
      </c>
      <c r="Y231" s="43" t="s">
        <v>19</v>
      </c>
      <c r="Z231" s="43" t="s">
        <v>19</v>
      </c>
      <c r="AA231" s="87" t="s">
        <v>19</v>
      </c>
      <c r="AB231" s="87" t="s">
        <v>19</v>
      </c>
      <c r="AC231" s="87" t="s">
        <v>19</v>
      </c>
      <c r="AD231" s="49" t="s">
        <v>19</v>
      </c>
    </row>
    <row r="232" spans="2:30" ht="12.75" customHeight="1" x14ac:dyDescent="0.25">
      <c r="B232" s="338" t="s">
        <v>133</v>
      </c>
      <c r="C232" s="338"/>
      <c r="D232" s="338"/>
      <c r="E232" s="338"/>
      <c r="F232" s="338"/>
      <c r="G232" s="338"/>
      <c r="H232" s="338"/>
      <c r="I232" s="338"/>
      <c r="J232" s="338"/>
      <c r="K232" s="338"/>
      <c r="L232" s="338"/>
      <c r="M232" s="338"/>
      <c r="N232" s="338"/>
      <c r="O232" s="338"/>
      <c r="P232" s="338"/>
      <c r="Q232" s="338"/>
      <c r="R232" s="338"/>
      <c r="S232" s="338"/>
      <c r="T232" s="338"/>
      <c r="U232" s="338"/>
      <c r="V232" s="338"/>
      <c r="W232" s="338"/>
      <c r="X232" s="338"/>
      <c r="Y232" s="338"/>
      <c r="Z232" s="338"/>
      <c r="AA232" s="30"/>
      <c r="AB232" s="30"/>
      <c r="AC232" s="30"/>
      <c r="AD232" s="30"/>
    </row>
    <row r="233" spans="2:30" ht="12" customHeight="1" x14ac:dyDescent="0.25">
      <c r="B233" s="78" t="s">
        <v>134</v>
      </c>
      <c r="C233" s="8" t="s">
        <v>35</v>
      </c>
      <c r="D233" s="73">
        <v>429.92500000000001</v>
      </c>
      <c r="E233" s="73">
        <v>363.42599999999999</v>
      </c>
      <c r="F233" s="73">
        <v>397.59899999999999</v>
      </c>
      <c r="G233" s="31">
        <v>665.99900000000002</v>
      </c>
      <c r="H233" s="31">
        <v>494.39699999999999</v>
      </c>
      <c r="I233" s="31">
        <v>556.577</v>
      </c>
      <c r="J233" s="31">
        <v>631.73</v>
      </c>
      <c r="K233" s="31">
        <v>1298.8599999999999</v>
      </c>
      <c r="L233" s="31">
        <v>2814.12</v>
      </c>
      <c r="M233" s="31">
        <v>1386.09</v>
      </c>
      <c r="N233" s="31">
        <v>1520.2</v>
      </c>
      <c r="O233" s="31">
        <v>1210.3599999999999</v>
      </c>
      <c r="P233" s="31">
        <v>661.50900000000001</v>
      </c>
      <c r="Q233" s="31">
        <v>783.66399999999999</v>
      </c>
      <c r="R233" s="31">
        <v>739.19299999999998</v>
      </c>
      <c r="S233" s="31">
        <v>796.61900000000003</v>
      </c>
      <c r="T233" s="31">
        <v>761.70600000000002</v>
      </c>
      <c r="U233" s="31">
        <v>1158.9100000000001</v>
      </c>
      <c r="V233" s="31">
        <v>1020.43</v>
      </c>
      <c r="W233" s="31">
        <v>955.57799999999997</v>
      </c>
      <c r="X233" s="31">
        <v>914.125</v>
      </c>
      <c r="Y233" s="31">
        <v>963.50400000000002</v>
      </c>
      <c r="Z233" s="31">
        <v>1190.93</v>
      </c>
      <c r="AA233" s="87">
        <v>1091.1600000000001</v>
      </c>
      <c r="AB233" s="87">
        <v>1062.78</v>
      </c>
      <c r="AC233" s="87">
        <v>651.71900000000005</v>
      </c>
      <c r="AD233" s="10">
        <v>715.15</v>
      </c>
    </row>
    <row r="234" spans="2:30" ht="12" customHeight="1" x14ac:dyDescent="0.25">
      <c r="B234" s="78" t="s">
        <v>135</v>
      </c>
      <c r="C234" s="8" t="s">
        <v>35</v>
      </c>
      <c r="D234" s="73">
        <v>27.803999999999998</v>
      </c>
      <c r="E234" s="73">
        <v>5.22</v>
      </c>
      <c r="F234" s="73">
        <v>2.9980000000000002</v>
      </c>
      <c r="G234" s="31">
        <v>8.2070000000000007</v>
      </c>
      <c r="H234" s="31">
        <v>17.728000000000002</v>
      </c>
      <c r="I234" s="31">
        <v>1.895</v>
      </c>
      <c r="J234" s="31">
        <v>1.3640000000000001</v>
      </c>
      <c r="K234" s="31">
        <v>12.595000000000001</v>
      </c>
      <c r="L234" s="31">
        <v>68.364000000000004</v>
      </c>
      <c r="M234" s="31">
        <v>9.3350000000000009</v>
      </c>
      <c r="N234" s="31">
        <v>29.562999999999999</v>
      </c>
      <c r="O234" s="31">
        <v>9.6820000000000004</v>
      </c>
      <c r="P234" s="31">
        <v>0</v>
      </c>
      <c r="Q234" s="31">
        <v>0</v>
      </c>
      <c r="R234" s="31">
        <v>0</v>
      </c>
      <c r="S234" s="31">
        <v>0</v>
      </c>
      <c r="T234" s="31">
        <v>0</v>
      </c>
      <c r="U234" s="31">
        <v>0</v>
      </c>
      <c r="V234" s="31">
        <v>0</v>
      </c>
      <c r="W234" s="31">
        <v>0</v>
      </c>
      <c r="X234" s="31">
        <v>0</v>
      </c>
      <c r="Y234" s="31">
        <v>0</v>
      </c>
      <c r="Z234" s="31">
        <v>2.9710000000000001</v>
      </c>
      <c r="AA234" s="87">
        <v>6.23</v>
      </c>
      <c r="AB234" s="87">
        <v>19.677</v>
      </c>
      <c r="AC234" s="87">
        <v>6.7480000000000002</v>
      </c>
      <c r="AD234" s="10">
        <v>21.14</v>
      </c>
    </row>
    <row r="235" spans="2:30" ht="12" customHeight="1" x14ac:dyDescent="0.25">
      <c r="B235" s="78" t="s">
        <v>136</v>
      </c>
      <c r="C235" s="8" t="s">
        <v>35</v>
      </c>
      <c r="D235" s="73">
        <v>2182.89</v>
      </c>
      <c r="E235" s="73">
        <v>1307.1600000000001</v>
      </c>
      <c r="F235" s="73">
        <v>1921.6</v>
      </c>
      <c r="G235" s="31">
        <v>2462.9899999999998</v>
      </c>
      <c r="H235" s="31">
        <v>3393.67</v>
      </c>
      <c r="I235" s="31">
        <v>2422.02</v>
      </c>
      <c r="J235" s="31">
        <v>1959.8</v>
      </c>
      <c r="K235" s="31">
        <v>1384.87</v>
      </c>
      <c r="L235" s="31">
        <v>1799.95</v>
      </c>
      <c r="M235" s="31">
        <v>1266.6400000000001</v>
      </c>
      <c r="N235" s="31">
        <v>1657.43</v>
      </c>
      <c r="O235" s="31">
        <v>1450.56</v>
      </c>
      <c r="P235" s="31">
        <v>2026.14</v>
      </c>
      <c r="Q235" s="31">
        <v>1459.02</v>
      </c>
      <c r="R235" s="31">
        <v>1392.95</v>
      </c>
      <c r="S235" s="31">
        <v>1493.42</v>
      </c>
      <c r="T235" s="31">
        <v>1862.33</v>
      </c>
      <c r="U235" s="31">
        <v>2497.85</v>
      </c>
      <c r="V235" s="31">
        <v>1159.29</v>
      </c>
      <c r="W235" s="31">
        <v>1858.07</v>
      </c>
      <c r="X235" s="31">
        <v>1589.28</v>
      </c>
      <c r="Y235" s="31">
        <v>2070.44</v>
      </c>
      <c r="Z235" s="31">
        <v>1895.85</v>
      </c>
      <c r="AA235" s="87">
        <v>1195.33</v>
      </c>
      <c r="AB235" s="87">
        <v>1809.38</v>
      </c>
      <c r="AC235" s="87">
        <v>1752.29</v>
      </c>
      <c r="AD235" s="10">
        <v>2624.66</v>
      </c>
    </row>
    <row r="236" spans="2:30" ht="12" customHeight="1" x14ac:dyDescent="0.25">
      <c r="B236" s="78" t="s">
        <v>137</v>
      </c>
      <c r="C236" s="8" t="s">
        <v>35</v>
      </c>
      <c r="D236" s="73">
        <v>903.70399999999995</v>
      </c>
      <c r="E236" s="73">
        <v>677.57899999999995</v>
      </c>
      <c r="F236" s="73">
        <v>998.08399999999995</v>
      </c>
      <c r="G236" s="31">
        <v>1018.52</v>
      </c>
      <c r="H236" s="31">
        <v>936.46400000000006</v>
      </c>
      <c r="I236" s="31">
        <v>794.70399999999995</v>
      </c>
      <c r="J236" s="31">
        <v>858.06700000000001</v>
      </c>
      <c r="K236" s="31">
        <v>515.89700000000005</v>
      </c>
      <c r="L236" s="31">
        <v>642.13400000000001</v>
      </c>
      <c r="M236" s="31">
        <v>1254.29</v>
      </c>
      <c r="N236" s="31">
        <v>712.37300000000005</v>
      </c>
      <c r="O236" s="31">
        <v>686.43899999999996</v>
      </c>
      <c r="P236" s="31">
        <v>425.012</v>
      </c>
      <c r="Q236" s="31">
        <v>492.88200000000001</v>
      </c>
      <c r="R236" s="31">
        <v>553.06100000000004</v>
      </c>
      <c r="S236" s="31">
        <v>477.95100000000002</v>
      </c>
      <c r="T236" s="31">
        <v>624.84799999999996</v>
      </c>
      <c r="U236" s="31">
        <v>858.15099999999995</v>
      </c>
      <c r="V236" s="31">
        <v>668.44899999999996</v>
      </c>
      <c r="W236" s="31">
        <v>372.428</v>
      </c>
      <c r="X236" s="31">
        <v>326.95</v>
      </c>
      <c r="Y236" s="31">
        <v>271.32</v>
      </c>
      <c r="Z236" s="31">
        <v>369.73399999999998</v>
      </c>
      <c r="AA236" s="87">
        <v>351.00700000000001</v>
      </c>
      <c r="AB236" s="87">
        <v>311.39999999999998</v>
      </c>
      <c r="AC236" s="87">
        <v>268.97500000000002</v>
      </c>
      <c r="AD236" s="10">
        <v>291.76</v>
      </c>
    </row>
    <row r="237" spans="2:30" ht="12" customHeight="1" x14ac:dyDescent="0.25">
      <c r="B237" s="79" t="s">
        <v>151</v>
      </c>
      <c r="C237" s="8" t="s">
        <v>35</v>
      </c>
      <c r="D237" s="73">
        <v>1685.57</v>
      </c>
      <c r="E237" s="73">
        <v>2082.16</v>
      </c>
      <c r="F237" s="73">
        <v>1851.52</v>
      </c>
      <c r="G237" s="31">
        <v>2336.3200000000002</v>
      </c>
      <c r="H237" s="31">
        <v>2175.73</v>
      </c>
      <c r="I237" s="31">
        <v>1674.71</v>
      </c>
      <c r="J237" s="31">
        <v>1638.28</v>
      </c>
      <c r="K237" s="31">
        <v>1409.08</v>
      </c>
      <c r="L237" s="31">
        <v>1216.96</v>
      </c>
      <c r="M237" s="31">
        <v>1234.8900000000001</v>
      </c>
      <c r="N237" s="31">
        <v>1291.54</v>
      </c>
      <c r="O237" s="31">
        <v>1278.28</v>
      </c>
      <c r="P237" s="31">
        <v>1038.74</v>
      </c>
      <c r="Q237" s="31">
        <v>1254.03</v>
      </c>
      <c r="R237" s="31">
        <v>1064.5999999999999</v>
      </c>
      <c r="S237" s="31">
        <v>1197.42</v>
      </c>
      <c r="T237" s="31">
        <v>1112.01</v>
      </c>
      <c r="U237" s="31">
        <v>1231.49</v>
      </c>
      <c r="V237" s="31">
        <v>1115.76</v>
      </c>
      <c r="W237" s="31">
        <v>1164.43</v>
      </c>
      <c r="X237" s="31">
        <v>896.51700000000005</v>
      </c>
      <c r="Y237" s="31">
        <v>734.02599999999995</v>
      </c>
      <c r="Z237" s="31">
        <v>586.17600000000004</v>
      </c>
      <c r="AA237" s="87">
        <v>701.51800000000003</v>
      </c>
      <c r="AB237" s="87">
        <v>717.71199999999999</v>
      </c>
      <c r="AC237" s="87">
        <v>759.99900000000002</v>
      </c>
      <c r="AD237" s="10">
        <v>703.08</v>
      </c>
    </row>
    <row r="238" spans="2:30" ht="12" customHeight="1" x14ac:dyDescent="0.25">
      <c r="B238" s="77" t="s">
        <v>139</v>
      </c>
      <c r="C238" s="8" t="s">
        <v>35</v>
      </c>
      <c r="D238" s="73">
        <v>499.84500000000003</v>
      </c>
      <c r="E238" s="73">
        <v>517.65599999999995</v>
      </c>
      <c r="F238" s="73">
        <v>717.41300000000001</v>
      </c>
      <c r="G238" s="31">
        <v>769.75400000000002</v>
      </c>
      <c r="H238" s="31">
        <v>631.79100000000005</v>
      </c>
      <c r="I238" s="31">
        <v>576.23699999999997</v>
      </c>
      <c r="J238" s="31">
        <v>409.45400000000001</v>
      </c>
      <c r="K238" s="31">
        <v>481.86200000000002</v>
      </c>
      <c r="L238" s="31">
        <v>378.43</v>
      </c>
      <c r="M238" s="31">
        <v>362.09899999999999</v>
      </c>
      <c r="N238" s="31">
        <v>414.791</v>
      </c>
      <c r="O238" s="31">
        <v>328.53300000000002</v>
      </c>
      <c r="P238" s="31">
        <v>278.23500000000001</v>
      </c>
      <c r="Q238" s="31">
        <v>310.447</v>
      </c>
      <c r="R238" s="31">
        <v>255.565</v>
      </c>
      <c r="S238" s="31">
        <v>249.43</v>
      </c>
      <c r="T238" s="31">
        <v>297.464</v>
      </c>
      <c r="U238" s="31">
        <v>319.52999999999997</v>
      </c>
      <c r="V238" s="31">
        <v>236.04900000000001</v>
      </c>
      <c r="W238" s="31">
        <v>294.46800000000002</v>
      </c>
      <c r="X238" s="31">
        <v>233.77600000000001</v>
      </c>
      <c r="Y238" s="31">
        <v>237.999</v>
      </c>
      <c r="Z238" s="31">
        <v>222.721</v>
      </c>
      <c r="AA238" s="87">
        <v>202.19200000000001</v>
      </c>
      <c r="AB238" s="87">
        <v>294.81200000000001</v>
      </c>
      <c r="AC238" s="87">
        <v>368.97</v>
      </c>
      <c r="AD238" s="10">
        <v>295.92</v>
      </c>
    </row>
    <row r="239" spans="2:30" ht="12" customHeight="1" x14ac:dyDescent="0.25">
      <c r="B239" s="77" t="s">
        <v>140</v>
      </c>
      <c r="C239" s="8" t="s">
        <v>35</v>
      </c>
      <c r="D239" s="73">
        <v>0</v>
      </c>
      <c r="E239" s="73">
        <v>4.3070000000000004</v>
      </c>
      <c r="F239" s="73">
        <v>4.0949999999999998</v>
      </c>
      <c r="G239" s="31">
        <v>22.971</v>
      </c>
      <c r="H239" s="31">
        <v>29.082999999999998</v>
      </c>
      <c r="I239" s="31">
        <v>15.994999999999999</v>
      </c>
      <c r="J239" s="31">
        <v>20.05</v>
      </c>
      <c r="K239" s="31">
        <v>19.954999999999998</v>
      </c>
      <c r="L239" s="31">
        <v>37.959000000000003</v>
      </c>
      <c r="M239" s="31">
        <v>16.655999999999999</v>
      </c>
      <c r="N239" s="31">
        <v>17.332999999999998</v>
      </c>
      <c r="O239" s="31">
        <v>18.521999999999998</v>
      </c>
      <c r="P239" s="31">
        <v>27.902999999999999</v>
      </c>
      <c r="Q239" s="31">
        <v>11.772</v>
      </c>
      <c r="R239" s="31">
        <v>12.05</v>
      </c>
      <c r="S239" s="31">
        <v>15.494999999999999</v>
      </c>
      <c r="T239" s="31">
        <v>16.542999999999999</v>
      </c>
      <c r="U239" s="31">
        <v>21.65</v>
      </c>
      <c r="V239" s="31">
        <v>16.337</v>
      </c>
      <c r="W239" s="31">
        <v>19.387</v>
      </c>
      <c r="X239" s="31">
        <v>21.623999999999999</v>
      </c>
      <c r="Y239" s="31">
        <v>22.451000000000001</v>
      </c>
      <c r="Z239" s="31">
        <v>15.305</v>
      </c>
      <c r="AA239" s="87">
        <v>10.641</v>
      </c>
      <c r="AB239" s="87">
        <v>14.961</v>
      </c>
      <c r="AC239" s="87">
        <v>12.032</v>
      </c>
      <c r="AD239" s="10">
        <v>8.9700000000000006</v>
      </c>
    </row>
    <row r="240" spans="2:30" ht="12" customHeight="1" x14ac:dyDescent="0.25">
      <c r="B240" s="77" t="s">
        <v>95</v>
      </c>
      <c r="C240" s="8" t="s">
        <v>35</v>
      </c>
      <c r="D240" s="73">
        <v>609.28899999999999</v>
      </c>
      <c r="E240" s="73">
        <v>578.22199999999998</v>
      </c>
      <c r="F240" s="73">
        <v>744.65700000000004</v>
      </c>
      <c r="G240" s="31">
        <v>1064.22</v>
      </c>
      <c r="H240" s="31">
        <v>843.74800000000005</v>
      </c>
      <c r="I240" s="31">
        <v>924.78300000000002</v>
      </c>
      <c r="J240" s="31">
        <v>742.44100000000003</v>
      </c>
      <c r="K240" s="31">
        <v>634.91200000000003</v>
      </c>
      <c r="L240" s="31">
        <v>736.79200000000003</v>
      </c>
      <c r="M240" s="31">
        <v>921.87699999999995</v>
      </c>
      <c r="N240" s="31">
        <v>756.23</v>
      </c>
      <c r="O240" s="31">
        <v>724.89200000000005</v>
      </c>
      <c r="P240" s="31">
        <v>711.46199999999999</v>
      </c>
      <c r="Q240" s="31">
        <v>421.46100000000001</v>
      </c>
      <c r="R240" s="31">
        <v>356.185</v>
      </c>
      <c r="S240" s="31">
        <v>451.26600000000002</v>
      </c>
      <c r="T240" s="31">
        <v>433.69299999999998</v>
      </c>
      <c r="U240" s="31">
        <v>484.72199999999998</v>
      </c>
      <c r="V240" s="31">
        <v>320.78899999999999</v>
      </c>
      <c r="W240" s="31">
        <v>441.279</v>
      </c>
      <c r="X240" s="31">
        <v>354.94900000000001</v>
      </c>
      <c r="Y240" s="31">
        <v>224.54900000000001</v>
      </c>
      <c r="Z240" s="31">
        <v>210.67500000000001</v>
      </c>
      <c r="AA240" s="87">
        <v>155.006</v>
      </c>
      <c r="AB240" s="87">
        <v>163.64599999999999</v>
      </c>
      <c r="AC240" s="87">
        <v>215.26900000000001</v>
      </c>
      <c r="AD240" s="10">
        <v>213.87</v>
      </c>
    </row>
    <row r="241" spans="2:30" ht="12" customHeight="1" x14ac:dyDescent="0.25">
      <c r="B241" s="93" t="s">
        <v>13</v>
      </c>
      <c r="C241" s="22" t="s">
        <v>35</v>
      </c>
      <c r="D241" s="60">
        <v>6339.03</v>
      </c>
      <c r="E241" s="60">
        <v>5535.73</v>
      </c>
      <c r="F241" s="60">
        <v>6637.96</v>
      </c>
      <c r="G241" s="43">
        <v>8348.98</v>
      </c>
      <c r="H241" s="43">
        <v>8522.61</v>
      </c>
      <c r="I241" s="43">
        <v>6966.92</v>
      </c>
      <c r="J241" s="43">
        <v>6261.18</v>
      </c>
      <c r="K241" s="43">
        <v>5758.03</v>
      </c>
      <c r="L241" s="43">
        <v>7694.71</v>
      </c>
      <c r="M241" s="43">
        <v>6451.87</v>
      </c>
      <c r="N241" s="43">
        <v>6399.46</v>
      </c>
      <c r="O241" s="43">
        <v>5707.26</v>
      </c>
      <c r="P241" s="43">
        <v>5168.99</v>
      </c>
      <c r="Q241" s="43">
        <v>4733.28</v>
      </c>
      <c r="R241" s="43">
        <v>4373.6000000000004</v>
      </c>
      <c r="S241" s="43">
        <v>4681.6099999999997</v>
      </c>
      <c r="T241" s="43">
        <v>5108.59</v>
      </c>
      <c r="U241" s="43">
        <v>6572.3</v>
      </c>
      <c r="V241" s="43">
        <v>4537.1099999999997</v>
      </c>
      <c r="W241" s="43">
        <v>5105.6400000000003</v>
      </c>
      <c r="X241" s="43">
        <v>4337.22</v>
      </c>
      <c r="Y241" s="43">
        <v>4524.29</v>
      </c>
      <c r="Z241" s="43">
        <v>4494.3599999999997</v>
      </c>
      <c r="AA241" s="87">
        <v>3713.08</v>
      </c>
      <c r="AB241" s="87">
        <v>4394.37</v>
      </c>
      <c r="AC241" s="87">
        <v>4036.01</v>
      </c>
      <c r="AD241" s="10">
        <v>4874.5600000000004</v>
      </c>
    </row>
    <row r="242" spans="2:30" ht="12" customHeight="1" x14ac:dyDescent="0.25">
      <c r="B242" s="95" t="s">
        <v>22</v>
      </c>
      <c r="C242" s="22" t="s">
        <v>35</v>
      </c>
      <c r="D242" s="60">
        <v>5654.71</v>
      </c>
      <c r="E242" s="60">
        <v>5262.88</v>
      </c>
      <c r="F242" s="60">
        <v>5282.35</v>
      </c>
      <c r="G242" s="43">
        <v>5296.35</v>
      </c>
      <c r="H242" s="43">
        <v>5409.27</v>
      </c>
      <c r="I242" s="43">
        <v>5080.0600000000004</v>
      </c>
      <c r="J242" s="43">
        <v>5421.14</v>
      </c>
      <c r="K242" s="43">
        <v>5220.42</v>
      </c>
      <c r="L242" s="43">
        <v>5350.5</v>
      </c>
      <c r="M242" s="43">
        <v>5239.2</v>
      </c>
      <c r="N242" s="43">
        <v>5061.79</v>
      </c>
      <c r="O242" s="43">
        <v>4124.17</v>
      </c>
      <c r="P242" s="43">
        <v>3899.88</v>
      </c>
      <c r="Q242" s="43">
        <v>4659.32</v>
      </c>
      <c r="R242" s="43">
        <v>4356.1000000000004</v>
      </c>
      <c r="S242" s="43">
        <v>5297.31</v>
      </c>
      <c r="T242" s="43">
        <v>5447.13</v>
      </c>
      <c r="U242" s="43">
        <v>5507.6</v>
      </c>
      <c r="V242" s="43">
        <v>5511.77</v>
      </c>
      <c r="W242" s="43">
        <v>5869.02</v>
      </c>
      <c r="X242" s="43">
        <v>6181.8</v>
      </c>
      <c r="Y242" s="43">
        <v>5310.89</v>
      </c>
      <c r="Z242" s="43">
        <v>5660.9</v>
      </c>
      <c r="AA242" s="87">
        <v>5820.39</v>
      </c>
      <c r="AB242" s="87">
        <v>5834.99</v>
      </c>
      <c r="AC242" s="87">
        <v>6144.96</v>
      </c>
      <c r="AD242" s="10">
        <v>6253.04</v>
      </c>
    </row>
    <row r="243" spans="2:30" ht="12.75" customHeight="1" x14ac:dyDescent="0.25">
      <c r="B243" s="391" t="s">
        <v>141</v>
      </c>
      <c r="C243" s="391"/>
      <c r="D243" s="391"/>
      <c r="E243" s="391"/>
      <c r="F243" s="391"/>
      <c r="G243" s="391"/>
      <c r="H243" s="391"/>
      <c r="I243" s="391"/>
      <c r="J243" s="391"/>
      <c r="K243" s="391"/>
      <c r="L243" s="391"/>
      <c r="M243" s="391"/>
      <c r="N243" s="391"/>
      <c r="O243" s="391"/>
      <c r="P243" s="391"/>
      <c r="Q243" s="391"/>
      <c r="R243" s="391"/>
      <c r="S243" s="391"/>
      <c r="T243" s="391"/>
      <c r="U243" s="391"/>
      <c r="V243" s="391"/>
      <c r="W243" s="391"/>
      <c r="X243" s="391"/>
      <c r="Y243" s="391"/>
      <c r="Z243" s="392"/>
      <c r="AA243" s="80"/>
      <c r="AB243" s="80"/>
      <c r="AC243" s="80"/>
      <c r="AD243" s="80"/>
    </row>
    <row r="244" spans="2:30" ht="12" customHeight="1" x14ac:dyDescent="0.25">
      <c r="B244" s="77" t="s">
        <v>142</v>
      </c>
      <c r="C244" s="8" t="s">
        <v>35</v>
      </c>
      <c r="D244" s="73">
        <v>16.654</v>
      </c>
      <c r="E244" s="73">
        <v>25.058</v>
      </c>
      <c r="F244" s="73">
        <v>65.891000000000005</v>
      </c>
      <c r="G244" s="31">
        <v>71.069000000000003</v>
      </c>
      <c r="H244" s="31">
        <v>74.03</v>
      </c>
      <c r="I244" s="31">
        <v>53.543999999999997</v>
      </c>
      <c r="J244" s="31">
        <v>17.917000000000002</v>
      </c>
      <c r="K244" s="31">
        <v>6.85</v>
      </c>
      <c r="L244" s="31">
        <v>10.711</v>
      </c>
      <c r="M244" s="31">
        <v>10.194000000000001</v>
      </c>
      <c r="N244" s="31">
        <v>11.614000000000001</v>
      </c>
      <c r="O244" s="31">
        <v>15.678000000000001</v>
      </c>
      <c r="P244" s="31">
        <v>18.254999999999999</v>
      </c>
      <c r="Q244" s="31">
        <v>14.904999999999999</v>
      </c>
      <c r="R244" s="31">
        <v>19.693999999999999</v>
      </c>
      <c r="S244" s="31">
        <v>12.282</v>
      </c>
      <c r="T244" s="31">
        <v>19.687000000000001</v>
      </c>
      <c r="U244" s="31">
        <v>25.992999999999999</v>
      </c>
      <c r="V244" s="31">
        <v>25.943000000000001</v>
      </c>
      <c r="W244" s="31">
        <v>10.462999999999999</v>
      </c>
      <c r="X244" s="31">
        <v>12.486000000000001</v>
      </c>
      <c r="Y244" s="31">
        <v>15.266</v>
      </c>
      <c r="Z244" s="31">
        <v>17.722000000000001</v>
      </c>
      <c r="AA244" s="87">
        <v>17.733000000000001</v>
      </c>
      <c r="AB244" s="87">
        <v>7.7320000000000002</v>
      </c>
      <c r="AC244" s="87">
        <v>5.9470000000000001</v>
      </c>
      <c r="AD244" s="10">
        <v>5.37</v>
      </c>
    </row>
    <row r="245" spans="2:30" ht="12" customHeight="1" x14ac:dyDescent="0.25">
      <c r="B245" s="77" t="s">
        <v>135</v>
      </c>
      <c r="C245" s="8" t="s">
        <v>35</v>
      </c>
      <c r="D245" s="73">
        <v>0.50600000000000001</v>
      </c>
      <c r="E245" s="73">
        <v>401.55900000000003</v>
      </c>
      <c r="F245" s="73">
        <v>9.0999999999999998E-2</v>
      </c>
      <c r="G245" s="31">
        <v>9.6000000000000002E-2</v>
      </c>
      <c r="H245" s="31">
        <v>0.04</v>
      </c>
      <c r="I245" s="31">
        <v>6.5000000000000002E-2</v>
      </c>
      <c r="J245" s="31">
        <v>0</v>
      </c>
      <c r="K245" s="31">
        <v>0.01</v>
      </c>
      <c r="L245" s="31">
        <v>0</v>
      </c>
      <c r="M245" s="31">
        <v>0</v>
      </c>
      <c r="N245" s="31">
        <v>0</v>
      </c>
      <c r="O245" s="31">
        <v>4.0000000000000001E-3</v>
      </c>
      <c r="P245" s="31">
        <v>0</v>
      </c>
      <c r="Q245" s="31">
        <v>0</v>
      </c>
      <c r="R245" s="31">
        <v>0</v>
      </c>
      <c r="S245" s="31">
        <v>0</v>
      </c>
      <c r="T245" s="31">
        <v>0</v>
      </c>
      <c r="U245" s="31">
        <v>0</v>
      </c>
      <c r="V245" s="31">
        <v>0</v>
      </c>
      <c r="W245" s="31">
        <v>0</v>
      </c>
      <c r="X245" s="31">
        <v>0</v>
      </c>
      <c r="Y245" s="31">
        <v>0</v>
      </c>
      <c r="Z245" s="31">
        <v>0.20399999999999999</v>
      </c>
      <c r="AA245" s="87">
        <v>0.15</v>
      </c>
      <c r="AB245" s="87">
        <v>0.108</v>
      </c>
      <c r="AC245" s="87">
        <v>0.193</v>
      </c>
      <c r="AD245" s="10">
        <v>0.59</v>
      </c>
    </row>
    <row r="246" spans="2:30" ht="12" customHeight="1" x14ac:dyDescent="0.25">
      <c r="B246" s="77" t="s">
        <v>136</v>
      </c>
      <c r="C246" s="8" t="s">
        <v>35</v>
      </c>
      <c r="D246" s="73">
        <v>372.83800000000002</v>
      </c>
      <c r="E246" s="73">
        <v>353.80900000000003</v>
      </c>
      <c r="F246" s="73">
        <v>605.01900000000001</v>
      </c>
      <c r="G246" s="31">
        <v>429.32400000000001</v>
      </c>
      <c r="H246" s="31">
        <v>266.22899999999998</v>
      </c>
      <c r="I246" s="31">
        <v>161.518</v>
      </c>
      <c r="J246" s="31">
        <v>48.317</v>
      </c>
      <c r="K246" s="31">
        <v>42.756</v>
      </c>
      <c r="L246" s="31">
        <v>33.384</v>
      </c>
      <c r="M246" s="31">
        <v>13.486000000000001</v>
      </c>
      <c r="N246" s="31">
        <v>4.423</v>
      </c>
      <c r="O246" s="31">
        <v>21.574000000000002</v>
      </c>
      <c r="P246" s="31">
        <v>17.062000000000001</v>
      </c>
      <c r="Q246" s="31">
        <v>25.731000000000002</v>
      </c>
      <c r="R246" s="31">
        <v>36.398000000000003</v>
      </c>
      <c r="S246" s="31">
        <v>30.488</v>
      </c>
      <c r="T246" s="31">
        <v>59.93</v>
      </c>
      <c r="U246" s="31">
        <v>86.849000000000004</v>
      </c>
      <c r="V246" s="31">
        <v>52.393000000000001</v>
      </c>
      <c r="W246" s="31">
        <v>60.375999999999998</v>
      </c>
      <c r="X246" s="31">
        <v>45.17</v>
      </c>
      <c r="Y246" s="31">
        <v>22.666</v>
      </c>
      <c r="Z246" s="31">
        <v>26.774999999999999</v>
      </c>
      <c r="AA246" s="87">
        <v>13.792</v>
      </c>
      <c r="AB246" s="87">
        <v>34.92</v>
      </c>
      <c r="AC246" s="87">
        <v>44.534999999999997</v>
      </c>
      <c r="AD246" s="10">
        <v>40.130000000000003</v>
      </c>
    </row>
    <row r="247" spans="2:30" ht="12" customHeight="1" x14ac:dyDescent="0.25">
      <c r="B247" s="77" t="s">
        <v>137</v>
      </c>
      <c r="C247" s="8" t="s">
        <v>35</v>
      </c>
      <c r="D247" s="73">
        <v>220.256</v>
      </c>
      <c r="E247" s="73">
        <v>553.51700000000005</v>
      </c>
      <c r="F247" s="73">
        <v>351.81799999999998</v>
      </c>
      <c r="G247" s="31">
        <v>457.80099999999999</v>
      </c>
      <c r="H247" s="31">
        <v>280.75200000000001</v>
      </c>
      <c r="I247" s="31">
        <v>158.79</v>
      </c>
      <c r="J247" s="31">
        <v>64.433000000000007</v>
      </c>
      <c r="K247" s="31">
        <v>55.902999999999999</v>
      </c>
      <c r="L247" s="31">
        <v>69.031000000000006</v>
      </c>
      <c r="M247" s="31">
        <v>42.1</v>
      </c>
      <c r="N247" s="31">
        <v>41.411000000000001</v>
      </c>
      <c r="O247" s="31">
        <v>74.284000000000006</v>
      </c>
      <c r="P247" s="31">
        <v>61.106999999999999</v>
      </c>
      <c r="Q247" s="31">
        <v>105.616</v>
      </c>
      <c r="R247" s="31">
        <v>181.53899999999999</v>
      </c>
      <c r="S247" s="31">
        <v>75.766999999999996</v>
      </c>
      <c r="T247" s="31">
        <v>112.37</v>
      </c>
      <c r="U247" s="31">
        <v>77.162999999999997</v>
      </c>
      <c r="V247" s="31">
        <v>89.626999999999995</v>
      </c>
      <c r="W247" s="31">
        <v>52.085999999999999</v>
      </c>
      <c r="X247" s="31">
        <v>36.506</v>
      </c>
      <c r="Y247" s="31">
        <v>30.667999999999999</v>
      </c>
      <c r="Z247" s="31">
        <v>48.151000000000003</v>
      </c>
      <c r="AA247" s="87">
        <v>42.192999999999998</v>
      </c>
      <c r="AB247" s="87">
        <v>32.360999999999997</v>
      </c>
      <c r="AC247" s="87">
        <v>44.508000000000003</v>
      </c>
      <c r="AD247" s="10">
        <v>43.36</v>
      </c>
    </row>
    <row r="248" spans="2:30" ht="12" customHeight="1" x14ac:dyDescent="0.25">
      <c r="B248" s="77" t="s">
        <v>143</v>
      </c>
      <c r="C248" s="8" t="s">
        <v>35</v>
      </c>
      <c r="D248" s="73">
        <v>25.945</v>
      </c>
      <c r="E248" s="73">
        <v>21.234000000000002</v>
      </c>
      <c r="F248" s="73">
        <v>0.55200000000000005</v>
      </c>
      <c r="G248" s="31">
        <v>24.795999999999999</v>
      </c>
      <c r="H248" s="31">
        <v>40.548000000000002</v>
      </c>
      <c r="I248" s="31">
        <v>9.5579999999999998</v>
      </c>
      <c r="J248" s="31">
        <v>17.204000000000001</v>
      </c>
      <c r="K248" s="31">
        <v>15.404</v>
      </c>
      <c r="L248" s="31">
        <v>0</v>
      </c>
      <c r="M248" s="31">
        <v>0</v>
      </c>
      <c r="N248" s="31">
        <v>5.5E-2</v>
      </c>
      <c r="O248" s="31">
        <v>0</v>
      </c>
      <c r="P248" s="31">
        <v>0</v>
      </c>
      <c r="Q248" s="31">
        <v>0</v>
      </c>
      <c r="R248" s="31">
        <v>0</v>
      </c>
      <c r="S248" s="31">
        <v>0</v>
      </c>
      <c r="T248" s="31">
        <v>0</v>
      </c>
      <c r="U248" s="31">
        <v>0</v>
      </c>
      <c r="V248" s="31">
        <v>0</v>
      </c>
      <c r="W248" s="31">
        <v>3.2370000000000001</v>
      </c>
      <c r="X248" s="31">
        <v>18.425000000000001</v>
      </c>
      <c r="Y248" s="31">
        <v>6.6849999999999996</v>
      </c>
      <c r="Z248" s="31">
        <v>2.766</v>
      </c>
      <c r="AA248" s="87">
        <v>0.17799999999999999</v>
      </c>
      <c r="AB248" s="87">
        <v>0.18</v>
      </c>
      <c r="AC248" s="87">
        <v>0.157</v>
      </c>
      <c r="AD248" s="10">
        <v>0</v>
      </c>
    </row>
    <row r="249" spans="2:30" ht="12" customHeight="1" x14ac:dyDescent="0.25">
      <c r="B249" s="77" t="s">
        <v>144</v>
      </c>
      <c r="C249" s="8" t="s">
        <v>35</v>
      </c>
      <c r="D249" s="73">
        <v>531.46900000000005</v>
      </c>
      <c r="E249" s="73">
        <v>1408.88</v>
      </c>
      <c r="F249" s="73">
        <v>2138.64</v>
      </c>
      <c r="G249" s="31">
        <v>1991.67</v>
      </c>
      <c r="H249" s="31">
        <v>1586.19</v>
      </c>
      <c r="I249" s="31">
        <v>767.28800000000001</v>
      </c>
      <c r="J249" s="31">
        <v>316.02</v>
      </c>
      <c r="K249" s="31">
        <v>334.07499999999999</v>
      </c>
      <c r="L249" s="31">
        <v>303.76900000000001</v>
      </c>
      <c r="M249" s="31">
        <v>219.565</v>
      </c>
      <c r="N249" s="31">
        <v>216.523</v>
      </c>
      <c r="O249" s="31">
        <v>401.315</v>
      </c>
      <c r="P249" s="31">
        <v>246.839</v>
      </c>
      <c r="Q249" s="31">
        <v>209.953</v>
      </c>
      <c r="R249" s="31">
        <v>260.01600000000002</v>
      </c>
      <c r="S249" s="31">
        <v>205.46899999999999</v>
      </c>
      <c r="T249" s="31">
        <v>248.15</v>
      </c>
      <c r="U249" s="31">
        <v>177.43799999999999</v>
      </c>
      <c r="V249" s="31">
        <v>168.23400000000001</v>
      </c>
      <c r="W249" s="31">
        <v>163.47499999999999</v>
      </c>
      <c r="X249" s="31">
        <v>136.21</v>
      </c>
      <c r="Y249" s="31">
        <v>114.56699999999999</v>
      </c>
      <c r="Z249" s="31">
        <v>105.592</v>
      </c>
      <c r="AA249" s="87">
        <v>146.054</v>
      </c>
      <c r="AB249" s="87">
        <v>82.394000000000005</v>
      </c>
      <c r="AC249" s="87">
        <v>114.217</v>
      </c>
      <c r="AD249" s="10">
        <v>115.05</v>
      </c>
    </row>
    <row r="250" spans="2:30" ht="12" customHeight="1" x14ac:dyDescent="0.25">
      <c r="B250" s="77" t="s">
        <v>95</v>
      </c>
      <c r="C250" s="8" t="s">
        <v>35</v>
      </c>
      <c r="D250" s="73">
        <v>77.643000000000001</v>
      </c>
      <c r="E250" s="73">
        <v>95.013999999999996</v>
      </c>
      <c r="F250" s="73">
        <v>169.16300000000001</v>
      </c>
      <c r="G250" s="31">
        <v>171.48599999999999</v>
      </c>
      <c r="H250" s="31">
        <v>156.684</v>
      </c>
      <c r="I250" s="31">
        <v>81.721000000000004</v>
      </c>
      <c r="J250" s="31">
        <v>30.92</v>
      </c>
      <c r="K250" s="31">
        <v>24.702000000000002</v>
      </c>
      <c r="L250" s="31">
        <v>15.215999999999999</v>
      </c>
      <c r="M250" s="31">
        <v>19.934999999999999</v>
      </c>
      <c r="N250" s="31">
        <v>16.645</v>
      </c>
      <c r="O250" s="31">
        <v>25.151</v>
      </c>
      <c r="P250" s="31">
        <v>9.1760000000000002</v>
      </c>
      <c r="Q250" s="31">
        <v>5.6050000000000004</v>
      </c>
      <c r="R250" s="31">
        <v>15.797000000000001</v>
      </c>
      <c r="S250" s="31">
        <v>11.763</v>
      </c>
      <c r="T250" s="31">
        <v>11.666</v>
      </c>
      <c r="U250" s="31">
        <v>10.792999999999999</v>
      </c>
      <c r="V250" s="31">
        <v>8.1649999999999991</v>
      </c>
      <c r="W250" s="31">
        <v>3.8159999999999998</v>
      </c>
      <c r="X250" s="31">
        <v>18.763000000000002</v>
      </c>
      <c r="Y250" s="31">
        <v>6.9139999999999997</v>
      </c>
      <c r="Z250" s="31">
        <v>2.798</v>
      </c>
      <c r="AA250" s="87">
        <v>2.823</v>
      </c>
      <c r="AB250" s="87">
        <v>10.922000000000001</v>
      </c>
      <c r="AC250" s="87">
        <v>10.728</v>
      </c>
      <c r="AD250" s="10">
        <v>6.11</v>
      </c>
    </row>
    <row r="251" spans="2:30" ht="12" customHeight="1" x14ac:dyDescent="0.25">
      <c r="B251" s="93" t="s">
        <v>13</v>
      </c>
      <c r="C251" s="22" t="s">
        <v>35</v>
      </c>
      <c r="D251" s="60">
        <v>1245.31</v>
      </c>
      <c r="E251" s="60">
        <v>2859.07</v>
      </c>
      <c r="F251" s="60">
        <v>3331.17</v>
      </c>
      <c r="G251" s="43">
        <v>3146.24</v>
      </c>
      <c r="H251" s="43">
        <v>2404.4699999999998</v>
      </c>
      <c r="I251" s="43">
        <v>1232.48</v>
      </c>
      <c r="J251" s="43">
        <v>494.81099999999998</v>
      </c>
      <c r="K251" s="43">
        <v>479.7</v>
      </c>
      <c r="L251" s="43">
        <v>432.11099999999999</v>
      </c>
      <c r="M251" s="43">
        <v>305.27999999999997</v>
      </c>
      <c r="N251" s="43">
        <v>290.67099999999999</v>
      </c>
      <c r="O251" s="43">
        <v>538.00599999999997</v>
      </c>
      <c r="P251" s="43">
        <v>352.43900000000002</v>
      </c>
      <c r="Q251" s="43">
        <v>361.81</v>
      </c>
      <c r="R251" s="43">
        <v>513.44299999999998</v>
      </c>
      <c r="S251" s="43">
        <v>335.76900000000001</v>
      </c>
      <c r="T251" s="43">
        <v>451.803</v>
      </c>
      <c r="U251" s="43">
        <v>378.23599999999999</v>
      </c>
      <c r="V251" s="43">
        <v>344.36200000000002</v>
      </c>
      <c r="W251" s="43">
        <v>293.45400000000001</v>
      </c>
      <c r="X251" s="43">
        <v>267.56</v>
      </c>
      <c r="Y251" s="43">
        <v>196.76599999999999</v>
      </c>
      <c r="Z251" s="43">
        <v>204.00700000000001</v>
      </c>
      <c r="AA251" s="87">
        <v>222.923</v>
      </c>
      <c r="AB251" s="87">
        <v>168.61600000000001</v>
      </c>
      <c r="AC251" s="87">
        <v>220.286</v>
      </c>
      <c r="AD251" s="10">
        <v>210.62</v>
      </c>
    </row>
    <row r="252" spans="2:30" ht="12" customHeight="1" x14ac:dyDescent="0.25">
      <c r="B252" s="95" t="s">
        <v>25</v>
      </c>
      <c r="C252" s="22" t="s">
        <v>35</v>
      </c>
      <c r="D252" s="60">
        <v>762.64300000000003</v>
      </c>
      <c r="E252" s="60">
        <v>0</v>
      </c>
      <c r="F252" s="60">
        <v>0</v>
      </c>
      <c r="G252" s="43">
        <v>0</v>
      </c>
      <c r="H252" s="43">
        <v>420.78399999999999</v>
      </c>
      <c r="I252" s="43">
        <v>1112.8499999999999</v>
      </c>
      <c r="J252" s="43">
        <v>339.34199999999998</v>
      </c>
      <c r="K252" s="43">
        <v>170.864</v>
      </c>
      <c r="L252" s="43">
        <v>0</v>
      </c>
      <c r="M252" s="43">
        <v>0</v>
      </c>
      <c r="N252" s="43">
        <v>593.54600000000005</v>
      </c>
      <c r="O252" s="43">
        <v>2091.41</v>
      </c>
      <c r="P252" s="43">
        <v>2031.67</v>
      </c>
      <c r="Q252" s="43">
        <v>484.35</v>
      </c>
      <c r="R252" s="43">
        <v>243.80699999999999</v>
      </c>
      <c r="S252" s="43">
        <v>278.673</v>
      </c>
      <c r="T252" s="43">
        <v>1353.68</v>
      </c>
      <c r="U252" s="43">
        <v>2259.86</v>
      </c>
      <c r="V252" s="43">
        <v>2998.49</v>
      </c>
      <c r="W252" s="43">
        <v>3038.52</v>
      </c>
      <c r="X252" s="43">
        <v>3351.53</v>
      </c>
      <c r="Y252" s="43">
        <v>2983.38</v>
      </c>
      <c r="Z252" s="43">
        <v>2807.6</v>
      </c>
      <c r="AA252" s="87">
        <v>2425.0700000000002</v>
      </c>
      <c r="AB252" s="87">
        <v>478.84899999999999</v>
      </c>
      <c r="AC252" s="87">
        <v>2107.35</v>
      </c>
      <c r="AD252" s="10">
        <v>1056.24</v>
      </c>
    </row>
    <row r="253" spans="2:30" ht="12" customHeight="1" x14ac:dyDescent="0.25">
      <c r="B253" s="95" t="s">
        <v>26</v>
      </c>
      <c r="C253" s="22" t="s">
        <v>35</v>
      </c>
      <c r="D253" s="60">
        <v>1672.83</v>
      </c>
      <c r="E253" s="60">
        <v>366.45499999999998</v>
      </c>
      <c r="F253" s="60">
        <v>1820.39</v>
      </c>
      <c r="G253" s="43">
        <v>662.80399999999997</v>
      </c>
      <c r="H253" s="43">
        <v>1219.3</v>
      </c>
      <c r="I253" s="43">
        <v>1587.7</v>
      </c>
      <c r="J253" s="43">
        <v>1657.6</v>
      </c>
      <c r="K253" s="43">
        <v>647.35699999999997</v>
      </c>
      <c r="L253" s="43">
        <v>801.5</v>
      </c>
      <c r="M253" s="43">
        <v>181.273</v>
      </c>
      <c r="N253" s="43">
        <v>307.596</v>
      </c>
      <c r="O253" s="43">
        <v>61.908000000000001</v>
      </c>
      <c r="P253" s="43">
        <v>649.74</v>
      </c>
      <c r="Q253" s="43">
        <v>829.99300000000005</v>
      </c>
      <c r="R253" s="43">
        <v>161.05699999999999</v>
      </c>
      <c r="S253" s="43">
        <v>1.8280000000000001</v>
      </c>
      <c r="T253" s="43">
        <v>329.81099999999998</v>
      </c>
      <c r="U253" s="43">
        <v>384.72899999999998</v>
      </c>
      <c r="V253" s="43">
        <v>205.78</v>
      </c>
      <c r="W253" s="43">
        <v>817.88400000000001</v>
      </c>
      <c r="X253" s="43">
        <v>246.28800000000001</v>
      </c>
      <c r="Y253" s="43">
        <v>69.918000000000006</v>
      </c>
      <c r="Z253" s="43">
        <v>487.07299999999998</v>
      </c>
      <c r="AA253" s="87">
        <v>144.36799999999999</v>
      </c>
      <c r="AB253" s="87">
        <v>641.99199999999996</v>
      </c>
      <c r="AC253" s="87">
        <v>756.39499999999998</v>
      </c>
      <c r="AD253" s="10">
        <v>504.42</v>
      </c>
    </row>
    <row r="254" spans="2:30" x14ac:dyDescent="0.25">
      <c r="B254" s="83" t="s">
        <v>153</v>
      </c>
      <c r="C254" s="8" t="s">
        <v>35</v>
      </c>
      <c r="D254" s="73">
        <v>16096</v>
      </c>
      <c r="E254" s="73">
        <v>9010</v>
      </c>
      <c r="F254" s="73">
        <v>7722</v>
      </c>
      <c r="G254" s="31">
        <v>11992</v>
      </c>
      <c r="H254" s="31">
        <v>11825</v>
      </c>
      <c r="I254" s="31">
        <v>14048</v>
      </c>
      <c r="J254" s="31">
        <v>13924</v>
      </c>
      <c r="K254" s="31">
        <v>13025</v>
      </c>
      <c r="L254" s="31">
        <v>10243</v>
      </c>
      <c r="M254" s="31">
        <v>7995</v>
      </c>
      <c r="N254" s="31">
        <v>8735</v>
      </c>
      <c r="O254" s="31">
        <v>5346</v>
      </c>
      <c r="P254" s="31">
        <v>2877</v>
      </c>
      <c r="Q254" s="31">
        <v>3891</v>
      </c>
      <c r="R254" s="31">
        <v>3838</v>
      </c>
      <c r="S254" s="31">
        <v>4656</v>
      </c>
      <c r="T254" s="31">
        <v>5301</v>
      </c>
      <c r="U254" s="31">
        <v>17805</v>
      </c>
      <c r="V254" s="31">
        <v>10161</v>
      </c>
      <c r="W254" s="31">
        <v>12842</v>
      </c>
      <c r="X254" s="31">
        <v>13849</v>
      </c>
      <c r="Y254" s="31">
        <v>20765</v>
      </c>
      <c r="Z254" s="31">
        <v>19598</v>
      </c>
      <c r="AA254" s="87">
        <v>23168</v>
      </c>
      <c r="AB254" s="87">
        <v>27183</v>
      </c>
      <c r="AC254" s="87">
        <v>26989</v>
      </c>
      <c r="AD254" s="10">
        <v>29213.83</v>
      </c>
    </row>
    <row r="255" spans="2:30" ht="12" customHeight="1" x14ac:dyDescent="0.25">
      <c r="B255" s="98" t="s">
        <v>58</v>
      </c>
      <c r="C255" s="99" t="s">
        <v>35</v>
      </c>
      <c r="D255" s="100">
        <v>77274</v>
      </c>
      <c r="E255" s="100">
        <v>68091</v>
      </c>
      <c r="F255" s="100">
        <v>72275</v>
      </c>
      <c r="G255" s="101">
        <v>75518</v>
      </c>
      <c r="H255" s="101">
        <v>76648</v>
      </c>
      <c r="I255" s="101">
        <v>77813</v>
      </c>
      <c r="J255" s="101">
        <v>72293</v>
      </c>
      <c r="K255" s="101">
        <v>62769</v>
      </c>
      <c r="L255" s="101">
        <v>56855</v>
      </c>
      <c r="M255" s="101">
        <v>52277</v>
      </c>
      <c r="N255" s="101">
        <v>51461</v>
      </c>
      <c r="O255" s="101">
        <v>46630</v>
      </c>
      <c r="P255" s="101">
        <v>46836</v>
      </c>
      <c r="Q255" s="101">
        <v>43174</v>
      </c>
      <c r="R255" s="101">
        <v>39118</v>
      </c>
      <c r="S255" s="101">
        <v>42907</v>
      </c>
      <c r="T255" s="101">
        <v>41868</v>
      </c>
      <c r="U255" s="101">
        <v>56773</v>
      </c>
      <c r="V255" s="101">
        <v>48592</v>
      </c>
      <c r="W255" s="101">
        <v>51090</v>
      </c>
      <c r="X255" s="101">
        <v>53400</v>
      </c>
      <c r="Y255" s="101">
        <v>60652</v>
      </c>
      <c r="Z255" s="101">
        <v>65314</v>
      </c>
      <c r="AA255" s="89">
        <v>65471</v>
      </c>
      <c r="AB255" s="89">
        <v>66455</v>
      </c>
      <c r="AC255" s="89">
        <v>64727</v>
      </c>
      <c r="AD255" s="297">
        <v>70208.05</v>
      </c>
    </row>
    <row r="256" spans="2:30" ht="66.75" customHeight="1" x14ac:dyDescent="0.25">
      <c r="B256" s="328" t="s">
        <v>519</v>
      </c>
      <c r="C256" s="328"/>
      <c r="D256" s="328"/>
      <c r="E256" s="328"/>
      <c r="F256" s="328"/>
      <c r="G256" s="328"/>
      <c r="H256" s="328"/>
      <c r="I256" s="328"/>
      <c r="J256" s="328"/>
      <c r="K256" s="328"/>
      <c r="L256" s="328"/>
      <c r="M256" s="328"/>
      <c r="N256" s="328"/>
      <c r="O256" s="328"/>
      <c r="P256" s="328"/>
      <c r="Q256" s="328"/>
      <c r="R256" s="328"/>
      <c r="S256" s="328"/>
      <c r="T256" s="328"/>
      <c r="U256" s="328"/>
      <c r="V256" s="328"/>
      <c r="W256" s="328"/>
      <c r="X256" s="328"/>
      <c r="Y256" s="328"/>
      <c r="Z256" s="328"/>
      <c r="AA256" s="328"/>
      <c r="AB256" s="328"/>
      <c r="AC256" s="328"/>
    </row>
    <row r="257" spans="2:30" ht="15" customHeight="1" x14ac:dyDescent="0.25">
      <c r="B257" s="102"/>
      <c r="C257" s="102"/>
      <c r="D257" s="102"/>
      <c r="E257" s="102"/>
      <c r="F257" s="102"/>
      <c r="G257" s="102"/>
      <c r="H257" s="102"/>
      <c r="I257" s="102"/>
      <c r="J257" s="102"/>
      <c r="K257" s="102"/>
      <c r="L257" s="102"/>
      <c r="M257" s="102"/>
      <c r="N257" s="102"/>
      <c r="O257" s="102"/>
      <c r="P257" s="102"/>
      <c r="Q257" s="102"/>
      <c r="R257" s="102"/>
      <c r="S257" s="102"/>
      <c r="T257" s="102"/>
      <c r="U257" s="103"/>
      <c r="V257" s="103"/>
      <c r="W257" s="103"/>
      <c r="X257" s="103"/>
      <c r="Y257" s="103"/>
      <c r="Z257" s="103"/>
      <c r="AA257" s="103"/>
      <c r="AB257" s="103"/>
      <c r="AC257" s="103"/>
      <c r="AD257" s="103"/>
    </row>
    <row r="258" spans="2:30" ht="12.95" customHeight="1" x14ac:dyDescent="0.25">
      <c r="B258" s="393"/>
      <c r="C258" s="393"/>
      <c r="D258" s="393"/>
      <c r="E258" s="393"/>
      <c r="F258" s="393"/>
      <c r="G258" s="393"/>
      <c r="H258" s="393"/>
      <c r="I258" s="393"/>
      <c r="J258" s="393"/>
      <c r="K258" s="393"/>
      <c r="L258" s="393"/>
      <c r="M258" s="393"/>
      <c r="N258" s="393"/>
      <c r="O258" s="393"/>
      <c r="P258" s="393"/>
      <c r="Q258" s="393"/>
      <c r="R258" s="393"/>
      <c r="S258" s="393"/>
      <c r="T258" s="393"/>
      <c r="U258" s="393"/>
      <c r="V258" s="393"/>
      <c r="W258" s="393"/>
      <c r="X258" s="393"/>
      <c r="Y258" s="393"/>
      <c r="Z258" s="393"/>
      <c r="AA258" s="70"/>
      <c r="AB258" s="70"/>
      <c r="AC258" s="70"/>
      <c r="AD258" s="70"/>
    </row>
  </sheetData>
  <mergeCells count="28">
    <mergeCell ref="B232:Z232"/>
    <mergeCell ref="B243:Z243"/>
    <mergeCell ref="B256:AC256"/>
    <mergeCell ref="B258:Z258"/>
    <mergeCell ref="B152:Z152"/>
    <mergeCell ref="B160:Z160"/>
    <mergeCell ref="B183:Z183"/>
    <mergeCell ref="B194:Z194"/>
    <mergeCell ref="B214:Z214"/>
    <mergeCell ref="B222:Z222"/>
    <mergeCell ref="B144:Z144"/>
    <mergeCell ref="B36:Z36"/>
    <mergeCell ref="B59:Z59"/>
    <mergeCell ref="B70:Z70"/>
    <mergeCell ref="B90:Z90"/>
    <mergeCell ref="B98:Z98"/>
    <mergeCell ref="B108:Z108"/>
    <mergeCell ref="B119:Z119"/>
    <mergeCell ref="B132:Z132"/>
    <mergeCell ref="B133:Z133"/>
    <mergeCell ref="B134:Z134"/>
    <mergeCell ref="B143:Z143"/>
    <mergeCell ref="B28:Z28"/>
    <mergeCell ref="B7:Z7"/>
    <mergeCell ref="B9:Z9"/>
    <mergeCell ref="B10:Z10"/>
    <mergeCell ref="B19:Z19"/>
    <mergeCell ref="B20:Z20"/>
  </mergeCells>
  <phoneticPr fontId="23" type="noConversion"/>
  <conditionalFormatting sqref="D161:F176">
    <cfRule type="cellIs" dxfId="262" priority="215" operator="lessThanOrEqual">
      <formula>99</formula>
    </cfRule>
    <cfRule type="cellIs" dxfId="261" priority="216" operator="greaterThanOrEqual">
      <formula>100</formula>
    </cfRule>
  </conditionalFormatting>
  <conditionalFormatting sqref="D120:AC131">
    <cfRule type="cellIs" dxfId="260" priority="220" operator="greaterThanOrEqual">
      <formula>100</formula>
    </cfRule>
    <cfRule type="cellIs" dxfId="259" priority="219" operator="lessThanOrEqual">
      <formula>99</formula>
    </cfRule>
  </conditionalFormatting>
  <conditionalFormatting sqref="D153:AC159">
    <cfRule type="cellIs" dxfId="258" priority="214" operator="greaterThanOrEqual">
      <formula>100</formula>
    </cfRule>
    <cfRule type="cellIs" dxfId="257" priority="213" operator="lessThanOrEqual">
      <formula>99</formula>
    </cfRule>
  </conditionalFormatting>
  <conditionalFormatting sqref="D8:AD8">
    <cfRule type="cellIs" dxfId="256" priority="189" stopIfTrue="1" operator="equal">
      <formula>0</formula>
    </cfRule>
    <cfRule type="cellIs" dxfId="255" priority="191" stopIfTrue="1" operator="between">
      <formula>-99.999999999999</formula>
      <formula>99.999999999999</formula>
    </cfRule>
    <cfRule type="cellIs" dxfId="254" priority="192" stopIfTrue="1" operator="greaterThanOrEqual">
      <formula>100</formula>
    </cfRule>
    <cfRule type="cellIs" dxfId="253" priority="190" stopIfTrue="1" operator="lessThanOrEqual">
      <formula>-100</formula>
    </cfRule>
  </conditionalFormatting>
  <conditionalFormatting sqref="D11:AD18">
    <cfRule type="cellIs" dxfId="252" priority="138" operator="greaterThanOrEqual">
      <formula>100</formula>
    </cfRule>
    <cfRule type="cellIs" dxfId="251" priority="137" operator="lessThanOrEqual">
      <formula>99</formula>
    </cfRule>
  </conditionalFormatting>
  <conditionalFormatting sqref="D21:AD27">
    <cfRule type="cellIs" dxfId="250" priority="129" operator="lessThanOrEqual">
      <formula>99</formula>
    </cfRule>
    <cfRule type="cellIs" dxfId="249" priority="130" operator="greaterThanOrEqual">
      <formula>100</formula>
    </cfRule>
  </conditionalFormatting>
  <conditionalFormatting sqref="D29:AD35">
    <cfRule type="cellIs" dxfId="248" priority="11" operator="lessThanOrEqual">
      <formula>99</formula>
    </cfRule>
    <cfRule type="cellIs" dxfId="247" priority="12" operator="greaterThanOrEqual">
      <formula>100</formula>
    </cfRule>
  </conditionalFormatting>
  <conditionalFormatting sqref="D37:AD58">
    <cfRule type="cellIs" dxfId="246" priority="114" operator="greaterThanOrEqual">
      <formula>100</formula>
    </cfRule>
    <cfRule type="cellIs" dxfId="245" priority="113" operator="lessThanOrEqual">
      <formula>99</formula>
    </cfRule>
  </conditionalFormatting>
  <conditionalFormatting sqref="D60:AD69 D71:AD89 D109:AD118 AD128:AD131 AD153:AD156 AD158:AD159 G161:AD182 U59:AD59 U70:AD70 U98:AD98 U108:AD108 U119:AD119 U143:AD143 U160:AD160 D178:F182 U183:AD183 U194:AD194 U243:AD243 U257:AD257">
    <cfRule type="cellIs" dxfId="244" priority="217" operator="lessThanOrEqual">
      <formula>99</formula>
    </cfRule>
    <cfRule type="cellIs" dxfId="243" priority="218" operator="greaterThanOrEqual">
      <formula>100</formula>
    </cfRule>
  </conditionalFormatting>
  <conditionalFormatting sqref="D91:AD97">
    <cfRule type="cellIs" dxfId="242" priority="175" operator="lessThanOrEqual">
      <formula>99</formula>
    </cfRule>
    <cfRule type="cellIs" dxfId="241" priority="176" operator="greaterThanOrEqual">
      <formula>100</formula>
    </cfRule>
  </conditionalFormatting>
  <conditionalFormatting sqref="D99:AD107 AD157 D215:AD221 D223:AD231">
    <cfRule type="cellIs" dxfId="240" priority="9" operator="lessThanOrEqual">
      <formula>99</formula>
    </cfRule>
    <cfRule type="cellIs" dxfId="239" priority="10" operator="greaterThanOrEqual">
      <formula>100</formula>
    </cfRule>
  </conditionalFormatting>
  <conditionalFormatting sqref="D135:AD142">
    <cfRule type="cellIs" dxfId="238" priority="209" operator="lessThanOrEqual">
      <formula>99</formula>
    </cfRule>
    <cfRule type="cellIs" dxfId="237" priority="210" operator="greaterThanOrEqual">
      <formula>100</formula>
    </cfRule>
  </conditionalFormatting>
  <conditionalFormatting sqref="D145:AD151">
    <cfRule type="cellIs" dxfId="236" priority="211" operator="lessThanOrEqual">
      <formula>99</formula>
    </cfRule>
    <cfRule type="cellIs" dxfId="235" priority="212" operator="greaterThanOrEqual">
      <formula>100</formula>
    </cfRule>
  </conditionalFormatting>
  <conditionalFormatting sqref="D184:AD193">
    <cfRule type="cellIs" dxfId="234" priority="207" operator="lessThanOrEqual">
      <formula>99</formula>
    </cfRule>
    <cfRule type="cellIs" dxfId="233" priority="208" operator="greaterThanOrEqual">
      <formula>100</formula>
    </cfRule>
  </conditionalFormatting>
  <conditionalFormatting sqref="D195:AD213">
    <cfRule type="cellIs" dxfId="232" priority="205" operator="lessThanOrEqual">
      <formula>99</formula>
    </cfRule>
    <cfRule type="cellIs" dxfId="231" priority="206" operator="greaterThanOrEqual">
      <formula>100</formula>
    </cfRule>
  </conditionalFormatting>
  <conditionalFormatting sqref="D233:AD242">
    <cfRule type="cellIs" dxfId="230" priority="200" operator="greaterThanOrEqual">
      <formula>100</formula>
    </cfRule>
    <cfRule type="cellIs" dxfId="229" priority="199" operator="lessThanOrEqual">
      <formula>99</formula>
    </cfRule>
  </conditionalFormatting>
  <conditionalFormatting sqref="D244:AD255">
    <cfRule type="cellIs" dxfId="228" priority="198" operator="greaterThanOrEqual">
      <formula>100</formula>
    </cfRule>
    <cfRule type="cellIs" dxfId="227" priority="197" operator="lessThanOrEqual">
      <formula>99</formula>
    </cfRule>
  </conditionalFormatting>
  <conditionalFormatting sqref="U90:AD90">
    <cfRule type="cellIs" dxfId="226" priority="254" operator="greaterThanOrEqual">
      <formula>100</formula>
    </cfRule>
    <cfRule type="cellIs" dxfId="225" priority="253" operator="lessThanOrEqual">
      <formula>99</formula>
    </cfRule>
  </conditionalFormatting>
  <conditionalFormatting sqref="U214:AD214">
    <cfRule type="cellIs" dxfId="224" priority="247" operator="lessThanOrEqual">
      <formula>99</formula>
    </cfRule>
    <cfRule type="cellIs" dxfId="223" priority="248" operator="greaterThanOrEqual">
      <formula>100</formula>
    </cfRule>
  </conditionalFormatting>
  <conditionalFormatting sqref="U222:AD222">
    <cfRule type="cellIs" dxfId="222" priority="246" operator="greaterThanOrEqual">
      <formula>100</formula>
    </cfRule>
    <cfRule type="cellIs" dxfId="221" priority="245" operator="lessThanOrEqual">
      <formula>99</formula>
    </cfRule>
  </conditionalFormatting>
  <conditionalFormatting sqref="U232:AD232">
    <cfRule type="cellIs" dxfId="220" priority="249" operator="lessThanOrEqual">
      <formula>99</formula>
    </cfRule>
    <cfRule type="cellIs" dxfId="219" priority="250" operator="greaterThanOrEqual">
      <formula>100</formula>
    </cfRule>
  </conditionalFormatting>
  <conditionalFormatting sqref="AD11:AD18 AD60:AD69 AD71:AD89 AD109:AD118 AD128:AD131 AD135:AD142 AD145:AD151 AD153:AD156 AD158:AD159 AD161:AD182 AD184:AD193 AD195:AD213 AD233:AD242 AD244:AD255">
    <cfRule type="cellIs" dxfId="218" priority="141" stopIfTrue="1" operator="equal">
      <formula>0</formula>
    </cfRule>
    <cfRule type="cellIs" dxfId="217" priority="144" stopIfTrue="1" operator="greaterThanOrEqual">
      <formula>100</formula>
    </cfRule>
    <cfRule type="cellIs" dxfId="216" priority="143" stopIfTrue="1" operator="between">
      <formula>-99.999999999999</formula>
      <formula>99.999999999999</formula>
    </cfRule>
    <cfRule type="cellIs" dxfId="215" priority="142" stopIfTrue="1" operator="lessThanOrEqual">
      <formula>-100</formula>
    </cfRule>
  </conditionalFormatting>
  <conditionalFormatting sqref="AD21:AD27">
    <cfRule type="cellIs" dxfId="214" priority="133" stopIfTrue="1" operator="equal">
      <formula>0</formula>
    </cfRule>
    <cfRule type="cellIs" dxfId="213" priority="136" stopIfTrue="1" operator="greaterThanOrEqual">
      <formula>100</formula>
    </cfRule>
    <cfRule type="cellIs" dxfId="212" priority="135" stopIfTrue="1" operator="between">
      <formula>-99.999999999999</formula>
      <formula>99.999999999999</formula>
    </cfRule>
    <cfRule type="cellIs" dxfId="211" priority="134" stopIfTrue="1" operator="lessThanOrEqual">
      <formula>-100</formula>
    </cfRule>
  </conditionalFormatting>
  <conditionalFormatting sqref="AD29:AD32 AD34:AD35">
    <cfRule type="cellIs" dxfId="210" priority="128" stopIfTrue="1" operator="greaterThanOrEqual">
      <formula>100</formula>
    </cfRule>
    <cfRule type="cellIs" dxfId="209" priority="126" stopIfTrue="1" operator="lessThanOrEqual">
      <formula>-100</formula>
    </cfRule>
    <cfRule type="cellIs" dxfId="208" priority="125" stopIfTrue="1" operator="equal">
      <formula>0</formula>
    </cfRule>
    <cfRule type="cellIs" dxfId="207" priority="127" stopIfTrue="1" operator="between">
      <formula>-99.999999999999</formula>
      <formula>99.999999999999</formula>
    </cfRule>
  </conditionalFormatting>
  <conditionalFormatting sqref="AD37:AD58">
    <cfRule type="cellIs" dxfId="206" priority="120" stopIfTrue="1" operator="greaterThanOrEqual">
      <formula>100</formula>
    </cfRule>
    <cfRule type="cellIs" dxfId="205" priority="119" stopIfTrue="1" operator="between">
      <formula>-99.999999999999</formula>
      <formula>99.999999999999</formula>
    </cfRule>
    <cfRule type="cellIs" dxfId="204" priority="118" stopIfTrue="1" operator="lessThanOrEqual">
      <formula>-100</formula>
    </cfRule>
    <cfRule type="cellIs" dxfId="203" priority="117" stopIfTrue="1" operator="equal">
      <formula>0</formula>
    </cfRule>
  </conditionalFormatting>
  <conditionalFormatting sqref="AD120:AD127">
    <cfRule type="cellIs" dxfId="202" priority="7" operator="lessThanOrEqual">
      <formula>99</formula>
    </cfRule>
    <cfRule type="cellIs" dxfId="201" priority="8" operator="greaterThanOrEqual">
      <formula>100</formula>
    </cfRule>
  </conditionalFormatting>
  <pageMargins left="0.7" right="0.7" top="0.75" bottom="0.75" header="0.3" footer="0.3"/>
  <pageSetup paperSize="9" scale="28"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79EA6-6CE0-48CF-868F-23A2664FBCA3}">
  <sheetPr>
    <pageSetUpPr fitToPage="1"/>
  </sheetPr>
  <dimension ref="B6:AM66"/>
  <sheetViews>
    <sheetView zoomScaleNormal="100" workbookViewId="0"/>
  </sheetViews>
  <sheetFormatPr defaultColWidth="9.140625" defaultRowHeight="15" x14ac:dyDescent="0.25"/>
  <cols>
    <col min="1" max="1" width="9.140625" style="20"/>
    <col min="2" max="2" width="44.85546875" style="20" customWidth="1"/>
    <col min="3" max="3" width="4.42578125" style="20" bestFit="1" customWidth="1"/>
    <col min="4" max="5" width="9" style="20" customWidth="1"/>
    <col min="6" max="39" width="8.85546875" style="20" customWidth="1"/>
    <col min="40" max="16384" width="9.140625" style="20"/>
  </cols>
  <sheetData>
    <row r="6" spans="2:39" ht="9.75" customHeight="1" x14ac:dyDescent="0.25">
      <c r="B6" s="17"/>
      <c r="C6" s="19"/>
      <c r="D6" s="19"/>
      <c r="E6" s="19"/>
      <c r="F6" s="17"/>
      <c r="G6" s="17"/>
      <c r="H6" s="17"/>
      <c r="I6" s="17"/>
      <c r="J6" s="17"/>
      <c r="K6" s="17"/>
      <c r="L6" s="17"/>
      <c r="M6" s="17"/>
      <c r="N6" s="17"/>
      <c r="O6" s="17"/>
      <c r="P6" s="17"/>
      <c r="Q6" s="17"/>
      <c r="R6" s="17"/>
      <c r="S6" s="17"/>
      <c r="T6" s="17"/>
      <c r="U6" s="17"/>
      <c r="V6" s="17"/>
      <c r="W6" s="17"/>
      <c r="X6" s="17"/>
      <c r="Y6" s="17"/>
      <c r="Z6" s="17"/>
      <c r="AA6" s="17"/>
      <c r="AB6" s="17"/>
      <c r="AC6" s="17"/>
      <c r="AD6" s="17"/>
      <c r="AE6" s="118"/>
      <c r="AF6" s="118"/>
      <c r="AG6" s="118"/>
      <c r="AH6" s="119"/>
      <c r="AI6" s="119"/>
      <c r="AJ6" s="118"/>
      <c r="AK6" s="118"/>
      <c r="AL6" s="119"/>
      <c r="AM6" s="119" t="s">
        <v>0</v>
      </c>
    </row>
    <row r="7" spans="2:39" ht="27" customHeight="1" x14ac:dyDescent="0.25">
      <c r="B7" s="25" t="s">
        <v>156</v>
      </c>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row>
    <row r="8" spans="2:39" ht="12.75" customHeight="1" x14ac:dyDescent="0.25">
      <c r="B8" s="104" t="s">
        <v>2</v>
      </c>
      <c r="C8" s="105" t="s">
        <v>3</v>
      </c>
      <c r="D8" s="105" t="s">
        <v>157</v>
      </c>
      <c r="E8" s="105" t="s">
        <v>158</v>
      </c>
      <c r="F8" s="105" t="s">
        <v>159</v>
      </c>
      <c r="G8" s="105" t="s">
        <v>160</v>
      </c>
      <c r="H8" s="105" t="s">
        <v>161</v>
      </c>
      <c r="I8" s="105" t="s">
        <v>162</v>
      </c>
      <c r="J8" s="105" t="s">
        <v>163</v>
      </c>
      <c r="K8" s="105" t="s">
        <v>164</v>
      </c>
      <c r="L8" s="105" t="s">
        <v>165</v>
      </c>
      <c r="M8" s="105" t="s">
        <v>166</v>
      </c>
      <c r="N8" s="105" t="s">
        <v>167</v>
      </c>
      <c r="O8" s="105" t="s">
        <v>168</v>
      </c>
      <c r="P8" s="105" t="s">
        <v>169</v>
      </c>
      <c r="Q8" s="105" t="s">
        <v>170</v>
      </c>
      <c r="R8" s="105" t="s">
        <v>171</v>
      </c>
      <c r="S8" s="105" t="s">
        <v>172</v>
      </c>
      <c r="T8" s="105" t="s">
        <v>173</v>
      </c>
      <c r="U8" s="105" t="s">
        <v>174</v>
      </c>
      <c r="V8" s="105" t="s">
        <v>175</v>
      </c>
      <c r="W8" s="105" t="s">
        <v>176</v>
      </c>
      <c r="X8" s="105" t="s">
        <v>177</v>
      </c>
      <c r="Y8" s="105" t="s">
        <v>178</v>
      </c>
      <c r="Z8" s="105" t="s">
        <v>179</v>
      </c>
      <c r="AA8" s="105" t="s">
        <v>180</v>
      </c>
      <c r="AB8" s="105" t="s">
        <v>181</v>
      </c>
      <c r="AC8" s="105" t="s">
        <v>182</v>
      </c>
      <c r="AD8" s="105" t="s">
        <v>183</v>
      </c>
      <c r="AE8" s="105" t="s">
        <v>184</v>
      </c>
      <c r="AF8" s="105" t="s">
        <v>185</v>
      </c>
      <c r="AG8" s="105" t="s">
        <v>186</v>
      </c>
      <c r="AH8" s="105" t="s">
        <v>187</v>
      </c>
      <c r="AI8" s="105" t="s">
        <v>188</v>
      </c>
      <c r="AJ8" s="105" t="s">
        <v>189</v>
      </c>
      <c r="AK8" s="105" t="s">
        <v>190</v>
      </c>
      <c r="AL8" s="105" t="s">
        <v>191</v>
      </c>
      <c r="AM8" s="105" t="s">
        <v>548</v>
      </c>
    </row>
    <row r="9" spans="2:39" ht="12.75" customHeight="1" x14ac:dyDescent="0.25">
      <c r="B9" s="106" t="s">
        <v>192</v>
      </c>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6"/>
      <c r="AC9" s="106"/>
      <c r="AD9" s="106"/>
      <c r="AE9" s="106"/>
      <c r="AF9" s="106"/>
      <c r="AG9" s="106"/>
      <c r="AH9" s="106"/>
      <c r="AI9" s="106"/>
      <c r="AJ9" s="106"/>
      <c r="AK9" s="106"/>
      <c r="AL9" s="106"/>
      <c r="AM9" s="115"/>
    </row>
    <row r="10" spans="2:39" ht="12.75" customHeight="1" x14ac:dyDescent="0.25">
      <c r="B10" s="107" t="s">
        <v>193</v>
      </c>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row>
    <row r="11" spans="2:39" ht="12.75" customHeight="1" x14ac:dyDescent="0.25">
      <c r="B11" s="108" t="s">
        <v>194</v>
      </c>
      <c r="C11" s="109" t="s">
        <v>89</v>
      </c>
      <c r="D11" s="110">
        <v>1353.2080000000001</v>
      </c>
      <c r="E11" s="17">
        <v>2036.528</v>
      </c>
      <c r="F11" s="110">
        <v>2752.4319999999998</v>
      </c>
      <c r="G11" s="110">
        <v>12162.825000000001</v>
      </c>
      <c r="H11" s="110">
        <v>22180.803</v>
      </c>
      <c r="I11" s="110">
        <v>27992.012999999999</v>
      </c>
      <c r="J11" s="110">
        <v>37409.230000000003</v>
      </c>
      <c r="K11" s="110">
        <v>27520.569</v>
      </c>
      <c r="L11" s="110">
        <v>26952.916000000001</v>
      </c>
      <c r="M11" s="110">
        <v>19838.755000000001</v>
      </c>
      <c r="N11" s="110">
        <v>23451.424999999999</v>
      </c>
      <c r="O11" s="110">
        <v>33014.817000000003</v>
      </c>
      <c r="P11" s="110">
        <v>29862.537</v>
      </c>
      <c r="Q11" s="110">
        <v>21086.66</v>
      </c>
      <c r="R11" s="110">
        <v>17491.042000000001</v>
      </c>
      <c r="S11" s="110">
        <v>18179.804</v>
      </c>
      <c r="T11" s="110">
        <v>17894.86</v>
      </c>
      <c r="U11" s="110">
        <v>17452.937000000002</v>
      </c>
      <c r="V11" s="110">
        <v>15700.779</v>
      </c>
      <c r="W11" s="110">
        <v>16369.521000000001</v>
      </c>
      <c r="X11" s="110">
        <v>13800.825999999999</v>
      </c>
      <c r="Y11" s="110">
        <v>13439.963</v>
      </c>
      <c r="Z11" s="110">
        <v>10961.458000000001</v>
      </c>
      <c r="AA11" s="110">
        <v>8155.45</v>
      </c>
      <c r="AB11" s="110">
        <v>5534.3379999999997</v>
      </c>
      <c r="AC11" s="110">
        <v>7947.5889999999999</v>
      </c>
      <c r="AD11" s="110">
        <v>7613.7259999999997</v>
      </c>
      <c r="AE11" s="110">
        <v>7710.0540000000001</v>
      </c>
      <c r="AF11" s="110">
        <v>8721.1149999999998</v>
      </c>
      <c r="AG11" s="110">
        <v>9332.8430000000008</v>
      </c>
      <c r="AH11" s="110">
        <v>10390.321</v>
      </c>
      <c r="AI11" s="110">
        <v>14658.146000000001</v>
      </c>
      <c r="AJ11" s="110">
        <v>13814.227999999999</v>
      </c>
      <c r="AK11" s="110">
        <v>15830.75</v>
      </c>
      <c r="AL11" s="110">
        <v>16583.186000000002</v>
      </c>
      <c r="AM11" s="114">
        <v>14470.541999999999</v>
      </c>
    </row>
    <row r="12" spans="2:39" ht="12.75" customHeight="1" x14ac:dyDescent="0.25">
      <c r="B12" s="108" t="s">
        <v>195</v>
      </c>
      <c r="C12" s="109" t="s">
        <v>89</v>
      </c>
      <c r="D12" s="109">
        <v>4955.8459999999995</v>
      </c>
      <c r="E12" s="109">
        <v>1912.4390000000001</v>
      </c>
      <c r="F12" s="110">
        <v>2106.1280000000002</v>
      </c>
      <c r="G12" s="110">
        <v>3124.8049999999998</v>
      </c>
      <c r="H12" s="110">
        <v>3393.701</v>
      </c>
      <c r="I12" s="110">
        <v>3298.9589999999998</v>
      </c>
      <c r="J12" s="110">
        <v>2971.7159999999999</v>
      </c>
      <c r="K12" s="110">
        <v>3518.2669999999998</v>
      </c>
      <c r="L12" s="110">
        <v>3587.9969999999998</v>
      </c>
      <c r="M12" s="110">
        <v>6702.665</v>
      </c>
      <c r="N12" s="110">
        <v>1884.817</v>
      </c>
      <c r="O12" s="110">
        <v>3350.7930000000001</v>
      </c>
      <c r="P12" s="110">
        <v>1360.454</v>
      </c>
      <c r="Q12" s="110">
        <v>581.45799999999997</v>
      </c>
      <c r="R12" s="110">
        <v>39.338999999999999</v>
      </c>
      <c r="S12" s="110">
        <v>267.464</v>
      </c>
      <c r="T12" s="110">
        <v>265.702</v>
      </c>
      <c r="U12" s="110">
        <v>3755.8110000000001</v>
      </c>
      <c r="V12" s="110">
        <v>1958.8610000000001</v>
      </c>
      <c r="W12" s="110">
        <v>730.18200000000002</v>
      </c>
      <c r="X12" s="110">
        <v>1105.8869999999999</v>
      </c>
      <c r="Y12" s="110">
        <v>105.235</v>
      </c>
      <c r="Z12" s="110">
        <v>19.419</v>
      </c>
      <c r="AA12" s="110">
        <v>12.46</v>
      </c>
      <c r="AB12" s="110">
        <v>48.256</v>
      </c>
      <c r="AC12" s="110">
        <v>44.168999999999997</v>
      </c>
      <c r="AD12" s="110">
        <v>155.76</v>
      </c>
      <c r="AE12" s="110">
        <v>24.678999999999998</v>
      </c>
      <c r="AF12" s="110">
        <v>10.034000000000001</v>
      </c>
      <c r="AG12" s="110">
        <v>17.196999999999999</v>
      </c>
      <c r="AH12" s="110">
        <v>126.749</v>
      </c>
      <c r="AI12" s="110">
        <v>412.36799999999999</v>
      </c>
      <c r="AJ12" s="110">
        <v>358.1</v>
      </c>
      <c r="AK12" s="110">
        <v>23.408999999999999</v>
      </c>
      <c r="AL12" s="110">
        <v>122.863</v>
      </c>
      <c r="AM12" s="114">
        <v>69.402000000000001</v>
      </c>
    </row>
    <row r="13" spans="2:39" ht="12.75" customHeight="1" x14ac:dyDescent="0.25">
      <c r="B13" s="108" t="s">
        <v>87</v>
      </c>
      <c r="C13" s="109" t="s">
        <v>89</v>
      </c>
      <c r="D13" s="109">
        <v>165498.44200000001</v>
      </c>
      <c r="E13" s="109">
        <v>183526.78200000001</v>
      </c>
      <c r="F13" s="110">
        <v>143430.53400000001</v>
      </c>
      <c r="G13" s="110">
        <v>155382.916</v>
      </c>
      <c r="H13" s="110">
        <v>197734.212</v>
      </c>
      <c r="I13" s="110">
        <v>231672.72</v>
      </c>
      <c r="J13" s="110">
        <v>223382.43700000001</v>
      </c>
      <c r="K13" s="110">
        <v>184789.75399999999</v>
      </c>
      <c r="L13" s="110">
        <v>234240.38200000001</v>
      </c>
      <c r="M13" s="110">
        <v>224254.46599999999</v>
      </c>
      <c r="N13" s="110">
        <v>243789.141</v>
      </c>
      <c r="O13" s="110">
        <v>291048.30800000002</v>
      </c>
      <c r="P13" s="110">
        <v>262826.65999999997</v>
      </c>
      <c r="Q13" s="110">
        <v>208244.83300000001</v>
      </c>
      <c r="R13" s="110">
        <v>160602.91</v>
      </c>
      <c r="S13" s="110">
        <v>163103.986</v>
      </c>
      <c r="T13" s="110">
        <v>133923.098</v>
      </c>
      <c r="U13" s="110">
        <v>93562.976999999999</v>
      </c>
      <c r="V13" s="110">
        <v>68623.512000000002</v>
      </c>
      <c r="W13" s="110">
        <v>82179.672000000006</v>
      </c>
      <c r="X13" s="110">
        <v>61461.326999999997</v>
      </c>
      <c r="Y13" s="110">
        <v>77095.717999999993</v>
      </c>
      <c r="Z13" s="110">
        <v>66677.266000000003</v>
      </c>
      <c r="AA13" s="110">
        <v>51797.065000000002</v>
      </c>
      <c r="AB13" s="110">
        <v>100976.45</v>
      </c>
      <c r="AC13" s="110">
        <v>94166.422999999995</v>
      </c>
      <c r="AD13" s="110">
        <v>114384.363</v>
      </c>
      <c r="AE13" s="110">
        <v>114447.84600000001</v>
      </c>
      <c r="AF13" s="110">
        <v>90266.251999999993</v>
      </c>
      <c r="AG13" s="110">
        <v>82646.633000000002</v>
      </c>
      <c r="AH13" s="110">
        <v>98355.263000000006</v>
      </c>
      <c r="AI13" s="110">
        <v>73611.608999999997</v>
      </c>
      <c r="AJ13" s="110">
        <v>58284.042000000001</v>
      </c>
      <c r="AK13" s="110">
        <v>97614.755999999994</v>
      </c>
      <c r="AL13" s="110">
        <v>63355.247000000003</v>
      </c>
      <c r="AM13" s="114">
        <v>60258.027999999998</v>
      </c>
    </row>
    <row r="14" spans="2:39" ht="12.75" customHeight="1" x14ac:dyDescent="0.25">
      <c r="B14" s="108" t="s">
        <v>96</v>
      </c>
      <c r="C14" s="109" t="s">
        <v>89</v>
      </c>
      <c r="D14" s="109">
        <v>235111.603</v>
      </c>
      <c r="E14" s="109">
        <v>273412.26699999999</v>
      </c>
      <c r="F14" s="110">
        <v>390706.86800000002</v>
      </c>
      <c r="G14" s="110">
        <v>399193.37900000002</v>
      </c>
      <c r="H14" s="110">
        <v>471902.88</v>
      </c>
      <c r="I14" s="110">
        <v>479175.98700000002</v>
      </c>
      <c r="J14" s="110">
        <v>434917.91700000002</v>
      </c>
      <c r="K14" s="110">
        <v>463052.59899999999</v>
      </c>
      <c r="L14" s="110">
        <v>433443.42200000002</v>
      </c>
      <c r="M14" s="110">
        <v>456970.57</v>
      </c>
      <c r="N14" s="110">
        <v>582630.30500000005</v>
      </c>
      <c r="O14" s="110">
        <v>558470.63899999997</v>
      </c>
      <c r="P14" s="110">
        <v>534259.46699999995</v>
      </c>
      <c r="Q14" s="110">
        <v>497919.69099999999</v>
      </c>
      <c r="R14" s="110">
        <v>437404.32400000002</v>
      </c>
      <c r="S14" s="110">
        <v>441061.13900000002</v>
      </c>
      <c r="T14" s="110">
        <v>490849.31900000002</v>
      </c>
      <c r="U14" s="110">
        <v>468030.47600000002</v>
      </c>
      <c r="V14" s="110">
        <v>401305.88699999999</v>
      </c>
      <c r="W14" s="110">
        <v>461946.44199999998</v>
      </c>
      <c r="X14" s="110">
        <v>399864.28700000001</v>
      </c>
      <c r="Y14" s="110">
        <v>377943.26199999999</v>
      </c>
      <c r="Z14" s="110">
        <v>406029.74400000001</v>
      </c>
      <c r="AA14" s="110">
        <v>465222.52299999999</v>
      </c>
      <c r="AB14" s="110">
        <v>604998.848</v>
      </c>
      <c r="AC14" s="110">
        <v>709055.49899999995</v>
      </c>
      <c r="AD14" s="110">
        <v>719869.52899999998</v>
      </c>
      <c r="AE14" s="110">
        <v>677759.451</v>
      </c>
      <c r="AF14" s="110">
        <v>772526.72900000005</v>
      </c>
      <c r="AG14" s="110">
        <v>753207.06499999994</v>
      </c>
      <c r="AH14" s="110">
        <v>543578.24100000004</v>
      </c>
      <c r="AI14" s="110">
        <v>380678.50099999999</v>
      </c>
      <c r="AJ14" s="110">
        <v>357605.65100000001</v>
      </c>
      <c r="AK14" s="110">
        <v>411942.57199999999</v>
      </c>
      <c r="AL14" s="110">
        <v>513985.005</v>
      </c>
      <c r="AM14" s="114">
        <v>652398.38199999998</v>
      </c>
    </row>
    <row r="15" spans="2:39" ht="12.75" customHeight="1" x14ac:dyDescent="0.25">
      <c r="B15" s="108" t="s">
        <v>234</v>
      </c>
      <c r="C15" s="109" t="s">
        <v>89</v>
      </c>
      <c r="D15" s="109">
        <v>2688.2289999999998</v>
      </c>
      <c r="E15" s="109">
        <v>965.04399999999998</v>
      </c>
      <c r="F15" s="110">
        <v>3171.73</v>
      </c>
      <c r="G15" s="110">
        <v>4152.8919999999998</v>
      </c>
      <c r="H15" s="110">
        <v>2128.4879999999998</v>
      </c>
      <c r="I15" s="110">
        <v>1578.1890000000001</v>
      </c>
      <c r="J15" s="110">
        <v>2390.25</v>
      </c>
      <c r="K15" s="110">
        <v>1623.079</v>
      </c>
      <c r="L15" s="110">
        <v>2370.3960000000002</v>
      </c>
      <c r="M15" s="110">
        <v>1012.189</v>
      </c>
      <c r="N15" s="110">
        <v>4308.51</v>
      </c>
      <c r="O15" s="110">
        <v>9107.8310000000001</v>
      </c>
      <c r="P15" s="110">
        <v>2572.4169999999999</v>
      </c>
      <c r="Q15" s="110">
        <v>4038.511</v>
      </c>
      <c r="R15" s="110">
        <v>2465.7350000000001</v>
      </c>
      <c r="S15" s="110">
        <v>1916.8989999999999</v>
      </c>
      <c r="T15" s="110">
        <v>1580.356</v>
      </c>
      <c r="U15" s="110">
        <v>1219.6289999999999</v>
      </c>
      <c r="V15" s="110">
        <v>629.79600000000005</v>
      </c>
      <c r="W15" s="110">
        <v>535.60900000000004</v>
      </c>
      <c r="X15" s="110">
        <v>439.67399999999998</v>
      </c>
      <c r="Y15" s="110">
        <v>368.851</v>
      </c>
      <c r="Z15" s="110">
        <v>198.655</v>
      </c>
      <c r="AA15" s="110">
        <v>442.08499999999998</v>
      </c>
      <c r="AB15" s="110">
        <v>1257.326</v>
      </c>
      <c r="AC15" s="110">
        <v>496.06599999999997</v>
      </c>
      <c r="AD15" s="110">
        <v>560.85699999999997</v>
      </c>
      <c r="AE15" s="110">
        <v>396.69400000000002</v>
      </c>
      <c r="AF15" s="110">
        <v>771.15899999999999</v>
      </c>
      <c r="AG15" s="110">
        <v>692.86199999999997</v>
      </c>
      <c r="AH15" s="110">
        <v>1020.075</v>
      </c>
      <c r="AI15" s="110">
        <v>315.12299999999999</v>
      </c>
      <c r="AJ15" s="110">
        <v>337.97399999999999</v>
      </c>
      <c r="AK15" s="110">
        <v>3173.8119999999999</v>
      </c>
      <c r="AL15" s="110">
        <v>970.86900000000003</v>
      </c>
      <c r="AM15" s="114">
        <v>523.93600000000004</v>
      </c>
    </row>
    <row r="16" spans="2:39" ht="12.75" customHeight="1" x14ac:dyDescent="0.25">
      <c r="B16" s="111" t="s">
        <v>196</v>
      </c>
      <c r="C16" s="8"/>
      <c r="D16" s="8"/>
      <c r="E16" s="8"/>
      <c r="F16" s="110"/>
      <c r="G16" s="110"/>
      <c r="H16" s="110"/>
      <c r="I16" s="110"/>
      <c r="J16" s="110"/>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4"/>
    </row>
    <row r="17" spans="2:39" ht="12.75" customHeight="1" x14ac:dyDescent="0.25">
      <c r="B17" s="108" t="s">
        <v>197</v>
      </c>
      <c r="C17" s="109" t="s">
        <v>89</v>
      </c>
      <c r="D17" s="110">
        <v>18.827999999999999</v>
      </c>
      <c r="E17" s="17">
        <v>102.956</v>
      </c>
      <c r="F17" s="110">
        <v>97.733000000000004</v>
      </c>
      <c r="G17" s="110">
        <v>70.718000000000004</v>
      </c>
      <c r="H17" s="110">
        <v>72.983999999999995</v>
      </c>
      <c r="I17" s="110">
        <v>156.92599999999999</v>
      </c>
      <c r="J17" s="110">
        <v>15.596</v>
      </c>
      <c r="K17" s="110">
        <v>31.940999999999999</v>
      </c>
      <c r="L17" s="110">
        <v>29.88</v>
      </c>
      <c r="M17" s="110">
        <v>57.893999999999998</v>
      </c>
      <c r="N17" s="110">
        <v>178.148</v>
      </c>
      <c r="O17" s="110">
        <v>80.102999999999994</v>
      </c>
      <c r="P17" s="110">
        <v>421.32</v>
      </c>
      <c r="Q17" s="110">
        <v>155.81399999999999</v>
      </c>
      <c r="R17" s="110">
        <v>95.84</v>
      </c>
      <c r="S17" s="110">
        <v>117.889</v>
      </c>
      <c r="T17" s="110">
        <v>208.19</v>
      </c>
      <c r="U17" s="110">
        <v>111.074</v>
      </c>
      <c r="V17" s="110">
        <v>109.71899999999999</v>
      </c>
      <c r="W17" s="110">
        <v>296.73700000000002</v>
      </c>
      <c r="X17" s="110">
        <v>297.39999999999998</v>
      </c>
      <c r="Y17" s="110">
        <v>342.11399999999998</v>
      </c>
      <c r="Z17" s="110">
        <v>271.45</v>
      </c>
      <c r="AA17" s="110">
        <v>263.77100000000002</v>
      </c>
      <c r="AB17" s="110">
        <v>246.52199999999999</v>
      </c>
      <c r="AC17" s="110">
        <v>324.33600000000001</v>
      </c>
      <c r="AD17" s="110">
        <v>195.535</v>
      </c>
      <c r="AE17" s="110">
        <v>233.33099999999999</v>
      </c>
      <c r="AF17" s="110">
        <v>162.61799999999999</v>
      </c>
      <c r="AG17" s="110">
        <v>115.226</v>
      </c>
      <c r="AH17" s="110">
        <v>69.432000000000002</v>
      </c>
      <c r="AI17" s="110">
        <v>77.956999999999994</v>
      </c>
      <c r="AJ17" s="110">
        <v>114.458</v>
      </c>
      <c r="AK17" s="110">
        <v>139.81899999999999</v>
      </c>
      <c r="AL17" s="110">
        <v>375.161</v>
      </c>
      <c r="AM17" s="114">
        <v>257.005</v>
      </c>
    </row>
    <row r="18" spans="2:39" ht="12.75" customHeight="1" x14ac:dyDescent="0.25">
      <c r="B18" s="108" t="s">
        <v>198</v>
      </c>
      <c r="C18" s="109" t="s">
        <v>89</v>
      </c>
      <c r="D18" s="109">
        <v>0</v>
      </c>
      <c r="E18" s="109">
        <v>0</v>
      </c>
      <c r="F18" s="110">
        <v>0</v>
      </c>
      <c r="G18" s="110">
        <v>0</v>
      </c>
      <c r="H18" s="110">
        <v>0</v>
      </c>
      <c r="I18" s="110">
        <v>0</v>
      </c>
      <c r="J18" s="110">
        <v>0</v>
      </c>
      <c r="K18" s="110">
        <v>0</v>
      </c>
      <c r="L18" s="110">
        <v>0</v>
      </c>
      <c r="M18" s="110">
        <v>0</v>
      </c>
      <c r="N18" s="110">
        <v>0</v>
      </c>
      <c r="O18" s="110">
        <v>0</v>
      </c>
      <c r="P18" s="110">
        <v>0</v>
      </c>
      <c r="Q18" s="110">
        <v>0</v>
      </c>
      <c r="R18" s="110">
        <v>0</v>
      </c>
      <c r="S18" s="110">
        <v>0</v>
      </c>
      <c r="T18" s="110">
        <v>0</v>
      </c>
      <c r="U18" s="110">
        <v>0</v>
      </c>
      <c r="V18" s="110">
        <v>0</v>
      </c>
      <c r="W18" s="110">
        <v>0</v>
      </c>
      <c r="X18" s="110">
        <v>0</v>
      </c>
      <c r="Y18" s="110">
        <v>0</v>
      </c>
      <c r="Z18" s="110">
        <v>0</v>
      </c>
      <c r="AA18" s="110">
        <v>0</v>
      </c>
      <c r="AB18" s="110">
        <v>0</v>
      </c>
      <c r="AC18" s="110">
        <v>0</v>
      </c>
      <c r="AD18" s="110">
        <v>0</v>
      </c>
      <c r="AE18" s="110">
        <v>0</v>
      </c>
      <c r="AF18" s="110">
        <v>75.492000000000004</v>
      </c>
      <c r="AG18" s="110">
        <v>0</v>
      </c>
      <c r="AH18" s="110">
        <v>0</v>
      </c>
      <c r="AI18" s="110">
        <v>0.23599999999999999</v>
      </c>
      <c r="AJ18" s="110">
        <v>1.7390000000000001</v>
      </c>
      <c r="AK18" s="110">
        <v>0</v>
      </c>
      <c r="AL18" s="110">
        <v>0.81200000000000006</v>
      </c>
      <c r="AM18" s="114">
        <v>21.774000000000001</v>
      </c>
    </row>
    <row r="19" spans="2:39" ht="12.75" customHeight="1" x14ac:dyDescent="0.25">
      <c r="B19" s="108" t="s">
        <v>199</v>
      </c>
      <c r="C19" s="109" t="s">
        <v>89</v>
      </c>
      <c r="D19" s="109">
        <v>0</v>
      </c>
      <c r="E19" s="109">
        <v>0</v>
      </c>
      <c r="F19" s="110">
        <v>0</v>
      </c>
      <c r="G19" s="110">
        <v>1.9319999999999999</v>
      </c>
      <c r="H19" s="110">
        <v>0</v>
      </c>
      <c r="I19" s="110">
        <v>0</v>
      </c>
      <c r="J19" s="110">
        <v>15.866</v>
      </c>
      <c r="K19" s="110">
        <v>40.268999999999998</v>
      </c>
      <c r="L19" s="110">
        <v>0</v>
      </c>
      <c r="M19" s="110">
        <v>0.77500000000000002</v>
      </c>
      <c r="N19" s="110">
        <v>1.2</v>
      </c>
      <c r="O19" s="110">
        <v>0</v>
      </c>
      <c r="P19" s="110">
        <v>0</v>
      </c>
      <c r="Q19" s="110">
        <v>0</v>
      </c>
      <c r="R19" s="110">
        <v>0</v>
      </c>
      <c r="S19" s="110">
        <v>9.43</v>
      </c>
      <c r="T19" s="110">
        <v>17.741</v>
      </c>
      <c r="U19" s="110">
        <v>0</v>
      </c>
      <c r="V19" s="110">
        <v>0</v>
      </c>
      <c r="W19" s="110">
        <v>0</v>
      </c>
      <c r="X19" s="110">
        <v>0</v>
      </c>
      <c r="Y19" s="110">
        <v>0</v>
      </c>
      <c r="Z19" s="110">
        <v>67.846000000000004</v>
      </c>
      <c r="AA19" s="110">
        <v>0</v>
      </c>
      <c r="AB19" s="110">
        <v>0</v>
      </c>
      <c r="AC19" s="110">
        <v>3.7709999999999999</v>
      </c>
      <c r="AD19" s="110">
        <v>8.8000000000000007</v>
      </c>
      <c r="AE19" s="110">
        <v>58.993000000000002</v>
      </c>
      <c r="AF19" s="110">
        <v>422.34500000000003</v>
      </c>
      <c r="AG19" s="110">
        <v>617.11800000000005</v>
      </c>
      <c r="AH19" s="110">
        <v>358.339</v>
      </c>
      <c r="AI19" s="110">
        <v>726.36400000000003</v>
      </c>
      <c r="AJ19" s="110">
        <v>529.64400000000001</v>
      </c>
      <c r="AK19" s="110">
        <v>1337.1020000000001</v>
      </c>
      <c r="AL19" s="110">
        <v>2122.2109999999998</v>
      </c>
      <c r="AM19" s="114">
        <v>1217.1079999999999</v>
      </c>
    </row>
    <row r="20" spans="2:39" ht="12.75" customHeight="1" x14ac:dyDescent="0.25">
      <c r="B20" s="108" t="s">
        <v>200</v>
      </c>
      <c r="C20" s="109" t="s">
        <v>89</v>
      </c>
      <c r="D20" s="109">
        <v>0</v>
      </c>
      <c r="E20" s="109">
        <v>0</v>
      </c>
      <c r="F20" s="110">
        <v>0</v>
      </c>
      <c r="G20" s="110">
        <v>0</v>
      </c>
      <c r="H20" s="110">
        <v>0</v>
      </c>
      <c r="I20" s="110">
        <v>0</v>
      </c>
      <c r="J20" s="110">
        <v>0</v>
      </c>
      <c r="K20" s="110">
        <v>0</v>
      </c>
      <c r="L20" s="110">
        <v>0</v>
      </c>
      <c r="M20" s="110">
        <v>0</v>
      </c>
      <c r="N20" s="110">
        <v>0</v>
      </c>
      <c r="O20" s="110">
        <v>0</v>
      </c>
      <c r="P20" s="110">
        <v>0</v>
      </c>
      <c r="Q20" s="110">
        <v>0</v>
      </c>
      <c r="R20" s="110">
        <v>0</v>
      </c>
      <c r="S20" s="110">
        <v>0</v>
      </c>
      <c r="T20" s="110">
        <v>0</v>
      </c>
      <c r="U20" s="110">
        <v>0</v>
      </c>
      <c r="V20" s="110">
        <v>0</v>
      </c>
      <c r="W20" s="110">
        <v>0</v>
      </c>
      <c r="X20" s="110">
        <v>0</v>
      </c>
      <c r="Y20" s="110">
        <v>0</v>
      </c>
      <c r="Z20" s="110">
        <v>525.98900000000003</v>
      </c>
      <c r="AA20" s="110">
        <v>91.272000000000006</v>
      </c>
      <c r="AB20" s="110">
        <v>60.387999999999998</v>
      </c>
      <c r="AC20" s="110">
        <v>185.37799999999999</v>
      </c>
      <c r="AD20" s="110">
        <v>28.462</v>
      </c>
      <c r="AE20" s="110">
        <v>139.19</v>
      </c>
      <c r="AF20" s="110">
        <v>339.017</v>
      </c>
      <c r="AG20" s="110">
        <v>211.05699999999999</v>
      </c>
      <c r="AH20" s="110">
        <v>239.18</v>
      </c>
      <c r="AI20" s="110">
        <v>103.18</v>
      </c>
      <c r="AJ20" s="110">
        <v>23.263999999999999</v>
      </c>
      <c r="AK20" s="110">
        <v>93.418000000000006</v>
      </c>
      <c r="AL20" s="110">
        <v>90.742000000000004</v>
      </c>
      <c r="AM20" s="114">
        <v>256.90800000000002</v>
      </c>
    </row>
    <row r="21" spans="2:39" ht="12.75" customHeight="1" x14ac:dyDescent="0.25">
      <c r="B21" s="108" t="s">
        <v>201</v>
      </c>
      <c r="C21" s="109" t="s">
        <v>89</v>
      </c>
      <c r="D21" s="109">
        <v>10.419</v>
      </c>
      <c r="E21" s="109">
        <v>23.43</v>
      </c>
      <c r="F21" s="110">
        <v>34.301000000000002</v>
      </c>
      <c r="G21" s="110">
        <v>67.908000000000001</v>
      </c>
      <c r="H21" s="110">
        <v>80.375</v>
      </c>
      <c r="I21" s="110">
        <v>1888.3810000000001</v>
      </c>
      <c r="J21" s="110">
        <v>126.108</v>
      </c>
      <c r="K21" s="110">
        <v>163.17599999999999</v>
      </c>
      <c r="L21" s="110">
        <v>122.23399999999999</v>
      </c>
      <c r="M21" s="110">
        <v>1.776</v>
      </c>
      <c r="N21" s="110">
        <v>26.463000000000001</v>
      </c>
      <c r="O21" s="110">
        <v>10.741</v>
      </c>
      <c r="P21" s="110">
        <v>24.239000000000001</v>
      </c>
      <c r="Q21" s="110">
        <v>173.46600000000001</v>
      </c>
      <c r="R21" s="110">
        <v>294.673</v>
      </c>
      <c r="S21" s="110">
        <v>138.428</v>
      </c>
      <c r="T21" s="110">
        <v>0.58199999999999996</v>
      </c>
      <c r="U21" s="110">
        <v>5.43</v>
      </c>
      <c r="V21" s="110">
        <v>2.1080000000000001</v>
      </c>
      <c r="W21" s="110">
        <v>1.08</v>
      </c>
      <c r="X21" s="110">
        <v>0.78400000000000003</v>
      </c>
      <c r="Y21" s="110">
        <v>8.5000000000000006E-2</v>
      </c>
      <c r="Z21" s="110">
        <v>0</v>
      </c>
      <c r="AA21" s="110">
        <v>0</v>
      </c>
      <c r="AB21" s="110">
        <v>0</v>
      </c>
      <c r="AC21" s="110">
        <v>6.12</v>
      </c>
      <c r="AD21" s="110">
        <v>0</v>
      </c>
      <c r="AE21" s="110">
        <v>0</v>
      </c>
      <c r="AF21" s="110">
        <v>0</v>
      </c>
      <c r="AG21" s="110">
        <v>34</v>
      </c>
      <c r="AH21" s="110">
        <v>0</v>
      </c>
      <c r="AI21" s="110">
        <v>0</v>
      </c>
      <c r="AJ21" s="110">
        <v>0.19500000000000001</v>
      </c>
      <c r="AK21" s="110">
        <v>0</v>
      </c>
      <c r="AL21" s="110">
        <v>412.95600000000002</v>
      </c>
      <c r="AM21" s="114">
        <v>478.822</v>
      </c>
    </row>
    <row r="22" spans="2:39" ht="12.75" customHeight="1" x14ac:dyDescent="0.25">
      <c r="B22" s="108" t="s">
        <v>202</v>
      </c>
      <c r="C22" s="109" t="s">
        <v>89</v>
      </c>
      <c r="D22" s="109">
        <v>0</v>
      </c>
      <c r="E22" s="109">
        <v>0</v>
      </c>
      <c r="F22" s="110">
        <v>0</v>
      </c>
      <c r="G22" s="110">
        <v>0</v>
      </c>
      <c r="H22" s="110">
        <v>0</v>
      </c>
      <c r="I22" s="110">
        <v>0</v>
      </c>
      <c r="J22" s="110">
        <v>0</v>
      </c>
      <c r="K22" s="110">
        <v>0</v>
      </c>
      <c r="L22" s="110">
        <v>0</v>
      </c>
      <c r="M22" s="110">
        <v>0</v>
      </c>
      <c r="N22" s="110">
        <v>0</v>
      </c>
      <c r="O22" s="110">
        <v>0</v>
      </c>
      <c r="P22" s="110">
        <v>0</v>
      </c>
      <c r="Q22" s="110">
        <v>0</v>
      </c>
      <c r="R22" s="110">
        <v>0</v>
      </c>
      <c r="S22" s="110">
        <v>0</v>
      </c>
      <c r="T22" s="110">
        <v>0</v>
      </c>
      <c r="U22" s="110">
        <v>0</v>
      </c>
      <c r="V22" s="110">
        <v>0</v>
      </c>
      <c r="W22" s="110">
        <v>0</v>
      </c>
      <c r="X22" s="110">
        <v>0</v>
      </c>
      <c r="Y22" s="110">
        <v>0</v>
      </c>
      <c r="Z22" s="110">
        <v>0</v>
      </c>
      <c r="AA22" s="110">
        <v>0</v>
      </c>
      <c r="AB22" s="110">
        <v>0</v>
      </c>
      <c r="AC22" s="110">
        <v>0</v>
      </c>
      <c r="AD22" s="110">
        <v>0.22500000000000001</v>
      </c>
      <c r="AE22" s="110">
        <v>3.9820000000000002</v>
      </c>
      <c r="AF22" s="110">
        <v>0</v>
      </c>
      <c r="AG22" s="110">
        <v>0</v>
      </c>
      <c r="AH22" s="110">
        <v>0</v>
      </c>
      <c r="AI22" s="110">
        <v>0</v>
      </c>
      <c r="AJ22" s="110">
        <v>0</v>
      </c>
      <c r="AK22" s="110">
        <v>0</v>
      </c>
      <c r="AL22" s="110">
        <v>0</v>
      </c>
      <c r="AM22" s="114">
        <v>0</v>
      </c>
    </row>
    <row r="23" spans="2:39" ht="12.75" customHeight="1" x14ac:dyDescent="0.25">
      <c r="B23" s="108" t="s">
        <v>203</v>
      </c>
      <c r="C23" s="109" t="s">
        <v>89</v>
      </c>
      <c r="D23" s="109">
        <v>10.291</v>
      </c>
      <c r="E23" s="109">
        <v>1.107</v>
      </c>
      <c r="F23" s="110">
        <v>2.2610000000000001</v>
      </c>
      <c r="G23" s="110">
        <v>36.843000000000004</v>
      </c>
      <c r="H23" s="110">
        <v>183.30600000000001</v>
      </c>
      <c r="I23" s="110">
        <v>19.535</v>
      </c>
      <c r="J23" s="110">
        <v>12.398999999999999</v>
      </c>
      <c r="K23" s="110">
        <v>114.762</v>
      </c>
      <c r="L23" s="110">
        <v>0</v>
      </c>
      <c r="M23" s="110">
        <v>94.027000000000001</v>
      </c>
      <c r="N23" s="110">
        <v>843.89800000000002</v>
      </c>
      <c r="O23" s="110">
        <v>292.375</v>
      </c>
      <c r="P23" s="110">
        <v>1345.864</v>
      </c>
      <c r="Q23" s="110">
        <v>466.02100000000002</v>
      </c>
      <c r="R23" s="110">
        <v>546.74900000000002</v>
      </c>
      <c r="S23" s="110">
        <v>194.61500000000001</v>
      </c>
      <c r="T23" s="110">
        <v>21.091000000000001</v>
      </c>
      <c r="U23" s="110">
        <v>18.834</v>
      </c>
      <c r="V23" s="110">
        <v>31.748999999999999</v>
      </c>
      <c r="W23" s="110">
        <v>42.491</v>
      </c>
      <c r="X23" s="110">
        <v>11.877000000000001</v>
      </c>
      <c r="Y23" s="110">
        <v>0</v>
      </c>
      <c r="Z23" s="110">
        <v>48.295999999999999</v>
      </c>
      <c r="AA23" s="110">
        <v>100.005</v>
      </c>
      <c r="AB23" s="110">
        <v>17.120999999999999</v>
      </c>
      <c r="AC23" s="110">
        <v>68.902000000000001</v>
      </c>
      <c r="AD23" s="110">
        <v>86.988</v>
      </c>
      <c r="AE23" s="110">
        <v>845.44100000000003</v>
      </c>
      <c r="AF23" s="110">
        <v>233.429</v>
      </c>
      <c r="AG23" s="110">
        <v>98.399000000000001</v>
      </c>
      <c r="AH23" s="110">
        <v>177.941</v>
      </c>
      <c r="AI23" s="110">
        <v>183.68100000000001</v>
      </c>
      <c r="AJ23" s="110">
        <v>114.39700000000001</v>
      </c>
      <c r="AK23" s="110">
        <v>91.122</v>
      </c>
      <c r="AL23" s="110">
        <v>320.17700000000002</v>
      </c>
      <c r="AM23" s="114">
        <v>252.46299999999999</v>
      </c>
    </row>
    <row r="24" spans="2:39" ht="12.75" customHeight="1" x14ac:dyDescent="0.25">
      <c r="B24" s="108" t="s">
        <v>204</v>
      </c>
      <c r="C24" s="109" t="s">
        <v>89</v>
      </c>
      <c r="D24" s="109">
        <v>3463.8220000000001</v>
      </c>
      <c r="E24" s="109">
        <v>3709.2370000000001</v>
      </c>
      <c r="F24" s="110">
        <v>4491.2619999999997</v>
      </c>
      <c r="G24" s="110">
        <v>7759.2290000000003</v>
      </c>
      <c r="H24" s="110">
        <v>7490.268</v>
      </c>
      <c r="I24" s="110">
        <v>6805.2479999999996</v>
      </c>
      <c r="J24" s="110">
        <v>7566.84</v>
      </c>
      <c r="K24" s="110">
        <v>6996.1729999999998</v>
      </c>
      <c r="L24" s="110">
        <v>5594.4539999999997</v>
      </c>
      <c r="M24" s="110">
        <v>4810.9470000000001</v>
      </c>
      <c r="N24" s="110">
        <v>5104.857</v>
      </c>
      <c r="O24" s="110">
        <v>6431.2969999999996</v>
      </c>
      <c r="P24" s="110">
        <v>7473.2809999999999</v>
      </c>
      <c r="Q24" s="110">
        <v>5677.1589999999997</v>
      </c>
      <c r="R24" s="110">
        <v>5298.7110000000002</v>
      </c>
      <c r="S24" s="110">
        <v>5059.8230000000003</v>
      </c>
      <c r="T24" s="110">
        <v>4145.4719999999998</v>
      </c>
      <c r="U24" s="110">
        <v>5445.4049999999997</v>
      </c>
      <c r="V24" s="110">
        <v>4608.125</v>
      </c>
      <c r="W24" s="110">
        <v>4095.7689999999998</v>
      </c>
      <c r="X24" s="110">
        <v>3257.03</v>
      </c>
      <c r="Y24" s="110">
        <v>4256.5370000000003</v>
      </c>
      <c r="Z24" s="110">
        <v>6641.1329999999998</v>
      </c>
      <c r="AA24" s="110">
        <v>4381.8320000000003</v>
      </c>
      <c r="AB24" s="110">
        <v>3935.9690000000001</v>
      </c>
      <c r="AC24" s="110">
        <v>2769.9490000000001</v>
      </c>
      <c r="AD24" s="110">
        <v>2108.2640000000001</v>
      </c>
      <c r="AE24" s="110">
        <v>974.93299999999999</v>
      </c>
      <c r="AF24" s="110">
        <v>1250.4849999999999</v>
      </c>
      <c r="AG24" s="110">
        <v>787.72400000000005</v>
      </c>
      <c r="AH24" s="110">
        <v>720.21400000000006</v>
      </c>
      <c r="AI24" s="110">
        <v>323.57400000000001</v>
      </c>
      <c r="AJ24" s="110">
        <v>265.14499999999998</v>
      </c>
      <c r="AK24" s="110">
        <v>461.86500000000001</v>
      </c>
      <c r="AL24" s="110">
        <v>294.42099999999999</v>
      </c>
      <c r="AM24" s="114">
        <v>420.464</v>
      </c>
    </row>
    <row r="25" spans="2:39" ht="12.75" customHeight="1" x14ac:dyDescent="0.25">
      <c r="B25" s="108" t="s">
        <v>205</v>
      </c>
      <c r="C25" s="109" t="s">
        <v>89</v>
      </c>
      <c r="D25" s="109">
        <v>0</v>
      </c>
      <c r="E25" s="109">
        <v>0</v>
      </c>
      <c r="F25" s="110">
        <v>0</v>
      </c>
      <c r="G25" s="110">
        <v>0</v>
      </c>
      <c r="H25" s="110">
        <v>0</v>
      </c>
      <c r="I25" s="110">
        <v>0</v>
      </c>
      <c r="J25" s="110">
        <v>0</v>
      </c>
      <c r="K25" s="110">
        <v>0</v>
      </c>
      <c r="L25" s="110">
        <v>0</v>
      </c>
      <c r="M25" s="110">
        <v>0</v>
      </c>
      <c r="N25" s="110">
        <v>0</v>
      </c>
      <c r="O25" s="110">
        <v>0</v>
      </c>
      <c r="P25" s="110">
        <v>0</v>
      </c>
      <c r="Q25" s="110">
        <v>0</v>
      </c>
      <c r="R25" s="110">
        <v>0</v>
      </c>
      <c r="S25" s="110">
        <v>0</v>
      </c>
      <c r="T25" s="110">
        <v>0</v>
      </c>
      <c r="U25" s="110">
        <v>0</v>
      </c>
      <c r="V25" s="110">
        <v>0</v>
      </c>
      <c r="W25" s="110">
        <v>0</v>
      </c>
      <c r="X25" s="110">
        <v>0</v>
      </c>
      <c r="Y25" s="110">
        <v>0</v>
      </c>
      <c r="Z25" s="110">
        <v>11.558</v>
      </c>
      <c r="AA25" s="110">
        <v>1.8140000000000001</v>
      </c>
      <c r="AB25" s="110">
        <v>0</v>
      </c>
      <c r="AC25" s="110">
        <v>106.607</v>
      </c>
      <c r="AD25" s="110">
        <v>33.878999999999998</v>
      </c>
      <c r="AE25" s="110">
        <v>85.102999999999994</v>
      </c>
      <c r="AF25" s="110">
        <v>41.311999999999998</v>
      </c>
      <c r="AG25" s="110">
        <v>37.084000000000003</v>
      </c>
      <c r="AH25" s="110">
        <v>49.408000000000001</v>
      </c>
      <c r="AI25" s="110">
        <v>296.69900000000001</v>
      </c>
      <c r="AJ25" s="110">
        <v>116.938</v>
      </c>
      <c r="AK25" s="110">
        <v>54.439</v>
      </c>
      <c r="AL25" s="110">
        <v>320.495</v>
      </c>
      <c r="AM25" s="114">
        <v>346.35700000000003</v>
      </c>
    </row>
    <row r="26" spans="2:39" ht="12.75" customHeight="1" x14ac:dyDescent="0.25">
      <c r="B26" s="108" t="s">
        <v>206</v>
      </c>
      <c r="C26" s="109" t="s">
        <v>89</v>
      </c>
      <c r="D26" s="109">
        <v>26.526</v>
      </c>
      <c r="E26" s="109">
        <v>3.3</v>
      </c>
      <c r="F26" s="110">
        <v>0</v>
      </c>
      <c r="G26" s="110">
        <v>63.838999999999999</v>
      </c>
      <c r="H26" s="110">
        <v>10.4</v>
      </c>
      <c r="I26" s="110">
        <v>16.7</v>
      </c>
      <c r="J26" s="110">
        <v>7.375</v>
      </c>
      <c r="K26" s="110">
        <v>378.65</v>
      </c>
      <c r="L26" s="110">
        <v>3771.0360000000001</v>
      </c>
      <c r="M26" s="110">
        <v>1.133</v>
      </c>
      <c r="N26" s="110">
        <v>1165.8530000000001</v>
      </c>
      <c r="O26" s="110">
        <v>404.82100000000003</v>
      </c>
      <c r="P26" s="110">
        <v>0</v>
      </c>
      <c r="Q26" s="110">
        <v>2.5</v>
      </c>
      <c r="R26" s="110">
        <v>0.54600000000000004</v>
      </c>
      <c r="S26" s="110">
        <v>21.391999999999999</v>
      </c>
      <c r="T26" s="110">
        <v>0</v>
      </c>
      <c r="U26" s="110">
        <v>0.54800000000000004</v>
      </c>
      <c r="V26" s="110">
        <v>270.84300000000002</v>
      </c>
      <c r="W26" s="110">
        <v>1.1850000000000001</v>
      </c>
      <c r="X26" s="110">
        <v>2.02</v>
      </c>
      <c r="Y26" s="110">
        <v>0.76</v>
      </c>
      <c r="Z26" s="110">
        <v>11.005000000000001</v>
      </c>
      <c r="AA26" s="110">
        <v>10.699</v>
      </c>
      <c r="AB26" s="110">
        <v>4.0250000000000004</v>
      </c>
      <c r="AC26" s="110">
        <v>157.18</v>
      </c>
      <c r="AD26" s="110">
        <v>35.103999999999999</v>
      </c>
      <c r="AE26" s="110">
        <v>86.465999999999994</v>
      </c>
      <c r="AF26" s="110">
        <v>142.83199999999999</v>
      </c>
      <c r="AG26" s="110">
        <v>131.55799999999999</v>
      </c>
      <c r="AH26" s="110">
        <v>131.59299999999999</v>
      </c>
      <c r="AI26" s="110">
        <v>30.024999999999999</v>
      </c>
      <c r="AJ26" s="110">
        <v>65.885000000000005</v>
      </c>
      <c r="AK26" s="110">
        <v>3288.4769999999999</v>
      </c>
      <c r="AL26" s="110">
        <v>2717.701</v>
      </c>
      <c r="AM26" s="114">
        <v>4.9539999999999997</v>
      </c>
    </row>
    <row r="27" spans="2:39" ht="12.75" customHeight="1" x14ac:dyDescent="0.25">
      <c r="B27" s="108" t="s">
        <v>207</v>
      </c>
      <c r="C27" s="109" t="s">
        <v>89</v>
      </c>
      <c r="D27" s="109">
        <v>0</v>
      </c>
      <c r="E27" s="109">
        <v>0</v>
      </c>
      <c r="F27" s="110">
        <v>0</v>
      </c>
      <c r="G27" s="110">
        <v>11.75</v>
      </c>
      <c r="H27" s="110">
        <v>3.4</v>
      </c>
      <c r="I27" s="110">
        <v>0</v>
      </c>
      <c r="J27" s="110">
        <v>47.722999999999999</v>
      </c>
      <c r="K27" s="110">
        <v>0</v>
      </c>
      <c r="L27" s="110">
        <v>0</v>
      </c>
      <c r="M27" s="110">
        <v>0</v>
      </c>
      <c r="N27" s="110">
        <v>3.37</v>
      </c>
      <c r="O27" s="110">
        <v>0</v>
      </c>
      <c r="P27" s="110">
        <v>0</v>
      </c>
      <c r="Q27" s="110">
        <v>0</v>
      </c>
      <c r="R27" s="110">
        <v>0</v>
      </c>
      <c r="S27" s="110">
        <v>0</v>
      </c>
      <c r="T27" s="110">
        <v>0.25800000000000001</v>
      </c>
      <c r="U27" s="110">
        <v>0.69799999999999995</v>
      </c>
      <c r="V27" s="110">
        <v>0</v>
      </c>
      <c r="W27" s="110">
        <v>0</v>
      </c>
      <c r="X27" s="110">
        <v>0</v>
      </c>
      <c r="Y27" s="110">
        <v>0</v>
      </c>
      <c r="Z27" s="110">
        <v>0</v>
      </c>
      <c r="AA27" s="110">
        <v>0</v>
      </c>
      <c r="AB27" s="110">
        <v>0</v>
      </c>
      <c r="AC27" s="110">
        <v>0</v>
      </c>
      <c r="AD27" s="110">
        <v>0</v>
      </c>
      <c r="AE27" s="110">
        <v>0</v>
      </c>
      <c r="AF27" s="110">
        <v>0</v>
      </c>
      <c r="AG27" s="110">
        <v>0</v>
      </c>
      <c r="AH27" s="110">
        <v>0</v>
      </c>
      <c r="AI27" s="110">
        <v>4.3529999999999998</v>
      </c>
      <c r="AJ27" s="110">
        <v>0</v>
      </c>
      <c r="AK27" s="110">
        <v>0</v>
      </c>
      <c r="AL27" s="110">
        <v>0</v>
      </c>
      <c r="AM27" s="114">
        <v>28.626999999999999</v>
      </c>
    </row>
    <row r="28" spans="2:39" ht="12.75" customHeight="1" x14ac:dyDescent="0.25">
      <c r="B28" s="108" t="s">
        <v>208</v>
      </c>
      <c r="C28" s="109" t="s">
        <v>89</v>
      </c>
      <c r="D28" s="109">
        <v>143.80799999999999</v>
      </c>
      <c r="E28" s="109">
        <v>108.285</v>
      </c>
      <c r="F28" s="110">
        <v>33.573</v>
      </c>
      <c r="G28" s="110">
        <v>41.186</v>
      </c>
      <c r="H28" s="110">
        <v>63.002000000000002</v>
      </c>
      <c r="I28" s="110">
        <v>94.683000000000007</v>
      </c>
      <c r="J28" s="110">
        <v>21.059000000000001</v>
      </c>
      <c r="K28" s="110">
        <v>125.22799999999999</v>
      </c>
      <c r="L28" s="110">
        <v>54.676000000000002</v>
      </c>
      <c r="M28" s="110">
        <v>4.1189999999999998</v>
      </c>
      <c r="N28" s="110">
        <v>25.265000000000001</v>
      </c>
      <c r="O28" s="110">
        <v>167.71299999999999</v>
      </c>
      <c r="P28" s="110">
        <v>20.544</v>
      </c>
      <c r="Q28" s="110">
        <v>4.9560000000000004</v>
      </c>
      <c r="R28" s="110">
        <v>984.59</v>
      </c>
      <c r="S28" s="110">
        <v>3.75</v>
      </c>
      <c r="T28" s="110">
        <v>0.84799999999999998</v>
      </c>
      <c r="U28" s="110">
        <v>20.419</v>
      </c>
      <c r="V28" s="110">
        <v>2.4780000000000002</v>
      </c>
      <c r="W28" s="110">
        <v>43.662999999999997</v>
      </c>
      <c r="X28" s="110">
        <v>0.34300000000000003</v>
      </c>
      <c r="Y28" s="110">
        <v>63.719000000000001</v>
      </c>
      <c r="Z28" s="110">
        <v>0.89200000000000002</v>
      </c>
      <c r="AA28" s="110">
        <v>0.20799999999999999</v>
      </c>
      <c r="AB28" s="110">
        <v>35.573999999999998</v>
      </c>
      <c r="AC28" s="110">
        <v>3.6309999999999998</v>
      </c>
      <c r="AD28" s="110">
        <v>15.34</v>
      </c>
      <c r="AE28" s="110">
        <v>0.67500000000000004</v>
      </c>
      <c r="AF28" s="110">
        <v>4.1719999999999997</v>
      </c>
      <c r="AG28" s="110">
        <v>7.0010000000000003</v>
      </c>
      <c r="AH28" s="110">
        <v>23.713999999999999</v>
      </c>
      <c r="AI28" s="110">
        <v>99.299000000000007</v>
      </c>
      <c r="AJ28" s="110">
        <v>59.835999999999999</v>
      </c>
      <c r="AK28" s="110">
        <v>22.44</v>
      </c>
      <c r="AL28" s="110">
        <v>265.762</v>
      </c>
      <c r="AM28" s="114">
        <v>123.117</v>
      </c>
    </row>
    <row r="29" spans="2:39" ht="12.75" customHeight="1" x14ac:dyDescent="0.25">
      <c r="B29" s="112" t="s">
        <v>80</v>
      </c>
      <c r="C29" s="109" t="s">
        <v>89</v>
      </c>
      <c r="D29" s="109">
        <v>5.7759999999999998</v>
      </c>
      <c r="E29" s="109">
        <v>61.183999999999997</v>
      </c>
      <c r="F29" s="110">
        <v>5.2030000000000003</v>
      </c>
      <c r="G29" s="110">
        <v>135.262</v>
      </c>
      <c r="H29" s="110">
        <v>108.06</v>
      </c>
      <c r="I29" s="110">
        <v>412.16800000000001</v>
      </c>
      <c r="J29" s="110">
        <v>549.28800000000001</v>
      </c>
      <c r="K29" s="110">
        <v>231.934</v>
      </c>
      <c r="L29" s="110">
        <v>895.53700000000003</v>
      </c>
      <c r="M29" s="110">
        <v>280.08100000000002</v>
      </c>
      <c r="N29" s="110">
        <v>1861.6279999999999</v>
      </c>
      <c r="O29" s="110">
        <v>7724.4780000000001</v>
      </c>
      <c r="P29" s="110">
        <v>7651.9139999999998</v>
      </c>
      <c r="Q29" s="110">
        <v>917.49099999999999</v>
      </c>
      <c r="R29" s="110">
        <v>478.77300000000002</v>
      </c>
      <c r="S29" s="110">
        <v>577.11900000000003</v>
      </c>
      <c r="T29" s="110">
        <v>237.43299999999999</v>
      </c>
      <c r="U29" s="110">
        <v>132.946</v>
      </c>
      <c r="V29" s="110">
        <v>93.936999999999998</v>
      </c>
      <c r="W29" s="110">
        <v>190.46100000000001</v>
      </c>
      <c r="X29" s="110">
        <v>367.11500000000001</v>
      </c>
      <c r="Y29" s="110">
        <v>133.76300000000001</v>
      </c>
      <c r="Z29" s="110">
        <v>242.262</v>
      </c>
      <c r="AA29" s="110">
        <v>190.52799999999999</v>
      </c>
      <c r="AB29" s="110">
        <v>107.364</v>
      </c>
      <c r="AC29" s="110">
        <v>575.29300000000001</v>
      </c>
      <c r="AD29" s="110">
        <v>14276.026</v>
      </c>
      <c r="AE29" s="110">
        <v>7298.82</v>
      </c>
      <c r="AF29" s="110">
        <v>60.792000000000002</v>
      </c>
      <c r="AG29" s="110">
        <v>165</v>
      </c>
      <c r="AH29" s="110">
        <v>71.498999999999995</v>
      </c>
      <c r="AI29" s="110">
        <v>268.82900000000001</v>
      </c>
      <c r="AJ29" s="110">
        <v>36.423999999999999</v>
      </c>
      <c r="AK29" s="110">
        <v>40.482999999999997</v>
      </c>
      <c r="AL29" s="110">
        <v>31.815999999999999</v>
      </c>
      <c r="AM29" s="114">
        <v>63.737000000000002</v>
      </c>
    </row>
    <row r="30" spans="2:39" ht="12.75" customHeight="1" x14ac:dyDescent="0.25">
      <c r="B30" s="112" t="s">
        <v>209</v>
      </c>
      <c r="C30" s="109" t="s">
        <v>89</v>
      </c>
      <c r="D30" s="109">
        <v>150.67099999999999</v>
      </c>
      <c r="E30" s="109">
        <v>7.5</v>
      </c>
      <c r="F30" s="110">
        <v>0</v>
      </c>
      <c r="G30" s="110">
        <v>0</v>
      </c>
      <c r="H30" s="110">
        <v>24.684999999999999</v>
      </c>
      <c r="I30" s="110">
        <v>8.91</v>
      </c>
      <c r="J30" s="110">
        <v>2.7749999999999999</v>
      </c>
      <c r="K30" s="110">
        <v>0</v>
      </c>
      <c r="L30" s="110">
        <v>0</v>
      </c>
      <c r="M30" s="110">
        <v>21.738</v>
      </c>
      <c r="N30" s="110">
        <v>0</v>
      </c>
      <c r="O30" s="110">
        <v>0</v>
      </c>
      <c r="P30" s="110">
        <v>0</v>
      </c>
      <c r="Q30" s="110">
        <v>0</v>
      </c>
      <c r="R30" s="110">
        <v>0.20399999999999999</v>
      </c>
      <c r="S30" s="110">
        <v>0</v>
      </c>
      <c r="T30" s="110">
        <v>0</v>
      </c>
      <c r="U30" s="110">
        <v>0</v>
      </c>
      <c r="V30" s="110">
        <v>0</v>
      </c>
      <c r="W30" s="110">
        <v>6.0090000000000003</v>
      </c>
      <c r="X30" s="110">
        <v>0</v>
      </c>
      <c r="Y30" s="110">
        <v>33.783999999999999</v>
      </c>
      <c r="Z30" s="110">
        <v>0</v>
      </c>
      <c r="AA30" s="110">
        <v>0</v>
      </c>
      <c r="AB30" s="110">
        <v>0</v>
      </c>
      <c r="AC30" s="110">
        <v>0</v>
      </c>
      <c r="AD30" s="110">
        <v>0</v>
      </c>
      <c r="AE30" s="110">
        <v>0</v>
      </c>
      <c r="AF30" s="110">
        <v>0</v>
      </c>
      <c r="AG30" s="110">
        <v>0</v>
      </c>
      <c r="AH30" s="110">
        <v>0</v>
      </c>
      <c r="AI30" s="110">
        <v>0</v>
      </c>
      <c r="AJ30" s="110">
        <v>3.7789999999999999</v>
      </c>
      <c r="AK30" s="110">
        <v>3.4119999999999999</v>
      </c>
      <c r="AL30" s="110">
        <v>0.34300000000000003</v>
      </c>
      <c r="AM30" s="114">
        <v>2.3919999999999999</v>
      </c>
    </row>
    <row r="31" spans="2:39" ht="12.75" customHeight="1" x14ac:dyDescent="0.25">
      <c r="B31" s="112" t="s">
        <v>235</v>
      </c>
      <c r="C31" s="109" t="s">
        <v>89</v>
      </c>
      <c r="D31" s="109">
        <v>11142.016</v>
      </c>
      <c r="E31" s="109">
        <v>18247.833999999999</v>
      </c>
      <c r="F31" s="110">
        <v>5821.3040000000001</v>
      </c>
      <c r="G31" s="110">
        <v>22814.241000000002</v>
      </c>
      <c r="H31" s="110">
        <v>28561.761999999999</v>
      </c>
      <c r="I31" s="110">
        <v>32165.359</v>
      </c>
      <c r="J31" s="110">
        <v>40292.239000000001</v>
      </c>
      <c r="K31" s="110">
        <v>38917.277999999998</v>
      </c>
      <c r="L31" s="110">
        <v>29403.321</v>
      </c>
      <c r="M31" s="110">
        <v>23708.641</v>
      </c>
      <c r="N31" s="110">
        <v>34960.258999999998</v>
      </c>
      <c r="O31" s="110">
        <v>60252.718000000001</v>
      </c>
      <c r="P31" s="110">
        <v>60482.529000000002</v>
      </c>
      <c r="Q31" s="110">
        <v>38791.951999999997</v>
      </c>
      <c r="R31" s="110">
        <v>23965.239000000001</v>
      </c>
      <c r="S31" s="110">
        <v>20066.504000000001</v>
      </c>
      <c r="T31" s="110">
        <v>15139.54</v>
      </c>
      <c r="U31" s="110">
        <v>22422.656999999999</v>
      </c>
      <c r="V31" s="110">
        <v>35231.360999999997</v>
      </c>
      <c r="W31" s="110">
        <v>60228.192000000003</v>
      </c>
      <c r="X31" s="110">
        <v>42460.169000000002</v>
      </c>
      <c r="Y31" s="110">
        <v>63105.659</v>
      </c>
      <c r="Z31" s="110">
        <v>55305.864000000001</v>
      </c>
      <c r="AA31" s="110">
        <v>43168.737999999998</v>
      </c>
      <c r="AB31" s="110">
        <v>38131.688999999998</v>
      </c>
      <c r="AC31" s="110">
        <v>65159.063999999998</v>
      </c>
      <c r="AD31" s="110">
        <v>95503.869000000006</v>
      </c>
      <c r="AE31" s="110">
        <v>75584.366999999998</v>
      </c>
      <c r="AF31" s="110">
        <v>150954.48199999999</v>
      </c>
      <c r="AG31" s="110">
        <v>124040.308</v>
      </c>
      <c r="AH31" s="110">
        <v>196478.11</v>
      </c>
      <c r="AI31" s="110">
        <v>258793.149</v>
      </c>
      <c r="AJ31" s="110">
        <v>417312.46600000001</v>
      </c>
      <c r="AK31" s="110">
        <v>448937.21299999999</v>
      </c>
      <c r="AL31" s="110">
        <v>339393.93699999998</v>
      </c>
      <c r="AM31" s="114">
        <v>343397.42</v>
      </c>
    </row>
    <row r="32" spans="2:39" ht="12.75" customHeight="1" x14ac:dyDescent="0.25">
      <c r="B32" s="112" t="s">
        <v>210</v>
      </c>
      <c r="C32" s="109" t="s">
        <v>89</v>
      </c>
      <c r="D32" s="109">
        <v>72.78</v>
      </c>
      <c r="E32" s="109">
        <v>382.13200000000001</v>
      </c>
      <c r="F32" s="110">
        <v>148.22300000000001</v>
      </c>
      <c r="G32" s="110">
        <v>133.89099999999999</v>
      </c>
      <c r="H32" s="110">
        <v>35.625</v>
      </c>
      <c r="I32" s="110">
        <v>356.791</v>
      </c>
      <c r="J32" s="110">
        <v>244.672</v>
      </c>
      <c r="K32" s="110">
        <v>279.15600000000001</v>
      </c>
      <c r="L32" s="110">
        <v>208.386</v>
      </c>
      <c r="M32" s="110">
        <v>306.30099999999999</v>
      </c>
      <c r="N32" s="110">
        <v>576.18899999999996</v>
      </c>
      <c r="O32" s="110">
        <v>304.81799999999998</v>
      </c>
      <c r="P32" s="110">
        <v>717.67100000000005</v>
      </c>
      <c r="Q32" s="110">
        <v>249.39</v>
      </c>
      <c r="R32" s="110">
        <v>618.51499999999999</v>
      </c>
      <c r="S32" s="110">
        <v>391.23099999999999</v>
      </c>
      <c r="T32" s="110">
        <v>426.08199999999999</v>
      </c>
      <c r="U32" s="110">
        <v>151.73400000000001</v>
      </c>
      <c r="V32" s="110">
        <v>147.61699999999999</v>
      </c>
      <c r="W32" s="110">
        <v>556.18799999999999</v>
      </c>
      <c r="X32" s="110">
        <v>147.441</v>
      </c>
      <c r="Y32" s="110">
        <v>223.05199999999999</v>
      </c>
      <c r="Z32" s="110">
        <v>100.71299999999999</v>
      </c>
      <c r="AA32" s="110">
        <v>102.38200000000001</v>
      </c>
      <c r="AB32" s="110">
        <v>263.75400000000002</v>
      </c>
      <c r="AC32" s="110">
        <v>126.119</v>
      </c>
      <c r="AD32" s="110">
        <v>45.366</v>
      </c>
      <c r="AE32" s="110">
        <v>30.571000000000002</v>
      </c>
      <c r="AF32" s="110">
        <v>91.742000000000004</v>
      </c>
      <c r="AG32" s="110">
        <v>466.87</v>
      </c>
      <c r="AH32" s="110">
        <v>378.94900000000001</v>
      </c>
      <c r="AI32" s="110">
        <v>304.41699999999997</v>
      </c>
      <c r="AJ32" s="110">
        <v>162.19499999999999</v>
      </c>
      <c r="AK32" s="110">
        <v>55.515000000000001</v>
      </c>
      <c r="AL32" s="110">
        <v>105.81399999999999</v>
      </c>
      <c r="AM32" s="114">
        <v>351.95499999999998</v>
      </c>
    </row>
    <row r="33" spans="2:39" ht="12.75" customHeight="1" x14ac:dyDescent="0.25">
      <c r="B33" s="112" t="s">
        <v>211</v>
      </c>
      <c r="C33" s="109" t="s">
        <v>89</v>
      </c>
      <c r="D33" s="109">
        <v>0</v>
      </c>
      <c r="E33" s="109">
        <v>0</v>
      </c>
      <c r="F33" s="110">
        <v>0</v>
      </c>
      <c r="G33" s="110">
        <v>0</v>
      </c>
      <c r="H33" s="110">
        <v>0</v>
      </c>
      <c r="I33" s="110">
        <v>0</v>
      </c>
      <c r="J33" s="110">
        <v>0</v>
      </c>
      <c r="K33" s="110">
        <v>30</v>
      </c>
      <c r="L33" s="110">
        <v>240.48</v>
      </c>
      <c r="M33" s="110">
        <v>168.80099999999999</v>
      </c>
      <c r="N33" s="110">
        <v>61.86</v>
      </c>
      <c r="O33" s="110">
        <v>22.106000000000002</v>
      </c>
      <c r="P33" s="110">
        <v>0</v>
      </c>
      <c r="Q33" s="110">
        <v>4.3179999999999996</v>
      </c>
      <c r="R33" s="110">
        <v>0</v>
      </c>
      <c r="S33" s="110">
        <v>0</v>
      </c>
      <c r="T33" s="110">
        <v>0</v>
      </c>
      <c r="U33" s="110">
        <v>1.821</v>
      </c>
      <c r="V33" s="110">
        <v>0</v>
      </c>
      <c r="W33" s="110">
        <v>7.923</v>
      </c>
      <c r="X33" s="110">
        <v>0.9</v>
      </c>
      <c r="Y33" s="110">
        <v>0</v>
      </c>
      <c r="Z33" s="110">
        <v>0</v>
      </c>
      <c r="AA33" s="110">
        <v>0</v>
      </c>
      <c r="AB33" s="110">
        <v>0</v>
      </c>
      <c r="AC33" s="110">
        <v>15.95</v>
      </c>
      <c r="AD33" s="110">
        <v>32.15</v>
      </c>
      <c r="AE33" s="110">
        <v>0</v>
      </c>
      <c r="AF33" s="110">
        <v>0</v>
      </c>
      <c r="AG33" s="110">
        <v>0</v>
      </c>
      <c r="AH33" s="110">
        <v>0</v>
      </c>
      <c r="AI33" s="110">
        <v>0</v>
      </c>
      <c r="AJ33" s="110">
        <v>3.5870000000000002</v>
      </c>
      <c r="AK33" s="110">
        <v>0</v>
      </c>
      <c r="AL33" s="110">
        <v>0</v>
      </c>
      <c r="AM33" s="114">
        <v>0</v>
      </c>
    </row>
    <row r="34" spans="2:39" ht="12.75" customHeight="1" x14ac:dyDescent="0.25">
      <c r="B34" s="112" t="s">
        <v>212</v>
      </c>
      <c r="C34" s="109" t="s">
        <v>89</v>
      </c>
      <c r="D34" s="109">
        <v>70.206000000000003</v>
      </c>
      <c r="E34" s="109">
        <v>354.94799999999998</v>
      </c>
      <c r="F34" s="110">
        <v>20.809000000000001</v>
      </c>
      <c r="G34" s="110">
        <v>42.85</v>
      </c>
      <c r="H34" s="110">
        <v>68.037000000000006</v>
      </c>
      <c r="I34" s="110">
        <v>15.4</v>
      </c>
      <c r="J34" s="110">
        <v>5.1369999999999996</v>
      </c>
      <c r="K34" s="110">
        <v>2.36</v>
      </c>
      <c r="L34" s="110">
        <v>43.026000000000003</v>
      </c>
      <c r="M34" s="110">
        <v>15.637</v>
      </c>
      <c r="N34" s="110">
        <v>141.26300000000001</v>
      </c>
      <c r="O34" s="110">
        <v>38.398000000000003</v>
      </c>
      <c r="P34" s="110">
        <v>131.65600000000001</v>
      </c>
      <c r="Q34" s="110">
        <v>4.141</v>
      </c>
      <c r="R34" s="110">
        <v>4.367</v>
      </c>
      <c r="S34" s="110">
        <v>37.683</v>
      </c>
      <c r="T34" s="110">
        <v>118.173</v>
      </c>
      <c r="U34" s="110">
        <v>21.17</v>
      </c>
      <c r="V34" s="110">
        <v>149.559</v>
      </c>
      <c r="W34" s="110">
        <v>128.13999999999999</v>
      </c>
      <c r="X34" s="110">
        <v>78.873000000000005</v>
      </c>
      <c r="Y34" s="110">
        <v>13</v>
      </c>
      <c r="Z34" s="110">
        <v>0</v>
      </c>
      <c r="AA34" s="110">
        <v>33.005000000000003</v>
      </c>
      <c r="AB34" s="110">
        <v>3.2589999999999999</v>
      </c>
      <c r="AC34" s="110">
        <v>270.19400000000002</v>
      </c>
      <c r="AD34" s="110">
        <v>292.18099999999998</v>
      </c>
      <c r="AE34" s="110">
        <v>133.12799999999999</v>
      </c>
      <c r="AF34" s="110">
        <v>373.18200000000002</v>
      </c>
      <c r="AG34" s="110">
        <v>336.99299999999999</v>
      </c>
      <c r="AH34" s="110">
        <v>87.781000000000006</v>
      </c>
      <c r="AI34" s="110">
        <v>466.82299999999998</v>
      </c>
      <c r="AJ34" s="110">
        <v>391.93400000000003</v>
      </c>
      <c r="AK34" s="110">
        <v>126.815</v>
      </c>
      <c r="AL34" s="110">
        <v>588.24599999999998</v>
      </c>
      <c r="AM34" s="114">
        <v>561.08500000000004</v>
      </c>
    </row>
    <row r="35" spans="2:39" ht="12.75" customHeight="1" x14ac:dyDescent="0.25">
      <c r="B35" s="112" t="s">
        <v>213</v>
      </c>
      <c r="C35" s="109" t="s">
        <v>89</v>
      </c>
      <c r="D35" s="109">
        <v>4.2530000000000001</v>
      </c>
      <c r="E35" s="109">
        <v>0</v>
      </c>
      <c r="F35" s="110">
        <v>0.9</v>
      </c>
      <c r="G35" s="110">
        <v>6.64</v>
      </c>
      <c r="H35" s="110">
        <v>0</v>
      </c>
      <c r="I35" s="110">
        <v>63.051000000000002</v>
      </c>
      <c r="J35" s="110">
        <v>25.608000000000001</v>
      </c>
      <c r="K35" s="110">
        <v>0</v>
      </c>
      <c r="L35" s="110">
        <v>0</v>
      </c>
      <c r="M35" s="110">
        <v>0</v>
      </c>
      <c r="N35" s="110">
        <v>7.1180000000000003</v>
      </c>
      <c r="O35" s="110">
        <v>0</v>
      </c>
      <c r="P35" s="110">
        <v>0</v>
      </c>
      <c r="Q35" s="110">
        <v>2.3860000000000001</v>
      </c>
      <c r="R35" s="110">
        <v>11.714</v>
      </c>
      <c r="S35" s="110">
        <v>2.895</v>
      </c>
      <c r="T35" s="110">
        <v>3.9</v>
      </c>
      <c r="U35" s="110">
        <v>0</v>
      </c>
      <c r="V35" s="110">
        <v>0</v>
      </c>
      <c r="W35" s="110">
        <v>0</v>
      </c>
      <c r="X35" s="110">
        <v>4.5830000000000002</v>
      </c>
      <c r="Y35" s="110">
        <v>2.7639999999999998</v>
      </c>
      <c r="Z35" s="110">
        <v>2.976</v>
      </c>
      <c r="AA35" s="110">
        <v>1.5960000000000001</v>
      </c>
      <c r="AB35" s="110">
        <v>0.82299999999999995</v>
      </c>
      <c r="AC35" s="110">
        <v>0.377</v>
      </c>
      <c r="AD35" s="110">
        <v>0</v>
      </c>
      <c r="AE35" s="110">
        <v>2.0409999999999999</v>
      </c>
      <c r="AF35" s="110">
        <v>0</v>
      </c>
      <c r="AG35" s="110">
        <v>0</v>
      </c>
      <c r="AH35" s="110">
        <v>0</v>
      </c>
      <c r="AI35" s="110">
        <v>0</v>
      </c>
      <c r="AJ35" s="110">
        <v>0</v>
      </c>
      <c r="AK35" s="110">
        <v>0</v>
      </c>
      <c r="AL35" s="110">
        <v>0</v>
      </c>
      <c r="AM35" s="114">
        <v>3.3420000000000001</v>
      </c>
    </row>
    <row r="36" spans="2:39" ht="12.75" customHeight="1" x14ac:dyDescent="0.25">
      <c r="B36" s="112" t="s">
        <v>214</v>
      </c>
      <c r="C36" s="109" t="s">
        <v>89</v>
      </c>
      <c r="D36" s="109">
        <v>0</v>
      </c>
      <c r="E36" s="109">
        <v>0</v>
      </c>
      <c r="F36" s="109">
        <v>0</v>
      </c>
      <c r="G36" s="109">
        <v>0</v>
      </c>
      <c r="H36" s="109">
        <v>0</v>
      </c>
      <c r="I36" s="109">
        <v>0</v>
      </c>
      <c r="J36" s="109">
        <v>0</v>
      </c>
      <c r="K36" s="109">
        <v>0</v>
      </c>
      <c r="L36" s="109">
        <v>0</v>
      </c>
      <c r="M36" s="109">
        <v>0</v>
      </c>
      <c r="N36" s="109">
        <v>0</v>
      </c>
      <c r="O36" s="109">
        <v>0</v>
      </c>
      <c r="P36" s="109">
        <v>0</v>
      </c>
      <c r="Q36" s="109">
        <v>0</v>
      </c>
      <c r="R36" s="109">
        <v>0</v>
      </c>
      <c r="S36" s="109">
        <v>0</v>
      </c>
      <c r="T36" s="109">
        <v>0</v>
      </c>
      <c r="U36" s="110">
        <v>1218.383</v>
      </c>
      <c r="V36" s="110">
        <v>2321.7719999999999</v>
      </c>
      <c r="W36" s="110">
        <v>3562.569</v>
      </c>
      <c r="X36" s="110">
        <v>4180.9440000000004</v>
      </c>
      <c r="Y36" s="110">
        <v>4464.1499999999996</v>
      </c>
      <c r="Z36" s="110">
        <v>4240.6180000000004</v>
      </c>
      <c r="AA36" s="110">
        <v>3929.48</v>
      </c>
      <c r="AB36" s="110">
        <v>3920.6619999999998</v>
      </c>
      <c r="AC36" s="110">
        <v>4403.5569999999998</v>
      </c>
      <c r="AD36" s="110">
        <v>6904.2910000000002</v>
      </c>
      <c r="AE36" s="110">
        <v>7529.6570000000002</v>
      </c>
      <c r="AF36" s="110">
        <v>6797.5749999999998</v>
      </c>
      <c r="AG36" s="110">
        <v>3936.54</v>
      </c>
      <c r="AH36" s="110">
        <v>4175.7849999999999</v>
      </c>
      <c r="AI36" s="110">
        <v>1793.8620000000001</v>
      </c>
      <c r="AJ36" s="110">
        <v>4007.9540000000002</v>
      </c>
      <c r="AK36" s="110">
        <v>2773.1619999999998</v>
      </c>
      <c r="AL36" s="110">
        <v>2698.922</v>
      </c>
      <c r="AM36" s="114">
        <v>3765.239</v>
      </c>
    </row>
    <row r="37" spans="2:39" ht="12.75" customHeight="1" x14ac:dyDescent="0.25">
      <c r="B37" s="112" t="s">
        <v>215</v>
      </c>
      <c r="C37" s="109" t="s">
        <v>89</v>
      </c>
      <c r="D37" s="109">
        <v>0</v>
      </c>
      <c r="E37" s="109">
        <v>0</v>
      </c>
      <c r="F37" s="110">
        <v>0</v>
      </c>
      <c r="G37" s="110">
        <v>0</v>
      </c>
      <c r="H37" s="110">
        <v>0</v>
      </c>
      <c r="I37" s="110">
        <v>0</v>
      </c>
      <c r="J37" s="110">
        <v>0</v>
      </c>
      <c r="K37" s="110">
        <v>0</v>
      </c>
      <c r="L37" s="110">
        <v>0</v>
      </c>
      <c r="M37" s="110">
        <v>0</v>
      </c>
      <c r="N37" s="110">
        <v>0</v>
      </c>
      <c r="O37" s="110">
        <v>0</v>
      </c>
      <c r="P37" s="110">
        <v>0</v>
      </c>
      <c r="Q37" s="110">
        <v>0</v>
      </c>
      <c r="R37" s="110">
        <v>0</v>
      </c>
      <c r="S37" s="110">
        <v>0</v>
      </c>
      <c r="T37" s="110">
        <v>0</v>
      </c>
      <c r="U37" s="110">
        <v>0</v>
      </c>
      <c r="V37" s="110">
        <v>0</v>
      </c>
      <c r="W37" s="110">
        <v>0</v>
      </c>
      <c r="X37" s="110">
        <v>0</v>
      </c>
      <c r="Y37" s="110">
        <v>0</v>
      </c>
      <c r="Z37" s="110">
        <v>20.523</v>
      </c>
      <c r="AA37" s="110">
        <v>126.71</v>
      </c>
      <c r="AB37" s="110">
        <v>49.482999999999997</v>
      </c>
      <c r="AC37" s="110">
        <v>57.878</v>
      </c>
      <c r="AD37" s="110">
        <v>64.983999999999995</v>
      </c>
      <c r="AE37" s="110">
        <v>62.755000000000003</v>
      </c>
      <c r="AF37" s="110">
        <v>48.116</v>
      </c>
      <c r="AG37" s="110">
        <v>9.0619999999999994</v>
      </c>
      <c r="AH37" s="110">
        <v>35.372999999999998</v>
      </c>
      <c r="AI37" s="110">
        <v>54.734000000000002</v>
      </c>
      <c r="AJ37" s="110">
        <v>54.7</v>
      </c>
      <c r="AK37" s="110">
        <v>102.28</v>
      </c>
      <c r="AL37" s="110">
        <v>21.172000000000001</v>
      </c>
      <c r="AM37" s="114">
        <v>6.5</v>
      </c>
    </row>
    <row r="38" spans="2:39" ht="15" customHeight="1" x14ac:dyDescent="0.25">
      <c r="B38" s="120" t="s">
        <v>507</v>
      </c>
      <c r="C38" s="109" t="s">
        <v>89</v>
      </c>
      <c r="D38" s="109">
        <v>0</v>
      </c>
      <c r="E38" s="109">
        <v>0</v>
      </c>
      <c r="F38" s="110">
        <v>0</v>
      </c>
      <c r="G38" s="110">
        <v>0</v>
      </c>
      <c r="H38" s="110">
        <v>0</v>
      </c>
      <c r="I38" s="110">
        <v>0</v>
      </c>
      <c r="J38" s="110">
        <v>0</v>
      </c>
      <c r="K38" s="110">
        <v>0</v>
      </c>
      <c r="L38" s="110">
        <v>0</v>
      </c>
      <c r="M38" s="110">
        <v>0</v>
      </c>
      <c r="N38" s="110">
        <v>0</v>
      </c>
      <c r="O38" s="110">
        <v>0</v>
      </c>
      <c r="P38" s="110">
        <v>0</v>
      </c>
      <c r="Q38" s="110">
        <v>0</v>
      </c>
      <c r="R38" s="110">
        <v>1019.357</v>
      </c>
      <c r="S38" s="110">
        <v>0</v>
      </c>
      <c r="T38" s="110">
        <v>0</v>
      </c>
      <c r="U38" s="110">
        <v>26.111999999999998</v>
      </c>
      <c r="V38" s="110">
        <v>56</v>
      </c>
      <c r="W38" s="110">
        <v>1.1000000000000001</v>
      </c>
      <c r="X38" s="110">
        <v>8678.8760000000002</v>
      </c>
      <c r="Y38" s="110">
        <v>0</v>
      </c>
      <c r="Z38" s="110">
        <v>2347.6660000000002</v>
      </c>
      <c r="AA38" s="110">
        <v>8.4450000000000003</v>
      </c>
      <c r="AB38" s="110">
        <v>991.35199999999998</v>
      </c>
      <c r="AC38" s="110">
        <v>4254.9949999999999</v>
      </c>
      <c r="AD38" s="110">
        <v>8912.1810000000005</v>
      </c>
      <c r="AE38" s="110">
        <v>2797.8710000000001</v>
      </c>
      <c r="AF38" s="110">
        <v>20062.306</v>
      </c>
      <c r="AG38" s="110">
        <v>13881.123</v>
      </c>
      <c r="AH38" s="110">
        <v>41783.932000000001</v>
      </c>
      <c r="AI38" s="110">
        <v>14117.579</v>
      </c>
      <c r="AJ38" s="110">
        <v>17268.431</v>
      </c>
      <c r="AK38" s="110">
        <v>42684.841999999997</v>
      </c>
      <c r="AL38" s="110">
        <v>42177.116999999998</v>
      </c>
      <c r="AM38" s="114">
        <v>54002.86</v>
      </c>
    </row>
    <row r="39" spans="2:39" ht="12.75" customHeight="1" x14ac:dyDescent="0.25">
      <c r="B39" s="112" t="s">
        <v>216</v>
      </c>
      <c r="C39" s="109" t="s">
        <v>89</v>
      </c>
      <c r="D39" s="109">
        <v>8831.5120000000006</v>
      </c>
      <c r="E39" s="109">
        <v>5329.6819999999998</v>
      </c>
      <c r="F39" s="110">
        <v>8856.6550000000007</v>
      </c>
      <c r="G39" s="110">
        <v>11358.14</v>
      </c>
      <c r="H39" s="110">
        <v>26640.042000000001</v>
      </c>
      <c r="I39" s="110">
        <v>40694.059000000001</v>
      </c>
      <c r="J39" s="110">
        <v>55664.199000000001</v>
      </c>
      <c r="K39" s="110">
        <v>67215.047000000006</v>
      </c>
      <c r="L39" s="110">
        <v>104479.38400000001</v>
      </c>
      <c r="M39" s="110">
        <v>120363.266</v>
      </c>
      <c r="N39" s="110">
        <v>259332.87</v>
      </c>
      <c r="O39" s="110">
        <v>331930.821</v>
      </c>
      <c r="P39" s="110">
        <v>325839.64500000002</v>
      </c>
      <c r="Q39" s="110">
        <v>320956.38500000001</v>
      </c>
      <c r="R39" s="110">
        <v>273455.99900000001</v>
      </c>
      <c r="S39" s="110">
        <v>165706.24600000001</v>
      </c>
      <c r="T39" s="110">
        <v>179447.44500000001</v>
      </c>
      <c r="U39" s="110">
        <v>162244.75200000001</v>
      </c>
      <c r="V39" s="110">
        <v>206199.63500000001</v>
      </c>
      <c r="W39" s="110">
        <v>176808.41200000001</v>
      </c>
      <c r="X39" s="110">
        <v>118493.898</v>
      </c>
      <c r="Y39" s="110">
        <v>131388.42600000001</v>
      </c>
      <c r="Z39" s="110">
        <v>162867.22899999999</v>
      </c>
      <c r="AA39" s="110">
        <v>162871.97700000001</v>
      </c>
      <c r="AB39" s="110">
        <v>136144.37100000001</v>
      </c>
      <c r="AC39" s="110">
        <v>151765.74</v>
      </c>
      <c r="AD39" s="110">
        <v>165077.71</v>
      </c>
      <c r="AE39" s="110">
        <v>147661.69</v>
      </c>
      <c r="AF39" s="110">
        <v>147751.44099999999</v>
      </c>
      <c r="AG39" s="110">
        <v>155461.35399999999</v>
      </c>
      <c r="AH39" s="110">
        <v>170117.859</v>
      </c>
      <c r="AI39" s="110">
        <v>143606.28400000001</v>
      </c>
      <c r="AJ39" s="110">
        <v>135412.19200000001</v>
      </c>
      <c r="AK39" s="110">
        <v>114579.77499999999</v>
      </c>
      <c r="AL39" s="110">
        <v>162059.989</v>
      </c>
      <c r="AM39" s="114">
        <v>123336.132</v>
      </c>
    </row>
    <row r="40" spans="2:39" ht="12.75" customHeight="1" x14ac:dyDescent="0.25">
      <c r="B40" s="112" t="s">
        <v>217</v>
      </c>
      <c r="C40" s="109" t="s">
        <v>89</v>
      </c>
      <c r="D40" s="109">
        <v>3647.9830000000002</v>
      </c>
      <c r="E40" s="109">
        <v>7307.7209999999995</v>
      </c>
      <c r="F40" s="110">
        <v>2665.3620000000001</v>
      </c>
      <c r="G40" s="110">
        <v>3230.1439999999998</v>
      </c>
      <c r="H40" s="110">
        <v>4491.6540000000005</v>
      </c>
      <c r="I40" s="110">
        <v>4453.4309999999996</v>
      </c>
      <c r="J40" s="110">
        <v>4468.6710000000003</v>
      </c>
      <c r="K40" s="110">
        <v>3616.4960000000001</v>
      </c>
      <c r="L40" s="110">
        <v>4178.3440000000001</v>
      </c>
      <c r="M40" s="110">
        <v>3485.319</v>
      </c>
      <c r="N40" s="110">
        <v>3006.97</v>
      </c>
      <c r="O40" s="110">
        <v>2943.2539999999999</v>
      </c>
      <c r="P40" s="110">
        <v>2260.5120000000002</v>
      </c>
      <c r="Q40" s="110">
        <v>3052.337</v>
      </c>
      <c r="R40" s="110">
        <v>2216.5920000000001</v>
      </c>
      <c r="S40" s="110">
        <v>4006.0010000000002</v>
      </c>
      <c r="T40" s="110">
        <v>4634.4380000000001</v>
      </c>
      <c r="U40" s="110">
        <v>3985.5639999999999</v>
      </c>
      <c r="V40" s="110">
        <v>2960.11</v>
      </c>
      <c r="W40" s="110">
        <v>3364.4360000000001</v>
      </c>
      <c r="X40" s="110">
        <v>3396.0329999999999</v>
      </c>
      <c r="Y40" s="110">
        <v>4978.7780000000002</v>
      </c>
      <c r="Z40" s="110">
        <v>2535.2220000000002</v>
      </c>
      <c r="AA40" s="110">
        <v>1272.1890000000001</v>
      </c>
      <c r="AB40" s="110">
        <v>186.73</v>
      </c>
      <c r="AC40" s="110">
        <v>55.65</v>
      </c>
      <c r="AD40" s="110">
        <v>0.52</v>
      </c>
      <c r="AE40" s="110">
        <v>32.914999999999999</v>
      </c>
      <c r="AF40" s="110">
        <v>278.95</v>
      </c>
      <c r="AG40" s="110">
        <v>138.839</v>
      </c>
      <c r="AH40" s="110">
        <v>0</v>
      </c>
      <c r="AI40" s="110">
        <v>0</v>
      </c>
      <c r="AJ40" s="110">
        <v>32.542000000000002</v>
      </c>
      <c r="AK40" s="110">
        <v>0</v>
      </c>
      <c r="AL40" s="110">
        <v>2.9279999999999999</v>
      </c>
      <c r="AM40" s="114">
        <v>5.3730000000000002</v>
      </c>
    </row>
    <row r="41" spans="2:39" ht="12.75" customHeight="1" x14ac:dyDescent="0.25">
      <c r="B41" s="113" t="s">
        <v>236</v>
      </c>
      <c r="C41" s="109" t="s">
        <v>89</v>
      </c>
      <c r="D41" s="109">
        <v>88399.928</v>
      </c>
      <c r="E41" s="109">
        <v>70232.747000000003</v>
      </c>
      <c r="F41" s="110">
        <v>81323.471999999994</v>
      </c>
      <c r="G41" s="110">
        <v>79043.926999999996</v>
      </c>
      <c r="H41" s="110">
        <v>64970.786999999997</v>
      </c>
      <c r="I41" s="110">
        <v>54622.074000000001</v>
      </c>
      <c r="J41" s="110">
        <v>56328.618999999999</v>
      </c>
      <c r="K41" s="110">
        <v>61551.222999999998</v>
      </c>
      <c r="L41" s="110">
        <v>81785.872000000003</v>
      </c>
      <c r="M41" s="110">
        <v>119360.961</v>
      </c>
      <c r="N41" s="110">
        <v>85595.615999999995</v>
      </c>
      <c r="O41" s="110">
        <v>67096.785000000003</v>
      </c>
      <c r="P41" s="110">
        <v>94750.370999999999</v>
      </c>
      <c r="Q41" s="110">
        <v>114518.054</v>
      </c>
      <c r="R41" s="110">
        <v>100493.681</v>
      </c>
      <c r="S41" s="110">
        <v>107626.764</v>
      </c>
      <c r="T41" s="110">
        <v>89677.207999999999</v>
      </c>
      <c r="U41" s="110">
        <v>84213.671000000002</v>
      </c>
      <c r="V41" s="110">
        <v>71721.343999999997</v>
      </c>
      <c r="W41" s="110">
        <v>83805.623999999996</v>
      </c>
      <c r="X41" s="110">
        <v>76400.513999999996</v>
      </c>
      <c r="Y41" s="110">
        <v>77777.173999999999</v>
      </c>
      <c r="Z41" s="110">
        <v>54135.726000000002</v>
      </c>
      <c r="AA41" s="110">
        <v>41611.519999999997</v>
      </c>
      <c r="AB41" s="110">
        <v>41335.034</v>
      </c>
      <c r="AC41" s="110">
        <v>40881.381999999998</v>
      </c>
      <c r="AD41" s="110">
        <v>61004.404999999999</v>
      </c>
      <c r="AE41" s="110">
        <v>62512.050999999999</v>
      </c>
      <c r="AF41" s="110">
        <v>63939.123</v>
      </c>
      <c r="AG41" s="110">
        <v>68030.241999999998</v>
      </c>
      <c r="AH41" s="110">
        <v>76182.03</v>
      </c>
      <c r="AI41" s="110">
        <v>87880.134999999995</v>
      </c>
      <c r="AJ41" s="110">
        <v>73308.875</v>
      </c>
      <c r="AK41" s="110">
        <v>67197.646999999997</v>
      </c>
      <c r="AL41" s="110">
        <v>66637.125</v>
      </c>
      <c r="AM41" s="114">
        <v>64387.656000000003</v>
      </c>
    </row>
    <row r="42" spans="2:39" ht="12" customHeight="1" x14ac:dyDescent="0.25">
      <c r="B42" s="107" t="s">
        <v>218</v>
      </c>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row>
    <row r="43" spans="2:39" ht="12" customHeight="1" x14ac:dyDescent="0.25">
      <c r="B43" s="112" t="s">
        <v>219</v>
      </c>
      <c r="C43" s="109" t="s">
        <v>89</v>
      </c>
      <c r="D43" s="110">
        <v>117764.387</v>
      </c>
      <c r="E43" s="19">
        <v>114923.421</v>
      </c>
      <c r="F43" s="110">
        <v>129598.751</v>
      </c>
      <c r="G43" s="110">
        <v>168355.83799999999</v>
      </c>
      <c r="H43" s="110">
        <v>188540.44200000001</v>
      </c>
      <c r="I43" s="110">
        <v>168241.77299999999</v>
      </c>
      <c r="J43" s="110">
        <v>146675.51</v>
      </c>
      <c r="K43" s="110">
        <v>169585.859</v>
      </c>
      <c r="L43" s="110">
        <v>191716.361</v>
      </c>
      <c r="M43" s="110">
        <v>184620.899</v>
      </c>
      <c r="N43" s="110">
        <v>223415.163</v>
      </c>
      <c r="O43" s="110">
        <v>249276.88399999999</v>
      </c>
      <c r="P43" s="110">
        <v>263128.00099999999</v>
      </c>
      <c r="Q43" s="110">
        <v>216115.09299999999</v>
      </c>
      <c r="R43" s="110">
        <v>237679.94500000001</v>
      </c>
      <c r="S43" s="110">
        <v>263149.81900000002</v>
      </c>
      <c r="T43" s="110">
        <v>245627.11</v>
      </c>
      <c r="U43" s="110">
        <v>246027.807</v>
      </c>
      <c r="V43" s="110">
        <v>217218.24900000001</v>
      </c>
      <c r="W43" s="110">
        <v>208185.03700000001</v>
      </c>
      <c r="X43" s="110">
        <v>216372.92600000001</v>
      </c>
      <c r="Y43" s="110">
        <v>212036.383</v>
      </c>
      <c r="Z43" s="110">
        <v>197254.77499999999</v>
      </c>
      <c r="AA43" s="110">
        <v>185996.10699999999</v>
      </c>
      <c r="AB43" s="110">
        <v>170042.66200000001</v>
      </c>
      <c r="AC43" s="110">
        <v>173752.65</v>
      </c>
      <c r="AD43" s="110">
        <v>181981.834</v>
      </c>
      <c r="AE43" s="110">
        <v>187210.33600000001</v>
      </c>
      <c r="AF43" s="110">
        <v>189385.495</v>
      </c>
      <c r="AG43" s="110">
        <v>193729.90700000001</v>
      </c>
      <c r="AH43" s="110">
        <v>144103.361</v>
      </c>
      <c r="AI43" s="110">
        <v>148943.17000000001</v>
      </c>
      <c r="AJ43" s="110">
        <v>155616.492</v>
      </c>
      <c r="AK43" s="110">
        <v>156002.402</v>
      </c>
      <c r="AL43" s="110">
        <v>131277.856</v>
      </c>
      <c r="AM43" s="114">
        <v>93724.929000000004</v>
      </c>
    </row>
    <row r="44" spans="2:39" ht="12" customHeight="1" x14ac:dyDescent="0.25">
      <c r="B44" s="112" t="s">
        <v>220</v>
      </c>
      <c r="C44" s="109" t="s">
        <v>89</v>
      </c>
      <c r="D44" s="109">
        <v>0</v>
      </c>
      <c r="E44" s="109">
        <v>0</v>
      </c>
      <c r="F44" s="110">
        <v>0</v>
      </c>
      <c r="G44" s="110">
        <v>0</v>
      </c>
      <c r="H44" s="110">
        <v>0</v>
      </c>
      <c r="I44" s="110">
        <v>0</v>
      </c>
      <c r="J44" s="110">
        <v>0</v>
      </c>
      <c r="K44" s="110">
        <v>0</v>
      </c>
      <c r="L44" s="110">
        <v>0</v>
      </c>
      <c r="M44" s="110">
        <v>0</v>
      </c>
      <c r="N44" s="110">
        <v>0</v>
      </c>
      <c r="O44" s="110">
        <v>0</v>
      </c>
      <c r="P44" s="110">
        <v>0</v>
      </c>
      <c r="Q44" s="110">
        <v>0</v>
      </c>
      <c r="R44" s="110">
        <v>0</v>
      </c>
      <c r="S44" s="110">
        <v>0</v>
      </c>
      <c r="T44" s="110">
        <v>0</v>
      </c>
      <c r="U44" s="110">
        <v>0</v>
      </c>
      <c r="V44" s="110">
        <v>0</v>
      </c>
      <c r="W44" s="110">
        <v>0</v>
      </c>
      <c r="X44" s="110">
        <v>0</v>
      </c>
      <c r="Y44" s="110">
        <v>0</v>
      </c>
      <c r="Z44" s="110">
        <v>1466.63</v>
      </c>
      <c r="AA44" s="110">
        <v>1663.172</v>
      </c>
      <c r="AB44" s="110">
        <v>976.12400000000002</v>
      </c>
      <c r="AC44" s="110">
        <v>250.62899999999999</v>
      </c>
      <c r="AD44" s="110">
        <v>794.31899999999996</v>
      </c>
      <c r="AE44" s="110">
        <v>3.996</v>
      </c>
      <c r="AF44" s="110">
        <v>194.46100000000001</v>
      </c>
      <c r="AG44" s="110">
        <v>2.7450000000000001</v>
      </c>
      <c r="AH44" s="110">
        <v>15.816000000000001</v>
      </c>
      <c r="AI44" s="110">
        <v>47.183</v>
      </c>
      <c r="AJ44" s="110">
        <v>6.4450000000000003</v>
      </c>
      <c r="AK44" s="114">
        <v>47.356999999999999</v>
      </c>
      <c r="AL44" s="114">
        <v>89.6</v>
      </c>
      <c r="AM44" s="114">
        <v>116.11</v>
      </c>
    </row>
    <row r="45" spans="2:39" ht="12" customHeight="1" x14ac:dyDescent="0.25">
      <c r="B45" s="112" t="s">
        <v>221</v>
      </c>
      <c r="C45" s="109" t="s">
        <v>89</v>
      </c>
      <c r="D45" s="109">
        <v>0</v>
      </c>
      <c r="E45" s="109">
        <v>0</v>
      </c>
      <c r="F45" s="110">
        <v>0</v>
      </c>
      <c r="G45" s="110">
        <v>0</v>
      </c>
      <c r="H45" s="110">
        <v>0</v>
      </c>
      <c r="I45" s="110">
        <v>0</v>
      </c>
      <c r="J45" s="110">
        <v>0</v>
      </c>
      <c r="K45" s="110">
        <v>0</v>
      </c>
      <c r="L45" s="110">
        <v>0</v>
      </c>
      <c r="M45" s="110">
        <v>0</v>
      </c>
      <c r="N45" s="110">
        <v>0</v>
      </c>
      <c r="O45" s="110">
        <v>0</v>
      </c>
      <c r="P45" s="110">
        <v>0</v>
      </c>
      <c r="Q45" s="110">
        <v>0</v>
      </c>
      <c r="R45" s="110">
        <v>0</v>
      </c>
      <c r="S45" s="110">
        <v>0</v>
      </c>
      <c r="T45" s="110">
        <v>0</v>
      </c>
      <c r="U45" s="110">
        <v>0</v>
      </c>
      <c r="V45" s="110">
        <v>0</v>
      </c>
      <c r="W45" s="110">
        <v>0</v>
      </c>
      <c r="X45" s="110">
        <v>0</v>
      </c>
      <c r="Y45" s="110">
        <v>0</v>
      </c>
      <c r="Z45" s="110">
        <v>0</v>
      </c>
      <c r="AA45" s="110">
        <v>0</v>
      </c>
      <c r="AB45" s="110">
        <v>0</v>
      </c>
      <c r="AC45" s="110">
        <v>0</v>
      </c>
      <c r="AD45" s="110">
        <v>0</v>
      </c>
      <c r="AE45" s="110">
        <v>0</v>
      </c>
      <c r="AF45" s="110">
        <v>215.10400000000001</v>
      </c>
      <c r="AG45" s="110">
        <v>9.6</v>
      </c>
      <c r="AH45" s="110">
        <v>0</v>
      </c>
      <c r="AI45" s="110">
        <v>0</v>
      </c>
      <c r="AJ45" s="110">
        <v>1.18</v>
      </c>
      <c r="AK45" s="114">
        <v>1.57</v>
      </c>
      <c r="AL45" s="114">
        <v>0</v>
      </c>
      <c r="AM45" s="114">
        <v>163.61600000000001</v>
      </c>
    </row>
    <row r="46" spans="2:39" ht="12" customHeight="1" x14ac:dyDescent="0.25">
      <c r="B46" s="112" t="s">
        <v>222</v>
      </c>
      <c r="C46" s="109" t="s">
        <v>89</v>
      </c>
      <c r="D46" s="109">
        <v>0</v>
      </c>
      <c r="E46" s="109">
        <v>0</v>
      </c>
      <c r="F46" s="110">
        <v>0</v>
      </c>
      <c r="G46" s="110">
        <v>0</v>
      </c>
      <c r="H46" s="110">
        <v>0</v>
      </c>
      <c r="I46" s="110">
        <v>0</v>
      </c>
      <c r="J46" s="110">
        <v>0</v>
      </c>
      <c r="K46" s="110">
        <v>0</v>
      </c>
      <c r="L46" s="110">
        <v>0</v>
      </c>
      <c r="M46" s="110">
        <v>0</v>
      </c>
      <c r="N46" s="110">
        <v>0</v>
      </c>
      <c r="O46" s="110">
        <v>0</v>
      </c>
      <c r="P46" s="110">
        <v>0</v>
      </c>
      <c r="Q46" s="110">
        <v>0</v>
      </c>
      <c r="R46" s="110">
        <v>0</v>
      </c>
      <c r="S46" s="110">
        <v>0</v>
      </c>
      <c r="T46" s="110">
        <v>0</v>
      </c>
      <c r="U46" s="110">
        <v>0</v>
      </c>
      <c r="V46" s="110">
        <v>0</v>
      </c>
      <c r="W46" s="110">
        <v>0</v>
      </c>
      <c r="X46" s="110">
        <v>0</v>
      </c>
      <c r="Y46" s="110">
        <v>0</v>
      </c>
      <c r="Z46" s="110">
        <v>0</v>
      </c>
      <c r="AA46" s="110">
        <v>0</v>
      </c>
      <c r="AB46" s="110">
        <v>0</v>
      </c>
      <c r="AC46" s="110">
        <v>0</v>
      </c>
      <c r="AD46" s="110">
        <v>0</v>
      </c>
      <c r="AE46" s="110">
        <v>0</v>
      </c>
      <c r="AF46" s="110">
        <v>0</v>
      </c>
      <c r="AG46" s="110">
        <v>0</v>
      </c>
      <c r="AH46" s="110">
        <v>0</v>
      </c>
      <c r="AI46" s="110">
        <v>0</v>
      </c>
      <c r="AJ46" s="110">
        <v>4</v>
      </c>
      <c r="AK46" s="114">
        <v>0</v>
      </c>
      <c r="AL46" s="114">
        <v>0.252</v>
      </c>
      <c r="AM46" s="114">
        <v>0</v>
      </c>
    </row>
    <row r="47" spans="2:39" ht="12" customHeight="1" x14ac:dyDescent="0.25">
      <c r="B47" s="112" t="s">
        <v>223</v>
      </c>
      <c r="C47" s="109" t="s">
        <v>89</v>
      </c>
      <c r="D47" s="109">
        <v>179.63900000000001</v>
      </c>
      <c r="E47" s="109">
        <v>33.036000000000001</v>
      </c>
      <c r="F47" s="110">
        <v>103.556</v>
      </c>
      <c r="G47" s="110">
        <v>170.99100000000001</v>
      </c>
      <c r="H47" s="110">
        <v>75.510000000000005</v>
      </c>
      <c r="I47" s="110">
        <v>508.09300000000002</v>
      </c>
      <c r="J47" s="110">
        <v>382.73500000000001</v>
      </c>
      <c r="K47" s="110">
        <v>206.488</v>
      </c>
      <c r="L47" s="110">
        <v>68.870999999999995</v>
      </c>
      <c r="M47" s="110">
        <v>86.302000000000007</v>
      </c>
      <c r="N47" s="110">
        <v>99.034000000000006</v>
      </c>
      <c r="O47" s="110">
        <v>192.197</v>
      </c>
      <c r="P47" s="110">
        <v>177.04499999999999</v>
      </c>
      <c r="Q47" s="110">
        <v>51.962000000000003</v>
      </c>
      <c r="R47" s="110">
        <v>143.82900000000001</v>
      </c>
      <c r="S47" s="110">
        <v>328.13200000000001</v>
      </c>
      <c r="T47" s="110">
        <v>479.24599999999998</v>
      </c>
      <c r="U47" s="110">
        <v>312.13299999999998</v>
      </c>
      <c r="V47" s="110">
        <v>462.351</v>
      </c>
      <c r="W47" s="110">
        <v>557.06799999999998</v>
      </c>
      <c r="X47" s="110">
        <v>699.92</v>
      </c>
      <c r="Y47" s="110">
        <v>766.36099999999999</v>
      </c>
      <c r="Z47" s="110">
        <v>1305.587</v>
      </c>
      <c r="AA47" s="110">
        <v>1551.306</v>
      </c>
      <c r="AB47" s="110">
        <v>1628.2260000000001</v>
      </c>
      <c r="AC47" s="110">
        <v>1559.91</v>
      </c>
      <c r="AD47" s="110">
        <v>1312.2439999999999</v>
      </c>
      <c r="AE47" s="110">
        <v>1931.011</v>
      </c>
      <c r="AF47" s="110">
        <v>3311.6909999999998</v>
      </c>
      <c r="AG47" s="110">
        <v>2285.7950000000001</v>
      </c>
      <c r="AH47" s="110">
        <v>1782.8589999999999</v>
      </c>
      <c r="AI47" s="110">
        <v>2456.1260000000002</v>
      </c>
      <c r="AJ47" s="110">
        <v>3018.0419999999999</v>
      </c>
      <c r="AK47" s="114">
        <v>4452.2349999999997</v>
      </c>
      <c r="AL47" s="114">
        <v>4384.6049999999996</v>
      </c>
      <c r="AM47" s="114">
        <v>4296.1350000000002</v>
      </c>
    </row>
    <row r="48" spans="2:39" ht="12" customHeight="1" x14ac:dyDescent="0.25">
      <c r="B48" s="112" t="s">
        <v>42</v>
      </c>
      <c r="C48" s="109" t="s">
        <v>89</v>
      </c>
      <c r="D48" s="109">
        <v>244.66499999999999</v>
      </c>
      <c r="E48" s="109">
        <v>3.0760000000000001</v>
      </c>
      <c r="F48" s="110">
        <v>51.954000000000001</v>
      </c>
      <c r="G48" s="110">
        <v>24.297000000000001</v>
      </c>
      <c r="H48" s="110">
        <v>185.3</v>
      </c>
      <c r="I48" s="110">
        <v>350.76400000000001</v>
      </c>
      <c r="J48" s="110">
        <v>259.13</v>
      </c>
      <c r="K48" s="110">
        <v>566.27300000000002</v>
      </c>
      <c r="L48" s="110">
        <v>414.202</v>
      </c>
      <c r="M48" s="110">
        <v>822.22799999999995</v>
      </c>
      <c r="N48" s="110">
        <v>25.298999999999999</v>
      </c>
      <c r="O48" s="110">
        <v>192.23599999999999</v>
      </c>
      <c r="P48" s="110">
        <v>251.45699999999999</v>
      </c>
      <c r="Q48" s="110">
        <v>370.21100000000001</v>
      </c>
      <c r="R48" s="110">
        <v>176.637</v>
      </c>
      <c r="S48" s="110">
        <v>48.194000000000003</v>
      </c>
      <c r="T48" s="110">
        <v>71.852999999999994</v>
      </c>
      <c r="U48" s="110">
        <v>109.801</v>
      </c>
      <c r="V48" s="110">
        <v>30.544</v>
      </c>
      <c r="W48" s="110">
        <v>44.847000000000001</v>
      </c>
      <c r="X48" s="110">
        <v>29.977</v>
      </c>
      <c r="Y48" s="110">
        <v>119.59099999999999</v>
      </c>
      <c r="Z48" s="110">
        <v>120.438</v>
      </c>
      <c r="AA48" s="110">
        <v>85.682000000000002</v>
      </c>
      <c r="AB48" s="110">
        <v>98.063000000000002</v>
      </c>
      <c r="AC48" s="110">
        <v>379.5</v>
      </c>
      <c r="AD48" s="110">
        <v>643.96299999999997</v>
      </c>
      <c r="AE48" s="110">
        <v>342.65199999999999</v>
      </c>
      <c r="AF48" s="110">
        <v>526.31600000000003</v>
      </c>
      <c r="AG48" s="110">
        <v>304.26799999999997</v>
      </c>
      <c r="AH48" s="110">
        <v>623.14499999999998</v>
      </c>
      <c r="AI48" s="110">
        <v>1314.6310000000001</v>
      </c>
      <c r="AJ48" s="110">
        <v>2943.252</v>
      </c>
      <c r="AK48" s="114">
        <v>2915.64</v>
      </c>
      <c r="AL48" s="114">
        <v>4465.009</v>
      </c>
      <c r="AM48" s="114">
        <v>3366.4670000000001</v>
      </c>
    </row>
    <row r="49" spans="2:39" ht="12" customHeight="1" x14ac:dyDescent="0.25">
      <c r="B49" s="112" t="s">
        <v>56</v>
      </c>
      <c r="C49" s="109" t="s">
        <v>89</v>
      </c>
      <c r="D49" s="109">
        <v>243.76900000000001</v>
      </c>
      <c r="E49" s="109">
        <v>227.21799999999999</v>
      </c>
      <c r="F49" s="110">
        <v>220.49299999999999</v>
      </c>
      <c r="G49" s="110">
        <v>329.988</v>
      </c>
      <c r="H49" s="110">
        <v>576.798</v>
      </c>
      <c r="I49" s="110">
        <v>606.89800000000002</v>
      </c>
      <c r="J49" s="110">
        <v>348.64800000000002</v>
      </c>
      <c r="K49" s="110">
        <v>296.12</v>
      </c>
      <c r="L49" s="110">
        <v>515.452</v>
      </c>
      <c r="M49" s="110">
        <v>613.01599999999996</v>
      </c>
      <c r="N49" s="110">
        <v>2884.2249999999999</v>
      </c>
      <c r="O49" s="110">
        <v>6282.5429999999997</v>
      </c>
      <c r="P49" s="110">
        <v>3500.6149999999998</v>
      </c>
      <c r="Q49" s="110">
        <v>1742.3689999999999</v>
      </c>
      <c r="R49" s="110">
        <v>1181.6369999999999</v>
      </c>
      <c r="S49" s="110">
        <v>1745.5350000000001</v>
      </c>
      <c r="T49" s="110">
        <v>1783.204</v>
      </c>
      <c r="U49" s="110">
        <v>2293.5320000000002</v>
      </c>
      <c r="V49" s="110">
        <v>2132.7469999999998</v>
      </c>
      <c r="W49" s="110">
        <v>3277.6390000000001</v>
      </c>
      <c r="X49" s="110">
        <v>3138.3470000000002</v>
      </c>
      <c r="Y49" s="110">
        <v>3821.0320000000002</v>
      </c>
      <c r="Z49" s="110">
        <v>6175.4</v>
      </c>
      <c r="AA49" s="110">
        <v>9204.9539999999997</v>
      </c>
      <c r="AB49" s="110">
        <v>6894.4639999999999</v>
      </c>
      <c r="AC49" s="110">
        <v>5606.8950000000004</v>
      </c>
      <c r="AD49" s="110">
        <v>4530.8410000000003</v>
      </c>
      <c r="AE49" s="110">
        <v>4287.7470000000003</v>
      </c>
      <c r="AF49" s="110">
        <v>1440.798</v>
      </c>
      <c r="AG49" s="110">
        <v>1458.9</v>
      </c>
      <c r="AH49" s="110">
        <v>1663.942</v>
      </c>
      <c r="AI49" s="110">
        <v>1100.4090000000001</v>
      </c>
      <c r="AJ49" s="110">
        <v>1124.0419999999999</v>
      </c>
      <c r="AK49" s="114">
        <v>1322.62</v>
      </c>
      <c r="AL49" s="114">
        <v>2009.1959999999999</v>
      </c>
      <c r="AM49" s="114">
        <v>2147.9090000000001</v>
      </c>
    </row>
    <row r="50" spans="2:39" ht="12" customHeight="1" x14ac:dyDescent="0.25">
      <c r="B50" s="112" t="s">
        <v>43</v>
      </c>
      <c r="C50" s="109" t="s">
        <v>89</v>
      </c>
      <c r="D50" s="109">
        <v>26384.481</v>
      </c>
      <c r="E50" s="109">
        <v>30073.642</v>
      </c>
      <c r="F50" s="110">
        <v>44942.62</v>
      </c>
      <c r="G50" s="110">
        <v>79016.807000000001</v>
      </c>
      <c r="H50" s="110">
        <v>82101.150999999998</v>
      </c>
      <c r="I50" s="110">
        <v>72116.516000000003</v>
      </c>
      <c r="J50" s="110">
        <v>67111.406000000003</v>
      </c>
      <c r="K50" s="110">
        <v>36569.866000000002</v>
      </c>
      <c r="L50" s="110">
        <v>36390.796999999999</v>
      </c>
      <c r="M50" s="110">
        <v>33235.593999999997</v>
      </c>
      <c r="N50" s="110">
        <v>42012.368999999999</v>
      </c>
      <c r="O50" s="110">
        <v>53404.798999999999</v>
      </c>
      <c r="P50" s="110">
        <v>34432.938999999998</v>
      </c>
      <c r="Q50" s="110">
        <v>28686.361000000001</v>
      </c>
      <c r="R50" s="110">
        <v>34915.675999999999</v>
      </c>
      <c r="S50" s="110">
        <v>32565.55</v>
      </c>
      <c r="T50" s="110">
        <v>38772.898999999998</v>
      </c>
      <c r="U50" s="110">
        <v>35416.843000000001</v>
      </c>
      <c r="V50" s="110">
        <v>27838.17</v>
      </c>
      <c r="W50" s="110">
        <v>33253.571000000004</v>
      </c>
      <c r="X50" s="110">
        <v>29508.379000000001</v>
      </c>
      <c r="Y50" s="110">
        <v>15422.73</v>
      </c>
      <c r="Z50" s="110">
        <v>15347.460999999999</v>
      </c>
      <c r="AA50" s="110">
        <v>11215.126</v>
      </c>
      <c r="AB50" s="110">
        <v>13742.744000000001</v>
      </c>
      <c r="AC50" s="110">
        <v>10675.700999999999</v>
      </c>
      <c r="AD50" s="110">
        <v>11714.41</v>
      </c>
      <c r="AE50" s="110">
        <v>11978.589</v>
      </c>
      <c r="AF50" s="110">
        <v>11300.665000000001</v>
      </c>
      <c r="AG50" s="110">
        <v>9236.6569999999992</v>
      </c>
      <c r="AH50" s="110">
        <v>8449.85</v>
      </c>
      <c r="AI50" s="110">
        <v>4394.1369999999997</v>
      </c>
      <c r="AJ50" s="110">
        <v>3587.6239999999998</v>
      </c>
      <c r="AK50" s="114">
        <v>3281.1460000000002</v>
      </c>
      <c r="AL50" s="114">
        <v>13346.62</v>
      </c>
      <c r="AM50" s="114">
        <v>6240.4830000000002</v>
      </c>
    </row>
    <row r="51" spans="2:39" ht="12" customHeight="1" x14ac:dyDescent="0.25">
      <c r="B51" s="112" t="s">
        <v>224</v>
      </c>
      <c r="C51" s="109" t="s">
        <v>89</v>
      </c>
      <c r="D51" s="109">
        <v>0</v>
      </c>
      <c r="E51" s="109">
        <v>0</v>
      </c>
      <c r="F51" s="110">
        <v>0</v>
      </c>
      <c r="G51" s="110">
        <v>0</v>
      </c>
      <c r="H51" s="110">
        <v>0</v>
      </c>
      <c r="I51" s="110">
        <v>0</v>
      </c>
      <c r="J51" s="110">
        <v>0</v>
      </c>
      <c r="K51" s="110">
        <v>0</v>
      </c>
      <c r="L51" s="110">
        <v>0</v>
      </c>
      <c r="M51" s="110">
        <v>0</v>
      </c>
      <c r="N51" s="110">
        <v>0</v>
      </c>
      <c r="O51" s="110">
        <v>0</v>
      </c>
      <c r="P51" s="110">
        <v>0</v>
      </c>
      <c r="Q51" s="110">
        <v>0</v>
      </c>
      <c r="R51" s="110">
        <v>0</v>
      </c>
      <c r="S51" s="110">
        <v>0</v>
      </c>
      <c r="T51" s="110">
        <v>0</v>
      </c>
      <c r="U51" s="110">
        <v>0</v>
      </c>
      <c r="V51" s="110">
        <v>0</v>
      </c>
      <c r="W51" s="110">
        <v>0</v>
      </c>
      <c r="X51" s="110">
        <v>0</v>
      </c>
      <c r="Y51" s="110">
        <v>0</v>
      </c>
      <c r="Z51" s="110">
        <v>849.30399999999997</v>
      </c>
      <c r="AA51" s="110">
        <v>4226.9380000000001</v>
      </c>
      <c r="AB51" s="110">
        <v>4250.8230000000003</v>
      </c>
      <c r="AC51" s="110">
        <v>14211.47</v>
      </c>
      <c r="AD51" s="110">
        <v>17757.713</v>
      </c>
      <c r="AE51" s="110">
        <v>16891.105</v>
      </c>
      <c r="AF51" s="110">
        <v>17380.434000000001</v>
      </c>
      <c r="AG51" s="110">
        <v>18251.276000000002</v>
      </c>
      <c r="AH51" s="110">
        <v>23795.902999999998</v>
      </c>
      <c r="AI51" s="110">
        <v>18913.792000000001</v>
      </c>
      <c r="AJ51" s="110">
        <v>19850.053</v>
      </c>
      <c r="AK51" s="114">
        <v>18666.441999999999</v>
      </c>
      <c r="AL51" s="114">
        <v>18856.306</v>
      </c>
      <c r="AM51" s="114">
        <v>19721.584999999999</v>
      </c>
    </row>
    <row r="52" spans="2:39" ht="12" customHeight="1" x14ac:dyDescent="0.25">
      <c r="B52" s="112" t="s">
        <v>225</v>
      </c>
      <c r="C52" s="109" t="s">
        <v>89</v>
      </c>
      <c r="D52" s="109">
        <v>0</v>
      </c>
      <c r="E52" s="109">
        <v>0</v>
      </c>
      <c r="F52" s="110">
        <v>0</v>
      </c>
      <c r="G52" s="110">
        <v>0</v>
      </c>
      <c r="H52" s="110">
        <v>0</v>
      </c>
      <c r="I52" s="110">
        <v>0</v>
      </c>
      <c r="J52" s="110">
        <v>0</v>
      </c>
      <c r="K52" s="110">
        <v>0</v>
      </c>
      <c r="L52" s="110">
        <v>0</v>
      </c>
      <c r="M52" s="110">
        <v>0</v>
      </c>
      <c r="N52" s="110">
        <v>0</v>
      </c>
      <c r="O52" s="110">
        <v>0</v>
      </c>
      <c r="P52" s="110">
        <v>0</v>
      </c>
      <c r="Q52" s="110">
        <v>0</v>
      </c>
      <c r="R52" s="110">
        <v>0</v>
      </c>
      <c r="S52" s="110">
        <v>0</v>
      </c>
      <c r="T52" s="110">
        <v>0</v>
      </c>
      <c r="U52" s="110">
        <v>0</v>
      </c>
      <c r="V52" s="110">
        <v>0</v>
      </c>
      <c r="W52" s="110">
        <v>0</v>
      </c>
      <c r="X52" s="110">
        <v>0</v>
      </c>
      <c r="Y52" s="110">
        <v>0</v>
      </c>
      <c r="Z52" s="110">
        <v>2.218</v>
      </c>
      <c r="AA52" s="110">
        <v>47.98</v>
      </c>
      <c r="AB52" s="110">
        <v>232.94800000000001</v>
      </c>
      <c r="AC52" s="110">
        <v>15.329000000000001</v>
      </c>
      <c r="AD52" s="110">
        <v>7.609</v>
      </c>
      <c r="AE52" s="110">
        <v>50.887999999999998</v>
      </c>
      <c r="AF52" s="110">
        <v>2</v>
      </c>
      <c r="AG52" s="110">
        <v>0</v>
      </c>
      <c r="AH52" s="110">
        <v>0</v>
      </c>
      <c r="AI52" s="110">
        <v>0</v>
      </c>
      <c r="AJ52" s="110">
        <v>27.724</v>
      </c>
      <c r="AK52" s="114">
        <v>799.47400000000005</v>
      </c>
      <c r="AL52" s="114">
        <v>2539.4459999999999</v>
      </c>
      <c r="AM52" s="114">
        <v>2434.5529999999999</v>
      </c>
    </row>
    <row r="53" spans="2:39" ht="12" customHeight="1" x14ac:dyDescent="0.25">
      <c r="B53" s="112" t="s">
        <v>226</v>
      </c>
      <c r="C53" s="109" t="s">
        <v>89</v>
      </c>
      <c r="D53" s="109">
        <v>183.86799999999999</v>
      </c>
      <c r="E53" s="109">
        <v>26.402999999999999</v>
      </c>
      <c r="F53" s="110">
        <v>274.50900000000001</v>
      </c>
      <c r="G53" s="110">
        <v>406.786</v>
      </c>
      <c r="H53" s="110">
        <v>443.34</v>
      </c>
      <c r="I53" s="110">
        <v>1656.4359999999999</v>
      </c>
      <c r="J53" s="110">
        <v>2905.3040000000001</v>
      </c>
      <c r="K53" s="110">
        <v>1063.4760000000001</v>
      </c>
      <c r="L53" s="110">
        <v>878.95699999999999</v>
      </c>
      <c r="M53" s="110">
        <v>1135.8820000000001</v>
      </c>
      <c r="N53" s="110">
        <v>1161.0820000000001</v>
      </c>
      <c r="O53" s="110">
        <v>1612.287</v>
      </c>
      <c r="P53" s="110">
        <v>639.18100000000004</v>
      </c>
      <c r="Q53" s="110">
        <v>1197.499</v>
      </c>
      <c r="R53" s="110">
        <v>1691.8979999999999</v>
      </c>
      <c r="S53" s="110">
        <v>2382.1729999999998</v>
      </c>
      <c r="T53" s="110">
        <v>2170.232</v>
      </c>
      <c r="U53" s="110">
        <v>979.12</v>
      </c>
      <c r="V53" s="110">
        <v>309.86</v>
      </c>
      <c r="W53" s="110">
        <v>408.16899999999998</v>
      </c>
      <c r="X53" s="110">
        <v>404.66399999999999</v>
      </c>
      <c r="Y53" s="110">
        <v>457.79199999999997</v>
      </c>
      <c r="Z53" s="110">
        <v>1732.6389999999999</v>
      </c>
      <c r="AA53" s="110">
        <v>1529.826</v>
      </c>
      <c r="AB53" s="110">
        <v>514.90800000000002</v>
      </c>
      <c r="AC53" s="110">
        <v>996.84199999999998</v>
      </c>
      <c r="AD53" s="110">
        <v>878.24400000000003</v>
      </c>
      <c r="AE53" s="110">
        <v>828.1</v>
      </c>
      <c r="AF53" s="110">
        <v>535.36</v>
      </c>
      <c r="AG53" s="110">
        <v>441.49</v>
      </c>
      <c r="AH53" s="110">
        <v>432.41800000000001</v>
      </c>
      <c r="AI53" s="110">
        <v>233.52199999999999</v>
      </c>
      <c r="AJ53" s="110">
        <v>604.71400000000006</v>
      </c>
      <c r="AK53" s="114">
        <v>574.80100000000004</v>
      </c>
      <c r="AL53" s="114">
        <v>747.19600000000003</v>
      </c>
      <c r="AM53" s="114">
        <v>606.68799999999999</v>
      </c>
    </row>
    <row r="54" spans="2:39" ht="12" customHeight="1" x14ac:dyDescent="0.25">
      <c r="B54" s="113" t="s">
        <v>237</v>
      </c>
      <c r="C54" s="109" t="s">
        <v>89</v>
      </c>
      <c r="D54" s="109">
        <v>2967.665</v>
      </c>
      <c r="E54" s="109">
        <v>6187.3239999999996</v>
      </c>
      <c r="F54" s="110">
        <v>9427.241</v>
      </c>
      <c r="G54" s="110">
        <v>3536.2379999999998</v>
      </c>
      <c r="H54" s="110">
        <v>5130.6959999999999</v>
      </c>
      <c r="I54" s="110">
        <v>13485.763000000001</v>
      </c>
      <c r="J54" s="110">
        <v>27501.012999999999</v>
      </c>
      <c r="K54" s="110">
        <v>14118.352000000001</v>
      </c>
      <c r="L54" s="110">
        <v>16962.059000000001</v>
      </c>
      <c r="M54" s="110">
        <v>19769.023000000001</v>
      </c>
      <c r="N54" s="110">
        <v>17417.344000000001</v>
      </c>
      <c r="O54" s="110">
        <v>32470.311000000002</v>
      </c>
      <c r="P54" s="110">
        <v>26816.151000000002</v>
      </c>
      <c r="Q54" s="110">
        <v>19619.216</v>
      </c>
      <c r="R54" s="110">
        <v>15559.978999999999</v>
      </c>
      <c r="S54" s="110">
        <v>6895.0379999999996</v>
      </c>
      <c r="T54" s="110">
        <v>9161.5360000000001</v>
      </c>
      <c r="U54" s="110">
        <v>8350.1409999999996</v>
      </c>
      <c r="V54" s="110">
        <v>4408.8370000000004</v>
      </c>
      <c r="W54" s="110">
        <v>3868.6610000000001</v>
      </c>
      <c r="X54" s="110">
        <v>2476.0740000000001</v>
      </c>
      <c r="Y54" s="110">
        <v>1985.078</v>
      </c>
      <c r="Z54" s="110">
        <v>3200.9279999999999</v>
      </c>
      <c r="AA54" s="110">
        <v>3023.9850000000001</v>
      </c>
      <c r="AB54" s="110">
        <v>1717.5039999999999</v>
      </c>
      <c r="AC54" s="110">
        <v>2304.8629999999998</v>
      </c>
      <c r="AD54" s="110">
        <v>1491.2660000000001</v>
      </c>
      <c r="AE54" s="110">
        <v>2638.7820000000002</v>
      </c>
      <c r="AF54" s="110">
        <v>4895.7139999999999</v>
      </c>
      <c r="AG54" s="110">
        <v>4145.5259999999998</v>
      </c>
      <c r="AH54" s="110">
        <v>5095.9759999999997</v>
      </c>
      <c r="AI54" s="110">
        <v>6082.4110000000001</v>
      </c>
      <c r="AJ54" s="110">
        <v>363.661</v>
      </c>
      <c r="AK54" s="114">
        <v>536.69299999999998</v>
      </c>
      <c r="AL54" s="114">
        <v>253.05099999999999</v>
      </c>
      <c r="AM54" s="114">
        <v>268.83</v>
      </c>
    </row>
    <row r="55" spans="2:39" ht="12" customHeight="1" x14ac:dyDescent="0.25">
      <c r="B55" s="115" t="s">
        <v>227</v>
      </c>
      <c r="C55" s="115"/>
      <c r="D55" s="115"/>
      <c r="E55" s="115"/>
      <c r="F55" s="115"/>
      <c r="G55" s="115"/>
      <c r="H55" s="115"/>
      <c r="I55" s="115"/>
      <c r="J55" s="115"/>
      <c r="K55" s="115"/>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row>
    <row r="56" spans="2:39" ht="12" customHeight="1" x14ac:dyDescent="0.25">
      <c r="B56" s="107" t="s">
        <v>228</v>
      </c>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row>
    <row r="57" spans="2:39" ht="12" customHeight="1" x14ac:dyDescent="0.25">
      <c r="B57" s="108" t="s">
        <v>229</v>
      </c>
      <c r="C57" s="109" t="s">
        <v>89</v>
      </c>
      <c r="D57" s="110">
        <v>109.10599999999999</v>
      </c>
      <c r="E57" s="19">
        <v>567.38499999999999</v>
      </c>
      <c r="F57" s="110">
        <v>1597.623</v>
      </c>
      <c r="G57" s="110">
        <v>1876.4449999999999</v>
      </c>
      <c r="H57" s="110">
        <v>1355.5509999999999</v>
      </c>
      <c r="I57" s="110">
        <v>1746.5709999999999</v>
      </c>
      <c r="J57" s="110">
        <v>1582.8</v>
      </c>
      <c r="K57" s="110">
        <v>2223.7269999999999</v>
      </c>
      <c r="L57" s="110">
        <v>3086.04</v>
      </c>
      <c r="M57" s="110">
        <v>2893.7550000000001</v>
      </c>
      <c r="N57" s="110">
        <v>1259.577</v>
      </c>
      <c r="O57" s="110">
        <v>3765.9859999999999</v>
      </c>
      <c r="P57" s="110">
        <v>1544.5170000000001</v>
      </c>
      <c r="Q57" s="110">
        <v>1720.6769999999999</v>
      </c>
      <c r="R57" s="110">
        <v>2304.7719999999999</v>
      </c>
      <c r="S57" s="110">
        <v>2234.4360000000001</v>
      </c>
      <c r="T57" s="110">
        <v>3638.4589999999998</v>
      </c>
      <c r="U57" s="110">
        <v>11632.512000000001</v>
      </c>
      <c r="V57" s="110">
        <v>5474.348</v>
      </c>
      <c r="W57" s="110">
        <v>5031.027</v>
      </c>
      <c r="X57" s="110">
        <v>4810.0020000000004</v>
      </c>
      <c r="Y57" s="110">
        <v>5415.933</v>
      </c>
      <c r="Z57" s="110">
        <v>7253.96</v>
      </c>
      <c r="AA57" s="110">
        <v>10041.4</v>
      </c>
      <c r="AB57" s="110">
        <v>9056.2070000000003</v>
      </c>
      <c r="AC57" s="110">
        <v>20933.048999999999</v>
      </c>
      <c r="AD57" s="110">
        <v>11157.441999999999</v>
      </c>
      <c r="AE57" s="110">
        <v>9991.64</v>
      </c>
      <c r="AF57" s="110">
        <v>5656.1769999999997</v>
      </c>
      <c r="AG57" s="110">
        <v>4270.5690000000004</v>
      </c>
      <c r="AH57" s="110">
        <v>6706.9049999999997</v>
      </c>
      <c r="AI57" s="110">
        <v>9897.8680000000004</v>
      </c>
      <c r="AJ57" s="110">
        <v>10028.01</v>
      </c>
      <c r="AK57" s="110">
        <v>21079.352999999999</v>
      </c>
      <c r="AL57" s="110">
        <v>17703.273000000001</v>
      </c>
      <c r="AM57" s="114">
        <v>13867.491</v>
      </c>
    </row>
    <row r="58" spans="2:39" ht="12" customHeight="1" x14ac:dyDescent="0.25">
      <c r="B58" s="108" t="s">
        <v>230</v>
      </c>
      <c r="C58" s="109" t="s">
        <v>89</v>
      </c>
      <c r="D58" s="109">
        <v>103251.212</v>
      </c>
      <c r="E58" s="109">
        <v>105401.04300000001</v>
      </c>
      <c r="F58" s="110">
        <v>144198.929</v>
      </c>
      <c r="G58" s="110">
        <v>132157.01999999999</v>
      </c>
      <c r="H58" s="110">
        <v>128276.993</v>
      </c>
      <c r="I58" s="110">
        <v>211848.753</v>
      </c>
      <c r="J58" s="110">
        <v>197552.492</v>
      </c>
      <c r="K58" s="110">
        <v>192848.84700000001</v>
      </c>
      <c r="L58" s="110">
        <v>286923.26899999997</v>
      </c>
      <c r="M58" s="110">
        <v>273783.89899999998</v>
      </c>
      <c r="N58" s="110">
        <v>437509.522</v>
      </c>
      <c r="O58" s="110">
        <v>420486.11300000001</v>
      </c>
      <c r="P58" s="110">
        <v>405770.49200000003</v>
      </c>
      <c r="Q58" s="110">
        <v>333991.23200000002</v>
      </c>
      <c r="R58" s="110">
        <v>311326.96799999999</v>
      </c>
      <c r="S58" s="110">
        <v>291617.17300000001</v>
      </c>
      <c r="T58" s="110">
        <v>291970.14299999998</v>
      </c>
      <c r="U58" s="110">
        <v>315021.86099999998</v>
      </c>
      <c r="V58" s="110">
        <v>265235.57500000001</v>
      </c>
      <c r="W58" s="110">
        <v>369642.59899999999</v>
      </c>
      <c r="X58" s="110">
        <v>245316.77799999999</v>
      </c>
      <c r="Y58" s="110">
        <v>243290.432</v>
      </c>
      <c r="Z58" s="110">
        <v>207752.375</v>
      </c>
      <c r="AA58" s="110">
        <v>151501.44399999999</v>
      </c>
      <c r="AB58" s="110">
        <v>144365.84299999999</v>
      </c>
      <c r="AC58" s="110">
        <v>110805.00599999999</v>
      </c>
      <c r="AD58" s="110">
        <v>95945.593999999997</v>
      </c>
      <c r="AE58" s="110">
        <v>75378.553</v>
      </c>
      <c r="AF58" s="110">
        <v>56778.925999999999</v>
      </c>
      <c r="AG58" s="110">
        <v>56048.508000000002</v>
      </c>
      <c r="AH58" s="110">
        <v>45086.864000000001</v>
      </c>
      <c r="AI58" s="110">
        <v>49800.053</v>
      </c>
      <c r="AJ58" s="110">
        <v>18511.868999999999</v>
      </c>
      <c r="AK58" s="110">
        <v>43356.800000000003</v>
      </c>
      <c r="AL58" s="110">
        <v>8017.799</v>
      </c>
      <c r="AM58" s="114">
        <v>5385.4849999999997</v>
      </c>
    </row>
    <row r="59" spans="2:39" ht="12" customHeight="1" x14ac:dyDescent="0.25">
      <c r="B59" s="116" t="s">
        <v>231</v>
      </c>
      <c r="C59" s="109" t="s">
        <v>89</v>
      </c>
      <c r="D59" s="109">
        <v>162.99100000000001</v>
      </c>
      <c r="E59" s="109">
        <v>1678.89</v>
      </c>
      <c r="F59" s="110">
        <v>1823.479</v>
      </c>
      <c r="G59" s="110">
        <v>2130.3049999999998</v>
      </c>
      <c r="H59" s="110">
        <v>2084.355</v>
      </c>
      <c r="I59" s="110">
        <v>2434.7170000000001</v>
      </c>
      <c r="J59" s="110">
        <v>2578.6190000000001</v>
      </c>
      <c r="K59" s="110">
        <v>2538.5770000000002</v>
      </c>
      <c r="L59" s="110">
        <v>2477.7600000000002</v>
      </c>
      <c r="M59" s="110">
        <v>2120.5909999999999</v>
      </c>
      <c r="N59" s="110">
        <v>1591.838</v>
      </c>
      <c r="O59" s="110">
        <v>2979.587</v>
      </c>
      <c r="P59" s="110">
        <v>2763.8319999999999</v>
      </c>
      <c r="Q59" s="110">
        <v>2285.326</v>
      </c>
      <c r="R59" s="110">
        <v>1283.0319999999999</v>
      </c>
      <c r="S59" s="110">
        <v>5616.8919999999998</v>
      </c>
      <c r="T59" s="110">
        <v>4503.7240000000002</v>
      </c>
      <c r="U59" s="110">
        <v>2360.9549999999999</v>
      </c>
      <c r="V59" s="110">
        <v>2283.7570000000001</v>
      </c>
      <c r="W59" s="110">
        <v>2073.35</v>
      </c>
      <c r="X59" s="110">
        <v>2312.6619999999998</v>
      </c>
      <c r="Y59" s="110">
        <v>3599.9349999999999</v>
      </c>
      <c r="Z59" s="110">
        <v>2306.0810000000001</v>
      </c>
      <c r="AA59" s="110">
        <v>2028.8420000000001</v>
      </c>
      <c r="AB59" s="110">
        <v>2600.5239999999999</v>
      </c>
      <c r="AC59" s="110">
        <v>2509.9459999999999</v>
      </c>
      <c r="AD59" s="110">
        <v>1956.5450000000001</v>
      </c>
      <c r="AE59" s="110">
        <v>2636.6790000000001</v>
      </c>
      <c r="AF59" s="110">
        <v>3058.7269999999999</v>
      </c>
      <c r="AG59" s="110">
        <v>2928.3989999999999</v>
      </c>
      <c r="AH59" s="110">
        <v>3132.1260000000002</v>
      </c>
      <c r="AI59" s="110">
        <v>2493.1689999999999</v>
      </c>
      <c r="AJ59" s="110">
        <v>2870.0360000000001</v>
      </c>
      <c r="AK59" s="110">
        <v>3694.75</v>
      </c>
      <c r="AL59" s="110">
        <v>3011.0749999999998</v>
      </c>
      <c r="AM59" s="114">
        <v>4491.4120000000003</v>
      </c>
    </row>
    <row r="60" spans="2:39" ht="12" customHeight="1" x14ac:dyDescent="0.25">
      <c r="B60" s="116" t="s">
        <v>232</v>
      </c>
      <c r="C60" s="109" t="s">
        <v>89</v>
      </c>
      <c r="D60" s="109">
        <v>386.202</v>
      </c>
      <c r="E60" s="109">
        <v>604.71799999999996</v>
      </c>
      <c r="F60" s="110">
        <v>770.91200000000003</v>
      </c>
      <c r="G60" s="110">
        <v>1312.107</v>
      </c>
      <c r="H60" s="110">
        <v>1606.855</v>
      </c>
      <c r="I60" s="110">
        <v>1392.1959999999999</v>
      </c>
      <c r="J60" s="110">
        <v>2684.5909999999999</v>
      </c>
      <c r="K60" s="110">
        <v>5281.01</v>
      </c>
      <c r="L60" s="110">
        <v>1329.5340000000001</v>
      </c>
      <c r="M60" s="110">
        <v>1267.6759999999999</v>
      </c>
      <c r="N60" s="110">
        <v>1816.546</v>
      </c>
      <c r="O60" s="110">
        <v>2168.9899999999998</v>
      </c>
      <c r="P60" s="110">
        <v>2039.6489999999999</v>
      </c>
      <c r="Q60" s="110">
        <v>1726.039</v>
      </c>
      <c r="R60" s="110">
        <v>1857.653</v>
      </c>
      <c r="S60" s="110">
        <v>1472.9770000000001</v>
      </c>
      <c r="T60" s="110">
        <v>1492.0719999999999</v>
      </c>
      <c r="U60" s="110">
        <v>1538.665</v>
      </c>
      <c r="V60" s="110">
        <v>1949.671</v>
      </c>
      <c r="W60" s="110">
        <v>3397.3780000000002</v>
      </c>
      <c r="X60" s="110">
        <v>2685.2469999999998</v>
      </c>
      <c r="Y60" s="110">
        <v>2273.4470000000001</v>
      </c>
      <c r="Z60" s="110">
        <v>2344.105</v>
      </c>
      <c r="AA60" s="110">
        <v>3771.538</v>
      </c>
      <c r="AB60" s="110">
        <v>2029.2439999999999</v>
      </c>
      <c r="AC60" s="110">
        <v>1896.9960000000001</v>
      </c>
      <c r="AD60" s="110">
        <v>2106.25</v>
      </c>
      <c r="AE60" s="110">
        <v>2413.7159999999999</v>
      </c>
      <c r="AF60" s="110">
        <v>3088.2730000000001</v>
      </c>
      <c r="AG60" s="110">
        <v>2795.029</v>
      </c>
      <c r="AH60" s="110">
        <v>2096.5729999999999</v>
      </c>
      <c r="AI60" s="110">
        <v>1503.181</v>
      </c>
      <c r="AJ60" s="110">
        <v>2301.8069999999998</v>
      </c>
      <c r="AK60" s="110">
        <v>3259.34</v>
      </c>
      <c r="AL60" s="110">
        <v>3291.2089999999998</v>
      </c>
      <c r="AM60" s="114">
        <v>4012.0410000000002</v>
      </c>
    </row>
    <row r="61" spans="2:39" ht="12" customHeight="1" x14ac:dyDescent="0.25">
      <c r="B61" s="107" t="s">
        <v>39</v>
      </c>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row>
    <row r="62" spans="2:39" ht="12" customHeight="1" x14ac:dyDescent="0.25">
      <c r="B62" s="108" t="s">
        <v>233</v>
      </c>
      <c r="C62" s="109" t="s">
        <v>89</v>
      </c>
      <c r="D62" s="110">
        <v>3.194</v>
      </c>
      <c r="E62" s="19">
        <v>126.97</v>
      </c>
      <c r="F62" s="110">
        <v>46.25</v>
      </c>
      <c r="G62" s="110">
        <v>144.66300000000001</v>
      </c>
      <c r="H62" s="110">
        <v>336.387</v>
      </c>
      <c r="I62" s="110">
        <v>1604.519</v>
      </c>
      <c r="J62" s="110">
        <v>3693.5349999999999</v>
      </c>
      <c r="K62" s="110">
        <v>4543.3209999999999</v>
      </c>
      <c r="L62" s="110">
        <v>8465.6820000000007</v>
      </c>
      <c r="M62" s="110">
        <v>6778.9170000000004</v>
      </c>
      <c r="N62" s="110">
        <v>9302.4069999999992</v>
      </c>
      <c r="O62" s="110">
        <v>23603.003000000001</v>
      </c>
      <c r="P62" s="110">
        <v>26966.815999999999</v>
      </c>
      <c r="Q62" s="110">
        <v>20102.921999999999</v>
      </c>
      <c r="R62" s="110">
        <v>15211.581</v>
      </c>
      <c r="S62" s="110">
        <v>8239.402</v>
      </c>
      <c r="T62" s="110">
        <v>9421.3739999999998</v>
      </c>
      <c r="U62" s="110">
        <v>4734.9129999999996</v>
      </c>
      <c r="V62" s="110">
        <v>973.63099999999997</v>
      </c>
      <c r="W62" s="110">
        <v>1313.027</v>
      </c>
      <c r="X62" s="110">
        <v>2116.9670000000001</v>
      </c>
      <c r="Y62" s="110">
        <v>1562.375</v>
      </c>
      <c r="Z62" s="110">
        <v>391.78100000000001</v>
      </c>
      <c r="AA62" s="110">
        <v>1038.232</v>
      </c>
      <c r="AB62" s="110">
        <v>707.49300000000005</v>
      </c>
      <c r="AC62" s="110">
        <v>993.70799999999997</v>
      </c>
      <c r="AD62" s="110">
        <v>453.10899999999998</v>
      </c>
      <c r="AE62" s="110">
        <v>1083.8440000000001</v>
      </c>
      <c r="AF62" s="110">
        <v>1086.3900000000001</v>
      </c>
      <c r="AG62" s="110">
        <v>1549.6420000000001</v>
      </c>
      <c r="AH62" s="110">
        <v>667.88599999999997</v>
      </c>
      <c r="AI62" s="110">
        <v>901.77499999999998</v>
      </c>
      <c r="AJ62" s="110">
        <v>1178.6079999999999</v>
      </c>
      <c r="AK62" s="110">
        <v>964.39499999999998</v>
      </c>
      <c r="AL62" s="110">
        <v>1587.165</v>
      </c>
      <c r="AM62" s="114">
        <v>1592.287</v>
      </c>
    </row>
    <row r="63" spans="2:39" ht="12" customHeight="1" x14ac:dyDescent="0.25">
      <c r="B63" s="108" t="s">
        <v>39</v>
      </c>
      <c r="C63" s="109" t="s">
        <v>89</v>
      </c>
      <c r="D63" s="109">
        <v>5902.8459999999995</v>
      </c>
      <c r="E63" s="109">
        <v>4719.3410000000003</v>
      </c>
      <c r="F63" s="110">
        <v>3444.7020000000002</v>
      </c>
      <c r="G63" s="110">
        <v>3856.1379999999999</v>
      </c>
      <c r="H63" s="110">
        <v>3830.6579999999999</v>
      </c>
      <c r="I63" s="110">
        <v>7442.7730000000001</v>
      </c>
      <c r="J63" s="110">
        <v>9166.15</v>
      </c>
      <c r="K63" s="110">
        <v>14468.248</v>
      </c>
      <c r="L63" s="110">
        <v>8538.4770000000008</v>
      </c>
      <c r="M63" s="110">
        <v>2932.8220000000001</v>
      </c>
      <c r="N63" s="110">
        <v>1887.941</v>
      </c>
      <c r="O63" s="110">
        <v>1859.991</v>
      </c>
      <c r="P63" s="110">
        <v>2144.9650000000001</v>
      </c>
      <c r="Q63" s="110">
        <v>2045.0050000000001</v>
      </c>
      <c r="R63" s="110">
        <v>1854.731</v>
      </c>
      <c r="S63" s="110">
        <v>2134.1239999999998</v>
      </c>
      <c r="T63" s="110">
        <v>3123.8560000000002</v>
      </c>
      <c r="U63" s="110">
        <v>3162.7530000000002</v>
      </c>
      <c r="V63" s="110">
        <v>2644.07</v>
      </c>
      <c r="W63" s="110">
        <v>4629.7070000000003</v>
      </c>
      <c r="X63" s="110">
        <v>4045.087</v>
      </c>
      <c r="Y63" s="110">
        <v>5322.89</v>
      </c>
      <c r="Z63" s="110">
        <v>8307.902</v>
      </c>
      <c r="AA63" s="110">
        <v>6495.3490000000002</v>
      </c>
      <c r="AB63" s="110">
        <v>9745.5759999999991</v>
      </c>
      <c r="AC63" s="110">
        <v>12336.529</v>
      </c>
      <c r="AD63" s="110">
        <v>13797.407999999999</v>
      </c>
      <c r="AE63" s="110">
        <v>13780.808999999999</v>
      </c>
      <c r="AF63" s="110">
        <v>14019.415000000001</v>
      </c>
      <c r="AG63" s="110">
        <v>20741.498</v>
      </c>
      <c r="AH63" s="110">
        <v>25840.274000000001</v>
      </c>
      <c r="AI63" s="110">
        <v>27623.226999999999</v>
      </c>
      <c r="AJ63" s="110">
        <v>5210.4440000000004</v>
      </c>
      <c r="AK63" s="110">
        <v>530.899</v>
      </c>
      <c r="AL63" s="110">
        <v>509.96</v>
      </c>
      <c r="AM63" s="114">
        <v>324.46100000000001</v>
      </c>
    </row>
    <row r="64" spans="2:39" ht="12" customHeight="1" x14ac:dyDescent="0.25">
      <c r="B64" s="117" t="s">
        <v>508</v>
      </c>
      <c r="C64" s="109" t="s">
        <v>89</v>
      </c>
      <c r="D64" s="109">
        <v>783390.17200000002</v>
      </c>
      <c r="E64" s="109">
        <v>832297.59</v>
      </c>
      <c r="F64" s="110">
        <v>982169.76899999997</v>
      </c>
      <c r="G64" s="110">
        <v>1092152.94</v>
      </c>
      <c r="H64" s="110">
        <v>1244688.507</v>
      </c>
      <c r="I64" s="110">
        <v>1368926.3559999999</v>
      </c>
      <c r="J64" s="110">
        <v>1328907.6569999999</v>
      </c>
      <c r="K64" s="110">
        <v>1304508.125</v>
      </c>
      <c r="L64" s="110">
        <v>1489169.2039999999</v>
      </c>
      <c r="M64" s="110">
        <v>1511520.665</v>
      </c>
      <c r="N64" s="110">
        <v>1989339.372</v>
      </c>
      <c r="O64" s="110">
        <v>2170987.7429999998</v>
      </c>
      <c r="P64" s="110">
        <v>2102176.7409999999</v>
      </c>
      <c r="Q64" s="110">
        <v>1846501.4350000001</v>
      </c>
      <c r="R64" s="110">
        <v>1652677.2379999999</v>
      </c>
      <c r="S64" s="110">
        <v>1546918.507</v>
      </c>
      <c r="T64" s="110">
        <v>1550807.4439999999</v>
      </c>
      <c r="U64" s="110">
        <v>1495984.084</v>
      </c>
      <c r="V64" s="110">
        <v>1343087.0020000001</v>
      </c>
      <c r="W64" s="110">
        <v>1530583.4850000001</v>
      </c>
      <c r="X64" s="110">
        <v>1248367.831</v>
      </c>
      <c r="Y64" s="110">
        <v>1251810.773</v>
      </c>
      <c r="Z64" s="110">
        <v>1229075.094</v>
      </c>
      <c r="AA64" s="110">
        <v>1177217.635</v>
      </c>
      <c r="AB64" s="110">
        <v>1306852.6910000001</v>
      </c>
      <c r="AC64" s="110">
        <v>1442130.8419999999</v>
      </c>
      <c r="AD64" s="110">
        <v>1543739.3060000001</v>
      </c>
      <c r="AE64" s="110">
        <v>1437861.1510000001</v>
      </c>
      <c r="AF64" s="110">
        <v>1578200.6459999999</v>
      </c>
      <c r="AG64" s="110">
        <v>1532601.9069999999</v>
      </c>
      <c r="AH64" s="110">
        <v>1414045.686</v>
      </c>
      <c r="AI64" s="110">
        <v>1254511.581</v>
      </c>
      <c r="AJ64" s="110">
        <v>1306934.578</v>
      </c>
      <c r="AK64" s="110">
        <v>1472061.0419999999</v>
      </c>
      <c r="AL64" s="110">
        <v>1427744.635</v>
      </c>
      <c r="AM64" s="114">
        <v>1483772.0619999999</v>
      </c>
    </row>
    <row r="65" spans="2:39" ht="45.75" customHeight="1" x14ac:dyDescent="0.25">
      <c r="B65" s="328" t="s">
        <v>520</v>
      </c>
      <c r="C65" s="328"/>
      <c r="D65" s="328"/>
      <c r="E65" s="328"/>
      <c r="F65" s="328"/>
      <c r="G65" s="328"/>
      <c r="H65" s="328"/>
      <c r="I65" s="328"/>
      <c r="J65" s="328"/>
      <c r="K65" s="328"/>
      <c r="L65" s="328"/>
      <c r="M65" s="328"/>
      <c r="N65" s="328"/>
      <c r="O65" s="328"/>
      <c r="P65" s="328"/>
      <c r="Q65" s="328"/>
      <c r="R65" s="328"/>
      <c r="S65" s="328"/>
      <c r="T65" s="328"/>
      <c r="U65" s="328"/>
      <c r="V65" s="328"/>
      <c r="W65" s="328"/>
      <c r="X65" s="328"/>
      <c r="Y65" s="328"/>
      <c r="Z65" s="328"/>
      <c r="AA65" s="328"/>
      <c r="AB65" s="328"/>
      <c r="AC65" s="328"/>
      <c r="AD65" s="328"/>
      <c r="AE65" s="328"/>
      <c r="AF65" s="328"/>
      <c r="AG65" s="328"/>
      <c r="AH65" s="328"/>
      <c r="AI65" s="328"/>
      <c r="AJ65" s="328"/>
      <c r="AK65" s="328"/>
      <c r="AL65" s="328"/>
      <c r="AM65" s="296"/>
    </row>
    <row r="66" spans="2:39" ht="12" customHeight="1" x14ac:dyDescent="0.25">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19"/>
      <c r="AF66" s="119"/>
      <c r="AG66" s="119"/>
      <c r="AH66" s="119"/>
      <c r="AI66" s="119"/>
      <c r="AJ66" s="119"/>
      <c r="AK66" s="119"/>
      <c r="AL66" s="119"/>
      <c r="AM66" s="119"/>
    </row>
  </sheetData>
  <mergeCells count="1">
    <mergeCell ref="B65:AL65"/>
  </mergeCells>
  <conditionalFormatting sqref="B9:B12">
    <cfRule type="cellIs" dxfId="200" priority="37" stopIfTrue="1" operator="greaterThanOrEqual">
      <formula>100</formula>
    </cfRule>
    <cfRule type="cellIs" dxfId="199" priority="36" stopIfTrue="1" operator="between">
      <formula>-99.999999999999</formula>
      <formula>99.999999999999</formula>
    </cfRule>
    <cfRule type="cellIs" dxfId="198" priority="35" stopIfTrue="1" operator="lessThanOrEqual">
      <formula>-100</formula>
    </cfRule>
    <cfRule type="cellIs" dxfId="197" priority="34" stopIfTrue="1" operator="equal">
      <formula>0</formula>
    </cfRule>
  </conditionalFormatting>
  <conditionalFormatting sqref="B42">
    <cfRule type="cellIs" dxfId="196" priority="31" stopIfTrue="1" operator="greaterThanOrEqual">
      <formula>100</formula>
    </cfRule>
    <cfRule type="cellIs" dxfId="195" priority="30" stopIfTrue="1" operator="between">
      <formula>-99.999999999999</formula>
      <formula>99.999999999999</formula>
    </cfRule>
    <cfRule type="cellIs" dxfId="194" priority="29" stopIfTrue="1" operator="lessThanOrEqual">
      <formula>-100</formula>
    </cfRule>
    <cfRule type="cellIs" dxfId="193" priority="28" stopIfTrue="1" operator="equal">
      <formula>0</formula>
    </cfRule>
  </conditionalFormatting>
  <conditionalFormatting sqref="B48:B65">
    <cfRule type="cellIs" dxfId="192" priority="20" stopIfTrue="1" operator="equal">
      <formula>0</formula>
    </cfRule>
    <cfRule type="cellIs" dxfId="191" priority="22" stopIfTrue="1" operator="between">
      <formula>-99.999999999999</formula>
      <formula>99.999999999999</formula>
    </cfRule>
    <cfRule type="cellIs" dxfId="190" priority="21" stopIfTrue="1" operator="lessThanOrEqual">
      <formula>-100</formula>
    </cfRule>
    <cfRule type="cellIs" dxfId="189" priority="23" stopIfTrue="1" operator="greaterThanOrEqual">
      <formula>100</formula>
    </cfRule>
  </conditionalFormatting>
  <conditionalFormatting sqref="B17:D17 C43:D43 F11:AL11 C12:AL12 B13:AL16 F17:AL17 B18:AL41 C44:E54">
    <cfRule type="cellIs" dxfId="188" priority="17" stopIfTrue="1" operator="equal">
      <formula>0</formula>
    </cfRule>
  </conditionalFormatting>
  <conditionalFormatting sqref="B6:AI6 B7 B18:AL41 F11:AL11 C12:AL12 B13:AL16 B17:D17 F17:AL17 C43:D43 C44:AL54 F43:AL43">
    <cfRule type="cellIs" dxfId="187" priority="39" stopIfTrue="1" operator="lessThanOrEqual">
      <formula>-100</formula>
    </cfRule>
  </conditionalFormatting>
  <conditionalFormatting sqref="B6:AI6 B7 F11:AL11 C12:AL12 B13:AL16 B17:D17 F17:AL17 B18:AL41 C43:D43 F43:AL43 C44:AL54">
    <cfRule type="cellIs" dxfId="186" priority="40" stopIfTrue="1" operator="between">
      <formula>-99.999999999999</formula>
      <formula>99.999999999999</formula>
    </cfRule>
    <cfRule type="cellIs" dxfId="185" priority="41" stopIfTrue="1" operator="greaterThanOrEqual">
      <formula>100</formula>
    </cfRule>
  </conditionalFormatting>
  <conditionalFormatting sqref="B6:AI6 B7">
    <cfRule type="cellIs" dxfId="184" priority="38" stopIfTrue="1" operator="equal">
      <formula>0</formula>
    </cfRule>
  </conditionalFormatting>
  <conditionalFormatting sqref="C11:D11 C57:D57 C62:D62 C58:E60 C63:E64">
    <cfRule type="cellIs" dxfId="183" priority="13" stopIfTrue="1" operator="equal">
      <formula>0</formula>
    </cfRule>
  </conditionalFormatting>
  <conditionalFormatting sqref="C11:D11 C57:D57 C58:E60 C62:D62 C63:E64">
    <cfRule type="cellIs" dxfId="182" priority="15" stopIfTrue="1" operator="between">
      <formula>-99.999999999999</formula>
      <formula>99.999999999999</formula>
    </cfRule>
    <cfRule type="cellIs" dxfId="181" priority="14" stopIfTrue="1" operator="lessThanOrEqual">
      <formula>-100</formula>
    </cfRule>
    <cfRule type="cellIs" dxfId="180" priority="16" stopIfTrue="1" operator="greaterThanOrEqual">
      <formula>100</formula>
    </cfRule>
  </conditionalFormatting>
  <conditionalFormatting sqref="C8:AM8 AL6:AM6 AM43:AM54 F57:AM60 F62:AM64 B66:AM66">
    <cfRule type="cellIs" dxfId="179" priority="8" stopIfTrue="1" operator="lessThanOrEqual">
      <formula>-100</formula>
    </cfRule>
  </conditionalFormatting>
  <conditionalFormatting sqref="C8:AM8 AM11:AM41">
    <cfRule type="cellIs" dxfId="178" priority="7" stopIfTrue="1" operator="greaterThanOrEqual">
      <formula>100</formula>
    </cfRule>
  </conditionalFormatting>
  <conditionalFormatting sqref="D11 D17 D43 D57 D62">
    <cfRule type="cellIs" dxfId="177" priority="12" operator="greaterThanOrEqual">
      <formula>100</formula>
    </cfRule>
    <cfRule type="cellIs" dxfId="176" priority="11" operator="lessThanOrEqual">
      <formula>99</formula>
    </cfRule>
  </conditionalFormatting>
  <conditionalFormatting sqref="F22 F27 F30 F35">
    <cfRule type="cellIs" dxfId="175" priority="32" operator="lessThanOrEqual">
      <formula>99</formula>
    </cfRule>
    <cfRule type="cellIs" dxfId="174" priority="33" operator="greaterThanOrEqual">
      <formula>100</formula>
    </cfRule>
  </conditionalFormatting>
  <conditionalFormatting sqref="F11:AM41 F43:AM54 F57:AM60 F62:AM64">
    <cfRule type="cellIs" dxfId="173" priority="2" operator="greaterThanOrEqual">
      <formula>100</formula>
    </cfRule>
    <cfRule type="cellIs" dxfId="172" priority="1" operator="lessThanOrEqual">
      <formula>99</formula>
    </cfRule>
  </conditionalFormatting>
  <conditionalFormatting sqref="AL6:AM6 C8:AM8">
    <cfRule type="cellIs" dxfId="171" priority="4" stopIfTrue="1" operator="equal">
      <formula>0</formula>
    </cfRule>
  </conditionalFormatting>
  <conditionalFormatting sqref="AL6:AM6 AM43:AM54 F57:AM60 F62:AM64 B66:AM66">
    <cfRule type="cellIs" dxfId="170" priority="10" stopIfTrue="1" operator="greaterThanOrEqual">
      <formula>100</formula>
    </cfRule>
    <cfRule type="cellIs" dxfId="169" priority="9" stopIfTrue="1" operator="between">
      <formula>-99.999999999999</formula>
      <formula>99.999999999999</formula>
    </cfRule>
  </conditionalFormatting>
  <conditionalFormatting sqref="AM11:AM41 C8:AM8">
    <cfRule type="cellIs" dxfId="168" priority="6" stopIfTrue="1" operator="between">
      <formula>-99.999999999999</formula>
      <formula>99.999999999999</formula>
    </cfRule>
  </conditionalFormatting>
  <conditionalFormatting sqref="AM11:AM41 F43:AM54 F57:AM60 F62:AM64 B66:AM66">
    <cfRule type="cellIs" dxfId="167" priority="3" stopIfTrue="1" operator="equal">
      <formula>0</formula>
    </cfRule>
  </conditionalFormatting>
  <conditionalFormatting sqref="AM11:AM41">
    <cfRule type="cellIs" dxfId="166" priority="5" stopIfTrue="1" operator="lessThanOrEqual">
      <formula>-100</formula>
    </cfRule>
  </conditionalFormatting>
  <pageMargins left="0.7" right="0.7" top="0.75" bottom="0.75" header="0.3" footer="0.3"/>
  <pageSetup paperSize="9" scale="24"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1ECDA-5DFF-4D52-8BC7-300448916941}">
  <sheetPr>
    <pageSetUpPr fitToPage="1"/>
  </sheetPr>
  <dimension ref="B6:AM59"/>
  <sheetViews>
    <sheetView zoomScaleNormal="100" workbookViewId="0"/>
  </sheetViews>
  <sheetFormatPr defaultColWidth="9.140625" defaultRowHeight="15" x14ac:dyDescent="0.25"/>
  <cols>
    <col min="1" max="1" width="9.140625" style="20"/>
    <col min="2" max="2" width="40.5703125" style="20" customWidth="1"/>
    <col min="3" max="3" width="5.5703125" style="20" customWidth="1"/>
    <col min="4" max="4" width="8" style="20" customWidth="1"/>
    <col min="5" max="5" width="8.42578125" style="20" customWidth="1"/>
    <col min="6" max="31" width="7.5703125" style="20" customWidth="1"/>
    <col min="32" max="32" width="8.85546875" style="20" bestFit="1" customWidth="1"/>
    <col min="33" max="39" width="7.5703125" style="20" customWidth="1"/>
    <col min="40" max="16384" width="9.140625" style="20"/>
  </cols>
  <sheetData>
    <row r="6" spans="2:39" ht="9.75" customHeight="1" x14ac:dyDescent="0.25">
      <c r="B6" s="17"/>
      <c r="C6" s="19"/>
      <c r="D6" s="19"/>
      <c r="E6" s="19"/>
      <c r="F6" s="17"/>
      <c r="G6" s="17"/>
      <c r="H6" s="17"/>
      <c r="I6" s="17"/>
      <c r="J6" s="17"/>
      <c r="K6" s="17"/>
      <c r="L6" s="17"/>
      <c r="M6" s="17"/>
      <c r="N6" s="17"/>
      <c r="O6" s="17"/>
      <c r="P6" s="17"/>
      <c r="Q6" s="17"/>
      <c r="R6" s="17"/>
      <c r="S6" s="17"/>
      <c r="T6" s="17"/>
      <c r="U6" s="17"/>
      <c r="V6" s="17"/>
      <c r="W6" s="17"/>
      <c r="X6" s="17"/>
      <c r="Y6" s="17"/>
      <c r="Z6" s="17"/>
      <c r="AA6" s="17"/>
      <c r="AB6" s="17"/>
      <c r="AC6" s="17"/>
      <c r="AD6" s="17"/>
      <c r="AE6" s="17"/>
      <c r="AF6" s="118"/>
      <c r="AG6" s="118"/>
      <c r="AH6" s="118"/>
      <c r="AI6" s="119"/>
      <c r="AJ6" s="119"/>
      <c r="AK6" s="119"/>
      <c r="AL6" s="119"/>
      <c r="AM6" s="119" t="s">
        <v>0</v>
      </c>
    </row>
    <row r="7" spans="2:39" ht="27" customHeight="1" x14ac:dyDescent="0.25">
      <c r="B7" s="121" t="s">
        <v>238</v>
      </c>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2"/>
      <c r="AG7" s="122"/>
      <c r="AH7" s="122"/>
      <c r="AI7" s="122"/>
      <c r="AJ7" s="122"/>
      <c r="AK7" s="122"/>
      <c r="AL7" s="122"/>
      <c r="AM7" s="122"/>
    </row>
    <row r="8" spans="2:39" ht="12.6" customHeight="1" x14ac:dyDescent="0.25">
      <c r="B8" s="123" t="s">
        <v>2</v>
      </c>
      <c r="C8" s="124" t="s">
        <v>3</v>
      </c>
      <c r="D8" s="125" t="s">
        <v>157</v>
      </c>
      <c r="E8" s="125" t="s">
        <v>158</v>
      </c>
      <c r="F8" s="125" t="s">
        <v>159</v>
      </c>
      <c r="G8" s="125" t="s">
        <v>160</v>
      </c>
      <c r="H8" s="125" t="s">
        <v>161</v>
      </c>
      <c r="I8" s="125" t="s">
        <v>162</v>
      </c>
      <c r="J8" s="125" t="s">
        <v>163</v>
      </c>
      <c r="K8" s="125" t="s">
        <v>164</v>
      </c>
      <c r="L8" s="125" t="s">
        <v>165</v>
      </c>
      <c r="M8" s="125" t="s">
        <v>166</v>
      </c>
      <c r="N8" s="125" t="s">
        <v>167</v>
      </c>
      <c r="O8" s="125" t="s">
        <v>168</v>
      </c>
      <c r="P8" s="125" t="s">
        <v>169</v>
      </c>
      <c r="Q8" s="125" t="s">
        <v>170</v>
      </c>
      <c r="R8" s="125" t="s">
        <v>171</v>
      </c>
      <c r="S8" s="125" t="s">
        <v>172</v>
      </c>
      <c r="T8" s="125" t="s">
        <v>173</v>
      </c>
      <c r="U8" s="125" t="s">
        <v>174</v>
      </c>
      <c r="V8" s="125" t="s">
        <v>175</v>
      </c>
      <c r="W8" s="125" t="s">
        <v>176</v>
      </c>
      <c r="X8" s="125" t="s">
        <v>177</v>
      </c>
      <c r="Y8" s="125" t="s">
        <v>178</v>
      </c>
      <c r="Z8" s="125" t="s">
        <v>179</v>
      </c>
      <c r="AA8" s="125" t="s">
        <v>180</v>
      </c>
      <c r="AB8" s="125" t="s">
        <v>181</v>
      </c>
      <c r="AC8" s="125" t="s">
        <v>182</v>
      </c>
      <c r="AD8" s="125" t="s">
        <v>183</v>
      </c>
      <c r="AE8" s="125" t="s">
        <v>184</v>
      </c>
      <c r="AF8" s="125" t="s">
        <v>185</v>
      </c>
      <c r="AG8" s="125" t="s">
        <v>186</v>
      </c>
      <c r="AH8" s="125" t="s">
        <v>187</v>
      </c>
      <c r="AI8" s="125" t="s">
        <v>239</v>
      </c>
      <c r="AJ8" s="125" t="s">
        <v>240</v>
      </c>
      <c r="AK8" s="125" t="s">
        <v>241</v>
      </c>
      <c r="AL8" s="125" t="s">
        <v>242</v>
      </c>
      <c r="AM8" s="125" t="s">
        <v>549</v>
      </c>
    </row>
    <row r="9" spans="2:39" ht="11.25" customHeight="1" x14ac:dyDescent="0.25">
      <c r="B9" s="126" t="s">
        <v>243</v>
      </c>
      <c r="C9" s="126"/>
      <c r="D9" s="126"/>
      <c r="E9" s="126"/>
      <c r="F9" s="126"/>
      <c r="G9" s="126"/>
      <c r="H9" s="126"/>
      <c r="I9" s="126"/>
      <c r="J9" s="126"/>
      <c r="K9" s="126"/>
      <c r="L9" s="126"/>
      <c r="M9" s="126"/>
      <c r="N9" s="126"/>
      <c r="O9" s="126"/>
      <c r="P9" s="126"/>
      <c r="Q9" s="126"/>
      <c r="R9" s="126"/>
      <c r="S9" s="126"/>
      <c r="T9" s="126"/>
      <c r="U9" s="126"/>
      <c r="V9" s="126"/>
      <c r="W9" s="126"/>
      <c r="X9" s="126"/>
      <c r="Y9" s="126"/>
      <c r="Z9" s="126"/>
      <c r="AA9" s="126"/>
      <c r="AB9" s="126"/>
      <c r="AC9" s="126"/>
      <c r="AD9" s="126"/>
      <c r="AE9" s="126"/>
      <c r="AF9" s="126"/>
      <c r="AG9" s="126"/>
      <c r="AH9" s="126"/>
      <c r="AI9" s="126"/>
      <c r="AJ9" s="126"/>
      <c r="AK9" s="126"/>
      <c r="AL9" s="127"/>
      <c r="AM9" s="300"/>
    </row>
    <row r="10" spans="2:39" ht="11.25" customHeight="1" x14ac:dyDescent="0.25">
      <c r="B10" s="128" t="s">
        <v>193</v>
      </c>
      <c r="C10" s="128"/>
      <c r="D10" s="128"/>
      <c r="E10" s="128"/>
      <c r="F10" s="128"/>
      <c r="G10" s="128"/>
      <c r="H10" s="128"/>
      <c r="I10" s="128"/>
      <c r="J10" s="128"/>
      <c r="K10" s="128"/>
      <c r="L10" s="128"/>
      <c r="M10" s="128"/>
      <c r="N10" s="128"/>
      <c r="O10" s="128"/>
      <c r="P10" s="128"/>
      <c r="Q10" s="128"/>
      <c r="R10" s="128"/>
      <c r="S10" s="128"/>
      <c r="T10" s="128"/>
      <c r="U10" s="128"/>
      <c r="V10" s="128"/>
      <c r="W10" s="128"/>
      <c r="X10" s="128"/>
      <c r="Y10" s="128"/>
      <c r="Z10" s="128"/>
      <c r="AA10" s="128"/>
      <c r="AB10" s="128"/>
      <c r="AC10" s="128"/>
      <c r="AD10" s="128"/>
      <c r="AE10" s="128"/>
      <c r="AF10" s="128"/>
      <c r="AG10" s="128"/>
      <c r="AH10" s="128"/>
      <c r="AI10" s="128"/>
      <c r="AJ10" s="128"/>
      <c r="AK10" s="128"/>
      <c r="AL10" s="129"/>
      <c r="AM10" s="301"/>
    </row>
    <row r="11" spans="2:39" ht="11.25" customHeight="1" x14ac:dyDescent="0.25">
      <c r="B11" s="130" t="s">
        <v>194</v>
      </c>
      <c r="C11" s="131" t="s">
        <v>35</v>
      </c>
      <c r="D11" s="132">
        <v>291.935</v>
      </c>
      <c r="E11" s="19">
        <v>441.68299999999999</v>
      </c>
      <c r="F11" s="132">
        <v>553.27300000000002</v>
      </c>
      <c r="G11" s="132">
        <v>1477.961</v>
      </c>
      <c r="H11" s="132">
        <v>2609.2469999999998</v>
      </c>
      <c r="I11" s="132">
        <v>3389.8879999999999</v>
      </c>
      <c r="J11" s="132">
        <v>3704.1559999999999</v>
      </c>
      <c r="K11" s="132">
        <v>3090.7629999999999</v>
      </c>
      <c r="L11" s="132">
        <v>2691.5830000000001</v>
      </c>
      <c r="M11" s="132">
        <v>1891.652</v>
      </c>
      <c r="N11" s="132">
        <v>2292.0189999999998</v>
      </c>
      <c r="O11" s="132">
        <v>2677.4389999999999</v>
      </c>
      <c r="P11" s="132">
        <v>2255.8620000000001</v>
      </c>
      <c r="Q11" s="132">
        <v>1713.527</v>
      </c>
      <c r="R11" s="132">
        <v>1615.635</v>
      </c>
      <c r="S11" s="132">
        <v>1638.1510000000001</v>
      </c>
      <c r="T11" s="132">
        <v>1544.9649999999999</v>
      </c>
      <c r="U11" s="132">
        <v>1424.24</v>
      </c>
      <c r="V11" s="132">
        <v>1413.8309999999999</v>
      </c>
      <c r="W11" s="132">
        <v>1323.8019999999999</v>
      </c>
      <c r="X11" s="132">
        <v>1079.1759999999999</v>
      </c>
      <c r="Y11" s="132">
        <v>969.77599999999995</v>
      </c>
      <c r="Z11" s="132">
        <v>800.77</v>
      </c>
      <c r="AA11" s="132">
        <v>445.49700000000001</v>
      </c>
      <c r="AB11" s="132">
        <v>421.04500000000002</v>
      </c>
      <c r="AC11" s="132">
        <v>565.07600000000002</v>
      </c>
      <c r="AD11" s="132">
        <v>558.15099999999995</v>
      </c>
      <c r="AE11" s="132">
        <v>456.04500000000002</v>
      </c>
      <c r="AF11" s="132">
        <v>489.12</v>
      </c>
      <c r="AG11" s="132">
        <v>483.82400000000001</v>
      </c>
      <c r="AH11" s="132">
        <v>436.00200000000001</v>
      </c>
      <c r="AI11" s="132">
        <v>540.66499999999996</v>
      </c>
      <c r="AJ11" s="132">
        <v>337.495</v>
      </c>
      <c r="AK11" s="132">
        <v>372.16199999999998</v>
      </c>
      <c r="AL11" s="132">
        <v>518.005</v>
      </c>
      <c r="AM11" s="302">
        <v>408.89800000000002</v>
      </c>
    </row>
    <row r="12" spans="2:39" ht="11.25" customHeight="1" x14ac:dyDescent="0.25">
      <c r="B12" s="130" t="s">
        <v>195</v>
      </c>
      <c r="C12" s="131" t="s">
        <v>35</v>
      </c>
      <c r="D12" s="131">
        <v>412.416</v>
      </c>
      <c r="E12" s="132">
        <v>259.88400000000001</v>
      </c>
      <c r="F12" s="132">
        <v>385.20299999999997</v>
      </c>
      <c r="G12" s="132">
        <v>291.65199999999999</v>
      </c>
      <c r="H12" s="132">
        <v>216.96100000000001</v>
      </c>
      <c r="I12" s="132">
        <v>229.346</v>
      </c>
      <c r="J12" s="132">
        <v>246.077</v>
      </c>
      <c r="K12" s="132">
        <v>247.64099999999999</v>
      </c>
      <c r="L12" s="132">
        <v>251.197</v>
      </c>
      <c r="M12" s="132">
        <v>322.36599999999999</v>
      </c>
      <c r="N12" s="132">
        <v>74.078999999999994</v>
      </c>
      <c r="O12" s="132">
        <v>110.596</v>
      </c>
      <c r="P12" s="132">
        <v>73.367999999999995</v>
      </c>
      <c r="Q12" s="132">
        <v>13.446999999999999</v>
      </c>
      <c r="R12" s="132">
        <v>1.5109999999999999</v>
      </c>
      <c r="S12" s="132">
        <v>11.058999999999999</v>
      </c>
      <c r="T12" s="132">
        <v>4.9589999999999996</v>
      </c>
      <c r="U12" s="132">
        <v>76.045000000000002</v>
      </c>
      <c r="V12" s="132">
        <v>39.841999999999999</v>
      </c>
      <c r="W12" s="132">
        <v>12.058999999999999</v>
      </c>
      <c r="X12" s="132">
        <v>21.408000000000001</v>
      </c>
      <c r="Y12" s="132">
        <v>3.9249999999999998</v>
      </c>
      <c r="Z12" s="132">
        <v>0.37</v>
      </c>
      <c r="AA12" s="132">
        <v>0.14000000000000001</v>
      </c>
      <c r="AB12" s="132">
        <v>2.548</v>
      </c>
      <c r="AC12" s="132">
        <v>2.4</v>
      </c>
      <c r="AD12" s="132">
        <v>8.1869999999999994</v>
      </c>
      <c r="AE12" s="132">
        <v>2.5110000000000001</v>
      </c>
      <c r="AF12" s="132">
        <v>0.48899999999999999</v>
      </c>
      <c r="AG12" s="132">
        <v>0.54700000000000004</v>
      </c>
      <c r="AH12" s="132">
        <v>11.51</v>
      </c>
      <c r="AI12" s="132">
        <v>15.452999999999999</v>
      </c>
      <c r="AJ12" s="132">
        <v>9.923</v>
      </c>
      <c r="AK12" s="132">
        <v>0.28999999999999998</v>
      </c>
      <c r="AL12" s="132">
        <v>18</v>
      </c>
      <c r="AM12" s="302">
        <v>0.999</v>
      </c>
    </row>
    <row r="13" spans="2:39" ht="11.25" customHeight="1" x14ac:dyDescent="0.25">
      <c r="B13" s="130" t="s">
        <v>87</v>
      </c>
      <c r="C13" s="131" t="s">
        <v>35</v>
      </c>
      <c r="D13" s="131">
        <v>11322.591</v>
      </c>
      <c r="E13" s="132">
        <v>12614.735000000001</v>
      </c>
      <c r="F13" s="132">
        <v>9996.4529999999995</v>
      </c>
      <c r="G13" s="132">
        <v>8997.3179999999993</v>
      </c>
      <c r="H13" s="132">
        <v>9191.5509999999995</v>
      </c>
      <c r="I13" s="132">
        <v>11347.209000000001</v>
      </c>
      <c r="J13" s="132">
        <v>13100.01</v>
      </c>
      <c r="K13" s="132">
        <v>10974.308999999999</v>
      </c>
      <c r="L13" s="132">
        <v>12387.305</v>
      </c>
      <c r="M13" s="132">
        <v>11995.203</v>
      </c>
      <c r="N13" s="132">
        <v>11630.17</v>
      </c>
      <c r="O13" s="132">
        <v>12124.026</v>
      </c>
      <c r="P13" s="132">
        <v>11924.953</v>
      </c>
      <c r="Q13" s="132">
        <v>9531.9459999999999</v>
      </c>
      <c r="R13" s="132">
        <v>9395.7009999999991</v>
      </c>
      <c r="S13" s="132">
        <v>10301.833000000001</v>
      </c>
      <c r="T13" s="132">
        <v>8743.98</v>
      </c>
      <c r="U13" s="132">
        <v>6376.24</v>
      </c>
      <c r="V13" s="132">
        <v>4915.7960000000003</v>
      </c>
      <c r="W13" s="132">
        <v>4796.7860000000001</v>
      </c>
      <c r="X13" s="132">
        <v>4658.5050000000001</v>
      </c>
      <c r="Y13" s="132">
        <v>6418.8530000000001</v>
      </c>
      <c r="Z13" s="132">
        <v>5392.5649999999996</v>
      </c>
      <c r="AA13" s="132">
        <v>3917.0720000000001</v>
      </c>
      <c r="AB13" s="132">
        <v>7054.7219999999998</v>
      </c>
      <c r="AC13" s="132">
        <v>6490.85</v>
      </c>
      <c r="AD13" s="132">
        <v>6689.0829999999996</v>
      </c>
      <c r="AE13" s="132">
        <v>7015.366</v>
      </c>
      <c r="AF13" s="132">
        <v>5304.6729999999998</v>
      </c>
      <c r="AG13" s="132">
        <v>4251.027</v>
      </c>
      <c r="AH13" s="132">
        <v>6286.5339999999997</v>
      </c>
      <c r="AI13" s="132">
        <v>4023.9780000000001</v>
      </c>
      <c r="AJ13" s="132">
        <v>3005.3679999999999</v>
      </c>
      <c r="AK13" s="132">
        <v>4998.41</v>
      </c>
      <c r="AL13" s="132">
        <v>3513.8310000000001</v>
      </c>
      <c r="AM13" s="302">
        <v>3444.4279999999999</v>
      </c>
    </row>
    <row r="14" spans="2:39" ht="11.25" customHeight="1" x14ac:dyDescent="0.25">
      <c r="B14" s="130" t="s">
        <v>96</v>
      </c>
      <c r="C14" s="131" t="s">
        <v>35</v>
      </c>
      <c r="D14" s="131">
        <v>8681.5429999999997</v>
      </c>
      <c r="E14" s="132">
        <v>9799.9539999999997</v>
      </c>
      <c r="F14" s="132">
        <v>13018.227000000001</v>
      </c>
      <c r="G14" s="132">
        <v>14467.574000000001</v>
      </c>
      <c r="H14" s="132">
        <v>13701.22</v>
      </c>
      <c r="I14" s="132">
        <v>12529.237999999999</v>
      </c>
      <c r="J14" s="132">
        <v>12792.457</v>
      </c>
      <c r="K14" s="132">
        <v>12747.763000000001</v>
      </c>
      <c r="L14" s="132">
        <v>12504.959000000001</v>
      </c>
      <c r="M14" s="132">
        <v>14543.874</v>
      </c>
      <c r="N14" s="132">
        <v>15611.418</v>
      </c>
      <c r="O14" s="132">
        <v>14082.605</v>
      </c>
      <c r="P14" s="132">
        <v>11891.89</v>
      </c>
      <c r="Q14" s="132">
        <v>12362.819</v>
      </c>
      <c r="R14" s="132">
        <v>13752.377</v>
      </c>
      <c r="S14" s="132">
        <v>12675.126</v>
      </c>
      <c r="T14" s="132">
        <v>11974.974</v>
      </c>
      <c r="U14" s="132">
        <v>10346.06</v>
      </c>
      <c r="V14" s="132">
        <v>9505.8340000000007</v>
      </c>
      <c r="W14" s="132">
        <v>9568.6020000000008</v>
      </c>
      <c r="X14" s="132">
        <v>7735.4560000000001</v>
      </c>
      <c r="Y14" s="132">
        <v>7153.7089999999998</v>
      </c>
      <c r="Z14" s="132">
        <v>7175.5420000000004</v>
      </c>
      <c r="AA14" s="132">
        <v>8085.1469999999999</v>
      </c>
      <c r="AB14" s="132">
        <v>8145.8590000000004</v>
      </c>
      <c r="AC14" s="132">
        <v>8393.1350000000002</v>
      </c>
      <c r="AD14" s="132">
        <v>8263.8269999999993</v>
      </c>
      <c r="AE14" s="132">
        <v>8606.2219999999998</v>
      </c>
      <c r="AF14" s="132">
        <v>9440.2520000000004</v>
      </c>
      <c r="AG14" s="132">
        <v>8693.2180000000008</v>
      </c>
      <c r="AH14" s="132">
        <v>6756.3779999999997</v>
      </c>
      <c r="AI14" s="132">
        <v>6428.18</v>
      </c>
      <c r="AJ14" s="132">
        <v>6539.7510000000002</v>
      </c>
      <c r="AK14" s="132">
        <v>7487.634</v>
      </c>
      <c r="AL14" s="132">
        <v>8756.8629999999994</v>
      </c>
      <c r="AM14" s="302">
        <v>8835.9320000000007</v>
      </c>
    </row>
    <row r="15" spans="2:39" ht="11.25" customHeight="1" x14ac:dyDescent="0.25">
      <c r="B15" s="130" t="s">
        <v>234</v>
      </c>
      <c r="C15" s="131" t="s">
        <v>35</v>
      </c>
      <c r="D15" s="131">
        <v>168.87299999999999</v>
      </c>
      <c r="E15" s="132">
        <v>46.451000000000001</v>
      </c>
      <c r="F15" s="132">
        <v>153.25700000000001</v>
      </c>
      <c r="G15" s="132">
        <v>255.26400000000001</v>
      </c>
      <c r="H15" s="132">
        <v>166.17699999999999</v>
      </c>
      <c r="I15" s="132">
        <v>188.892</v>
      </c>
      <c r="J15" s="132">
        <v>115.678</v>
      </c>
      <c r="K15" s="132">
        <v>62.838000000000001</v>
      </c>
      <c r="L15" s="132">
        <v>105.166</v>
      </c>
      <c r="M15" s="132">
        <v>58.164999999999999</v>
      </c>
      <c r="N15" s="132">
        <v>199.429</v>
      </c>
      <c r="O15" s="132">
        <v>555.303</v>
      </c>
      <c r="P15" s="132">
        <v>154.66</v>
      </c>
      <c r="Q15" s="132">
        <v>292.64699999999999</v>
      </c>
      <c r="R15" s="132">
        <v>174.19499999999999</v>
      </c>
      <c r="S15" s="132">
        <v>123.91200000000001</v>
      </c>
      <c r="T15" s="132">
        <v>76.266999999999996</v>
      </c>
      <c r="U15" s="132">
        <v>58.344999999999999</v>
      </c>
      <c r="V15" s="132">
        <v>36.317999999999998</v>
      </c>
      <c r="W15" s="132">
        <v>17.126999999999999</v>
      </c>
      <c r="X15" s="132">
        <v>17.143999999999998</v>
      </c>
      <c r="Y15" s="132">
        <v>35.036999999999999</v>
      </c>
      <c r="Z15" s="132">
        <v>7.5960000000000001</v>
      </c>
      <c r="AA15" s="132">
        <v>97.084999999999994</v>
      </c>
      <c r="AB15" s="132">
        <v>107.992</v>
      </c>
      <c r="AC15" s="132">
        <v>29.91</v>
      </c>
      <c r="AD15" s="132">
        <v>39.122</v>
      </c>
      <c r="AE15" s="132">
        <v>26.105</v>
      </c>
      <c r="AF15" s="132">
        <v>34.69</v>
      </c>
      <c r="AG15" s="132">
        <v>31.542999999999999</v>
      </c>
      <c r="AH15" s="132">
        <v>57.761000000000003</v>
      </c>
      <c r="AI15" s="132">
        <v>25.582000000000001</v>
      </c>
      <c r="AJ15" s="132">
        <v>11.509</v>
      </c>
      <c r="AK15" s="132">
        <v>193.87</v>
      </c>
      <c r="AL15" s="132">
        <v>30.021999999999998</v>
      </c>
      <c r="AM15" s="302">
        <v>17.411999999999999</v>
      </c>
    </row>
    <row r="16" spans="2:39" ht="11.25" customHeight="1" x14ac:dyDescent="0.25">
      <c r="B16" s="133" t="s">
        <v>196</v>
      </c>
      <c r="C16" s="131"/>
      <c r="D16" s="131"/>
      <c r="E16" s="131"/>
      <c r="F16" s="132"/>
      <c r="G16" s="132"/>
      <c r="H16" s="132"/>
      <c r="I16" s="132"/>
      <c r="J16" s="132"/>
      <c r="K16" s="132"/>
      <c r="L16" s="132"/>
      <c r="M16" s="132"/>
      <c r="N16" s="132"/>
      <c r="O16" s="132"/>
      <c r="P16" s="132"/>
      <c r="Q16" s="132"/>
      <c r="R16" s="132"/>
      <c r="S16" s="132"/>
      <c r="T16" s="132"/>
      <c r="U16" s="132"/>
      <c r="V16" s="132"/>
      <c r="W16" s="132"/>
      <c r="X16" s="132"/>
      <c r="Y16" s="132"/>
      <c r="Z16" s="132"/>
      <c r="AA16" s="132"/>
      <c r="AB16" s="132"/>
      <c r="AC16" s="132"/>
      <c r="AD16" s="132"/>
      <c r="AE16" s="132"/>
      <c r="AF16" s="132"/>
      <c r="AG16" s="132"/>
      <c r="AH16" s="132"/>
      <c r="AI16" s="132"/>
      <c r="AJ16" s="132"/>
      <c r="AK16" s="132"/>
      <c r="AL16" s="132"/>
      <c r="AM16" s="302"/>
    </row>
    <row r="17" spans="2:39" ht="11.25" customHeight="1" x14ac:dyDescent="0.25">
      <c r="B17" s="130" t="s">
        <v>197</v>
      </c>
      <c r="C17" s="131" t="s">
        <v>35</v>
      </c>
      <c r="D17" s="132">
        <v>1.996</v>
      </c>
      <c r="E17" s="19">
        <v>7.1420000000000003</v>
      </c>
      <c r="F17" s="132">
        <v>13.225</v>
      </c>
      <c r="G17" s="132">
        <v>5.7450000000000001</v>
      </c>
      <c r="H17" s="132">
        <v>5.1020000000000003</v>
      </c>
      <c r="I17" s="132">
        <v>12.085000000000001</v>
      </c>
      <c r="J17" s="132">
        <v>0.72899999999999998</v>
      </c>
      <c r="K17" s="132">
        <v>2.42</v>
      </c>
      <c r="L17" s="132">
        <v>1.415</v>
      </c>
      <c r="M17" s="132">
        <v>1.292</v>
      </c>
      <c r="N17" s="132">
        <v>9.2379999999999995</v>
      </c>
      <c r="O17" s="132">
        <v>17.527000000000001</v>
      </c>
      <c r="P17" s="132">
        <v>91.715000000000003</v>
      </c>
      <c r="Q17" s="132">
        <v>12.128</v>
      </c>
      <c r="R17" s="132">
        <v>7.774</v>
      </c>
      <c r="S17" s="132">
        <v>7.4459999999999997</v>
      </c>
      <c r="T17" s="132">
        <v>10.903</v>
      </c>
      <c r="U17" s="132">
        <v>8.8350000000000009</v>
      </c>
      <c r="V17" s="132">
        <v>7.0250000000000004</v>
      </c>
      <c r="W17" s="132">
        <v>20.614000000000001</v>
      </c>
      <c r="X17" s="132">
        <v>22.425000000000001</v>
      </c>
      <c r="Y17" s="132">
        <v>25.138000000000002</v>
      </c>
      <c r="Z17" s="132">
        <v>23.98</v>
      </c>
      <c r="AA17" s="132">
        <v>14.742000000000001</v>
      </c>
      <c r="AB17" s="132">
        <v>35.845999999999997</v>
      </c>
      <c r="AC17" s="132">
        <v>26.512</v>
      </c>
      <c r="AD17" s="132">
        <v>15.446999999999999</v>
      </c>
      <c r="AE17" s="132">
        <v>50.287999999999997</v>
      </c>
      <c r="AF17" s="132">
        <v>36.348999999999997</v>
      </c>
      <c r="AG17" s="132">
        <v>6.9880000000000004</v>
      </c>
      <c r="AH17" s="132">
        <v>5.375</v>
      </c>
      <c r="AI17" s="132">
        <v>4.7489999999999997</v>
      </c>
      <c r="AJ17" s="132">
        <v>7.1040000000000001</v>
      </c>
      <c r="AK17" s="132">
        <v>12.404</v>
      </c>
      <c r="AL17" s="132">
        <v>26.596</v>
      </c>
      <c r="AM17" s="302">
        <v>13.866</v>
      </c>
    </row>
    <row r="18" spans="2:39" ht="11.25" customHeight="1" x14ac:dyDescent="0.25">
      <c r="B18" s="130" t="s">
        <v>198</v>
      </c>
      <c r="C18" s="131" t="s">
        <v>35</v>
      </c>
      <c r="D18" s="131">
        <v>0</v>
      </c>
      <c r="E18" s="132">
        <v>0</v>
      </c>
      <c r="F18" s="132">
        <v>0</v>
      </c>
      <c r="G18" s="132">
        <v>0</v>
      </c>
      <c r="H18" s="132">
        <v>0</v>
      </c>
      <c r="I18" s="132">
        <v>0</v>
      </c>
      <c r="J18" s="132">
        <v>0</v>
      </c>
      <c r="K18" s="132">
        <v>0</v>
      </c>
      <c r="L18" s="132">
        <v>0</v>
      </c>
      <c r="M18" s="132">
        <v>0</v>
      </c>
      <c r="N18" s="132">
        <v>0</v>
      </c>
      <c r="O18" s="132">
        <v>0</v>
      </c>
      <c r="P18" s="132">
        <v>0</v>
      </c>
      <c r="Q18" s="132">
        <v>0</v>
      </c>
      <c r="R18" s="132">
        <v>0</v>
      </c>
      <c r="S18" s="132">
        <v>0</v>
      </c>
      <c r="T18" s="132">
        <v>0</v>
      </c>
      <c r="U18" s="132">
        <v>0</v>
      </c>
      <c r="V18" s="132">
        <v>0</v>
      </c>
      <c r="W18" s="132">
        <v>0</v>
      </c>
      <c r="X18" s="132">
        <v>0</v>
      </c>
      <c r="Y18" s="132">
        <v>0</v>
      </c>
      <c r="Z18" s="132">
        <v>0</v>
      </c>
      <c r="AA18" s="132">
        <v>0</v>
      </c>
      <c r="AB18" s="132">
        <v>0</v>
      </c>
      <c r="AC18" s="132">
        <v>0</v>
      </c>
      <c r="AD18" s="132">
        <v>0</v>
      </c>
      <c r="AE18" s="132">
        <v>0</v>
      </c>
      <c r="AF18" s="132">
        <v>6.468</v>
      </c>
      <c r="AG18" s="132">
        <v>0</v>
      </c>
      <c r="AH18" s="132">
        <v>0</v>
      </c>
      <c r="AI18" s="132">
        <v>7.0000000000000001E-3</v>
      </c>
      <c r="AJ18" s="132">
        <v>5.8000000000000003E-2</v>
      </c>
      <c r="AK18" s="132">
        <v>0</v>
      </c>
      <c r="AL18" s="132">
        <v>3.5000000000000003E-2</v>
      </c>
      <c r="AM18" s="302">
        <v>2.3719999999999999</v>
      </c>
    </row>
    <row r="19" spans="2:39" ht="11.25" customHeight="1" x14ac:dyDescent="0.25">
      <c r="B19" s="130" t="s">
        <v>199</v>
      </c>
      <c r="C19" s="131" t="s">
        <v>35</v>
      </c>
      <c r="D19" s="131">
        <v>0</v>
      </c>
      <c r="E19" s="132">
        <v>0</v>
      </c>
      <c r="F19" s="132">
        <v>0</v>
      </c>
      <c r="G19" s="132">
        <v>0.20799999999999999</v>
      </c>
      <c r="H19" s="132">
        <v>0</v>
      </c>
      <c r="I19" s="132">
        <v>0</v>
      </c>
      <c r="J19" s="132">
        <v>1.1259999999999999</v>
      </c>
      <c r="K19" s="132">
        <v>29.83</v>
      </c>
      <c r="L19" s="132">
        <v>0</v>
      </c>
      <c r="M19" s="132">
        <v>3.1E-2</v>
      </c>
      <c r="N19" s="132">
        <v>0.06</v>
      </c>
      <c r="O19" s="132">
        <v>0</v>
      </c>
      <c r="P19" s="132">
        <v>0</v>
      </c>
      <c r="Q19" s="132">
        <v>0</v>
      </c>
      <c r="R19" s="132">
        <v>0</v>
      </c>
      <c r="S19" s="132">
        <v>0.53</v>
      </c>
      <c r="T19" s="132">
        <v>0.501</v>
      </c>
      <c r="U19" s="132">
        <v>0</v>
      </c>
      <c r="V19" s="132">
        <v>0</v>
      </c>
      <c r="W19" s="132">
        <v>0</v>
      </c>
      <c r="X19" s="132">
        <v>0</v>
      </c>
      <c r="Y19" s="132">
        <v>0</v>
      </c>
      <c r="Z19" s="132">
        <v>14.561999999999999</v>
      </c>
      <c r="AA19" s="132">
        <v>0</v>
      </c>
      <c r="AB19" s="132">
        <v>0</v>
      </c>
      <c r="AC19" s="132">
        <v>0.34300000000000003</v>
      </c>
      <c r="AD19" s="132">
        <v>0.8</v>
      </c>
      <c r="AE19" s="132">
        <v>16.167000000000002</v>
      </c>
      <c r="AF19" s="132">
        <v>270.16000000000003</v>
      </c>
      <c r="AG19" s="132">
        <v>449.798</v>
      </c>
      <c r="AH19" s="132">
        <v>299.17099999999999</v>
      </c>
      <c r="AI19" s="132">
        <v>487.149</v>
      </c>
      <c r="AJ19" s="132">
        <v>218.886</v>
      </c>
      <c r="AK19" s="132">
        <v>401.84500000000003</v>
      </c>
      <c r="AL19" s="132">
        <v>394.04500000000002</v>
      </c>
      <c r="AM19" s="302">
        <v>224.45400000000001</v>
      </c>
    </row>
    <row r="20" spans="2:39" ht="11.25" customHeight="1" x14ac:dyDescent="0.25">
      <c r="B20" s="130" t="s">
        <v>200</v>
      </c>
      <c r="C20" s="131" t="s">
        <v>35</v>
      </c>
      <c r="D20" s="131">
        <v>0</v>
      </c>
      <c r="E20" s="132">
        <v>0</v>
      </c>
      <c r="F20" s="132">
        <v>0</v>
      </c>
      <c r="G20" s="132">
        <v>0</v>
      </c>
      <c r="H20" s="132">
        <v>0</v>
      </c>
      <c r="I20" s="132">
        <v>0</v>
      </c>
      <c r="J20" s="132">
        <v>0</v>
      </c>
      <c r="K20" s="132">
        <v>0</v>
      </c>
      <c r="L20" s="132">
        <v>0</v>
      </c>
      <c r="M20" s="132">
        <v>0</v>
      </c>
      <c r="N20" s="132">
        <v>0</v>
      </c>
      <c r="O20" s="132">
        <v>0</v>
      </c>
      <c r="P20" s="132">
        <v>0</v>
      </c>
      <c r="Q20" s="132">
        <v>0</v>
      </c>
      <c r="R20" s="132">
        <v>0</v>
      </c>
      <c r="S20" s="132">
        <v>0</v>
      </c>
      <c r="T20" s="132">
        <v>0</v>
      </c>
      <c r="U20" s="132">
        <v>0</v>
      </c>
      <c r="V20" s="132">
        <v>0</v>
      </c>
      <c r="W20" s="132">
        <v>0</v>
      </c>
      <c r="X20" s="132">
        <v>0</v>
      </c>
      <c r="Y20" s="132">
        <v>0</v>
      </c>
      <c r="Z20" s="132">
        <v>150.72499999999999</v>
      </c>
      <c r="AA20" s="132">
        <v>33.271999999999998</v>
      </c>
      <c r="AB20" s="132">
        <v>11.137</v>
      </c>
      <c r="AC20" s="132">
        <v>44.667999999999999</v>
      </c>
      <c r="AD20" s="132">
        <v>7.6159999999999997</v>
      </c>
      <c r="AE20" s="132">
        <v>30.268999999999998</v>
      </c>
      <c r="AF20" s="132">
        <v>80.611000000000004</v>
      </c>
      <c r="AG20" s="132">
        <v>53.24</v>
      </c>
      <c r="AH20" s="132">
        <v>62.05</v>
      </c>
      <c r="AI20" s="132">
        <v>30.83</v>
      </c>
      <c r="AJ20" s="132">
        <v>5.7880000000000003</v>
      </c>
      <c r="AK20" s="132">
        <v>23.513999999999999</v>
      </c>
      <c r="AL20" s="132">
        <v>10.797000000000001</v>
      </c>
      <c r="AM20" s="302">
        <v>48.636000000000003</v>
      </c>
    </row>
    <row r="21" spans="2:39" ht="11.25" customHeight="1" x14ac:dyDescent="0.25">
      <c r="B21" s="130" t="s">
        <v>201</v>
      </c>
      <c r="C21" s="131" t="s">
        <v>35</v>
      </c>
      <c r="D21" s="131">
        <v>0.39700000000000002</v>
      </c>
      <c r="E21" s="132">
        <v>0.94499999999999995</v>
      </c>
      <c r="F21" s="132">
        <v>2.2949999999999999</v>
      </c>
      <c r="G21" s="132">
        <v>6.008</v>
      </c>
      <c r="H21" s="132">
        <v>1.232</v>
      </c>
      <c r="I21" s="132">
        <v>311.78800000000001</v>
      </c>
      <c r="J21" s="132">
        <v>13.795</v>
      </c>
      <c r="K21" s="132">
        <v>24.687999999999999</v>
      </c>
      <c r="L21" s="132">
        <v>0.36799999999999999</v>
      </c>
      <c r="M21" s="132">
        <v>2.4E-2</v>
      </c>
      <c r="N21" s="132">
        <v>8.52</v>
      </c>
      <c r="O21" s="132">
        <v>0.19400000000000001</v>
      </c>
      <c r="P21" s="132">
        <v>0.377</v>
      </c>
      <c r="Q21" s="132">
        <v>6.9020000000000001</v>
      </c>
      <c r="R21" s="132">
        <v>9.5879999999999992</v>
      </c>
      <c r="S21" s="132">
        <v>15.492000000000001</v>
      </c>
      <c r="T21" s="132">
        <v>1.9E-2</v>
      </c>
      <c r="U21" s="132">
        <v>5.6000000000000001E-2</v>
      </c>
      <c r="V21" s="132">
        <v>0.14199999999999999</v>
      </c>
      <c r="W21" s="132">
        <v>6.0000000000000001E-3</v>
      </c>
      <c r="X21" s="132">
        <v>4.0000000000000001E-3</v>
      </c>
      <c r="Y21" s="132">
        <v>1E-3</v>
      </c>
      <c r="Z21" s="132">
        <v>0</v>
      </c>
      <c r="AA21" s="132">
        <v>0</v>
      </c>
      <c r="AB21" s="132">
        <v>0</v>
      </c>
      <c r="AC21" s="132">
        <v>2E-3</v>
      </c>
      <c r="AD21" s="132">
        <v>0</v>
      </c>
      <c r="AE21" s="132">
        <v>0</v>
      </c>
      <c r="AF21" s="132">
        <v>0</v>
      </c>
      <c r="AG21" s="132">
        <v>5.8999999999999997E-2</v>
      </c>
      <c r="AH21" s="132">
        <v>0</v>
      </c>
      <c r="AI21" s="132">
        <v>0</v>
      </c>
      <c r="AJ21" s="132">
        <v>2E-3</v>
      </c>
      <c r="AK21" s="132">
        <v>0</v>
      </c>
      <c r="AL21" s="132">
        <v>1.6020000000000001</v>
      </c>
      <c r="AM21" s="302">
        <v>2.09</v>
      </c>
    </row>
    <row r="22" spans="2:39" ht="11.25" customHeight="1" x14ac:dyDescent="0.25">
      <c r="B22" s="130" t="s">
        <v>202</v>
      </c>
      <c r="C22" s="131" t="s">
        <v>35</v>
      </c>
      <c r="D22" s="131">
        <v>0</v>
      </c>
      <c r="E22" s="132">
        <v>0</v>
      </c>
      <c r="F22" s="132">
        <v>0</v>
      </c>
      <c r="G22" s="132">
        <v>0</v>
      </c>
      <c r="H22" s="132">
        <v>0</v>
      </c>
      <c r="I22" s="132">
        <v>0</v>
      </c>
      <c r="J22" s="132">
        <v>0</v>
      </c>
      <c r="K22" s="132">
        <v>0</v>
      </c>
      <c r="L22" s="132">
        <v>0</v>
      </c>
      <c r="M22" s="132">
        <v>0</v>
      </c>
      <c r="N22" s="132">
        <v>0</v>
      </c>
      <c r="O22" s="132">
        <v>0</v>
      </c>
      <c r="P22" s="132">
        <v>0</v>
      </c>
      <c r="Q22" s="132">
        <v>0</v>
      </c>
      <c r="R22" s="132">
        <v>0</v>
      </c>
      <c r="S22" s="132">
        <v>0</v>
      </c>
      <c r="T22" s="132">
        <v>0</v>
      </c>
      <c r="U22" s="132">
        <v>0</v>
      </c>
      <c r="V22" s="132">
        <v>0</v>
      </c>
      <c r="W22" s="132">
        <v>0</v>
      </c>
      <c r="X22" s="132">
        <v>0</v>
      </c>
      <c r="Y22" s="132">
        <v>0</v>
      </c>
      <c r="Z22" s="132">
        <v>0</v>
      </c>
      <c r="AA22" s="132">
        <v>0</v>
      </c>
      <c r="AB22" s="132">
        <v>0</v>
      </c>
      <c r="AC22" s="132">
        <v>0</v>
      </c>
      <c r="AD22" s="132">
        <v>1.4999999999999999E-2</v>
      </c>
      <c r="AE22" s="132">
        <v>0.26500000000000001</v>
      </c>
      <c r="AF22" s="132">
        <v>0</v>
      </c>
      <c r="AG22" s="132">
        <v>0</v>
      </c>
      <c r="AH22" s="132">
        <v>0</v>
      </c>
      <c r="AI22" s="132">
        <v>0</v>
      </c>
      <c r="AJ22" s="132">
        <v>0</v>
      </c>
      <c r="AK22" s="132">
        <v>0</v>
      </c>
      <c r="AL22" s="132">
        <v>0</v>
      </c>
      <c r="AM22" s="302">
        <v>0</v>
      </c>
    </row>
    <row r="23" spans="2:39" ht="11.25" customHeight="1" x14ac:dyDescent="0.25">
      <c r="B23" s="130" t="s">
        <v>203</v>
      </c>
      <c r="C23" s="131" t="s">
        <v>35</v>
      </c>
      <c r="D23" s="131">
        <v>5.16</v>
      </c>
      <c r="E23" s="132">
        <v>9.2999999999999999E-2</v>
      </c>
      <c r="F23" s="132">
        <v>0.35299999999999998</v>
      </c>
      <c r="G23" s="132">
        <v>3.8580000000000001</v>
      </c>
      <c r="H23" s="132">
        <v>99.525000000000006</v>
      </c>
      <c r="I23" s="132">
        <v>0.315</v>
      </c>
      <c r="J23" s="132">
        <v>0.311</v>
      </c>
      <c r="K23" s="132">
        <v>28.51</v>
      </c>
      <c r="L23" s="132">
        <v>0</v>
      </c>
      <c r="M23" s="132">
        <v>15.378</v>
      </c>
      <c r="N23" s="132">
        <v>32.094000000000001</v>
      </c>
      <c r="O23" s="132">
        <v>25.215</v>
      </c>
      <c r="P23" s="132">
        <v>88.555000000000007</v>
      </c>
      <c r="Q23" s="132">
        <v>40.841000000000001</v>
      </c>
      <c r="R23" s="132">
        <v>32.195999999999998</v>
      </c>
      <c r="S23" s="132">
        <v>11.808999999999999</v>
      </c>
      <c r="T23" s="132">
        <v>0.255</v>
      </c>
      <c r="U23" s="132">
        <v>1.194</v>
      </c>
      <c r="V23" s="132">
        <v>1.7370000000000001</v>
      </c>
      <c r="W23" s="132">
        <v>6.9530000000000003</v>
      </c>
      <c r="X23" s="132">
        <v>0.96299999999999997</v>
      </c>
      <c r="Y23" s="132">
        <v>0</v>
      </c>
      <c r="Z23" s="132">
        <v>18.555</v>
      </c>
      <c r="AA23" s="132">
        <v>25.515000000000001</v>
      </c>
      <c r="AB23" s="132">
        <v>1.3640000000000001</v>
      </c>
      <c r="AC23" s="132">
        <v>4.665</v>
      </c>
      <c r="AD23" s="132">
        <v>7.2960000000000003</v>
      </c>
      <c r="AE23" s="132">
        <v>75.234999999999999</v>
      </c>
      <c r="AF23" s="132">
        <v>13.914999999999999</v>
      </c>
      <c r="AG23" s="132">
        <v>5.58</v>
      </c>
      <c r="AH23" s="132">
        <v>12.492000000000001</v>
      </c>
      <c r="AI23" s="132">
        <v>56.497999999999998</v>
      </c>
      <c r="AJ23" s="132">
        <v>7.4020000000000001</v>
      </c>
      <c r="AK23" s="132">
        <v>5.4160000000000004</v>
      </c>
      <c r="AL23" s="132">
        <v>22.544</v>
      </c>
      <c r="AM23" s="302">
        <v>17.574000000000002</v>
      </c>
    </row>
    <row r="24" spans="2:39" ht="11.25" customHeight="1" x14ac:dyDescent="0.25">
      <c r="B24" s="130" t="s">
        <v>204</v>
      </c>
      <c r="C24" s="131" t="s">
        <v>35</v>
      </c>
      <c r="D24" s="131">
        <v>379.12900000000002</v>
      </c>
      <c r="E24" s="132">
        <v>480.42</v>
      </c>
      <c r="F24" s="132">
        <v>587.48800000000006</v>
      </c>
      <c r="G24" s="132">
        <v>675.32600000000002</v>
      </c>
      <c r="H24" s="132">
        <v>810.57899999999995</v>
      </c>
      <c r="I24" s="132">
        <v>667.947</v>
      </c>
      <c r="J24" s="132">
        <v>625.32100000000003</v>
      </c>
      <c r="K24" s="132">
        <v>545.66099999999994</v>
      </c>
      <c r="L24" s="132">
        <v>478.10899999999998</v>
      </c>
      <c r="M24" s="132">
        <v>372.19900000000001</v>
      </c>
      <c r="N24" s="132">
        <v>499.53500000000003</v>
      </c>
      <c r="O24" s="132">
        <v>553.24400000000003</v>
      </c>
      <c r="P24" s="132">
        <v>526.70500000000004</v>
      </c>
      <c r="Q24" s="132">
        <v>348.32799999999997</v>
      </c>
      <c r="R24" s="132">
        <v>354.56799999999998</v>
      </c>
      <c r="S24" s="132">
        <v>324.404</v>
      </c>
      <c r="T24" s="132">
        <v>243.946</v>
      </c>
      <c r="U24" s="132">
        <v>310.11</v>
      </c>
      <c r="V24" s="132">
        <v>255.93899999999999</v>
      </c>
      <c r="W24" s="132">
        <v>198.35300000000001</v>
      </c>
      <c r="X24" s="132">
        <v>179.99100000000001</v>
      </c>
      <c r="Y24" s="132">
        <v>266.72300000000001</v>
      </c>
      <c r="Z24" s="132">
        <v>384.02199999999999</v>
      </c>
      <c r="AA24" s="132">
        <v>268.13799999999998</v>
      </c>
      <c r="AB24" s="132">
        <v>254.35599999999999</v>
      </c>
      <c r="AC24" s="132">
        <v>170.83</v>
      </c>
      <c r="AD24" s="132">
        <v>133.84</v>
      </c>
      <c r="AE24" s="132">
        <v>60.771000000000001</v>
      </c>
      <c r="AF24" s="132">
        <v>65.736000000000004</v>
      </c>
      <c r="AG24" s="132">
        <v>42.62</v>
      </c>
      <c r="AH24" s="132">
        <v>32.238999999999997</v>
      </c>
      <c r="AI24" s="132">
        <v>19.91</v>
      </c>
      <c r="AJ24" s="132">
        <v>25.452000000000002</v>
      </c>
      <c r="AK24" s="132">
        <v>27.164000000000001</v>
      </c>
      <c r="AL24" s="132">
        <v>13.487</v>
      </c>
      <c r="AM24" s="302">
        <v>17.117000000000001</v>
      </c>
    </row>
    <row r="25" spans="2:39" ht="11.25" customHeight="1" x14ac:dyDescent="0.25">
      <c r="B25" s="130" t="s">
        <v>205</v>
      </c>
      <c r="C25" s="131" t="s">
        <v>35</v>
      </c>
      <c r="D25" s="131">
        <v>0</v>
      </c>
      <c r="E25" s="132">
        <v>0</v>
      </c>
      <c r="F25" s="132">
        <v>0</v>
      </c>
      <c r="G25" s="132">
        <v>0</v>
      </c>
      <c r="H25" s="132">
        <v>0</v>
      </c>
      <c r="I25" s="132">
        <v>0</v>
      </c>
      <c r="J25" s="132">
        <v>0</v>
      </c>
      <c r="K25" s="132">
        <v>0</v>
      </c>
      <c r="L25" s="132">
        <v>0</v>
      </c>
      <c r="M25" s="132">
        <v>0</v>
      </c>
      <c r="N25" s="132">
        <v>0</v>
      </c>
      <c r="O25" s="132">
        <v>0</v>
      </c>
      <c r="P25" s="132">
        <v>0</v>
      </c>
      <c r="Q25" s="132">
        <v>0</v>
      </c>
      <c r="R25" s="132">
        <v>0</v>
      </c>
      <c r="S25" s="132">
        <v>0</v>
      </c>
      <c r="T25" s="132">
        <v>0</v>
      </c>
      <c r="U25" s="132">
        <v>0</v>
      </c>
      <c r="V25" s="132">
        <v>0</v>
      </c>
      <c r="W25" s="132">
        <v>0</v>
      </c>
      <c r="X25" s="132">
        <v>0</v>
      </c>
      <c r="Y25" s="132">
        <v>0</v>
      </c>
      <c r="Z25" s="132">
        <v>4.3680000000000003</v>
      </c>
      <c r="AA25" s="132">
        <v>0.18</v>
      </c>
      <c r="AB25" s="132">
        <v>0</v>
      </c>
      <c r="AC25" s="132">
        <v>16.178000000000001</v>
      </c>
      <c r="AD25" s="132">
        <v>4.4880000000000004</v>
      </c>
      <c r="AE25" s="132">
        <v>9.9250000000000007</v>
      </c>
      <c r="AF25" s="132">
        <v>4.1239999999999997</v>
      </c>
      <c r="AG25" s="132">
        <v>2.9630000000000001</v>
      </c>
      <c r="AH25" s="132">
        <v>3.8679999999999999</v>
      </c>
      <c r="AI25" s="132">
        <v>2.6949999999999998</v>
      </c>
      <c r="AJ25" s="132">
        <v>12.365</v>
      </c>
      <c r="AK25" s="132">
        <v>3.819</v>
      </c>
      <c r="AL25" s="132">
        <v>58.24</v>
      </c>
      <c r="AM25" s="302">
        <v>57.951999999999998</v>
      </c>
    </row>
    <row r="26" spans="2:39" ht="11.25" customHeight="1" x14ac:dyDescent="0.25">
      <c r="B26" s="130" t="s">
        <v>244</v>
      </c>
      <c r="C26" s="131" t="s">
        <v>35</v>
      </c>
      <c r="D26" s="131">
        <v>9.0030000000000001</v>
      </c>
      <c r="E26" s="132">
        <v>0.3</v>
      </c>
      <c r="F26" s="132">
        <v>0</v>
      </c>
      <c r="G26" s="132">
        <v>43.5</v>
      </c>
      <c r="H26" s="132">
        <v>2.5</v>
      </c>
      <c r="I26" s="132">
        <v>5</v>
      </c>
      <c r="J26" s="132">
        <v>2.5</v>
      </c>
      <c r="K26" s="132">
        <v>65.77</v>
      </c>
      <c r="L26" s="132">
        <v>586.87400000000002</v>
      </c>
      <c r="M26" s="132">
        <v>0.92100000000000004</v>
      </c>
      <c r="N26" s="132">
        <v>221.2</v>
      </c>
      <c r="O26" s="132">
        <v>94.225999999999999</v>
      </c>
      <c r="P26" s="132">
        <v>0</v>
      </c>
      <c r="Q26" s="132">
        <v>0.3</v>
      </c>
      <c r="R26" s="132">
        <v>7.4999999999999997E-2</v>
      </c>
      <c r="S26" s="132">
        <v>7.84</v>
      </c>
      <c r="T26" s="132">
        <v>0</v>
      </c>
      <c r="U26" s="132">
        <v>0.23799999999999999</v>
      </c>
      <c r="V26" s="132">
        <v>57.031999999999996</v>
      </c>
      <c r="W26" s="132">
        <v>0.2</v>
      </c>
      <c r="X26" s="132">
        <v>0.3</v>
      </c>
      <c r="Y26" s="132">
        <v>0.1</v>
      </c>
      <c r="Z26" s="132">
        <v>0.55000000000000004</v>
      </c>
      <c r="AA26" s="132">
        <v>1.4</v>
      </c>
      <c r="AB26" s="132">
        <v>0.35</v>
      </c>
      <c r="AC26" s="132">
        <v>29.06</v>
      </c>
      <c r="AD26" s="132">
        <v>2.403</v>
      </c>
      <c r="AE26" s="132">
        <v>13.053000000000001</v>
      </c>
      <c r="AF26" s="132">
        <v>37.244999999999997</v>
      </c>
      <c r="AG26" s="132">
        <v>17.195</v>
      </c>
      <c r="AH26" s="132">
        <v>16.827999999999999</v>
      </c>
      <c r="AI26" s="132">
        <v>3.4289999999999998</v>
      </c>
      <c r="AJ26" s="132">
        <v>7.4210000000000003</v>
      </c>
      <c r="AK26" s="132">
        <v>347.64800000000002</v>
      </c>
      <c r="AL26" s="132">
        <v>250.34200000000001</v>
      </c>
      <c r="AM26" s="302">
        <v>0.38500000000000001</v>
      </c>
    </row>
    <row r="27" spans="2:39" ht="11.25" customHeight="1" x14ac:dyDescent="0.25">
      <c r="B27" s="130" t="s">
        <v>245</v>
      </c>
      <c r="C27" s="131" t="s">
        <v>35</v>
      </c>
      <c r="D27" s="131">
        <v>0</v>
      </c>
      <c r="E27" s="132">
        <v>0</v>
      </c>
      <c r="F27" s="132">
        <v>0</v>
      </c>
      <c r="G27" s="132">
        <v>0.97299999999999998</v>
      </c>
      <c r="H27" s="132">
        <v>0.5</v>
      </c>
      <c r="I27" s="132">
        <v>0</v>
      </c>
      <c r="J27" s="132">
        <v>2.5339999999999998</v>
      </c>
      <c r="K27" s="132">
        <v>0</v>
      </c>
      <c r="L27" s="132">
        <v>0</v>
      </c>
      <c r="M27" s="132">
        <v>0</v>
      </c>
      <c r="N27" s="132">
        <v>0.33700000000000002</v>
      </c>
      <c r="O27" s="132">
        <v>0</v>
      </c>
      <c r="P27" s="132">
        <v>0</v>
      </c>
      <c r="Q27" s="132">
        <v>0</v>
      </c>
      <c r="R27" s="132">
        <v>0</v>
      </c>
      <c r="S27" s="132">
        <v>0</v>
      </c>
      <c r="T27" s="132">
        <v>6.6000000000000003E-2</v>
      </c>
      <c r="U27" s="132">
        <v>2.1999999999999999E-2</v>
      </c>
      <c r="V27" s="132">
        <v>0</v>
      </c>
      <c r="W27" s="132">
        <v>0</v>
      </c>
      <c r="X27" s="132">
        <v>0</v>
      </c>
      <c r="Y27" s="132">
        <v>0</v>
      </c>
      <c r="Z27" s="132">
        <v>0</v>
      </c>
      <c r="AA27" s="132">
        <v>0</v>
      </c>
      <c r="AB27" s="132">
        <v>0</v>
      </c>
      <c r="AC27" s="132">
        <v>0</v>
      </c>
      <c r="AD27" s="132">
        <v>0</v>
      </c>
      <c r="AE27" s="132">
        <v>0</v>
      </c>
      <c r="AF27" s="132">
        <v>0</v>
      </c>
      <c r="AG27" s="132">
        <v>0</v>
      </c>
      <c r="AH27" s="132">
        <v>0</v>
      </c>
      <c r="AI27" s="132">
        <v>0.10299999999999999</v>
      </c>
      <c r="AJ27" s="132">
        <v>0</v>
      </c>
      <c r="AK27" s="132">
        <v>0</v>
      </c>
      <c r="AL27" s="132">
        <v>0</v>
      </c>
      <c r="AM27" s="302">
        <v>1.002</v>
      </c>
    </row>
    <row r="28" spans="2:39" ht="11.25" customHeight="1" x14ac:dyDescent="0.25">
      <c r="B28" s="130" t="s">
        <v>246</v>
      </c>
      <c r="C28" s="131" t="s">
        <v>35</v>
      </c>
      <c r="D28" s="131">
        <v>25.346</v>
      </c>
      <c r="E28" s="132">
        <v>14.616</v>
      </c>
      <c r="F28" s="132">
        <v>3.431</v>
      </c>
      <c r="G28" s="132">
        <v>20.478999999999999</v>
      </c>
      <c r="H28" s="132">
        <v>14.404</v>
      </c>
      <c r="I28" s="132">
        <v>20.61</v>
      </c>
      <c r="J28" s="132">
        <v>3.6989999999999998</v>
      </c>
      <c r="K28" s="132">
        <v>21.582999999999998</v>
      </c>
      <c r="L28" s="132">
        <v>10.669</v>
      </c>
      <c r="M28" s="132">
        <v>0.63600000000000001</v>
      </c>
      <c r="N28" s="132">
        <v>3.887</v>
      </c>
      <c r="O28" s="132">
        <v>100.291</v>
      </c>
      <c r="P28" s="132">
        <v>3.4809999999999999</v>
      </c>
      <c r="Q28" s="132">
        <v>0.64100000000000001</v>
      </c>
      <c r="R28" s="132">
        <v>58.942999999999998</v>
      </c>
      <c r="S28" s="132">
        <v>0.2</v>
      </c>
      <c r="T28" s="132">
        <v>9.2999999999999999E-2</v>
      </c>
      <c r="U28" s="132">
        <v>2.8769999999999998</v>
      </c>
      <c r="V28" s="132">
        <v>0.158</v>
      </c>
      <c r="W28" s="132">
        <v>63.182000000000002</v>
      </c>
      <c r="X28" s="132">
        <v>2.5000000000000001E-2</v>
      </c>
      <c r="Y28" s="132">
        <v>10.339</v>
      </c>
      <c r="Z28" s="132">
        <v>6.5000000000000002E-2</v>
      </c>
      <c r="AA28" s="132">
        <v>7.0000000000000001E-3</v>
      </c>
      <c r="AB28" s="132">
        <v>21.544</v>
      </c>
      <c r="AC28" s="132">
        <v>8.8979999999999997</v>
      </c>
      <c r="AD28" s="132">
        <v>14.786</v>
      </c>
      <c r="AE28" s="132">
        <v>5.8000000000000003E-2</v>
      </c>
      <c r="AF28" s="132">
        <v>0.31</v>
      </c>
      <c r="AG28" s="132">
        <v>0.77400000000000002</v>
      </c>
      <c r="AH28" s="132">
        <v>4.3289999999999997</v>
      </c>
      <c r="AI28" s="132">
        <v>25.06</v>
      </c>
      <c r="AJ28" s="132">
        <v>12.976000000000001</v>
      </c>
      <c r="AK28" s="132">
        <v>4.2359999999999998</v>
      </c>
      <c r="AL28" s="132">
        <v>40.058999999999997</v>
      </c>
      <c r="AM28" s="302">
        <v>20.331</v>
      </c>
    </row>
    <row r="29" spans="2:39" ht="11.25" customHeight="1" x14ac:dyDescent="0.25">
      <c r="B29" s="130" t="s">
        <v>247</v>
      </c>
      <c r="C29" s="131" t="s">
        <v>35</v>
      </c>
      <c r="D29" s="131">
        <v>2.1030000000000002</v>
      </c>
      <c r="E29" s="132">
        <v>31.658000000000001</v>
      </c>
      <c r="F29" s="132">
        <v>1.286</v>
      </c>
      <c r="G29" s="132">
        <v>40.908999999999999</v>
      </c>
      <c r="H29" s="132">
        <v>38.304000000000002</v>
      </c>
      <c r="I29" s="132">
        <v>159.71899999999999</v>
      </c>
      <c r="J29" s="132">
        <v>140.654</v>
      </c>
      <c r="K29" s="132">
        <v>46.453000000000003</v>
      </c>
      <c r="L29" s="132">
        <v>295.64999999999998</v>
      </c>
      <c r="M29" s="132">
        <v>28.640999999999998</v>
      </c>
      <c r="N29" s="132">
        <v>455.18299999999999</v>
      </c>
      <c r="O29" s="132">
        <v>1334.173</v>
      </c>
      <c r="P29" s="132">
        <v>1206.0820000000001</v>
      </c>
      <c r="Q29" s="132">
        <v>103.944</v>
      </c>
      <c r="R29" s="132">
        <v>57.89</v>
      </c>
      <c r="S29" s="132">
        <v>82.741</v>
      </c>
      <c r="T29" s="132">
        <v>132.792</v>
      </c>
      <c r="U29" s="132">
        <v>18.850999999999999</v>
      </c>
      <c r="V29" s="132">
        <v>26.513999999999999</v>
      </c>
      <c r="W29" s="132">
        <v>69.135999999999996</v>
      </c>
      <c r="X29" s="132">
        <v>276.15699999999998</v>
      </c>
      <c r="Y29" s="132">
        <v>59.884</v>
      </c>
      <c r="Z29" s="132">
        <v>79.727000000000004</v>
      </c>
      <c r="AA29" s="132">
        <v>63.328000000000003</v>
      </c>
      <c r="AB29" s="132">
        <v>32.146000000000001</v>
      </c>
      <c r="AC29" s="132">
        <v>249.42599999999999</v>
      </c>
      <c r="AD29" s="132">
        <v>11380.847</v>
      </c>
      <c r="AE29" s="132">
        <v>6794.3220000000001</v>
      </c>
      <c r="AF29" s="132">
        <v>25.405000000000001</v>
      </c>
      <c r="AG29" s="132">
        <v>67.655000000000001</v>
      </c>
      <c r="AH29" s="132">
        <v>18.228999999999999</v>
      </c>
      <c r="AI29" s="132">
        <v>30.716000000000001</v>
      </c>
      <c r="AJ29" s="132">
        <v>7.8849999999999998</v>
      </c>
      <c r="AK29" s="132">
        <v>8.5039999999999996</v>
      </c>
      <c r="AL29" s="132">
        <v>3.9980000000000002</v>
      </c>
      <c r="AM29" s="302">
        <v>9.8819999999999997</v>
      </c>
    </row>
    <row r="30" spans="2:39" ht="11.25" customHeight="1" x14ac:dyDescent="0.25">
      <c r="B30" s="130" t="s">
        <v>209</v>
      </c>
      <c r="C30" s="131" t="s">
        <v>35</v>
      </c>
      <c r="D30" s="131">
        <v>15.496</v>
      </c>
      <c r="E30" s="132">
        <v>1.25</v>
      </c>
      <c r="F30" s="132">
        <v>0</v>
      </c>
      <c r="G30" s="132">
        <v>0</v>
      </c>
      <c r="H30" s="132">
        <v>4.1130000000000004</v>
      </c>
      <c r="I30" s="132">
        <v>1.4850000000000001</v>
      </c>
      <c r="J30" s="132">
        <v>0.29099999999999998</v>
      </c>
      <c r="K30" s="132">
        <v>0</v>
      </c>
      <c r="L30" s="132">
        <v>0</v>
      </c>
      <c r="M30" s="132">
        <v>3.1789999999999998</v>
      </c>
      <c r="N30" s="132">
        <v>0</v>
      </c>
      <c r="O30" s="132">
        <v>0</v>
      </c>
      <c r="P30" s="132">
        <v>0</v>
      </c>
      <c r="Q30" s="132">
        <v>0</v>
      </c>
      <c r="R30" s="132">
        <v>3.2000000000000001E-2</v>
      </c>
      <c r="S30" s="132">
        <v>0</v>
      </c>
      <c r="T30" s="132">
        <v>0</v>
      </c>
      <c r="U30" s="132">
        <v>0</v>
      </c>
      <c r="V30" s="132">
        <v>0</v>
      </c>
      <c r="W30" s="132">
        <v>0.30199999999999999</v>
      </c>
      <c r="X30" s="132">
        <v>0</v>
      </c>
      <c r="Y30" s="132">
        <v>3.4590000000000001</v>
      </c>
      <c r="Z30" s="132">
        <v>0</v>
      </c>
      <c r="AA30" s="132">
        <v>0</v>
      </c>
      <c r="AB30" s="132">
        <v>0</v>
      </c>
      <c r="AC30" s="132">
        <v>0</v>
      </c>
      <c r="AD30" s="132">
        <v>0</v>
      </c>
      <c r="AE30" s="132">
        <v>0</v>
      </c>
      <c r="AF30" s="132">
        <v>0</v>
      </c>
      <c r="AG30" s="132">
        <v>0</v>
      </c>
      <c r="AH30" s="132">
        <v>0</v>
      </c>
      <c r="AI30" s="132">
        <v>0</v>
      </c>
      <c r="AJ30" s="132">
        <v>1.2789999999999999</v>
      </c>
      <c r="AK30" s="132">
        <v>0.24199999999999999</v>
      </c>
      <c r="AL30" s="132">
        <v>1.2999999999999999E-2</v>
      </c>
      <c r="AM30" s="302">
        <v>0.14000000000000001</v>
      </c>
    </row>
    <row r="31" spans="2:39" ht="11.25" customHeight="1" x14ac:dyDescent="0.25">
      <c r="B31" s="130" t="s">
        <v>254</v>
      </c>
      <c r="C31" s="131" t="s">
        <v>35</v>
      </c>
      <c r="D31" s="131">
        <v>1117.614</v>
      </c>
      <c r="E31" s="132">
        <v>1750.23</v>
      </c>
      <c r="F31" s="132">
        <v>599.95500000000004</v>
      </c>
      <c r="G31" s="132">
        <v>1896.922</v>
      </c>
      <c r="H31" s="132">
        <v>2167.6129999999998</v>
      </c>
      <c r="I31" s="132">
        <v>2757.6640000000002</v>
      </c>
      <c r="J31" s="132">
        <v>3246.681</v>
      </c>
      <c r="K31" s="132">
        <v>3283.9070000000002</v>
      </c>
      <c r="L31" s="132">
        <v>2623.1129999999998</v>
      </c>
      <c r="M31" s="132">
        <v>2077.1</v>
      </c>
      <c r="N31" s="132">
        <v>1978.673</v>
      </c>
      <c r="O31" s="132">
        <v>3396.373</v>
      </c>
      <c r="P31" s="132">
        <v>3278.3820000000001</v>
      </c>
      <c r="Q31" s="132">
        <v>1940.403</v>
      </c>
      <c r="R31" s="132">
        <v>1089.077</v>
      </c>
      <c r="S31" s="132">
        <v>1805.4670000000001</v>
      </c>
      <c r="T31" s="132">
        <v>1548.057</v>
      </c>
      <c r="U31" s="132">
        <v>2069.1930000000002</v>
      </c>
      <c r="V31" s="132">
        <v>3265.9250000000002</v>
      </c>
      <c r="W31" s="132">
        <v>6881.06</v>
      </c>
      <c r="X31" s="132">
        <v>4288.665</v>
      </c>
      <c r="Y31" s="132">
        <v>6564.0929999999998</v>
      </c>
      <c r="Z31" s="132">
        <v>6057.19</v>
      </c>
      <c r="AA31" s="132">
        <v>2979.9609999999998</v>
      </c>
      <c r="AB31" s="132">
        <v>2251.5419999999999</v>
      </c>
      <c r="AC31" s="132">
        <v>5318.4250000000002</v>
      </c>
      <c r="AD31" s="132">
        <v>8401.33</v>
      </c>
      <c r="AE31" s="132">
        <v>5451.2809999999999</v>
      </c>
      <c r="AF31" s="132">
        <v>12817.528</v>
      </c>
      <c r="AG31" s="132">
        <v>9963.7019999999993</v>
      </c>
      <c r="AH31" s="132">
        <v>16507.222000000002</v>
      </c>
      <c r="AI31" s="132">
        <v>24469.53</v>
      </c>
      <c r="AJ31" s="132">
        <v>26536.734</v>
      </c>
      <c r="AK31" s="132">
        <v>23687.187000000002</v>
      </c>
      <c r="AL31" s="132">
        <v>21148.008000000002</v>
      </c>
      <c r="AM31" s="302">
        <v>21799.313999999998</v>
      </c>
    </row>
    <row r="32" spans="2:39" ht="11.25" customHeight="1" x14ac:dyDescent="0.25">
      <c r="B32" s="130" t="s">
        <v>248</v>
      </c>
      <c r="C32" s="131" t="s">
        <v>35</v>
      </c>
      <c r="D32" s="131">
        <v>33.381999999999998</v>
      </c>
      <c r="E32" s="132">
        <v>258.07900000000001</v>
      </c>
      <c r="F32" s="132">
        <v>68.900000000000006</v>
      </c>
      <c r="G32" s="132">
        <v>66.224000000000004</v>
      </c>
      <c r="H32" s="132">
        <v>5.0179999999999998</v>
      </c>
      <c r="I32" s="132">
        <v>93.575999999999993</v>
      </c>
      <c r="J32" s="132">
        <v>92.031999999999996</v>
      </c>
      <c r="K32" s="132">
        <v>55.945999999999998</v>
      </c>
      <c r="L32" s="132">
        <v>106.82899999999999</v>
      </c>
      <c r="M32" s="132">
        <v>109.72499999999999</v>
      </c>
      <c r="N32" s="132">
        <v>131.46799999999999</v>
      </c>
      <c r="O32" s="132">
        <v>63.23</v>
      </c>
      <c r="P32" s="132">
        <v>210.922</v>
      </c>
      <c r="Q32" s="132">
        <v>96.539000000000001</v>
      </c>
      <c r="R32" s="132">
        <v>160.86799999999999</v>
      </c>
      <c r="S32" s="132">
        <v>61.295999999999999</v>
      </c>
      <c r="T32" s="132">
        <v>71.686999999999998</v>
      </c>
      <c r="U32" s="132">
        <v>19.751000000000001</v>
      </c>
      <c r="V32" s="132">
        <v>53.728999999999999</v>
      </c>
      <c r="W32" s="132">
        <v>135.13999999999999</v>
      </c>
      <c r="X32" s="132">
        <v>49.415999999999997</v>
      </c>
      <c r="Y32" s="132">
        <v>75.680999999999997</v>
      </c>
      <c r="Z32" s="132">
        <v>52.445999999999998</v>
      </c>
      <c r="AA32" s="132">
        <v>76.162999999999997</v>
      </c>
      <c r="AB32" s="132">
        <v>138.929</v>
      </c>
      <c r="AC32" s="132">
        <v>26.417000000000002</v>
      </c>
      <c r="AD32" s="132">
        <v>23.381</v>
      </c>
      <c r="AE32" s="132">
        <v>4.9039999999999999</v>
      </c>
      <c r="AF32" s="132">
        <v>31.843</v>
      </c>
      <c r="AG32" s="132">
        <v>392.49099999999999</v>
      </c>
      <c r="AH32" s="132">
        <v>99.667000000000002</v>
      </c>
      <c r="AI32" s="132">
        <v>70.162999999999997</v>
      </c>
      <c r="AJ32" s="132">
        <v>29.792000000000002</v>
      </c>
      <c r="AK32" s="132">
        <v>7.508</v>
      </c>
      <c r="AL32" s="132">
        <v>18.488</v>
      </c>
      <c r="AM32" s="302">
        <v>78.853999999999999</v>
      </c>
    </row>
    <row r="33" spans="2:39" ht="11.25" customHeight="1" x14ac:dyDescent="0.25">
      <c r="B33" s="130" t="s">
        <v>211</v>
      </c>
      <c r="C33" s="131" t="s">
        <v>35</v>
      </c>
      <c r="D33" s="131">
        <v>0</v>
      </c>
      <c r="E33" s="132">
        <v>0</v>
      </c>
      <c r="F33" s="132">
        <v>0</v>
      </c>
      <c r="G33" s="132">
        <v>0</v>
      </c>
      <c r="H33" s="132">
        <v>0</v>
      </c>
      <c r="I33" s="132">
        <v>0</v>
      </c>
      <c r="J33" s="132">
        <v>0</v>
      </c>
      <c r="K33" s="132">
        <v>0.94</v>
      </c>
      <c r="L33" s="132">
        <v>15.055999999999999</v>
      </c>
      <c r="M33" s="132">
        <v>10.752000000000001</v>
      </c>
      <c r="N33" s="132">
        <v>3.9279999999999999</v>
      </c>
      <c r="O33" s="132">
        <v>1.4259999999999999</v>
      </c>
      <c r="P33" s="132">
        <v>0</v>
      </c>
      <c r="Q33" s="132">
        <v>0.26300000000000001</v>
      </c>
      <c r="R33" s="132">
        <v>0</v>
      </c>
      <c r="S33" s="132">
        <v>0</v>
      </c>
      <c r="T33" s="132">
        <v>0</v>
      </c>
      <c r="U33" s="132">
        <v>1.125</v>
      </c>
      <c r="V33" s="132">
        <v>0</v>
      </c>
      <c r="W33" s="132">
        <v>0.55000000000000004</v>
      </c>
      <c r="X33" s="132">
        <v>0.06</v>
      </c>
      <c r="Y33" s="132">
        <v>0</v>
      </c>
      <c r="Z33" s="132">
        <v>0</v>
      </c>
      <c r="AA33" s="132">
        <v>0</v>
      </c>
      <c r="AB33" s="132">
        <v>0</v>
      </c>
      <c r="AC33" s="132">
        <v>1.74</v>
      </c>
      <c r="AD33" s="132">
        <v>10.170999999999999</v>
      </c>
      <c r="AE33" s="132">
        <v>0</v>
      </c>
      <c r="AF33" s="132">
        <v>0</v>
      </c>
      <c r="AG33" s="132">
        <v>0</v>
      </c>
      <c r="AH33" s="132">
        <v>0</v>
      </c>
      <c r="AI33" s="132">
        <v>0</v>
      </c>
      <c r="AJ33" s="132">
        <v>0.159</v>
      </c>
      <c r="AK33" s="132">
        <v>0</v>
      </c>
      <c r="AL33" s="132">
        <v>0</v>
      </c>
      <c r="AM33" s="302">
        <v>0</v>
      </c>
    </row>
    <row r="34" spans="2:39" ht="11.25" customHeight="1" x14ac:dyDescent="0.25">
      <c r="B34" s="130" t="s">
        <v>249</v>
      </c>
      <c r="C34" s="131" t="s">
        <v>35</v>
      </c>
      <c r="D34" s="131">
        <v>9.9860000000000007</v>
      </c>
      <c r="E34" s="132">
        <v>272.51100000000002</v>
      </c>
      <c r="F34" s="132">
        <v>4.8949999999999996</v>
      </c>
      <c r="G34" s="132">
        <v>24.347999999999999</v>
      </c>
      <c r="H34" s="132">
        <v>7</v>
      </c>
      <c r="I34" s="132">
        <v>2.8</v>
      </c>
      <c r="J34" s="132">
        <v>0.20699999999999999</v>
      </c>
      <c r="K34" s="132">
        <v>0.28299999999999997</v>
      </c>
      <c r="L34" s="132">
        <v>0.88500000000000001</v>
      </c>
      <c r="M34" s="132">
        <v>9.32</v>
      </c>
      <c r="N34" s="132">
        <v>44.359000000000002</v>
      </c>
      <c r="O34" s="132">
        <v>13.75</v>
      </c>
      <c r="P34" s="132">
        <v>16.991</v>
      </c>
      <c r="Q34" s="132">
        <v>0.75900000000000001</v>
      </c>
      <c r="R34" s="132">
        <v>2.6</v>
      </c>
      <c r="S34" s="132">
        <v>32.6</v>
      </c>
      <c r="T34" s="132">
        <v>68.846000000000004</v>
      </c>
      <c r="U34" s="132">
        <v>22.885999999999999</v>
      </c>
      <c r="V34" s="132">
        <v>57.253999999999998</v>
      </c>
      <c r="W34" s="132">
        <v>49.277999999999999</v>
      </c>
      <c r="X34" s="132">
        <v>34.484999999999999</v>
      </c>
      <c r="Y34" s="132">
        <v>21</v>
      </c>
      <c r="Z34" s="132">
        <v>0</v>
      </c>
      <c r="AA34" s="132">
        <v>0.22</v>
      </c>
      <c r="AB34" s="132">
        <v>0.35199999999999998</v>
      </c>
      <c r="AC34" s="132">
        <v>3.6019999999999999</v>
      </c>
      <c r="AD34" s="132">
        <v>10.209</v>
      </c>
      <c r="AE34" s="132">
        <v>1.774</v>
      </c>
      <c r="AF34" s="132">
        <v>14.595000000000001</v>
      </c>
      <c r="AG34" s="132">
        <v>24.515999999999998</v>
      </c>
      <c r="AH34" s="132">
        <v>0.92400000000000004</v>
      </c>
      <c r="AI34" s="132">
        <v>25.457000000000001</v>
      </c>
      <c r="AJ34" s="132">
        <v>12.467000000000001</v>
      </c>
      <c r="AK34" s="132">
        <v>0.83199999999999996</v>
      </c>
      <c r="AL34" s="132">
        <v>1.7529999999999999</v>
      </c>
      <c r="AM34" s="302">
        <v>11.483000000000001</v>
      </c>
    </row>
    <row r="35" spans="2:39" ht="11.25" customHeight="1" x14ac:dyDescent="0.25">
      <c r="B35" s="130" t="s">
        <v>213</v>
      </c>
      <c r="C35" s="131" t="s">
        <v>35</v>
      </c>
      <c r="D35" s="131">
        <v>0.5</v>
      </c>
      <c r="E35" s="132">
        <v>0</v>
      </c>
      <c r="F35" s="132">
        <v>0.09</v>
      </c>
      <c r="G35" s="132">
        <v>0.9</v>
      </c>
      <c r="H35" s="132">
        <v>0</v>
      </c>
      <c r="I35" s="132">
        <v>13.867000000000001</v>
      </c>
      <c r="J35" s="132">
        <v>8.7720000000000002</v>
      </c>
      <c r="K35" s="132">
        <v>0</v>
      </c>
      <c r="L35" s="132">
        <v>0</v>
      </c>
      <c r="M35" s="132">
        <v>0</v>
      </c>
      <c r="N35" s="132">
        <v>2.52</v>
      </c>
      <c r="O35" s="132">
        <v>0</v>
      </c>
      <c r="P35" s="132">
        <v>0</v>
      </c>
      <c r="Q35" s="132">
        <v>0.3</v>
      </c>
      <c r="R35" s="132">
        <v>1.51</v>
      </c>
      <c r="S35" s="132">
        <v>0.45</v>
      </c>
      <c r="T35" s="132">
        <v>0.66</v>
      </c>
      <c r="U35" s="132">
        <v>0</v>
      </c>
      <c r="V35" s="132">
        <v>0</v>
      </c>
      <c r="W35" s="132">
        <v>0</v>
      </c>
      <c r="X35" s="132">
        <v>0.46899999999999997</v>
      </c>
      <c r="Y35" s="132">
        <v>0.34</v>
      </c>
      <c r="Z35" s="132">
        <v>0.32</v>
      </c>
      <c r="AA35" s="132">
        <v>0.17</v>
      </c>
      <c r="AB35" s="132">
        <v>0.11</v>
      </c>
      <c r="AC35" s="132">
        <v>0.05</v>
      </c>
      <c r="AD35" s="132">
        <v>0</v>
      </c>
      <c r="AE35" s="132">
        <v>0.1</v>
      </c>
      <c r="AF35" s="132">
        <v>0</v>
      </c>
      <c r="AG35" s="132">
        <v>0</v>
      </c>
      <c r="AH35" s="132">
        <v>0</v>
      </c>
      <c r="AI35" s="132">
        <v>0</v>
      </c>
      <c r="AJ35" s="132">
        <v>0</v>
      </c>
      <c r="AK35" s="132">
        <v>0</v>
      </c>
      <c r="AL35" s="132">
        <v>0</v>
      </c>
      <c r="AM35" s="302">
        <v>1.7999999999999999E-2</v>
      </c>
    </row>
    <row r="36" spans="2:39" ht="11.25" customHeight="1" x14ac:dyDescent="0.25">
      <c r="B36" s="130" t="s">
        <v>250</v>
      </c>
      <c r="C36" s="131" t="s">
        <v>35</v>
      </c>
      <c r="D36" s="131">
        <v>0</v>
      </c>
      <c r="E36" s="131">
        <v>0</v>
      </c>
      <c r="F36" s="131">
        <v>0</v>
      </c>
      <c r="G36" s="131">
        <v>0</v>
      </c>
      <c r="H36" s="131">
        <v>0</v>
      </c>
      <c r="I36" s="131">
        <v>0</v>
      </c>
      <c r="J36" s="131">
        <v>0</v>
      </c>
      <c r="K36" s="131">
        <v>0</v>
      </c>
      <c r="L36" s="131">
        <v>0</v>
      </c>
      <c r="M36" s="131">
        <v>0</v>
      </c>
      <c r="N36" s="131">
        <v>0</v>
      </c>
      <c r="O36" s="131">
        <v>0</v>
      </c>
      <c r="P36" s="131">
        <v>0</v>
      </c>
      <c r="Q36" s="131">
        <v>0</v>
      </c>
      <c r="R36" s="131">
        <v>0</v>
      </c>
      <c r="S36" s="131">
        <v>0</v>
      </c>
      <c r="T36" s="131">
        <v>0</v>
      </c>
      <c r="U36" s="132">
        <v>117.116</v>
      </c>
      <c r="V36" s="132">
        <v>245.398</v>
      </c>
      <c r="W36" s="132">
        <v>369.34100000000001</v>
      </c>
      <c r="X36" s="132">
        <v>446.93299999999999</v>
      </c>
      <c r="Y36" s="132">
        <v>428.48200000000003</v>
      </c>
      <c r="Z36" s="132">
        <v>508.95600000000002</v>
      </c>
      <c r="AA36" s="132">
        <v>454.67700000000002</v>
      </c>
      <c r="AB36" s="132">
        <v>442.63</v>
      </c>
      <c r="AC36" s="132">
        <v>477.90100000000001</v>
      </c>
      <c r="AD36" s="132">
        <v>554.17600000000004</v>
      </c>
      <c r="AE36" s="132">
        <v>496.38900000000001</v>
      </c>
      <c r="AF36" s="132">
        <v>497.96800000000002</v>
      </c>
      <c r="AG36" s="132">
        <v>346.71</v>
      </c>
      <c r="AH36" s="132">
        <v>305.06200000000001</v>
      </c>
      <c r="AI36" s="132">
        <v>135.898</v>
      </c>
      <c r="AJ36" s="132">
        <v>247.82900000000001</v>
      </c>
      <c r="AK36" s="132">
        <v>199.08600000000001</v>
      </c>
      <c r="AL36" s="132">
        <v>226.90199999999999</v>
      </c>
      <c r="AM36" s="302">
        <v>248.23400000000001</v>
      </c>
    </row>
    <row r="37" spans="2:39" ht="11.25" customHeight="1" x14ac:dyDescent="0.25">
      <c r="B37" s="130" t="s">
        <v>251</v>
      </c>
      <c r="C37" s="131" t="s">
        <v>35</v>
      </c>
      <c r="D37" s="131">
        <v>0</v>
      </c>
      <c r="E37" s="132">
        <v>0</v>
      </c>
      <c r="F37" s="132">
        <v>0</v>
      </c>
      <c r="G37" s="132">
        <v>0</v>
      </c>
      <c r="H37" s="132">
        <v>0</v>
      </c>
      <c r="I37" s="132">
        <v>0</v>
      </c>
      <c r="J37" s="132">
        <v>0</v>
      </c>
      <c r="K37" s="132">
        <v>0</v>
      </c>
      <c r="L37" s="132">
        <v>0</v>
      </c>
      <c r="M37" s="132">
        <v>0</v>
      </c>
      <c r="N37" s="132">
        <v>0</v>
      </c>
      <c r="O37" s="132">
        <v>0</v>
      </c>
      <c r="P37" s="132">
        <v>0</v>
      </c>
      <c r="Q37" s="132">
        <v>0</v>
      </c>
      <c r="R37" s="132">
        <v>0</v>
      </c>
      <c r="S37" s="132">
        <v>0</v>
      </c>
      <c r="T37" s="132">
        <v>0</v>
      </c>
      <c r="U37" s="132">
        <v>0</v>
      </c>
      <c r="V37" s="132">
        <v>0</v>
      </c>
      <c r="W37" s="132">
        <v>0</v>
      </c>
      <c r="X37" s="132">
        <v>0</v>
      </c>
      <c r="Y37" s="132">
        <v>0</v>
      </c>
      <c r="Z37" s="132">
        <v>2.0680000000000001</v>
      </c>
      <c r="AA37" s="132">
        <v>32.686</v>
      </c>
      <c r="AB37" s="132">
        <v>4.7080000000000002</v>
      </c>
      <c r="AC37" s="132">
        <v>6.16</v>
      </c>
      <c r="AD37" s="132">
        <v>7.1260000000000003</v>
      </c>
      <c r="AE37" s="132">
        <v>5.6589999999999998</v>
      </c>
      <c r="AF37" s="132">
        <v>4.3390000000000004</v>
      </c>
      <c r="AG37" s="132">
        <v>1.6339999999999999</v>
      </c>
      <c r="AH37" s="132">
        <v>9.0500000000000007</v>
      </c>
      <c r="AI37" s="132">
        <v>8.23</v>
      </c>
      <c r="AJ37" s="132">
        <v>8.64</v>
      </c>
      <c r="AK37" s="132">
        <v>9.9730000000000008</v>
      </c>
      <c r="AL37" s="132">
        <v>2.4</v>
      </c>
      <c r="AM37" s="302">
        <v>1</v>
      </c>
    </row>
    <row r="38" spans="2:39" ht="11.25" customHeight="1" x14ac:dyDescent="0.25">
      <c r="B38" s="120" t="s">
        <v>509</v>
      </c>
      <c r="C38" s="131" t="s">
        <v>35</v>
      </c>
      <c r="D38" s="131">
        <v>0</v>
      </c>
      <c r="E38" s="132">
        <v>0</v>
      </c>
      <c r="F38" s="132">
        <v>0</v>
      </c>
      <c r="G38" s="132">
        <v>0</v>
      </c>
      <c r="H38" s="132">
        <v>0</v>
      </c>
      <c r="I38" s="132">
        <v>0</v>
      </c>
      <c r="J38" s="132">
        <v>0</v>
      </c>
      <c r="K38" s="132">
        <v>0</v>
      </c>
      <c r="L38" s="132">
        <v>0</v>
      </c>
      <c r="M38" s="132">
        <v>0</v>
      </c>
      <c r="N38" s="132">
        <v>2259.2379999999998</v>
      </c>
      <c r="O38" s="132">
        <v>1743.481</v>
      </c>
      <c r="P38" s="132">
        <v>1135.1289999999999</v>
      </c>
      <c r="Q38" s="132">
        <v>1382.78</v>
      </c>
      <c r="R38" s="132">
        <v>181.286</v>
      </c>
      <c r="S38" s="132">
        <v>0</v>
      </c>
      <c r="T38" s="132">
        <v>0</v>
      </c>
      <c r="U38" s="132">
        <v>1.4239999999999999</v>
      </c>
      <c r="V38" s="132">
        <v>15.54</v>
      </c>
      <c r="W38" s="132">
        <v>0.83799999999999997</v>
      </c>
      <c r="X38" s="132">
        <v>569.98800000000006</v>
      </c>
      <c r="Y38" s="132">
        <v>0</v>
      </c>
      <c r="Z38" s="132">
        <v>98.986000000000004</v>
      </c>
      <c r="AA38" s="132">
        <v>0.183</v>
      </c>
      <c r="AB38" s="132">
        <v>22.053000000000001</v>
      </c>
      <c r="AC38" s="132">
        <v>112.35899999999999</v>
      </c>
      <c r="AD38" s="132">
        <v>265.84800000000001</v>
      </c>
      <c r="AE38" s="132">
        <v>50.244999999999997</v>
      </c>
      <c r="AF38" s="132">
        <v>464.97899999999998</v>
      </c>
      <c r="AG38" s="132">
        <v>385.73399999999998</v>
      </c>
      <c r="AH38" s="132">
        <v>1060.3430000000001</v>
      </c>
      <c r="AI38" s="132">
        <v>448.36900000000003</v>
      </c>
      <c r="AJ38" s="132">
        <v>458.30200000000002</v>
      </c>
      <c r="AK38" s="132">
        <v>914.57799999999997</v>
      </c>
      <c r="AL38" s="132">
        <v>820.93600000000004</v>
      </c>
      <c r="AM38" s="302">
        <v>1055.4860000000001</v>
      </c>
    </row>
    <row r="39" spans="2:39" ht="11.25" customHeight="1" x14ac:dyDescent="0.25">
      <c r="B39" s="130" t="s">
        <v>216</v>
      </c>
      <c r="C39" s="131" t="s">
        <v>35</v>
      </c>
      <c r="D39" s="131">
        <v>3342.114</v>
      </c>
      <c r="E39" s="132">
        <v>1728.9</v>
      </c>
      <c r="F39" s="132">
        <v>2703.8589999999999</v>
      </c>
      <c r="G39" s="132">
        <v>2476.8049999999998</v>
      </c>
      <c r="H39" s="132">
        <v>2949.8760000000002</v>
      </c>
      <c r="I39" s="132">
        <v>3401.6619999999998</v>
      </c>
      <c r="J39" s="132">
        <v>4552.5720000000001</v>
      </c>
      <c r="K39" s="132">
        <v>5752.3440000000001</v>
      </c>
      <c r="L39" s="132">
        <v>7583.8339999999998</v>
      </c>
      <c r="M39" s="132">
        <v>8528.9189999999999</v>
      </c>
      <c r="N39" s="132">
        <v>12581.824000000001</v>
      </c>
      <c r="O39" s="132">
        <v>14760.495000000001</v>
      </c>
      <c r="P39" s="132">
        <v>13852.065000000001</v>
      </c>
      <c r="Q39" s="132">
        <v>12621.576999999999</v>
      </c>
      <c r="R39" s="132">
        <v>12812.843999999999</v>
      </c>
      <c r="S39" s="132">
        <v>10948.565000000001</v>
      </c>
      <c r="T39" s="132">
        <v>11694.205</v>
      </c>
      <c r="U39" s="132">
        <v>11597.263000000001</v>
      </c>
      <c r="V39" s="132">
        <v>12574.069</v>
      </c>
      <c r="W39" s="132">
        <v>11521.487999999999</v>
      </c>
      <c r="X39" s="132">
        <v>9546.8340000000007</v>
      </c>
      <c r="Y39" s="132">
        <v>7808.723</v>
      </c>
      <c r="Z39" s="132">
        <v>8887.7659999999996</v>
      </c>
      <c r="AA39" s="132">
        <v>8902.9709999999995</v>
      </c>
      <c r="AB39" s="132">
        <v>11008.272000000001</v>
      </c>
      <c r="AC39" s="132">
        <v>12090.864</v>
      </c>
      <c r="AD39" s="132">
        <v>13796.761</v>
      </c>
      <c r="AE39" s="132">
        <v>10777.465</v>
      </c>
      <c r="AF39" s="132">
        <v>11411.906000000001</v>
      </c>
      <c r="AG39" s="132">
        <v>11377.124</v>
      </c>
      <c r="AH39" s="132">
        <v>11576.695</v>
      </c>
      <c r="AI39" s="132">
        <v>12231.545</v>
      </c>
      <c r="AJ39" s="132">
        <v>10199.146000000001</v>
      </c>
      <c r="AK39" s="132">
        <v>7843.6970000000001</v>
      </c>
      <c r="AL39" s="132">
        <v>11134.005999999999</v>
      </c>
      <c r="AM39" s="302">
        <v>9674.7759999999998</v>
      </c>
    </row>
    <row r="40" spans="2:39" ht="11.25" customHeight="1" x14ac:dyDescent="0.25">
      <c r="B40" s="130" t="s">
        <v>252</v>
      </c>
      <c r="C40" s="131" t="s">
        <v>35</v>
      </c>
      <c r="D40" s="131">
        <v>1756.2470000000001</v>
      </c>
      <c r="E40" s="132">
        <v>3438.4769999999999</v>
      </c>
      <c r="F40" s="132">
        <v>1358.3679999999999</v>
      </c>
      <c r="G40" s="132">
        <v>1776.2170000000001</v>
      </c>
      <c r="H40" s="132">
        <v>2266.4209999999998</v>
      </c>
      <c r="I40" s="132">
        <v>2246.2840000000001</v>
      </c>
      <c r="J40" s="132">
        <v>2422.308</v>
      </c>
      <c r="K40" s="132">
        <v>1873.287</v>
      </c>
      <c r="L40" s="132">
        <v>2209.277</v>
      </c>
      <c r="M40" s="132">
        <v>1817.903</v>
      </c>
      <c r="N40" s="132">
        <v>1141.7739999999999</v>
      </c>
      <c r="O40" s="132">
        <v>1209.4259999999999</v>
      </c>
      <c r="P40" s="132">
        <v>933.34100000000001</v>
      </c>
      <c r="Q40" s="132">
        <v>1175.3130000000001</v>
      </c>
      <c r="R40" s="132">
        <v>1004.806</v>
      </c>
      <c r="S40" s="132">
        <v>1907.952</v>
      </c>
      <c r="T40" s="132">
        <v>2183.605</v>
      </c>
      <c r="U40" s="132">
        <v>1854.9010000000001</v>
      </c>
      <c r="V40" s="132">
        <v>1291.319</v>
      </c>
      <c r="W40" s="132">
        <v>1359.367</v>
      </c>
      <c r="X40" s="132">
        <v>1304.7760000000001</v>
      </c>
      <c r="Y40" s="132">
        <v>1786.248</v>
      </c>
      <c r="Z40" s="132">
        <v>891.83100000000002</v>
      </c>
      <c r="AA40" s="132">
        <v>370.58800000000002</v>
      </c>
      <c r="AB40" s="132">
        <v>61.692</v>
      </c>
      <c r="AC40" s="132">
        <v>16.923999999999999</v>
      </c>
      <c r="AD40" s="132">
        <v>0.39200000000000002</v>
      </c>
      <c r="AE40" s="132">
        <v>8.8260000000000005</v>
      </c>
      <c r="AF40" s="132">
        <v>96.072000000000003</v>
      </c>
      <c r="AG40" s="132">
        <v>34.521999999999998</v>
      </c>
      <c r="AH40" s="132">
        <v>0</v>
      </c>
      <c r="AI40" s="132">
        <v>0</v>
      </c>
      <c r="AJ40" s="132">
        <v>1.1970000000000001</v>
      </c>
      <c r="AK40" s="132">
        <v>0</v>
      </c>
      <c r="AL40" s="132">
        <v>3.2000000000000001E-2</v>
      </c>
      <c r="AM40" s="302">
        <v>0.11799999999999999</v>
      </c>
    </row>
    <row r="41" spans="2:39" ht="11.25" customHeight="1" x14ac:dyDescent="0.25">
      <c r="B41" s="130" t="s">
        <v>236</v>
      </c>
      <c r="C41" s="131" t="s">
        <v>35</v>
      </c>
      <c r="D41" s="131">
        <v>11187.825000000001</v>
      </c>
      <c r="E41" s="132">
        <v>11040.057000000001</v>
      </c>
      <c r="F41" s="132">
        <v>10976.977999999999</v>
      </c>
      <c r="G41" s="132">
        <v>10533.344999999999</v>
      </c>
      <c r="H41" s="132">
        <v>6747.3429999999998</v>
      </c>
      <c r="I41" s="132">
        <v>7498.2950000000001</v>
      </c>
      <c r="J41" s="132">
        <v>6472.5990000000002</v>
      </c>
      <c r="K41" s="132">
        <v>7372.1850000000004</v>
      </c>
      <c r="L41" s="132">
        <v>9784.3259999999991</v>
      </c>
      <c r="M41" s="132">
        <v>13344.378000000001</v>
      </c>
      <c r="N41" s="132">
        <v>9140.3150000000005</v>
      </c>
      <c r="O41" s="132">
        <v>6477.4459999999999</v>
      </c>
      <c r="P41" s="132">
        <v>11688.65</v>
      </c>
      <c r="Q41" s="132">
        <v>13903.761</v>
      </c>
      <c r="R41" s="132">
        <v>11517.664000000001</v>
      </c>
      <c r="S41" s="132">
        <v>11752.189</v>
      </c>
      <c r="T41" s="132">
        <v>8287.3529999999992</v>
      </c>
      <c r="U41" s="132">
        <v>7999.3159999999998</v>
      </c>
      <c r="V41" s="132">
        <v>5596.7529999999997</v>
      </c>
      <c r="W41" s="132">
        <v>6107.2560000000003</v>
      </c>
      <c r="X41" s="132">
        <v>4976.1850000000004</v>
      </c>
      <c r="Y41" s="132">
        <v>5696.8620000000001</v>
      </c>
      <c r="Z41" s="132">
        <v>4848.63</v>
      </c>
      <c r="AA41" s="132">
        <v>4597.7790000000005</v>
      </c>
      <c r="AB41" s="132">
        <v>4321.3050000000003</v>
      </c>
      <c r="AC41" s="132">
        <v>4946.2039999999997</v>
      </c>
      <c r="AD41" s="132">
        <v>7747.7240000000002</v>
      </c>
      <c r="AE41" s="132">
        <v>7388.4430000000002</v>
      </c>
      <c r="AF41" s="132">
        <v>5949.8760000000002</v>
      </c>
      <c r="AG41" s="132">
        <v>5969.835</v>
      </c>
      <c r="AH41" s="132">
        <v>8648.7090000000007</v>
      </c>
      <c r="AI41" s="132">
        <v>9865.3469999999998</v>
      </c>
      <c r="AJ41" s="132">
        <v>9393.7530000000006</v>
      </c>
      <c r="AK41" s="132">
        <v>6227.1779999999999</v>
      </c>
      <c r="AL41" s="132">
        <v>4600.3339999999998</v>
      </c>
      <c r="AM41" s="302">
        <v>7944.652</v>
      </c>
    </row>
    <row r="42" spans="2:39" ht="11.25" customHeight="1" x14ac:dyDescent="0.25">
      <c r="B42" s="134" t="s">
        <v>253</v>
      </c>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7"/>
    </row>
    <row r="43" spans="2:39" ht="11.25" customHeight="1" x14ac:dyDescent="0.25">
      <c r="B43" s="290" t="s">
        <v>531</v>
      </c>
      <c r="C43" s="131" t="s">
        <v>35</v>
      </c>
      <c r="D43" s="132">
        <v>2990.3180000000002</v>
      </c>
      <c r="E43" s="19">
        <v>2888.192</v>
      </c>
      <c r="F43" s="132">
        <v>3172.422</v>
      </c>
      <c r="G43" s="132">
        <v>3038.7829999999999</v>
      </c>
      <c r="H43" s="132">
        <v>2564.88</v>
      </c>
      <c r="I43" s="132">
        <v>2915.43</v>
      </c>
      <c r="J43" s="132">
        <v>2968.5529999999999</v>
      </c>
      <c r="K43" s="132">
        <v>2939.52</v>
      </c>
      <c r="L43" s="132">
        <v>3003.0590000000002</v>
      </c>
      <c r="M43" s="132">
        <v>3395.6030000000001</v>
      </c>
      <c r="N43" s="132">
        <v>3808.4540000000002</v>
      </c>
      <c r="O43" s="132">
        <v>3543.1210000000001</v>
      </c>
      <c r="P43" s="132">
        <v>4009.9679999999998</v>
      </c>
      <c r="Q43" s="132">
        <v>4193.2950000000001</v>
      </c>
      <c r="R43" s="132">
        <v>4909.6890000000003</v>
      </c>
      <c r="S43" s="132">
        <v>4003.6849999999999</v>
      </c>
      <c r="T43" s="132">
        <v>3664.6129999999998</v>
      </c>
      <c r="U43" s="132">
        <v>3911.1350000000002</v>
      </c>
      <c r="V43" s="132">
        <v>3579.7220000000002</v>
      </c>
      <c r="W43" s="132">
        <v>3319.75</v>
      </c>
      <c r="X43" s="132">
        <v>3638.5340000000001</v>
      </c>
      <c r="Y43" s="132">
        <v>3423.6120000000001</v>
      </c>
      <c r="Z43" s="132">
        <v>3148.694</v>
      </c>
      <c r="AA43" s="132">
        <v>2817.9560000000001</v>
      </c>
      <c r="AB43" s="132">
        <v>2742.31</v>
      </c>
      <c r="AC43" s="132">
        <v>2577.953</v>
      </c>
      <c r="AD43" s="132">
        <v>2615.04</v>
      </c>
      <c r="AE43" s="132">
        <v>2583.645</v>
      </c>
      <c r="AF43" s="132">
        <v>2421.23</v>
      </c>
      <c r="AG43" s="132">
        <v>2137.2310000000002</v>
      </c>
      <c r="AH43" s="132">
        <v>1697.0329999999999</v>
      </c>
      <c r="AI43" s="132">
        <v>1994.5509999999999</v>
      </c>
      <c r="AJ43" s="132">
        <v>2079.404</v>
      </c>
      <c r="AK43" s="132">
        <v>1858.5250000000001</v>
      </c>
      <c r="AL43" s="132">
        <v>1544.5070000000001</v>
      </c>
      <c r="AM43" s="302">
        <v>1432.4469999999999</v>
      </c>
    </row>
    <row r="44" spans="2:39" ht="11.25" customHeight="1" x14ac:dyDescent="0.25">
      <c r="B44" s="135" t="s">
        <v>532</v>
      </c>
      <c r="C44" s="131" t="s">
        <v>35</v>
      </c>
      <c r="D44" s="131">
        <v>0</v>
      </c>
      <c r="E44" s="132">
        <v>0</v>
      </c>
      <c r="F44" s="132">
        <v>0</v>
      </c>
      <c r="G44" s="132">
        <v>0</v>
      </c>
      <c r="H44" s="132">
        <v>0</v>
      </c>
      <c r="I44" s="132">
        <v>0</v>
      </c>
      <c r="J44" s="132">
        <v>0</v>
      </c>
      <c r="K44" s="132">
        <v>0</v>
      </c>
      <c r="L44" s="132">
        <v>0</v>
      </c>
      <c r="M44" s="132">
        <v>0</v>
      </c>
      <c r="N44" s="132">
        <v>0</v>
      </c>
      <c r="O44" s="132">
        <v>0</v>
      </c>
      <c r="P44" s="132">
        <v>0</v>
      </c>
      <c r="Q44" s="132">
        <v>0</v>
      </c>
      <c r="R44" s="132">
        <v>0</v>
      </c>
      <c r="S44" s="132">
        <v>0</v>
      </c>
      <c r="T44" s="132">
        <v>0</v>
      </c>
      <c r="U44" s="132">
        <v>0</v>
      </c>
      <c r="V44" s="132">
        <v>0</v>
      </c>
      <c r="W44" s="132">
        <v>0</v>
      </c>
      <c r="X44" s="132">
        <v>0</v>
      </c>
      <c r="Y44" s="132">
        <v>0</v>
      </c>
      <c r="Z44" s="132">
        <v>23.948</v>
      </c>
      <c r="AA44" s="132">
        <v>28.416</v>
      </c>
      <c r="AB44" s="132">
        <v>19.295999999999999</v>
      </c>
      <c r="AC44" s="132">
        <v>5.3840000000000003</v>
      </c>
      <c r="AD44" s="132">
        <v>11.826000000000001</v>
      </c>
      <c r="AE44" s="132">
        <v>0.54300000000000004</v>
      </c>
      <c r="AF44" s="132">
        <v>17.608000000000001</v>
      </c>
      <c r="AG44" s="132">
        <v>0.182</v>
      </c>
      <c r="AH44" s="132">
        <v>6.6239999999999997</v>
      </c>
      <c r="AI44" s="132">
        <v>12.911</v>
      </c>
      <c r="AJ44" s="132">
        <v>0.41</v>
      </c>
      <c r="AK44" s="132">
        <v>2.6459999999999999</v>
      </c>
      <c r="AL44" s="132">
        <v>9.6969999999999992</v>
      </c>
      <c r="AM44" s="302">
        <v>41.326000000000001</v>
      </c>
    </row>
    <row r="45" spans="2:39" ht="11.25" customHeight="1" x14ac:dyDescent="0.25">
      <c r="B45" s="135" t="s">
        <v>533</v>
      </c>
      <c r="C45" s="131" t="s">
        <v>35</v>
      </c>
      <c r="D45" s="131">
        <v>0</v>
      </c>
      <c r="E45" s="132">
        <v>0</v>
      </c>
      <c r="F45" s="132">
        <v>0</v>
      </c>
      <c r="G45" s="132">
        <v>0</v>
      </c>
      <c r="H45" s="132">
        <v>0</v>
      </c>
      <c r="I45" s="132">
        <v>0</v>
      </c>
      <c r="J45" s="132">
        <v>0</v>
      </c>
      <c r="K45" s="132">
        <v>0</v>
      </c>
      <c r="L45" s="132">
        <v>0</v>
      </c>
      <c r="M45" s="132">
        <v>0</v>
      </c>
      <c r="N45" s="132">
        <v>0</v>
      </c>
      <c r="O45" s="132">
        <v>0</v>
      </c>
      <c r="P45" s="132">
        <v>0</v>
      </c>
      <c r="Q45" s="132">
        <v>0</v>
      </c>
      <c r="R45" s="132">
        <v>0</v>
      </c>
      <c r="S45" s="132">
        <v>0</v>
      </c>
      <c r="T45" s="132">
        <v>0</v>
      </c>
      <c r="U45" s="132">
        <v>0</v>
      </c>
      <c r="V45" s="132">
        <v>0</v>
      </c>
      <c r="W45" s="132">
        <v>0</v>
      </c>
      <c r="X45" s="132">
        <v>0</v>
      </c>
      <c r="Y45" s="132">
        <v>0</v>
      </c>
      <c r="Z45" s="132">
        <v>0</v>
      </c>
      <c r="AA45" s="132">
        <v>0</v>
      </c>
      <c r="AB45" s="132">
        <v>0</v>
      </c>
      <c r="AC45" s="132">
        <v>0</v>
      </c>
      <c r="AD45" s="132">
        <v>0</v>
      </c>
      <c r="AE45" s="132">
        <v>0</v>
      </c>
      <c r="AF45" s="132">
        <v>4.452</v>
      </c>
      <c r="AG45" s="132">
        <v>7.4999999999999997E-2</v>
      </c>
      <c r="AH45" s="132">
        <v>0</v>
      </c>
      <c r="AI45" s="132">
        <v>0</v>
      </c>
      <c r="AJ45" s="132">
        <v>1.9E-2</v>
      </c>
      <c r="AK45" s="132">
        <v>5.7000000000000002E-2</v>
      </c>
      <c r="AL45" s="132">
        <v>0</v>
      </c>
      <c r="AM45" s="302">
        <v>2.8559999999999999</v>
      </c>
    </row>
    <row r="46" spans="2:39" ht="11.25" customHeight="1" x14ac:dyDescent="0.25">
      <c r="B46" s="290" t="s">
        <v>534</v>
      </c>
      <c r="C46" s="131" t="s">
        <v>35</v>
      </c>
      <c r="D46" s="131">
        <v>0</v>
      </c>
      <c r="E46" s="132">
        <v>0</v>
      </c>
      <c r="F46" s="132">
        <v>0</v>
      </c>
      <c r="G46" s="132">
        <v>0</v>
      </c>
      <c r="H46" s="132">
        <v>0</v>
      </c>
      <c r="I46" s="132">
        <v>0</v>
      </c>
      <c r="J46" s="132">
        <v>0</v>
      </c>
      <c r="K46" s="132">
        <v>0</v>
      </c>
      <c r="L46" s="132">
        <v>0</v>
      </c>
      <c r="M46" s="132">
        <v>0</v>
      </c>
      <c r="N46" s="132">
        <v>0</v>
      </c>
      <c r="O46" s="132">
        <v>0</v>
      </c>
      <c r="P46" s="132">
        <v>0</v>
      </c>
      <c r="Q46" s="132">
        <v>0</v>
      </c>
      <c r="R46" s="132">
        <v>0</v>
      </c>
      <c r="S46" s="132">
        <v>0</v>
      </c>
      <c r="T46" s="132">
        <v>0</v>
      </c>
      <c r="U46" s="132">
        <v>0</v>
      </c>
      <c r="V46" s="132">
        <v>0</v>
      </c>
      <c r="W46" s="132">
        <v>0</v>
      </c>
      <c r="X46" s="132">
        <v>0</v>
      </c>
      <c r="Y46" s="132">
        <v>0</v>
      </c>
      <c r="Z46" s="132">
        <v>0</v>
      </c>
      <c r="AA46" s="132">
        <v>0</v>
      </c>
      <c r="AB46" s="132">
        <v>0</v>
      </c>
      <c r="AC46" s="132">
        <v>0</v>
      </c>
      <c r="AD46" s="132">
        <v>0</v>
      </c>
      <c r="AE46" s="132">
        <v>0</v>
      </c>
      <c r="AF46" s="132">
        <v>0</v>
      </c>
      <c r="AG46" s="132">
        <v>0</v>
      </c>
      <c r="AH46" s="132">
        <v>0</v>
      </c>
      <c r="AI46" s="132">
        <v>0</v>
      </c>
      <c r="AJ46" s="132">
        <v>0.25</v>
      </c>
      <c r="AK46" s="132">
        <v>0</v>
      </c>
      <c r="AL46" s="132">
        <v>1.7999999999999999E-2</v>
      </c>
      <c r="AM46" s="302">
        <v>0</v>
      </c>
    </row>
    <row r="47" spans="2:39" ht="11.25" customHeight="1" x14ac:dyDescent="0.25">
      <c r="B47" s="135" t="s">
        <v>535</v>
      </c>
      <c r="C47" s="131" t="s">
        <v>35</v>
      </c>
      <c r="D47" s="131">
        <v>6.9489999999999998</v>
      </c>
      <c r="E47" s="132">
        <v>6.3659999999999997</v>
      </c>
      <c r="F47" s="132">
        <v>7.4889999999999999</v>
      </c>
      <c r="G47" s="132">
        <v>16.609000000000002</v>
      </c>
      <c r="H47" s="132">
        <v>7.71</v>
      </c>
      <c r="I47" s="132">
        <v>27.206</v>
      </c>
      <c r="J47" s="132">
        <v>44.26</v>
      </c>
      <c r="K47" s="132">
        <v>14.097</v>
      </c>
      <c r="L47" s="132">
        <v>6.95</v>
      </c>
      <c r="M47" s="132">
        <v>12.510999999999999</v>
      </c>
      <c r="N47" s="132">
        <v>12.384</v>
      </c>
      <c r="O47" s="132">
        <v>30.818000000000001</v>
      </c>
      <c r="P47" s="132">
        <v>26.369</v>
      </c>
      <c r="Q47" s="132">
        <v>6.1909999999999998</v>
      </c>
      <c r="R47" s="132">
        <v>21.591000000000001</v>
      </c>
      <c r="S47" s="132">
        <v>67.209000000000003</v>
      </c>
      <c r="T47" s="132">
        <v>74.344999999999999</v>
      </c>
      <c r="U47" s="132">
        <v>59.768000000000001</v>
      </c>
      <c r="V47" s="132">
        <v>66.798000000000002</v>
      </c>
      <c r="W47" s="132">
        <v>85.978999999999999</v>
      </c>
      <c r="X47" s="132">
        <v>96.063000000000002</v>
      </c>
      <c r="Y47" s="132">
        <v>149.98099999999999</v>
      </c>
      <c r="Z47" s="132">
        <v>209.10900000000001</v>
      </c>
      <c r="AA47" s="132">
        <v>240.87700000000001</v>
      </c>
      <c r="AB47" s="132">
        <v>241.70599999999999</v>
      </c>
      <c r="AC47" s="132">
        <v>210.50800000000001</v>
      </c>
      <c r="AD47" s="132">
        <v>182.06200000000001</v>
      </c>
      <c r="AE47" s="132">
        <v>210.23699999999999</v>
      </c>
      <c r="AF47" s="132">
        <v>290.69499999999999</v>
      </c>
      <c r="AG47" s="132">
        <v>287.72699999999998</v>
      </c>
      <c r="AH47" s="132">
        <v>233.80699999999999</v>
      </c>
      <c r="AI47" s="132">
        <v>264.84899999999999</v>
      </c>
      <c r="AJ47" s="132">
        <v>327.339</v>
      </c>
      <c r="AK47" s="132">
        <v>429.79199999999997</v>
      </c>
      <c r="AL47" s="132">
        <v>425.95800000000003</v>
      </c>
      <c r="AM47" s="302">
        <v>418.92099999999999</v>
      </c>
    </row>
    <row r="48" spans="2:39" ht="11.25" customHeight="1" x14ac:dyDescent="0.25">
      <c r="B48" s="135" t="s">
        <v>536</v>
      </c>
      <c r="C48" s="131" t="s">
        <v>35</v>
      </c>
      <c r="D48" s="131">
        <v>61.963000000000001</v>
      </c>
      <c r="E48" s="132">
        <v>0.48499999999999999</v>
      </c>
      <c r="F48" s="132">
        <v>12.507999999999999</v>
      </c>
      <c r="G48" s="132">
        <v>4.07</v>
      </c>
      <c r="H48" s="132">
        <v>41.57</v>
      </c>
      <c r="I48" s="132">
        <v>75.492000000000004</v>
      </c>
      <c r="J48" s="132">
        <v>32.844999999999999</v>
      </c>
      <c r="K48" s="132">
        <v>302.52999999999997</v>
      </c>
      <c r="L48" s="132">
        <v>229.97200000000001</v>
      </c>
      <c r="M48" s="132">
        <v>454.38299999999998</v>
      </c>
      <c r="N48" s="132">
        <v>2.016</v>
      </c>
      <c r="O48" s="132">
        <v>75.631</v>
      </c>
      <c r="P48" s="132">
        <v>92.43</v>
      </c>
      <c r="Q48" s="132">
        <v>66.376999999999995</v>
      </c>
      <c r="R48" s="132">
        <v>32.350999999999999</v>
      </c>
      <c r="S48" s="132">
        <v>7.1050000000000004</v>
      </c>
      <c r="T48" s="132">
        <v>16.946999999999999</v>
      </c>
      <c r="U48" s="132">
        <v>28.303000000000001</v>
      </c>
      <c r="V48" s="132">
        <v>5.2960000000000003</v>
      </c>
      <c r="W48" s="132">
        <v>7.2789999999999999</v>
      </c>
      <c r="X48" s="132">
        <v>4.2080000000000002</v>
      </c>
      <c r="Y48" s="132">
        <v>38.591999999999999</v>
      </c>
      <c r="Z48" s="132">
        <v>16.239999999999998</v>
      </c>
      <c r="AA48" s="132">
        <v>9.8460000000000001</v>
      </c>
      <c r="AB48" s="132">
        <v>6.5250000000000004</v>
      </c>
      <c r="AC48" s="132">
        <v>26.574999999999999</v>
      </c>
      <c r="AD48" s="132">
        <v>30.57</v>
      </c>
      <c r="AE48" s="132">
        <v>16.803999999999998</v>
      </c>
      <c r="AF48" s="132">
        <v>21.106000000000002</v>
      </c>
      <c r="AG48" s="132">
        <v>29.064</v>
      </c>
      <c r="AH48" s="132">
        <v>26.422000000000001</v>
      </c>
      <c r="AI48" s="132">
        <v>60.774999999999999</v>
      </c>
      <c r="AJ48" s="132">
        <v>100.55500000000001</v>
      </c>
      <c r="AK48" s="132">
        <v>96.18</v>
      </c>
      <c r="AL48" s="132">
        <v>141.84299999999999</v>
      </c>
      <c r="AM48" s="302">
        <v>119.223</v>
      </c>
    </row>
    <row r="49" spans="2:39" ht="11.25" customHeight="1" x14ac:dyDescent="0.25">
      <c r="B49" s="290" t="s">
        <v>537</v>
      </c>
      <c r="C49" s="131" t="s">
        <v>35</v>
      </c>
      <c r="D49" s="131">
        <v>20.466999999999999</v>
      </c>
      <c r="E49" s="132">
        <v>21.524999999999999</v>
      </c>
      <c r="F49" s="132">
        <v>13.172000000000001</v>
      </c>
      <c r="G49" s="132">
        <v>33.527999999999999</v>
      </c>
      <c r="H49" s="132">
        <v>47.441000000000003</v>
      </c>
      <c r="I49" s="132">
        <v>56.320999999999998</v>
      </c>
      <c r="J49" s="132">
        <v>18.904</v>
      </c>
      <c r="K49" s="132">
        <v>22.154</v>
      </c>
      <c r="L49" s="132">
        <v>42.017000000000003</v>
      </c>
      <c r="M49" s="132">
        <v>72.742000000000004</v>
      </c>
      <c r="N49" s="132">
        <v>151.64099999999999</v>
      </c>
      <c r="O49" s="132">
        <v>245.51</v>
      </c>
      <c r="P49" s="132">
        <v>219.047</v>
      </c>
      <c r="Q49" s="132">
        <v>163.29</v>
      </c>
      <c r="R49" s="132">
        <v>118.758</v>
      </c>
      <c r="S49" s="132">
        <v>174.02</v>
      </c>
      <c r="T49" s="132">
        <v>187.142</v>
      </c>
      <c r="U49" s="132">
        <v>248.57400000000001</v>
      </c>
      <c r="V49" s="132">
        <v>227.71600000000001</v>
      </c>
      <c r="W49" s="132">
        <v>346.41500000000002</v>
      </c>
      <c r="X49" s="132">
        <v>319.91500000000002</v>
      </c>
      <c r="Y49" s="132">
        <v>386.72300000000001</v>
      </c>
      <c r="Z49" s="132">
        <v>475.94</v>
      </c>
      <c r="AA49" s="132">
        <v>493.36200000000002</v>
      </c>
      <c r="AB49" s="132">
        <v>610.74900000000002</v>
      </c>
      <c r="AC49" s="132">
        <v>510.166</v>
      </c>
      <c r="AD49" s="132">
        <v>371.18</v>
      </c>
      <c r="AE49" s="132">
        <v>341.29700000000003</v>
      </c>
      <c r="AF49" s="132">
        <v>112.247</v>
      </c>
      <c r="AG49" s="132">
        <v>108.03100000000001</v>
      </c>
      <c r="AH49" s="132">
        <v>108.313</v>
      </c>
      <c r="AI49" s="132">
        <v>61.267000000000003</v>
      </c>
      <c r="AJ49" s="132">
        <v>65.61</v>
      </c>
      <c r="AK49" s="132">
        <v>68.992999999999995</v>
      </c>
      <c r="AL49" s="132">
        <v>105.181</v>
      </c>
      <c r="AM49" s="302">
        <v>122.571</v>
      </c>
    </row>
    <row r="50" spans="2:39" ht="11.25" customHeight="1" x14ac:dyDescent="0.25">
      <c r="B50" s="135" t="s">
        <v>538</v>
      </c>
      <c r="C50" s="131" t="s">
        <v>35</v>
      </c>
      <c r="D50" s="131">
        <v>1134.2360000000001</v>
      </c>
      <c r="E50" s="132">
        <v>1406.9449999999999</v>
      </c>
      <c r="F50" s="132">
        <v>3063.8939999999998</v>
      </c>
      <c r="G50" s="132">
        <v>5264.9790000000003</v>
      </c>
      <c r="H50" s="132">
        <v>4737.2389999999996</v>
      </c>
      <c r="I50" s="132">
        <v>2909.9650000000001</v>
      </c>
      <c r="J50" s="132">
        <v>2747.9349999999999</v>
      </c>
      <c r="K50" s="132">
        <v>1324.7560000000001</v>
      </c>
      <c r="L50" s="132">
        <v>1346.3309999999999</v>
      </c>
      <c r="M50" s="132">
        <v>1569.4639999999999</v>
      </c>
      <c r="N50" s="132">
        <v>1654.9949999999999</v>
      </c>
      <c r="O50" s="132">
        <v>2145.0230000000001</v>
      </c>
      <c r="P50" s="132">
        <v>1488.1690000000001</v>
      </c>
      <c r="Q50" s="132">
        <v>1165.3579999999999</v>
      </c>
      <c r="R50" s="132">
        <v>1463.5550000000001</v>
      </c>
      <c r="S50" s="132">
        <v>1208.588</v>
      </c>
      <c r="T50" s="132">
        <v>1484.588</v>
      </c>
      <c r="U50" s="132">
        <v>1400.704</v>
      </c>
      <c r="V50" s="132">
        <v>1127.7470000000001</v>
      </c>
      <c r="W50" s="132">
        <v>1136.807</v>
      </c>
      <c r="X50" s="132">
        <v>1088.953</v>
      </c>
      <c r="Y50" s="132">
        <v>566.947</v>
      </c>
      <c r="Z50" s="132">
        <v>443.21100000000001</v>
      </c>
      <c r="AA50" s="132">
        <v>545.18799999999999</v>
      </c>
      <c r="AB50" s="132">
        <v>557.12300000000005</v>
      </c>
      <c r="AC50" s="132">
        <v>297.58199999999999</v>
      </c>
      <c r="AD50" s="132">
        <v>365.274</v>
      </c>
      <c r="AE50" s="132">
        <v>369.16800000000001</v>
      </c>
      <c r="AF50" s="132">
        <v>345.65699999999998</v>
      </c>
      <c r="AG50" s="132">
        <v>258.66399999999999</v>
      </c>
      <c r="AH50" s="132">
        <v>285.48</v>
      </c>
      <c r="AI50" s="132">
        <v>150.41200000000001</v>
      </c>
      <c r="AJ50" s="132">
        <v>98.887</v>
      </c>
      <c r="AK50" s="132">
        <v>60.832999999999998</v>
      </c>
      <c r="AL50" s="132">
        <v>273.49</v>
      </c>
      <c r="AM50" s="302">
        <v>341.74200000000002</v>
      </c>
    </row>
    <row r="51" spans="2:39" ht="11.25" customHeight="1" x14ac:dyDescent="0.25">
      <c r="B51" s="135" t="s">
        <v>539</v>
      </c>
      <c r="C51" s="131" t="s">
        <v>35</v>
      </c>
      <c r="D51" s="131">
        <v>0</v>
      </c>
      <c r="E51" s="132">
        <v>0</v>
      </c>
      <c r="F51" s="132">
        <v>0</v>
      </c>
      <c r="G51" s="132">
        <v>0</v>
      </c>
      <c r="H51" s="132">
        <v>0</v>
      </c>
      <c r="I51" s="132">
        <v>0</v>
      </c>
      <c r="J51" s="132">
        <v>0</v>
      </c>
      <c r="K51" s="132">
        <v>0</v>
      </c>
      <c r="L51" s="132">
        <v>0</v>
      </c>
      <c r="M51" s="132">
        <v>0</v>
      </c>
      <c r="N51" s="132">
        <v>0</v>
      </c>
      <c r="O51" s="132">
        <v>0</v>
      </c>
      <c r="P51" s="132">
        <v>0</v>
      </c>
      <c r="Q51" s="132">
        <v>0</v>
      </c>
      <c r="R51" s="132">
        <v>0</v>
      </c>
      <c r="S51" s="132">
        <v>0</v>
      </c>
      <c r="T51" s="132">
        <v>0</v>
      </c>
      <c r="U51" s="132">
        <v>0</v>
      </c>
      <c r="V51" s="132">
        <v>0</v>
      </c>
      <c r="W51" s="132">
        <v>0</v>
      </c>
      <c r="X51" s="132">
        <v>0</v>
      </c>
      <c r="Y51" s="132">
        <v>0</v>
      </c>
      <c r="Z51" s="132">
        <v>38.613999999999997</v>
      </c>
      <c r="AA51" s="132">
        <v>180.80699999999999</v>
      </c>
      <c r="AB51" s="132">
        <v>112.58499999999999</v>
      </c>
      <c r="AC51" s="132">
        <v>327.76499999999999</v>
      </c>
      <c r="AD51" s="132">
        <v>325.95299999999997</v>
      </c>
      <c r="AE51" s="132">
        <v>270.81299999999999</v>
      </c>
      <c r="AF51" s="132">
        <v>276.39999999999998</v>
      </c>
      <c r="AG51" s="132">
        <v>205.34299999999999</v>
      </c>
      <c r="AH51" s="132">
        <v>286.25599999999997</v>
      </c>
      <c r="AI51" s="132">
        <v>246.62</v>
      </c>
      <c r="AJ51" s="132">
        <v>230.28</v>
      </c>
      <c r="AK51" s="132">
        <v>191.54900000000001</v>
      </c>
      <c r="AL51" s="132">
        <v>142.43799999999999</v>
      </c>
      <c r="AM51" s="302">
        <v>149.77799999999999</v>
      </c>
    </row>
    <row r="52" spans="2:39" ht="11.25" customHeight="1" x14ac:dyDescent="0.25">
      <c r="B52" s="290" t="s">
        <v>540</v>
      </c>
      <c r="C52" s="131" t="s">
        <v>35</v>
      </c>
      <c r="D52" s="131">
        <v>0</v>
      </c>
      <c r="E52" s="132">
        <v>0</v>
      </c>
      <c r="F52" s="132">
        <v>0</v>
      </c>
      <c r="G52" s="132">
        <v>0</v>
      </c>
      <c r="H52" s="132">
        <v>0</v>
      </c>
      <c r="I52" s="132">
        <v>0</v>
      </c>
      <c r="J52" s="132">
        <v>0</v>
      </c>
      <c r="K52" s="132">
        <v>0</v>
      </c>
      <c r="L52" s="132">
        <v>0</v>
      </c>
      <c r="M52" s="132">
        <v>0</v>
      </c>
      <c r="N52" s="132">
        <v>0</v>
      </c>
      <c r="O52" s="132">
        <v>0</v>
      </c>
      <c r="P52" s="132">
        <v>0</v>
      </c>
      <c r="Q52" s="132">
        <v>0</v>
      </c>
      <c r="R52" s="132">
        <v>0</v>
      </c>
      <c r="S52" s="132">
        <v>0</v>
      </c>
      <c r="T52" s="132">
        <v>0</v>
      </c>
      <c r="U52" s="132">
        <v>0</v>
      </c>
      <c r="V52" s="132">
        <v>0</v>
      </c>
      <c r="W52" s="132">
        <v>0</v>
      </c>
      <c r="X52" s="132">
        <v>0</v>
      </c>
      <c r="Y52" s="132">
        <v>0</v>
      </c>
      <c r="Z52" s="132">
        <v>1.2E-2</v>
      </c>
      <c r="AA52" s="132">
        <v>0.78300000000000003</v>
      </c>
      <c r="AB52" s="132">
        <v>5.4720000000000004</v>
      </c>
      <c r="AC52" s="132">
        <v>0.95499999999999996</v>
      </c>
      <c r="AD52" s="132">
        <v>2.7</v>
      </c>
      <c r="AE52" s="132">
        <v>0.41899999999999998</v>
      </c>
      <c r="AF52" s="132">
        <v>0.1</v>
      </c>
      <c r="AG52" s="132">
        <v>0</v>
      </c>
      <c r="AH52" s="132">
        <v>0</v>
      </c>
      <c r="AI52" s="132">
        <v>0</v>
      </c>
      <c r="AJ52" s="132">
        <v>0.23400000000000001</v>
      </c>
      <c r="AK52" s="132">
        <v>10.223000000000001</v>
      </c>
      <c r="AL52" s="132">
        <v>21.818999999999999</v>
      </c>
      <c r="AM52" s="302">
        <v>12.111000000000001</v>
      </c>
    </row>
    <row r="53" spans="2:39" ht="11.25" customHeight="1" x14ac:dyDescent="0.25">
      <c r="B53" s="135" t="s">
        <v>541</v>
      </c>
      <c r="C53" s="131" t="s">
        <v>35</v>
      </c>
      <c r="D53" s="131">
        <v>246.792</v>
      </c>
      <c r="E53" s="132">
        <v>9.9529999999999994</v>
      </c>
      <c r="F53" s="132">
        <v>89.4</v>
      </c>
      <c r="G53" s="132">
        <v>264.81099999999998</v>
      </c>
      <c r="H53" s="132">
        <v>219.97499999999999</v>
      </c>
      <c r="I53" s="132">
        <v>840.428</v>
      </c>
      <c r="J53" s="132">
        <v>861.26</v>
      </c>
      <c r="K53" s="132">
        <v>453.01499999999999</v>
      </c>
      <c r="L53" s="132">
        <v>286.96499999999997</v>
      </c>
      <c r="M53" s="132">
        <v>510.50099999999998</v>
      </c>
      <c r="N53" s="132">
        <v>449.887</v>
      </c>
      <c r="O53" s="132">
        <v>596.88099999999997</v>
      </c>
      <c r="P53" s="132">
        <v>240.94</v>
      </c>
      <c r="Q53" s="132">
        <v>275.57900000000001</v>
      </c>
      <c r="R53" s="132">
        <v>678.59400000000005</v>
      </c>
      <c r="S53" s="132">
        <v>922.04100000000005</v>
      </c>
      <c r="T53" s="132">
        <v>871.16200000000003</v>
      </c>
      <c r="U53" s="132">
        <v>582.572</v>
      </c>
      <c r="V53" s="132">
        <v>293.21100000000001</v>
      </c>
      <c r="W53" s="132">
        <v>261.101</v>
      </c>
      <c r="X53" s="132">
        <v>275.66899999999998</v>
      </c>
      <c r="Y53" s="132">
        <v>232.55600000000001</v>
      </c>
      <c r="Z53" s="132">
        <v>488.92700000000002</v>
      </c>
      <c r="AA53" s="132">
        <v>409.87599999999998</v>
      </c>
      <c r="AB53" s="132">
        <v>170.756</v>
      </c>
      <c r="AC53" s="132">
        <v>205.215</v>
      </c>
      <c r="AD53" s="132">
        <v>172.178</v>
      </c>
      <c r="AE53" s="132">
        <v>174.32900000000001</v>
      </c>
      <c r="AF53" s="132">
        <v>111.627</v>
      </c>
      <c r="AG53" s="132">
        <v>91.382000000000005</v>
      </c>
      <c r="AH53" s="132">
        <v>85.643000000000001</v>
      </c>
      <c r="AI53" s="132">
        <v>59.188000000000002</v>
      </c>
      <c r="AJ53" s="132">
        <v>145.45099999999999</v>
      </c>
      <c r="AK53" s="132">
        <v>81.361000000000004</v>
      </c>
      <c r="AL53" s="132">
        <v>124.27500000000001</v>
      </c>
      <c r="AM53" s="302">
        <v>52.91</v>
      </c>
    </row>
    <row r="54" spans="2:39" ht="11.25" customHeight="1" x14ac:dyDescent="0.25">
      <c r="B54" s="135" t="s">
        <v>542</v>
      </c>
      <c r="C54" s="131" t="s">
        <v>35</v>
      </c>
      <c r="D54" s="131">
        <v>143.286</v>
      </c>
      <c r="E54" s="132">
        <v>213.26900000000001</v>
      </c>
      <c r="F54" s="132">
        <v>346.31400000000002</v>
      </c>
      <c r="G54" s="132">
        <v>110.77800000000001</v>
      </c>
      <c r="H54" s="132">
        <v>154.43</v>
      </c>
      <c r="I54" s="132">
        <v>617.73800000000006</v>
      </c>
      <c r="J54" s="132">
        <v>775.66499999999996</v>
      </c>
      <c r="K54" s="132">
        <v>388.113</v>
      </c>
      <c r="L54" s="132">
        <v>444.62</v>
      </c>
      <c r="M54" s="132">
        <v>482.76600000000002</v>
      </c>
      <c r="N54" s="132">
        <v>441.00400000000002</v>
      </c>
      <c r="O54" s="132">
        <v>417.85199999999998</v>
      </c>
      <c r="P54" s="132">
        <v>520.13099999999997</v>
      </c>
      <c r="Q54" s="132">
        <v>324.38600000000002</v>
      </c>
      <c r="R54" s="132">
        <v>383.76299999999998</v>
      </c>
      <c r="S54" s="132">
        <v>256.04300000000001</v>
      </c>
      <c r="T54" s="132">
        <v>398.44799999999998</v>
      </c>
      <c r="U54" s="132">
        <v>549.06399999999996</v>
      </c>
      <c r="V54" s="132">
        <v>371.40300000000002</v>
      </c>
      <c r="W54" s="132">
        <v>318.16699999999997</v>
      </c>
      <c r="X54" s="132">
        <v>263.39</v>
      </c>
      <c r="Y54" s="132">
        <v>236.12299999999999</v>
      </c>
      <c r="Z54" s="132">
        <v>214.82400000000001</v>
      </c>
      <c r="AA54" s="132">
        <v>209.57499999999999</v>
      </c>
      <c r="AB54" s="132">
        <v>96.748999999999995</v>
      </c>
      <c r="AC54" s="132">
        <v>66.182000000000002</v>
      </c>
      <c r="AD54" s="132">
        <v>34.959000000000003</v>
      </c>
      <c r="AE54" s="132">
        <v>62.082000000000001</v>
      </c>
      <c r="AF54" s="132">
        <v>41.649000000000001</v>
      </c>
      <c r="AG54" s="132">
        <v>41.341000000000001</v>
      </c>
      <c r="AH54" s="132">
        <v>973.69500000000005</v>
      </c>
      <c r="AI54" s="132">
        <v>1160.278</v>
      </c>
      <c r="AJ54" s="132">
        <v>16.928000000000001</v>
      </c>
      <c r="AK54" s="132">
        <v>35.045999999999999</v>
      </c>
      <c r="AL54" s="132">
        <v>40.975000000000001</v>
      </c>
      <c r="AM54" s="302">
        <v>42.639000000000003</v>
      </c>
    </row>
    <row r="55" spans="2:39" ht="11.25" customHeight="1" x14ac:dyDescent="0.25">
      <c r="B55" s="137" t="s">
        <v>227</v>
      </c>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c r="AA55" s="137"/>
      <c r="AB55" s="137"/>
      <c r="AC55" s="137"/>
      <c r="AD55" s="137"/>
      <c r="AE55" s="137"/>
      <c r="AF55" s="137"/>
      <c r="AG55" s="137"/>
      <c r="AH55" s="137"/>
      <c r="AI55" s="137"/>
      <c r="AJ55" s="137"/>
      <c r="AK55" s="137"/>
      <c r="AL55" s="137"/>
      <c r="AM55" s="137"/>
    </row>
    <row r="56" spans="2:39" ht="11.25" customHeight="1" x14ac:dyDescent="0.25">
      <c r="B56" s="136" t="s">
        <v>543</v>
      </c>
      <c r="C56" s="131" t="s">
        <v>35</v>
      </c>
      <c r="D56" s="132">
        <v>32.548000000000002</v>
      </c>
      <c r="E56" s="19">
        <v>607.87300000000005</v>
      </c>
      <c r="F56" s="132">
        <v>1271.222</v>
      </c>
      <c r="G56" s="132">
        <v>1147.6179999999999</v>
      </c>
      <c r="H56" s="132">
        <v>512.20100000000002</v>
      </c>
      <c r="I56" s="132">
        <v>454.84199999999998</v>
      </c>
      <c r="J56" s="132">
        <v>378.75099999999998</v>
      </c>
      <c r="K56" s="132">
        <v>305.27699999999999</v>
      </c>
      <c r="L56" s="132">
        <v>363.43900000000002</v>
      </c>
      <c r="M56" s="132">
        <v>231.92400000000001</v>
      </c>
      <c r="N56" s="132">
        <v>197.22499999999999</v>
      </c>
      <c r="O56" s="132">
        <v>264.89800000000002</v>
      </c>
      <c r="P56" s="132">
        <v>111.57</v>
      </c>
      <c r="Q56" s="132">
        <v>149.65899999999999</v>
      </c>
      <c r="R56" s="132">
        <v>233.43</v>
      </c>
      <c r="S56" s="132">
        <v>177.387</v>
      </c>
      <c r="T56" s="132">
        <v>444.23899999999998</v>
      </c>
      <c r="U56" s="132">
        <v>514.66999999999996</v>
      </c>
      <c r="V56" s="132">
        <v>365.358</v>
      </c>
      <c r="W56" s="132">
        <v>632.59500000000003</v>
      </c>
      <c r="X56" s="132">
        <v>1793.925</v>
      </c>
      <c r="Y56" s="132">
        <v>1614.2570000000001</v>
      </c>
      <c r="Z56" s="132">
        <v>2483.4169999999999</v>
      </c>
      <c r="AA56" s="132">
        <v>2656.0590000000002</v>
      </c>
      <c r="AB56" s="132">
        <v>2607.7510000000002</v>
      </c>
      <c r="AC56" s="132">
        <v>7419.9219999999996</v>
      </c>
      <c r="AD56" s="132">
        <v>1974.787</v>
      </c>
      <c r="AE56" s="132">
        <v>3001.9929999999999</v>
      </c>
      <c r="AF56" s="132">
        <v>2267.259</v>
      </c>
      <c r="AG56" s="132">
        <v>1926.01</v>
      </c>
      <c r="AH56" s="132">
        <v>1353.712</v>
      </c>
      <c r="AI56" s="132">
        <v>1607.258</v>
      </c>
      <c r="AJ56" s="132">
        <v>2576.2629999999999</v>
      </c>
      <c r="AK56" s="132">
        <v>3578.8820000000001</v>
      </c>
      <c r="AL56" s="132">
        <v>2301.3989999999999</v>
      </c>
      <c r="AM56" s="302">
        <v>955.66300000000001</v>
      </c>
    </row>
    <row r="57" spans="2:39" ht="11.25" customHeight="1" x14ac:dyDescent="0.25">
      <c r="B57" s="136" t="s">
        <v>544</v>
      </c>
      <c r="C57" s="131" t="s">
        <v>35</v>
      </c>
      <c r="D57" s="131">
        <v>90.552000000000007</v>
      </c>
      <c r="E57" s="132">
        <v>7.99</v>
      </c>
      <c r="F57" s="132">
        <v>785.41600000000005</v>
      </c>
      <c r="G57" s="132">
        <v>1482.521</v>
      </c>
      <c r="H57" s="132">
        <v>32.225000000000001</v>
      </c>
      <c r="I57" s="132">
        <v>47.823</v>
      </c>
      <c r="J57" s="132">
        <v>16.195</v>
      </c>
      <c r="K57" s="132">
        <v>25.349</v>
      </c>
      <c r="L57" s="132">
        <v>13.678000000000001</v>
      </c>
      <c r="M57" s="132">
        <v>5.452</v>
      </c>
      <c r="N57" s="132">
        <v>0</v>
      </c>
      <c r="O57" s="132">
        <v>0</v>
      </c>
      <c r="P57" s="132">
        <v>0</v>
      </c>
      <c r="Q57" s="132">
        <v>0</v>
      </c>
      <c r="R57" s="132">
        <v>0</v>
      </c>
      <c r="S57" s="132">
        <v>0</v>
      </c>
      <c r="T57" s="132">
        <v>0</v>
      </c>
      <c r="U57" s="132">
        <v>0</v>
      </c>
      <c r="V57" s="132">
        <v>0</v>
      </c>
      <c r="W57" s="132">
        <v>0</v>
      </c>
      <c r="X57" s="132">
        <v>0</v>
      </c>
      <c r="Y57" s="132">
        <v>0</v>
      </c>
      <c r="Z57" s="132">
        <v>586.09199999999998</v>
      </c>
      <c r="AA57" s="132">
        <v>966.60599999999999</v>
      </c>
      <c r="AB57" s="132">
        <v>950.846</v>
      </c>
      <c r="AC57" s="132">
        <v>852.20299999999997</v>
      </c>
      <c r="AD57" s="132">
        <v>544.61900000000003</v>
      </c>
      <c r="AE57" s="132">
        <v>1134.0450000000001</v>
      </c>
      <c r="AF57" s="132">
        <v>828.96100000000001</v>
      </c>
      <c r="AG57" s="132">
        <v>973.89</v>
      </c>
      <c r="AH57" s="132">
        <v>992.048</v>
      </c>
      <c r="AI57" s="132">
        <v>421.87900000000002</v>
      </c>
      <c r="AJ57" s="132">
        <v>584.27300000000002</v>
      </c>
      <c r="AK57" s="132">
        <v>908.93600000000004</v>
      </c>
      <c r="AL57" s="132">
        <v>522.02800000000002</v>
      </c>
      <c r="AM57" s="302">
        <v>530.96299999999997</v>
      </c>
    </row>
    <row r="58" spans="2:39" ht="11.25" customHeight="1" x14ac:dyDescent="0.25">
      <c r="B58" s="136" t="s">
        <v>545</v>
      </c>
      <c r="C58" s="138" t="s">
        <v>35</v>
      </c>
      <c r="D58" s="138">
        <v>2</v>
      </c>
      <c r="E58" s="139">
        <v>310</v>
      </c>
      <c r="F58" s="139">
        <v>33</v>
      </c>
      <c r="G58" s="139">
        <v>230</v>
      </c>
      <c r="H58" s="139">
        <v>373</v>
      </c>
      <c r="I58" s="139">
        <v>1477</v>
      </c>
      <c r="J58" s="139">
        <v>2831</v>
      </c>
      <c r="K58" s="139">
        <v>3141</v>
      </c>
      <c r="L58" s="139">
        <v>6716</v>
      </c>
      <c r="M58" s="139">
        <v>4966</v>
      </c>
      <c r="N58" s="139">
        <v>7048</v>
      </c>
      <c r="O58" s="139">
        <v>15548</v>
      </c>
      <c r="P58" s="139">
        <v>17065</v>
      </c>
      <c r="Q58" s="139">
        <v>13258</v>
      </c>
      <c r="R58" s="139">
        <v>12427</v>
      </c>
      <c r="S58" s="139">
        <v>6834</v>
      </c>
      <c r="T58" s="139">
        <v>7868</v>
      </c>
      <c r="U58" s="139">
        <v>3783</v>
      </c>
      <c r="V58" s="139">
        <v>573.41999999999996</v>
      </c>
      <c r="W58" s="139">
        <v>888.57</v>
      </c>
      <c r="X58" s="139">
        <v>1131.21</v>
      </c>
      <c r="Y58" s="139">
        <v>692.23</v>
      </c>
      <c r="Z58" s="139">
        <v>159.6</v>
      </c>
      <c r="AA58" s="139">
        <v>684.63</v>
      </c>
      <c r="AB58" s="139">
        <v>622.41</v>
      </c>
      <c r="AC58" s="139">
        <v>887.05</v>
      </c>
      <c r="AD58" s="139">
        <v>259.57</v>
      </c>
      <c r="AE58" s="139">
        <v>327.29000000000002</v>
      </c>
      <c r="AF58" s="139">
        <v>467.57</v>
      </c>
      <c r="AG58" s="139">
        <v>509.5</v>
      </c>
      <c r="AH58" s="139">
        <v>278.69</v>
      </c>
      <c r="AI58" s="139">
        <v>460.88</v>
      </c>
      <c r="AJ58" s="139">
        <v>496.69</v>
      </c>
      <c r="AK58" s="139">
        <v>409.66</v>
      </c>
      <c r="AL58" s="139">
        <v>512.38</v>
      </c>
      <c r="AM58" s="306">
        <v>658.26</v>
      </c>
    </row>
    <row r="59" spans="2:39" ht="36" customHeight="1" x14ac:dyDescent="0.25">
      <c r="B59" s="394" t="s">
        <v>521</v>
      </c>
      <c r="C59" s="394"/>
      <c r="D59" s="394"/>
      <c r="E59" s="394"/>
      <c r="F59" s="394"/>
      <c r="G59" s="394"/>
      <c r="H59" s="394"/>
      <c r="I59" s="394"/>
      <c r="J59" s="394"/>
      <c r="K59" s="394"/>
      <c r="L59" s="394"/>
      <c r="M59" s="394"/>
      <c r="N59" s="394"/>
      <c r="O59" s="394"/>
      <c r="P59" s="394"/>
      <c r="Q59" s="394"/>
      <c r="R59" s="394"/>
      <c r="S59" s="394"/>
      <c r="T59" s="394"/>
      <c r="U59" s="394"/>
      <c r="V59" s="394"/>
      <c r="W59" s="394"/>
      <c r="X59" s="394"/>
      <c r="Y59" s="394"/>
      <c r="Z59" s="394"/>
      <c r="AA59" s="394"/>
      <c r="AB59" s="394"/>
      <c r="AC59" s="394"/>
      <c r="AD59" s="394"/>
      <c r="AE59" s="394"/>
      <c r="AF59" s="394"/>
      <c r="AG59" s="394"/>
      <c r="AH59" s="394"/>
      <c r="AI59" s="394"/>
      <c r="AJ59" s="394"/>
      <c r="AK59" s="394"/>
      <c r="AL59" s="394"/>
    </row>
  </sheetData>
  <mergeCells count="1">
    <mergeCell ref="B59:AL59"/>
  </mergeCells>
  <conditionalFormatting sqref="B10">
    <cfRule type="cellIs" dxfId="165" priority="30" stopIfTrue="1" operator="greaterThanOrEqual">
      <formula>100</formula>
    </cfRule>
    <cfRule type="cellIs" dxfId="164" priority="29" stopIfTrue="1" operator="between">
      <formula>-99.999999999999</formula>
      <formula>99.999999999999</formula>
    </cfRule>
    <cfRule type="cellIs" dxfId="163" priority="28" stopIfTrue="1" operator="lessThanOrEqual">
      <formula>-100</formula>
    </cfRule>
    <cfRule type="cellIs" dxfId="162" priority="27" stopIfTrue="1" operator="equal">
      <formula>0</formula>
    </cfRule>
  </conditionalFormatting>
  <conditionalFormatting sqref="B16">
    <cfRule type="cellIs" dxfId="161" priority="26" stopIfTrue="1" operator="greaterThanOrEqual">
      <formula>100</formula>
    </cfRule>
    <cfRule type="cellIs" dxfId="160" priority="25" stopIfTrue="1" operator="between">
      <formula>-99.999999999999</formula>
      <formula>99.999999999999</formula>
    </cfRule>
    <cfRule type="cellIs" dxfId="159" priority="24" stopIfTrue="1" operator="lessThanOrEqual">
      <formula>-100</formula>
    </cfRule>
    <cfRule type="cellIs" dxfId="158" priority="23" stopIfTrue="1" operator="equal">
      <formula>0</formula>
    </cfRule>
  </conditionalFormatting>
  <conditionalFormatting sqref="B38">
    <cfRule type="cellIs" dxfId="157" priority="20" stopIfTrue="1" operator="lessThanOrEqual">
      <formula>-100</formula>
    </cfRule>
    <cfRule type="cellIs" dxfId="156" priority="19" stopIfTrue="1" operator="equal">
      <formula>0</formula>
    </cfRule>
    <cfRule type="cellIs" dxfId="155" priority="22" stopIfTrue="1" operator="greaterThanOrEqual">
      <formula>100</formula>
    </cfRule>
    <cfRule type="cellIs" dxfId="154" priority="21" stopIfTrue="1" operator="between">
      <formula>-99.999999999999</formula>
      <formula>99.999999999999</formula>
    </cfRule>
  </conditionalFormatting>
  <conditionalFormatting sqref="B43 B46 B49 B52">
    <cfRule type="cellIs" dxfId="153" priority="9" stopIfTrue="1" operator="equal">
      <formula>0</formula>
    </cfRule>
    <cfRule type="cellIs" dxfId="152" priority="10" stopIfTrue="1" operator="lessThanOrEqual">
      <formula>-100</formula>
    </cfRule>
    <cfRule type="cellIs" dxfId="151" priority="11" stopIfTrue="1" operator="between">
      <formula>-99.999999999999</formula>
      <formula>99.999999999999</formula>
    </cfRule>
    <cfRule type="cellIs" dxfId="150" priority="12" stopIfTrue="1" operator="greaterThanOrEqual">
      <formula>100</formula>
    </cfRule>
  </conditionalFormatting>
  <conditionalFormatting sqref="B6:AL58 B59">
    <cfRule type="cellIs" dxfId="149" priority="35" stopIfTrue="1" operator="between">
      <formula>-99.999999999999</formula>
      <formula>99.999999999999</formula>
    </cfRule>
    <cfRule type="cellIs" dxfId="148" priority="36" stopIfTrue="1" operator="greaterThanOrEqual">
      <formula>100</formula>
    </cfRule>
    <cfRule type="cellIs" dxfId="147" priority="33" stopIfTrue="1" operator="equal">
      <formula>0</formula>
    </cfRule>
    <cfRule type="cellIs" dxfId="146" priority="34" stopIfTrue="1" operator="lessThanOrEqual">
      <formula>-100</formula>
    </cfRule>
  </conditionalFormatting>
  <conditionalFormatting sqref="D11">
    <cfRule type="cellIs" dxfId="145" priority="13" operator="greaterThanOrEqual">
      <formula>100</formula>
    </cfRule>
    <cfRule type="cellIs" dxfId="144" priority="14" operator="greaterThanOrEqual">
      <formula>99</formula>
    </cfRule>
  </conditionalFormatting>
  <conditionalFormatting sqref="D17 D43 F43:AL43 E44:AL54 D56 F56:AL56 E57:AL58 E18:AL41 F16 F17:AL17">
    <cfRule type="cellIs" dxfId="143" priority="32" operator="greaterThanOrEqual">
      <formula>99</formula>
    </cfRule>
  </conditionalFormatting>
  <conditionalFormatting sqref="D17 D43 F43:AL43 E44:AL54 D56 F56:AL56 E57:AL58">
    <cfRule type="cellIs" dxfId="142" priority="31" operator="greaterThanOrEqual">
      <formula>100</formula>
    </cfRule>
  </conditionalFormatting>
  <conditionalFormatting sqref="E12:E15">
    <cfRule type="cellIs" dxfId="141" priority="18" operator="greaterThanOrEqual">
      <formula>99</formula>
    </cfRule>
    <cfRule type="cellIs" dxfId="140" priority="17" operator="greaterThanOrEqual">
      <formula>100</formula>
    </cfRule>
  </conditionalFormatting>
  <conditionalFormatting sqref="E18:AM41 AM43:AM54 AM56:AM58">
    <cfRule type="cellIs" dxfId="139" priority="3" operator="greaterThanOrEqual">
      <formula>100</formula>
    </cfRule>
  </conditionalFormatting>
  <conditionalFormatting sqref="F11:AM15">
    <cfRule type="cellIs" dxfId="138" priority="2" operator="greaterThanOrEqual">
      <formula>99</formula>
    </cfRule>
  </conditionalFormatting>
  <conditionalFormatting sqref="F11:AM17">
    <cfRule type="cellIs" dxfId="137" priority="1" operator="greaterThanOrEqual">
      <formula>100</formula>
    </cfRule>
  </conditionalFormatting>
  <conditionalFormatting sqref="AM6:AM58">
    <cfRule type="cellIs" dxfId="136" priority="8" stopIfTrue="1" operator="greaterThanOrEqual">
      <formula>100</formula>
    </cfRule>
    <cfRule type="cellIs" dxfId="135" priority="7" stopIfTrue="1" operator="between">
      <formula>-99.999999999999</formula>
      <formula>99.999999999999</formula>
    </cfRule>
    <cfRule type="cellIs" dxfId="134" priority="6" stopIfTrue="1" operator="lessThanOrEqual">
      <formula>-100</formula>
    </cfRule>
    <cfRule type="cellIs" dxfId="133" priority="5" stopIfTrue="1" operator="equal">
      <formula>0</formula>
    </cfRule>
  </conditionalFormatting>
  <conditionalFormatting sqref="AM17:AM41 AM43:AM54 AM56:AM58">
    <cfRule type="cellIs" dxfId="132" priority="4" operator="greaterThanOrEqual">
      <formula>99</formula>
    </cfRule>
  </conditionalFormatting>
  <pageMargins left="0.7" right="0.7" top="0.75" bottom="0.75" header="0.3" footer="0.3"/>
  <pageSetup paperSize="9" scale="26"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B6334-9E63-4EEF-8BA1-0D65E56A2827}">
  <sheetPr>
    <pageSetUpPr fitToPage="1"/>
  </sheetPr>
  <dimension ref="B6:AP44"/>
  <sheetViews>
    <sheetView zoomScaleNormal="100" workbookViewId="0"/>
  </sheetViews>
  <sheetFormatPr defaultColWidth="9.140625" defaultRowHeight="15" x14ac:dyDescent="0.25"/>
  <cols>
    <col min="1" max="1" width="9.140625" style="20"/>
    <col min="2" max="2" width="37.5703125" style="20" customWidth="1"/>
    <col min="3" max="3" width="4.42578125" style="20" customWidth="1"/>
    <col min="4" max="39" width="10.5703125" style="20" customWidth="1"/>
    <col min="40" max="16384" width="9.140625" style="20"/>
  </cols>
  <sheetData>
    <row r="6" spans="2:42" ht="9.75" customHeight="1" x14ac:dyDescent="0.25">
      <c r="B6" s="17"/>
      <c r="C6" s="19"/>
      <c r="D6" s="19"/>
      <c r="E6" s="19"/>
      <c r="F6" s="19"/>
      <c r="G6" s="17"/>
      <c r="H6" s="17"/>
      <c r="I6" s="17"/>
      <c r="J6" s="17"/>
      <c r="K6" s="17"/>
      <c r="L6" s="17"/>
      <c r="M6" s="17"/>
      <c r="N6" s="17"/>
      <c r="O6" s="17"/>
      <c r="P6" s="17"/>
      <c r="Q6" s="17"/>
      <c r="R6" s="17"/>
      <c r="S6" s="17"/>
      <c r="T6" s="17"/>
      <c r="U6" s="17"/>
      <c r="V6" s="17"/>
      <c r="W6" s="17"/>
      <c r="X6" s="17"/>
      <c r="Y6" s="17"/>
      <c r="Z6" s="17"/>
      <c r="AA6" s="17"/>
      <c r="AB6" s="17"/>
      <c r="AC6" s="17"/>
      <c r="AD6" s="17"/>
      <c r="AE6" s="118"/>
      <c r="AF6" s="118"/>
      <c r="AG6" s="118"/>
      <c r="AH6" s="119"/>
      <c r="AI6" s="119"/>
      <c r="AJ6" s="118"/>
      <c r="AK6" s="118"/>
      <c r="AM6" s="303" t="s">
        <v>0</v>
      </c>
    </row>
    <row r="7" spans="2:42" ht="27" customHeight="1" x14ac:dyDescent="0.25">
      <c r="B7" s="25" t="s">
        <v>255</v>
      </c>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140"/>
    </row>
    <row r="8" spans="2:42" ht="12.6" customHeight="1" x14ac:dyDescent="0.25">
      <c r="B8" s="161" t="s">
        <v>2</v>
      </c>
      <c r="C8" s="105" t="s">
        <v>3</v>
      </c>
      <c r="D8" s="105" t="s">
        <v>157</v>
      </c>
      <c r="E8" s="105" t="s">
        <v>158</v>
      </c>
      <c r="F8" s="105" t="s">
        <v>159</v>
      </c>
      <c r="G8" s="105" t="s">
        <v>160</v>
      </c>
      <c r="H8" s="105" t="s">
        <v>161</v>
      </c>
      <c r="I8" s="105" t="s">
        <v>162</v>
      </c>
      <c r="J8" s="105" t="s">
        <v>163</v>
      </c>
      <c r="K8" s="105" t="s">
        <v>164</v>
      </c>
      <c r="L8" s="105" t="s">
        <v>165</v>
      </c>
      <c r="M8" s="105" t="s">
        <v>166</v>
      </c>
      <c r="N8" s="105" t="s">
        <v>167</v>
      </c>
      <c r="O8" s="105" t="s">
        <v>168</v>
      </c>
      <c r="P8" s="105" t="s">
        <v>169</v>
      </c>
      <c r="Q8" s="105" t="s">
        <v>170</v>
      </c>
      <c r="R8" s="105" t="s">
        <v>171</v>
      </c>
      <c r="S8" s="105" t="s">
        <v>172</v>
      </c>
      <c r="T8" s="105" t="s">
        <v>173</v>
      </c>
      <c r="U8" s="105" t="s">
        <v>174</v>
      </c>
      <c r="V8" s="105" t="s">
        <v>175</v>
      </c>
      <c r="W8" s="105" t="s">
        <v>176</v>
      </c>
      <c r="X8" s="105" t="s">
        <v>177</v>
      </c>
      <c r="Y8" s="105" t="s">
        <v>178</v>
      </c>
      <c r="Z8" s="105" t="s">
        <v>179</v>
      </c>
      <c r="AA8" s="105" t="s">
        <v>180</v>
      </c>
      <c r="AB8" s="105" t="s">
        <v>181</v>
      </c>
      <c r="AC8" s="105" t="s">
        <v>182</v>
      </c>
      <c r="AD8" s="105" t="s">
        <v>183</v>
      </c>
      <c r="AE8" s="105" t="s">
        <v>184</v>
      </c>
      <c r="AF8" s="105" t="s">
        <v>185</v>
      </c>
      <c r="AG8" s="105" t="s">
        <v>186</v>
      </c>
      <c r="AH8" s="105" t="s">
        <v>187</v>
      </c>
      <c r="AI8" s="105" t="s">
        <v>188</v>
      </c>
      <c r="AJ8" s="105" t="s">
        <v>189</v>
      </c>
      <c r="AK8" s="105" t="s">
        <v>190</v>
      </c>
      <c r="AL8" s="105" t="s">
        <v>191</v>
      </c>
      <c r="AM8" s="105" t="s">
        <v>548</v>
      </c>
    </row>
    <row r="9" spans="2:42" ht="11.25" customHeight="1" x14ac:dyDescent="0.25">
      <c r="B9" s="313" t="s">
        <v>552</v>
      </c>
      <c r="C9" s="142"/>
      <c r="D9" s="142"/>
      <c r="E9" s="142"/>
      <c r="F9" s="142"/>
      <c r="G9" s="142"/>
      <c r="H9" s="142"/>
      <c r="I9" s="142"/>
      <c r="J9" s="142"/>
      <c r="K9" s="142"/>
      <c r="L9" s="142"/>
      <c r="M9" s="142"/>
      <c r="N9" s="142"/>
      <c r="O9" s="142"/>
      <c r="P9" s="142"/>
      <c r="Q9" s="142"/>
      <c r="R9" s="142"/>
      <c r="S9" s="142"/>
      <c r="T9" s="142"/>
      <c r="U9" s="142"/>
      <c r="V9" s="142"/>
      <c r="W9" s="142"/>
      <c r="X9" s="142"/>
      <c r="Y9" s="142"/>
      <c r="Z9" s="142"/>
      <c r="AA9" s="142"/>
      <c r="AB9" s="142"/>
      <c r="AC9" s="142"/>
      <c r="AD9" s="142"/>
      <c r="AE9" s="142"/>
      <c r="AF9" s="142"/>
      <c r="AG9" s="142"/>
      <c r="AH9" s="142"/>
      <c r="AI9" s="142"/>
      <c r="AJ9" s="142"/>
      <c r="AK9" s="142"/>
      <c r="AL9" s="142"/>
      <c r="AM9" s="143"/>
    </row>
    <row r="10" spans="2:42" ht="11.25" customHeight="1" x14ac:dyDescent="0.25">
      <c r="B10" s="144" t="s">
        <v>256</v>
      </c>
      <c r="C10" s="144"/>
      <c r="D10" s="144"/>
      <c r="E10" s="144"/>
      <c r="F10" s="144"/>
      <c r="G10" s="144"/>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4"/>
      <c r="AM10" s="144"/>
    </row>
    <row r="11" spans="2:42" ht="11.25" customHeight="1" x14ac:dyDescent="0.25">
      <c r="B11" s="145" t="s">
        <v>257</v>
      </c>
      <c r="C11" s="8" t="s">
        <v>258</v>
      </c>
      <c r="D11" s="32">
        <v>2.3E-2</v>
      </c>
      <c r="E11" s="29">
        <v>1.4999999999999999E-2</v>
      </c>
      <c r="F11" s="19">
        <v>2.1999999999999999E-2</v>
      </c>
      <c r="G11" s="146">
        <v>1.7999999999999999E-2</v>
      </c>
      <c r="H11" s="146">
        <v>1.4E-2</v>
      </c>
      <c r="I11" s="146">
        <v>2E-3</v>
      </c>
      <c r="J11" s="146">
        <v>0</v>
      </c>
      <c r="K11" s="146">
        <v>8.9999999999999993E-3</v>
      </c>
      <c r="L11" s="146">
        <v>1E-3</v>
      </c>
      <c r="M11" s="146">
        <v>0</v>
      </c>
      <c r="N11" s="146">
        <v>5.3999999999999999E-2</v>
      </c>
      <c r="O11" s="146">
        <v>2.1999999999999999E-2</v>
      </c>
      <c r="P11" s="146">
        <v>3.5000000000000003E-2</v>
      </c>
      <c r="Q11" s="146">
        <v>6.0000000000000001E-3</v>
      </c>
      <c r="R11" s="146">
        <v>1.9E-2</v>
      </c>
      <c r="S11" s="146">
        <v>5.0000000000000001E-3</v>
      </c>
      <c r="T11" s="146">
        <v>1E-3</v>
      </c>
      <c r="U11" s="146">
        <v>4.0000000000000001E-3</v>
      </c>
      <c r="V11" s="146">
        <v>0</v>
      </c>
      <c r="W11" s="146">
        <v>0</v>
      </c>
      <c r="X11" s="146">
        <v>1.7999999999999999E-2</v>
      </c>
      <c r="Y11" s="146">
        <v>0</v>
      </c>
      <c r="Z11" s="146">
        <v>2.3E-2</v>
      </c>
      <c r="AA11" s="146">
        <v>0</v>
      </c>
      <c r="AB11" s="146">
        <v>0</v>
      </c>
      <c r="AC11" s="146">
        <v>5.0000000000000001E-3</v>
      </c>
      <c r="AD11" s="146">
        <v>1.4999999999999999E-2</v>
      </c>
      <c r="AE11" s="146">
        <v>0</v>
      </c>
      <c r="AF11" s="146">
        <v>0</v>
      </c>
      <c r="AG11" s="146">
        <v>2.3E-2</v>
      </c>
      <c r="AH11" s="146">
        <v>0</v>
      </c>
      <c r="AI11" s="146">
        <v>0</v>
      </c>
      <c r="AJ11" s="146">
        <v>0</v>
      </c>
      <c r="AK11" s="146">
        <v>2.5999999999999999E-2</v>
      </c>
      <c r="AL11" s="146">
        <v>0</v>
      </c>
      <c r="AM11" s="146">
        <v>0</v>
      </c>
      <c r="AO11" s="309"/>
      <c r="AP11" s="308"/>
    </row>
    <row r="12" spans="2:42" ht="11.25" customHeight="1" x14ac:dyDescent="0.25">
      <c r="B12" s="147" t="s">
        <v>259</v>
      </c>
      <c r="C12" s="8" t="s">
        <v>258</v>
      </c>
      <c r="D12" s="29">
        <v>30.722000000000001</v>
      </c>
      <c r="E12" s="29">
        <v>27.576000000000001</v>
      </c>
      <c r="F12" s="29">
        <v>28.888999999999999</v>
      </c>
      <c r="G12" s="146">
        <v>34.648000000000003</v>
      </c>
      <c r="H12" s="146">
        <v>48.677</v>
      </c>
      <c r="I12" s="146">
        <v>54.338999999999999</v>
      </c>
      <c r="J12" s="146">
        <v>50.92</v>
      </c>
      <c r="K12" s="146">
        <v>57.186</v>
      </c>
      <c r="L12" s="146">
        <v>66.400999999999996</v>
      </c>
      <c r="M12" s="146">
        <v>81.98</v>
      </c>
      <c r="N12" s="146">
        <v>70.558999999999997</v>
      </c>
      <c r="O12" s="146">
        <v>82.78</v>
      </c>
      <c r="P12" s="146">
        <v>104.871</v>
      </c>
      <c r="Q12" s="146">
        <v>123.53700000000001</v>
      </c>
      <c r="R12" s="146">
        <v>109.75</v>
      </c>
      <c r="S12" s="146">
        <v>107.669</v>
      </c>
      <c r="T12" s="146">
        <v>141.334</v>
      </c>
      <c r="U12" s="146">
        <v>141.655</v>
      </c>
      <c r="V12" s="146">
        <v>174.07</v>
      </c>
      <c r="W12" s="146">
        <v>223.28</v>
      </c>
      <c r="X12" s="146">
        <v>169.33600000000001</v>
      </c>
      <c r="Y12" s="146">
        <v>200.82300000000001</v>
      </c>
      <c r="Z12" s="146">
        <v>205.529</v>
      </c>
      <c r="AA12" s="146">
        <v>258.185</v>
      </c>
      <c r="AB12" s="146">
        <v>296.10500000000002</v>
      </c>
      <c r="AC12" s="146">
        <v>283.89400000000001</v>
      </c>
      <c r="AD12" s="146">
        <v>274.79199999999997</v>
      </c>
      <c r="AE12" s="146">
        <v>302.702</v>
      </c>
      <c r="AF12" s="146">
        <v>307.358</v>
      </c>
      <c r="AG12" s="146">
        <v>323.50200000000001</v>
      </c>
      <c r="AH12" s="146">
        <v>341.42200000000003</v>
      </c>
      <c r="AI12" s="146">
        <v>281.45499999999998</v>
      </c>
      <c r="AJ12" s="146">
        <v>294.69200000000001</v>
      </c>
      <c r="AK12" s="146">
        <v>369.48700000000002</v>
      </c>
      <c r="AL12" s="146">
        <v>362.34500000000003</v>
      </c>
      <c r="AM12" s="146">
        <v>397.63099999999997</v>
      </c>
      <c r="AO12" s="309"/>
      <c r="AP12" s="308"/>
    </row>
    <row r="13" spans="2:42" ht="11.25" customHeight="1" x14ac:dyDescent="0.25">
      <c r="B13" s="147" t="s">
        <v>275</v>
      </c>
      <c r="C13" s="8" t="s">
        <v>258</v>
      </c>
      <c r="D13" s="29">
        <v>63.701999999999998</v>
      </c>
      <c r="E13" s="29">
        <v>49.506</v>
      </c>
      <c r="F13" s="29">
        <v>58.697000000000003</v>
      </c>
      <c r="G13" s="146">
        <v>64.515000000000001</v>
      </c>
      <c r="H13" s="146">
        <v>52.776000000000003</v>
      </c>
      <c r="I13" s="146">
        <v>59.963000000000001</v>
      </c>
      <c r="J13" s="146">
        <v>55.518000000000001</v>
      </c>
      <c r="K13" s="146">
        <v>44.869</v>
      </c>
      <c r="L13" s="146">
        <v>58.808999999999997</v>
      </c>
      <c r="M13" s="146">
        <v>64.569999999999993</v>
      </c>
      <c r="N13" s="146">
        <v>61.223999999999997</v>
      </c>
      <c r="O13" s="146">
        <v>79.138999999999996</v>
      </c>
      <c r="P13" s="146">
        <v>57.088000000000001</v>
      </c>
      <c r="Q13" s="146">
        <v>67.977999999999994</v>
      </c>
      <c r="R13" s="146">
        <v>68.685000000000002</v>
      </c>
      <c r="S13" s="146">
        <v>68.965999999999994</v>
      </c>
      <c r="T13" s="146">
        <v>74.56</v>
      </c>
      <c r="U13" s="146">
        <v>102.453</v>
      </c>
      <c r="V13" s="146">
        <v>79.063999999999993</v>
      </c>
      <c r="W13" s="146">
        <v>99.974000000000004</v>
      </c>
      <c r="X13" s="146">
        <v>85.805999999999997</v>
      </c>
      <c r="Y13" s="146">
        <v>84.402000000000001</v>
      </c>
      <c r="Z13" s="146">
        <v>91.828000000000003</v>
      </c>
      <c r="AA13" s="146">
        <v>118.833</v>
      </c>
      <c r="AB13" s="146">
        <v>167.45099999999999</v>
      </c>
      <c r="AC13" s="146">
        <v>190.654</v>
      </c>
      <c r="AD13" s="146">
        <v>184.68299999999999</v>
      </c>
      <c r="AE13" s="146">
        <v>216.95699999999999</v>
      </c>
      <c r="AF13" s="146">
        <v>226.637</v>
      </c>
      <c r="AG13" s="146">
        <v>243.36699999999999</v>
      </c>
      <c r="AH13" s="146">
        <v>244.816</v>
      </c>
      <c r="AI13" s="146">
        <v>214.005</v>
      </c>
      <c r="AJ13" s="146">
        <v>198.51</v>
      </c>
      <c r="AK13" s="146">
        <v>299.45299999999997</v>
      </c>
      <c r="AL13" s="146">
        <v>292.16000000000003</v>
      </c>
      <c r="AM13" s="146">
        <v>315.89400000000001</v>
      </c>
      <c r="AO13" s="309"/>
      <c r="AP13" s="308"/>
    </row>
    <row r="14" spans="2:42" ht="11.25" customHeight="1" x14ac:dyDescent="0.25">
      <c r="B14" s="147" t="s">
        <v>244</v>
      </c>
      <c r="C14" s="8" t="s">
        <v>258</v>
      </c>
      <c r="D14" s="29">
        <v>32.100999999999999</v>
      </c>
      <c r="E14" s="29">
        <v>41.381</v>
      </c>
      <c r="F14" s="29">
        <v>43.603000000000002</v>
      </c>
      <c r="G14" s="146">
        <v>48.796999999999997</v>
      </c>
      <c r="H14" s="146">
        <v>45.503</v>
      </c>
      <c r="I14" s="146">
        <v>42.908000000000001</v>
      </c>
      <c r="J14" s="146">
        <v>46.036999999999999</v>
      </c>
      <c r="K14" s="146">
        <v>53.31</v>
      </c>
      <c r="L14" s="146">
        <v>46.517000000000003</v>
      </c>
      <c r="M14" s="146">
        <v>50.543999999999997</v>
      </c>
      <c r="N14" s="146">
        <v>49.386000000000003</v>
      </c>
      <c r="O14" s="146">
        <v>48.201999999999998</v>
      </c>
      <c r="P14" s="146">
        <v>45.073</v>
      </c>
      <c r="Q14" s="146">
        <v>44.140999999999998</v>
      </c>
      <c r="R14" s="146">
        <v>37.555</v>
      </c>
      <c r="S14" s="146">
        <v>39.950000000000003</v>
      </c>
      <c r="T14" s="146">
        <v>31.201000000000001</v>
      </c>
      <c r="U14" s="146">
        <v>37.685000000000002</v>
      </c>
      <c r="V14" s="146">
        <v>32.015000000000001</v>
      </c>
      <c r="W14" s="146">
        <v>31.004999999999999</v>
      </c>
      <c r="X14" s="146">
        <v>26.125</v>
      </c>
      <c r="Y14" s="146">
        <v>27.244</v>
      </c>
      <c r="Z14" s="146">
        <v>20.946000000000002</v>
      </c>
      <c r="AA14" s="146">
        <v>23.366</v>
      </c>
      <c r="AB14" s="146">
        <v>19.45</v>
      </c>
      <c r="AC14" s="146">
        <v>21.841000000000001</v>
      </c>
      <c r="AD14" s="146">
        <v>23.576000000000001</v>
      </c>
      <c r="AE14" s="146">
        <v>23.088999999999999</v>
      </c>
      <c r="AF14" s="146">
        <v>20.492999999999999</v>
      </c>
      <c r="AG14" s="146">
        <v>24.135999999999999</v>
      </c>
      <c r="AH14" s="146">
        <v>23.655999999999999</v>
      </c>
      <c r="AI14" s="146">
        <v>20.132000000000001</v>
      </c>
      <c r="AJ14" s="146">
        <v>24.981999999999999</v>
      </c>
      <c r="AK14" s="146">
        <v>38.679000000000002</v>
      </c>
      <c r="AL14" s="146">
        <v>23.262</v>
      </c>
      <c r="AM14" s="146">
        <v>25.541</v>
      </c>
      <c r="AO14" s="309"/>
      <c r="AP14" s="308"/>
    </row>
    <row r="15" spans="2:42" ht="11.25" customHeight="1" x14ac:dyDescent="0.25">
      <c r="B15" s="147" t="s">
        <v>138</v>
      </c>
      <c r="C15" s="8" t="s">
        <v>258</v>
      </c>
      <c r="D15" s="29" t="s">
        <v>19</v>
      </c>
      <c r="E15" s="29" t="s">
        <v>19</v>
      </c>
      <c r="F15" s="29" t="s">
        <v>19</v>
      </c>
      <c r="G15" s="146" t="s">
        <v>19</v>
      </c>
      <c r="H15" s="146" t="s">
        <v>19</v>
      </c>
      <c r="I15" s="146" t="s">
        <v>19</v>
      </c>
      <c r="J15" s="146" t="s">
        <v>19</v>
      </c>
      <c r="K15" s="146" t="s">
        <v>19</v>
      </c>
      <c r="L15" s="146" t="s">
        <v>19</v>
      </c>
      <c r="M15" s="146" t="s">
        <v>19</v>
      </c>
      <c r="N15" s="146" t="s">
        <v>19</v>
      </c>
      <c r="O15" s="146" t="s">
        <v>19</v>
      </c>
      <c r="P15" s="146" t="s">
        <v>19</v>
      </c>
      <c r="Q15" s="146" t="s">
        <v>19</v>
      </c>
      <c r="R15" s="146" t="s">
        <v>19</v>
      </c>
      <c r="S15" s="146" t="s">
        <v>19</v>
      </c>
      <c r="T15" s="146" t="s">
        <v>19</v>
      </c>
      <c r="U15" s="146">
        <v>0.66300000000000003</v>
      </c>
      <c r="V15" s="146">
        <v>1.399</v>
      </c>
      <c r="W15" s="146">
        <v>1.4590000000000001</v>
      </c>
      <c r="X15" s="146">
        <v>1.764</v>
      </c>
      <c r="Y15" s="146">
        <v>1.4650000000000001</v>
      </c>
      <c r="Z15" s="146">
        <v>1.2110000000000001</v>
      </c>
      <c r="AA15" s="146">
        <v>1.7010000000000001</v>
      </c>
      <c r="AB15" s="146">
        <v>1.37</v>
      </c>
      <c r="AC15" s="146">
        <v>1.7270000000000001</v>
      </c>
      <c r="AD15" s="146">
        <v>1.5589999999999999</v>
      </c>
      <c r="AE15" s="146">
        <v>1.2130000000000001</v>
      </c>
      <c r="AF15" s="146">
        <v>1.034</v>
      </c>
      <c r="AG15" s="146">
        <v>1.262</v>
      </c>
      <c r="AH15" s="146">
        <v>1.129</v>
      </c>
      <c r="AI15" s="146">
        <v>1.625</v>
      </c>
      <c r="AJ15" s="146">
        <v>1.3540000000000001</v>
      </c>
      <c r="AK15" s="146">
        <v>1.8879999999999999</v>
      </c>
      <c r="AL15" s="146">
        <v>1.917</v>
      </c>
      <c r="AM15" s="146">
        <v>1.7350000000000001</v>
      </c>
      <c r="AO15" s="309"/>
      <c r="AP15" s="308"/>
    </row>
    <row r="16" spans="2:42" ht="11.25" customHeight="1" x14ac:dyDescent="0.25">
      <c r="B16" s="147" t="s">
        <v>260</v>
      </c>
      <c r="C16" s="8" t="s">
        <v>258</v>
      </c>
      <c r="D16" s="29" t="s">
        <v>19</v>
      </c>
      <c r="E16" s="29" t="s">
        <v>19</v>
      </c>
      <c r="F16" s="29" t="s">
        <v>19</v>
      </c>
      <c r="G16" s="146" t="s">
        <v>19</v>
      </c>
      <c r="H16" s="146" t="s">
        <v>19</v>
      </c>
      <c r="I16" s="146" t="s">
        <v>19</v>
      </c>
      <c r="J16" s="146" t="s">
        <v>19</v>
      </c>
      <c r="K16" s="146" t="s">
        <v>19</v>
      </c>
      <c r="L16" s="146" t="s">
        <v>19</v>
      </c>
      <c r="M16" s="146" t="s">
        <v>19</v>
      </c>
      <c r="N16" s="146">
        <v>0.185</v>
      </c>
      <c r="O16" s="146">
        <v>0.182</v>
      </c>
      <c r="P16" s="146">
        <v>0.24399999999999999</v>
      </c>
      <c r="Q16" s="146">
        <v>0.54900000000000004</v>
      </c>
      <c r="R16" s="146">
        <v>0.46200000000000002</v>
      </c>
      <c r="S16" s="146">
        <v>2.5999999999999999E-2</v>
      </c>
      <c r="T16" s="146">
        <v>0.23699999999999999</v>
      </c>
      <c r="U16" s="146">
        <v>0.438</v>
      </c>
      <c r="V16" s="146">
        <v>0.85499999999999998</v>
      </c>
      <c r="W16" s="146">
        <v>0.96399999999999997</v>
      </c>
      <c r="X16" s="146">
        <v>1.302</v>
      </c>
      <c r="Y16" s="146">
        <v>1.377</v>
      </c>
      <c r="Z16" s="146">
        <v>1.3180000000000001</v>
      </c>
      <c r="AA16" s="146">
        <v>2.1619999999999999</v>
      </c>
      <c r="AB16" s="146">
        <v>2.964</v>
      </c>
      <c r="AC16" s="146">
        <v>3.4740000000000002</v>
      </c>
      <c r="AD16" s="146">
        <v>8.1660000000000004</v>
      </c>
      <c r="AE16" s="146">
        <v>4.665</v>
      </c>
      <c r="AF16" s="146">
        <v>13.663</v>
      </c>
      <c r="AG16" s="146">
        <v>7.742</v>
      </c>
      <c r="AH16" s="146">
        <v>7.8810000000000002</v>
      </c>
      <c r="AI16" s="146">
        <v>8.2989999999999995</v>
      </c>
      <c r="AJ16" s="146">
        <v>9.6479999999999997</v>
      </c>
      <c r="AK16" s="146">
        <v>16.878</v>
      </c>
      <c r="AL16" s="146">
        <v>12.996</v>
      </c>
      <c r="AM16" s="146">
        <v>15.77</v>
      </c>
      <c r="AO16" s="309"/>
      <c r="AP16" s="308"/>
    </row>
    <row r="17" spans="2:42" ht="11.25" customHeight="1" x14ac:dyDescent="0.25">
      <c r="B17" s="147" t="s">
        <v>208</v>
      </c>
      <c r="C17" s="8" t="s">
        <v>258</v>
      </c>
      <c r="D17" s="29">
        <v>5.6269999999999998</v>
      </c>
      <c r="E17" s="29">
        <v>5.7050000000000001</v>
      </c>
      <c r="F17" s="29">
        <v>5.3170000000000002</v>
      </c>
      <c r="G17" s="146">
        <v>5.0599999999999996</v>
      </c>
      <c r="H17" s="146">
        <v>4.2750000000000004</v>
      </c>
      <c r="I17" s="146">
        <v>4.915</v>
      </c>
      <c r="J17" s="146">
        <v>4.3150000000000004</v>
      </c>
      <c r="K17" s="146">
        <v>5.0739999999999998</v>
      </c>
      <c r="L17" s="146">
        <v>4.681</v>
      </c>
      <c r="M17" s="146">
        <v>4.7210000000000001</v>
      </c>
      <c r="N17" s="146">
        <v>4.3959999999999999</v>
      </c>
      <c r="O17" s="146">
        <v>3.903</v>
      </c>
      <c r="P17" s="146">
        <v>8.2189999999999994</v>
      </c>
      <c r="Q17" s="146">
        <v>5.0490000000000004</v>
      </c>
      <c r="R17" s="146">
        <v>4.0819999999999999</v>
      </c>
      <c r="S17" s="146">
        <v>3.952</v>
      </c>
      <c r="T17" s="146">
        <v>4.843</v>
      </c>
      <c r="U17" s="146">
        <v>4.6070000000000002</v>
      </c>
      <c r="V17" s="146">
        <v>4.57</v>
      </c>
      <c r="W17" s="146">
        <v>4.4189999999999996</v>
      </c>
      <c r="X17" s="146">
        <v>4.4859999999999998</v>
      </c>
      <c r="Y17" s="146">
        <v>4.3220000000000001</v>
      </c>
      <c r="Z17" s="146">
        <v>4.1559999999999997</v>
      </c>
      <c r="AA17" s="146">
        <v>5.101</v>
      </c>
      <c r="AB17" s="146">
        <v>4.548</v>
      </c>
      <c r="AC17" s="146">
        <v>3.9249999999999998</v>
      </c>
      <c r="AD17" s="146">
        <v>5.6970000000000001</v>
      </c>
      <c r="AE17" s="146">
        <v>4.2389999999999999</v>
      </c>
      <c r="AF17" s="146">
        <v>5.0069999999999997</v>
      </c>
      <c r="AG17" s="146">
        <v>4.6260000000000003</v>
      </c>
      <c r="AH17" s="146">
        <v>5.0209999999999999</v>
      </c>
      <c r="AI17" s="146">
        <v>5.0419999999999998</v>
      </c>
      <c r="AJ17" s="146">
        <v>8.875</v>
      </c>
      <c r="AK17" s="146">
        <v>7.2910000000000004</v>
      </c>
      <c r="AL17" s="146">
        <v>6.7329999999999997</v>
      </c>
      <c r="AM17" s="146">
        <v>8.3800000000000008</v>
      </c>
      <c r="AO17" s="309"/>
      <c r="AP17" s="308"/>
    </row>
    <row r="18" spans="2:42" ht="11.25" customHeight="1" x14ac:dyDescent="0.25">
      <c r="B18" s="147" t="s">
        <v>261</v>
      </c>
      <c r="C18" s="8" t="s">
        <v>258</v>
      </c>
      <c r="D18" s="29">
        <v>0.52500000000000002</v>
      </c>
      <c r="E18" s="29">
        <v>0.505</v>
      </c>
      <c r="F18" s="29">
        <v>0.623</v>
      </c>
      <c r="G18" s="146">
        <v>1.2829999999999999</v>
      </c>
      <c r="H18" s="146">
        <v>1.7709999999999999</v>
      </c>
      <c r="I18" s="146">
        <v>1.1060000000000001</v>
      </c>
      <c r="J18" s="146">
        <v>2.8650000000000002</v>
      </c>
      <c r="K18" s="146">
        <v>2.1179999999999999</v>
      </c>
      <c r="L18" s="146">
        <v>2.5840000000000001</v>
      </c>
      <c r="M18" s="146">
        <v>2.7330000000000001</v>
      </c>
      <c r="N18" s="146">
        <v>3.8410000000000002</v>
      </c>
      <c r="O18" s="146">
        <v>6.9939999999999998</v>
      </c>
      <c r="P18" s="146">
        <v>4.577</v>
      </c>
      <c r="Q18" s="146">
        <v>3.4889999999999999</v>
      </c>
      <c r="R18" s="146">
        <v>3.5550000000000002</v>
      </c>
      <c r="S18" s="146">
        <v>3.847</v>
      </c>
      <c r="T18" s="146">
        <v>3.9980000000000002</v>
      </c>
      <c r="U18" s="146">
        <v>4.2949999999999999</v>
      </c>
      <c r="V18" s="146">
        <v>4.0750000000000002</v>
      </c>
      <c r="W18" s="146">
        <v>4.5179999999999998</v>
      </c>
      <c r="X18" s="146">
        <v>5.5949999999999998</v>
      </c>
      <c r="Y18" s="146">
        <v>4.4130000000000003</v>
      </c>
      <c r="Z18" s="146">
        <v>4.0190000000000001</v>
      </c>
      <c r="AA18" s="146">
        <v>4.6189999999999998</v>
      </c>
      <c r="AB18" s="146">
        <v>5.4589999999999996</v>
      </c>
      <c r="AC18" s="146">
        <v>4.9050000000000002</v>
      </c>
      <c r="AD18" s="146">
        <v>3.8959999999999999</v>
      </c>
      <c r="AE18" s="146">
        <v>3.4580000000000002</v>
      </c>
      <c r="AF18" s="146">
        <v>3.1419999999999999</v>
      </c>
      <c r="AG18" s="146">
        <v>3.7010000000000001</v>
      </c>
      <c r="AH18" s="146">
        <v>3.0859999999999999</v>
      </c>
      <c r="AI18" s="146">
        <v>5.0720000000000001</v>
      </c>
      <c r="AJ18" s="146">
        <v>6.4969999999999999</v>
      </c>
      <c r="AK18" s="146">
        <v>6.5780000000000003</v>
      </c>
      <c r="AL18" s="146">
        <v>5.1189999999999998</v>
      </c>
      <c r="AM18" s="146">
        <v>3.8580000000000001</v>
      </c>
      <c r="AO18" s="309"/>
      <c r="AP18" s="308"/>
    </row>
    <row r="19" spans="2:42" ht="11.25" customHeight="1" x14ac:dyDescent="0.25">
      <c r="B19" s="147" t="s">
        <v>262</v>
      </c>
      <c r="C19" s="8" t="s">
        <v>258</v>
      </c>
      <c r="D19" s="29">
        <v>125.084</v>
      </c>
      <c r="E19" s="29">
        <v>126.67</v>
      </c>
      <c r="F19" s="29">
        <v>153.166</v>
      </c>
      <c r="G19" s="146">
        <v>155.42400000000001</v>
      </c>
      <c r="H19" s="146">
        <v>173.202</v>
      </c>
      <c r="I19" s="146">
        <v>178.91300000000001</v>
      </c>
      <c r="J19" s="146">
        <v>188.42500000000001</v>
      </c>
      <c r="K19" s="146">
        <v>184.565</v>
      </c>
      <c r="L19" s="146">
        <v>214.732</v>
      </c>
      <c r="M19" s="146">
        <v>235.97300000000001</v>
      </c>
      <c r="N19" s="146">
        <v>271.45100000000002</v>
      </c>
      <c r="O19" s="146">
        <v>285.76900000000001</v>
      </c>
      <c r="P19" s="146">
        <v>313.99900000000002</v>
      </c>
      <c r="Q19" s="146">
        <v>343.35899999999998</v>
      </c>
      <c r="R19" s="146">
        <v>318.41699999999997</v>
      </c>
      <c r="S19" s="146">
        <v>320.93299999999999</v>
      </c>
      <c r="T19" s="146">
        <v>343.39600000000002</v>
      </c>
      <c r="U19" s="146">
        <v>406.33</v>
      </c>
      <c r="V19" s="146">
        <v>415.245</v>
      </c>
      <c r="W19" s="146">
        <v>455.50900000000001</v>
      </c>
      <c r="X19" s="146">
        <v>455.01400000000001</v>
      </c>
      <c r="Y19" s="146">
        <v>443.67599999999999</v>
      </c>
      <c r="Z19" s="146">
        <v>459.58499999999998</v>
      </c>
      <c r="AA19" s="146">
        <v>480.03800000000001</v>
      </c>
      <c r="AB19" s="146">
        <v>507.548</v>
      </c>
      <c r="AC19" s="146">
        <v>544.17700000000002</v>
      </c>
      <c r="AD19" s="146">
        <v>570.27499999999998</v>
      </c>
      <c r="AE19" s="146">
        <v>576.64099999999996</v>
      </c>
      <c r="AF19" s="146">
        <v>573.33900000000006</v>
      </c>
      <c r="AG19" s="146">
        <v>636.66700000000003</v>
      </c>
      <c r="AH19" s="146">
        <v>628.87</v>
      </c>
      <c r="AI19" s="146">
        <v>639.02700000000004</v>
      </c>
      <c r="AJ19" s="146">
        <v>650.39599999999996</v>
      </c>
      <c r="AK19" s="146">
        <v>721.51900000000001</v>
      </c>
      <c r="AL19" s="146">
        <v>738.274</v>
      </c>
      <c r="AM19" s="146">
        <v>757.87699999999995</v>
      </c>
      <c r="AO19" s="309"/>
      <c r="AP19" s="308"/>
    </row>
    <row r="20" spans="2:42" ht="11.25" customHeight="1" x14ac:dyDescent="0.25">
      <c r="B20" s="148" t="s">
        <v>276</v>
      </c>
      <c r="C20" s="8" t="s">
        <v>258</v>
      </c>
      <c r="D20" s="29">
        <v>257.78300000000002</v>
      </c>
      <c r="E20" s="29">
        <v>251.35900000000001</v>
      </c>
      <c r="F20" s="29">
        <v>290.31599999999997</v>
      </c>
      <c r="G20" s="146">
        <v>309.74599999999998</v>
      </c>
      <c r="H20" s="146">
        <v>326.21699999999998</v>
      </c>
      <c r="I20" s="146">
        <v>342.14499999999998</v>
      </c>
      <c r="J20" s="146">
        <v>348.08100000000002</v>
      </c>
      <c r="K20" s="146">
        <v>347.13099999999997</v>
      </c>
      <c r="L20" s="146">
        <v>393.726</v>
      </c>
      <c r="M20" s="146">
        <v>440.52199999999999</v>
      </c>
      <c r="N20" s="146">
        <v>461.096</v>
      </c>
      <c r="O20" s="146">
        <v>506.99200000000002</v>
      </c>
      <c r="P20" s="146">
        <v>534.10599999999999</v>
      </c>
      <c r="Q20" s="146">
        <v>588.10900000000004</v>
      </c>
      <c r="R20" s="146">
        <v>542.52499999999998</v>
      </c>
      <c r="S20" s="146">
        <v>545.34699999999998</v>
      </c>
      <c r="T20" s="146">
        <v>599.57000000000005</v>
      </c>
      <c r="U20" s="146">
        <v>698.13099999999997</v>
      </c>
      <c r="V20" s="146">
        <v>711.29499999999996</v>
      </c>
      <c r="W20" s="146">
        <v>821.12699999999995</v>
      </c>
      <c r="X20" s="146">
        <v>749.44600000000003</v>
      </c>
      <c r="Y20" s="146">
        <v>767.72199999999998</v>
      </c>
      <c r="Z20" s="146">
        <v>788.61500000000001</v>
      </c>
      <c r="AA20" s="146">
        <v>894.00599999999997</v>
      </c>
      <c r="AB20" s="146">
        <v>1004.896</v>
      </c>
      <c r="AC20" s="146">
        <v>1054.6020000000001</v>
      </c>
      <c r="AD20" s="146">
        <v>1072.6610000000001</v>
      </c>
      <c r="AE20" s="146">
        <v>1132.9639999999999</v>
      </c>
      <c r="AF20" s="146">
        <v>1150.674</v>
      </c>
      <c r="AG20" s="146">
        <v>1245.0260000000001</v>
      </c>
      <c r="AH20" s="146">
        <v>1255.8820000000001</v>
      </c>
      <c r="AI20" s="146">
        <v>1174.6569999999999</v>
      </c>
      <c r="AJ20" s="146">
        <v>1194.9549999999999</v>
      </c>
      <c r="AK20" s="146">
        <v>1461.7729999999999</v>
      </c>
      <c r="AL20" s="146">
        <v>1442.806</v>
      </c>
      <c r="AM20" s="146">
        <v>1526.6869999999999</v>
      </c>
      <c r="AN20" s="308"/>
      <c r="AO20" s="309"/>
      <c r="AP20" s="308"/>
    </row>
    <row r="21" spans="2:42" ht="11.25" customHeight="1" x14ac:dyDescent="0.25">
      <c r="B21" s="144" t="s">
        <v>263</v>
      </c>
      <c r="C21" s="144"/>
      <c r="D21" s="144"/>
      <c r="E21" s="144"/>
      <c r="F21" s="144"/>
      <c r="G21" s="144"/>
      <c r="H21" s="144"/>
      <c r="I21" s="144"/>
      <c r="J21" s="144"/>
      <c r="K21" s="144"/>
      <c r="L21" s="144"/>
      <c r="M21" s="144"/>
      <c r="N21" s="144"/>
      <c r="O21" s="144"/>
      <c r="P21" s="144"/>
      <c r="Q21" s="144"/>
      <c r="R21" s="144"/>
      <c r="S21" s="144"/>
      <c r="T21" s="144"/>
      <c r="U21" s="144"/>
      <c r="V21" s="144"/>
      <c r="W21" s="144"/>
      <c r="X21" s="144"/>
      <c r="Y21" s="144"/>
      <c r="Z21" s="144"/>
      <c r="AA21" s="144"/>
      <c r="AB21" s="144"/>
      <c r="AC21" s="144"/>
      <c r="AD21" s="144"/>
      <c r="AE21" s="144"/>
      <c r="AF21" s="144"/>
      <c r="AG21" s="144"/>
      <c r="AH21" s="144"/>
      <c r="AI21" s="144"/>
      <c r="AJ21" s="144"/>
      <c r="AK21" s="144"/>
      <c r="AL21" s="144"/>
      <c r="AM21" s="144"/>
      <c r="AO21" s="144"/>
    </row>
    <row r="22" spans="2:42" ht="11.25" customHeight="1" x14ac:dyDescent="0.25">
      <c r="B22" s="147" t="s">
        <v>87</v>
      </c>
      <c r="C22" s="8" t="s">
        <v>258</v>
      </c>
      <c r="D22" s="29">
        <v>92.097999999999999</v>
      </c>
      <c r="E22" s="29">
        <v>118.264</v>
      </c>
      <c r="F22" s="149">
        <v>111.318</v>
      </c>
      <c r="G22" s="146">
        <v>121.98399999999999</v>
      </c>
      <c r="H22" s="146">
        <v>137.92699999999999</v>
      </c>
      <c r="I22" s="146">
        <v>166.797</v>
      </c>
      <c r="J22" s="146">
        <v>154.93100000000001</v>
      </c>
      <c r="K22" s="146">
        <v>156.45500000000001</v>
      </c>
      <c r="L22" s="146">
        <v>191.53800000000001</v>
      </c>
      <c r="M22" s="146">
        <v>202.971</v>
      </c>
      <c r="N22" s="146">
        <v>192.916</v>
      </c>
      <c r="O22" s="146">
        <v>233.524</v>
      </c>
      <c r="P22" s="146">
        <v>221.43</v>
      </c>
      <c r="Q22" s="146">
        <v>220.23599999999999</v>
      </c>
      <c r="R22" s="146">
        <v>227.595</v>
      </c>
      <c r="S22" s="146">
        <v>257.79399999999998</v>
      </c>
      <c r="T22" s="146">
        <v>256.31099999999998</v>
      </c>
      <c r="U22" s="146">
        <v>308.04899999999998</v>
      </c>
      <c r="V22" s="146">
        <v>250.17599999999999</v>
      </c>
      <c r="W22" s="146">
        <v>270.726</v>
      </c>
      <c r="X22" s="146">
        <v>298.678</v>
      </c>
      <c r="Y22" s="146">
        <v>290.95699999999999</v>
      </c>
      <c r="Z22" s="146">
        <v>350.94299999999998</v>
      </c>
      <c r="AA22" s="146">
        <v>304.76400000000001</v>
      </c>
      <c r="AB22" s="146">
        <v>495.113</v>
      </c>
      <c r="AC22" s="146">
        <v>431.20100000000002</v>
      </c>
      <c r="AD22" s="146">
        <v>400.87099999999998</v>
      </c>
      <c r="AE22" s="146">
        <v>402.47199999999998</v>
      </c>
      <c r="AF22" s="146">
        <v>484.59199999999998</v>
      </c>
      <c r="AG22" s="146">
        <v>446.26100000000002</v>
      </c>
      <c r="AH22" s="146">
        <v>393.113</v>
      </c>
      <c r="AI22" s="146">
        <v>422.48599999999999</v>
      </c>
      <c r="AJ22" s="146">
        <v>491.92099999999999</v>
      </c>
      <c r="AK22" s="146">
        <v>529.53899999999999</v>
      </c>
      <c r="AL22" s="146">
        <v>489.06200000000001</v>
      </c>
      <c r="AM22" s="146">
        <v>512.05200000000002</v>
      </c>
      <c r="AO22" s="309"/>
      <c r="AP22" s="308"/>
    </row>
    <row r="23" spans="2:42" ht="11.25" customHeight="1" x14ac:dyDescent="0.25">
      <c r="B23" s="147" t="s">
        <v>264</v>
      </c>
      <c r="C23" s="8" t="s">
        <v>258</v>
      </c>
      <c r="D23" s="29">
        <v>2.8980000000000001</v>
      </c>
      <c r="E23" s="29">
        <v>4.7969999999999997</v>
      </c>
      <c r="F23" s="29">
        <v>3.7320000000000002</v>
      </c>
      <c r="G23" s="146">
        <v>2.6429999999999998</v>
      </c>
      <c r="H23" s="146">
        <v>6.0289999999999999</v>
      </c>
      <c r="I23" s="146">
        <v>9.7439999999999998</v>
      </c>
      <c r="J23" s="146">
        <v>6.4029999999999996</v>
      </c>
      <c r="K23" s="146">
        <v>8.5449999999999999</v>
      </c>
      <c r="L23" s="146">
        <v>9.1649999999999991</v>
      </c>
      <c r="M23" s="146">
        <v>7.2759999999999998</v>
      </c>
      <c r="N23" s="146">
        <v>11.154999999999999</v>
      </c>
      <c r="O23" s="146">
        <v>9.423</v>
      </c>
      <c r="P23" s="146">
        <v>8.0609999999999999</v>
      </c>
      <c r="Q23" s="146">
        <v>11.173999999999999</v>
      </c>
      <c r="R23" s="146">
        <v>7.13</v>
      </c>
      <c r="S23" s="146">
        <v>8.1489999999999991</v>
      </c>
      <c r="T23" s="146">
        <v>10.289</v>
      </c>
      <c r="U23" s="146">
        <v>13.335000000000001</v>
      </c>
      <c r="V23" s="146">
        <v>14.224</v>
      </c>
      <c r="W23" s="146">
        <v>9.7690000000000001</v>
      </c>
      <c r="X23" s="146">
        <v>11.808999999999999</v>
      </c>
      <c r="Y23" s="146">
        <v>14.989000000000001</v>
      </c>
      <c r="Z23" s="146">
        <v>16.013000000000002</v>
      </c>
      <c r="AA23" s="146">
        <v>15.318</v>
      </c>
      <c r="AB23" s="146">
        <v>22.366</v>
      </c>
      <c r="AC23" s="146">
        <v>28.286999999999999</v>
      </c>
      <c r="AD23" s="146">
        <v>29.902999999999999</v>
      </c>
      <c r="AE23" s="146">
        <v>33.813000000000002</v>
      </c>
      <c r="AF23" s="146">
        <v>35.593000000000004</v>
      </c>
      <c r="AG23" s="146">
        <v>33.506999999999998</v>
      </c>
      <c r="AH23" s="146">
        <v>32.472000000000001</v>
      </c>
      <c r="AI23" s="146">
        <v>29.135000000000002</v>
      </c>
      <c r="AJ23" s="146">
        <v>21.715</v>
      </c>
      <c r="AK23" s="146">
        <v>42.893000000000001</v>
      </c>
      <c r="AL23" s="146">
        <v>20.053999999999998</v>
      </c>
      <c r="AM23" s="146">
        <v>28.986999999999998</v>
      </c>
      <c r="AO23" s="309"/>
      <c r="AP23" s="308"/>
    </row>
    <row r="24" spans="2:42" ht="11.25" customHeight="1" x14ac:dyDescent="0.25">
      <c r="B24" s="147" t="s">
        <v>265</v>
      </c>
      <c r="C24" s="8" t="s">
        <v>258</v>
      </c>
      <c r="D24" s="29">
        <v>2.8439999999999999</v>
      </c>
      <c r="E24" s="29">
        <v>2.452</v>
      </c>
      <c r="F24" s="29">
        <v>2.8759999999999999</v>
      </c>
      <c r="G24" s="146">
        <v>2.8940000000000001</v>
      </c>
      <c r="H24" s="146">
        <v>2.8290000000000002</v>
      </c>
      <c r="I24" s="146">
        <v>3.8479999999999999</v>
      </c>
      <c r="J24" s="146">
        <v>3.266</v>
      </c>
      <c r="K24" s="146">
        <v>2.6520000000000001</v>
      </c>
      <c r="L24" s="146">
        <v>3.4830000000000001</v>
      </c>
      <c r="M24" s="146">
        <v>2.7639999999999998</v>
      </c>
      <c r="N24" s="146">
        <v>5.1820000000000004</v>
      </c>
      <c r="O24" s="146">
        <v>4.12</v>
      </c>
      <c r="P24" s="146">
        <v>4.1109999999999998</v>
      </c>
      <c r="Q24" s="146">
        <v>4.6360000000000001</v>
      </c>
      <c r="R24" s="146">
        <v>3.8639999999999999</v>
      </c>
      <c r="S24" s="146">
        <v>5.4829999999999997</v>
      </c>
      <c r="T24" s="146">
        <v>7.3550000000000004</v>
      </c>
      <c r="U24" s="146">
        <v>8.7759999999999998</v>
      </c>
      <c r="V24" s="146">
        <v>10.32</v>
      </c>
      <c r="W24" s="146">
        <v>11.343999999999999</v>
      </c>
      <c r="X24" s="146">
        <v>12.363</v>
      </c>
      <c r="Y24" s="146">
        <v>13.269</v>
      </c>
      <c r="Z24" s="146">
        <v>15.523</v>
      </c>
      <c r="AA24" s="146">
        <v>16.824000000000002</v>
      </c>
      <c r="AB24" s="146">
        <v>28.337</v>
      </c>
      <c r="AC24" s="146">
        <v>31.07</v>
      </c>
      <c r="AD24" s="146">
        <v>28.663</v>
      </c>
      <c r="AE24" s="146">
        <v>24.902999999999999</v>
      </c>
      <c r="AF24" s="146">
        <v>26.151</v>
      </c>
      <c r="AG24" s="146">
        <v>33.302999999999997</v>
      </c>
      <c r="AH24" s="146">
        <v>31.001000000000001</v>
      </c>
      <c r="AI24" s="146">
        <v>25.713999999999999</v>
      </c>
      <c r="AJ24" s="146">
        <v>29.617000000000001</v>
      </c>
      <c r="AK24" s="146">
        <v>41.265000000000001</v>
      </c>
      <c r="AL24" s="146">
        <v>32.932000000000002</v>
      </c>
      <c r="AM24" s="146">
        <v>34.575000000000003</v>
      </c>
      <c r="AO24" s="309"/>
      <c r="AP24" s="308"/>
    </row>
    <row r="25" spans="2:42" ht="11.25" customHeight="1" x14ac:dyDescent="0.25">
      <c r="B25" s="147" t="s">
        <v>223</v>
      </c>
      <c r="C25" s="8" t="s">
        <v>258</v>
      </c>
      <c r="D25" s="29">
        <v>4.7939999999999996</v>
      </c>
      <c r="E25" s="29">
        <v>5.5750000000000002</v>
      </c>
      <c r="F25" s="29">
        <v>4.75</v>
      </c>
      <c r="G25" s="146">
        <v>3.9169999999999998</v>
      </c>
      <c r="H25" s="146">
        <v>4.6959999999999997</v>
      </c>
      <c r="I25" s="146">
        <v>6.4240000000000004</v>
      </c>
      <c r="J25" s="146">
        <v>7.0830000000000002</v>
      </c>
      <c r="K25" s="146">
        <v>6.407</v>
      </c>
      <c r="L25" s="146">
        <v>6.8730000000000002</v>
      </c>
      <c r="M25" s="146">
        <v>7.9969999999999999</v>
      </c>
      <c r="N25" s="146">
        <v>7.5629999999999997</v>
      </c>
      <c r="O25" s="146">
        <v>7.0380000000000003</v>
      </c>
      <c r="P25" s="146">
        <v>7.2809999999999997</v>
      </c>
      <c r="Q25" s="146">
        <v>9.17</v>
      </c>
      <c r="R25" s="146">
        <v>8.0950000000000006</v>
      </c>
      <c r="S25" s="146">
        <v>9.1389999999999993</v>
      </c>
      <c r="T25" s="146">
        <v>8.5790000000000006</v>
      </c>
      <c r="U25" s="146">
        <v>9.27</v>
      </c>
      <c r="V25" s="146">
        <v>8.99</v>
      </c>
      <c r="W25" s="146">
        <v>12.007</v>
      </c>
      <c r="X25" s="146">
        <v>9.2949999999999999</v>
      </c>
      <c r="Y25" s="146">
        <v>10.236000000000001</v>
      </c>
      <c r="Z25" s="146">
        <v>11.69</v>
      </c>
      <c r="AA25" s="146">
        <v>17.102</v>
      </c>
      <c r="AB25" s="146">
        <v>19.122</v>
      </c>
      <c r="AC25" s="146">
        <v>17.922000000000001</v>
      </c>
      <c r="AD25" s="146">
        <v>20.021999999999998</v>
      </c>
      <c r="AE25" s="146">
        <v>21.722000000000001</v>
      </c>
      <c r="AF25" s="146">
        <v>20.837</v>
      </c>
      <c r="AG25" s="146">
        <v>21.31</v>
      </c>
      <c r="AH25" s="146">
        <v>19.552</v>
      </c>
      <c r="AI25" s="146">
        <v>21.885000000000002</v>
      </c>
      <c r="AJ25" s="146">
        <v>17.722999999999999</v>
      </c>
      <c r="AK25" s="146">
        <v>24.582000000000001</v>
      </c>
      <c r="AL25" s="146">
        <v>23.718</v>
      </c>
      <c r="AM25" s="146">
        <v>25.952000000000002</v>
      </c>
      <c r="AO25" s="309"/>
      <c r="AP25" s="308"/>
    </row>
    <row r="26" spans="2:42" ht="11.25" customHeight="1" x14ac:dyDescent="0.25">
      <c r="B26" s="147" t="s">
        <v>43</v>
      </c>
      <c r="C26" s="8" t="s">
        <v>258</v>
      </c>
      <c r="D26" s="29">
        <v>19.175999999999998</v>
      </c>
      <c r="E26" s="29">
        <v>16.632000000000001</v>
      </c>
      <c r="F26" s="29">
        <v>7.2080000000000002</v>
      </c>
      <c r="G26" s="146">
        <v>3.8639999999999999</v>
      </c>
      <c r="H26" s="146">
        <v>6.3209999999999997</v>
      </c>
      <c r="I26" s="146">
        <v>14.212999999999999</v>
      </c>
      <c r="J26" s="146">
        <v>12.441000000000001</v>
      </c>
      <c r="K26" s="146">
        <v>15.471</v>
      </c>
      <c r="L26" s="146">
        <v>20.37</v>
      </c>
      <c r="M26" s="146">
        <v>16.215</v>
      </c>
      <c r="N26" s="146">
        <v>25.928000000000001</v>
      </c>
      <c r="O26" s="146">
        <v>28.388000000000002</v>
      </c>
      <c r="P26" s="146">
        <v>22.219000000000001</v>
      </c>
      <c r="Q26" s="146">
        <v>24.241</v>
      </c>
      <c r="R26" s="146">
        <v>22.027000000000001</v>
      </c>
      <c r="S26" s="146">
        <v>27.457999999999998</v>
      </c>
      <c r="T26" s="146">
        <v>30.756</v>
      </c>
      <c r="U26" s="146">
        <v>29.814</v>
      </c>
      <c r="V26" s="146">
        <v>28.081</v>
      </c>
      <c r="W26" s="146">
        <v>29.888999999999999</v>
      </c>
      <c r="X26" s="146">
        <v>33.542000000000002</v>
      </c>
      <c r="Y26" s="146">
        <v>34.475999999999999</v>
      </c>
      <c r="Z26" s="146">
        <v>43.584000000000003</v>
      </c>
      <c r="AA26" s="146">
        <v>41.061999999999998</v>
      </c>
      <c r="AB26" s="146">
        <v>52.906999999999996</v>
      </c>
      <c r="AC26" s="146">
        <v>49.552</v>
      </c>
      <c r="AD26" s="146">
        <v>54.997999999999998</v>
      </c>
      <c r="AE26" s="146">
        <v>68.594999999999999</v>
      </c>
      <c r="AF26" s="146">
        <v>51.439</v>
      </c>
      <c r="AG26" s="146">
        <v>34.631</v>
      </c>
      <c r="AH26" s="146">
        <v>38.868000000000002</v>
      </c>
      <c r="AI26" s="146">
        <v>34.68</v>
      </c>
      <c r="AJ26" s="146">
        <v>44.24</v>
      </c>
      <c r="AK26" s="146">
        <v>75.551000000000002</v>
      </c>
      <c r="AL26" s="146">
        <v>50.978000000000002</v>
      </c>
      <c r="AM26" s="146">
        <v>52.191000000000003</v>
      </c>
      <c r="AO26" s="309"/>
      <c r="AP26" s="308"/>
    </row>
    <row r="27" spans="2:42" ht="11.25" customHeight="1" x14ac:dyDescent="0.25">
      <c r="B27" s="147" t="s">
        <v>266</v>
      </c>
      <c r="C27" s="8" t="s">
        <v>258</v>
      </c>
      <c r="D27" s="29">
        <v>14.026999999999999</v>
      </c>
      <c r="E27" s="29">
        <v>13.255000000000001</v>
      </c>
      <c r="F27" s="29">
        <v>17.209</v>
      </c>
      <c r="G27" s="146">
        <v>17.581</v>
      </c>
      <c r="H27" s="146">
        <v>22.06</v>
      </c>
      <c r="I27" s="146">
        <v>30.786000000000001</v>
      </c>
      <c r="J27" s="146">
        <v>34.475999999999999</v>
      </c>
      <c r="K27" s="146">
        <v>28.841999999999999</v>
      </c>
      <c r="L27" s="146">
        <v>28.277000000000001</v>
      </c>
      <c r="M27" s="146">
        <v>29.8</v>
      </c>
      <c r="N27" s="146">
        <v>35.831000000000003</v>
      </c>
      <c r="O27" s="146">
        <v>35.835000000000001</v>
      </c>
      <c r="P27" s="146">
        <v>42.511000000000003</v>
      </c>
      <c r="Q27" s="146">
        <v>46.076000000000001</v>
      </c>
      <c r="R27" s="146">
        <v>48.456000000000003</v>
      </c>
      <c r="S27" s="146">
        <v>58.51</v>
      </c>
      <c r="T27" s="146">
        <v>63.204000000000001</v>
      </c>
      <c r="U27" s="146">
        <v>55.9</v>
      </c>
      <c r="V27" s="146">
        <v>45.576000000000001</v>
      </c>
      <c r="W27" s="146">
        <v>54.286000000000001</v>
      </c>
      <c r="X27" s="146">
        <v>62.036000000000001</v>
      </c>
      <c r="Y27" s="146">
        <v>74.313000000000002</v>
      </c>
      <c r="Z27" s="146">
        <v>90.376999999999995</v>
      </c>
      <c r="AA27" s="146">
        <v>97.658000000000001</v>
      </c>
      <c r="AB27" s="146">
        <v>114.47</v>
      </c>
      <c r="AC27" s="146">
        <v>111.575</v>
      </c>
      <c r="AD27" s="146">
        <v>134.83699999999999</v>
      </c>
      <c r="AE27" s="146">
        <v>166.55600000000001</v>
      </c>
      <c r="AF27" s="146">
        <v>153.376</v>
      </c>
      <c r="AG27" s="146">
        <v>174.45500000000001</v>
      </c>
      <c r="AH27" s="146">
        <v>137.22499999999999</v>
      </c>
      <c r="AI27" s="146">
        <v>164.53399999999999</v>
      </c>
      <c r="AJ27" s="146">
        <v>152.00299999999999</v>
      </c>
      <c r="AK27" s="146">
        <v>181.642</v>
      </c>
      <c r="AL27" s="146">
        <v>178.83600000000001</v>
      </c>
      <c r="AM27" s="146">
        <v>194.11099999999999</v>
      </c>
      <c r="AO27" s="309"/>
      <c r="AP27" s="308"/>
    </row>
    <row r="28" spans="2:42" ht="11.25" customHeight="1" x14ac:dyDescent="0.25">
      <c r="B28" s="147" t="s">
        <v>267</v>
      </c>
      <c r="C28" s="8" t="s">
        <v>258</v>
      </c>
      <c r="D28" s="29">
        <v>29.047999999999998</v>
      </c>
      <c r="E28" s="29">
        <v>32.149000000000001</v>
      </c>
      <c r="F28" s="29">
        <v>31.748999999999999</v>
      </c>
      <c r="G28" s="146">
        <v>29.288</v>
      </c>
      <c r="H28" s="146">
        <v>28.809000000000001</v>
      </c>
      <c r="I28" s="146">
        <v>32.252000000000002</v>
      </c>
      <c r="J28" s="146">
        <v>31.780999999999999</v>
      </c>
      <c r="K28" s="146">
        <v>35.781999999999996</v>
      </c>
      <c r="L28" s="146">
        <v>35.256</v>
      </c>
      <c r="M28" s="146">
        <v>35.487000000000002</v>
      </c>
      <c r="N28" s="146">
        <v>38.758000000000003</v>
      </c>
      <c r="O28" s="146">
        <v>42.74</v>
      </c>
      <c r="P28" s="146">
        <v>46.848999999999997</v>
      </c>
      <c r="Q28" s="146">
        <v>44.104999999999997</v>
      </c>
      <c r="R28" s="146">
        <v>42.945</v>
      </c>
      <c r="S28" s="146">
        <v>45.517000000000003</v>
      </c>
      <c r="T28" s="146">
        <v>49.899000000000001</v>
      </c>
      <c r="U28" s="146">
        <v>58.198999999999998</v>
      </c>
      <c r="V28" s="146">
        <v>59.847000000000001</v>
      </c>
      <c r="W28" s="146">
        <v>70.070999999999998</v>
      </c>
      <c r="X28" s="146">
        <v>66.494</v>
      </c>
      <c r="Y28" s="146">
        <v>65.287999999999997</v>
      </c>
      <c r="Z28" s="146">
        <v>56.98</v>
      </c>
      <c r="AA28" s="146">
        <v>40.720999999999997</v>
      </c>
      <c r="AB28" s="146">
        <v>43.960999999999999</v>
      </c>
      <c r="AC28" s="146">
        <v>42.869</v>
      </c>
      <c r="AD28" s="146">
        <v>50.728000000000002</v>
      </c>
      <c r="AE28" s="146">
        <v>49.807000000000002</v>
      </c>
      <c r="AF28" s="146">
        <v>51.115000000000002</v>
      </c>
      <c r="AG28" s="146">
        <v>56.332999999999998</v>
      </c>
      <c r="AH28" s="146">
        <v>54.963999999999999</v>
      </c>
      <c r="AI28" s="146">
        <v>59.542999999999999</v>
      </c>
      <c r="AJ28" s="146">
        <v>52.764000000000003</v>
      </c>
      <c r="AK28" s="146">
        <v>64.561999999999998</v>
      </c>
      <c r="AL28" s="146">
        <v>56.511000000000003</v>
      </c>
      <c r="AM28" s="146">
        <v>55.719000000000001</v>
      </c>
      <c r="AO28" s="309"/>
      <c r="AP28" s="308"/>
    </row>
    <row r="29" spans="2:42" ht="11.25" customHeight="1" x14ac:dyDescent="0.25">
      <c r="B29" s="150" t="s">
        <v>268</v>
      </c>
      <c r="C29" s="8" t="s">
        <v>258</v>
      </c>
      <c r="D29" s="29">
        <v>164.88499999999999</v>
      </c>
      <c r="E29" s="29">
        <v>193.12299999999999</v>
      </c>
      <c r="F29" s="29">
        <v>178.84100000000001</v>
      </c>
      <c r="G29" s="146">
        <v>182.17099999999999</v>
      </c>
      <c r="H29" s="146">
        <v>208.672</v>
      </c>
      <c r="I29" s="146">
        <v>264.06299999999999</v>
      </c>
      <c r="J29" s="146">
        <v>250.381</v>
      </c>
      <c r="K29" s="146">
        <v>254.154</v>
      </c>
      <c r="L29" s="146">
        <v>294.96100000000001</v>
      </c>
      <c r="M29" s="146">
        <v>302.51</v>
      </c>
      <c r="N29" s="146">
        <v>317.33199999999999</v>
      </c>
      <c r="O29" s="146">
        <v>361.06700000000001</v>
      </c>
      <c r="P29" s="146">
        <v>352.46100000000001</v>
      </c>
      <c r="Q29" s="146">
        <v>359.63799999999998</v>
      </c>
      <c r="R29" s="146">
        <v>360.11200000000002</v>
      </c>
      <c r="S29" s="146">
        <v>412.05099999999999</v>
      </c>
      <c r="T29" s="146">
        <v>426.39299999999997</v>
      </c>
      <c r="U29" s="146">
        <v>483.34399999999999</v>
      </c>
      <c r="V29" s="146">
        <v>417.214</v>
      </c>
      <c r="W29" s="146">
        <v>458.09100000000001</v>
      </c>
      <c r="X29" s="146">
        <v>494.21800000000002</v>
      </c>
      <c r="Y29" s="146">
        <v>503.529</v>
      </c>
      <c r="Z29" s="146">
        <v>585.11</v>
      </c>
      <c r="AA29" s="146">
        <v>533.44799999999998</v>
      </c>
      <c r="AB29" s="146">
        <v>776.27599999999995</v>
      </c>
      <c r="AC29" s="146">
        <v>712.476</v>
      </c>
      <c r="AD29" s="146">
        <v>720.02099999999996</v>
      </c>
      <c r="AE29" s="146">
        <v>767.86900000000003</v>
      </c>
      <c r="AF29" s="146">
        <v>823.10299999999995</v>
      </c>
      <c r="AG29" s="146">
        <v>799.798</v>
      </c>
      <c r="AH29" s="146">
        <v>707.19399999999996</v>
      </c>
      <c r="AI29" s="146">
        <v>757.97699999999998</v>
      </c>
      <c r="AJ29" s="146">
        <v>809.98400000000004</v>
      </c>
      <c r="AK29" s="146">
        <v>960.03499999999997</v>
      </c>
      <c r="AL29" s="146">
        <v>852.09100000000001</v>
      </c>
      <c r="AM29" s="146">
        <v>903.58799999999997</v>
      </c>
      <c r="AO29" s="309"/>
      <c r="AP29" s="308"/>
    </row>
    <row r="30" spans="2:42" ht="11.25" customHeight="1" x14ac:dyDescent="0.25">
      <c r="B30" s="314" t="s">
        <v>553</v>
      </c>
      <c r="C30" s="8" t="s">
        <v>258</v>
      </c>
      <c r="D30" s="29">
        <v>8.4000000000000005E-2</v>
      </c>
      <c r="E30" s="29">
        <v>0.33800000000000002</v>
      </c>
      <c r="F30" s="29">
        <v>0.153</v>
      </c>
      <c r="G30" s="146">
        <v>0.11700000000000001</v>
      </c>
      <c r="H30" s="146">
        <v>0.13700000000000001</v>
      </c>
      <c r="I30" s="146">
        <v>0.34300000000000003</v>
      </c>
      <c r="J30" s="146">
        <v>0.26300000000000001</v>
      </c>
      <c r="K30" s="146">
        <v>0.30099999999999999</v>
      </c>
      <c r="L30" s="146">
        <v>0.13600000000000001</v>
      </c>
      <c r="M30" s="146">
        <v>0.17399999999999999</v>
      </c>
      <c r="N30" s="146">
        <v>0.121</v>
      </c>
      <c r="O30" s="146">
        <v>0.11899999999999999</v>
      </c>
      <c r="P30" s="146">
        <v>0.23599999999999999</v>
      </c>
      <c r="Q30" s="146">
        <v>9.9000000000000005E-2</v>
      </c>
      <c r="R30" s="146">
        <v>6.5000000000000002E-2</v>
      </c>
      <c r="S30" s="146">
        <v>6.4000000000000001E-2</v>
      </c>
      <c r="T30" s="146">
        <v>0.15</v>
      </c>
      <c r="U30" s="146">
        <v>0.14499999999999999</v>
      </c>
      <c r="V30" s="146">
        <v>0.153</v>
      </c>
      <c r="W30" s="146">
        <v>0.188</v>
      </c>
      <c r="X30" s="146">
        <v>0.255</v>
      </c>
      <c r="Y30" s="146">
        <v>6.8000000000000005E-2</v>
      </c>
      <c r="Z30" s="146">
        <v>9.7000000000000003E-2</v>
      </c>
      <c r="AA30" s="146">
        <v>0.22500000000000001</v>
      </c>
      <c r="AB30" s="146">
        <v>0.11600000000000001</v>
      </c>
      <c r="AC30" s="146">
        <v>0.20699999999999999</v>
      </c>
      <c r="AD30" s="146">
        <v>0.26400000000000001</v>
      </c>
      <c r="AE30" s="146">
        <v>0.23699999999999999</v>
      </c>
      <c r="AF30" s="146">
        <v>0.40500000000000003</v>
      </c>
      <c r="AG30" s="146">
        <v>0.30199999999999999</v>
      </c>
      <c r="AH30" s="146">
        <v>9.0999999999999998E-2</v>
      </c>
      <c r="AI30" s="146">
        <v>0.125</v>
      </c>
      <c r="AJ30" s="146">
        <v>0.121</v>
      </c>
      <c r="AK30" s="146">
        <v>6.8000000000000005E-2</v>
      </c>
      <c r="AL30" s="146">
        <v>8.4000000000000005E-2</v>
      </c>
      <c r="AM30" s="146">
        <v>0.22</v>
      </c>
      <c r="AO30" s="309"/>
      <c r="AP30" s="308"/>
    </row>
    <row r="31" spans="2:42" ht="11.25" customHeight="1" x14ac:dyDescent="0.25">
      <c r="B31" s="315" t="s">
        <v>554</v>
      </c>
      <c r="C31" s="8" t="s">
        <v>258</v>
      </c>
      <c r="D31" s="8">
        <v>422.75200000000001</v>
      </c>
      <c r="E31" s="8">
        <v>444.82</v>
      </c>
      <c r="F31" s="8">
        <v>469.31099999999998</v>
      </c>
      <c r="G31" s="152">
        <v>492.03399999999999</v>
      </c>
      <c r="H31" s="152">
        <v>535.02599999999995</v>
      </c>
      <c r="I31" s="152">
        <v>606.55100000000004</v>
      </c>
      <c r="J31" s="152">
        <v>598.72500000000002</v>
      </c>
      <c r="K31" s="152">
        <v>601.58600000000001</v>
      </c>
      <c r="L31" s="152">
        <v>688.822</v>
      </c>
      <c r="M31" s="152">
        <v>743.20500000000004</v>
      </c>
      <c r="N31" s="152">
        <v>778.55</v>
      </c>
      <c r="O31" s="152">
        <v>868.178</v>
      </c>
      <c r="P31" s="152">
        <v>886.803</v>
      </c>
      <c r="Q31" s="152">
        <v>947.846</v>
      </c>
      <c r="R31" s="152">
        <v>902.70100000000002</v>
      </c>
      <c r="S31" s="152">
        <v>957.46199999999999</v>
      </c>
      <c r="T31" s="152">
        <v>1026.1130000000001</v>
      </c>
      <c r="U31" s="152">
        <v>1181.6199999999999</v>
      </c>
      <c r="V31" s="152">
        <v>1128.663</v>
      </c>
      <c r="W31" s="152">
        <v>1279.4059999999999</v>
      </c>
      <c r="X31" s="152">
        <v>1243.9179999999999</v>
      </c>
      <c r="Y31" s="152">
        <v>1271.319</v>
      </c>
      <c r="Z31" s="152">
        <v>1373.8219999999999</v>
      </c>
      <c r="AA31" s="152">
        <v>1427.6790000000001</v>
      </c>
      <c r="AB31" s="152">
        <v>1781.288</v>
      </c>
      <c r="AC31" s="152">
        <v>1767.2840000000001</v>
      </c>
      <c r="AD31" s="152">
        <v>1792.9459999999999</v>
      </c>
      <c r="AE31" s="152">
        <v>1901.069</v>
      </c>
      <c r="AF31" s="152">
        <v>1974.182</v>
      </c>
      <c r="AG31" s="152">
        <v>2045.127</v>
      </c>
      <c r="AH31" s="152">
        <v>1963.1669999999999</v>
      </c>
      <c r="AI31" s="152">
        <v>1932.759</v>
      </c>
      <c r="AJ31" s="152">
        <v>2005.06</v>
      </c>
      <c r="AK31" s="153">
        <v>2421.902</v>
      </c>
      <c r="AL31" s="153">
        <v>2294.9810000000002</v>
      </c>
      <c r="AM31" s="153">
        <v>2430.4949999999999</v>
      </c>
      <c r="AO31" s="311"/>
      <c r="AP31" s="308"/>
    </row>
    <row r="32" spans="2:42" ht="11.25" customHeight="1" x14ac:dyDescent="0.25">
      <c r="B32" s="316" t="s">
        <v>227</v>
      </c>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c r="AA32" s="154"/>
      <c r="AB32" s="154"/>
      <c r="AC32" s="154"/>
      <c r="AD32" s="154"/>
      <c r="AE32" s="154"/>
      <c r="AF32" s="154"/>
      <c r="AG32" s="154"/>
      <c r="AH32" s="154"/>
      <c r="AI32" s="154"/>
      <c r="AJ32" s="154"/>
      <c r="AK32" s="154"/>
      <c r="AL32" s="154"/>
      <c r="AM32" s="154"/>
      <c r="AO32" s="154"/>
    </row>
    <row r="33" spans="2:42" ht="11.25" customHeight="1" x14ac:dyDescent="0.25">
      <c r="B33" s="155" t="s">
        <v>278</v>
      </c>
      <c r="C33" s="8" t="s">
        <v>258</v>
      </c>
      <c r="D33" s="32">
        <v>12.548999999999999</v>
      </c>
      <c r="E33" s="29">
        <v>14.667</v>
      </c>
      <c r="F33" s="19">
        <v>12.428000000000001</v>
      </c>
      <c r="G33" s="152">
        <v>10.821</v>
      </c>
      <c r="H33" s="152">
        <v>12.952999999999999</v>
      </c>
      <c r="I33" s="152">
        <v>15.175000000000001</v>
      </c>
      <c r="J33" s="152">
        <v>31.686</v>
      </c>
      <c r="K33" s="152">
        <v>43.012999999999998</v>
      </c>
      <c r="L33" s="152">
        <v>71.328000000000003</v>
      </c>
      <c r="M33" s="152">
        <v>67.340999999999994</v>
      </c>
      <c r="N33" s="152">
        <v>224.53899999999999</v>
      </c>
      <c r="O33" s="152">
        <v>182.905</v>
      </c>
      <c r="P33" s="152">
        <v>217.489</v>
      </c>
      <c r="Q33" s="152">
        <v>162.90199999999999</v>
      </c>
      <c r="R33" s="152">
        <v>145.107</v>
      </c>
      <c r="S33" s="152">
        <v>145.851</v>
      </c>
      <c r="T33" s="152">
        <v>159.405</v>
      </c>
      <c r="U33" s="152">
        <v>181.642</v>
      </c>
      <c r="V33" s="152">
        <v>166.35300000000001</v>
      </c>
      <c r="W33" s="152">
        <v>320.56900000000002</v>
      </c>
      <c r="X33" s="152">
        <v>170.84100000000001</v>
      </c>
      <c r="Y33" s="152">
        <v>166.94499999999999</v>
      </c>
      <c r="Z33" s="152">
        <v>138.22900000000001</v>
      </c>
      <c r="AA33" s="152">
        <v>105.367</v>
      </c>
      <c r="AB33" s="152">
        <v>102.081</v>
      </c>
      <c r="AC33" s="152">
        <v>97.207999999999998</v>
      </c>
      <c r="AD33" s="152">
        <v>144.399</v>
      </c>
      <c r="AE33" s="152">
        <v>131.57400000000001</v>
      </c>
      <c r="AF33" s="152">
        <v>85.945999999999998</v>
      </c>
      <c r="AG33" s="152">
        <v>73.942999999999998</v>
      </c>
      <c r="AH33" s="152">
        <v>67.875</v>
      </c>
      <c r="AI33" s="152">
        <v>38.616999999999997</v>
      </c>
      <c r="AJ33" s="152">
        <v>36.439</v>
      </c>
      <c r="AK33" s="153">
        <v>49.564999999999998</v>
      </c>
      <c r="AL33" s="153">
        <v>64.301000000000002</v>
      </c>
      <c r="AM33" s="153">
        <v>90.766999999999996</v>
      </c>
      <c r="AO33" s="311"/>
      <c r="AP33" s="308"/>
    </row>
    <row r="34" spans="2:42" ht="11.25" customHeight="1" x14ac:dyDescent="0.25">
      <c r="B34" s="156" t="s">
        <v>233</v>
      </c>
      <c r="C34" s="8" t="s">
        <v>258</v>
      </c>
      <c r="D34" s="8">
        <v>20.65</v>
      </c>
      <c r="E34" s="8">
        <v>9.5549999999999997</v>
      </c>
      <c r="F34" s="8">
        <v>16.974</v>
      </c>
      <c r="G34" s="110">
        <v>11.606</v>
      </c>
      <c r="H34" s="110">
        <v>30.648</v>
      </c>
      <c r="I34" s="110">
        <v>21.971</v>
      </c>
      <c r="J34" s="110">
        <v>15.821</v>
      </c>
      <c r="K34" s="110">
        <v>17.501000000000001</v>
      </c>
      <c r="L34" s="110">
        <v>18.395</v>
      </c>
      <c r="M34" s="110">
        <v>16.859000000000002</v>
      </c>
      <c r="N34" s="110">
        <v>21.116</v>
      </c>
      <c r="O34" s="110">
        <v>33.374000000000002</v>
      </c>
      <c r="P34" s="110">
        <v>32.314</v>
      </c>
      <c r="Q34" s="110">
        <v>27.077999999999999</v>
      </c>
      <c r="R34" s="110">
        <v>19.332000000000001</v>
      </c>
      <c r="S34" s="110">
        <v>20.922999999999998</v>
      </c>
      <c r="T34" s="110">
        <v>22.01</v>
      </c>
      <c r="U34" s="110">
        <v>40.069000000000003</v>
      </c>
      <c r="V34" s="110">
        <v>41.176000000000002</v>
      </c>
      <c r="W34" s="110">
        <v>41.906999999999996</v>
      </c>
      <c r="X34" s="110">
        <v>51.896999999999998</v>
      </c>
      <c r="Y34" s="110">
        <v>46.66</v>
      </c>
      <c r="Z34" s="110">
        <v>34.235999999999997</v>
      </c>
      <c r="AA34" s="110">
        <v>43.295000000000002</v>
      </c>
      <c r="AB34" s="110">
        <v>43.207999999999998</v>
      </c>
      <c r="AC34" s="110">
        <v>64.308999999999997</v>
      </c>
      <c r="AD34" s="110">
        <v>61.689</v>
      </c>
      <c r="AE34" s="110">
        <v>60.823</v>
      </c>
      <c r="AF34" s="110">
        <v>41.24</v>
      </c>
      <c r="AG34" s="110">
        <v>51.899000000000001</v>
      </c>
      <c r="AH34" s="110">
        <v>62.558</v>
      </c>
      <c r="AI34" s="110">
        <v>61.901000000000003</v>
      </c>
      <c r="AJ34" s="110">
        <v>64.135000000000005</v>
      </c>
      <c r="AK34" s="114">
        <v>65.930999999999997</v>
      </c>
      <c r="AL34" s="114">
        <v>71.769000000000005</v>
      </c>
      <c r="AM34" s="114">
        <v>74.94</v>
      </c>
      <c r="AO34" s="310"/>
      <c r="AP34" s="308"/>
    </row>
    <row r="35" spans="2:42" ht="11.25" customHeight="1" x14ac:dyDescent="0.25">
      <c r="B35" s="156" t="s">
        <v>271</v>
      </c>
      <c r="C35" s="8" t="s">
        <v>258</v>
      </c>
      <c r="D35" s="8">
        <v>2.3359999999999999</v>
      </c>
      <c r="E35" s="8">
        <v>2.4460000000000002</v>
      </c>
      <c r="F35" s="8">
        <v>2.488</v>
      </c>
      <c r="G35" s="110">
        <v>2.5550000000000002</v>
      </c>
      <c r="H35" s="110">
        <v>2.72</v>
      </c>
      <c r="I35" s="110">
        <v>2.1520000000000001</v>
      </c>
      <c r="J35" s="110">
        <v>2.1190000000000002</v>
      </c>
      <c r="K35" s="110">
        <v>1.843</v>
      </c>
      <c r="L35" s="110">
        <v>1.9730000000000001</v>
      </c>
      <c r="M35" s="110">
        <v>2.1070000000000002</v>
      </c>
      <c r="N35" s="110">
        <v>2.2679999999999998</v>
      </c>
      <c r="O35" s="110">
        <v>2.8380000000000001</v>
      </c>
      <c r="P35" s="110">
        <v>3.4580000000000002</v>
      </c>
      <c r="Q35" s="110">
        <v>3.87</v>
      </c>
      <c r="R35" s="110">
        <v>4.0869999999999997</v>
      </c>
      <c r="S35" s="110">
        <v>4.7489999999999997</v>
      </c>
      <c r="T35" s="110">
        <v>5.0419999999999998</v>
      </c>
      <c r="U35" s="110">
        <v>5.3109999999999999</v>
      </c>
      <c r="V35" s="110">
        <v>5.4340000000000002</v>
      </c>
      <c r="W35" s="110">
        <v>5.8170000000000002</v>
      </c>
      <c r="X35" s="110">
        <v>4.6040000000000001</v>
      </c>
      <c r="Y35" s="110">
        <v>3.8860000000000001</v>
      </c>
      <c r="Z35" s="110">
        <v>3.7429999999999999</v>
      </c>
      <c r="AA35" s="110">
        <v>3.98</v>
      </c>
      <c r="AB35" s="110">
        <v>4.5090000000000003</v>
      </c>
      <c r="AC35" s="110">
        <v>4.3879999999999999</v>
      </c>
      <c r="AD35" s="110">
        <v>4.8840000000000003</v>
      </c>
      <c r="AE35" s="110">
        <v>4.2430000000000003</v>
      </c>
      <c r="AF35" s="110">
        <v>4.3529999999999998</v>
      </c>
      <c r="AG35" s="110">
        <v>4.641</v>
      </c>
      <c r="AH35" s="110">
        <v>5.4640000000000004</v>
      </c>
      <c r="AI35" s="110">
        <v>6.899</v>
      </c>
      <c r="AJ35" s="110">
        <v>6.6920000000000002</v>
      </c>
      <c r="AK35" s="114">
        <v>6.9429999999999996</v>
      </c>
      <c r="AL35" s="114">
        <v>6.8929999999999998</v>
      </c>
      <c r="AM35" s="114">
        <v>6.6040000000000001</v>
      </c>
      <c r="AO35" s="310"/>
      <c r="AP35" s="308"/>
    </row>
    <row r="36" spans="2:42" ht="11.25" customHeight="1" x14ac:dyDescent="0.25">
      <c r="B36" s="156" t="s">
        <v>272</v>
      </c>
      <c r="C36" s="8" t="s">
        <v>258</v>
      </c>
      <c r="D36" s="8">
        <v>0.93300000000000005</v>
      </c>
      <c r="E36" s="8">
        <v>1.2250000000000001</v>
      </c>
      <c r="F36" s="8">
        <v>1.2210000000000001</v>
      </c>
      <c r="G36" s="110">
        <v>1.458</v>
      </c>
      <c r="H36" s="110">
        <v>2.67</v>
      </c>
      <c r="I36" s="110">
        <v>2.64</v>
      </c>
      <c r="J36" s="110">
        <v>3.927</v>
      </c>
      <c r="K36" s="110">
        <v>6.282</v>
      </c>
      <c r="L36" s="110">
        <v>5.5090000000000003</v>
      </c>
      <c r="M36" s="110">
        <v>6.6260000000000003</v>
      </c>
      <c r="N36" s="110">
        <v>6.1219999999999999</v>
      </c>
      <c r="O36" s="110">
        <v>9.0939999999999994</v>
      </c>
      <c r="P36" s="110">
        <v>13.305</v>
      </c>
      <c r="Q36" s="110">
        <v>13.66</v>
      </c>
      <c r="R36" s="110">
        <v>9.4459999999999997</v>
      </c>
      <c r="S36" s="110">
        <v>15.268000000000001</v>
      </c>
      <c r="T36" s="110">
        <v>17.02</v>
      </c>
      <c r="U36" s="110">
        <v>23.971</v>
      </c>
      <c r="V36" s="110">
        <v>27.097999999999999</v>
      </c>
      <c r="W36" s="110">
        <v>33.920999999999999</v>
      </c>
      <c r="X36" s="110">
        <v>26.756</v>
      </c>
      <c r="Y36" s="110">
        <v>31.010999999999999</v>
      </c>
      <c r="Z36" s="110">
        <v>39.466999999999999</v>
      </c>
      <c r="AA36" s="110">
        <v>39.054000000000002</v>
      </c>
      <c r="AB36" s="110">
        <v>40.088999999999999</v>
      </c>
      <c r="AC36" s="110">
        <v>52.692</v>
      </c>
      <c r="AD36" s="110">
        <v>61.139000000000003</v>
      </c>
      <c r="AE36" s="110">
        <v>56.042000000000002</v>
      </c>
      <c r="AF36" s="110">
        <v>50.743000000000002</v>
      </c>
      <c r="AG36" s="110">
        <v>72.998999999999995</v>
      </c>
      <c r="AH36" s="110">
        <v>68.385000000000005</v>
      </c>
      <c r="AI36" s="110">
        <v>73.647999999999996</v>
      </c>
      <c r="AJ36" s="110">
        <v>65.846000000000004</v>
      </c>
      <c r="AK36" s="114">
        <v>138.00899999999999</v>
      </c>
      <c r="AL36" s="114">
        <v>163.791</v>
      </c>
      <c r="AM36" s="114">
        <v>161.50299999999999</v>
      </c>
      <c r="AO36" s="310"/>
      <c r="AP36" s="308"/>
    </row>
    <row r="37" spans="2:42" ht="11.25" customHeight="1" x14ac:dyDescent="0.25">
      <c r="B37" s="318" t="s">
        <v>555</v>
      </c>
      <c r="C37" s="8" t="s">
        <v>258</v>
      </c>
      <c r="D37" s="8">
        <v>1.196</v>
      </c>
      <c r="E37" s="8">
        <v>1.1060000000000001</v>
      </c>
      <c r="F37" s="8">
        <v>1.3280000000000001</v>
      </c>
      <c r="G37" s="110">
        <v>1.621</v>
      </c>
      <c r="H37" s="110">
        <v>1.5960000000000001</v>
      </c>
      <c r="I37" s="110">
        <v>2.077</v>
      </c>
      <c r="J37" s="110">
        <v>3.605</v>
      </c>
      <c r="K37" s="110">
        <v>3.8170000000000002</v>
      </c>
      <c r="L37" s="110">
        <v>4.2569999999999997</v>
      </c>
      <c r="M37" s="110">
        <v>5.8369999999999997</v>
      </c>
      <c r="N37" s="110">
        <v>6.5049999999999999</v>
      </c>
      <c r="O37" s="110">
        <v>9.1159999999999997</v>
      </c>
      <c r="P37" s="110">
        <v>10.349</v>
      </c>
      <c r="Q37" s="110">
        <v>9.8290000000000006</v>
      </c>
      <c r="R37" s="110">
        <v>9.5259999999999998</v>
      </c>
      <c r="S37" s="110">
        <v>11.473000000000001</v>
      </c>
      <c r="T37" s="110">
        <v>11.138999999999999</v>
      </c>
      <c r="U37" s="110">
        <v>14.21</v>
      </c>
      <c r="V37" s="110">
        <v>12.897</v>
      </c>
      <c r="W37" s="110">
        <v>17.164999999999999</v>
      </c>
      <c r="X37" s="110">
        <v>15.413</v>
      </c>
      <c r="Y37" s="110">
        <v>17.331</v>
      </c>
      <c r="Z37" s="110">
        <v>17.347000000000001</v>
      </c>
      <c r="AA37" s="110">
        <v>21.57</v>
      </c>
      <c r="AB37" s="110">
        <v>25.835000000000001</v>
      </c>
      <c r="AC37" s="110">
        <v>29.361000000000001</v>
      </c>
      <c r="AD37" s="110">
        <v>35.155999999999999</v>
      </c>
      <c r="AE37" s="110">
        <v>34.878999999999998</v>
      </c>
      <c r="AF37" s="110">
        <v>40.438000000000002</v>
      </c>
      <c r="AG37" s="110">
        <v>42.542999999999999</v>
      </c>
      <c r="AH37" s="110">
        <v>39.052999999999997</v>
      </c>
      <c r="AI37" s="110">
        <v>39.695</v>
      </c>
      <c r="AJ37" s="110">
        <v>40.960999999999999</v>
      </c>
      <c r="AK37" s="114">
        <v>45.470999999999997</v>
      </c>
      <c r="AL37" s="114">
        <v>47.280999999999999</v>
      </c>
      <c r="AM37" s="114">
        <v>55.465000000000003</v>
      </c>
      <c r="AO37" s="310"/>
      <c r="AP37" s="308"/>
    </row>
    <row r="38" spans="2:42" ht="11.25" customHeight="1" x14ac:dyDescent="0.25">
      <c r="B38" s="317" t="s">
        <v>556</v>
      </c>
      <c r="C38" s="8" t="s">
        <v>258</v>
      </c>
      <c r="D38" s="8">
        <v>6.4660000000000002</v>
      </c>
      <c r="E38" s="8">
        <v>8.31</v>
      </c>
      <c r="F38" s="8">
        <v>7.3890000000000002</v>
      </c>
      <c r="G38" s="110">
        <v>12.417</v>
      </c>
      <c r="H38" s="110">
        <v>14.787000000000001</v>
      </c>
      <c r="I38" s="110">
        <v>25.49</v>
      </c>
      <c r="J38" s="110">
        <v>27.445</v>
      </c>
      <c r="K38" s="110">
        <v>31.399000000000001</v>
      </c>
      <c r="L38" s="110">
        <v>33.238999999999997</v>
      </c>
      <c r="M38" s="110">
        <v>41.774999999999999</v>
      </c>
      <c r="N38" s="110">
        <v>55.167999999999999</v>
      </c>
      <c r="O38" s="110">
        <v>52.896999999999998</v>
      </c>
      <c r="P38" s="110">
        <v>44.197000000000003</v>
      </c>
      <c r="Q38" s="110">
        <v>44.063000000000002</v>
      </c>
      <c r="R38" s="110">
        <v>23.488</v>
      </c>
      <c r="S38" s="110">
        <v>25.832999999999998</v>
      </c>
      <c r="T38" s="110">
        <v>33.731999999999999</v>
      </c>
      <c r="U38" s="110">
        <v>32.04</v>
      </c>
      <c r="V38" s="110">
        <v>25.603999999999999</v>
      </c>
      <c r="W38" s="110">
        <v>24.879000000000001</v>
      </c>
      <c r="X38" s="110">
        <v>14.93</v>
      </c>
      <c r="Y38" s="110">
        <v>9.8859999999999992</v>
      </c>
      <c r="Z38" s="110">
        <v>17.12</v>
      </c>
      <c r="AA38" s="110">
        <v>28.975000000000001</v>
      </c>
      <c r="AB38" s="110">
        <v>30.414999999999999</v>
      </c>
      <c r="AC38" s="110">
        <v>22.178000000000001</v>
      </c>
      <c r="AD38" s="110">
        <v>21.338999999999999</v>
      </c>
      <c r="AE38" s="110">
        <v>22.681000000000001</v>
      </c>
      <c r="AF38" s="110">
        <v>26.86</v>
      </c>
      <c r="AG38" s="110">
        <v>27.954000000000001</v>
      </c>
      <c r="AH38" s="110">
        <v>28.835999999999999</v>
      </c>
      <c r="AI38" s="110">
        <v>28.131</v>
      </c>
      <c r="AJ38" s="110">
        <v>14.888</v>
      </c>
      <c r="AK38" s="114">
        <v>25.79</v>
      </c>
      <c r="AL38" s="114">
        <v>25.943000000000001</v>
      </c>
      <c r="AM38" s="114">
        <v>18.542999999999999</v>
      </c>
      <c r="AO38" s="310"/>
      <c r="AP38" s="308"/>
    </row>
    <row r="39" spans="2:42" ht="11.25" customHeight="1" x14ac:dyDescent="0.25">
      <c r="B39" s="317" t="s">
        <v>551</v>
      </c>
      <c r="C39" s="8" t="s">
        <v>258</v>
      </c>
      <c r="D39" s="8">
        <v>44.13</v>
      </c>
      <c r="E39" s="8">
        <v>37.308</v>
      </c>
      <c r="F39" s="8">
        <v>41.828000000000003</v>
      </c>
      <c r="G39" s="152">
        <v>40.476999999999997</v>
      </c>
      <c r="H39" s="152">
        <v>65.375</v>
      </c>
      <c r="I39" s="152">
        <v>69.504999999999995</v>
      </c>
      <c r="J39" s="152">
        <v>84.602999999999994</v>
      </c>
      <c r="K39" s="152">
        <v>103.854</v>
      </c>
      <c r="L39" s="152">
        <v>134.70099999999999</v>
      </c>
      <c r="M39" s="152">
        <v>140.54599999999999</v>
      </c>
      <c r="N39" s="152">
        <v>315.71800000000002</v>
      </c>
      <c r="O39" s="152">
        <v>290.22399999999999</v>
      </c>
      <c r="P39" s="152">
        <v>321.11099999999999</v>
      </c>
      <c r="Q39" s="152">
        <v>261.40100000000001</v>
      </c>
      <c r="R39" s="152">
        <v>210.98500000000001</v>
      </c>
      <c r="S39" s="152">
        <v>224.09800000000001</v>
      </c>
      <c r="T39" s="152">
        <v>248.34899999999999</v>
      </c>
      <c r="U39" s="152">
        <v>297.24200000000002</v>
      </c>
      <c r="V39" s="152">
        <v>278.56200000000001</v>
      </c>
      <c r="W39" s="152">
        <v>444.25700000000001</v>
      </c>
      <c r="X39" s="152">
        <v>284.44099999999997</v>
      </c>
      <c r="Y39" s="152">
        <v>275.72000000000003</v>
      </c>
      <c r="Z39" s="152">
        <v>250.142</v>
      </c>
      <c r="AA39" s="152">
        <v>242.24100000000001</v>
      </c>
      <c r="AB39" s="152">
        <v>246.137</v>
      </c>
      <c r="AC39" s="152">
        <v>270.13600000000002</v>
      </c>
      <c r="AD39" s="152">
        <v>328.60599999999999</v>
      </c>
      <c r="AE39" s="152">
        <v>310.24099999999999</v>
      </c>
      <c r="AF39" s="152">
        <v>249.58</v>
      </c>
      <c r="AG39" s="152">
        <v>273.98099999999999</v>
      </c>
      <c r="AH39" s="152">
        <v>272.17200000000003</v>
      </c>
      <c r="AI39" s="152">
        <v>248.892</v>
      </c>
      <c r="AJ39" s="152">
        <v>228.96100000000001</v>
      </c>
      <c r="AK39" s="153">
        <v>331.70800000000003</v>
      </c>
      <c r="AL39" s="153">
        <v>379.97800000000001</v>
      </c>
      <c r="AM39" s="153">
        <v>407.82299999999998</v>
      </c>
      <c r="AO39" s="311"/>
      <c r="AP39" s="308"/>
    </row>
    <row r="40" spans="2:42" ht="11.25" customHeight="1" x14ac:dyDescent="0.25">
      <c r="B40" s="157" t="s">
        <v>273</v>
      </c>
      <c r="C40" s="158" t="s">
        <v>258</v>
      </c>
      <c r="D40" s="158">
        <v>466.88299999999998</v>
      </c>
      <c r="E40" s="158">
        <v>482.12900000000002</v>
      </c>
      <c r="F40" s="158">
        <v>511.13900000000001</v>
      </c>
      <c r="G40" s="159">
        <v>532.51</v>
      </c>
      <c r="H40" s="159">
        <v>600.40099999999995</v>
      </c>
      <c r="I40" s="159">
        <v>676.05700000000002</v>
      </c>
      <c r="J40" s="159">
        <v>683.32799999999997</v>
      </c>
      <c r="K40" s="159">
        <v>705.44</v>
      </c>
      <c r="L40" s="159">
        <v>823.52300000000002</v>
      </c>
      <c r="M40" s="159">
        <v>883.75099999999998</v>
      </c>
      <c r="N40" s="159">
        <v>1094.2670000000001</v>
      </c>
      <c r="O40" s="159">
        <v>1158.402</v>
      </c>
      <c r="P40" s="159">
        <v>1207.913</v>
      </c>
      <c r="Q40" s="159">
        <v>1209.248</v>
      </c>
      <c r="R40" s="159">
        <v>1113.6859999999999</v>
      </c>
      <c r="S40" s="159">
        <v>1181.56</v>
      </c>
      <c r="T40" s="159">
        <v>1274.462</v>
      </c>
      <c r="U40" s="159">
        <v>1478.8620000000001</v>
      </c>
      <c r="V40" s="159">
        <v>1407.2249999999999</v>
      </c>
      <c r="W40" s="159">
        <v>1723.663</v>
      </c>
      <c r="X40" s="159">
        <v>1528.3589999999999</v>
      </c>
      <c r="Y40" s="159">
        <v>1547.039</v>
      </c>
      <c r="Z40" s="159">
        <v>1623.963</v>
      </c>
      <c r="AA40" s="159">
        <v>1669.92</v>
      </c>
      <c r="AB40" s="159">
        <v>2027.425</v>
      </c>
      <c r="AC40" s="159">
        <v>2037.42</v>
      </c>
      <c r="AD40" s="159">
        <v>2121.5520000000001</v>
      </c>
      <c r="AE40" s="159">
        <v>2211.31</v>
      </c>
      <c r="AF40" s="159">
        <v>2223.7620000000002</v>
      </c>
      <c r="AG40" s="159">
        <v>2319.1080000000002</v>
      </c>
      <c r="AH40" s="159">
        <v>2235.3389999999999</v>
      </c>
      <c r="AI40" s="159">
        <v>2181.65</v>
      </c>
      <c r="AJ40" s="159">
        <v>2234.0210000000002</v>
      </c>
      <c r="AK40" s="160">
        <v>2753.61</v>
      </c>
      <c r="AL40" s="160">
        <v>2674.9589999999998</v>
      </c>
      <c r="AM40" s="160">
        <v>2838.2869999999998</v>
      </c>
      <c r="AO40" s="311"/>
      <c r="AP40" s="308"/>
    </row>
    <row r="41" spans="2:42" ht="45" customHeight="1" x14ac:dyDescent="0.25">
      <c r="B41" s="328" t="s">
        <v>522</v>
      </c>
      <c r="C41" s="328"/>
      <c r="D41" s="328"/>
      <c r="E41" s="328"/>
      <c r="F41" s="328"/>
      <c r="G41" s="328"/>
      <c r="H41" s="328"/>
      <c r="I41" s="328"/>
      <c r="J41" s="328"/>
      <c r="K41" s="328"/>
      <c r="L41" s="328"/>
      <c r="M41" s="328"/>
      <c r="N41" s="328"/>
      <c r="O41" s="328"/>
      <c r="P41" s="328"/>
      <c r="Q41" s="328"/>
      <c r="R41" s="328"/>
      <c r="S41" s="328"/>
      <c r="T41" s="328"/>
      <c r="U41" s="328"/>
      <c r="V41" s="328"/>
      <c r="W41" s="328"/>
      <c r="X41" s="328"/>
      <c r="Y41" s="328"/>
      <c r="Z41" s="328"/>
      <c r="AA41" s="328"/>
      <c r="AB41" s="328"/>
      <c r="AC41" s="328"/>
      <c r="AD41" s="328"/>
      <c r="AE41" s="328"/>
      <c r="AF41" s="328"/>
      <c r="AG41" s="328"/>
      <c r="AH41" s="328"/>
      <c r="AI41" s="328"/>
      <c r="AJ41" s="328"/>
      <c r="AK41" s="328"/>
      <c r="AL41" s="328"/>
      <c r="AM41" s="328"/>
    </row>
    <row r="43" spans="2:42" x14ac:dyDescent="0.25">
      <c r="D43" s="308"/>
      <c r="E43" s="308"/>
      <c r="F43" s="308"/>
      <c r="G43" s="308"/>
      <c r="H43" s="308"/>
      <c r="I43" s="308"/>
      <c r="J43" s="308"/>
      <c r="K43" s="308"/>
      <c r="L43" s="308"/>
      <c r="M43" s="308"/>
      <c r="N43" s="308"/>
      <c r="O43" s="308"/>
      <c r="P43" s="308"/>
      <c r="Q43" s="308"/>
      <c r="R43" s="308"/>
      <c r="S43" s="308"/>
      <c r="T43" s="308"/>
      <c r="U43" s="308"/>
      <c r="V43" s="308"/>
      <c r="W43" s="308"/>
      <c r="X43" s="308"/>
      <c r="Y43" s="308"/>
      <c r="Z43" s="308"/>
      <c r="AA43" s="308"/>
      <c r="AB43" s="308"/>
      <c r="AC43" s="308"/>
      <c r="AD43" s="308"/>
      <c r="AE43" s="308"/>
      <c r="AF43" s="308"/>
      <c r="AG43" s="308"/>
      <c r="AH43" s="308"/>
      <c r="AI43" s="308"/>
      <c r="AJ43" s="308"/>
      <c r="AK43" s="308"/>
      <c r="AL43" s="308"/>
      <c r="AM43" s="308"/>
    </row>
    <row r="44" spans="2:42" x14ac:dyDescent="0.25">
      <c r="AJ44" s="308"/>
    </row>
  </sheetData>
  <mergeCells count="1">
    <mergeCell ref="B41:AM41"/>
  </mergeCells>
  <conditionalFormatting sqref="B7 B11:D11 F11:AL11 B12:AL21 B22:D22 F22:AL22 B33:D33 F33:AL33 B41 B8:AL8 C9:AL9 B10:AL10 B23:AL29 C30:AL32 B34:AL37 C38:AL39">
    <cfRule type="cellIs" dxfId="131" priority="50" stopIfTrue="1" operator="lessThanOrEqual">
      <formula>-100</formula>
    </cfRule>
  </conditionalFormatting>
  <conditionalFormatting sqref="B7 B11:D11 F11:AL11 B12:AL21 B22:D22 F22:AL22 B33:D33 F33:AL33 B41">
    <cfRule type="cellIs" dxfId="130" priority="49" stopIfTrue="1" operator="equal">
      <formula>0</formula>
    </cfRule>
  </conditionalFormatting>
  <conditionalFormatting sqref="B7 B8:AL8 C9:AL9 B10:AL10 B11:D11 F11:AL11 B12:AL21 B22:D22 F22:AL22 B23:AL29 C30:AL32 B33:D33 F33:AL33 B34:AL37 C38:AL39 B41">
    <cfRule type="cellIs" dxfId="129" priority="51" stopIfTrue="1" operator="between">
      <formula>-99.999999999999</formula>
      <formula>99.999999999999</formula>
    </cfRule>
    <cfRule type="cellIs" dxfId="128" priority="52" stopIfTrue="1" operator="greaterThanOrEqual">
      <formula>100</formula>
    </cfRule>
  </conditionalFormatting>
  <conditionalFormatting sqref="B7 B8:AL8 C9:AL9 B10:AL29 C30:AL32 B33:AL37 C38:AL39 B41 B40:AL40 B6:AK6 AM6">
    <cfRule type="cellIs" dxfId="127" priority="53" stopIfTrue="1" operator="equal">
      <formula>0</formula>
    </cfRule>
  </conditionalFormatting>
  <conditionalFormatting sqref="B9">
    <cfRule type="cellIs" dxfId="126" priority="17" stopIfTrue="1" operator="equal">
      <formula>0</formula>
    </cfRule>
    <cfRule type="cellIs" dxfId="125" priority="18" stopIfTrue="1" operator="lessThanOrEqual">
      <formula>-100</formula>
    </cfRule>
    <cfRule type="cellIs" dxfId="124" priority="19" stopIfTrue="1" operator="between">
      <formula>-99.999999999999</formula>
      <formula>99.999999999999</formula>
    </cfRule>
    <cfRule type="cellIs" dxfId="123" priority="20" stopIfTrue="1" operator="greaterThanOrEqual">
      <formula>100</formula>
    </cfRule>
    <cfRule type="cellIs" dxfId="122" priority="22" stopIfTrue="1" operator="lessThanOrEqual">
      <formula>-100</formula>
    </cfRule>
    <cfRule type="cellIs" dxfId="121" priority="23" stopIfTrue="1" operator="between">
      <formula>-99.999999999999</formula>
      <formula>99.999999999999</formula>
    </cfRule>
    <cfRule type="cellIs" dxfId="120" priority="24" stopIfTrue="1" operator="greaterThanOrEqual">
      <formula>100</formula>
    </cfRule>
  </conditionalFormatting>
  <conditionalFormatting sqref="B30:B32">
    <cfRule type="cellIs" dxfId="119" priority="9" stopIfTrue="1" operator="equal">
      <formula>0</formula>
    </cfRule>
    <cfRule type="cellIs" dxfId="118" priority="10" stopIfTrue="1" operator="lessThanOrEqual">
      <formula>-100</formula>
    </cfRule>
    <cfRule type="cellIs" dxfId="117" priority="11" stopIfTrue="1" operator="between">
      <formula>-99.999999999999</formula>
      <formula>99.999999999999</formula>
    </cfRule>
    <cfRule type="cellIs" dxfId="116" priority="12" stopIfTrue="1" operator="greaterThanOrEqual">
      <formula>100</formula>
    </cfRule>
    <cfRule type="cellIs" dxfId="115" priority="14" stopIfTrue="1" operator="lessThanOrEqual">
      <formula>-100</formula>
    </cfRule>
    <cfRule type="cellIs" dxfId="114" priority="15" stopIfTrue="1" operator="between">
      <formula>-99.999999999999</formula>
      <formula>99.999999999999</formula>
    </cfRule>
    <cfRule type="cellIs" dxfId="113" priority="16" stopIfTrue="1" operator="greaterThanOrEqual">
      <formula>100</formula>
    </cfRule>
  </conditionalFormatting>
  <conditionalFormatting sqref="B38:B39">
    <cfRule type="cellIs" dxfId="112" priority="1" stopIfTrue="1" operator="equal">
      <formula>0</formula>
    </cfRule>
    <cfRule type="cellIs" dxfId="111" priority="2" stopIfTrue="1" operator="lessThanOrEqual">
      <formula>-100</formula>
    </cfRule>
    <cfRule type="cellIs" dxfId="110" priority="3" stopIfTrue="1" operator="between">
      <formula>-99.999999999999</formula>
      <formula>99.999999999999</formula>
    </cfRule>
    <cfRule type="cellIs" dxfId="109" priority="4" stopIfTrue="1" operator="greaterThanOrEqual">
      <formula>100</formula>
    </cfRule>
    <cfRule type="cellIs" dxfId="108" priority="6" stopIfTrue="1" operator="lessThanOrEqual">
      <formula>-100</formula>
    </cfRule>
    <cfRule type="cellIs" dxfId="107" priority="7" stopIfTrue="1" operator="between">
      <formula>-99.999999999999</formula>
      <formula>99.999999999999</formula>
    </cfRule>
    <cfRule type="cellIs" dxfId="106" priority="8" stopIfTrue="1" operator="greaterThanOrEqual">
      <formula>100</formula>
    </cfRule>
  </conditionalFormatting>
  <conditionalFormatting sqref="B6:AK6 AM6 B7 B8:AL8 C9:AL9 B10:AL29 C30:AL32 B33:AL37 C38:AL39 B40:AL40 B41">
    <cfRule type="cellIs" dxfId="105" priority="56" stopIfTrue="1" operator="greaterThanOrEqual">
      <formula>100</formula>
    </cfRule>
    <cfRule type="cellIs" dxfId="104" priority="54" stopIfTrue="1" operator="lessThanOrEqual">
      <formula>-100</formula>
    </cfRule>
    <cfRule type="cellIs" dxfId="103" priority="55" stopIfTrue="1" operator="between">
      <formula>-99.999999999999</formula>
      <formula>99.999999999999</formula>
    </cfRule>
  </conditionalFormatting>
  <conditionalFormatting sqref="B8:AL10">
    <cfRule type="cellIs" dxfId="102" priority="21" stopIfTrue="1" operator="equal">
      <formula>0</formula>
    </cfRule>
  </conditionalFormatting>
  <conditionalFormatting sqref="B23:AL32">
    <cfRule type="cellIs" dxfId="101" priority="13" stopIfTrue="1" operator="equal">
      <formula>0</formula>
    </cfRule>
  </conditionalFormatting>
  <conditionalFormatting sqref="B34:AL39">
    <cfRule type="cellIs" dxfId="100" priority="5" stopIfTrue="1" operator="equal">
      <formula>0</formula>
    </cfRule>
  </conditionalFormatting>
  <conditionalFormatting sqref="B40:AM40">
    <cfRule type="cellIs" dxfId="99" priority="25" stopIfTrue="1" operator="equal">
      <formula>0</formula>
    </cfRule>
    <cfRule type="cellIs" dxfId="98" priority="26" stopIfTrue="1" operator="lessThanOrEqual">
      <formula>-100</formula>
    </cfRule>
    <cfRule type="cellIs" dxfId="97" priority="27" stopIfTrue="1" operator="between">
      <formula>-99.999999999999</formula>
      <formula>99.999999999999</formula>
    </cfRule>
    <cfRule type="cellIs" dxfId="96" priority="28" stopIfTrue="1" operator="greaterThanOrEqual">
      <formula>100</formula>
    </cfRule>
  </conditionalFormatting>
  <conditionalFormatting sqref="AM8:AM32">
    <cfRule type="cellIs" dxfId="95" priority="45" stopIfTrue="1" operator="equal">
      <formula>0</formula>
    </cfRule>
    <cfRule type="cellIs" dxfId="94" priority="46" stopIfTrue="1" operator="lessThanOrEqual">
      <formula>-100</formula>
    </cfRule>
    <cfRule type="cellIs" dxfId="93" priority="47" stopIfTrue="1" operator="between">
      <formula>-99.999999999999</formula>
      <formula>99.999999999999</formula>
    </cfRule>
    <cfRule type="cellIs" dxfId="92" priority="48" stopIfTrue="1" operator="greaterThanOrEqual">
      <formula>100</formula>
    </cfRule>
  </conditionalFormatting>
  <conditionalFormatting sqref="AM8:AM39">
    <cfRule type="cellIs" dxfId="91" priority="37" stopIfTrue="1" operator="equal">
      <formula>0</formula>
    </cfRule>
    <cfRule type="cellIs" dxfId="90" priority="38" stopIfTrue="1" operator="lessThanOrEqual">
      <formula>-100</formula>
    </cfRule>
    <cfRule type="cellIs" dxfId="89" priority="39" stopIfTrue="1" operator="between">
      <formula>-99.999999999999</formula>
      <formula>99.999999999999</formula>
    </cfRule>
    <cfRule type="cellIs" dxfId="88" priority="40" stopIfTrue="1" operator="greaterThanOrEqual">
      <formula>100</formula>
    </cfRule>
  </conditionalFormatting>
  <conditionalFormatting sqref="AM33:AM40">
    <cfRule type="cellIs" dxfId="87" priority="30" stopIfTrue="1" operator="lessThanOrEqual">
      <formula>-100</formula>
    </cfRule>
    <cfRule type="cellIs" dxfId="86" priority="31" stopIfTrue="1" operator="between">
      <formula>-99.999999999999</formula>
      <formula>99.999999999999</formula>
    </cfRule>
    <cfRule type="cellIs" dxfId="85" priority="32" stopIfTrue="1" operator="greaterThanOrEqual">
      <formula>100</formula>
    </cfRule>
    <cfRule type="cellIs" dxfId="84" priority="29" stopIfTrue="1" operator="equal">
      <formula>0</formula>
    </cfRule>
  </conditionalFormatting>
  <pageMargins left="0.7" right="0.7" top="0.75" bottom="0.75" header="0.3" footer="0.3"/>
  <pageSetup paperSize="9" scale="26"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306FA-BE89-47F5-A3B4-FE5C9B9D22A4}">
  <sheetPr>
    <pageSetUpPr fitToPage="1"/>
  </sheetPr>
  <dimension ref="B6:AM32"/>
  <sheetViews>
    <sheetView zoomScaleNormal="100" workbookViewId="0"/>
  </sheetViews>
  <sheetFormatPr defaultColWidth="9.140625" defaultRowHeight="15" x14ac:dyDescent="0.25"/>
  <cols>
    <col min="1" max="1" width="9.140625" style="20"/>
    <col min="2" max="2" width="33.85546875" style="20" customWidth="1"/>
    <col min="3" max="3" width="3.5703125" style="20" customWidth="1"/>
    <col min="4" max="5" width="9.5703125" style="20" customWidth="1"/>
    <col min="6" max="39" width="8.5703125" style="20" customWidth="1"/>
    <col min="40" max="16384" width="9.140625" style="20"/>
  </cols>
  <sheetData>
    <row r="6" spans="2:39" ht="11.25" customHeight="1" x14ac:dyDescent="0.25">
      <c r="B6" s="17"/>
      <c r="C6" s="19"/>
      <c r="D6" s="19"/>
      <c r="E6" s="19"/>
      <c r="F6" s="19"/>
      <c r="G6" s="17"/>
      <c r="H6" s="17"/>
      <c r="I6" s="17"/>
      <c r="J6" s="17"/>
      <c r="K6" s="17"/>
      <c r="L6" s="17"/>
      <c r="M6" s="17"/>
      <c r="N6" s="17"/>
      <c r="O6" s="17"/>
      <c r="P6" s="17"/>
      <c r="Q6" s="17"/>
      <c r="R6" s="17"/>
      <c r="S6" s="17"/>
      <c r="T6" s="17"/>
      <c r="U6" s="17"/>
      <c r="V6" s="17"/>
      <c r="W6" s="17"/>
      <c r="X6" s="17"/>
      <c r="Y6" s="17"/>
      <c r="Z6" s="17"/>
      <c r="AA6" s="17"/>
      <c r="AB6" s="17"/>
      <c r="AC6" s="17"/>
      <c r="AD6" s="17"/>
      <c r="AE6" s="118"/>
      <c r="AF6" s="118"/>
      <c r="AG6" s="118"/>
      <c r="AH6" s="118"/>
      <c r="AI6" s="118"/>
      <c r="AJ6" s="118"/>
      <c r="AK6" s="118"/>
      <c r="AL6" s="119"/>
      <c r="AM6" s="119" t="s">
        <v>0</v>
      </c>
    </row>
    <row r="7" spans="2:39" ht="27" customHeight="1" x14ac:dyDescent="0.25">
      <c r="B7" s="25" t="s">
        <v>279</v>
      </c>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row>
    <row r="8" spans="2:39" ht="12.6" customHeight="1" x14ac:dyDescent="0.25">
      <c r="B8" s="161" t="s">
        <v>2</v>
      </c>
      <c r="C8" s="141" t="s">
        <v>3</v>
      </c>
      <c r="D8" s="141" t="s">
        <v>157</v>
      </c>
      <c r="E8" s="141" t="s">
        <v>158</v>
      </c>
      <c r="F8" s="141" t="s">
        <v>159</v>
      </c>
      <c r="G8" s="141" t="s">
        <v>160</v>
      </c>
      <c r="H8" s="141" t="s">
        <v>161</v>
      </c>
      <c r="I8" s="141" t="s">
        <v>162</v>
      </c>
      <c r="J8" s="141" t="s">
        <v>163</v>
      </c>
      <c r="K8" s="141" t="s">
        <v>164</v>
      </c>
      <c r="L8" s="141" t="s">
        <v>165</v>
      </c>
      <c r="M8" s="141" t="s">
        <v>166</v>
      </c>
      <c r="N8" s="141" t="s">
        <v>167</v>
      </c>
      <c r="O8" s="141" t="s">
        <v>168</v>
      </c>
      <c r="P8" s="141" t="s">
        <v>169</v>
      </c>
      <c r="Q8" s="141" t="s">
        <v>170</v>
      </c>
      <c r="R8" s="141" t="s">
        <v>171</v>
      </c>
      <c r="S8" s="141" t="s">
        <v>172</v>
      </c>
      <c r="T8" s="141" t="s">
        <v>173</v>
      </c>
      <c r="U8" s="141" t="s">
        <v>174</v>
      </c>
      <c r="V8" s="141" t="s">
        <v>175</v>
      </c>
      <c r="W8" s="141" t="s">
        <v>176</v>
      </c>
      <c r="X8" s="141" t="s">
        <v>177</v>
      </c>
      <c r="Y8" s="141" t="s">
        <v>178</v>
      </c>
      <c r="Z8" s="141" t="s">
        <v>179</v>
      </c>
      <c r="AA8" s="141" t="s">
        <v>180</v>
      </c>
      <c r="AB8" s="141" t="s">
        <v>181</v>
      </c>
      <c r="AC8" s="141" t="s">
        <v>182</v>
      </c>
      <c r="AD8" s="141" t="s">
        <v>183</v>
      </c>
      <c r="AE8" s="141" t="s">
        <v>184</v>
      </c>
      <c r="AF8" s="141" t="s">
        <v>185</v>
      </c>
      <c r="AG8" s="141" t="s">
        <v>186</v>
      </c>
      <c r="AH8" s="141" t="s">
        <v>187</v>
      </c>
      <c r="AI8" s="141" t="s">
        <v>188</v>
      </c>
      <c r="AJ8" s="141" t="s">
        <v>189</v>
      </c>
      <c r="AK8" s="141" t="s">
        <v>190</v>
      </c>
      <c r="AL8" s="141" t="s">
        <v>191</v>
      </c>
      <c r="AM8" s="141" t="s">
        <v>548</v>
      </c>
    </row>
    <row r="9" spans="2:39" ht="11.25" customHeight="1" x14ac:dyDescent="0.25">
      <c r="B9" s="143" t="s">
        <v>274</v>
      </c>
      <c r="C9" s="143"/>
      <c r="D9" s="143"/>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row>
    <row r="10" spans="2:39" ht="11.25" customHeight="1" x14ac:dyDescent="0.25">
      <c r="B10" s="162" t="s">
        <v>256</v>
      </c>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62"/>
      <c r="AA10" s="162"/>
      <c r="AB10" s="162"/>
      <c r="AC10" s="162"/>
      <c r="AD10" s="162"/>
      <c r="AE10" s="162"/>
      <c r="AF10" s="162"/>
      <c r="AG10" s="162"/>
      <c r="AH10" s="162"/>
      <c r="AI10" s="162"/>
      <c r="AJ10" s="162"/>
      <c r="AK10" s="162"/>
      <c r="AL10" s="162"/>
      <c r="AM10" s="162"/>
    </row>
    <row r="11" spans="2:39" ht="11.25" customHeight="1" x14ac:dyDescent="0.25">
      <c r="B11" s="166" t="s">
        <v>257</v>
      </c>
      <c r="C11" s="8" t="s">
        <v>280</v>
      </c>
      <c r="D11" s="163" t="s">
        <v>19</v>
      </c>
      <c r="E11" s="29" t="s">
        <v>19</v>
      </c>
      <c r="F11" s="19" t="s">
        <v>19</v>
      </c>
      <c r="G11" s="29" t="s">
        <v>19</v>
      </c>
      <c r="H11" s="29" t="s">
        <v>19</v>
      </c>
      <c r="I11" s="29" t="s">
        <v>19</v>
      </c>
      <c r="J11" s="29" t="s">
        <v>19</v>
      </c>
      <c r="K11" s="29" t="s">
        <v>19</v>
      </c>
      <c r="L11" s="29" t="s">
        <v>19</v>
      </c>
      <c r="M11" s="29" t="s">
        <v>19</v>
      </c>
      <c r="N11" s="29" t="s">
        <v>19</v>
      </c>
      <c r="O11" s="29" t="s">
        <v>19</v>
      </c>
      <c r="P11" s="29" t="s">
        <v>19</v>
      </c>
      <c r="Q11" s="29" t="s">
        <v>19</v>
      </c>
      <c r="R11" s="29" t="s">
        <v>19</v>
      </c>
      <c r="S11" s="29" t="s">
        <v>19</v>
      </c>
      <c r="T11" s="29" t="s">
        <v>19</v>
      </c>
      <c r="U11" s="29" t="s">
        <v>19</v>
      </c>
      <c r="V11" s="29" t="s">
        <v>19</v>
      </c>
      <c r="W11" s="29" t="s">
        <v>19</v>
      </c>
      <c r="X11" s="29" t="s">
        <v>19</v>
      </c>
      <c r="Y11" s="29" t="s">
        <v>19</v>
      </c>
      <c r="Z11" s="29" t="s">
        <v>19</v>
      </c>
      <c r="AA11" s="29" t="s">
        <v>19</v>
      </c>
      <c r="AB11" s="29" t="s">
        <v>19</v>
      </c>
      <c r="AC11" s="29" t="s">
        <v>19</v>
      </c>
      <c r="AD11" s="29" t="s">
        <v>19</v>
      </c>
      <c r="AE11" s="29" t="s">
        <v>19</v>
      </c>
      <c r="AF11" s="29" t="s">
        <v>19</v>
      </c>
      <c r="AG11" s="29" t="s">
        <v>19</v>
      </c>
      <c r="AH11" s="29" t="s">
        <v>19</v>
      </c>
      <c r="AI11" s="29" t="s">
        <v>19</v>
      </c>
      <c r="AJ11" s="29" t="s">
        <v>19</v>
      </c>
      <c r="AK11" s="29" t="s">
        <v>19</v>
      </c>
      <c r="AL11" s="29" t="s">
        <v>19</v>
      </c>
      <c r="AM11" s="29" t="s">
        <v>19</v>
      </c>
    </row>
    <row r="12" spans="2:39" ht="12" customHeight="1" x14ac:dyDescent="0.25">
      <c r="B12" s="147" t="s">
        <v>259</v>
      </c>
      <c r="C12" s="8" t="s">
        <v>280</v>
      </c>
      <c r="D12" s="29">
        <v>15.202</v>
      </c>
      <c r="E12" s="29">
        <v>11.02</v>
      </c>
      <c r="F12" s="29">
        <v>11.352</v>
      </c>
      <c r="G12" s="29">
        <v>12.568</v>
      </c>
      <c r="H12" s="29">
        <v>17.366</v>
      </c>
      <c r="I12" s="29">
        <v>19.321000000000002</v>
      </c>
      <c r="J12" s="29">
        <v>15.122999999999999</v>
      </c>
      <c r="K12" s="29">
        <v>20.334</v>
      </c>
      <c r="L12" s="29">
        <v>18.693999999999999</v>
      </c>
      <c r="M12" s="29">
        <v>21.821000000000002</v>
      </c>
      <c r="N12" s="29">
        <v>18.192</v>
      </c>
      <c r="O12" s="29">
        <v>23.588999999999999</v>
      </c>
      <c r="P12" s="29">
        <v>25.265999999999998</v>
      </c>
      <c r="Q12" s="29">
        <v>33.914000000000001</v>
      </c>
      <c r="R12" s="29">
        <v>47.408000000000001</v>
      </c>
      <c r="S12" s="29">
        <v>37.488</v>
      </c>
      <c r="T12" s="29">
        <v>36.518000000000001</v>
      </c>
      <c r="U12" s="29">
        <v>34.512999999999998</v>
      </c>
      <c r="V12" s="29">
        <v>38.767000000000003</v>
      </c>
      <c r="W12" s="29">
        <v>38.017000000000003</v>
      </c>
      <c r="X12" s="29">
        <v>39.915999999999997</v>
      </c>
      <c r="Y12" s="29">
        <v>45.633000000000003</v>
      </c>
      <c r="Z12" s="29">
        <v>40.774999999999999</v>
      </c>
      <c r="AA12" s="29">
        <v>46.930999999999997</v>
      </c>
      <c r="AB12" s="29">
        <v>50.128999999999998</v>
      </c>
      <c r="AC12" s="29">
        <v>49.155000000000001</v>
      </c>
      <c r="AD12" s="29">
        <v>44.859000000000002</v>
      </c>
      <c r="AE12" s="29">
        <v>47.917000000000002</v>
      </c>
      <c r="AF12" s="29">
        <v>45.481999999999999</v>
      </c>
      <c r="AG12" s="29">
        <v>46.5</v>
      </c>
      <c r="AH12" s="29">
        <v>46.369</v>
      </c>
      <c r="AI12" s="29">
        <v>42.088999999999999</v>
      </c>
      <c r="AJ12" s="29">
        <v>42.021999999999998</v>
      </c>
      <c r="AK12" s="29">
        <v>45.743000000000002</v>
      </c>
      <c r="AL12" s="29">
        <v>43.325000000000003</v>
      </c>
      <c r="AM12" s="29">
        <v>49.228999999999999</v>
      </c>
    </row>
    <row r="13" spans="2:39" ht="12" customHeight="1" x14ac:dyDescent="0.25">
      <c r="B13" s="147" t="s">
        <v>275</v>
      </c>
      <c r="C13" s="8" t="s">
        <v>280</v>
      </c>
      <c r="D13" s="29">
        <v>7.7350000000000003</v>
      </c>
      <c r="E13" s="29">
        <v>7.1459999999999999</v>
      </c>
      <c r="F13" s="29">
        <v>10.407</v>
      </c>
      <c r="G13" s="29">
        <v>8.2370000000000001</v>
      </c>
      <c r="H13" s="29">
        <v>8.2579999999999991</v>
      </c>
      <c r="I13" s="29">
        <v>9.423</v>
      </c>
      <c r="J13" s="29">
        <v>8.9909999999999997</v>
      </c>
      <c r="K13" s="29">
        <v>8.6</v>
      </c>
      <c r="L13" s="29">
        <v>8.6010000000000009</v>
      </c>
      <c r="M13" s="29">
        <v>8.2759999999999998</v>
      </c>
      <c r="N13" s="29">
        <v>8.7070000000000007</v>
      </c>
      <c r="O13" s="29">
        <v>12.271000000000001</v>
      </c>
      <c r="P13" s="29">
        <v>9.2720000000000002</v>
      </c>
      <c r="Q13" s="29">
        <v>10.398999999999999</v>
      </c>
      <c r="R13" s="29">
        <v>11.122999999999999</v>
      </c>
      <c r="S13" s="29">
        <v>11.093</v>
      </c>
      <c r="T13" s="29">
        <v>10.773999999999999</v>
      </c>
      <c r="U13" s="29">
        <v>13.375</v>
      </c>
      <c r="V13" s="29">
        <v>10.208</v>
      </c>
      <c r="W13" s="29">
        <v>10.896000000000001</v>
      </c>
      <c r="X13" s="29">
        <v>9.7829999999999995</v>
      </c>
      <c r="Y13" s="29">
        <v>9.9380000000000006</v>
      </c>
      <c r="Z13" s="29">
        <v>10.186</v>
      </c>
      <c r="AA13" s="29">
        <v>11.945</v>
      </c>
      <c r="AB13" s="29">
        <v>14.243</v>
      </c>
      <c r="AC13" s="29">
        <v>16.126999999999999</v>
      </c>
      <c r="AD13" s="29">
        <v>15.058999999999999</v>
      </c>
      <c r="AE13" s="29">
        <v>14.663</v>
      </c>
      <c r="AF13" s="29">
        <v>14.962</v>
      </c>
      <c r="AG13" s="29">
        <v>14.468</v>
      </c>
      <c r="AH13" s="29">
        <v>14.145</v>
      </c>
      <c r="AI13" s="29">
        <v>13.041</v>
      </c>
      <c r="AJ13" s="29">
        <v>12.019</v>
      </c>
      <c r="AK13" s="29">
        <v>15.427</v>
      </c>
      <c r="AL13" s="29">
        <v>13.965</v>
      </c>
      <c r="AM13" s="29">
        <v>15.561</v>
      </c>
    </row>
    <row r="14" spans="2:39" ht="12" customHeight="1" x14ac:dyDescent="0.25">
      <c r="B14" s="147" t="s">
        <v>244</v>
      </c>
      <c r="C14" s="8" t="s">
        <v>280</v>
      </c>
      <c r="D14" s="29">
        <v>13.742000000000001</v>
      </c>
      <c r="E14" s="29">
        <v>14.579000000000001</v>
      </c>
      <c r="F14" s="29">
        <v>14.292999999999999</v>
      </c>
      <c r="G14" s="29">
        <v>16.178999999999998</v>
      </c>
      <c r="H14" s="29">
        <v>15.257999999999999</v>
      </c>
      <c r="I14" s="29">
        <v>13.818</v>
      </c>
      <c r="J14" s="29">
        <v>14.599</v>
      </c>
      <c r="K14" s="29">
        <v>16.649999999999999</v>
      </c>
      <c r="L14" s="29">
        <v>14.29</v>
      </c>
      <c r="M14" s="29">
        <v>13.691000000000001</v>
      </c>
      <c r="N14" s="29">
        <v>12.343999999999999</v>
      </c>
      <c r="O14" s="29">
        <v>11.18</v>
      </c>
      <c r="P14" s="29">
        <v>10.976000000000001</v>
      </c>
      <c r="Q14" s="29">
        <v>9.19</v>
      </c>
      <c r="R14" s="29">
        <v>8.2769999999999992</v>
      </c>
      <c r="S14" s="29">
        <v>9.3030000000000008</v>
      </c>
      <c r="T14" s="29">
        <v>8.2639999999999993</v>
      </c>
      <c r="U14" s="29">
        <v>7.8659999999999997</v>
      </c>
      <c r="V14" s="29">
        <v>6.81</v>
      </c>
      <c r="W14" s="29">
        <v>5.7450000000000001</v>
      </c>
      <c r="X14" s="29">
        <v>5.4320000000000004</v>
      </c>
      <c r="Y14" s="29">
        <v>6.6619999999999999</v>
      </c>
      <c r="Z14" s="29">
        <v>5.258</v>
      </c>
      <c r="AA14" s="29">
        <v>6.1070000000000002</v>
      </c>
      <c r="AB14" s="29">
        <v>4.51</v>
      </c>
      <c r="AC14" s="29">
        <v>4.931</v>
      </c>
      <c r="AD14" s="29">
        <v>5.1230000000000002</v>
      </c>
      <c r="AE14" s="29">
        <v>5.7220000000000004</v>
      </c>
      <c r="AF14" s="29">
        <v>4.2329999999999997</v>
      </c>
      <c r="AG14" s="29">
        <v>4.8390000000000004</v>
      </c>
      <c r="AH14" s="29">
        <v>3.9569999999999999</v>
      </c>
      <c r="AI14" s="29">
        <v>3.9710000000000001</v>
      </c>
      <c r="AJ14" s="29">
        <v>4.72</v>
      </c>
      <c r="AK14" s="29">
        <v>5.2990000000000004</v>
      </c>
      <c r="AL14" s="29">
        <v>2.847</v>
      </c>
      <c r="AM14" s="29">
        <v>2.6850000000000001</v>
      </c>
    </row>
    <row r="15" spans="2:39" ht="12" customHeight="1" x14ac:dyDescent="0.25">
      <c r="B15" s="147" t="s">
        <v>138</v>
      </c>
      <c r="C15" s="8" t="s">
        <v>280</v>
      </c>
      <c r="D15" s="29" t="s">
        <v>19</v>
      </c>
      <c r="E15" s="29" t="s">
        <v>19</v>
      </c>
      <c r="F15" s="29" t="s">
        <v>19</v>
      </c>
      <c r="G15" s="29" t="s">
        <v>19</v>
      </c>
      <c r="H15" s="29" t="s">
        <v>19</v>
      </c>
      <c r="I15" s="29" t="s">
        <v>19</v>
      </c>
      <c r="J15" s="29" t="s">
        <v>19</v>
      </c>
      <c r="K15" s="29" t="s">
        <v>19</v>
      </c>
      <c r="L15" s="29" t="s">
        <v>19</v>
      </c>
      <c r="M15" s="29" t="s">
        <v>19</v>
      </c>
      <c r="N15" s="29" t="s">
        <v>19</v>
      </c>
      <c r="O15" s="29" t="s">
        <v>19</v>
      </c>
      <c r="P15" s="29" t="s">
        <v>19</v>
      </c>
      <c r="Q15" s="29" t="s">
        <v>19</v>
      </c>
      <c r="R15" s="29" t="s">
        <v>19</v>
      </c>
      <c r="S15" s="29" t="s">
        <v>19</v>
      </c>
      <c r="T15" s="29" t="s">
        <v>19</v>
      </c>
      <c r="U15" s="29">
        <v>8.5999999999999993E-2</v>
      </c>
      <c r="V15" s="29">
        <v>0.17499999999999999</v>
      </c>
      <c r="W15" s="29">
        <v>0.16600000000000001</v>
      </c>
      <c r="X15" s="29">
        <v>0.22500000000000001</v>
      </c>
      <c r="Y15" s="29">
        <v>0.20100000000000001</v>
      </c>
      <c r="Z15" s="29">
        <v>0.151</v>
      </c>
      <c r="AA15" s="29">
        <v>0.21099999999999999</v>
      </c>
      <c r="AB15" s="29">
        <v>0.17100000000000001</v>
      </c>
      <c r="AC15" s="29">
        <v>0.18</v>
      </c>
      <c r="AD15" s="29">
        <v>0.16</v>
      </c>
      <c r="AE15" s="29">
        <v>0.108</v>
      </c>
      <c r="AF15" s="29">
        <v>0.10199999999999999</v>
      </c>
      <c r="AG15" s="29">
        <v>0.10199999999999999</v>
      </c>
      <c r="AH15" s="29">
        <v>9.8000000000000004E-2</v>
      </c>
      <c r="AI15" s="29">
        <v>0.14399999999999999</v>
      </c>
      <c r="AJ15" s="29">
        <v>0.107</v>
      </c>
      <c r="AK15" s="29">
        <v>0.253</v>
      </c>
      <c r="AL15" s="29">
        <v>0.152</v>
      </c>
      <c r="AM15" s="29">
        <v>0.13200000000000001</v>
      </c>
    </row>
    <row r="16" spans="2:39" ht="12" customHeight="1" x14ac:dyDescent="0.25">
      <c r="B16" s="147" t="s">
        <v>260</v>
      </c>
      <c r="C16" s="8" t="s">
        <v>280</v>
      </c>
      <c r="D16" s="29" t="s">
        <v>19</v>
      </c>
      <c r="E16" s="29" t="s">
        <v>19</v>
      </c>
      <c r="F16" s="29" t="s">
        <v>19</v>
      </c>
      <c r="G16" s="29" t="s">
        <v>19</v>
      </c>
      <c r="H16" s="29" t="s">
        <v>19</v>
      </c>
      <c r="I16" s="29" t="s">
        <v>19</v>
      </c>
      <c r="J16" s="29" t="s">
        <v>19</v>
      </c>
      <c r="K16" s="29" t="s">
        <v>19</v>
      </c>
      <c r="L16" s="29" t="s">
        <v>19</v>
      </c>
      <c r="M16" s="29" t="s">
        <v>19</v>
      </c>
      <c r="N16" s="29">
        <v>6.5000000000000002E-2</v>
      </c>
      <c r="O16" s="29">
        <v>8.7999999999999995E-2</v>
      </c>
      <c r="P16" s="29">
        <v>0.13400000000000001</v>
      </c>
      <c r="Q16" s="29">
        <v>0.123</v>
      </c>
      <c r="R16" s="29">
        <v>0.09</v>
      </c>
      <c r="S16" s="29">
        <v>7.0000000000000001E-3</v>
      </c>
      <c r="T16" s="29">
        <v>2.3E-2</v>
      </c>
      <c r="U16" s="29">
        <v>0.06</v>
      </c>
      <c r="V16" s="29">
        <v>6.9000000000000006E-2</v>
      </c>
      <c r="W16" s="29">
        <v>6.9000000000000006E-2</v>
      </c>
      <c r="X16" s="29">
        <v>9.2999999999999999E-2</v>
      </c>
      <c r="Y16" s="29">
        <v>8.6999999999999994E-2</v>
      </c>
      <c r="Z16" s="29">
        <v>7.3999999999999996E-2</v>
      </c>
      <c r="AA16" s="29">
        <v>0.186</v>
      </c>
      <c r="AB16" s="29">
        <v>0.182</v>
      </c>
      <c r="AC16" s="29">
        <v>0.14000000000000001</v>
      </c>
      <c r="AD16" s="29">
        <v>0.22500000000000001</v>
      </c>
      <c r="AE16" s="29">
        <v>0.14099999999999999</v>
      </c>
      <c r="AF16" s="29">
        <v>0.371</v>
      </c>
      <c r="AG16" s="29">
        <v>0.223</v>
      </c>
      <c r="AH16" s="29">
        <v>0.249</v>
      </c>
      <c r="AI16" s="29">
        <v>0.35099999999999998</v>
      </c>
      <c r="AJ16" s="29">
        <v>0.317</v>
      </c>
      <c r="AK16" s="29">
        <v>0.375</v>
      </c>
      <c r="AL16" s="29">
        <v>0.248</v>
      </c>
      <c r="AM16" s="29">
        <v>0.32400000000000001</v>
      </c>
    </row>
    <row r="17" spans="2:39" ht="12" customHeight="1" x14ac:dyDescent="0.25">
      <c r="B17" s="147" t="s">
        <v>208</v>
      </c>
      <c r="C17" s="8" t="s">
        <v>280</v>
      </c>
      <c r="D17" s="29">
        <v>2.31</v>
      </c>
      <c r="E17" s="29">
        <v>2.2160000000000002</v>
      </c>
      <c r="F17" s="29">
        <v>2.544</v>
      </c>
      <c r="G17" s="29">
        <v>2.2320000000000002</v>
      </c>
      <c r="H17" s="29">
        <v>1.1359999999999999</v>
      </c>
      <c r="I17" s="29">
        <v>1.381</v>
      </c>
      <c r="J17" s="29">
        <v>1.194</v>
      </c>
      <c r="K17" s="29">
        <v>1.698</v>
      </c>
      <c r="L17" s="29">
        <v>1.0980000000000001</v>
      </c>
      <c r="M17" s="29">
        <v>0.96199999999999997</v>
      </c>
      <c r="N17" s="29">
        <v>1.196</v>
      </c>
      <c r="O17" s="29">
        <v>0.96599999999999997</v>
      </c>
      <c r="P17" s="29">
        <v>1.216</v>
      </c>
      <c r="Q17" s="29">
        <v>0.94599999999999995</v>
      </c>
      <c r="R17" s="29">
        <v>0.84199999999999997</v>
      </c>
      <c r="S17" s="29">
        <v>0.84399999999999997</v>
      </c>
      <c r="T17" s="29">
        <v>1.113</v>
      </c>
      <c r="U17" s="29">
        <v>0.9</v>
      </c>
      <c r="V17" s="29">
        <v>0.94599999999999995</v>
      </c>
      <c r="W17" s="29">
        <v>0.82899999999999996</v>
      </c>
      <c r="X17" s="29">
        <v>0.89200000000000002</v>
      </c>
      <c r="Y17" s="29">
        <v>1.0089999999999999</v>
      </c>
      <c r="Z17" s="29">
        <v>0.871</v>
      </c>
      <c r="AA17" s="29">
        <v>1.8109999999999999</v>
      </c>
      <c r="AB17" s="29">
        <v>0.872</v>
      </c>
      <c r="AC17" s="29">
        <v>1.05</v>
      </c>
      <c r="AD17" s="29">
        <v>2.177</v>
      </c>
      <c r="AE17" s="29">
        <v>0.77900000000000003</v>
      </c>
      <c r="AF17" s="29">
        <v>0.89</v>
      </c>
      <c r="AG17" s="29">
        <v>0.89800000000000002</v>
      </c>
      <c r="AH17" s="29">
        <v>0.85299999999999998</v>
      </c>
      <c r="AI17" s="29">
        <v>0.878</v>
      </c>
      <c r="AJ17" s="29">
        <v>8.2129999999999992</v>
      </c>
      <c r="AK17" s="29">
        <v>2.3210000000000002</v>
      </c>
      <c r="AL17" s="29">
        <v>1.0129999999999999</v>
      </c>
      <c r="AM17" s="29">
        <v>1.0660000000000001</v>
      </c>
    </row>
    <row r="18" spans="2:39" ht="12" customHeight="1" x14ac:dyDescent="0.25">
      <c r="B18" s="147" t="s">
        <v>261</v>
      </c>
      <c r="C18" s="8" t="s">
        <v>280</v>
      </c>
      <c r="D18" s="29">
        <v>2.1999999999999999E-2</v>
      </c>
      <c r="E18" s="29">
        <v>5.0000000000000001E-3</v>
      </c>
      <c r="F18" s="29">
        <v>8.0000000000000002E-3</v>
      </c>
      <c r="G18" s="29">
        <v>5.3999999999999999E-2</v>
      </c>
      <c r="H18" s="29">
        <v>4.2999999999999997E-2</v>
      </c>
      <c r="I18" s="29">
        <v>3.5000000000000003E-2</v>
      </c>
      <c r="J18" s="29">
        <v>0.22500000000000001</v>
      </c>
      <c r="K18" s="29">
        <v>0.109</v>
      </c>
      <c r="L18" s="29">
        <v>0.14399999999999999</v>
      </c>
      <c r="M18" s="29">
        <v>0.19700000000000001</v>
      </c>
      <c r="N18" s="29">
        <v>0.32700000000000001</v>
      </c>
      <c r="O18" s="29">
        <v>0.746</v>
      </c>
      <c r="P18" s="29">
        <v>0.38700000000000001</v>
      </c>
      <c r="Q18" s="29">
        <v>0.36199999999999999</v>
      </c>
      <c r="R18" s="29">
        <v>0.35199999999999998</v>
      </c>
      <c r="S18" s="29">
        <v>0.40400000000000003</v>
      </c>
      <c r="T18" s="29">
        <v>0.45</v>
      </c>
      <c r="U18" s="29">
        <v>0.443</v>
      </c>
      <c r="V18" s="29">
        <v>0.42599999999999999</v>
      </c>
      <c r="W18" s="29">
        <v>0.46200000000000002</v>
      </c>
      <c r="X18" s="29">
        <v>0.629</v>
      </c>
      <c r="Y18" s="29">
        <v>0.47899999999999998</v>
      </c>
      <c r="Z18" s="29">
        <v>0.48099999999999998</v>
      </c>
      <c r="AA18" s="29">
        <v>0.53400000000000003</v>
      </c>
      <c r="AB18" s="29">
        <v>0.68600000000000005</v>
      </c>
      <c r="AC18" s="29">
        <v>0.59599999999999997</v>
      </c>
      <c r="AD18" s="29">
        <v>0.44700000000000001</v>
      </c>
      <c r="AE18" s="29">
        <v>0.40400000000000003</v>
      </c>
      <c r="AF18" s="29">
        <v>0.36599999999999999</v>
      </c>
      <c r="AG18" s="29">
        <v>0.44500000000000001</v>
      </c>
      <c r="AH18" s="29">
        <v>0.38300000000000001</v>
      </c>
      <c r="AI18" s="29">
        <v>0.60299999999999998</v>
      </c>
      <c r="AJ18" s="29">
        <v>0.70199999999999996</v>
      </c>
      <c r="AK18" s="29">
        <v>0.61599999999999999</v>
      </c>
      <c r="AL18" s="29">
        <v>0.47499999999999998</v>
      </c>
      <c r="AM18" s="29">
        <v>0.379</v>
      </c>
    </row>
    <row r="19" spans="2:39" ht="12" customHeight="1" x14ac:dyDescent="0.25">
      <c r="B19" s="147" t="s">
        <v>262</v>
      </c>
      <c r="C19" s="8" t="s">
        <v>280</v>
      </c>
      <c r="D19" s="29">
        <v>32.409999999999997</v>
      </c>
      <c r="E19" s="29">
        <v>32.837000000000003</v>
      </c>
      <c r="F19" s="29">
        <v>38.447000000000003</v>
      </c>
      <c r="G19" s="29">
        <v>36.905999999999999</v>
      </c>
      <c r="H19" s="29">
        <v>43.585999999999999</v>
      </c>
      <c r="I19" s="29">
        <v>42.16</v>
      </c>
      <c r="J19" s="29">
        <v>42.456000000000003</v>
      </c>
      <c r="K19" s="29">
        <v>42.847000000000001</v>
      </c>
      <c r="L19" s="29">
        <v>48.033999999999999</v>
      </c>
      <c r="M19" s="29">
        <v>52.591999999999999</v>
      </c>
      <c r="N19" s="29">
        <v>60.506</v>
      </c>
      <c r="O19" s="29">
        <v>59.125</v>
      </c>
      <c r="P19" s="29">
        <v>59.899000000000001</v>
      </c>
      <c r="Q19" s="29">
        <v>68.566999999999993</v>
      </c>
      <c r="R19" s="29">
        <v>70.283000000000001</v>
      </c>
      <c r="S19" s="29">
        <v>71.486999999999995</v>
      </c>
      <c r="T19" s="29">
        <v>71.88</v>
      </c>
      <c r="U19" s="29">
        <v>76.206000000000003</v>
      </c>
      <c r="V19" s="29">
        <v>79.381</v>
      </c>
      <c r="W19" s="29">
        <v>77.212000000000003</v>
      </c>
      <c r="X19" s="29">
        <v>83.284000000000006</v>
      </c>
      <c r="Y19" s="29">
        <v>83.09</v>
      </c>
      <c r="Z19" s="29">
        <v>86.611999999999995</v>
      </c>
      <c r="AA19" s="29">
        <v>92.778999999999996</v>
      </c>
      <c r="AB19" s="29">
        <v>90.018000000000001</v>
      </c>
      <c r="AC19" s="29">
        <v>87.644000000000005</v>
      </c>
      <c r="AD19" s="29">
        <v>86.430999999999997</v>
      </c>
      <c r="AE19" s="29">
        <v>87.177999999999997</v>
      </c>
      <c r="AF19" s="29">
        <v>86.841999999999999</v>
      </c>
      <c r="AG19" s="29">
        <v>88.507000000000005</v>
      </c>
      <c r="AH19" s="29">
        <v>84.403999999999996</v>
      </c>
      <c r="AI19" s="29">
        <v>91.403999999999996</v>
      </c>
      <c r="AJ19" s="29">
        <v>88.864000000000004</v>
      </c>
      <c r="AK19" s="29">
        <v>88.304000000000002</v>
      </c>
      <c r="AL19" s="29">
        <v>84.971999999999994</v>
      </c>
      <c r="AM19" s="29">
        <v>88.320999999999998</v>
      </c>
    </row>
    <row r="20" spans="2:39" ht="12" customHeight="1" x14ac:dyDescent="0.25">
      <c r="B20" s="148" t="s">
        <v>276</v>
      </c>
      <c r="C20" s="8" t="s">
        <v>280</v>
      </c>
      <c r="D20" s="29">
        <v>71.421000000000006</v>
      </c>
      <c r="E20" s="29">
        <v>67.802999999999997</v>
      </c>
      <c r="F20" s="29">
        <v>77.052000000000007</v>
      </c>
      <c r="G20" s="29">
        <v>76.177000000000007</v>
      </c>
      <c r="H20" s="29">
        <v>85.647000000000006</v>
      </c>
      <c r="I20" s="29">
        <v>86.138000000000005</v>
      </c>
      <c r="J20" s="29">
        <v>82.588999999999999</v>
      </c>
      <c r="K20" s="29">
        <v>90.236999999999995</v>
      </c>
      <c r="L20" s="29">
        <v>90.861000000000004</v>
      </c>
      <c r="M20" s="29">
        <v>97.539000000000001</v>
      </c>
      <c r="N20" s="29">
        <v>101.339</v>
      </c>
      <c r="O20" s="29">
        <v>107.965</v>
      </c>
      <c r="P20" s="29">
        <v>107.149</v>
      </c>
      <c r="Q20" s="29">
        <v>123.5</v>
      </c>
      <c r="R20" s="29">
        <v>138.375</v>
      </c>
      <c r="S20" s="29">
        <v>130.626</v>
      </c>
      <c r="T20" s="29">
        <v>129.023</v>
      </c>
      <c r="U20" s="29">
        <v>133.44800000000001</v>
      </c>
      <c r="V20" s="29">
        <v>136.78299999999999</v>
      </c>
      <c r="W20" s="29">
        <v>133.39699999999999</v>
      </c>
      <c r="X20" s="29">
        <v>140.255</v>
      </c>
      <c r="Y20" s="29">
        <v>147.09800000000001</v>
      </c>
      <c r="Z20" s="29">
        <v>144.40899999999999</v>
      </c>
      <c r="AA20" s="29">
        <v>160.50299999999999</v>
      </c>
      <c r="AB20" s="29">
        <v>160.81100000000001</v>
      </c>
      <c r="AC20" s="29">
        <v>159.82300000000001</v>
      </c>
      <c r="AD20" s="29">
        <v>154.482</v>
      </c>
      <c r="AE20" s="29">
        <v>156.91200000000001</v>
      </c>
      <c r="AF20" s="29">
        <v>153.24700000000001</v>
      </c>
      <c r="AG20" s="29">
        <v>155.98099999999999</v>
      </c>
      <c r="AH20" s="29">
        <v>150.459</v>
      </c>
      <c r="AI20" s="29">
        <v>152.482</v>
      </c>
      <c r="AJ20" s="29">
        <v>156.965</v>
      </c>
      <c r="AK20" s="29">
        <v>158.339</v>
      </c>
      <c r="AL20" s="29">
        <v>146.99600000000001</v>
      </c>
      <c r="AM20" s="29">
        <v>157.69800000000001</v>
      </c>
    </row>
    <row r="21" spans="2:39" ht="12" customHeight="1" x14ac:dyDescent="0.25">
      <c r="B21" s="162" t="s">
        <v>263</v>
      </c>
      <c r="C21" s="162"/>
      <c r="D21" s="162"/>
      <c r="E21" s="162"/>
      <c r="F21" s="162"/>
      <c r="G21" s="162"/>
      <c r="H21" s="162"/>
      <c r="I21" s="162"/>
      <c r="J21" s="162"/>
      <c r="K21" s="162"/>
      <c r="L21" s="162"/>
      <c r="M21" s="162"/>
      <c r="N21" s="162"/>
      <c r="O21" s="162"/>
      <c r="P21" s="162"/>
      <c r="Q21" s="162"/>
      <c r="R21" s="162"/>
      <c r="S21" s="162"/>
      <c r="T21" s="162"/>
      <c r="U21" s="162"/>
      <c r="V21" s="162"/>
      <c r="W21" s="162"/>
      <c r="X21" s="162"/>
      <c r="Y21" s="162"/>
      <c r="Z21" s="162"/>
      <c r="AA21" s="162"/>
      <c r="AB21" s="162"/>
      <c r="AC21" s="162"/>
      <c r="AD21" s="162"/>
      <c r="AE21" s="162"/>
      <c r="AF21" s="162"/>
      <c r="AG21" s="162"/>
      <c r="AH21" s="162"/>
      <c r="AI21" s="162"/>
      <c r="AJ21" s="162"/>
      <c r="AK21" s="162"/>
      <c r="AL21" s="162"/>
      <c r="AM21" s="162"/>
    </row>
    <row r="22" spans="2:39" ht="12" customHeight="1" x14ac:dyDescent="0.25">
      <c r="B22" s="147" t="s">
        <v>87</v>
      </c>
      <c r="C22" s="8" t="s">
        <v>280</v>
      </c>
      <c r="D22" s="163">
        <v>11.028</v>
      </c>
      <c r="E22" s="29">
        <v>13.144</v>
      </c>
      <c r="F22" s="19">
        <v>12.51</v>
      </c>
      <c r="G22" s="29">
        <v>12.772</v>
      </c>
      <c r="H22" s="29">
        <v>13.268000000000001</v>
      </c>
      <c r="I22" s="29">
        <v>14.352</v>
      </c>
      <c r="J22" s="29">
        <v>13.183999999999999</v>
      </c>
      <c r="K22" s="29">
        <v>13.864000000000001</v>
      </c>
      <c r="L22" s="29">
        <v>14.888</v>
      </c>
      <c r="M22" s="29">
        <v>15.829000000000001</v>
      </c>
      <c r="N22" s="29">
        <v>15.733000000000001</v>
      </c>
      <c r="O22" s="29">
        <v>15.571999999999999</v>
      </c>
      <c r="P22" s="29">
        <v>17.559000000000001</v>
      </c>
      <c r="Q22" s="29">
        <v>18.146999999999998</v>
      </c>
      <c r="R22" s="29">
        <v>24.448</v>
      </c>
      <c r="S22" s="29">
        <v>29.855</v>
      </c>
      <c r="T22" s="29">
        <v>30.404</v>
      </c>
      <c r="U22" s="29">
        <v>33.905999999999999</v>
      </c>
      <c r="V22" s="29">
        <v>29.818000000000001</v>
      </c>
      <c r="W22" s="29">
        <v>26.734999999999999</v>
      </c>
      <c r="X22" s="29">
        <v>34.46</v>
      </c>
      <c r="Y22" s="29">
        <v>32.588000000000001</v>
      </c>
      <c r="Z22" s="29">
        <v>37.533999999999999</v>
      </c>
      <c r="AA22" s="29">
        <v>34.752000000000002</v>
      </c>
      <c r="AB22" s="29">
        <v>38.671999999999997</v>
      </c>
      <c r="AC22" s="29">
        <v>32.359000000000002</v>
      </c>
      <c r="AD22" s="29">
        <v>31.919</v>
      </c>
      <c r="AE22" s="29">
        <v>31.768000000000001</v>
      </c>
      <c r="AF22" s="29">
        <v>34.706000000000003</v>
      </c>
      <c r="AG22" s="29">
        <v>30.155999999999999</v>
      </c>
      <c r="AH22" s="29">
        <v>26.998999999999999</v>
      </c>
      <c r="AI22" s="29">
        <v>31.808</v>
      </c>
      <c r="AJ22" s="29">
        <v>34.243000000000002</v>
      </c>
      <c r="AK22" s="29">
        <v>34.017000000000003</v>
      </c>
      <c r="AL22" s="29">
        <v>33.168999999999997</v>
      </c>
      <c r="AM22" s="29">
        <v>34.506</v>
      </c>
    </row>
    <row r="23" spans="2:39" ht="12" customHeight="1" x14ac:dyDescent="0.25">
      <c r="B23" s="147" t="s">
        <v>264</v>
      </c>
      <c r="C23" s="8" t="s">
        <v>280</v>
      </c>
      <c r="D23" s="29">
        <v>0.16600000000000001</v>
      </c>
      <c r="E23" s="29">
        <v>0.27700000000000002</v>
      </c>
      <c r="F23" s="29">
        <v>0.22</v>
      </c>
      <c r="G23" s="29">
        <v>0.16400000000000001</v>
      </c>
      <c r="H23" s="29">
        <v>0.33400000000000002</v>
      </c>
      <c r="I23" s="29">
        <v>0.51600000000000001</v>
      </c>
      <c r="J23" s="29">
        <v>0.28000000000000003</v>
      </c>
      <c r="K23" s="29">
        <v>0.45300000000000001</v>
      </c>
      <c r="L23" s="29">
        <v>0.439</v>
      </c>
      <c r="M23" s="29">
        <v>0.38700000000000001</v>
      </c>
      <c r="N23" s="29">
        <v>0.65500000000000003</v>
      </c>
      <c r="O23" s="29">
        <v>0.42199999999999999</v>
      </c>
      <c r="P23" s="29">
        <v>0.32100000000000001</v>
      </c>
      <c r="Q23" s="29">
        <v>0.49399999999999999</v>
      </c>
      <c r="R23" s="29">
        <v>0.44900000000000001</v>
      </c>
      <c r="S23" s="29">
        <v>0.47199999999999998</v>
      </c>
      <c r="T23" s="29">
        <v>0.57099999999999995</v>
      </c>
      <c r="U23" s="29">
        <v>0.64400000000000002</v>
      </c>
      <c r="V23" s="29">
        <v>0.80500000000000005</v>
      </c>
      <c r="W23" s="29">
        <v>0.46</v>
      </c>
      <c r="X23" s="29">
        <v>0.69799999999999995</v>
      </c>
      <c r="Y23" s="29">
        <v>0.86399999999999999</v>
      </c>
      <c r="Z23" s="29">
        <v>0.85899999999999999</v>
      </c>
      <c r="AA23" s="29">
        <v>0.80700000000000005</v>
      </c>
      <c r="AB23" s="29">
        <v>0.98099999999999998</v>
      </c>
      <c r="AC23" s="29">
        <v>1.149</v>
      </c>
      <c r="AD23" s="29">
        <v>0.90900000000000003</v>
      </c>
      <c r="AE23" s="29">
        <v>1.226</v>
      </c>
      <c r="AF23" s="29">
        <v>1.262</v>
      </c>
      <c r="AG23" s="29">
        <v>1.0920000000000001</v>
      </c>
      <c r="AH23" s="29">
        <v>0.86699999999999999</v>
      </c>
      <c r="AI23" s="29">
        <v>0.84299999999999997</v>
      </c>
      <c r="AJ23" s="29">
        <v>0.75600000000000001</v>
      </c>
      <c r="AK23" s="29">
        <v>1.1120000000000001</v>
      </c>
      <c r="AL23" s="29">
        <v>0.60299999999999998</v>
      </c>
      <c r="AM23" s="29">
        <v>0.77300000000000002</v>
      </c>
    </row>
    <row r="24" spans="2:39" ht="12" customHeight="1" x14ac:dyDescent="0.25">
      <c r="B24" s="147" t="s">
        <v>265</v>
      </c>
      <c r="C24" s="8" t="s">
        <v>280</v>
      </c>
      <c r="D24" s="29">
        <v>0.44600000000000001</v>
      </c>
      <c r="E24" s="29">
        <v>0.36399999999999999</v>
      </c>
      <c r="F24" s="29">
        <v>0.49299999999999999</v>
      </c>
      <c r="G24" s="29">
        <v>0.41799999999999998</v>
      </c>
      <c r="H24" s="29">
        <v>0.45800000000000002</v>
      </c>
      <c r="I24" s="29">
        <v>0.46</v>
      </c>
      <c r="J24" s="29">
        <v>0.42299999999999999</v>
      </c>
      <c r="K24" s="29">
        <v>0.375</v>
      </c>
      <c r="L24" s="29">
        <v>0.443</v>
      </c>
      <c r="M24" s="29">
        <v>0.36599999999999999</v>
      </c>
      <c r="N24" s="29">
        <v>0.66900000000000004</v>
      </c>
      <c r="O24" s="29">
        <v>0.46300000000000002</v>
      </c>
      <c r="P24" s="29">
        <v>0.44700000000000001</v>
      </c>
      <c r="Q24" s="29">
        <v>0.56299999999999994</v>
      </c>
      <c r="R24" s="29">
        <v>0.54300000000000004</v>
      </c>
      <c r="S24" s="29">
        <v>0.68700000000000006</v>
      </c>
      <c r="T24" s="29">
        <v>0.96</v>
      </c>
      <c r="U24" s="29">
        <v>1.133</v>
      </c>
      <c r="V24" s="29">
        <v>1.0780000000000001</v>
      </c>
      <c r="W24" s="29">
        <v>0.97899999999999998</v>
      </c>
      <c r="X24" s="29">
        <v>1.222</v>
      </c>
      <c r="Y24" s="29">
        <v>1.36</v>
      </c>
      <c r="Z24" s="29">
        <v>1.4670000000000001</v>
      </c>
      <c r="AA24" s="29">
        <v>1.5269999999999999</v>
      </c>
      <c r="AB24" s="29">
        <v>2.097</v>
      </c>
      <c r="AC24" s="29">
        <v>1.996</v>
      </c>
      <c r="AD24" s="29">
        <v>1.875</v>
      </c>
      <c r="AE24" s="29">
        <v>1.7010000000000001</v>
      </c>
      <c r="AF24" s="29">
        <v>1.6220000000000001</v>
      </c>
      <c r="AG24" s="29">
        <v>1.86</v>
      </c>
      <c r="AH24" s="29">
        <v>1.667</v>
      </c>
      <c r="AI24" s="29">
        <v>1.6830000000000001</v>
      </c>
      <c r="AJ24" s="29">
        <v>1.82</v>
      </c>
      <c r="AK24" s="29">
        <v>2.3650000000000002</v>
      </c>
      <c r="AL24" s="29">
        <v>1.7649999999999999</v>
      </c>
      <c r="AM24" s="29">
        <v>1.98</v>
      </c>
    </row>
    <row r="25" spans="2:39" ht="12" customHeight="1" x14ac:dyDescent="0.25">
      <c r="B25" s="147" t="s">
        <v>223</v>
      </c>
      <c r="C25" s="8" t="s">
        <v>280</v>
      </c>
      <c r="D25" s="29">
        <v>1.6080000000000001</v>
      </c>
      <c r="E25" s="29">
        <v>1.952</v>
      </c>
      <c r="F25" s="29">
        <v>1.7609999999999999</v>
      </c>
      <c r="G25" s="29">
        <v>1.7210000000000001</v>
      </c>
      <c r="H25" s="29">
        <v>1.9339999999999999</v>
      </c>
      <c r="I25" s="29">
        <v>2.149</v>
      </c>
      <c r="J25" s="29">
        <v>2.3769999999999998</v>
      </c>
      <c r="K25" s="29">
        <v>2.371</v>
      </c>
      <c r="L25" s="29">
        <v>2.3380000000000001</v>
      </c>
      <c r="M25" s="29">
        <v>2.476</v>
      </c>
      <c r="N25" s="29">
        <v>2.2839999999999998</v>
      </c>
      <c r="O25" s="29">
        <v>1.772</v>
      </c>
      <c r="P25" s="29">
        <v>1.7949999999999999</v>
      </c>
      <c r="Q25" s="29">
        <v>1.972</v>
      </c>
      <c r="R25" s="29">
        <v>2.1880000000000002</v>
      </c>
      <c r="S25" s="29">
        <v>2.117</v>
      </c>
      <c r="T25" s="29">
        <v>2.17</v>
      </c>
      <c r="U25" s="29">
        <v>2.3029999999999999</v>
      </c>
      <c r="V25" s="29">
        <v>2.194</v>
      </c>
      <c r="W25" s="29">
        <v>2.7829999999999999</v>
      </c>
      <c r="X25" s="29">
        <v>2.4329999999999998</v>
      </c>
      <c r="Y25" s="29">
        <v>2.6389999999999998</v>
      </c>
      <c r="Z25" s="29">
        <v>2.7919999999999998</v>
      </c>
      <c r="AA25" s="29">
        <v>3.6850000000000001</v>
      </c>
      <c r="AB25" s="29">
        <v>3.5680000000000001</v>
      </c>
      <c r="AC25" s="29">
        <v>3.1339999999999999</v>
      </c>
      <c r="AD25" s="29">
        <v>3.3290000000000002</v>
      </c>
      <c r="AE25" s="29">
        <v>3.5739999999999998</v>
      </c>
      <c r="AF25" s="29">
        <v>3.3839999999999999</v>
      </c>
      <c r="AG25" s="29">
        <v>3.2429999999999999</v>
      </c>
      <c r="AH25" s="29">
        <v>2.9590000000000001</v>
      </c>
      <c r="AI25" s="29">
        <v>3.6269999999999998</v>
      </c>
      <c r="AJ25" s="29">
        <v>2.7829999999999999</v>
      </c>
      <c r="AK25" s="29">
        <v>3.3109999999999999</v>
      </c>
      <c r="AL25" s="29">
        <v>3.02</v>
      </c>
      <c r="AM25" s="29">
        <v>3.1070000000000002</v>
      </c>
    </row>
    <row r="26" spans="2:39" ht="12" customHeight="1" x14ac:dyDescent="0.25">
      <c r="B26" s="147" t="s">
        <v>43</v>
      </c>
      <c r="C26" s="8" t="s">
        <v>280</v>
      </c>
      <c r="D26" s="29">
        <v>1.472</v>
      </c>
      <c r="E26" s="29">
        <v>1.2809999999999999</v>
      </c>
      <c r="F26" s="29">
        <v>0.57699999999999996</v>
      </c>
      <c r="G26" s="29">
        <v>0.34</v>
      </c>
      <c r="H26" s="29">
        <v>0.47899999999999998</v>
      </c>
      <c r="I26" s="29">
        <v>1.115</v>
      </c>
      <c r="J26" s="29">
        <v>0.98799999999999999</v>
      </c>
      <c r="K26" s="29">
        <v>1.196</v>
      </c>
      <c r="L26" s="29">
        <v>1.4450000000000001</v>
      </c>
      <c r="M26" s="29">
        <v>1.157</v>
      </c>
      <c r="N26" s="29">
        <v>1.665</v>
      </c>
      <c r="O26" s="29">
        <v>1.8560000000000001</v>
      </c>
      <c r="P26" s="29">
        <v>1.617</v>
      </c>
      <c r="Q26" s="29">
        <v>2.024</v>
      </c>
      <c r="R26" s="29">
        <v>2.1040000000000001</v>
      </c>
      <c r="S26" s="29">
        <v>2.2970000000000002</v>
      </c>
      <c r="T26" s="29">
        <v>2.4209999999999998</v>
      </c>
      <c r="U26" s="29">
        <v>2.665</v>
      </c>
      <c r="V26" s="29">
        <v>2.46</v>
      </c>
      <c r="W26" s="29">
        <v>2.17</v>
      </c>
      <c r="X26" s="29">
        <v>2.81</v>
      </c>
      <c r="Y26" s="29">
        <v>2.5939999999999999</v>
      </c>
      <c r="Z26" s="29">
        <v>2.952</v>
      </c>
      <c r="AA26" s="29">
        <v>3.121</v>
      </c>
      <c r="AB26" s="29">
        <v>3.456</v>
      </c>
      <c r="AC26" s="29">
        <v>2.8639999999999999</v>
      </c>
      <c r="AD26" s="29">
        <v>2.6240000000000001</v>
      </c>
      <c r="AE26" s="29">
        <v>2.9980000000000002</v>
      </c>
      <c r="AF26" s="29">
        <v>2.3180000000000001</v>
      </c>
      <c r="AG26" s="29">
        <v>1.738</v>
      </c>
      <c r="AH26" s="29">
        <v>1.917</v>
      </c>
      <c r="AI26" s="29">
        <v>2.016</v>
      </c>
      <c r="AJ26" s="29">
        <v>2.1539999999999999</v>
      </c>
      <c r="AK26" s="29">
        <v>2.74</v>
      </c>
      <c r="AL26" s="29">
        <v>2.395</v>
      </c>
      <c r="AM26" s="29">
        <v>2.2559999999999998</v>
      </c>
    </row>
    <row r="27" spans="2:39" ht="12" customHeight="1" x14ac:dyDescent="0.25">
      <c r="B27" s="147" t="s">
        <v>266</v>
      </c>
      <c r="C27" s="8" t="s">
        <v>280</v>
      </c>
      <c r="D27" s="29">
        <v>4.3460000000000001</v>
      </c>
      <c r="E27" s="29">
        <v>3.8140000000000001</v>
      </c>
      <c r="F27" s="29">
        <v>4.9870000000000001</v>
      </c>
      <c r="G27" s="29">
        <v>5.1609999999999996</v>
      </c>
      <c r="H27" s="29">
        <v>6.0670000000000002</v>
      </c>
      <c r="I27" s="29">
        <v>7.641</v>
      </c>
      <c r="J27" s="29">
        <v>8.4039999999999999</v>
      </c>
      <c r="K27" s="29">
        <v>7.968</v>
      </c>
      <c r="L27" s="29">
        <v>8.9139999999999997</v>
      </c>
      <c r="M27" s="29">
        <v>9.0540000000000003</v>
      </c>
      <c r="N27" s="29">
        <v>11.037000000000001</v>
      </c>
      <c r="O27" s="29">
        <v>10.159000000000001</v>
      </c>
      <c r="P27" s="29">
        <v>11.212999999999999</v>
      </c>
      <c r="Q27" s="29">
        <v>11.845000000000001</v>
      </c>
      <c r="R27" s="29">
        <v>13.247999999999999</v>
      </c>
      <c r="S27" s="29">
        <v>13.516</v>
      </c>
      <c r="T27" s="29">
        <v>15.199</v>
      </c>
      <c r="U27" s="29">
        <v>15.276</v>
      </c>
      <c r="V27" s="29">
        <v>15.603</v>
      </c>
      <c r="W27" s="29">
        <v>16.829000000000001</v>
      </c>
      <c r="X27" s="29">
        <v>15.965999999999999</v>
      </c>
      <c r="Y27" s="29">
        <v>15.202</v>
      </c>
      <c r="Z27" s="29">
        <v>16.972000000000001</v>
      </c>
      <c r="AA27" s="29">
        <v>19.86</v>
      </c>
      <c r="AB27" s="29">
        <v>23.166</v>
      </c>
      <c r="AC27" s="29">
        <v>22.254000000000001</v>
      </c>
      <c r="AD27" s="29">
        <v>23.38</v>
      </c>
      <c r="AE27" s="29">
        <v>23.934000000000001</v>
      </c>
      <c r="AF27" s="29">
        <v>20.731000000000002</v>
      </c>
      <c r="AG27" s="29">
        <v>22.777999999999999</v>
      </c>
      <c r="AH27" s="29">
        <v>17.542000000000002</v>
      </c>
      <c r="AI27" s="29">
        <v>24.337</v>
      </c>
      <c r="AJ27" s="29">
        <v>22.128</v>
      </c>
      <c r="AK27" s="29">
        <v>23.576000000000001</v>
      </c>
      <c r="AL27" s="29">
        <v>22.747</v>
      </c>
      <c r="AM27" s="29">
        <v>22.562999999999999</v>
      </c>
    </row>
    <row r="28" spans="2:39" ht="12" customHeight="1" x14ac:dyDescent="0.25">
      <c r="B28" s="147" t="s">
        <v>267</v>
      </c>
      <c r="C28" s="8" t="s">
        <v>280</v>
      </c>
      <c r="D28" s="29">
        <v>4.1779999999999999</v>
      </c>
      <c r="E28" s="29">
        <v>4.4729999999999999</v>
      </c>
      <c r="F28" s="29">
        <v>4.9960000000000004</v>
      </c>
      <c r="G28" s="29">
        <v>4.0910000000000002</v>
      </c>
      <c r="H28" s="29">
        <v>4.4580000000000002</v>
      </c>
      <c r="I28" s="29">
        <v>4.6390000000000002</v>
      </c>
      <c r="J28" s="29">
        <v>4.4580000000000002</v>
      </c>
      <c r="K28" s="29">
        <v>4.92</v>
      </c>
      <c r="L28" s="29">
        <v>4.71</v>
      </c>
      <c r="M28" s="29">
        <v>5.5629999999999997</v>
      </c>
      <c r="N28" s="29">
        <v>5.6740000000000004</v>
      </c>
      <c r="O28" s="29">
        <v>5.5259999999999998</v>
      </c>
      <c r="P28" s="29">
        <v>5.76</v>
      </c>
      <c r="Q28" s="29">
        <v>5.8869999999999996</v>
      </c>
      <c r="R28" s="29">
        <v>6.47</v>
      </c>
      <c r="S28" s="29">
        <v>6.633</v>
      </c>
      <c r="T28" s="29">
        <v>7.5469999999999997</v>
      </c>
      <c r="U28" s="29">
        <v>9.0310000000000006</v>
      </c>
      <c r="V28" s="29">
        <v>9.4149999999999991</v>
      </c>
      <c r="W28" s="29">
        <v>9.9420000000000002</v>
      </c>
      <c r="X28" s="29">
        <v>9.5719999999999992</v>
      </c>
      <c r="Y28" s="29">
        <v>9.43</v>
      </c>
      <c r="Z28" s="29">
        <v>7.25</v>
      </c>
      <c r="AA28" s="29">
        <v>4.1159999999999997</v>
      </c>
      <c r="AB28" s="29">
        <v>4.75</v>
      </c>
      <c r="AC28" s="29">
        <v>4.0140000000000002</v>
      </c>
      <c r="AD28" s="29">
        <v>4.2309999999999999</v>
      </c>
      <c r="AE28" s="29">
        <v>4.2519999999999998</v>
      </c>
      <c r="AF28" s="29">
        <v>4.2930000000000001</v>
      </c>
      <c r="AG28" s="29">
        <v>4.6059999999999999</v>
      </c>
      <c r="AH28" s="29">
        <v>4.6319999999999997</v>
      </c>
      <c r="AI28" s="29">
        <v>5.4870000000000001</v>
      </c>
      <c r="AJ28" s="29">
        <v>4.9489999999999998</v>
      </c>
      <c r="AK28" s="29">
        <v>5.0960000000000001</v>
      </c>
      <c r="AL28" s="29">
        <v>4.532</v>
      </c>
      <c r="AM28" s="29">
        <v>4.2309999999999999</v>
      </c>
    </row>
    <row r="29" spans="2:39" ht="12" customHeight="1" x14ac:dyDescent="0.25">
      <c r="B29" s="150" t="s">
        <v>268</v>
      </c>
      <c r="C29" s="8" t="s">
        <v>280</v>
      </c>
      <c r="D29" s="29">
        <v>23.244</v>
      </c>
      <c r="E29" s="29">
        <v>25.305</v>
      </c>
      <c r="F29" s="29">
        <v>25.545000000000002</v>
      </c>
      <c r="G29" s="29">
        <v>24.667999999999999</v>
      </c>
      <c r="H29" s="29">
        <v>26.998999999999999</v>
      </c>
      <c r="I29" s="29">
        <v>30.870999999999999</v>
      </c>
      <c r="J29" s="29">
        <v>30.113</v>
      </c>
      <c r="K29" s="29">
        <v>31.148</v>
      </c>
      <c r="L29" s="29">
        <v>33.176000000000002</v>
      </c>
      <c r="M29" s="29">
        <v>34.832999999999998</v>
      </c>
      <c r="N29" s="29">
        <v>37.718000000000004</v>
      </c>
      <c r="O29" s="29">
        <v>35.770000000000003</v>
      </c>
      <c r="P29" s="29">
        <v>38.710999999999999</v>
      </c>
      <c r="Q29" s="29">
        <v>40.930999999999997</v>
      </c>
      <c r="R29" s="29">
        <v>49.448999999999998</v>
      </c>
      <c r="S29" s="29">
        <v>55.576000000000001</v>
      </c>
      <c r="T29" s="29">
        <v>59.271000000000001</v>
      </c>
      <c r="U29" s="29">
        <v>64.959000000000003</v>
      </c>
      <c r="V29" s="29">
        <v>61.372999999999998</v>
      </c>
      <c r="W29" s="29">
        <v>59.899000000000001</v>
      </c>
      <c r="X29" s="29">
        <v>67.16</v>
      </c>
      <c r="Y29" s="29">
        <v>64.677000000000007</v>
      </c>
      <c r="Z29" s="29">
        <v>69.826999999999998</v>
      </c>
      <c r="AA29" s="29">
        <v>67.867000000000004</v>
      </c>
      <c r="AB29" s="29">
        <v>76.688999999999993</v>
      </c>
      <c r="AC29" s="29">
        <v>67.769000000000005</v>
      </c>
      <c r="AD29" s="29">
        <v>68.266999999999996</v>
      </c>
      <c r="AE29" s="29">
        <v>69.453999999999994</v>
      </c>
      <c r="AF29" s="29">
        <v>68.314999999999998</v>
      </c>
      <c r="AG29" s="29">
        <v>65.472999999999999</v>
      </c>
      <c r="AH29" s="29">
        <v>56.584000000000003</v>
      </c>
      <c r="AI29" s="29">
        <v>69.801000000000002</v>
      </c>
      <c r="AJ29" s="29">
        <v>68.832999999999998</v>
      </c>
      <c r="AK29" s="29">
        <v>72.218000000000004</v>
      </c>
      <c r="AL29" s="29">
        <v>68.230999999999995</v>
      </c>
      <c r="AM29" s="29">
        <v>69.417000000000002</v>
      </c>
    </row>
    <row r="30" spans="2:39" ht="12" customHeight="1" x14ac:dyDescent="0.25">
      <c r="B30" s="164" t="s">
        <v>269</v>
      </c>
      <c r="C30" s="8" t="s">
        <v>280</v>
      </c>
      <c r="D30" s="29">
        <v>3.0000000000000001E-3</v>
      </c>
      <c r="E30" s="29">
        <v>0.01</v>
      </c>
      <c r="F30" s="29">
        <v>3.0000000000000001E-3</v>
      </c>
      <c r="G30" s="29">
        <v>3.0000000000000001E-3</v>
      </c>
      <c r="H30" s="29">
        <v>2.4E-2</v>
      </c>
      <c r="I30" s="29">
        <v>0.26600000000000001</v>
      </c>
      <c r="J30" s="29">
        <v>5.0000000000000001E-3</v>
      </c>
      <c r="K30" s="29">
        <v>1.6E-2</v>
      </c>
      <c r="L30" s="29">
        <v>7.0000000000000001E-3</v>
      </c>
      <c r="M30" s="29">
        <v>2.4E-2</v>
      </c>
      <c r="N30" s="29">
        <v>6.0000000000000001E-3</v>
      </c>
      <c r="O30" s="29">
        <v>3.0000000000000001E-3</v>
      </c>
      <c r="P30" s="29">
        <v>0.193</v>
      </c>
      <c r="Q30" s="29">
        <v>0.01</v>
      </c>
      <c r="R30" s="29">
        <v>1.2E-2</v>
      </c>
      <c r="S30" s="29">
        <v>1.2999999999999999E-2</v>
      </c>
      <c r="T30" s="29">
        <v>1.7999999999999999E-2</v>
      </c>
      <c r="U30" s="29">
        <v>1.7000000000000001E-2</v>
      </c>
      <c r="V30" s="29">
        <v>0.11700000000000001</v>
      </c>
      <c r="W30" s="29">
        <v>1.6E-2</v>
      </c>
      <c r="X30" s="29">
        <v>2.4E-2</v>
      </c>
      <c r="Y30" s="29">
        <v>4.0000000000000001E-3</v>
      </c>
      <c r="Z30" s="29">
        <v>8.9999999999999993E-3</v>
      </c>
      <c r="AA30" s="29">
        <v>2.1999999999999999E-2</v>
      </c>
      <c r="AB30" s="29">
        <v>0.01</v>
      </c>
      <c r="AC30" s="29">
        <v>0.02</v>
      </c>
      <c r="AD30" s="29">
        <v>2.9000000000000001E-2</v>
      </c>
      <c r="AE30" s="29">
        <v>0.02</v>
      </c>
      <c r="AF30" s="29">
        <v>2.7E-2</v>
      </c>
      <c r="AG30" s="29">
        <v>1.2E-2</v>
      </c>
      <c r="AH30" s="29">
        <v>5.0000000000000001E-3</v>
      </c>
      <c r="AI30" s="29">
        <v>7.0000000000000001E-3</v>
      </c>
      <c r="AJ30" s="29">
        <v>8.0000000000000002E-3</v>
      </c>
      <c r="AK30" s="29">
        <v>4.0000000000000001E-3</v>
      </c>
      <c r="AL30" s="29">
        <v>4.0000000000000001E-3</v>
      </c>
      <c r="AM30" s="29">
        <v>6.0000000000000001E-3</v>
      </c>
    </row>
    <row r="31" spans="2:39" ht="12" customHeight="1" x14ac:dyDescent="0.25">
      <c r="B31" s="165" t="s">
        <v>277</v>
      </c>
      <c r="C31" s="14" t="s">
        <v>280</v>
      </c>
      <c r="D31" s="29">
        <v>94.668000000000006</v>
      </c>
      <c r="E31" s="29">
        <v>93.117000000000004</v>
      </c>
      <c r="F31" s="29">
        <v>102.6</v>
      </c>
      <c r="G31" s="29">
        <v>100.84699999999999</v>
      </c>
      <c r="H31" s="29">
        <v>112.67</v>
      </c>
      <c r="I31" s="29">
        <v>117.276</v>
      </c>
      <c r="J31" s="29">
        <v>112.706</v>
      </c>
      <c r="K31" s="29">
        <v>121.401</v>
      </c>
      <c r="L31" s="29">
        <v>124.044</v>
      </c>
      <c r="M31" s="29">
        <v>132.39599999999999</v>
      </c>
      <c r="N31" s="29">
        <v>139.06200000000001</v>
      </c>
      <c r="O31" s="29">
        <v>143.738</v>
      </c>
      <c r="P31" s="29">
        <v>146.054</v>
      </c>
      <c r="Q31" s="29">
        <v>164.44</v>
      </c>
      <c r="R31" s="29">
        <v>187.83600000000001</v>
      </c>
      <c r="S31" s="29">
        <v>186.215</v>
      </c>
      <c r="T31" s="29">
        <v>188.31200000000001</v>
      </c>
      <c r="U31" s="29">
        <v>198.42400000000001</v>
      </c>
      <c r="V31" s="29">
        <v>198.273</v>
      </c>
      <c r="W31" s="29">
        <v>193.31200000000001</v>
      </c>
      <c r="X31" s="29">
        <v>207.43899999999999</v>
      </c>
      <c r="Y31" s="29">
        <v>211.779</v>
      </c>
      <c r="Z31" s="29">
        <v>214.244</v>
      </c>
      <c r="AA31" s="29">
        <v>228.39099999999999</v>
      </c>
      <c r="AB31" s="29">
        <v>237.511</v>
      </c>
      <c r="AC31" s="29">
        <v>227.61199999999999</v>
      </c>
      <c r="AD31" s="29">
        <v>222.77799999999999</v>
      </c>
      <c r="AE31" s="29">
        <v>226.386</v>
      </c>
      <c r="AF31" s="29">
        <v>221.589</v>
      </c>
      <c r="AG31" s="29">
        <v>221.46600000000001</v>
      </c>
      <c r="AH31" s="29">
        <v>207.047</v>
      </c>
      <c r="AI31" s="29">
        <v>222.29</v>
      </c>
      <c r="AJ31" s="29">
        <v>225.80600000000001</v>
      </c>
      <c r="AK31" s="29">
        <v>230.56</v>
      </c>
      <c r="AL31" s="29">
        <v>215.23099999999999</v>
      </c>
      <c r="AM31" s="29">
        <v>227.12200000000001</v>
      </c>
    </row>
    <row r="32" spans="2:39" ht="42.75" customHeight="1" x14ac:dyDescent="0.25">
      <c r="B32" s="328" t="s">
        <v>523</v>
      </c>
      <c r="C32" s="328"/>
      <c r="D32" s="328"/>
      <c r="E32" s="328"/>
      <c r="F32" s="328"/>
      <c r="G32" s="328"/>
      <c r="H32" s="328"/>
      <c r="I32" s="328"/>
      <c r="J32" s="328"/>
      <c r="K32" s="328"/>
      <c r="L32" s="328"/>
      <c r="M32" s="328"/>
      <c r="N32" s="328"/>
      <c r="O32" s="328"/>
      <c r="P32" s="328"/>
      <c r="Q32" s="328"/>
      <c r="R32" s="328"/>
      <c r="S32" s="328"/>
      <c r="T32" s="328"/>
      <c r="U32" s="328"/>
      <c r="V32" s="328"/>
      <c r="W32" s="328"/>
      <c r="X32" s="328"/>
      <c r="Y32" s="328"/>
      <c r="Z32" s="328"/>
      <c r="AA32" s="328"/>
      <c r="AB32" s="328"/>
      <c r="AC32" s="328"/>
      <c r="AD32" s="328"/>
      <c r="AE32" s="328"/>
      <c r="AF32" s="328"/>
      <c r="AG32" s="328"/>
      <c r="AH32" s="328"/>
      <c r="AI32" s="328"/>
      <c r="AJ32" s="328"/>
      <c r="AK32" s="328"/>
      <c r="AL32" s="328"/>
      <c r="AM32" s="296"/>
    </row>
  </sheetData>
  <mergeCells count="1">
    <mergeCell ref="B32:AL32"/>
  </mergeCells>
  <conditionalFormatting sqref="B6:AI6 B7 B9:B10 B11:D11 B21 B22:D22 G22:AL22 B23:AL31 B32">
    <cfRule type="cellIs" dxfId="83" priority="13" stopIfTrue="1" operator="between">
      <formula>-99.999999999999</formula>
      <formula>99.999999999999</formula>
    </cfRule>
    <cfRule type="cellIs" dxfId="82" priority="14" stopIfTrue="1" operator="greaterThanOrEqual">
      <formula>100</formula>
    </cfRule>
  </conditionalFormatting>
  <conditionalFormatting sqref="B6:AL10 B11:D11 B12:AL21 B22:D22 F22:AL22 B23:AL32 F11:AL11">
    <cfRule type="cellIs" dxfId="81" priority="15" stopIfTrue="1" operator="equal">
      <formula>0</formula>
    </cfRule>
  </conditionalFormatting>
  <conditionalFormatting sqref="B6:AL10 B11:D11 F11:AL11 B12:AL21 B22:D22 F22:AL22 B23:AL32">
    <cfRule type="cellIs" dxfId="80" priority="16" stopIfTrue="1" operator="lessThanOrEqual">
      <formula>-100</formula>
    </cfRule>
    <cfRule type="cellIs" dxfId="79" priority="17" stopIfTrue="1" operator="between">
      <formula>-99.999999999999</formula>
      <formula>99.999999999999</formula>
    </cfRule>
    <cfRule type="cellIs" dxfId="78" priority="18" stopIfTrue="1" operator="greaterThanOrEqual">
      <formula>100</formula>
    </cfRule>
  </conditionalFormatting>
  <conditionalFormatting sqref="B12:AM20">
    <cfRule type="cellIs" dxfId="77" priority="1" stopIfTrue="1" operator="between">
      <formula>-99.999999999999</formula>
      <formula>99.999999999999</formula>
    </cfRule>
    <cfRule type="cellIs" dxfId="76" priority="2" stopIfTrue="1" operator="greaterThanOrEqual">
      <formula>100</formula>
    </cfRule>
  </conditionalFormatting>
  <conditionalFormatting sqref="G11:AM11">
    <cfRule type="cellIs" dxfId="75" priority="3" stopIfTrue="1" operator="between">
      <formula>-99.999999999999</formula>
      <formula>99.999999999999</formula>
    </cfRule>
    <cfRule type="cellIs" dxfId="74" priority="4" stopIfTrue="1" operator="greaterThanOrEqual">
      <formula>100</formula>
    </cfRule>
  </conditionalFormatting>
  <conditionalFormatting sqref="AL6:AM6 C8:AM8 AM22:AM31">
    <cfRule type="cellIs" dxfId="73" priority="5" stopIfTrue="1" operator="between">
      <formula>-99.999999999999</formula>
      <formula>99.999999999999</formula>
    </cfRule>
    <cfRule type="cellIs" dxfId="72" priority="6" stopIfTrue="1" operator="greaterThanOrEqual">
      <formula>100</formula>
    </cfRule>
  </conditionalFormatting>
  <conditionalFormatting sqref="AM6:AM32">
    <cfRule type="cellIs" dxfId="71" priority="7" stopIfTrue="1" operator="equal">
      <formula>0</formula>
    </cfRule>
    <cfRule type="cellIs" dxfId="70" priority="8" stopIfTrue="1" operator="lessThanOrEqual">
      <formula>-100</formula>
    </cfRule>
    <cfRule type="cellIs" dxfId="69" priority="9" stopIfTrue="1" operator="between">
      <formula>-99.999999999999</formula>
      <formula>99.999999999999</formula>
    </cfRule>
    <cfRule type="cellIs" dxfId="68" priority="10" stopIfTrue="1" operator="greaterThanOrEqual">
      <formula>100</formula>
    </cfRule>
  </conditionalFormatting>
  <pageMargins left="0.7" right="0.7" top="0.75" bottom="0.75" header="0.3" footer="0.3"/>
  <pageSetup paperSize="9" scale="24"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9A0F-6E19-4DCB-BC96-8D34E81DB679}">
  <sheetPr>
    <pageSetUpPr fitToPage="1"/>
  </sheetPr>
  <dimension ref="B6:AM39"/>
  <sheetViews>
    <sheetView zoomScaleNormal="100" workbookViewId="0"/>
  </sheetViews>
  <sheetFormatPr defaultColWidth="9.140625" defaultRowHeight="15" x14ac:dyDescent="0.25"/>
  <cols>
    <col min="1" max="1" width="9.140625" style="20"/>
    <col min="2" max="2" width="20.42578125" style="20" customWidth="1"/>
    <col min="3" max="17" width="9" style="20" customWidth="1"/>
    <col min="18" max="18" width="8.42578125" style="20" customWidth="1"/>
    <col min="19" max="30" width="9" style="20" customWidth="1"/>
    <col min="31" max="39" width="8.42578125" style="20" customWidth="1"/>
    <col min="40" max="16384" width="9.140625" style="20"/>
  </cols>
  <sheetData>
    <row r="6" spans="2:39" ht="9.75" customHeight="1" x14ac:dyDescent="0.25">
      <c r="B6" s="17"/>
      <c r="C6" s="19"/>
      <c r="D6" s="19"/>
      <c r="E6" s="19"/>
      <c r="F6" s="19"/>
      <c r="G6" s="17"/>
      <c r="H6" s="17"/>
      <c r="I6" s="17"/>
      <c r="J6" s="17"/>
      <c r="K6" s="17"/>
      <c r="L6" s="17"/>
      <c r="M6" s="17"/>
      <c r="N6" s="17"/>
      <c r="O6" s="17"/>
      <c r="P6" s="17"/>
      <c r="Q6" s="17"/>
      <c r="R6" s="17"/>
      <c r="S6" s="17"/>
      <c r="T6" s="17"/>
      <c r="U6" s="17"/>
      <c r="V6" s="17"/>
      <c r="W6" s="17"/>
      <c r="X6" s="17"/>
      <c r="Y6" s="17"/>
      <c r="Z6" s="17"/>
      <c r="AA6" s="17"/>
      <c r="AB6" s="17"/>
      <c r="AC6" s="17"/>
      <c r="AD6" s="17"/>
      <c r="AE6" s="118"/>
      <c r="AF6" s="118"/>
      <c r="AG6" s="118"/>
      <c r="AH6" s="119"/>
      <c r="AI6" s="119"/>
      <c r="AJ6" s="119"/>
      <c r="AK6" s="118"/>
      <c r="AL6" s="171"/>
      <c r="AM6" s="171" t="s">
        <v>0</v>
      </c>
    </row>
    <row r="7" spans="2:39" ht="27" customHeight="1" x14ac:dyDescent="0.25">
      <c r="B7" s="25" t="s">
        <v>281</v>
      </c>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row>
    <row r="8" spans="2:39" ht="12.6" customHeight="1" x14ac:dyDescent="0.25">
      <c r="B8" s="161" t="s">
        <v>2</v>
      </c>
      <c r="C8" s="141" t="s">
        <v>3</v>
      </c>
      <c r="D8" s="141" t="s">
        <v>157</v>
      </c>
      <c r="E8" s="141" t="s">
        <v>158</v>
      </c>
      <c r="F8" s="141" t="s">
        <v>159</v>
      </c>
      <c r="G8" s="141" t="s">
        <v>160</v>
      </c>
      <c r="H8" s="141" t="s">
        <v>161</v>
      </c>
      <c r="I8" s="141" t="s">
        <v>162</v>
      </c>
      <c r="J8" s="141" t="s">
        <v>163</v>
      </c>
      <c r="K8" s="141" t="s">
        <v>164</v>
      </c>
      <c r="L8" s="141" t="s">
        <v>165</v>
      </c>
      <c r="M8" s="141" t="s">
        <v>166</v>
      </c>
      <c r="N8" s="141" t="s">
        <v>167</v>
      </c>
      <c r="O8" s="141" t="s">
        <v>168</v>
      </c>
      <c r="P8" s="141" t="s">
        <v>169</v>
      </c>
      <c r="Q8" s="141" t="s">
        <v>170</v>
      </c>
      <c r="R8" s="141" t="s">
        <v>171</v>
      </c>
      <c r="S8" s="141" t="s">
        <v>172</v>
      </c>
      <c r="T8" s="141" t="s">
        <v>173</v>
      </c>
      <c r="U8" s="141" t="s">
        <v>174</v>
      </c>
      <c r="V8" s="141" t="s">
        <v>175</v>
      </c>
      <c r="W8" s="141" t="s">
        <v>176</v>
      </c>
      <c r="X8" s="141" t="s">
        <v>177</v>
      </c>
      <c r="Y8" s="141" t="s">
        <v>178</v>
      </c>
      <c r="Z8" s="141" t="s">
        <v>179</v>
      </c>
      <c r="AA8" s="141" t="s">
        <v>180</v>
      </c>
      <c r="AB8" s="141" t="s">
        <v>181</v>
      </c>
      <c r="AC8" s="141" t="s">
        <v>182</v>
      </c>
      <c r="AD8" s="141" t="s">
        <v>183</v>
      </c>
      <c r="AE8" s="141" t="s">
        <v>184</v>
      </c>
      <c r="AF8" s="141" t="s">
        <v>185</v>
      </c>
      <c r="AG8" s="141" t="s">
        <v>186</v>
      </c>
      <c r="AH8" s="141" t="s">
        <v>187</v>
      </c>
      <c r="AI8" s="141" t="s">
        <v>188</v>
      </c>
      <c r="AJ8" s="141" t="s">
        <v>189</v>
      </c>
      <c r="AK8" s="141" t="s">
        <v>190</v>
      </c>
      <c r="AL8" s="141" t="s">
        <v>191</v>
      </c>
      <c r="AM8" s="141" t="s">
        <v>548</v>
      </c>
    </row>
    <row r="9" spans="2:39" ht="12" customHeight="1" x14ac:dyDescent="0.25">
      <c r="B9" s="167" t="s">
        <v>282</v>
      </c>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167"/>
      <c r="AH9" s="167"/>
      <c r="AI9" s="167"/>
      <c r="AJ9" s="167"/>
      <c r="AK9" s="167"/>
      <c r="AL9" s="167"/>
      <c r="AM9" s="154"/>
    </row>
    <row r="10" spans="2:39" ht="12" customHeight="1" x14ac:dyDescent="0.25">
      <c r="B10" s="168" t="s">
        <v>304</v>
      </c>
      <c r="C10" s="144"/>
      <c r="D10" s="144"/>
      <c r="E10" s="144"/>
      <c r="F10" s="144"/>
      <c r="G10" s="144"/>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4"/>
      <c r="AM10" s="144"/>
    </row>
    <row r="11" spans="2:39" ht="12" customHeight="1" x14ac:dyDescent="0.25">
      <c r="B11" s="169" t="s">
        <v>283</v>
      </c>
      <c r="C11" s="8" t="s">
        <v>258</v>
      </c>
      <c r="D11" s="32">
        <v>60.854999999999997</v>
      </c>
      <c r="E11" s="19">
        <v>71.186000000000007</v>
      </c>
      <c r="F11" s="29">
        <v>90.733999999999995</v>
      </c>
      <c r="G11" s="146">
        <v>142.404</v>
      </c>
      <c r="H11" s="146">
        <v>187.38300000000001</v>
      </c>
      <c r="I11" s="146">
        <v>207.99799999999999</v>
      </c>
      <c r="J11" s="146">
        <v>238.815</v>
      </c>
      <c r="K11" s="146">
        <v>239.75700000000001</v>
      </c>
      <c r="L11" s="146">
        <v>241.75299999999999</v>
      </c>
      <c r="M11" s="146">
        <v>252.45599999999999</v>
      </c>
      <c r="N11" s="146">
        <v>355.57400000000001</v>
      </c>
      <c r="O11" s="146">
        <v>471.274</v>
      </c>
      <c r="P11" s="146">
        <v>473.577</v>
      </c>
      <c r="Q11" s="146">
        <v>400.14699999999999</v>
      </c>
      <c r="R11" s="146">
        <v>419.88200000000001</v>
      </c>
      <c r="S11" s="146">
        <v>391.90699999999998</v>
      </c>
      <c r="T11" s="146">
        <v>434.22800000000001</v>
      </c>
      <c r="U11" s="146">
        <v>485.87099999999998</v>
      </c>
      <c r="V11" s="146">
        <v>467.09199999999998</v>
      </c>
      <c r="W11" s="146">
        <v>570.10500000000002</v>
      </c>
      <c r="X11" s="146">
        <v>530.03099999999995</v>
      </c>
      <c r="Y11" s="146">
        <v>425.94600000000003</v>
      </c>
      <c r="Z11" s="146">
        <v>479.09199999999998</v>
      </c>
      <c r="AA11" s="146">
        <v>317.017</v>
      </c>
      <c r="AB11" s="146">
        <v>208.934</v>
      </c>
      <c r="AC11" s="146">
        <v>192.34700000000001</v>
      </c>
      <c r="AD11" s="146">
        <v>223.66300000000001</v>
      </c>
      <c r="AE11" s="146">
        <v>202.88900000000001</v>
      </c>
      <c r="AF11" s="146">
        <v>158.369</v>
      </c>
      <c r="AG11" s="146">
        <v>157.38499999999999</v>
      </c>
      <c r="AH11" s="146">
        <v>115.45099999999999</v>
      </c>
      <c r="AI11" s="146">
        <v>225.023</v>
      </c>
      <c r="AJ11" s="146">
        <v>232.09</v>
      </c>
      <c r="AK11" s="146">
        <v>225.79300000000001</v>
      </c>
      <c r="AL11" s="146">
        <v>315.47699999999998</v>
      </c>
      <c r="AM11" s="146">
        <v>221.10300000000001</v>
      </c>
    </row>
    <row r="12" spans="2:39" ht="12" customHeight="1" x14ac:dyDescent="0.25">
      <c r="B12" s="169" t="s">
        <v>284</v>
      </c>
      <c r="C12" s="8" t="s">
        <v>258</v>
      </c>
      <c r="D12" s="29">
        <v>2E-3</v>
      </c>
      <c r="E12" s="29">
        <v>0</v>
      </c>
      <c r="F12" s="29">
        <v>5.6000000000000001E-2</v>
      </c>
      <c r="G12" s="146">
        <v>7.5999999999999998E-2</v>
      </c>
      <c r="H12" s="146">
        <v>0</v>
      </c>
      <c r="I12" s="146">
        <v>9.6000000000000002E-2</v>
      </c>
      <c r="J12" s="146">
        <v>0.35899999999999999</v>
      </c>
      <c r="K12" s="146">
        <v>1.044</v>
      </c>
      <c r="L12" s="146">
        <v>1.206</v>
      </c>
      <c r="M12" s="146">
        <v>0.52800000000000002</v>
      </c>
      <c r="N12" s="146">
        <v>0.64200000000000002</v>
      </c>
      <c r="O12" s="146">
        <v>0.72299999999999998</v>
      </c>
      <c r="P12" s="146">
        <v>0.754</v>
      </c>
      <c r="Q12" s="146">
        <v>0.59599999999999997</v>
      </c>
      <c r="R12" s="146">
        <v>2.69</v>
      </c>
      <c r="S12" s="146">
        <v>10.054</v>
      </c>
      <c r="T12" s="146">
        <v>9.4380000000000006</v>
      </c>
      <c r="U12" s="146">
        <v>7.2809999999999997</v>
      </c>
      <c r="V12" s="146">
        <v>7.718</v>
      </c>
      <c r="W12" s="146">
        <v>3.2490000000000001</v>
      </c>
      <c r="X12" s="146">
        <v>4.3049999999999997</v>
      </c>
      <c r="Y12" s="146">
        <v>8.3759999999999994</v>
      </c>
      <c r="Z12" s="146">
        <v>60.463999999999999</v>
      </c>
      <c r="AA12" s="146">
        <v>293.21699999999998</v>
      </c>
      <c r="AB12" s="146">
        <v>565.64599999999996</v>
      </c>
      <c r="AC12" s="146">
        <v>715.6</v>
      </c>
      <c r="AD12" s="146">
        <v>681.68899999999996</v>
      </c>
      <c r="AE12" s="146">
        <v>574.32500000000005</v>
      </c>
      <c r="AF12" s="146">
        <v>297.62599999999998</v>
      </c>
      <c r="AG12" s="146">
        <v>27.088000000000001</v>
      </c>
      <c r="AH12" s="146">
        <v>38.305</v>
      </c>
      <c r="AI12" s="146">
        <v>70.545000000000002</v>
      </c>
      <c r="AJ12" s="146">
        <v>86.486999999999995</v>
      </c>
      <c r="AK12" s="146">
        <v>97.805999999999997</v>
      </c>
      <c r="AL12" s="146">
        <v>163.12</v>
      </c>
      <c r="AM12" s="146">
        <v>48.177</v>
      </c>
    </row>
    <row r="13" spans="2:39" ht="12" customHeight="1" x14ac:dyDescent="0.25">
      <c r="B13" s="169" t="s">
        <v>285</v>
      </c>
      <c r="C13" s="8" t="s">
        <v>258</v>
      </c>
      <c r="D13" s="29">
        <v>296.39800000000002</v>
      </c>
      <c r="E13" s="29">
        <v>355.654</v>
      </c>
      <c r="F13" s="29">
        <v>347.05700000000002</v>
      </c>
      <c r="G13" s="146">
        <v>406.00099999999998</v>
      </c>
      <c r="H13" s="146">
        <v>496.79700000000003</v>
      </c>
      <c r="I13" s="146">
        <v>445.41699999999997</v>
      </c>
      <c r="J13" s="146">
        <v>464.27800000000002</v>
      </c>
      <c r="K13" s="146">
        <v>422.822</v>
      </c>
      <c r="L13" s="146">
        <v>441.31200000000001</v>
      </c>
      <c r="M13" s="146">
        <v>448.29399999999998</v>
      </c>
      <c r="N13" s="146">
        <v>655.34699999999998</v>
      </c>
      <c r="O13" s="146">
        <v>731.28099999999995</v>
      </c>
      <c r="P13" s="146">
        <v>679.48</v>
      </c>
      <c r="Q13" s="146">
        <v>627.77200000000005</v>
      </c>
      <c r="R13" s="146">
        <v>489.15699999999998</v>
      </c>
      <c r="S13" s="146">
        <v>379.78</v>
      </c>
      <c r="T13" s="146">
        <v>370.50900000000001</v>
      </c>
      <c r="U13" s="146">
        <v>305.58199999999999</v>
      </c>
      <c r="V13" s="146">
        <v>328.06799999999998</v>
      </c>
      <c r="W13" s="146">
        <v>302.45100000000002</v>
      </c>
      <c r="X13" s="146">
        <v>215.477</v>
      </c>
      <c r="Y13" s="146">
        <v>225.874</v>
      </c>
      <c r="Z13" s="146">
        <v>254.63900000000001</v>
      </c>
      <c r="AA13" s="146">
        <v>236.01</v>
      </c>
      <c r="AB13" s="146">
        <v>192.114</v>
      </c>
      <c r="AC13" s="146">
        <v>192.06200000000001</v>
      </c>
      <c r="AD13" s="146">
        <v>205.33199999999999</v>
      </c>
      <c r="AE13" s="146">
        <v>193.72</v>
      </c>
      <c r="AF13" s="146">
        <v>174.55500000000001</v>
      </c>
      <c r="AG13" s="146">
        <v>184.82900000000001</v>
      </c>
      <c r="AH13" s="146">
        <v>196.95500000000001</v>
      </c>
      <c r="AI13" s="146">
        <v>177.43299999999999</v>
      </c>
      <c r="AJ13" s="146">
        <v>174.89699999999999</v>
      </c>
      <c r="AK13" s="146">
        <v>145.982</v>
      </c>
      <c r="AL13" s="146">
        <v>177.15299999999999</v>
      </c>
      <c r="AM13" s="146">
        <v>143.13999999999999</v>
      </c>
    </row>
    <row r="14" spans="2:39" ht="12" customHeight="1" x14ac:dyDescent="0.25">
      <c r="B14" s="169" t="s">
        <v>286</v>
      </c>
      <c r="C14" s="8" t="s">
        <v>258</v>
      </c>
      <c r="D14" s="29">
        <v>0.49</v>
      </c>
      <c r="E14" s="29">
        <v>3.7389999999999999</v>
      </c>
      <c r="F14" s="29">
        <v>0.21199999999999999</v>
      </c>
      <c r="G14" s="146">
        <v>0.75</v>
      </c>
      <c r="H14" s="146">
        <v>1.93</v>
      </c>
      <c r="I14" s="146">
        <v>6.1429999999999998</v>
      </c>
      <c r="J14" s="146">
        <v>20.652000000000001</v>
      </c>
      <c r="K14" s="146">
        <v>53.19</v>
      </c>
      <c r="L14" s="146">
        <v>119.274</v>
      </c>
      <c r="M14" s="146">
        <v>102.202</v>
      </c>
      <c r="N14" s="146">
        <v>40.597000000000001</v>
      </c>
      <c r="O14" s="146">
        <v>49.563000000000002</v>
      </c>
      <c r="P14" s="146">
        <v>71.090999999999994</v>
      </c>
      <c r="Q14" s="146">
        <v>73.123999999999995</v>
      </c>
      <c r="R14" s="146">
        <v>68.567999999999998</v>
      </c>
      <c r="S14" s="146">
        <v>107.504</v>
      </c>
      <c r="T14" s="146">
        <v>102.374</v>
      </c>
      <c r="U14" s="146">
        <v>59.347000000000001</v>
      </c>
      <c r="V14" s="146">
        <v>26.103000000000002</v>
      </c>
      <c r="W14" s="146">
        <v>29.875</v>
      </c>
      <c r="X14" s="146">
        <v>43.497999999999998</v>
      </c>
      <c r="Y14" s="146">
        <v>143.22499999999999</v>
      </c>
      <c r="Z14" s="146">
        <v>58.533000000000001</v>
      </c>
      <c r="AA14" s="146">
        <v>45.192999999999998</v>
      </c>
      <c r="AB14" s="146">
        <v>36.588000000000001</v>
      </c>
      <c r="AC14" s="146">
        <v>48.685000000000002</v>
      </c>
      <c r="AD14" s="146">
        <v>104.649</v>
      </c>
      <c r="AE14" s="146">
        <v>170.33500000000001</v>
      </c>
      <c r="AF14" s="146">
        <v>656.90800000000002</v>
      </c>
      <c r="AG14" s="146">
        <v>887.9</v>
      </c>
      <c r="AH14" s="146">
        <v>768.24</v>
      </c>
      <c r="AI14" s="146">
        <v>360.86</v>
      </c>
      <c r="AJ14" s="146">
        <v>328.25900000000001</v>
      </c>
      <c r="AK14" s="146">
        <v>394.88799999999998</v>
      </c>
      <c r="AL14" s="146">
        <v>338.77100000000002</v>
      </c>
      <c r="AM14" s="146">
        <v>658.90800000000002</v>
      </c>
    </row>
    <row r="15" spans="2:39" ht="12" customHeight="1" x14ac:dyDescent="0.25">
      <c r="B15" s="169" t="s">
        <v>287</v>
      </c>
      <c r="C15" s="8" t="s">
        <v>258</v>
      </c>
      <c r="D15" s="29">
        <v>22.73</v>
      </c>
      <c r="E15" s="29">
        <v>17.556000000000001</v>
      </c>
      <c r="F15" s="29">
        <v>20.712</v>
      </c>
      <c r="G15" s="146">
        <v>26.895</v>
      </c>
      <c r="H15" s="146">
        <v>37.593000000000004</v>
      </c>
      <c r="I15" s="146">
        <v>39.798999999999999</v>
      </c>
      <c r="J15" s="146">
        <v>43.396000000000001</v>
      </c>
      <c r="K15" s="146">
        <v>36.747</v>
      </c>
      <c r="L15" s="146">
        <v>37.146999999999998</v>
      </c>
      <c r="M15" s="146">
        <v>39.460999999999999</v>
      </c>
      <c r="N15" s="146">
        <v>52.704000000000001</v>
      </c>
      <c r="O15" s="146">
        <v>53.139000000000003</v>
      </c>
      <c r="P15" s="146">
        <v>58.140999999999998</v>
      </c>
      <c r="Q15" s="146">
        <v>46.262999999999998</v>
      </c>
      <c r="R15" s="146">
        <v>37.936</v>
      </c>
      <c r="S15" s="146">
        <v>39.898000000000003</v>
      </c>
      <c r="T15" s="146">
        <v>36.200000000000003</v>
      </c>
      <c r="U15" s="146">
        <v>40.707999999999998</v>
      </c>
      <c r="V15" s="146">
        <v>40.374000000000002</v>
      </c>
      <c r="W15" s="146">
        <v>43.643000000000001</v>
      </c>
      <c r="X15" s="146">
        <v>37.448999999999998</v>
      </c>
      <c r="Y15" s="146">
        <v>41.225999999999999</v>
      </c>
      <c r="Z15" s="146">
        <v>42.454999999999998</v>
      </c>
      <c r="AA15" s="146">
        <v>30.998000000000001</v>
      </c>
      <c r="AB15" s="146">
        <v>34.203000000000003</v>
      </c>
      <c r="AC15" s="146">
        <v>34.981000000000002</v>
      </c>
      <c r="AD15" s="146">
        <v>35.274999999999999</v>
      </c>
      <c r="AE15" s="146">
        <v>37.731999999999999</v>
      </c>
      <c r="AF15" s="146">
        <v>37.348999999999997</v>
      </c>
      <c r="AG15" s="146">
        <v>41.845999999999997</v>
      </c>
      <c r="AH15" s="146">
        <v>39.497</v>
      </c>
      <c r="AI15" s="146">
        <v>39.207000000000001</v>
      </c>
      <c r="AJ15" s="146">
        <v>40.866999999999997</v>
      </c>
      <c r="AK15" s="146">
        <v>49.222999999999999</v>
      </c>
      <c r="AL15" s="146">
        <v>56.405000000000001</v>
      </c>
      <c r="AM15" s="146">
        <v>53.674999999999997</v>
      </c>
    </row>
    <row r="16" spans="2:39" ht="12" customHeight="1" x14ac:dyDescent="0.25">
      <c r="B16" s="169" t="s">
        <v>288</v>
      </c>
      <c r="C16" s="8" t="s">
        <v>258</v>
      </c>
      <c r="D16" s="29">
        <v>167.89699999999999</v>
      </c>
      <c r="E16" s="29">
        <v>128.98099999999999</v>
      </c>
      <c r="F16" s="29">
        <v>160.702</v>
      </c>
      <c r="G16" s="146">
        <v>139.05000000000001</v>
      </c>
      <c r="H16" s="146">
        <v>101.11199999999999</v>
      </c>
      <c r="I16" s="146">
        <v>61.139000000000003</v>
      </c>
      <c r="J16" s="146">
        <v>43.463000000000001</v>
      </c>
      <c r="K16" s="146">
        <v>58.220999999999997</v>
      </c>
      <c r="L16" s="146">
        <v>98.257999999999996</v>
      </c>
      <c r="M16" s="146">
        <v>129.018</v>
      </c>
      <c r="N16" s="146">
        <v>141.31</v>
      </c>
      <c r="O16" s="146">
        <v>128.167</v>
      </c>
      <c r="P16" s="146">
        <v>131.09700000000001</v>
      </c>
      <c r="Q16" s="146">
        <v>152.511</v>
      </c>
      <c r="R16" s="146">
        <v>126.014</v>
      </c>
      <c r="S16" s="146">
        <v>128.38399999999999</v>
      </c>
      <c r="T16" s="146">
        <v>114.211</v>
      </c>
      <c r="U16" s="146">
        <v>116.35</v>
      </c>
      <c r="V16" s="146">
        <v>72.771000000000001</v>
      </c>
      <c r="W16" s="146">
        <v>64.891000000000005</v>
      </c>
      <c r="X16" s="146">
        <v>49.457999999999998</v>
      </c>
      <c r="Y16" s="146">
        <v>35.738999999999997</v>
      </c>
      <c r="Z16" s="146">
        <v>23.077000000000002</v>
      </c>
      <c r="AA16" s="146">
        <v>17.850000000000001</v>
      </c>
      <c r="AB16" s="146">
        <v>22.065999999999999</v>
      </c>
      <c r="AC16" s="146">
        <v>27.978000000000002</v>
      </c>
      <c r="AD16" s="146">
        <v>44.841000000000001</v>
      </c>
      <c r="AE16" s="146">
        <v>38.176000000000002</v>
      </c>
      <c r="AF16" s="146">
        <v>38.298000000000002</v>
      </c>
      <c r="AG16" s="146">
        <v>36.485999999999997</v>
      </c>
      <c r="AH16" s="146">
        <v>53.506</v>
      </c>
      <c r="AI16" s="146">
        <v>101.32299999999999</v>
      </c>
      <c r="AJ16" s="146">
        <v>93.084999999999994</v>
      </c>
      <c r="AK16" s="146">
        <v>112.836</v>
      </c>
      <c r="AL16" s="146">
        <v>73.066999999999993</v>
      </c>
      <c r="AM16" s="146">
        <v>103.337</v>
      </c>
    </row>
    <row r="17" spans="2:39" ht="12" customHeight="1" x14ac:dyDescent="0.25">
      <c r="B17" s="169" t="s">
        <v>289</v>
      </c>
      <c r="C17" s="8" t="s">
        <v>258</v>
      </c>
      <c r="D17" s="29">
        <v>62.448</v>
      </c>
      <c r="E17" s="29">
        <v>72.593000000000004</v>
      </c>
      <c r="F17" s="29">
        <v>140.625</v>
      </c>
      <c r="G17" s="146">
        <v>159.86000000000001</v>
      </c>
      <c r="H17" s="146">
        <v>218.83799999999999</v>
      </c>
      <c r="I17" s="146">
        <v>201.721</v>
      </c>
      <c r="J17" s="146">
        <v>217.309</v>
      </c>
      <c r="K17" s="146">
        <v>215.386</v>
      </c>
      <c r="L17" s="146">
        <v>178.38800000000001</v>
      </c>
      <c r="M17" s="146">
        <v>169.804</v>
      </c>
      <c r="N17" s="146">
        <v>209.59299999999999</v>
      </c>
      <c r="O17" s="146">
        <v>180.083</v>
      </c>
      <c r="P17" s="146">
        <v>145.47800000000001</v>
      </c>
      <c r="Q17" s="146">
        <v>90.355000000000004</v>
      </c>
      <c r="R17" s="146">
        <v>73.816999999999993</v>
      </c>
      <c r="S17" s="146">
        <v>68.346000000000004</v>
      </c>
      <c r="T17" s="146">
        <v>55.366</v>
      </c>
      <c r="U17" s="146">
        <v>50.597999999999999</v>
      </c>
      <c r="V17" s="146">
        <v>44.805999999999997</v>
      </c>
      <c r="W17" s="146">
        <v>53.761000000000003</v>
      </c>
      <c r="X17" s="146">
        <v>32.521999999999998</v>
      </c>
      <c r="Y17" s="146">
        <v>29.599</v>
      </c>
      <c r="Z17" s="146">
        <v>17.504000000000001</v>
      </c>
      <c r="AA17" s="146">
        <v>9.7829999999999995</v>
      </c>
      <c r="AB17" s="146">
        <v>13.717000000000001</v>
      </c>
      <c r="AC17" s="146">
        <v>15.068</v>
      </c>
      <c r="AD17" s="146">
        <v>20.853999999999999</v>
      </c>
      <c r="AE17" s="146">
        <v>13.4</v>
      </c>
      <c r="AF17" s="146">
        <v>34.972999999999999</v>
      </c>
      <c r="AG17" s="146">
        <v>17.815999999999999</v>
      </c>
      <c r="AH17" s="146">
        <v>32.578000000000003</v>
      </c>
      <c r="AI17" s="146">
        <v>56.962000000000003</v>
      </c>
      <c r="AJ17" s="146">
        <v>84.013999999999996</v>
      </c>
      <c r="AK17" s="146">
        <v>107.83799999999999</v>
      </c>
      <c r="AL17" s="146">
        <v>55.48</v>
      </c>
      <c r="AM17" s="146">
        <v>43.061999999999998</v>
      </c>
    </row>
    <row r="18" spans="2:39" ht="12" customHeight="1" x14ac:dyDescent="0.25">
      <c r="B18" s="169" t="s">
        <v>290</v>
      </c>
      <c r="C18" s="8" t="s">
        <v>258</v>
      </c>
      <c r="D18" s="29">
        <v>3.589</v>
      </c>
      <c r="E18" s="29">
        <v>8.4749999999999996</v>
      </c>
      <c r="F18" s="29">
        <v>5.92</v>
      </c>
      <c r="G18" s="146">
        <v>5.2229999999999999</v>
      </c>
      <c r="H18" s="146">
        <v>7.1660000000000004</v>
      </c>
      <c r="I18" s="146">
        <v>9.9779999999999998</v>
      </c>
      <c r="J18" s="146">
        <v>9.8290000000000006</v>
      </c>
      <c r="K18" s="146">
        <v>6.2130000000000001</v>
      </c>
      <c r="L18" s="146">
        <v>12.803000000000001</v>
      </c>
      <c r="M18" s="146">
        <v>9.2639999999999993</v>
      </c>
      <c r="N18" s="146">
        <v>7.8849999999999998</v>
      </c>
      <c r="O18" s="146">
        <v>17.484000000000002</v>
      </c>
      <c r="P18" s="146">
        <v>22.766999999999999</v>
      </c>
      <c r="Q18" s="146">
        <v>7.8819999999999997</v>
      </c>
      <c r="R18" s="146">
        <v>4.585</v>
      </c>
      <c r="S18" s="146">
        <v>8.6999999999999993</v>
      </c>
      <c r="T18" s="146">
        <v>8.4870000000000001</v>
      </c>
      <c r="U18" s="146">
        <v>8.0389999999999997</v>
      </c>
      <c r="V18" s="146">
        <v>7.67</v>
      </c>
      <c r="W18" s="146">
        <v>7.3239999999999998</v>
      </c>
      <c r="X18" s="146">
        <v>8.9909999999999997</v>
      </c>
      <c r="Y18" s="146">
        <v>16.003</v>
      </c>
      <c r="Z18" s="146">
        <v>18.135999999999999</v>
      </c>
      <c r="AA18" s="146">
        <v>9.2680000000000007</v>
      </c>
      <c r="AB18" s="146">
        <v>7.9859999999999998</v>
      </c>
      <c r="AC18" s="146">
        <v>9.9749999999999996</v>
      </c>
      <c r="AD18" s="146">
        <v>9.375</v>
      </c>
      <c r="AE18" s="146">
        <v>11.750999999999999</v>
      </c>
      <c r="AF18" s="146">
        <v>14.875999999999999</v>
      </c>
      <c r="AG18" s="146">
        <v>10.894</v>
      </c>
      <c r="AH18" s="146">
        <v>15.834</v>
      </c>
      <c r="AI18" s="146">
        <v>38.918999999999997</v>
      </c>
      <c r="AJ18" s="146">
        <v>58.972999999999999</v>
      </c>
      <c r="AK18" s="146">
        <v>44.584000000000003</v>
      </c>
      <c r="AL18" s="146">
        <v>22.187000000000001</v>
      </c>
      <c r="AM18" s="146">
        <v>17.931000000000001</v>
      </c>
    </row>
    <row r="19" spans="2:39" ht="12" customHeight="1" x14ac:dyDescent="0.25">
      <c r="B19" s="169" t="s">
        <v>291</v>
      </c>
      <c r="C19" s="8" t="s">
        <v>258</v>
      </c>
      <c r="D19" s="29">
        <v>3.0369999999999999</v>
      </c>
      <c r="E19" s="29">
        <v>2.1379999999999999</v>
      </c>
      <c r="F19" s="29">
        <v>3.1349999999999998</v>
      </c>
      <c r="G19" s="146">
        <v>3.0990000000000002</v>
      </c>
      <c r="H19" s="146">
        <v>5.01</v>
      </c>
      <c r="I19" s="146">
        <v>5.4080000000000004</v>
      </c>
      <c r="J19" s="146">
        <v>4.9790000000000001</v>
      </c>
      <c r="K19" s="146">
        <v>5.8070000000000004</v>
      </c>
      <c r="L19" s="146">
        <v>7.1749999999999998</v>
      </c>
      <c r="M19" s="146">
        <v>7.24</v>
      </c>
      <c r="N19" s="146">
        <v>7.0350000000000001</v>
      </c>
      <c r="O19" s="146">
        <v>8.2620000000000005</v>
      </c>
      <c r="P19" s="146">
        <v>7.7389999999999999</v>
      </c>
      <c r="Q19" s="146">
        <v>8.7240000000000002</v>
      </c>
      <c r="R19" s="146">
        <v>8.2579999999999991</v>
      </c>
      <c r="S19" s="146">
        <v>9.7710000000000008</v>
      </c>
      <c r="T19" s="146">
        <v>11.164</v>
      </c>
      <c r="U19" s="146">
        <v>10.223000000000001</v>
      </c>
      <c r="V19" s="146">
        <v>12.347</v>
      </c>
      <c r="W19" s="146">
        <v>8.8320000000000007</v>
      </c>
      <c r="X19" s="146">
        <v>16.594999999999999</v>
      </c>
      <c r="Y19" s="146">
        <v>9.6419999999999995</v>
      </c>
      <c r="Z19" s="146">
        <v>10.130000000000001</v>
      </c>
      <c r="AA19" s="146">
        <v>9.1229999999999993</v>
      </c>
      <c r="AB19" s="146">
        <v>14.493</v>
      </c>
      <c r="AC19" s="146">
        <v>13.917999999999999</v>
      </c>
      <c r="AD19" s="146">
        <v>19.861999999999998</v>
      </c>
      <c r="AE19" s="146">
        <v>16.995000000000001</v>
      </c>
      <c r="AF19" s="146">
        <v>15.602</v>
      </c>
      <c r="AG19" s="146">
        <v>18.391999999999999</v>
      </c>
      <c r="AH19" s="146">
        <v>17.516999999999999</v>
      </c>
      <c r="AI19" s="146">
        <v>21.885000000000002</v>
      </c>
      <c r="AJ19" s="146">
        <v>17.452000000000002</v>
      </c>
      <c r="AK19" s="146">
        <v>12.106999999999999</v>
      </c>
      <c r="AL19" s="146">
        <v>19.994</v>
      </c>
      <c r="AM19" s="146">
        <v>25.492000000000001</v>
      </c>
    </row>
    <row r="20" spans="2:39" ht="12" customHeight="1" x14ac:dyDescent="0.25">
      <c r="B20" s="169" t="s">
        <v>292</v>
      </c>
      <c r="C20" s="8" t="s">
        <v>258</v>
      </c>
      <c r="D20" s="29">
        <v>0.752</v>
      </c>
      <c r="E20" s="29">
        <v>1.149</v>
      </c>
      <c r="F20" s="29">
        <v>5.2629999999999999</v>
      </c>
      <c r="G20" s="146">
        <v>7.4160000000000004</v>
      </c>
      <c r="H20" s="146">
        <v>4.8609999999999998</v>
      </c>
      <c r="I20" s="146">
        <v>12.97</v>
      </c>
      <c r="J20" s="146">
        <v>13.766</v>
      </c>
      <c r="K20" s="146">
        <v>10.231</v>
      </c>
      <c r="L20" s="146">
        <v>3.8180000000000001</v>
      </c>
      <c r="M20" s="146">
        <v>5.0270000000000001</v>
      </c>
      <c r="N20" s="146">
        <v>8.0640000000000001</v>
      </c>
      <c r="O20" s="146">
        <v>9.1430000000000007</v>
      </c>
      <c r="P20" s="146">
        <v>11.98</v>
      </c>
      <c r="Q20" s="146">
        <v>10.242000000000001</v>
      </c>
      <c r="R20" s="146">
        <v>8.1669999999999998</v>
      </c>
      <c r="S20" s="146">
        <v>5.7480000000000002</v>
      </c>
      <c r="T20" s="146">
        <v>5.94</v>
      </c>
      <c r="U20" s="146">
        <v>5.5369999999999999</v>
      </c>
      <c r="V20" s="146">
        <v>8.0280000000000005</v>
      </c>
      <c r="W20" s="146">
        <v>12.670999999999999</v>
      </c>
      <c r="X20" s="146">
        <v>9.1620000000000008</v>
      </c>
      <c r="Y20" s="146">
        <v>12.863</v>
      </c>
      <c r="Z20" s="146">
        <v>7.6660000000000004</v>
      </c>
      <c r="AA20" s="146">
        <v>7.7789999999999999</v>
      </c>
      <c r="AB20" s="146">
        <v>9.8800000000000008</v>
      </c>
      <c r="AC20" s="146">
        <v>11.166</v>
      </c>
      <c r="AD20" s="146">
        <v>7.53</v>
      </c>
      <c r="AE20" s="146">
        <v>17.501000000000001</v>
      </c>
      <c r="AF20" s="146">
        <v>8.7490000000000006</v>
      </c>
      <c r="AG20" s="146">
        <v>9.2710000000000008</v>
      </c>
      <c r="AH20" s="146">
        <v>7.6230000000000002</v>
      </c>
      <c r="AI20" s="146">
        <v>6.22</v>
      </c>
      <c r="AJ20" s="146">
        <v>8.843</v>
      </c>
      <c r="AK20" s="146">
        <v>9.1140000000000008</v>
      </c>
      <c r="AL20" s="146">
        <v>9.8339999999999996</v>
      </c>
      <c r="AM20" s="146">
        <v>12.157</v>
      </c>
    </row>
    <row r="21" spans="2:39" ht="12" customHeight="1" x14ac:dyDescent="0.25">
      <c r="B21" s="169" t="s">
        <v>293</v>
      </c>
      <c r="C21" s="8" t="s">
        <v>258</v>
      </c>
      <c r="D21" s="29">
        <v>0.12</v>
      </c>
      <c r="E21" s="29">
        <v>0.23200000000000001</v>
      </c>
      <c r="F21" s="29">
        <v>0.51200000000000001</v>
      </c>
      <c r="G21" s="146">
        <v>0.88500000000000001</v>
      </c>
      <c r="H21" s="146">
        <v>1.6619999999999999</v>
      </c>
      <c r="I21" s="146">
        <v>2.0009999999999999</v>
      </c>
      <c r="J21" s="146">
        <v>1.4710000000000001</v>
      </c>
      <c r="K21" s="146">
        <v>2.694</v>
      </c>
      <c r="L21" s="146">
        <v>2.706</v>
      </c>
      <c r="M21" s="146">
        <v>1.3360000000000001</v>
      </c>
      <c r="N21" s="146">
        <v>1.772</v>
      </c>
      <c r="O21" s="146">
        <v>2.6909999999999998</v>
      </c>
      <c r="P21" s="146">
        <v>2.774</v>
      </c>
      <c r="Q21" s="146">
        <v>2.2200000000000002</v>
      </c>
      <c r="R21" s="146">
        <v>2.7130000000000001</v>
      </c>
      <c r="S21" s="146">
        <v>2.5289999999999999</v>
      </c>
      <c r="T21" s="146">
        <v>2.2450000000000001</v>
      </c>
      <c r="U21" s="146">
        <v>2.8940000000000001</v>
      </c>
      <c r="V21" s="146">
        <v>3.9</v>
      </c>
      <c r="W21" s="146">
        <v>4.6710000000000003</v>
      </c>
      <c r="X21" s="146">
        <v>6.8949999999999996</v>
      </c>
      <c r="Y21" s="146">
        <v>8.6530000000000005</v>
      </c>
      <c r="Z21" s="146">
        <v>6.0960000000000001</v>
      </c>
      <c r="AA21" s="146">
        <v>7.3570000000000002</v>
      </c>
      <c r="AB21" s="146">
        <v>9.8919999999999995</v>
      </c>
      <c r="AC21" s="146">
        <v>9.3330000000000002</v>
      </c>
      <c r="AD21" s="146">
        <v>10.003</v>
      </c>
      <c r="AE21" s="146">
        <v>12.458</v>
      </c>
      <c r="AF21" s="146">
        <v>11.801</v>
      </c>
      <c r="AG21" s="146">
        <v>12.417999999999999</v>
      </c>
      <c r="AH21" s="146">
        <v>10.93</v>
      </c>
      <c r="AI21" s="146">
        <v>18.937000000000001</v>
      </c>
      <c r="AJ21" s="146">
        <v>51.597000000000001</v>
      </c>
      <c r="AK21" s="146">
        <v>48.265999999999998</v>
      </c>
      <c r="AL21" s="146">
        <v>40.255000000000003</v>
      </c>
      <c r="AM21" s="146">
        <v>26.321000000000002</v>
      </c>
    </row>
    <row r="22" spans="2:39" ht="12" customHeight="1" x14ac:dyDescent="0.25">
      <c r="B22" s="168" t="s">
        <v>270</v>
      </c>
      <c r="C22" s="144"/>
      <c r="D22" s="144"/>
      <c r="E22" s="144"/>
      <c r="F22" s="144"/>
      <c r="G22" s="144"/>
      <c r="H22" s="144"/>
      <c r="I22" s="144"/>
      <c r="J22" s="144"/>
      <c r="K22" s="144"/>
      <c r="L22" s="144"/>
      <c r="M22" s="144"/>
      <c r="N22" s="144"/>
      <c r="O22" s="144"/>
      <c r="P22" s="144"/>
      <c r="Q22" s="144"/>
      <c r="R22" s="144"/>
      <c r="S22" s="144"/>
      <c r="T22" s="144"/>
      <c r="U22" s="144"/>
      <c r="V22" s="144"/>
      <c r="W22" s="144"/>
      <c r="X22" s="144"/>
      <c r="Y22" s="144"/>
      <c r="Z22" s="144"/>
      <c r="AA22" s="144"/>
      <c r="AB22" s="144"/>
      <c r="AC22" s="144"/>
      <c r="AD22" s="144"/>
      <c r="AE22" s="144"/>
      <c r="AF22" s="144"/>
      <c r="AG22" s="144"/>
      <c r="AH22" s="144"/>
      <c r="AI22" s="144"/>
      <c r="AJ22" s="144"/>
      <c r="AK22" s="144"/>
      <c r="AL22" s="144"/>
      <c r="AM22" s="144"/>
    </row>
    <row r="23" spans="2:39" ht="12" customHeight="1" x14ac:dyDescent="0.25">
      <c r="B23" s="169" t="s">
        <v>283</v>
      </c>
      <c r="C23" s="8" t="s">
        <v>258</v>
      </c>
      <c r="D23" s="29">
        <v>7.0609999999999999</v>
      </c>
      <c r="E23" s="19">
        <v>7.944</v>
      </c>
      <c r="F23" s="29">
        <v>21.957000000000001</v>
      </c>
      <c r="G23" s="146">
        <v>22.312000000000001</v>
      </c>
      <c r="H23" s="146">
        <v>48.86</v>
      </c>
      <c r="I23" s="146">
        <v>68.942999999999998</v>
      </c>
      <c r="J23" s="146">
        <v>10.192</v>
      </c>
      <c r="K23" s="146">
        <v>10.705</v>
      </c>
      <c r="L23" s="146">
        <v>17.501999999999999</v>
      </c>
      <c r="M23" s="146">
        <v>7.532</v>
      </c>
      <c r="N23" s="146">
        <v>34.561999999999998</v>
      </c>
      <c r="O23" s="146">
        <v>64.822999999999993</v>
      </c>
      <c r="P23" s="146">
        <v>40.421999999999997</v>
      </c>
      <c r="Q23" s="146">
        <v>77.656000000000006</v>
      </c>
      <c r="R23" s="146">
        <v>170.76300000000001</v>
      </c>
      <c r="S23" s="146">
        <v>136.518</v>
      </c>
      <c r="T23" s="146">
        <v>149.78299999999999</v>
      </c>
      <c r="U23" s="146">
        <v>155.756</v>
      </c>
      <c r="V23" s="146">
        <v>128.09299999999999</v>
      </c>
      <c r="W23" s="146">
        <v>200.989</v>
      </c>
      <c r="X23" s="146">
        <v>137.76300000000001</v>
      </c>
      <c r="Y23" s="146">
        <v>145.102</v>
      </c>
      <c r="Z23" s="146">
        <v>96.602999999999994</v>
      </c>
      <c r="AA23" s="146">
        <v>54.31</v>
      </c>
      <c r="AB23" s="146">
        <v>74.557000000000002</v>
      </c>
      <c r="AC23" s="146">
        <v>55.939</v>
      </c>
      <c r="AD23" s="146">
        <v>53.154000000000003</v>
      </c>
      <c r="AE23" s="146">
        <v>29.332999999999998</v>
      </c>
      <c r="AF23" s="146">
        <v>30.34</v>
      </c>
      <c r="AG23" s="146">
        <v>18.010000000000002</v>
      </c>
      <c r="AH23" s="146">
        <v>20.28</v>
      </c>
      <c r="AI23" s="146">
        <v>20.745999999999999</v>
      </c>
      <c r="AJ23" s="146">
        <v>5.4690000000000003</v>
      </c>
      <c r="AK23" s="146">
        <v>16.535</v>
      </c>
      <c r="AL23" s="146">
        <v>2.3690000000000002</v>
      </c>
      <c r="AM23" s="146">
        <v>3.1659999999999999</v>
      </c>
    </row>
    <row r="24" spans="2:39" ht="12" customHeight="1" x14ac:dyDescent="0.25">
      <c r="B24" s="169" t="s">
        <v>285</v>
      </c>
      <c r="C24" s="8" t="s">
        <v>258</v>
      </c>
      <c r="D24" s="29">
        <v>75.953999999999994</v>
      </c>
      <c r="E24" s="29">
        <v>80.575000000000003</v>
      </c>
      <c r="F24" s="29">
        <v>104.482</v>
      </c>
      <c r="G24" s="146">
        <v>84.875</v>
      </c>
      <c r="H24" s="146">
        <v>53.786999999999999</v>
      </c>
      <c r="I24" s="146">
        <v>110.98099999999999</v>
      </c>
      <c r="J24" s="146">
        <v>26.664999999999999</v>
      </c>
      <c r="K24" s="146">
        <v>24.04</v>
      </c>
      <c r="L24" s="146">
        <v>41.898000000000003</v>
      </c>
      <c r="M24" s="146">
        <v>13.987</v>
      </c>
      <c r="N24" s="146">
        <v>24.835999999999999</v>
      </c>
      <c r="O24" s="146">
        <v>13.824999999999999</v>
      </c>
      <c r="P24" s="146">
        <v>18.231999999999999</v>
      </c>
      <c r="Q24" s="146">
        <v>28.154</v>
      </c>
      <c r="R24" s="146">
        <v>37.152999999999999</v>
      </c>
      <c r="S24" s="146">
        <v>59.537999999999997</v>
      </c>
      <c r="T24" s="146">
        <v>62.631</v>
      </c>
      <c r="U24" s="146">
        <v>68.566999999999993</v>
      </c>
      <c r="V24" s="146">
        <v>53.332999999999998</v>
      </c>
      <c r="W24" s="146">
        <v>64.284000000000006</v>
      </c>
      <c r="X24" s="146">
        <v>49.835999999999999</v>
      </c>
      <c r="Y24" s="146">
        <v>43.32</v>
      </c>
      <c r="Z24" s="146">
        <v>44.401000000000003</v>
      </c>
      <c r="AA24" s="146">
        <v>33.024999999999999</v>
      </c>
      <c r="AB24" s="146">
        <v>26.928999999999998</v>
      </c>
      <c r="AC24" s="146">
        <v>23.388000000000002</v>
      </c>
      <c r="AD24" s="146">
        <v>24.010999999999999</v>
      </c>
      <c r="AE24" s="146">
        <v>29.774999999999999</v>
      </c>
      <c r="AF24" s="146">
        <v>15.128</v>
      </c>
      <c r="AG24" s="146">
        <v>27.779</v>
      </c>
      <c r="AH24" s="146">
        <v>18.029</v>
      </c>
      <c r="AI24" s="146">
        <v>25.236999999999998</v>
      </c>
      <c r="AJ24" s="146">
        <v>12.082000000000001</v>
      </c>
      <c r="AK24" s="146">
        <v>1.7869999999999999</v>
      </c>
      <c r="AL24" s="146">
        <v>1.3149999999999999</v>
      </c>
      <c r="AM24" s="146">
        <v>1.32</v>
      </c>
    </row>
    <row r="25" spans="2:39" ht="12" customHeight="1" x14ac:dyDescent="0.25">
      <c r="B25" s="169" t="s">
        <v>288</v>
      </c>
      <c r="C25" s="8" t="s">
        <v>258</v>
      </c>
      <c r="D25" s="29">
        <v>11.778</v>
      </c>
      <c r="E25" s="29">
        <v>13.372</v>
      </c>
      <c r="F25" s="29">
        <v>9.1170000000000009</v>
      </c>
      <c r="G25" s="146">
        <v>12.090999999999999</v>
      </c>
      <c r="H25" s="146">
        <v>9.6530000000000005</v>
      </c>
      <c r="I25" s="146">
        <v>13.372999999999999</v>
      </c>
      <c r="J25" s="146">
        <v>20.393000000000001</v>
      </c>
      <c r="K25" s="146">
        <v>17.678999999999998</v>
      </c>
      <c r="L25" s="146">
        <v>11.855</v>
      </c>
      <c r="M25" s="146">
        <v>15.098000000000001</v>
      </c>
      <c r="N25" s="146">
        <v>46.088000000000001</v>
      </c>
      <c r="O25" s="146">
        <v>64.123000000000005</v>
      </c>
      <c r="P25" s="146">
        <v>40.860999999999997</v>
      </c>
      <c r="Q25" s="146">
        <v>46.542999999999999</v>
      </c>
      <c r="R25" s="146">
        <v>28.89</v>
      </c>
      <c r="S25" s="146">
        <v>28.013999999999999</v>
      </c>
      <c r="T25" s="146">
        <v>28.135000000000002</v>
      </c>
      <c r="U25" s="146">
        <v>34.328000000000003</v>
      </c>
      <c r="V25" s="146">
        <v>24.225000000000001</v>
      </c>
      <c r="W25" s="146">
        <v>22.151</v>
      </c>
      <c r="X25" s="146">
        <v>15.465999999999999</v>
      </c>
      <c r="Y25" s="146">
        <v>8.0559999999999992</v>
      </c>
      <c r="Z25" s="146">
        <v>22.2</v>
      </c>
      <c r="AA25" s="146">
        <v>20.954999999999998</v>
      </c>
      <c r="AB25" s="146">
        <v>19.239000000000001</v>
      </c>
      <c r="AC25" s="146">
        <v>16.634</v>
      </c>
      <c r="AD25" s="146">
        <v>21.565999999999999</v>
      </c>
      <c r="AE25" s="146">
        <v>14.417999999999999</v>
      </c>
      <c r="AF25" s="146">
        <v>14.301</v>
      </c>
      <c r="AG25" s="146">
        <v>18.603999999999999</v>
      </c>
      <c r="AH25" s="146">
        <v>17.001999999999999</v>
      </c>
      <c r="AI25" s="146">
        <v>14.401</v>
      </c>
      <c r="AJ25" s="146">
        <v>3.03</v>
      </c>
      <c r="AK25" s="146">
        <v>1.3069999999999999</v>
      </c>
      <c r="AL25" s="146">
        <v>1.752</v>
      </c>
      <c r="AM25" s="146">
        <v>3.3679999999999999</v>
      </c>
    </row>
    <row r="26" spans="2:39" ht="12" customHeight="1" x14ac:dyDescent="0.25">
      <c r="B26" s="154" t="s">
        <v>294</v>
      </c>
      <c r="C26" s="154"/>
      <c r="D26" s="154"/>
      <c r="E26" s="154"/>
      <c r="F26" s="154"/>
      <c r="G26" s="154"/>
      <c r="H26" s="154"/>
      <c r="I26" s="154"/>
      <c r="J26" s="154"/>
      <c r="K26" s="154"/>
      <c r="L26" s="154"/>
      <c r="M26" s="154"/>
      <c r="N26" s="154"/>
      <c r="O26" s="154"/>
      <c r="P26" s="154"/>
      <c r="Q26" s="154"/>
      <c r="R26" s="154"/>
      <c r="S26" s="154"/>
      <c r="T26" s="154"/>
      <c r="U26" s="154"/>
      <c r="V26" s="154"/>
      <c r="W26" s="154"/>
      <c r="X26" s="154"/>
      <c r="Y26" s="154"/>
      <c r="Z26" s="154"/>
      <c r="AA26" s="154"/>
      <c r="AB26" s="154"/>
      <c r="AC26" s="154"/>
      <c r="AD26" s="154"/>
      <c r="AE26" s="154"/>
      <c r="AF26" s="154"/>
      <c r="AG26" s="154"/>
      <c r="AH26" s="154"/>
      <c r="AI26" s="154"/>
      <c r="AJ26" s="154"/>
      <c r="AK26" s="154"/>
      <c r="AL26" s="154"/>
      <c r="AM26" s="154"/>
    </row>
    <row r="27" spans="2:39" ht="12" customHeight="1" x14ac:dyDescent="0.25">
      <c r="B27" s="168" t="s">
        <v>305</v>
      </c>
      <c r="C27" s="144"/>
      <c r="D27" s="144"/>
      <c r="E27" s="144"/>
      <c r="F27" s="144"/>
      <c r="G27" s="144"/>
      <c r="H27" s="144"/>
      <c r="I27" s="144"/>
      <c r="J27" s="144"/>
      <c r="K27" s="144"/>
      <c r="L27" s="144"/>
      <c r="M27" s="144"/>
      <c r="N27" s="144"/>
      <c r="O27" s="144"/>
      <c r="P27" s="144"/>
      <c r="Q27" s="144"/>
      <c r="R27" s="144"/>
      <c r="S27" s="144"/>
      <c r="T27" s="144"/>
      <c r="U27" s="144"/>
      <c r="V27" s="144"/>
      <c r="W27" s="144"/>
      <c r="X27" s="144"/>
      <c r="Y27" s="144"/>
      <c r="Z27" s="144"/>
      <c r="AA27" s="144"/>
      <c r="AB27" s="144"/>
      <c r="AC27" s="144"/>
      <c r="AD27" s="144"/>
      <c r="AE27" s="144"/>
      <c r="AF27" s="144"/>
      <c r="AG27" s="144"/>
      <c r="AH27" s="144"/>
      <c r="AI27" s="144"/>
      <c r="AJ27" s="144"/>
      <c r="AK27" s="144"/>
      <c r="AL27" s="144"/>
      <c r="AM27" s="144"/>
    </row>
    <row r="28" spans="2:39" ht="12" customHeight="1" x14ac:dyDescent="0.25">
      <c r="B28" s="169" t="s">
        <v>295</v>
      </c>
      <c r="C28" s="8" t="s">
        <v>258</v>
      </c>
      <c r="D28" s="146">
        <v>73.507999999999996</v>
      </c>
      <c r="E28" s="19">
        <v>83.263000000000005</v>
      </c>
      <c r="F28" s="29">
        <v>91.253</v>
      </c>
      <c r="G28" s="146">
        <v>104.514</v>
      </c>
      <c r="H28" s="146">
        <v>131.654</v>
      </c>
      <c r="I28" s="146">
        <v>166.22399999999999</v>
      </c>
      <c r="J28" s="146">
        <v>170.96299999999999</v>
      </c>
      <c r="K28" s="146">
        <v>181.292</v>
      </c>
      <c r="L28" s="146">
        <v>216.16900000000001</v>
      </c>
      <c r="M28" s="146">
        <v>234.73599999999999</v>
      </c>
      <c r="N28" s="146">
        <v>237.602</v>
      </c>
      <c r="O28" s="146">
        <v>243.59</v>
      </c>
      <c r="P28" s="146">
        <v>234.089</v>
      </c>
      <c r="Q28" s="146">
        <v>240.34800000000001</v>
      </c>
      <c r="R28" s="146">
        <v>221.32300000000001</v>
      </c>
      <c r="S28" s="146">
        <v>236.339</v>
      </c>
      <c r="T28" s="146">
        <v>269.96100000000001</v>
      </c>
      <c r="U28" s="146">
        <v>278.63400000000001</v>
      </c>
      <c r="V28" s="146">
        <v>294.96899999999999</v>
      </c>
      <c r="W28" s="146">
        <v>367.923</v>
      </c>
      <c r="X28" s="146">
        <v>322.10599999999999</v>
      </c>
      <c r="Y28" s="146">
        <v>340.21300000000002</v>
      </c>
      <c r="Z28" s="146">
        <v>362.14800000000002</v>
      </c>
      <c r="AA28" s="146">
        <v>399.77800000000002</v>
      </c>
      <c r="AB28" s="146">
        <v>416.952</v>
      </c>
      <c r="AC28" s="146">
        <v>422.08600000000001</v>
      </c>
      <c r="AD28" s="146">
        <v>416.14100000000002</v>
      </c>
      <c r="AE28" s="146">
        <v>454.95100000000002</v>
      </c>
      <c r="AF28" s="146">
        <v>469.78100000000001</v>
      </c>
      <c r="AG28" s="146">
        <v>484.80599999999998</v>
      </c>
      <c r="AH28" s="146">
        <v>481.20699999999999</v>
      </c>
      <c r="AI28" s="146">
        <v>381.29300000000001</v>
      </c>
      <c r="AJ28" s="146">
        <v>394.50799999999998</v>
      </c>
      <c r="AK28" s="146">
        <v>477.56200000000001</v>
      </c>
      <c r="AL28" s="146">
        <v>456.96</v>
      </c>
      <c r="AM28" s="146">
        <v>500.53100000000001</v>
      </c>
    </row>
    <row r="29" spans="2:39" ht="12" customHeight="1" x14ac:dyDescent="0.25">
      <c r="B29" s="169" t="s">
        <v>296</v>
      </c>
      <c r="C29" s="8" t="s">
        <v>258</v>
      </c>
      <c r="D29" s="29">
        <v>62.966000000000001</v>
      </c>
      <c r="E29" s="29">
        <v>69.989999999999995</v>
      </c>
      <c r="F29" s="29">
        <v>80.727999999999994</v>
      </c>
      <c r="G29" s="146">
        <v>88.941999999999993</v>
      </c>
      <c r="H29" s="146">
        <v>101.959</v>
      </c>
      <c r="I29" s="146">
        <v>115.548</v>
      </c>
      <c r="J29" s="146">
        <v>115.221</v>
      </c>
      <c r="K29" s="146">
        <v>111.712</v>
      </c>
      <c r="L29" s="146">
        <v>121.08199999999999</v>
      </c>
      <c r="M29" s="146">
        <v>133.57599999999999</v>
      </c>
      <c r="N29" s="146">
        <v>146.178</v>
      </c>
      <c r="O29" s="146">
        <v>152.84899999999999</v>
      </c>
      <c r="P29" s="146">
        <v>166.43299999999999</v>
      </c>
      <c r="Q29" s="146">
        <v>176.7</v>
      </c>
      <c r="R29" s="146">
        <v>167.22300000000001</v>
      </c>
      <c r="S29" s="146">
        <v>152.51900000000001</v>
      </c>
      <c r="T29" s="146">
        <v>158.63499999999999</v>
      </c>
      <c r="U29" s="146">
        <v>191.685</v>
      </c>
      <c r="V29" s="146">
        <v>197.762</v>
      </c>
      <c r="W29" s="146">
        <v>206.93899999999999</v>
      </c>
      <c r="X29" s="146">
        <v>212.333</v>
      </c>
      <c r="Y29" s="146">
        <v>209.97900000000001</v>
      </c>
      <c r="Z29" s="146">
        <v>197.27500000000001</v>
      </c>
      <c r="AA29" s="146">
        <v>206.286</v>
      </c>
      <c r="AB29" s="146">
        <v>206.83600000000001</v>
      </c>
      <c r="AC29" s="146">
        <v>189.55199999999999</v>
      </c>
      <c r="AD29" s="146">
        <v>199.774</v>
      </c>
      <c r="AE29" s="146">
        <v>216.25200000000001</v>
      </c>
      <c r="AF29" s="146">
        <v>211.65700000000001</v>
      </c>
      <c r="AG29" s="146">
        <v>208.26400000000001</v>
      </c>
      <c r="AH29" s="146">
        <v>183.411</v>
      </c>
      <c r="AI29" s="146">
        <v>208.23599999999999</v>
      </c>
      <c r="AJ29" s="146">
        <v>208.471</v>
      </c>
      <c r="AK29" s="146">
        <v>226.19800000000001</v>
      </c>
      <c r="AL29" s="146">
        <v>206.46700000000001</v>
      </c>
      <c r="AM29" s="146">
        <v>216.63300000000001</v>
      </c>
    </row>
    <row r="30" spans="2:39" ht="12" customHeight="1" x14ac:dyDescent="0.25">
      <c r="B30" s="169" t="s">
        <v>297</v>
      </c>
      <c r="C30" s="8" t="s">
        <v>258</v>
      </c>
      <c r="D30" s="29">
        <v>3.9649999999999999</v>
      </c>
      <c r="E30" s="29">
        <v>3.637</v>
      </c>
      <c r="F30" s="29">
        <v>3.8530000000000002</v>
      </c>
      <c r="G30" s="146">
        <v>4.5350000000000001</v>
      </c>
      <c r="H30" s="146">
        <v>6.641</v>
      </c>
      <c r="I30" s="146">
        <v>10.503</v>
      </c>
      <c r="J30" s="146">
        <v>13.019</v>
      </c>
      <c r="K30" s="146">
        <v>9.3059999999999992</v>
      </c>
      <c r="L30" s="146">
        <v>12.513</v>
      </c>
      <c r="M30" s="146">
        <v>12.775</v>
      </c>
      <c r="N30" s="146">
        <v>13.81</v>
      </c>
      <c r="O30" s="146">
        <v>22.420999999999999</v>
      </c>
      <c r="P30" s="146">
        <v>32.058</v>
      </c>
      <c r="Q30" s="146">
        <v>44.256</v>
      </c>
      <c r="R30" s="146">
        <v>68.756</v>
      </c>
      <c r="S30" s="146">
        <v>89.945999999999998</v>
      </c>
      <c r="T30" s="146">
        <v>101.041</v>
      </c>
      <c r="U30" s="146">
        <v>155.32499999999999</v>
      </c>
      <c r="V30" s="146">
        <v>132.161</v>
      </c>
      <c r="W30" s="146">
        <v>151.661</v>
      </c>
      <c r="X30" s="146">
        <v>172.98400000000001</v>
      </c>
      <c r="Y30" s="146">
        <v>185.607</v>
      </c>
      <c r="Z30" s="146">
        <v>231.49600000000001</v>
      </c>
      <c r="AA30" s="146">
        <v>196.49299999999999</v>
      </c>
      <c r="AB30" s="146">
        <v>341.524</v>
      </c>
      <c r="AC30" s="146">
        <v>284.68400000000003</v>
      </c>
      <c r="AD30" s="146">
        <v>292.15899999999999</v>
      </c>
      <c r="AE30" s="146">
        <v>304.98200000000003</v>
      </c>
      <c r="AF30" s="146">
        <v>325.34500000000003</v>
      </c>
      <c r="AG30" s="146">
        <v>334.94200000000001</v>
      </c>
      <c r="AH30" s="146">
        <v>285.625</v>
      </c>
      <c r="AI30" s="146">
        <v>269.49799999999999</v>
      </c>
      <c r="AJ30" s="146">
        <v>266.18599999999998</v>
      </c>
      <c r="AK30" s="146">
        <v>336.72300000000001</v>
      </c>
      <c r="AL30" s="146">
        <v>309.96199999999999</v>
      </c>
      <c r="AM30" s="146">
        <v>310.85199999999998</v>
      </c>
    </row>
    <row r="31" spans="2:39" ht="12" customHeight="1" x14ac:dyDescent="0.25">
      <c r="B31" s="169" t="s">
        <v>284</v>
      </c>
      <c r="C31" s="8" t="s">
        <v>258</v>
      </c>
      <c r="D31" s="29">
        <v>11.343</v>
      </c>
      <c r="E31" s="29">
        <v>12.721</v>
      </c>
      <c r="F31" s="29">
        <v>15.191000000000001</v>
      </c>
      <c r="G31" s="146">
        <v>19.175999999999998</v>
      </c>
      <c r="H31" s="146">
        <v>19.805</v>
      </c>
      <c r="I31" s="146">
        <v>20.378</v>
      </c>
      <c r="J31" s="146">
        <v>18.015000000000001</v>
      </c>
      <c r="K31" s="146">
        <v>20.163</v>
      </c>
      <c r="L31" s="146">
        <v>21.670999999999999</v>
      </c>
      <c r="M31" s="146">
        <v>31.567</v>
      </c>
      <c r="N31" s="146">
        <v>32.052</v>
      </c>
      <c r="O31" s="146">
        <v>43.484000000000002</v>
      </c>
      <c r="P31" s="146">
        <v>47.673999999999999</v>
      </c>
      <c r="Q31" s="146">
        <v>75.828000000000003</v>
      </c>
      <c r="R31" s="146">
        <v>84.820999999999998</v>
      </c>
      <c r="S31" s="146">
        <v>121.947</v>
      </c>
      <c r="T31" s="146">
        <v>132.863</v>
      </c>
      <c r="U31" s="146">
        <v>154.94</v>
      </c>
      <c r="V31" s="146">
        <v>142.304</v>
      </c>
      <c r="W31" s="146">
        <v>167.35</v>
      </c>
      <c r="X31" s="146">
        <v>152.69499999999999</v>
      </c>
      <c r="Y31" s="146">
        <v>161.68299999999999</v>
      </c>
      <c r="Z31" s="146">
        <v>174.499</v>
      </c>
      <c r="AA31" s="146">
        <v>163.09700000000001</v>
      </c>
      <c r="AB31" s="146">
        <v>231.67599999999999</v>
      </c>
      <c r="AC31" s="146">
        <v>233.059</v>
      </c>
      <c r="AD31" s="146">
        <v>242.95699999999999</v>
      </c>
      <c r="AE31" s="146">
        <v>242.73099999999999</v>
      </c>
      <c r="AF31" s="146">
        <v>251.05799999999999</v>
      </c>
      <c r="AG31" s="146">
        <v>282.233</v>
      </c>
      <c r="AH31" s="146">
        <v>301.05200000000002</v>
      </c>
      <c r="AI31" s="146">
        <v>363.19200000000001</v>
      </c>
      <c r="AJ31" s="146">
        <v>460.435</v>
      </c>
      <c r="AK31" s="146">
        <v>487.798</v>
      </c>
      <c r="AL31" s="146">
        <v>482.65899999999999</v>
      </c>
      <c r="AM31" s="146">
        <v>547.65700000000004</v>
      </c>
    </row>
    <row r="32" spans="2:39" ht="12" customHeight="1" x14ac:dyDescent="0.25">
      <c r="B32" s="169" t="s">
        <v>298</v>
      </c>
      <c r="C32" s="8" t="s">
        <v>258</v>
      </c>
      <c r="D32" s="29">
        <v>28.983000000000001</v>
      </c>
      <c r="E32" s="29">
        <v>39.15</v>
      </c>
      <c r="F32" s="29">
        <v>32.360999999999997</v>
      </c>
      <c r="G32" s="146">
        <v>34.835999999999999</v>
      </c>
      <c r="H32" s="146">
        <v>36.548999999999999</v>
      </c>
      <c r="I32" s="146">
        <v>36.594999999999999</v>
      </c>
      <c r="J32" s="146">
        <v>28.957000000000001</v>
      </c>
      <c r="K32" s="146">
        <v>25.228999999999999</v>
      </c>
      <c r="L32" s="146">
        <v>27.402999999999999</v>
      </c>
      <c r="M32" s="146">
        <v>23.626000000000001</v>
      </c>
      <c r="N32" s="146">
        <v>28.481000000000002</v>
      </c>
      <c r="O32" s="146">
        <v>34.125999999999998</v>
      </c>
      <c r="P32" s="146">
        <v>33.701999999999998</v>
      </c>
      <c r="Q32" s="146">
        <v>29.013999999999999</v>
      </c>
      <c r="R32" s="146">
        <v>25.766999999999999</v>
      </c>
      <c r="S32" s="146">
        <v>26.728999999999999</v>
      </c>
      <c r="T32" s="146">
        <v>26.207000000000001</v>
      </c>
      <c r="U32" s="146">
        <v>38.78</v>
      </c>
      <c r="V32" s="146">
        <v>54.901000000000003</v>
      </c>
      <c r="W32" s="146">
        <v>65.227000000000004</v>
      </c>
      <c r="X32" s="146">
        <v>63.01</v>
      </c>
      <c r="Y32" s="146">
        <v>71.183999999999997</v>
      </c>
      <c r="Z32" s="146">
        <v>73.188000000000002</v>
      </c>
      <c r="AA32" s="146">
        <v>80.965000000000003</v>
      </c>
      <c r="AB32" s="146">
        <v>97.873000000000005</v>
      </c>
      <c r="AC32" s="146">
        <v>94.73</v>
      </c>
      <c r="AD32" s="146">
        <v>88.932000000000002</v>
      </c>
      <c r="AE32" s="146">
        <v>100.60899999999999</v>
      </c>
      <c r="AF32" s="146">
        <v>98.603999999999999</v>
      </c>
      <c r="AG32" s="146">
        <v>92.23</v>
      </c>
      <c r="AH32" s="146">
        <v>64.911000000000001</v>
      </c>
      <c r="AI32" s="146">
        <v>69.188000000000002</v>
      </c>
      <c r="AJ32" s="146">
        <v>60.91</v>
      </c>
      <c r="AK32" s="146">
        <v>79.997</v>
      </c>
      <c r="AL32" s="146">
        <v>65.165999999999997</v>
      </c>
      <c r="AM32" s="146">
        <v>62.424999999999997</v>
      </c>
    </row>
    <row r="33" spans="2:39" ht="12" customHeight="1" x14ac:dyDescent="0.25">
      <c r="B33" s="169" t="s">
        <v>288</v>
      </c>
      <c r="C33" s="8" t="s">
        <v>258</v>
      </c>
      <c r="D33" s="29">
        <v>27.984000000000002</v>
      </c>
      <c r="E33" s="29">
        <v>21.46</v>
      </c>
      <c r="F33" s="29">
        <v>25.225000000000001</v>
      </c>
      <c r="G33" s="146">
        <v>28.401</v>
      </c>
      <c r="H33" s="146">
        <v>30.123000000000001</v>
      </c>
      <c r="I33" s="146">
        <v>41.052</v>
      </c>
      <c r="J33" s="146">
        <v>31.808</v>
      </c>
      <c r="K33" s="146">
        <v>36.527000000000001</v>
      </c>
      <c r="L33" s="146">
        <v>40.531999999999996</v>
      </c>
      <c r="M33" s="146">
        <v>37.670999999999999</v>
      </c>
      <c r="N33" s="146">
        <v>37.911000000000001</v>
      </c>
      <c r="O33" s="146">
        <v>42.341000000000001</v>
      </c>
      <c r="P33" s="146">
        <v>25.885000000000002</v>
      </c>
      <c r="Q33" s="146">
        <v>33.506999999999998</v>
      </c>
      <c r="R33" s="146">
        <v>25.774999999999999</v>
      </c>
      <c r="S33" s="146">
        <v>29.154</v>
      </c>
      <c r="T33" s="146">
        <v>27.204999999999998</v>
      </c>
      <c r="U33" s="146">
        <v>39.392000000000003</v>
      </c>
      <c r="V33" s="146">
        <v>29.222000000000001</v>
      </c>
      <c r="W33" s="146">
        <v>49.442999999999998</v>
      </c>
      <c r="X33" s="146">
        <v>37.253999999999998</v>
      </c>
      <c r="Y33" s="146">
        <v>39.893999999999998</v>
      </c>
      <c r="Z33" s="146">
        <v>45.143000000000001</v>
      </c>
      <c r="AA33" s="146">
        <v>52.151000000000003</v>
      </c>
      <c r="AB33" s="146">
        <v>56.005000000000003</v>
      </c>
      <c r="AC33" s="146">
        <v>52.97</v>
      </c>
      <c r="AD33" s="146">
        <v>54.926000000000002</v>
      </c>
      <c r="AE33" s="146">
        <v>51.122</v>
      </c>
      <c r="AF33" s="146">
        <v>54.698</v>
      </c>
      <c r="AG33" s="146">
        <v>67.581999999999994</v>
      </c>
      <c r="AH33" s="146">
        <v>65.224000000000004</v>
      </c>
      <c r="AI33" s="146">
        <v>53.554000000000002</v>
      </c>
      <c r="AJ33" s="146">
        <v>38.353999999999999</v>
      </c>
      <c r="AK33" s="146">
        <v>63.963000000000001</v>
      </c>
      <c r="AL33" s="146">
        <v>49.493000000000002</v>
      </c>
      <c r="AM33" s="146">
        <v>42.238</v>
      </c>
    </row>
    <row r="34" spans="2:39" ht="12" customHeight="1" x14ac:dyDescent="0.25">
      <c r="B34" s="169" t="s">
        <v>299</v>
      </c>
      <c r="C34" s="8" t="s">
        <v>258</v>
      </c>
      <c r="D34" s="29">
        <v>7.665</v>
      </c>
      <c r="E34" s="29">
        <v>15.116</v>
      </c>
      <c r="F34" s="29">
        <v>13.061</v>
      </c>
      <c r="G34" s="146">
        <v>8.3409999999999993</v>
      </c>
      <c r="H34" s="146">
        <v>7.2939999999999996</v>
      </c>
      <c r="I34" s="146">
        <v>9.282</v>
      </c>
      <c r="J34" s="146">
        <v>7.8810000000000002</v>
      </c>
      <c r="K34" s="146">
        <v>8.8239999999999998</v>
      </c>
      <c r="L34" s="146">
        <v>15.196</v>
      </c>
      <c r="M34" s="146">
        <v>15.548</v>
      </c>
      <c r="N34" s="146">
        <v>16.802</v>
      </c>
      <c r="O34" s="146">
        <v>28.885999999999999</v>
      </c>
      <c r="P34" s="146">
        <v>32.383000000000003</v>
      </c>
      <c r="Q34" s="146">
        <v>31.151</v>
      </c>
      <c r="R34" s="146">
        <v>25.279</v>
      </c>
      <c r="S34" s="146">
        <v>26.164999999999999</v>
      </c>
      <c r="T34" s="146">
        <v>25.844999999999999</v>
      </c>
      <c r="U34" s="146">
        <v>27.795999999999999</v>
      </c>
      <c r="V34" s="146">
        <v>23.231999999999999</v>
      </c>
      <c r="W34" s="146">
        <v>30.925000000000001</v>
      </c>
      <c r="X34" s="146">
        <v>38.875999999999998</v>
      </c>
      <c r="Y34" s="146">
        <v>27.949000000000002</v>
      </c>
      <c r="Z34" s="146">
        <v>36.295999999999999</v>
      </c>
      <c r="AA34" s="146">
        <v>50.865000000000002</v>
      </c>
      <c r="AB34" s="146">
        <v>73.491</v>
      </c>
      <c r="AC34" s="146">
        <v>85.563999999999993</v>
      </c>
      <c r="AD34" s="146">
        <v>89.504000000000005</v>
      </c>
      <c r="AE34" s="146">
        <v>78.84</v>
      </c>
      <c r="AF34" s="146">
        <v>76.600999999999999</v>
      </c>
      <c r="AG34" s="146">
        <v>84.144000000000005</v>
      </c>
      <c r="AH34" s="146">
        <v>98.159000000000006</v>
      </c>
      <c r="AI34" s="146">
        <v>113.313</v>
      </c>
      <c r="AJ34" s="146">
        <v>118.526</v>
      </c>
      <c r="AK34" s="146">
        <v>129.863</v>
      </c>
      <c r="AL34" s="146">
        <v>142.43</v>
      </c>
      <c r="AM34" s="146">
        <v>145.57499999999999</v>
      </c>
    </row>
    <row r="35" spans="2:39" ht="12" customHeight="1" x14ac:dyDescent="0.25">
      <c r="B35" s="169" t="s">
        <v>300</v>
      </c>
      <c r="C35" s="8" t="s">
        <v>258</v>
      </c>
      <c r="D35" s="29">
        <v>4.6399999999999997</v>
      </c>
      <c r="E35" s="29">
        <v>7.0750000000000002</v>
      </c>
      <c r="F35" s="29">
        <v>9.5779999999999994</v>
      </c>
      <c r="G35" s="146">
        <v>7.7450000000000001</v>
      </c>
      <c r="H35" s="146">
        <v>9.82</v>
      </c>
      <c r="I35" s="146">
        <v>11.401999999999999</v>
      </c>
      <c r="J35" s="146">
        <v>15.292999999999999</v>
      </c>
      <c r="K35" s="146">
        <v>17.635999999999999</v>
      </c>
      <c r="L35" s="146">
        <v>17.649999999999999</v>
      </c>
      <c r="M35" s="146">
        <v>17.695</v>
      </c>
      <c r="N35" s="146">
        <v>17.658999999999999</v>
      </c>
      <c r="O35" s="146">
        <v>23.329000000000001</v>
      </c>
      <c r="P35" s="146">
        <v>20.102</v>
      </c>
      <c r="Q35" s="146">
        <v>18.631</v>
      </c>
      <c r="R35" s="146">
        <v>19.928000000000001</v>
      </c>
      <c r="S35" s="146">
        <v>23.143000000000001</v>
      </c>
      <c r="T35" s="146">
        <v>24.218</v>
      </c>
      <c r="U35" s="146">
        <v>26.7</v>
      </c>
      <c r="V35" s="146">
        <v>32.430999999999997</v>
      </c>
      <c r="W35" s="146">
        <v>32.886000000000003</v>
      </c>
      <c r="X35" s="146">
        <v>36.685000000000002</v>
      </c>
      <c r="Y35" s="146">
        <v>39.465000000000003</v>
      </c>
      <c r="Z35" s="146">
        <v>38.930999999999997</v>
      </c>
      <c r="AA35" s="146">
        <v>48.146999999999998</v>
      </c>
      <c r="AB35" s="146">
        <v>44.472999999999999</v>
      </c>
      <c r="AC35" s="146">
        <v>58.296999999999997</v>
      </c>
      <c r="AD35" s="146">
        <v>60.283999999999999</v>
      </c>
      <c r="AE35" s="146">
        <v>55.35</v>
      </c>
      <c r="AF35" s="146">
        <v>59.667999999999999</v>
      </c>
      <c r="AG35" s="146">
        <v>68.367999999999995</v>
      </c>
      <c r="AH35" s="146">
        <v>51.701000000000001</v>
      </c>
      <c r="AI35" s="146">
        <v>50.762999999999998</v>
      </c>
      <c r="AJ35" s="146">
        <v>58.423999999999999</v>
      </c>
      <c r="AK35" s="146">
        <v>68.105999999999995</v>
      </c>
      <c r="AL35" s="146">
        <v>53.320999999999998</v>
      </c>
      <c r="AM35" s="146">
        <v>50.069000000000003</v>
      </c>
    </row>
    <row r="36" spans="2:39" ht="12" customHeight="1" x14ac:dyDescent="0.25">
      <c r="B36" s="169" t="s">
        <v>301</v>
      </c>
      <c r="C36" s="8" t="s">
        <v>258</v>
      </c>
      <c r="D36" s="29">
        <v>6.2E-2</v>
      </c>
      <c r="E36" s="29">
        <v>0</v>
      </c>
      <c r="F36" s="29">
        <v>0.19</v>
      </c>
      <c r="G36" s="146">
        <v>0.35</v>
      </c>
      <c r="H36" s="146">
        <v>7.94</v>
      </c>
      <c r="I36" s="146">
        <v>12.384</v>
      </c>
      <c r="J36" s="146">
        <v>12.276999999999999</v>
      </c>
      <c r="K36" s="146">
        <v>13.25</v>
      </c>
      <c r="L36" s="146">
        <v>26.064</v>
      </c>
      <c r="M36" s="146">
        <v>33.197000000000003</v>
      </c>
      <c r="N36" s="146">
        <v>34.023000000000003</v>
      </c>
      <c r="O36" s="146">
        <v>36.81</v>
      </c>
      <c r="P36" s="146">
        <v>38.703000000000003</v>
      </c>
      <c r="Q36" s="146">
        <v>37.874000000000002</v>
      </c>
      <c r="R36" s="146">
        <v>33.691000000000003</v>
      </c>
      <c r="S36" s="146">
        <v>31.507000000000001</v>
      </c>
      <c r="T36" s="146">
        <v>28.847000000000001</v>
      </c>
      <c r="U36" s="146">
        <v>33.069000000000003</v>
      </c>
      <c r="V36" s="146">
        <v>24.483000000000001</v>
      </c>
      <c r="W36" s="146">
        <v>23.390999999999998</v>
      </c>
      <c r="X36" s="146">
        <v>29.641999999999999</v>
      </c>
      <c r="Y36" s="146">
        <v>28.231000000000002</v>
      </c>
      <c r="Z36" s="146">
        <v>31.315000000000001</v>
      </c>
      <c r="AA36" s="146">
        <v>35.100999999999999</v>
      </c>
      <c r="AB36" s="146">
        <v>31.559000000000001</v>
      </c>
      <c r="AC36" s="146">
        <v>27.471</v>
      </c>
      <c r="AD36" s="146">
        <v>27.733000000000001</v>
      </c>
      <c r="AE36" s="146">
        <v>26.524999999999999</v>
      </c>
      <c r="AF36" s="146">
        <v>26.149000000000001</v>
      </c>
      <c r="AG36" s="146">
        <v>24.091999999999999</v>
      </c>
      <c r="AH36" s="146">
        <v>23.486000000000001</v>
      </c>
      <c r="AI36" s="146">
        <v>33.853999999999999</v>
      </c>
      <c r="AJ36" s="146">
        <v>23.7</v>
      </c>
      <c r="AK36" s="146">
        <v>32.406999999999996</v>
      </c>
      <c r="AL36" s="146">
        <v>21.754000000000001</v>
      </c>
      <c r="AM36" s="146">
        <v>31.497</v>
      </c>
    </row>
    <row r="37" spans="2:39" ht="12" customHeight="1" x14ac:dyDescent="0.25">
      <c r="B37" s="169" t="s">
        <v>302</v>
      </c>
      <c r="C37" s="8" t="s">
        <v>258</v>
      </c>
      <c r="D37" s="29">
        <v>8.3989999999999991</v>
      </c>
      <c r="E37" s="29">
        <v>6.1310000000000002</v>
      </c>
      <c r="F37" s="29">
        <v>4.4690000000000003</v>
      </c>
      <c r="G37" s="146">
        <v>4.9539999999999997</v>
      </c>
      <c r="H37" s="146">
        <v>6.78</v>
      </c>
      <c r="I37" s="146">
        <v>9.1590000000000007</v>
      </c>
      <c r="J37" s="146">
        <v>9.3119999999999994</v>
      </c>
      <c r="K37" s="146">
        <v>7.5730000000000004</v>
      </c>
      <c r="L37" s="146">
        <v>9.2059999999999995</v>
      </c>
      <c r="M37" s="146">
        <v>9.1999999999999993</v>
      </c>
      <c r="N37" s="146">
        <v>10.131</v>
      </c>
      <c r="O37" s="146">
        <v>12.484</v>
      </c>
      <c r="P37" s="146">
        <v>11.128</v>
      </c>
      <c r="Q37" s="146">
        <v>11.422000000000001</v>
      </c>
      <c r="R37" s="146">
        <v>15.946999999999999</v>
      </c>
      <c r="S37" s="146">
        <v>17.75</v>
      </c>
      <c r="T37" s="146">
        <v>18.678999999999998</v>
      </c>
      <c r="U37" s="146">
        <v>26.158999999999999</v>
      </c>
      <c r="V37" s="146">
        <v>19.024999999999999</v>
      </c>
      <c r="W37" s="146">
        <v>24.201000000000001</v>
      </c>
      <c r="X37" s="146">
        <v>23.553000000000001</v>
      </c>
      <c r="Y37" s="146">
        <v>18.812999999999999</v>
      </c>
      <c r="Z37" s="146">
        <v>25.256</v>
      </c>
      <c r="AA37" s="146">
        <v>32.152999999999999</v>
      </c>
      <c r="AB37" s="146">
        <v>44.768999999999998</v>
      </c>
      <c r="AC37" s="146">
        <v>58.15</v>
      </c>
      <c r="AD37" s="146">
        <v>47.719000000000001</v>
      </c>
      <c r="AE37" s="146">
        <v>61.786999999999999</v>
      </c>
      <c r="AF37" s="146">
        <v>58.831000000000003</v>
      </c>
      <c r="AG37" s="146">
        <v>74.247</v>
      </c>
      <c r="AH37" s="146">
        <v>70.495999999999995</v>
      </c>
      <c r="AI37" s="146">
        <v>71.126000000000005</v>
      </c>
      <c r="AJ37" s="146">
        <v>62.683</v>
      </c>
      <c r="AK37" s="146">
        <v>83.786000000000001</v>
      </c>
      <c r="AL37" s="146">
        <v>97.162999999999997</v>
      </c>
      <c r="AM37" s="146">
        <v>96.228999999999999</v>
      </c>
    </row>
    <row r="38" spans="2:39" ht="12" customHeight="1" x14ac:dyDescent="0.25">
      <c r="B38" s="170" t="s">
        <v>303</v>
      </c>
      <c r="C38" s="14" t="s">
        <v>258</v>
      </c>
      <c r="D38" s="29">
        <v>7.165</v>
      </c>
      <c r="E38" s="29">
        <v>6.298</v>
      </c>
      <c r="F38" s="29">
        <v>6.202</v>
      </c>
      <c r="G38" s="146">
        <v>7.0209999999999999</v>
      </c>
      <c r="H38" s="146">
        <v>7.3109999999999999</v>
      </c>
      <c r="I38" s="146">
        <v>8.6649999999999991</v>
      </c>
      <c r="J38" s="146">
        <v>7.6890000000000001</v>
      </c>
      <c r="K38" s="146">
        <v>7.9980000000000002</v>
      </c>
      <c r="L38" s="146">
        <v>7.8049999999999997</v>
      </c>
      <c r="M38" s="146">
        <v>7.0709999999999997</v>
      </c>
      <c r="N38" s="146">
        <v>7.2169999999999996</v>
      </c>
      <c r="O38" s="146">
        <v>7.2850000000000001</v>
      </c>
      <c r="P38" s="146">
        <v>6.7569999999999997</v>
      </c>
      <c r="Q38" s="146">
        <v>10.768000000000001</v>
      </c>
      <c r="R38" s="146">
        <v>12.202</v>
      </c>
      <c r="S38" s="146">
        <v>10.551</v>
      </c>
      <c r="T38" s="146">
        <v>15.691000000000001</v>
      </c>
      <c r="U38" s="146">
        <v>20.25</v>
      </c>
      <c r="V38" s="146">
        <v>21.274999999999999</v>
      </c>
      <c r="W38" s="146">
        <v>20.056999999999999</v>
      </c>
      <c r="X38" s="146">
        <v>26.721</v>
      </c>
      <c r="Y38" s="146">
        <v>24.684000000000001</v>
      </c>
      <c r="Z38" s="146">
        <v>27.053999999999998</v>
      </c>
      <c r="AA38" s="146">
        <v>29.925000000000001</v>
      </c>
      <c r="AB38" s="146">
        <v>45.360999999999997</v>
      </c>
      <c r="AC38" s="146">
        <v>68.108999999999995</v>
      </c>
      <c r="AD38" s="146">
        <v>66.756</v>
      </c>
      <c r="AE38" s="146">
        <v>91.272000000000006</v>
      </c>
      <c r="AF38" s="146">
        <v>95.724999999999994</v>
      </c>
      <c r="AG38" s="146">
        <v>86.701999999999998</v>
      </c>
      <c r="AH38" s="146">
        <v>93.361000000000004</v>
      </c>
      <c r="AI38" s="146">
        <v>71.117000000000004</v>
      </c>
      <c r="AJ38" s="146">
        <v>60.957999999999998</v>
      </c>
      <c r="AK38" s="146">
        <v>91</v>
      </c>
      <c r="AL38" s="146">
        <v>84.558999999999997</v>
      </c>
      <c r="AM38" s="146">
        <v>87.379000000000005</v>
      </c>
    </row>
    <row r="39" spans="2:39" ht="23.25" customHeight="1" x14ac:dyDescent="0.25">
      <c r="B39" s="328" t="s">
        <v>524</v>
      </c>
      <c r="C39" s="328"/>
      <c r="D39" s="328"/>
      <c r="E39" s="328"/>
      <c r="F39" s="328"/>
      <c r="G39" s="328"/>
      <c r="H39" s="328"/>
      <c r="I39" s="328"/>
      <c r="J39" s="328"/>
      <c r="K39" s="328"/>
      <c r="L39" s="328"/>
      <c r="M39" s="328"/>
      <c r="N39" s="328"/>
      <c r="O39" s="328"/>
      <c r="P39" s="328"/>
      <c r="Q39" s="328"/>
      <c r="R39" s="328"/>
      <c r="S39" s="328"/>
      <c r="T39" s="328"/>
      <c r="U39" s="328"/>
      <c r="V39" s="328"/>
      <c r="W39" s="328"/>
      <c r="X39" s="328"/>
      <c r="Y39" s="328"/>
      <c r="Z39" s="328"/>
      <c r="AA39" s="328"/>
      <c r="AB39" s="328"/>
      <c r="AC39" s="328"/>
      <c r="AD39" s="328"/>
      <c r="AE39" s="328"/>
      <c r="AF39" s="328"/>
      <c r="AG39" s="328"/>
      <c r="AH39" s="328"/>
      <c r="AI39" s="328"/>
      <c r="AJ39" s="328"/>
      <c r="AK39" s="328"/>
      <c r="AL39" s="328"/>
      <c r="AM39" s="296"/>
    </row>
  </sheetData>
  <mergeCells count="1">
    <mergeCell ref="B39:AL39"/>
  </mergeCells>
  <conditionalFormatting sqref="B11:D11 B23:D23 B28:D28">
    <cfRule type="cellIs" dxfId="67" priority="54" stopIfTrue="1" operator="lessThanOrEqual">
      <formula>-100</formula>
    </cfRule>
    <cfRule type="cellIs" dxfId="66" priority="53" stopIfTrue="1" operator="equal">
      <formula>0</formula>
    </cfRule>
    <cfRule type="cellIs" dxfId="65" priority="55" stopIfTrue="1" operator="between">
      <formula>-99.999999999999</formula>
      <formula>99.999999999999</formula>
    </cfRule>
    <cfRule type="cellIs" dxfId="64" priority="56" stopIfTrue="1" operator="greaterThanOrEqual">
      <formula>100</formula>
    </cfRule>
  </conditionalFormatting>
  <conditionalFormatting sqref="B11:D11 F11:AL11 B12:AL22 B23:D23 F23:AL23 B24:AL27 B28:D28 F28:AL28 B29:AL39">
    <cfRule type="cellIs" dxfId="63" priority="52" stopIfTrue="1" operator="greaterThanOrEqual">
      <formula>100</formula>
    </cfRule>
    <cfRule type="cellIs" dxfId="62" priority="51" stopIfTrue="1" operator="between">
      <formula>-99.999999999999</formula>
      <formula>99.999999999999</formula>
    </cfRule>
    <cfRule type="cellIs" dxfId="61" priority="50" stopIfTrue="1" operator="lessThanOrEqual">
      <formula>-100</formula>
    </cfRule>
  </conditionalFormatting>
  <conditionalFormatting sqref="B28:D28 F11:AL11 B12:AL22 F23:AL23 B24:AL27 F28:AL28 B29:AL39 B11:D11 B23:D23">
    <cfRule type="cellIs" dxfId="60" priority="49" stopIfTrue="1" operator="equal">
      <formula>0</formula>
    </cfRule>
  </conditionalFormatting>
  <conditionalFormatting sqref="B6:AL10">
    <cfRule type="cellIs" dxfId="59" priority="32" stopIfTrue="1" operator="greaterThanOrEqual">
      <formula>100</formula>
    </cfRule>
    <cfRule type="cellIs" dxfId="58" priority="30" stopIfTrue="1" operator="lessThanOrEqual">
      <formula>-100</formula>
    </cfRule>
    <cfRule type="cellIs" dxfId="57" priority="29" stopIfTrue="1" operator="equal">
      <formula>0</formula>
    </cfRule>
    <cfRule type="cellIs" dxfId="56" priority="31" stopIfTrue="1" operator="between">
      <formula>-99.999999999999</formula>
      <formula>99.999999999999</formula>
    </cfRule>
  </conditionalFormatting>
  <conditionalFormatting sqref="B6:AL39">
    <cfRule type="cellIs" dxfId="55" priority="60" stopIfTrue="1" operator="greaterThanOrEqual">
      <formula>100</formula>
    </cfRule>
    <cfRule type="cellIs" dxfId="54" priority="57" stopIfTrue="1" operator="equal">
      <formula>0</formula>
    </cfRule>
    <cfRule type="cellIs" dxfId="53" priority="58" stopIfTrue="1" operator="lessThanOrEqual">
      <formula>-100</formula>
    </cfRule>
    <cfRule type="cellIs" dxfId="52" priority="59" stopIfTrue="1" operator="between">
      <formula>-99.999999999999</formula>
      <formula>99.999999999999</formula>
    </cfRule>
  </conditionalFormatting>
  <conditionalFormatting sqref="D28">
    <cfRule type="cellIs" dxfId="51" priority="35" stopIfTrue="1" operator="between">
      <formula>-99.999999999999</formula>
      <formula>99.999999999999</formula>
    </cfRule>
    <cfRule type="cellIs" dxfId="50" priority="34" stopIfTrue="1" operator="lessThanOrEqual">
      <formula>-100</formula>
    </cfRule>
    <cfRule type="cellIs" dxfId="49" priority="33" stopIfTrue="1" operator="equal">
      <formula>0</formula>
    </cfRule>
    <cfRule type="cellIs" dxfId="48" priority="36" stopIfTrue="1" operator="greaterThanOrEqual">
      <formula>100</formula>
    </cfRule>
  </conditionalFormatting>
  <conditionalFormatting sqref="G11:AM21">
    <cfRule type="cellIs" dxfId="47" priority="13" stopIfTrue="1" operator="equal">
      <formula>0</formula>
    </cfRule>
    <cfRule type="cellIs" dxfId="46" priority="14" stopIfTrue="1" operator="lessThanOrEqual">
      <formula>-100</formula>
    </cfRule>
    <cfRule type="cellIs" dxfId="45" priority="15" stopIfTrue="1" operator="between">
      <formula>-99.999999999999</formula>
      <formula>99.999999999999</formula>
    </cfRule>
    <cfRule type="cellIs" dxfId="44" priority="16" stopIfTrue="1" operator="greaterThanOrEqual">
      <formula>100</formula>
    </cfRule>
  </conditionalFormatting>
  <conditionalFormatting sqref="G23:AM25">
    <cfRule type="cellIs" dxfId="43" priority="9" stopIfTrue="1" operator="equal">
      <formula>0</formula>
    </cfRule>
    <cfRule type="cellIs" dxfId="42" priority="10" stopIfTrue="1" operator="lessThanOrEqual">
      <formula>-100</formula>
    </cfRule>
    <cfRule type="cellIs" dxfId="41" priority="11" stopIfTrue="1" operator="between">
      <formula>-99.999999999999</formula>
      <formula>99.999999999999</formula>
    </cfRule>
    <cfRule type="cellIs" dxfId="40" priority="12" stopIfTrue="1" operator="greaterThanOrEqual">
      <formula>100</formula>
    </cfRule>
  </conditionalFormatting>
  <conditionalFormatting sqref="G28:AM38">
    <cfRule type="cellIs" dxfId="39" priority="7" stopIfTrue="1" operator="between">
      <formula>-99.999999999999</formula>
      <formula>99.999999999999</formula>
    </cfRule>
    <cfRule type="cellIs" dxfId="38" priority="5" stopIfTrue="1" operator="equal">
      <formula>0</formula>
    </cfRule>
    <cfRule type="cellIs" dxfId="37" priority="6" stopIfTrue="1" operator="lessThanOrEqual">
      <formula>-100</formula>
    </cfRule>
    <cfRule type="cellIs" dxfId="36" priority="8" stopIfTrue="1" operator="greaterThanOrEqual">
      <formula>100</formula>
    </cfRule>
  </conditionalFormatting>
  <conditionalFormatting sqref="AM6">
    <cfRule type="cellIs" dxfId="35" priority="20" stopIfTrue="1" operator="greaterThanOrEqual">
      <formula>100</formula>
    </cfRule>
    <cfRule type="cellIs" dxfId="34" priority="18" stopIfTrue="1" operator="lessThanOrEqual">
      <formula>-100</formula>
    </cfRule>
    <cfRule type="cellIs" dxfId="33" priority="17" stopIfTrue="1" operator="equal">
      <formula>0</formula>
    </cfRule>
    <cfRule type="cellIs" dxfId="32" priority="19" stopIfTrue="1" operator="between">
      <formula>-99.999999999999</formula>
      <formula>99.999999999999</formula>
    </cfRule>
  </conditionalFormatting>
  <conditionalFormatting sqref="AM6:AM39">
    <cfRule type="cellIs" dxfId="31" priority="21" stopIfTrue="1" operator="equal">
      <formula>0</formula>
    </cfRule>
    <cfRule type="cellIs" dxfId="30" priority="26" stopIfTrue="1" operator="lessThanOrEqual">
      <formula>-100</formula>
    </cfRule>
    <cfRule type="cellIs" dxfId="29" priority="27" stopIfTrue="1" operator="between">
      <formula>-99.999999999999</formula>
      <formula>99.999999999999</formula>
    </cfRule>
    <cfRule type="cellIs" dxfId="28" priority="28" stopIfTrue="1" operator="greaterThanOrEqual">
      <formula>100</formula>
    </cfRule>
    <cfRule type="cellIs" dxfId="27" priority="24" stopIfTrue="1" operator="greaterThanOrEqual">
      <formula>100</formula>
    </cfRule>
    <cfRule type="cellIs" dxfId="26" priority="23" stopIfTrue="1" operator="between">
      <formula>-99.999999999999</formula>
      <formula>99.999999999999</formula>
    </cfRule>
    <cfRule type="cellIs" dxfId="25" priority="25" stopIfTrue="1" operator="equal">
      <formula>0</formula>
    </cfRule>
    <cfRule type="cellIs" dxfId="24" priority="22" stopIfTrue="1" operator="lessThanOrEqual">
      <formula>-100</formula>
    </cfRule>
  </conditionalFormatting>
  <conditionalFormatting sqref="AM8">
    <cfRule type="cellIs" dxfId="23" priority="1" stopIfTrue="1" operator="equal">
      <formula>0</formula>
    </cfRule>
    <cfRule type="cellIs" dxfId="22" priority="4" stopIfTrue="1" operator="greaterThanOrEqual">
      <formula>100</formula>
    </cfRule>
    <cfRule type="cellIs" dxfId="21" priority="3" stopIfTrue="1" operator="between">
      <formula>-99.999999999999</formula>
      <formula>99.999999999999</formula>
    </cfRule>
    <cfRule type="cellIs" dxfId="20" priority="2" stopIfTrue="1" operator="lessThanOrEqual">
      <formula>-100</formula>
    </cfRule>
  </conditionalFormatting>
  <pageMargins left="0.7" right="0.7" top="0.75" bottom="0.75" header="0.3" footer="0.3"/>
  <pageSetup paperSize="9" scale="24"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2E99B-BF4C-43A6-836F-673B9353A806}">
  <dimension ref="B6:AD25"/>
  <sheetViews>
    <sheetView zoomScaleNormal="100" workbookViewId="0"/>
  </sheetViews>
  <sheetFormatPr defaultColWidth="9.140625" defaultRowHeight="15" x14ac:dyDescent="0.25"/>
  <cols>
    <col min="1" max="1" width="9.140625" style="259"/>
    <col min="2" max="2" width="39" style="259" customWidth="1"/>
    <col min="3" max="3" width="10.42578125" style="259" customWidth="1"/>
    <col min="4" max="16384" width="9.140625" style="259"/>
  </cols>
  <sheetData>
    <row r="6" spans="2:30" x14ac:dyDescent="0.25">
      <c r="B6" s="260"/>
      <c r="C6" s="261"/>
      <c r="D6" s="261"/>
      <c r="E6" s="261"/>
      <c r="F6" s="261"/>
      <c r="G6" s="261"/>
      <c r="H6" s="261"/>
      <c r="I6" s="261"/>
      <c r="J6" s="261"/>
      <c r="K6" s="261"/>
      <c r="L6" s="261"/>
      <c r="M6" s="261"/>
      <c r="N6" s="261"/>
      <c r="O6" s="261"/>
      <c r="P6" s="261"/>
      <c r="Q6" s="261"/>
      <c r="R6" s="261"/>
      <c r="S6" s="261"/>
      <c r="T6" s="261"/>
      <c r="U6" s="261"/>
      <c r="V6" s="261"/>
      <c r="W6" s="261"/>
      <c r="X6" s="261"/>
      <c r="Y6" s="261"/>
      <c r="Z6" s="261"/>
      <c r="AA6" s="261"/>
      <c r="AB6" s="262"/>
      <c r="AC6" s="262"/>
      <c r="AD6" s="262" t="s">
        <v>0</v>
      </c>
    </row>
    <row r="7" spans="2:30" ht="15.75" x14ac:dyDescent="0.25">
      <c r="B7" s="395" t="s">
        <v>440</v>
      </c>
      <c r="C7" s="395"/>
      <c r="D7" s="395"/>
      <c r="E7" s="395"/>
      <c r="F7" s="395"/>
      <c r="G7" s="395"/>
      <c r="H7" s="395"/>
      <c r="I7" s="395"/>
      <c r="J7" s="395"/>
      <c r="K7" s="395"/>
      <c r="L7" s="395"/>
      <c r="M7" s="395"/>
      <c r="N7" s="395"/>
      <c r="O7" s="395"/>
      <c r="P7" s="395"/>
      <c r="Q7" s="395"/>
      <c r="R7" s="395"/>
      <c r="S7" s="395"/>
      <c r="T7" s="395"/>
      <c r="U7" s="395"/>
      <c r="V7" s="395"/>
      <c r="W7" s="395"/>
      <c r="X7" s="395"/>
      <c r="Y7" s="395"/>
      <c r="Z7" s="395"/>
      <c r="AA7" s="395"/>
      <c r="AB7" s="395"/>
      <c r="AC7" s="395"/>
      <c r="AD7" s="304"/>
    </row>
    <row r="8" spans="2:30" x14ac:dyDescent="0.25">
      <c r="B8" s="263" t="s">
        <v>441</v>
      </c>
      <c r="C8" s="264" t="s">
        <v>3</v>
      </c>
      <c r="D8" s="264" t="s">
        <v>166</v>
      </c>
      <c r="E8" s="264" t="s">
        <v>167</v>
      </c>
      <c r="F8" s="264" t="s">
        <v>168</v>
      </c>
      <c r="G8" s="264" t="s">
        <v>169</v>
      </c>
      <c r="H8" s="264" t="s">
        <v>170</v>
      </c>
      <c r="I8" s="264" t="s">
        <v>171</v>
      </c>
      <c r="J8" s="264" t="s">
        <v>172</v>
      </c>
      <c r="K8" s="264" t="s">
        <v>173</v>
      </c>
      <c r="L8" s="264" t="s">
        <v>174</v>
      </c>
      <c r="M8" s="264" t="s">
        <v>175</v>
      </c>
      <c r="N8" s="264" t="s">
        <v>176</v>
      </c>
      <c r="O8" s="264" t="s">
        <v>177</v>
      </c>
      <c r="P8" s="264" t="s">
        <v>178</v>
      </c>
      <c r="Q8" s="264" t="s">
        <v>179</v>
      </c>
      <c r="R8" s="264" t="s">
        <v>180</v>
      </c>
      <c r="S8" s="264" t="s">
        <v>181</v>
      </c>
      <c r="T8" s="264" t="s">
        <v>182</v>
      </c>
      <c r="U8" s="264" t="s">
        <v>183</v>
      </c>
      <c r="V8" s="264" t="s">
        <v>184</v>
      </c>
      <c r="W8" s="264" t="s">
        <v>185</v>
      </c>
      <c r="X8" s="264" t="s">
        <v>186</v>
      </c>
      <c r="Y8" s="264" t="s">
        <v>187</v>
      </c>
      <c r="Z8" s="264" t="s">
        <v>188</v>
      </c>
      <c r="AA8" s="264" t="s">
        <v>189</v>
      </c>
      <c r="AB8" s="264" t="s">
        <v>190</v>
      </c>
      <c r="AC8" s="264" t="s">
        <v>191</v>
      </c>
      <c r="AD8" s="264" t="s">
        <v>547</v>
      </c>
    </row>
    <row r="9" spans="2:30" x14ac:dyDescent="0.25">
      <c r="B9" s="396" t="s">
        <v>13</v>
      </c>
      <c r="C9" s="396"/>
      <c r="D9" s="396"/>
      <c r="E9" s="396"/>
      <c r="F9" s="396"/>
      <c r="G9" s="396"/>
      <c r="H9" s="396"/>
      <c r="I9" s="396"/>
      <c r="J9" s="396"/>
      <c r="K9" s="396"/>
      <c r="L9" s="396"/>
      <c r="M9" s="396"/>
      <c r="N9" s="396"/>
      <c r="O9" s="396"/>
      <c r="P9" s="396"/>
      <c r="Q9" s="396"/>
      <c r="R9" s="396"/>
      <c r="S9" s="396"/>
      <c r="T9" s="396"/>
      <c r="U9" s="396"/>
      <c r="V9" s="396"/>
      <c r="W9" s="396"/>
      <c r="X9" s="396"/>
      <c r="Y9" s="396"/>
      <c r="Z9" s="396"/>
      <c r="AA9" s="396"/>
      <c r="AB9" s="396"/>
    </row>
    <row r="10" spans="2:30" x14ac:dyDescent="0.25">
      <c r="B10" s="265" t="s">
        <v>442</v>
      </c>
      <c r="C10" s="266" t="s">
        <v>35</v>
      </c>
      <c r="D10" s="286">
        <f>[1]Cons_summary!C8</f>
        <v>168467.17285999999</v>
      </c>
      <c r="E10" s="286">
        <f>[1]Cons_summary!D8</f>
        <v>167242.88668999998</v>
      </c>
      <c r="F10" s="286">
        <f>[1]Cons_summary!E8</f>
        <v>171172.45632999999</v>
      </c>
      <c r="G10" s="286">
        <f>[1]Cons_summary!F8</f>
        <v>169108.054</v>
      </c>
      <c r="H10" s="286">
        <f>[1]Cons_summary!G8</f>
        <v>172176.33094999997</v>
      </c>
      <c r="I10" s="286">
        <f>[1]Cons_summary!H8</f>
        <v>181880.75909999997</v>
      </c>
      <c r="J10" s="286">
        <f>[1]Cons_summary!I8</f>
        <v>176713.06910000002</v>
      </c>
      <c r="K10" s="286">
        <f>[1]Cons_summary!J8</f>
        <v>164353.02434999999</v>
      </c>
      <c r="L10" s="286">
        <f>[1]Cons_summary!K8</f>
        <v>164515.8964</v>
      </c>
      <c r="M10" s="286">
        <f>[1]Cons_summary!L8</f>
        <v>162705.70170000001</v>
      </c>
      <c r="N10" s="286">
        <f>[1]Cons_summary!M8</f>
        <v>161655.75464999999</v>
      </c>
      <c r="O10" s="286">
        <f>[1]Cons_summary!N8</f>
        <v>159848.47355000002</v>
      </c>
      <c r="P10" s="286">
        <f>[1]Cons_summary!O8</f>
        <v>158193.93095000001</v>
      </c>
      <c r="Q10" s="286">
        <f>[1]Cons_summary!P8</f>
        <v>150607.24764999998</v>
      </c>
      <c r="R10" s="286">
        <f>[1]Cons_summary!Q8</f>
        <v>151267.71805</v>
      </c>
      <c r="S10" s="286">
        <f>[1]Cons_summary!R8</f>
        <v>148368.48294999998</v>
      </c>
      <c r="T10" s="286">
        <f>[1]Cons_summary!S8</f>
        <v>155917.79799999998</v>
      </c>
      <c r="U10" s="286">
        <f>[1]Cons_summary!T8</f>
        <v>169650.38140000001</v>
      </c>
      <c r="V10" s="286">
        <f>[1]Cons_summary!U8</f>
        <v>167490.32034999999</v>
      </c>
      <c r="W10" s="286">
        <f>[1]Cons_summary!V8</f>
        <v>170474.7169</v>
      </c>
      <c r="X10" s="286">
        <f>[1]Cons_summary!W8</f>
        <v>176649.46273999999</v>
      </c>
      <c r="Y10" s="286">
        <f>[1]Cons_summary!X8</f>
        <v>176667.34331</v>
      </c>
      <c r="Z10" s="286">
        <f>[1]Cons_summary!Y8</f>
        <v>196417.04810000001</v>
      </c>
      <c r="AA10" s="286">
        <f>[1]Cons_summary!Z8</f>
        <v>193321.49460000001</v>
      </c>
      <c r="AB10" s="286">
        <f>[1]Cons_summary!AA8</f>
        <v>197346.03835000002</v>
      </c>
      <c r="AC10" s="286">
        <f>[1]Cons_summary!AB8</f>
        <v>188455.09330000001</v>
      </c>
      <c r="AD10" s="10" t="s">
        <v>19</v>
      </c>
    </row>
    <row r="11" spans="2:30" x14ac:dyDescent="0.25">
      <c r="B11" s="265" t="s">
        <v>443</v>
      </c>
      <c r="C11" s="266" t="s">
        <v>35</v>
      </c>
      <c r="D11" s="286">
        <f>[1]Imports!E4</f>
        <v>132396.269</v>
      </c>
      <c r="E11" s="286">
        <f>[1]Imports!F4</f>
        <v>139062.16</v>
      </c>
      <c r="F11" s="286">
        <f>[1]Imports!G4</f>
        <v>143737.73199999999</v>
      </c>
      <c r="G11" s="286">
        <f>[1]Imports!H4</f>
        <v>146053.50099999999</v>
      </c>
      <c r="H11" s="286">
        <f>[1]Imports!I4</f>
        <v>164440.24900000001</v>
      </c>
      <c r="I11" s="286">
        <f>[1]Imports!J4</f>
        <v>187835.91</v>
      </c>
      <c r="J11" s="286">
        <f>[1]Imports!K4</f>
        <v>186214.65900000001</v>
      </c>
      <c r="K11" s="286">
        <f>[1]Imports!L4</f>
        <v>188311.58799999999</v>
      </c>
      <c r="L11" s="286">
        <f>[1]Imports!M4</f>
        <v>198423.921</v>
      </c>
      <c r="M11" s="286">
        <f>[1]Imports!N4</f>
        <v>198273.103</v>
      </c>
      <c r="N11" s="286">
        <f>[1]Imports!O4</f>
        <v>193312.10399999999</v>
      </c>
      <c r="O11" s="286">
        <f>[1]Imports!P4</f>
        <v>207439.13200000001</v>
      </c>
      <c r="P11" s="286">
        <f>[1]Imports!Q4</f>
        <v>211779.30499999999</v>
      </c>
      <c r="Q11" s="286">
        <f>[1]Imports!R4</f>
        <v>214244.06</v>
      </c>
      <c r="R11" s="286">
        <f>[1]Imports!S4</f>
        <v>228390.98</v>
      </c>
      <c r="S11" s="286">
        <f>[1]Imports!T4</f>
        <v>237510.6</v>
      </c>
      <c r="T11" s="286">
        <f>[1]Imports!U4</f>
        <v>227612.29</v>
      </c>
      <c r="U11" s="286">
        <f>[1]Imports!V4</f>
        <v>222778.21100000001</v>
      </c>
      <c r="V11" s="286">
        <f>[1]Imports!W4</f>
        <v>226385.84700000001</v>
      </c>
      <c r="W11" s="286">
        <f>[1]Imports!X4</f>
        <v>221588.897</v>
      </c>
      <c r="X11" s="286">
        <f>[1]Imports!Y4</f>
        <v>221465.87</v>
      </c>
      <c r="Y11" s="286">
        <f>[1]Imports!Z4</f>
        <v>207047.32127700001</v>
      </c>
      <c r="Z11" s="286">
        <f>[1]Imports!AA4</f>
        <v>222290.086163</v>
      </c>
      <c r="AA11" s="286">
        <f>[1]Imports!AB4</f>
        <v>225805.99312699999</v>
      </c>
      <c r="AB11" s="286">
        <f>[1]Imports!AC4</f>
        <v>230560.108056</v>
      </c>
      <c r="AC11" s="286">
        <f>[1]Imports!AD4</f>
        <v>215230.913975</v>
      </c>
      <c r="AD11" s="10" t="s">
        <v>19</v>
      </c>
    </row>
    <row r="12" spans="2:30" x14ac:dyDescent="0.25">
      <c r="B12" s="265" t="s">
        <v>444</v>
      </c>
      <c r="C12" s="266" t="s">
        <v>35</v>
      </c>
      <c r="D12" s="286">
        <v>61686.578999999998</v>
      </c>
      <c r="E12" s="286">
        <v>64841.648999999998</v>
      </c>
      <c r="F12" s="286">
        <v>66395.301999999996</v>
      </c>
      <c r="G12" s="286">
        <v>65930.182000000001</v>
      </c>
      <c r="H12" s="286">
        <v>61743.641000000003</v>
      </c>
      <c r="I12" s="286">
        <v>59839.440999999999</v>
      </c>
      <c r="J12" s="286">
        <v>58347.752999999997</v>
      </c>
      <c r="K12" s="286">
        <v>53285.377999999997</v>
      </c>
      <c r="L12" s="286">
        <v>49086.207999999999</v>
      </c>
      <c r="M12" s="286">
        <v>45032.057999999997</v>
      </c>
      <c r="N12" s="286">
        <v>47976.993000000002</v>
      </c>
      <c r="O12" s="286">
        <v>40896.165999999997</v>
      </c>
      <c r="P12" s="286">
        <v>42362.964999999997</v>
      </c>
      <c r="Q12" s="286">
        <v>40461.161999999997</v>
      </c>
      <c r="R12" s="286">
        <v>35303.68</v>
      </c>
      <c r="S12" s="286">
        <v>38903.841</v>
      </c>
      <c r="T12" s="286">
        <v>43260.942999999999</v>
      </c>
      <c r="U12" s="286">
        <v>62054.822999999997</v>
      </c>
      <c r="V12" s="286">
        <v>51371.105000000003</v>
      </c>
      <c r="W12" s="286">
        <v>50741.474999999999</v>
      </c>
      <c r="X12" s="286">
        <v>45762.406999999999</v>
      </c>
      <c r="Y12" s="286">
        <v>55913.713510000001</v>
      </c>
      <c r="Z12" s="286">
        <v>62960.395340000003</v>
      </c>
      <c r="AA12" s="286">
        <v>58692.680780000002</v>
      </c>
      <c r="AB12" s="286">
        <v>50804.503290000001</v>
      </c>
      <c r="AC12" s="286">
        <v>51291.072010000004</v>
      </c>
      <c r="AD12" s="10" t="s">
        <v>19</v>
      </c>
    </row>
    <row r="13" spans="2:30" x14ac:dyDescent="0.25">
      <c r="B13" s="265" t="s">
        <v>445</v>
      </c>
      <c r="C13" s="266" t="s">
        <v>35</v>
      </c>
      <c r="D13" s="286">
        <f>[1]Cons_summary!C11</f>
        <v>239176.86286000002</v>
      </c>
      <c r="E13" s="286">
        <f>[1]Cons_summary!D11</f>
        <v>241463.39768999998</v>
      </c>
      <c r="F13" s="286">
        <f>[1]Cons_summary!E11</f>
        <v>248514.88632999998</v>
      </c>
      <c r="G13" s="286">
        <f>[1]Cons_summary!F11</f>
        <v>249231.37299999999</v>
      </c>
      <c r="H13" s="286">
        <f>[1]Cons_summary!G11</f>
        <v>274872.93894999998</v>
      </c>
      <c r="I13" s="286">
        <f>[1]Cons_summary!H11</f>
        <v>309877.22809999995</v>
      </c>
      <c r="J13" s="286">
        <f>[1]Cons_summary!I11</f>
        <v>304579.97510000004</v>
      </c>
      <c r="K13" s="286">
        <f>[1]Cons_summary!J11</f>
        <v>299379.23434999993</v>
      </c>
      <c r="L13" s="286">
        <f>[1]Cons_summary!K11</f>
        <v>313853.60940000002</v>
      </c>
      <c r="M13" s="286">
        <f>[1]Cons_summary!L11</f>
        <v>315946.74669999996</v>
      </c>
      <c r="N13" s="286">
        <f>[1]Cons_summary!M11</f>
        <v>306990.86564999993</v>
      </c>
      <c r="O13" s="286">
        <f>[1]Cons_summary!N11</f>
        <v>326391.43955000001</v>
      </c>
      <c r="P13" s="286">
        <f>[1]Cons_summary!O11</f>
        <v>327610.27095000003</v>
      </c>
      <c r="Q13" s="286">
        <f>[1]Cons_summary!P11</f>
        <v>324390.14564999996</v>
      </c>
      <c r="R13" s="286">
        <f>[1]Cons_summary!Q11</f>
        <v>344355.01805000001</v>
      </c>
      <c r="S13" s="286">
        <f>[1]Cons_summary!R11</f>
        <v>346975.24194999994</v>
      </c>
      <c r="T13" s="286">
        <f>[1]Cons_summary!S11</f>
        <v>340269.14500000002</v>
      </c>
      <c r="U13" s="286">
        <f>[1]Cons_summary!T11</f>
        <v>330373.76940000005</v>
      </c>
      <c r="V13" s="286">
        <f>[1]Cons_summary!U11</f>
        <v>342505.06235000002</v>
      </c>
      <c r="W13" s="286">
        <f>[1]Cons_summary!V11</f>
        <v>341322.13890000002</v>
      </c>
      <c r="X13" s="286">
        <f>[1]Cons_summary!W11</f>
        <v>352352.92573999998</v>
      </c>
      <c r="Y13" s="286">
        <f>[1]Cons_summary!X11</f>
        <v>327800.95107700001</v>
      </c>
      <c r="Z13" s="286">
        <f>[1]Cons_summary!Y11</f>
        <v>355746.738923</v>
      </c>
      <c r="AA13" s="286">
        <f>[1]Cons_summary!Z11</f>
        <v>360434.80694700003</v>
      </c>
      <c r="AB13" s="286">
        <f>[1]Cons_summary!AA11</f>
        <v>377101.64311599999</v>
      </c>
      <c r="AC13" s="286">
        <f>[1]Cons_summary!AB11</f>
        <v>352394.93526499998</v>
      </c>
      <c r="AD13" s="10" t="s">
        <v>19</v>
      </c>
    </row>
    <row r="14" spans="2:30" x14ac:dyDescent="0.25">
      <c r="B14" s="267" t="s">
        <v>446</v>
      </c>
      <c r="C14" s="268" t="s">
        <v>447</v>
      </c>
      <c r="D14" s="287">
        <f>D11/D13*100</f>
        <v>55.354965115290831</v>
      </c>
      <c r="E14" s="287">
        <f t="shared" ref="E14:AC14" si="0">E11/E13*100</f>
        <v>57.591403637305461</v>
      </c>
      <c r="F14" s="287">
        <f t="shared" si="0"/>
        <v>57.838680862414158</v>
      </c>
      <c r="G14" s="287">
        <f t="shared" si="0"/>
        <v>58.601571400082122</v>
      </c>
      <c r="H14" s="287">
        <f t="shared" si="0"/>
        <v>59.824095317695893</v>
      </c>
      <c r="I14" s="287">
        <f t="shared" si="0"/>
        <v>60.616235388353154</v>
      </c>
      <c r="J14" s="287">
        <f t="shared" si="0"/>
        <v>61.138181831836391</v>
      </c>
      <c r="K14" s="287">
        <f t="shared" si="0"/>
        <v>62.900684614567368</v>
      </c>
      <c r="L14" s="287">
        <f t="shared" si="0"/>
        <v>63.221806299864078</v>
      </c>
      <c r="M14" s="287">
        <f t="shared" si="0"/>
        <v>62.755228553837817</v>
      </c>
      <c r="N14" s="287">
        <f t="shared" si="0"/>
        <v>62.969985634815259</v>
      </c>
      <c r="O14" s="287">
        <f t="shared" si="0"/>
        <v>63.55532249436412</v>
      </c>
      <c r="P14" s="287">
        <f t="shared" si="0"/>
        <v>64.643670781714221</v>
      </c>
      <c r="Q14" s="287">
        <f t="shared" si="0"/>
        <v>66.045181357376421</v>
      </c>
      <c r="R14" s="287">
        <f t="shared" si="0"/>
        <v>66.324278151462238</v>
      </c>
      <c r="S14" s="287">
        <f t="shared" si="0"/>
        <v>68.451742742563155</v>
      </c>
      <c r="T14" s="287">
        <f t="shared" si="0"/>
        <v>66.891839399661109</v>
      </c>
      <c r="U14" s="287">
        <f t="shared" si="0"/>
        <v>67.43217277951365</v>
      </c>
      <c r="V14" s="287">
        <f t="shared" si="0"/>
        <v>66.097080564800592</v>
      </c>
      <c r="W14" s="287">
        <f t="shared" si="0"/>
        <v>64.920751321355326</v>
      </c>
      <c r="X14" s="287">
        <f t="shared" si="0"/>
        <v>62.853421618363093</v>
      </c>
      <c r="Y14" s="287">
        <f t="shared" si="0"/>
        <v>63.16251389653987</v>
      </c>
      <c r="Z14" s="287">
        <f t="shared" si="0"/>
        <v>62.48548808513852</v>
      </c>
      <c r="AA14" s="287">
        <f t="shared" si="0"/>
        <v>62.648220642076758</v>
      </c>
      <c r="AB14" s="287">
        <f t="shared" si="0"/>
        <v>61.140043345045179</v>
      </c>
      <c r="AC14" s="287">
        <f t="shared" si="0"/>
        <v>61.076619564111212</v>
      </c>
      <c r="AD14" s="10" t="s">
        <v>19</v>
      </c>
    </row>
    <row r="15" spans="2:30" x14ac:dyDescent="0.25">
      <c r="B15" s="397" t="s">
        <v>448</v>
      </c>
      <c r="C15" s="397"/>
      <c r="D15" s="397"/>
      <c r="E15" s="397"/>
      <c r="F15" s="397"/>
      <c r="G15" s="397"/>
      <c r="H15" s="397"/>
      <c r="I15" s="397"/>
      <c r="J15" s="397"/>
      <c r="K15" s="397"/>
      <c r="L15" s="397"/>
      <c r="M15" s="397"/>
      <c r="N15" s="397"/>
      <c r="O15" s="397"/>
      <c r="P15" s="397"/>
      <c r="Q15" s="397"/>
      <c r="R15" s="397"/>
      <c r="S15" s="397"/>
      <c r="T15" s="397"/>
      <c r="U15" s="397"/>
      <c r="V15" s="397"/>
      <c r="W15" s="397"/>
      <c r="X15" s="397"/>
      <c r="Y15" s="397"/>
      <c r="Z15" s="397"/>
      <c r="AA15" s="397"/>
      <c r="AB15" s="397"/>
    </row>
    <row r="16" spans="2:30" x14ac:dyDescent="0.25">
      <c r="B16" s="265" t="s">
        <v>449</v>
      </c>
      <c r="C16" s="266" t="s">
        <v>450</v>
      </c>
      <c r="D16" s="286">
        <f>[1]Cons_summary!C68</f>
        <v>0.79653639774564089</v>
      </c>
      <c r="E16" s="286">
        <f>[1]Cons_summary!D68</f>
        <v>0.91331520502446784</v>
      </c>
      <c r="F16" s="286">
        <f>[1]Cons_summary!E68</f>
        <v>1.1209056057471394</v>
      </c>
      <c r="G16" s="286">
        <f>[1]Cons_summary!F68</f>
        <v>1.0122458696264365</v>
      </c>
      <c r="H16" s="286">
        <f>[1]Cons_summary!G68</f>
        <v>1.0740753350141021</v>
      </c>
      <c r="I16" s="286">
        <f>[1]Cons_summary!H68</f>
        <v>1.1836842052982026</v>
      </c>
      <c r="J16" s="286">
        <f>[1]Cons_summary!I68</f>
        <v>1.1302890878276108</v>
      </c>
      <c r="K16" s="286">
        <f>[1]Cons_summary!J68</f>
        <v>1.2568588300425516</v>
      </c>
      <c r="L16" s="286">
        <f>[1]Cons_summary!K68</f>
        <v>1.5093463286399185</v>
      </c>
      <c r="M16" s="286">
        <f>[1]Cons_summary!L68</f>
        <v>1.2890729669386596</v>
      </c>
      <c r="N16" s="286">
        <f>[1]Cons_summary!M68</f>
        <v>1.2779681105907423</v>
      </c>
      <c r="O16" s="286">
        <f>[1]Cons_summary!N68</f>
        <v>1.3926625165953683</v>
      </c>
      <c r="P16" s="286">
        <f>[1]Cons_summary!O68</f>
        <v>1.4456294406845758</v>
      </c>
      <c r="Q16" s="286">
        <f>[1]Cons_summary!P68</f>
        <v>1.7099860998086527</v>
      </c>
      <c r="R16" s="286">
        <f>[1]Cons_summary!Q68</f>
        <v>1.8558230369607498</v>
      </c>
      <c r="S16" s="286">
        <f>[1]Cons_summary!R68</f>
        <v>1.9197171575731591</v>
      </c>
      <c r="T16" s="286">
        <f>[1]Cons_summary!S68</f>
        <v>2.0612541697292088</v>
      </c>
      <c r="U16" s="286">
        <f>[1]Cons_summary!T68</f>
        <v>2.1061830298467106</v>
      </c>
      <c r="V16" s="286">
        <f>[1]Cons_summary!U68</f>
        <v>2.0660644909444303</v>
      </c>
      <c r="W16" s="286">
        <f>[1]Cons_summary!V68</f>
        <v>2.0182741384352232</v>
      </c>
      <c r="X16" s="286">
        <f>[1]Cons_summary!W68</f>
        <v>1.9800283337543616</v>
      </c>
      <c r="Y16" s="286">
        <f>[1]Cons_summary!X68</f>
        <v>1.9533658132979184</v>
      </c>
      <c r="Z16" s="286">
        <f>[1]Cons_summary!Y68</f>
        <v>2.121604503764785</v>
      </c>
      <c r="AA16" s="286">
        <f>[1]Cons_summary!Z68</f>
        <v>1.7353225891793784</v>
      </c>
      <c r="AB16" s="286">
        <f>[1]Cons_summary!AA68</f>
        <v>1.8454280889444934</v>
      </c>
      <c r="AC16" s="286">
        <f>[1]Cons_summary!AB68</f>
        <v>1.5838957034273808</v>
      </c>
      <c r="AD16" s="10" t="s">
        <v>19</v>
      </c>
    </row>
    <row r="17" spans="2:30" x14ac:dyDescent="0.25">
      <c r="B17" s="265" t="s">
        <v>451</v>
      </c>
      <c r="C17" s="266" t="s">
        <v>450</v>
      </c>
      <c r="D17" s="286">
        <f>[1]Cons_summary!C69</f>
        <v>1.6199190379212198</v>
      </c>
      <c r="E17" s="286">
        <f>[1]Cons_summary!D69</f>
        <v>1.173185006602097</v>
      </c>
      <c r="F17" s="286">
        <f>[1]Cons_summary!E69</f>
        <v>1.3159234791761487</v>
      </c>
      <c r="G17" s="286">
        <f>[1]Cons_summary!F69</f>
        <v>1.4265048491398655</v>
      </c>
      <c r="H17" s="286">
        <f>[1]Cons_summary!G69</f>
        <v>1.8205425791135494</v>
      </c>
      <c r="I17" s="286">
        <f>[1]Cons_summary!H69</f>
        <v>2.4975591592558208</v>
      </c>
      <c r="J17" s="286">
        <f>[1]Cons_summary!I69</f>
        <v>1.9490862297393987</v>
      </c>
      <c r="K17" s="286">
        <f>[1]Cons_summary!J69</f>
        <v>1.8876802885496948</v>
      </c>
      <c r="L17" s="286">
        <f>[1]Cons_summary!K69</f>
        <v>1.7893414524231326</v>
      </c>
      <c r="M17" s="286">
        <f>[1]Cons_summary!L69</f>
        <v>1.9535277165035727</v>
      </c>
      <c r="N17" s="286">
        <f>[1]Cons_summary!M69</f>
        <v>1.8884726028025618</v>
      </c>
      <c r="O17" s="286">
        <f>[1]Cons_summary!N69</f>
        <v>1.8993705447819624</v>
      </c>
      <c r="P17" s="286">
        <f>[1]Cons_summary!O69</f>
        <v>2.1413747988811469</v>
      </c>
      <c r="Q17" s="286">
        <f>[1]Cons_summary!P69</f>
        <v>1.8995874810301976</v>
      </c>
      <c r="R17" s="286">
        <f>[1]Cons_summary!Q69</f>
        <v>2.1359577335460211</v>
      </c>
      <c r="S17" s="286">
        <f>[1]Cons_summary!R69</f>
        <v>2.1843009742079533</v>
      </c>
      <c r="T17" s="286">
        <f>[1]Cons_summary!S69</f>
        <v>2.1177210106065272</v>
      </c>
      <c r="U17" s="286">
        <f>[1]Cons_summary!T69</f>
        <v>1.8972632237393996</v>
      </c>
      <c r="V17" s="286">
        <f>[1]Cons_summary!U69</f>
        <v>2.0336496181778259</v>
      </c>
      <c r="W17" s="286">
        <f>[1]Cons_summary!V69</f>
        <v>1.901043579975404</v>
      </c>
      <c r="X17" s="286">
        <f>[1]Cons_summary!W69</f>
        <v>1.9199136342106509</v>
      </c>
      <c r="Y17" s="286">
        <f>[1]Cons_summary!X69</f>
        <v>1.8711714768011911</v>
      </c>
      <c r="Z17" s="286">
        <f>[1]Cons_summary!Y69</f>
        <v>1.6547362485692261</v>
      </c>
      <c r="AA17" s="286">
        <f>[1]Cons_summary!Z69</f>
        <v>1.7356807970607793</v>
      </c>
      <c r="AB17" s="286">
        <f>[1]Cons_summary!AA69</f>
        <v>1.8063264026962329</v>
      </c>
      <c r="AC17" s="286">
        <f>[1]Cons_summary!AB69</f>
        <v>1.671334793424833</v>
      </c>
      <c r="AD17" s="10" t="s">
        <v>19</v>
      </c>
    </row>
    <row r="18" spans="2:30" x14ac:dyDescent="0.25">
      <c r="B18" s="265" t="s">
        <v>452</v>
      </c>
      <c r="C18" s="266" t="s">
        <v>450</v>
      </c>
      <c r="D18" s="286">
        <f>[1]Cons_summary!C70</f>
        <v>1.861256943874485</v>
      </c>
      <c r="E18" s="286">
        <f>[1]Cons_summary!D70</f>
        <v>1.6246628663223259</v>
      </c>
      <c r="F18" s="286">
        <f>[1]Cons_summary!E70</f>
        <v>1.7448700760649931</v>
      </c>
      <c r="G18" s="286">
        <f>[1]Cons_summary!F70</f>
        <v>1.8002399563790288</v>
      </c>
      <c r="H18" s="286">
        <f>[1]Cons_summary!G70</f>
        <v>1.7799433155059059</v>
      </c>
      <c r="I18" s="286">
        <f>[1]Cons_summary!H70</f>
        <v>2.1409060438408769</v>
      </c>
      <c r="J18" s="286">
        <f>[1]Cons_summary!I70</f>
        <v>2.1445651758025193</v>
      </c>
      <c r="K18" s="286">
        <f>[1]Cons_summary!J70</f>
        <v>2.2133797982941248</v>
      </c>
      <c r="L18" s="286">
        <f>[1]Cons_summary!K70</f>
        <v>2.3194610983433441</v>
      </c>
      <c r="M18" s="286">
        <f>[1]Cons_summary!L70</f>
        <v>2.247014440403142</v>
      </c>
      <c r="N18" s="286">
        <f>[1]Cons_summary!M70</f>
        <v>2.1261753541788635</v>
      </c>
      <c r="O18" s="286">
        <f>[1]Cons_summary!N70</f>
        <v>2.5923797701045088</v>
      </c>
      <c r="P18" s="286">
        <f>[1]Cons_summary!O70</f>
        <v>2.3890302445512139</v>
      </c>
      <c r="Q18" s="286">
        <f>[1]Cons_summary!P70</f>
        <v>2.4050035410297577</v>
      </c>
      <c r="R18" s="286">
        <f>[1]Cons_summary!Q70</f>
        <v>2.2532405453117286</v>
      </c>
      <c r="S18" s="286">
        <f>[1]Cons_summary!R70</f>
        <v>2.4127034668976237</v>
      </c>
      <c r="T18" s="286">
        <f>[1]Cons_summary!S70</f>
        <v>2.1565198094809808</v>
      </c>
      <c r="U18" s="286">
        <f>[1]Cons_summary!T70</f>
        <v>2.0581217975828685</v>
      </c>
      <c r="V18" s="286">
        <f>[1]Cons_summary!U70</f>
        <v>2.0477343997787951</v>
      </c>
      <c r="W18" s="286">
        <f>[1]Cons_summary!V70</f>
        <v>2.1078547708035398</v>
      </c>
      <c r="X18" s="286">
        <f>[1]Cons_summary!W70</f>
        <v>2.0011752688002269</v>
      </c>
      <c r="Y18" s="286">
        <f>[1]Cons_summary!X70</f>
        <v>1.764313657889697</v>
      </c>
      <c r="Z18" s="286">
        <f>[1]Cons_summary!Y70</f>
        <v>2.1144540653445145</v>
      </c>
      <c r="AA18" s="286">
        <f>[1]Cons_summary!Z70</f>
        <v>2.1336983744699003</v>
      </c>
      <c r="AB18" s="286">
        <f>[1]Cons_summary!AA70</f>
        <v>2.0552215920493473</v>
      </c>
      <c r="AC18" s="286">
        <f>[1]Cons_summary!AB70</f>
        <v>2.105280865637646</v>
      </c>
      <c r="AD18" s="10" t="s">
        <v>19</v>
      </c>
    </row>
    <row r="19" spans="2:30" x14ac:dyDescent="0.25">
      <c r="B19" s="265" t="s">
        <v>56</v>
      </c>
      <c r="C19" s="266" t="s">
        <v>450</v>
      </c>
      <c r="D19" s="286">
        <f>[1]Cons_summary!C71</f>
        <v>0.49462696249638005</v>
      </c>
      <c r="E19" s="286">
        <f>[1]Cons_summary!D71</f>
        <v>0.54204894243999169</v>
      </c>
      <c r="F19" s="286">
        <f>[1]Cons_summary!E71</f>
        <v>0.51414265777715562</v>
      </c>
      <c r="G19" s="286">
        <f>[1]Cons_summary!F71</f>
        <v>0.54567357827897223</v>
      </c>
      <c r="H19" s="286">
        <f>[1]Cons_summary!G71</f>
        <v>0.56617468201112353</v>
      </c>
      <c r="I19" s="286">
        <f>[1]Cons_summary!H71</f>
        <v>0.66829442561833763</v>
      </c>
      <c r="J19" s="286">
        <f>[1]Cons_summary!I71</f>
        <v>0.62341459348151773</v>
      </c>
      <c r="K19" s="286">
        <f>[1]Cons_summary!J71</f>
        <v>0.61332369336490022</v>
      </c>
      <c r="L19" s="286">
        <f>[1]Cons_summary!K71</f>
        <v>0.7661735938937243</v>
      </c>
      <c r="M19" s="286">
        <f>[1]Cons_summary!L71</f>
        <v>0.66044160064574664</v>
      </c>
      <c r="N19" s="286">
        <f>[1]Cons_summary!M71</f>
        <v>0.67729785277313814</v>
      </c>
      <c r="O19" s="286">
        <f>[1]Cons_summary!N71</f>
        <v>0.70068900563958836</v>
      </c>
      <c r="P19" s="286">
        <f>[1]Cons_summary!O71</f>
        <v>0.63175984842272326</v>
      </c>
      <c r="Q19" s="286">
        <f>[1]Cons_summary!P71</f>
        <v>0.56336739833285687</v>
      </c>
      <c r="R19" s="286">
        <f>[1]Cons_summary!Q71</f>
        <v>0.53638330320623862</v>
      </c>
      <c r="S19" s="286">
        <f>[1]Cons_summary!R71</f>
        <v>0.49436831281522514</v>
      </c>
      <c r="T19" s="286">
        <f>[1]Cons_summary!S71</f>
        <v>0.45705669572067004</v>
      </c>
      <c r="U19" s="286">
        <f>[1]Cons_summary!T71</f>
        <v>0.47310596374083869</v>
      </c>
      <c r="V19" s="286">
        <f>[1]Cons_summary!U71</f>
        <v>0.49156241836975351</v>
      </c>
      <c r="W19" s="286">
        <f>[1]Cons_summary!V71</f>
        <v>0.37040237668897946</v>
      </c>
      <c r="X19" s="286">
        <f>[1]Cons_summary!W71</f>
        <v>0.36780992666214057</v>
      </c>
      <c r="Y19" s="286">
        <f>[1]Cons_summary!X71</f>
        <v>0.36232944763136909</v>
      </c>
      <c r="Z19" s="286">
        <f>[1]Cons_summary!Y71</f>
        <v>0.45108514019637613</v>
      </c>
      <c r="AA19" s="286">
        <f>[1]Cons_summary!Z71</f>
        <v>0.46659643448750321</v>
      </c>
      <c r="AB19" s="286">
        <f>[1]Cons_summary!AA71</f>
        <v>0.49070800453114971</v>
      </c>
      <c r="AC19" s="286">
        <f>[1]Cons_summary!AB71</f>
        <v>0.46479387317625609</v>
      </c>
      <c r="AD19" s="10" t="s">
        <v>19</v>
      </c>
    </row>
    <row r="20" spans="2:30" x14ac:dyDescent="0.25">
      <c r="B20" s="265" t="s">
        <v>43</v>
      </c>
      <c r="C20" s="266" t="s">
        <v>450</v>
      </c>
      <c r="D20" s="286">
        <f>[1]Cons_summary!C72</f>
        <v>0.38196306409478414</v>
      </c>
      <c r="E20" s="286">
        <f>[1]Cons_summary!D72</f>
        <v>0.63681071462092054</v>
      </c>
      <c r="F20" s="286">
        <f>[1]Cons_summary!E72</f>
        <v>0.461574734674224</v>
      </c>
      <c r="G20" s="286">
        <f>[1]Cons_summary!F72</f>
        <v>0.30043164449113402</v>
      </c>
      <c r="H20" s="286">
        <f>[1]Cons_summary!G72</f>
        <v>0.53168200559644396</v>
      </c>
      <c r="I20" s="286">
        <f>[1]Cons_summary!H72</f>
        <v>0.50169856379876265</v>
      </c>
      <c r="J20" s="286">
        <f>[1]Cons_summary!I72</f>
        <v>0.82423445410986984</v>
      </c>
      <c r="K20" s="286">
        <f>[1]Cons_summary!J72</f>
        <v>0.48668234057990217</v>
      </c>
      <c r="L20" s="286">
        <f>[1]Cons_summary!K72</f>
        <v>0.56354705304330943</v>
      </c>
      <c r="M20" s="286">
        <f>[1]Cons_summary!L72</f>
        <v>0.54738063302997919</v>
      </c>
      <c r="N20" s="286">
        <f>[1]Cons_summary!M72</f>
        <v>0.39792605939252307</v>
      </c>
      <c r="O20" s="286">
        <f>[1]Cons_summary!N72</f>
        <v>0.4234988596003495</v>
      </c>
      <c r="P20" s="286">
        <f>[1]Cons_summary!O72</f>
        <v>0.40182732122400583</v>
      </c>
      <c r="Q20" s="286">
        <f>[1]Cons_summary!P72</f>
        <v>0.26737585501572569</v>
      </c>
      <c r="R20" s="286">
        <f>[1]Cons_summary!Q72</f>
        <v>0.40879908616905419</v>
      </c>
      <c r="S20" s="286">
        <f>[1]Cons_summary!R72</f>
        <v>0.31213784338400169</v>
      </c>
      <c r="T20" s="286">
        <f>[1]Cons_summary!S72</f>
        <v>0.28929192334815318</v>
      </c>
      <c r="U20" s="286">
        <f>[1]Cons_summary!T72</f>
        <v>0.30059108573316412</v>
      </c>
      <c r="V20" s="286">
        <f>[1]Cons_summary!U72</f>
        <v>0.3549059473174857</v>
      </c>
      <c r="W20" s="286">
        <f>[1]Cons_summary!V72</f>
        <v>0.38882295209367362</v>
      </c>
      <c r="X20" s="286">
        <f>[1]Cons_summary!W72</f>
        <v>0.3216823499692123</v>
      </c>
      <c r="Y20" s="286">
        <f>[1]Cons_summary!X72</f>
        <v>0.32834071731849601</v>
      </c>
      <c r="Z20" s="286">
        <f>[1]Cons_summary!Y72</f>
        <v>0.33698713677809189</v>
      </c>
      <c r="AA20" s="286">
        <f>[1]Cons_summary!Z72</f>
        <v>0.27136587162310183</v>
      </c>
      <c r="AB20" s="286">
        <f>[1]Cons_summary!AA72</f>
        <v>0.24955222674503652</v>
      </c>
      <c r="AC20" s="286">
        <f>[1]Cons_summary!AB72</f>
        <v>0.26578665237807386</v>
      </c>
      <c r="AD20" s="10" t="s">
        <v>19</v>
      </c>
    </row>
    <row r="21" spans="2:30" x14ac:dyDescent="0.25">
      <c r="B21" s="265" t="s">
        <v>264</v>
      </c>
      <c r="C21" s="266" t="s">
        <v>450</v>
      </c>
      <c r="D21" s="286">
        <f>[1]Cons_summary!C73</f>
        <v>0.24286959825781723</v>
      </c>
      <c r="E21" s="286">
        <f>[1]Cons_summary!D73</f>
        <v>0.26667606294920709</v>
      </c>
      <c r="F21" s="286">
        <f>[1]Cons_summary!E73</f>
        <v>0.18566275035861779</v>
      </c>
      <c r="G21" s="286">
        <f>[1]Cons_summary!F73</f>
        <v>0.18034106839577518</v>
      </c>
      <c r="H21" s="286">
        <f>[1]Cons_summary!G73</f>
        <v>0.28105354277581007</v>
      </c>
      <c r="I21" s="286">
        <f>[1]Cons_summary!H73</f>
        <v>0.31813798436560742</v>
      </c>
      <c r="J21" s="286">
        <f>[1]Cons_summary!I73</f>
        <v>0.28371017786527974</v>
      </c>
      <c r="K21" s="286">
        <f>[1]Cons_summary!J73</f>
        <v>0.20545410911152073</v>
      </c>
      <c r="L21" s="286">
        <f>[1]Cons_summary!K73</f>
        <v>0.19891930053272519</v>
      </c>
      <c r="M21" s="286">
        <f>[1]Cons_summary!L73</f>
        <v>0.24390735857855156</v>
      </c>
      <c r="N21" s="286">
        <f>[1]Cons_summary!M73</f>
        <v>0.12113332257343415</v>
      </c>
      <c r="O21" s="286">
        <f>[1]Cons_summary!N73</f>
        <v>0.1178141545723785</v>
      </c>
      <c r="P21" s="286">
        <f>[1]Cons_summary!O73</f>
        <v>0.14819863219484455</v>
      </c>
      <c r="Q21" s="286">
        <f>[1]Cons_summary!P73</f>
        <v>0.11447784107154639</v>
      </c>
      <c r="R21" s="286">
        <f>[1]Cons_summary!Q73</f>
        <v>0.11960582717261742</v>
      </c>
      <c r="S21" s="286">
        <f>[1]Cons_summary!R73</f>
        <v>0.12435236184365389</v>
      </c>
      <c r="T21" s="286">
        <f>[1]Cons_summary!S73</f>
        <v>0.11146340935996993</v>
      </c>
      <c r="U21" s="286">
        <f>[1]Cons_summary!T73</f>
        <v>9.7990827710593906E-2</v>
      </c>
      <c r="V21" s="286">
        <f>[1]Cons_summary!U73</f>
        <v>0.10846657124500866</v>
      </c>
      <c r="W21" s="286">
        <f>[1]Cons_summary!V73</f>
        <v>9.4493997187871853E-2</v>
      </c>
      <c r="X21" s="286">
        <f>[1]Cons_summary!W73</f>
        <v>8.5068795885501314E-2</v>
      </c>
      <c r="Y21" s="286">
        <f>[1]Cons_summary!X73</f>
        <v>8.369934175068211E-2</v>
      </c>
      <c r="Z21" s="286">
        <f>[1]Cons_summary!Y73</f>
        <v>0.18167608952946029</v>
      </c>
      <c r="AA21" s="286">
        <f>[1]Cons_summary!Z73</f>
        <v>0.16539271125070509</v>
      </c>
      <c r="AB21" s="286">
        <f>[1]Cons_summary!AA73</f>
        <v>0.19222128302110211</v>
      </c>
      <c r="AC21" s="286">
        <f>[1]Cons_summary!AB73</f>
        <v>0.17426446122046124</v>
      </c>
      <c r="AD21" s="10" t="s">
        <v>19</v>
      </c>
    </row>
    <row r="22" spans="2:30" x14ac:dyDescent="0.25">
      <c r="B22" s="265" t="s">
        <v>453</v>
      </c>
      <c r="C22" s="266" t="s">
        <v>450</v>
      </c>
      <c r="D22" s="286">
        <f>[1]Cons_summary!C74</f>
        <v>0.22594037591647667</v>
      </c>
      <c r="E22" s="286">
        <f>[1]Cons_summary!D74</f>
        <v>0.28140636494089322</v>
      </c>
      <c r="F22" s="286">
        <f>[1]Cons_summary!E74</f>
        <v>0.29512094636383718</v>
      </c>
      <c r="G22" s="286">
        <f>[1]Cons_summary!F74</f>
        <v>0.28301752071406261</v>
      </c>
      <c r="H22" s="286">
        <f>[1]Cons_summary!G74</f>
        <v>0.29766722207187285</v>
      </c>
      <c r="I22" s="286">
        <f>[1]Cons_summary!H74</f>
        <v>0.31728300831165962</v>
      </c>
      <c r="J22" s="286">
        <f>[1]Cons_summary!I74</f>
        <v>0.28041729420121408</v>
      </c>
      <c r="K22" s="286">
        <f>[1]Cons_summary!J74</f>
        <v>0.27064477052086439</v>
      </c>
      <c r="L22" s="286">
        <f>[1]Cons_summary!K74</f>
        <v>0.27340802516965207</v>
      </c>
      <c r="M22" s="286">
        <f>[1]Cons_summary!L74</f>
        <v>0.26452738289099742</v>
      </c>
      <c r="N22" s="286">
        <f>[1]Cons_summary!M74</f>
        <v>0.22910812744422934</v>
      </c>
      <c r="O22" s="286">
        <f>[1]Cons_summary!N74</f>
        <v>0.24634820202662067</v>
      </c>
      <c r="P22" s="286">
        <f>[1]Cons_summary!O74</f>
        <v>0.27687177059433776</v>
      </c>
      <c r="Q22" s="286">
        <f>[1]Cons_summary!P74</f>
        <v>0.25007486748630869</v>
      </c>
      <c r="R22" s="286">
        <f>[1]Cons_summary!Q74</f>
        <v>0.24859671960494514</v>
      </c>
      <c r="S22" s="286">
        <f>[1]Cons_summary!R74</f>
        <v>0.28226736377373596</v>
      </c>
      <c r="T22" s="286">
        <f>[1]Cons_summary!S74</f>
        <v>0.27025614508232804</v>
      </c>
      <c r="U22" s="286">
        <f>[1]Cons_summary!T74</f>
        <v>0.24812666180726506</v>
      </c>
      <c r="V22" s="286">
        <f>[1]Cons_summary!U74</f>
        <v>0.23824418727584717</v>
      </c>
      <c r="W22" s="286">
        <f>[1]Cons_summary!V74</f>
        <v>0.22883669226424391</v>
      </c>
      <c r="X22" s="286">
        <f>[1]Cons_summary!W74</f>
        <v>0.21909548328780964</v>
      </c>
      <c r="Y22" s="286">
        <f>[1]Cons_summary!X74</f>
        <v>0.19738421804803011</v>
      </c>
      <c r="Z22" s="286">
        <f>[1]Cons_summary!Y74</f>
        <v>0.18126782880546924</v>
      </c>
      <c r="AA22" s="286">
        <f>[1]Cons_summary!Z74</f>
        <v>0.18315913151627483</v>
      </c>
      <c r="AB22" s="286">
        <f>[1]Cons_summary!AA74</f>
        <v>0.20027279984603233</v>
      </c>
      <c r="AC22" s="286">
        <f>[1]Cons_summary!AB74</f>
        <v>0.1753216938961373</v>
      </c>
      <c r="AD22" s="10" t="s">
        <v>19</v>
      </c>
    </row>
    <row r="23" spans="2:30" x14ac:dyDescent="0.25">
      <c r="B23" s="265" t="s">
        <v>454</v>
      </c>
      <c r="C23" s="266" t="s">
        <v>450</v>
      </c>
      <c r="D23" s="286">
        <f>[1]Cons_summary!C75</f>
        <v>7.0907673983312174</v>
      </c>
      <c r="E23" s="286">
        <f>[1]Cons_summary!D75</f>
        <v>7.2512589752103143</v>
      </c>
      <c r="F23" s="286">
        <f>[1]Cons_summary!E75</f>
        <v>7.2551196685230028</v>
      </c>
      <c r="G23" s="286">
        <f>[1]Cons_summary!F75</f>
        <v>7.2357818971942329</v>
      </c>
      <c r="H23" s="286">
        <f>[1]Cons_summary!G75</f>
        <v>7.5871304074487682</v>
      </c>
      <c r="I23" s="286">
        <f>[1]Cons_summary!H75</f>
        <v>7.9185937324566087</v>
      </c>
      <c r="J23" s="286">
        <f>[1]Cons_summary!I75</f>
        <v>7.8598041249662254</v>
      </c>
      <c r="K23" s="286">
        <f>[1]Cons_summary!J75</f>
        <v>7.7048560322284994</v>
      </c>
      <c r="L23" s="286">
        <f>[1]Cons_summary!K75</f>
        <v>7.6489075036986947</v>
      </c>
      <c r="M23" s="286">
        <f>[1]Cons_summary!L75</f>
        <v>7.6627705590220101</v>
      </c>
      <c r="N23" s="286">
        <f>[1]Cons_summary!M75</f>
        <v>7.4344068868333801</v>
      </c>
      <c r="O23" s="286">
        <f>[1]Cons_summary!N75</f>
        <v>7.4418313184381644</v>
      </c>
      <c r="P23" s="286">
        <f>[1]Cons_summary!O75</f>
        <v>7.2300312646933609</v>
      </c>
      <c r="Q23" s="286">
        <f>[1]Cons_summary!P75</f>
        <v>7.0593835485077072</v>
      </c>
      <c r="R23" s="286">
        <f>[1]Cons_summary!Q75</f>
        <v>7.3306069513880683</v>
      </c>
      <c r="S23" s="286">
        <f>[1]Cons_summary!R75</f>
        <v>7.050348589174348</v>
      </c>
      <c r="T23" s="286">
        <f>[1]Cons_summary!S75</f>
        <v>6.8238577485425242</v>
      </c>
      <c r="U23" s="286">
        <f>[1]Cons_summary!T75</f>
        <v>6.4755575733477064</v>
      </c>
      <c r="V23" s="286">
        <f>[1]Cons_summary!U75</f>
        <v>6.5865318518578766</v>
      </c>
      <c r="W23" s="286">
        <f>[1]Cons_summary!V75</f>
        <v>6.563228950098746</v>
      </c>
      <c r="X23" s="286">
        <f>[1]Cons_summary!W75</f>
        <v>7.0130891366815584</v>
      </c>
      <c r="Y23" s="286">
        <f>[1]Cons_summary!X75</f>
        <v>6.2195341865773219</v>
      </c>
      <c r="Z23" s="286">
        <f>[1]Cons_summary!Y75</f>
        <v>6.8083427289432885</v>
      </c>
      <c r="AA23" s="286">
        <f>[1]Cons_summary!Z75</f>
        <v>7.1616978388701975</v>
      </c>
      <c r="AB23" s="286">
        <f>[1]Cons_summary!AA75</f>
        <v>7.3051704876162873</v>
      </c>
      <c r="AC23" s="286">
        <f>[1]Cons_summary!AB75</f>
        <v>6.5165424851734279</v>
      </c>
      <c r="AD23" s="10" t="s">
        <v>19</v>
      </c>
    </row>
    <row r="24" spans="2:30" x14ac:dyDescent="0.25">
      <c r="B24" s="269" t="s">
        <v>455</v>
      </c>
      <c r="C24" s="270" t="s">
        <v>450</v>
      </c>
      <c r="D24" s="286">
        <f>[1]Cons_summary!C76</f>
        <v>12.713879778638022</v>
      </c>
      <c r="E24" s="286">
        <f>[1]Cons_summary!D76</f>
        <v>12.689364138110218</v>
      </c>
      <c r="F24" s="286">
        <f>[1]Cons_summary!E76</f>
        <v>12.893319918685119</v>
      </c>
      <c r="G24" s="286">
        <f>[1]Cons_summary!F76</f>
        <v>12.784236384219508</v>
      </c>
      <c r="H24" s="286">
        <f>[1]Cons_summary!G76</f>
        <v>13.938269089537576</v>
      </c>
      <c r="I24" s="286">
        <f>[1]Cons_summary!H76</f>
        <v>15.546157122945877</v>
      </c>
      <c r="J24" s="286">
        <f>[1]Cons_summary!I76</f>
        <v>15.095521137993636</v>
      </c>
      <c r="K24" s="286">
        <f>[1]Cons_summary!J76</f>
        <v>14.638879862692058</v>
      </c>
      <c r="L24" s="286">
        <f>[1]Cons_summary!K76</f>
        <v>15.0691043557445</v>
      </c>
      <c r="M24" s="286">
        <f>[1]Cons_summary!L76</f>
        <v>14.868642658012659</v>
      </c>
      <c r="N24" s="286">
        <f>[1]Cons_summary!M76</f>
        <v>14.152488316588872</v>
      </c>
      <c r="O24" s="286">
        <f>[1]Cons_summary!N76</f>
        <v>14.81459437175894</v>
      </c>
      <c r="P24" s="286">
        <f>[1]Cons_summary!O76</f>
        <v>14.664723321246209</v>
      </c>
      <c r="Q24" s="286">
        <f>[1]Cons_summary!P76</f>
        <v>14.269256632282753</v>
      </c>
      <c r="R24" s="286">
        <f>[1]Cons_summary!Q76</f>
        <v>14.889013203359424</v>
      </c>
      <c r="S24" s="286">
        <f>[1]Cons_summary!R76</f>
        <v>14.780196069669699</v>
      </c>
      <c r="T24" s="286">
        <f>[1]Cons_summary!S76</f>
        <v>14.287420911870361</v>
      </c>
      <c r="U24" s="286">
        <f>[1]Cons_summary!T76</f>
        <v>13.656940163508548</v>
      </c>
      <c r="V24" s="286">
        <f>[1]Cons_summary!U76</f>
        <v>13.927159484967023</v>
      </c>
      <c r="W24" s="286">
        <f>[1]Cons_summary!V76</f>
        <v>13.672957457547682</v>
      </c>
      <c r="X24" s="286">
        <f>[1]Cons_summary!W76</f>
        <v>13.907862929251461</v>
      </c>
      <c r="Y24" s="286">
        <f>[1]Cons_summary!X76</f>
        <v>12.780138859314706</v>
      </c>
      <c r="Z24" s="286">
        <f>[1]Cons_summary!Y76</f>
        <v>13.850153741931212</v>
      </c>
      <c r="AA24" s="286">
        <f>[1]Cons_summary!Z76</f>
        <v>13.852913748457841</v>
      </c>
      <c r="AB24" s="286">
        <f>[1]Cons_summary!AA76</f>
        <v>14.144900885449681</v>
      </c>
      <c r="AC24" s="286">
        <f>[1]Cons_summary!AB76</f>
        <v>12.957220528334215</v>
      </c>
      <c r="AD24" s="305" t="s">
        <v>19</v>
      </c>
    </row>
    <row r="25" spans="2:30" ht="37.5" customHeight="1" x14ac:dyDescent="0.25">
      <c r="B25" s="398" t="s">
        <v>526</v>
      </c>
      <c r="C25" s="398"/>
      <c r="D25" s="398"/>
      <c r="E25" s="398"/>
      <c r="F25" s="398"/>
      <c r="G25" s="398"/>
      <c r="H25" s="398"/>
      <c r="I25" s="398"/>
      <c r="J25" s="398"/>
      <c r="K25" s="398"/>
      <c r="L25" s="398"/>
      <c r="M25" s="398"/>
      <c r="N25" s="398"/>
      <c r="O25" s="398"/>
      <c r="P25" s="398"/>
      <c r="Q25" s="398"/>
      <c r="R25" s="398"/>
      <c r="S25" s="398"/>
      <c r="T25" s="398"/>
      <c r="U25" s="398"/>
      <c r="V25" s="398"/>
      <c r="W25" s="398"/>
      <c r="X25" s="398"/>
      <c r="Y25" s="398"/>
      <c r="Z25" s="398"/>
      <c r="AA25" s="398"/>
      <c r="AB25" s="398"/>
      <c r="AC25" s="398"/>
    </row>
  </sheetData>
  <mergeCells count="4">
    <mergeCell ref="B7:AC7"/>
    <mergeCell ref="B9:AB9"/>
    <mergeCell ref="B15:AB15"/>
    <mergeCell ref="B25:AC25"/>
  </mergeCells>
  <phoneticPr fontId="23" type="noConversion"/>
  <conditionalFormatting sqref="B6:AD6">
    <cfRule type="cellIs" dxfId="19" priority="41" stopIfTrue="1" operator="equal">
      <formula>0</formula>
    </cfRule>
    <cfRule type="cellIs" dxfId="18" priority="42" stopIfTrue="1" operator="lessThanOrEqual">
      <formula>-100</formula>
    </cfRule>
    <cfRule type="cellIs" dxfId="17" priority="43" stopIfTrue="1" operator="between">
      <formula>-99.999999999999</formula>
      <formula>99.999999999999</formula>
    </cfRule>
    <cfRule type="cellIs" dxfId="16" priority="44" stopIfTrue="1" operator="greaterThanOrEqual">
      <formula>100</formula>
    </cfRule>
  </conditionalFormatting>
  <conditionalFormatting sqref="D10:AD14">
    <cfRule type="cellIs" dxfId="15" priority="13" stopIfTrue="1" operator="equal">
      <formula>0</formula>
    </cfRule>
    <cfRule type="cellIs" dxfId="14" priority="14" stopIfTrue="1" operator="lessThanOrEqual">
      <formula>-100</formula>
    </cfRule>
    <cfRule type="cellIs" dxfId="13" priority="15" stopIfTrue="1" operator="between">
      <formula>-99.999999999999</formula>
      <formula>99.999999999999</formula>
    </cfRule>
    <cfRule type="cellIs" dxfId="12" priority="16" stopIfTrue="1" operator="greaterThanOrEqual">
      <formula>100</formula>
    </cfRule>
  </conditionalFormatting>
  <conditionalFormatting sqref="D16:AD24">
    <cfRule type="cellIs" dxfId="11" priority="5" stopIfTrue="1" operator="equal">
      <formula>0</formula>
    </cfRule>
    <cfRule type="cellIs" dxfId="10" priority="6" stopIfTrue="1" operator="lessThanOrEqual">
      <formula>-100</formula>
    </cfRule>
    <cfRule type="cellIs" dxfId="9" priority="7" stopIfTrue="1" operator="between">
      <formula>-99.999999999999</formula>
      <formula>99.999999999999</formula>
    </cfRule>
    <cfRule type="cellIs" dxfId="8" priority="8" stopIfTrue="1" operator="greaterThanOrEqual">
      <formula>100</formula>
    </cfRule>
  </conditionalFormatting>
  <conditionalFormatting sqref="AD10:AD14">
    <cfRule type="cellIs" dxfId="7" priority="9" operator="lessThanOrEqual">
      <formula>99</formula>
    </cfRule>
    <cfRule type="cellIs" dxfId="6" priority="10" operator="greaterThanOrEqual">
      <formula>100</formula>
    </cfRule>
  </conditionalFormatting>
  <conditionalFormatting sqref="AD16:AD24">
    <cfRule type="cellIs" dxfId="5" priority="1" operator="lessThanOrEqual">
      <formula>99</formula>
    </cfRule>
    <cfRule type="cellIs" dxfId="4" priority="2" operator="greaterThanOrEqual">
      <formula>100</formula>
    </cfRule>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B7BC1-F9F1-47A2-A309-B279394270BD}">
  <dimension ref="B6:L29"/>
  <sheetViews>
    <sheetView zoomScaleNormal="100" workbookViewId="0"/>
  </sheetViews>
  <sheetFormatPr defaultColWidth="9.140625" defaultRowHeight="15" x14ac:dyDescent="0.25"/>
  <cols>
    <col min="1" max="1" width="9.140625" style="259"/>
    <col min="2" max="2" width="32.85546875" style="259" customWidth="1"/>
    <col min="3" max="11" width="9.140625" style="259"/>
    <col min="12" max="12" width="9.85546875" style="259" customWidth="1"/>
    <col min="13" max="16384" width="9.140625" style="259"/>
  </cols>
  <sheetData>
    <row r="6" spans="2:12" x14ac:dyDescent="0.25">
      <c r="B6" s="271"/>
      <c r="C6" s="272"/>
      <c r="D6" s="272"/>
      <c r="E6" s="272"/>
      <c r="F6" s="272"/>
      <c r="G6" s="272"/>
      <c r="H6" s="272"/>
      <c r="I6" s="272"/>
      <c r="J6" s="272"/>
      <c r="K6" s="272"/>
      <c r="L6" s="273" t="s">
        <v>0</v>
      </c>
    </row>
    <row r="7" spans="2:12" ht="15.75" x14ac:dyDescent="0.25">
      <c r="B7" s="399" t="s">
        <v>484</v>
      </c>
      <c r="C7" s="399"/>
      <c r="D7" s="399"/>
      <c r="E7" s="399"/>
      <c r="F7" s="399"/>
      <c r="G7" s="399"/>
      <c r="H7" s="399"/>
      <c r="I7" s="399"/>
      <c r="J7" s="399"/>
      <c r="K7" s="399"/>
      <c r="L7" s="399"/>
    </row>
    <row r="8" spans="2:12" x14ac:dyDescent="0.25">
      <c r="B8" s="274" t="s">
        <v>456</v>
      </c>
      <c r="C8" s="275" t="s">
        <v>3</v>
      </c>
      <c r="D8" s="275" t="s">
        <v>457</v>
      </c>
      <c r="E8" s="275" t="s">
        <v>458</v>
      </c>
      <c r="F8" s="275" t="s">
        <v>459</v>
      </c>
      <c r="G8" s="275" t="s">
        <v>460</v>
      </c>
      <c r="H8" s="275" t="s">
        <v>461</v>
      </c>
      <c r="I8" s="275" t="s">
        <v>462</v>
      </c>
      <c r="J8" s="275" t="s">
        <v>463</v>
      </c>
      <c r="K8" s="275" t="s">
        <v>464</v>
      </c>
      <c r="L8" s="275" t="s">
        <v>465</v>
      </c>
    </row>
    <row r="9" spans="2:12" x14ac:dyDescent="0.25">
      <c r="B9" s="400" t="s">
        <v>466</v>
      </c>
      <c r="C9" s="401"/>
      <c r="D9" s="401"/>
      <c r="E9" s="401"/>
      <c r="F9" s="401"/>
      <c r="G9" s="401"/>
      <c r="H9" s="401"/>
      <c r="I9" s="401"/>
      <c r="J9" s="401"/>
      <c r="K9" s="401"/>
      <c r="L9" s="401"/>
    </row>
    <row r="10" spans="2:12" x14ac:dyDescent="0.25">
      <c r="B10" s="276" t="s">
        <v>467</v>
      </c>
      <c r="C10" s="277" t="s">
        <v>468</v>
      </c>
      <c r="D10" s="278">
        <v>135</v>
      </c>
      <c r="E10" s="279">
        <v>99</v>
      </c>
      <c r="F10" s="278">
        <v>359</v>
      </c>
      <c r="G10" s="278">
        <v>74</v>
      </c>
      <c r="H10" s="279">
        <v>92</v>
      </c>
      <c r="I10" s="278">
        <v>96</v>
      </c>
      <c r="J10" s="279">
        <v>54</v>
      </c>
      <c r="K10" s="279">
        <v>0</v>
      </c>
      <c r="L10" s="278">
        <v>912</v>
      </c>
    </row>
    <row r="11" spans="2:12" x14ac:dyDescent="0.25">
      <c r="B11" s="276" t="s">
        <v>469</v>
      </c>
      <c r="C11" s="277" t="s">
        <v>468</v>
      </c>
      <c r="D11" s="278">
        <v>627</v>
      </c>
      <c r="E11" s="279">
        <v>17</v>
      </c>
      <c r="F11" s="278">
        <v>106</v>
      </c>
      <c r="G11" s="278">
        <v>254</v>
      </c>
      <c r="H11" s="278">
        <v>174</v>
      </c>
      <c r="I11" s="278">
        <v>911</v>
      </c>
      <c r="J11" s="278">
        <v>139</v>
      </c>
      <c r="K11" s="279">
        <v>0</v>
      </c>
      <c r="L11" s="280">
        <v>2227</v>
      </c>
    </row>
    <row r="12" spans="2:12" x14ac:dyDescent="0.25">
      <c r="B12" s="276" t="s">
        <v>470</v>
      </c>
      <c r="C12" s="277" t="s">
        <v>468</v>
      </c>
      <c r="D12" s="278">
        <v>122</v>
      </c>
      <c r="E12" s="279">
        <v>27</v>
      </c>
      <c r="F12" s="279">
        <v>69</v>
      </c>
      <c r="G12" s="279">
        <v>70</v>
      </c>
      <c r="H12" s="279">
        <v>9</v>
      </c>
      <c r="I12" s="278">
        <v>978</v>
      </c>
      <c r="J12" s="279">
        <v>0</v>
      </c>
      <c r="K12" s="279">
        <v>0</v>
      </c>
      <c r="L12" s="280">
        <v>1272</v>
      </c>
    </row>
    <row r="13" spans="2:12" x14ac:dyDescent="0.25">
      <c r="B13" s="276" t="s">
        <v>471</v>
      </c>
      <c r="C13" s="277" t="s">
        <v>468</v>
      </c>
      <c r="D13" s="278">
        <v>124</v>
      </c>
      <c r="E13" s="278">
        <v>171</v>
      </c>
      <c r="F13" s="278">
        <v>167</v>
      </c>
      <c r="G13" s="278">
        <v>152</v>
      </c>
      <c r="H13" s="278">
        <v>99</v>
      </c>
      <c r="I13" s="278">
        <v>236</v>
      </c>
      <c r="J13" s="279">
        <v>20</v>
      </c>
      <c r="K13" s="279">
        <v>0</v>
      </c>
      <c r="L13" s="278">
        <v>976</v>
      </c>
    </row>
    <row r="14" spans="2:12" x14ac:dyDescent="0.25">
      <c r="B14" s="276" t="s">
        <v>13</v>
      </c>
      <c r="C14" s="277" t="s">
        <v>468</v>
      </c>
      <c r="D14" s="280">
        <v>1008</v>
      </c>
      <c r="E14" s="280">
        <v>314</v>
      </c>
      <c r="F14" s="280">
        <v>701</v>
      </c>
      <c r="G14" s="280">
        <v>550</v>
      </c>
      <c r="H14" s="280">
        <v>374</v>
      </c>
      <c r="I14" s="280">
        <v>2221</v>
      </c>
      <c r="J14" s="280">
        <v>213</v>
      </c>
      <c r="K14" s="279">
        <v>0</v>
      </c>
      <c r="L14" s="280">
        <v>5387</v>
      </c>
    </row>
    <row r="15" spans="2:12" x14ac:dyDescent="0.25">
      <c r="B15" s="400" t="s">
        <v>472</v>
      </c>
      <c r="C15" s="401"/>
      <c r="D15" s="401"/>
      <c r="E15" s="401"/>
      <c r="F15" s="401"/>
      <c r="G15" s="401"/>
      <c r="H15" s="401"/>
      <c r="I15" s="401"/>
      <c r="J15" s="401"/>
      <c r="K15" s="401"/>
      <c r="L15" s="402"/>
    </row>
    <row r="16" spans="2:12" x14ac:dyDescent="0.25">
      <c r="B16" s="276" t="s">
        <v>473</v>
      </c>
      <c r="C16" s="277" t="s">
        <v>468</v>
      </c>
      <c r="D16" s="279">
        <v>32</v>
      </c>
      <c r="E16" s="279">
        <v>37</v>
      </c>
      <c r="F16" s="279">
        <v>87</v>
      </c>
      <c r="G16" s="278">
        <v>175</v>
      </c>
      <c r="H16" s="278">
        <v>538</v>
      </c>
      <c r="I16" s="278">
        <v>144</v>
      </c>
      <c r="J16" s="278">
        <v>10</v>
      </c>
      <c r="K16" s="279">
        <v>0</v>
      </c>
      <c r="L16" s="280">
        <v>1018</v>
      </c>
    </row>
    <row r="17" spans="2:12" x14ac:dyDescent="0.25">
      <c r="B17" s="276" t="s">
        <v>474</v>
      </c>
      <c r="C17" s="277" t="s">
        <v>468</v>
      </c>
      <c r="D17" s="279">
        <v>48</v>
      </c>
      <c r="E17" s="279">
        <v>9</v>
      </c>
      <c r="F17" s="278">
        <v>162</v>
      </c>
      <c r="G17" s="278">
        <v>66</v>
      </c>
      <c r="H17" s="279">
        <v>46</v>
      </c>
      <c r="I17" s="279">
        <v>0</v>
      </c>
      <c r="J17" s="279">
        <v>17</v>
      </c>
      <c r="K17" s="279">
        <v>0</v>
      </c>
      <c r="L17" s="278">
        <v>345</v>
      </c>
    </row>
    <row r="18" spans="2:12" x14ac:dyDescent="0.25">
      <c r="B18" s="276" t="s">
        <v>475</v>
      </c>
      <c r="C18" s="277" t="s">
        <v>468</v>
      </c>
      <c r="D18" s="279">
        <v>4</v>
      </c>
      <c r="E18" s="279">
        <v>6</v>
      </c>
      <c r="F18" s="279">
        <v>14</v>
      </c>
      <c r="G18" s="279">
        <v>22</v>
      </c>
      <c r="H18" s="279">
        <v>0</v>
      </c>
      <c r="I18" s="279">
        <v>0</v>
      </c>
      <c r="J18" s="279">
        <v>0</v>
      </c>
      <c r="K18" s="279">
        <v>0</v>
      </c>
      <c r="L18" s="279">
        <v>46</v>
      </c>
    </row>
    <row r="19" spans="2:12" x14ac:dyDescent="0.25">
      <c r="B19" s="276" t="s">
        <v>476</v>
      </c>
      <c r="C19" s="277" t="s">
        <v>468</v>
      </c>
      <c r="D19" s="279">
        <v>3</v>
      </c>
      <c r="E19" s="279">
        <v>7</v>
      </c>
      <c r="F19" s="279">
        <v>22</v>
      </c>
      <c r="G19" s="278">
        <v>21</v>
      </c>
      <c r="H19" s="279">
        <v>4</v>
      </c>
      <c r="I19" s="279">
        <v>5</v>
      </c>
      <c r="J19" s="279">
        <v>0</v>
      </c>
      <c r="K19" s="279">
        <v>0</v>
      </c>
      <c r="L19" s="279">
        <v>63</v>
      </c>
    </row>
    <row r="20" spans="2:12" x14ac:dyDescent="0.25">
      <c r="B20" s="276" t="s">
        <v>477</v>
      </c>
      <c r="C20" s="277" t="s">
        <v>468</v>
      </c>
      <c r="D20" s="279">
        <v>57</v>
      </c>
      <c r="E20" s="279">
        <v>59</v>
      </c>
      <c r="F20" s="279">
        <v>19</v>
      </c>
      <c r="G20" s="279">
        <v>97</v>
      </c>
      <c r="H20" s="278">
        <v>105</v>
      </c>
      <c r="I20" s="279">
        <v>82</v>
      </c>
      <c r="J20" s="279">
        <v>4</v>
      </c>
      <c r="K20" s="279">
        <v>7</v>
      </c>
      <c r="L20" s="280">
        <v>436</v>
      </c>
    </row>
    <row r="21" spans="2:12" x14ac:dyDescent="0.25">
      <c r="B21" s="276" t="s">
        <v>478</v>
      </c>
      <c r="C21" s="277" t="s">
        <v>468</v>
      </c>
      <c r="D21" s="278">
        <v>738</v>
      </c>
      <c r="E21" s="278">
        <v>288</v>
      </c>
      <c r="F21" s="278">
        <v>735</v>
      </c>
      <c r="G21" s="278">
        <v>464</v>
      </c>
      <c r="H21" s="278">
        <v>414</v>
      </c>
      <c r="I21" s="278">
        <v>192</v>
      </c>
      <c r="J21" s="279">
        <v>92</v>
      </c>
      <c r="K21" s="279">
        <v>4</v>
      </c>
      <c r="L21" s="280">
        <v>2929</v>
      </c>
    </row>
    <row r="22" spans="2:12" x14ac:dyDescent="0.25">
      <c r="B22" s="276" t="s">
        <v>13</v>
      </c>
      <c r="C22" s="277" t="s">
        <v>468</v>
      </c>
      <c r="D22" s="280">
        <v>882</v>
      </c>
      <c r="E22" s="280">
        <v>406</v>
      </c>
      <c r="F22" s="280">
        <v>1039</v>
      </c>
      <c r="G22" s="280">
        <v>845</v>
      </c>
      <c r="H22" s="280">
        <v>1107</v>
      </c>
      <c r="I22" s="280">
        <v>423</v>
      </c>
      <c r="J22" s="280">
        <v>123</v>
      </c>
      <c r="K22" s="279">
        <v>11</v>
      </c>
      <c r="L22" s="280">
        <v>4837</v>
      </c>
    </row>
    <row r="23" spans="2:12" x14ac:dyDescent="0.25">
      <c r="B23" s="281" t="s">
        <v>479</v>
      </c>
      <c r="C23" s="277" t="s">
        <v>468</v>
      </c>
      <c r="D23" s="279">
        <v>28</v>
      </c>
      <c r="E23" s="279">
        <v>21</v>
      </c>
      <c r="F23" s="279">
        <v>24</v>
      </c>
      <c r="G23" s="279">
        <v>18</v>
      </c>
      <c r="H23" s="279">
        <v>14</v>
      </c>
      <c r="I23" s="279">
        <v>3</v>
      </c>
      <c r="J23" s="279">
        <v>7</v>
      </c>
      <c r="K23" s="279">
        <v>0</v>
      </c>
      <c r="L23" s="278">
        <v>109</v>
      </c>
    </row>
    <row r="24" spans="2:12" x14ac:dyDescent="0.25">
      <c r="B24" s="400" t="s">
        <v>480</v>
      </c>
      <c r="C24" s="401"/>
      <c r="D24" s="401"/>
      <c r="E24" s="401"/>
      <c r="F24" s="401"/>
      <c r="G24" s="401"/>
      <c r="H24" s="401"/>
      <c r="I24" s="401"/>
      <c r="J24" s="401"/>
      <c r="K24" s="401"/>
      <c r="L24" s="402"/>
    </row>
    <row r="25" spans="2:12" x14ac:dyDescent="0.25">
      <c r="B25" s="276" t="s">
        <v>481</v>
      </c>
      <c r="C25" s="277" t="s">
        <v>468</v>
      </c>
      <c r="D25" s="278">
        <v>280</v>
      </c>
      <c r="E25" s="278">
        <v>258</v>
      </c>
      <c r="F25" s="278">
        <v>246</v>
      </c>
      <c r="G25" s="278">
        <v>252</v>
      </c>
      <c r="H25" s="278">
        <v>200</v>
      </c>
      <c r="I25" s="278">
        <v>348</v>
      </c>
      <c r="J25" s="279">
        <v>8</v>
      </c>
      <c r="K25" s="279">
        <v>0</v>
      </c>
      <c r="L25" s="280">
        <v>1586</v>
      </c>
    </row>
    <row r="26" spans="2:12" x14ac:dyDescent="0.25">
      <c r="B26" s="276" t="s">
        <v>482</v>
      </c>
      <c r="C26" s="277" t="s">
        <v>468</v>
      </c>
      <c r="D26" s="278">
        <v>650</v>
      </c>
      <c r="E26" s="278">
        <v>601</v>
      </c>
      <c r="F26" s="278">
        <v>559</v>
      </c>
      <c r="G26" s="278">
        <v>168</v>
      </c>
      <c r="H26" s="278">
        <v>368</v>
      </c>
      <c r="I26" s="278">
        <v>109</v>
      </c>
      <c r="J26" s="279">
        <v>21</v>
      </c>
      <c r="K26" s="279">
        <v>3</v>
      </c>
      <c r="L26" s="280">
        <v>2487</v>
      </c>
    </row>
    <row r="27" spans="2:12" x14ac:dyDescent="0.25">
      <c r="B27" s="276" t="s">
        <v>13</v>
      </c>
      <c r="C27" s="277" t="s">
        <v>468</v>
      </c>
      <c r="D27" s="280">
        <v>930</v>
      </c>
      <c r="E27" s="280">
        <v>859</v>
      </c>
      <c r="F27" s="280">
        <v>805</v>
      </c>
      <c r="G27" s="280">
        <v>420</v>
      </c>
      <c r="H27" s="280">
        <v>568</v>
      </c>
      <c r="I27" s="280">
        <v>457</v>
      </c>
      <c r="J27" s="279">
        <v>29</v>
      </c>
      <c r="K27" s="279">
        <v>3</v>
      </c>
      <c r="L27" s="280">
        <v>4073</v>
      </c>
    </row>
    <row r="28" spans="2:12" x14ac:dyDescent="0.25">
      <c r="B28" s="282" t="s">
        <v>483</v>
      </c>
      <c r="C28" s="277" t="s">
        <v>468</v>
      </c>
      <c r="D28" s="280">
        <v>2854</v>
      </c>
      <c r="E28" s="280">
        <v>1592</v>
      </c>
      <c r="F28" s="280">
        <v>2562</v>
      </c>
      <c r="G28" s="280">
        <v>1827</v>
      </c>
      <c r="H28" s="280">
        <v>2069</v>
      </c>
      <c r="I28" s="280">
        <v>3108</v>
      </c>
      <c r="J28" s="278">
        <v>384</v>
      </c>
      <c r="K28" s="279">
        <v>19</v>
      </c>
      <c r="L28" s="280">
        <v>14408</v>
      </c>
    </row>
    <row r="29" spans="2:12" ht="60.6" customHeight="1" x14ac:dyDescent="0.25">
      <c r="B29" s="403" t="s">
        <v>525</v>
      </c>
      <c r="C29" s="403"/>
      <c r="D29" s="403"/>
      <c r="E29" s="403"/>
      <c r="F29" s="403"/>
      <c r="G29" s="403"/>
      <c r="H29" s="403"/>
      <c r="I29" s="403"/>
      <c r="J29" s="403"/>
      <c r="K29" s="403"/>
      <c r="L29" s="403"/>
    </row>
  </sheetData>
  <mergeCells count="5">
    <mergeCell ref="B7:L7"/>
    <mergeCell ref="B9:L9"/>
    <mergeCell ref="B15:L15"/>
    <mergeCell ref="B24:L24"/>
    <mergeCell ref="B29:L29"/>
  </mergeCells>
  <conditionalFormatting sqref="B6:L6 B7">
    <cfRule type="cellIs" dxfId="3" priority="1" stopIfTrue="1" operator="equal">
      <formula>0</formula>
    </cfRule>
    <cfRule type="cellIs" dxfId="2" priority="2" stopIfTrue="1" operator="lessThanOrEqual">
      <formula>-100</formula>
    </cfRule>
    <cfRule type="cellIs" dxfId="1" priority="3" stopIfTrue="1" operator="between">
      <formula>-99.999999999999</formula>
      <formula>99.999999999999</formula>
    </cfRule>
    <cfRule type="cellIs" dxfId="0" priority="4" stopIfTrue="1" operator="greaterThanOrEqual">
      <formula>100</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HPEContentManagement xmlns="7cc651ec-25ff-4303-ac03-0e5d726c6f27" xsi:nil="true"/>
    <_Flow_SignoffStatus xmlns="7cc651ec-25ff-4303-ac03-0e5d726c6f27" xsi:nil="true"/>
    <Datelastedit xmlns="7cc651ec-25ff-4303-ac03-0e5d726c6f27" xsi:nil="true"/>
    <lcf76f155ced4ddcb4097134ff3c332f xmlns="7cc651ec-25ff-4303-ac03-0e5d726c6f27">
      <Terms xmlns="http://schemas.microsoft.com/office/infopath/2007/PartnerControls"/>
    </lcf76f155ced4ddcb4097134ff3c332f>
    <TaxCatchAll xmlns="81c01dc6-2c49-4730-b140-874c95cac37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C1D118FCCA26C42BA38E406B0DCFF0A" ma:contentTypeVersion="22" ma:contentTypeDescription="Create a new document." ma:contentTypeScope="" ma:versionID="d7b996b573b8ede9962b30c911215982">
  <xsd:schema xmlns:xsd="http://www.w3.org/2001/XMLSchema" xmlns:xs="http://www.w3.org/2001/XMLSchema" xmlns:p="http://schemas.microsoft.com/office/2006/metadata/properties" xmlns:ns2="7cc651ec-25ff-4303-ac03-0e5d726c6f27" xmlns:ns3="f1c38eb8-c0da-4bda-8fe2-4c84918aee37" xmlns:ns4="81c01dc6-2c49-4730-b140-874c95cac377" targetNamespace="http://schemas.microsoft.com/office/2006/metadata/properties" ma:root="true" ma:fieldsID="20fa6d7c1faabd43cf4fca71b8204c3d" ns2:_="" ns3:_="" ns4:_="">
    <xsd:import namespace="7cc651ec-25ff-4303-ac03-0e5d726c6f27"/>
    <xsd:import namespace="f1c38eb8-c0da-4bda-8fe2-4c84918aee37"/>
    <xsd:import namespace="81c01dc6-2c49-4730-b140-874c95cac37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_Flow_SignoffStatus" minOccurs="0"/>
                <xsd:element ref="ns2:Datelastedit"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element ref="ns2:HPEContentManage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c651ec-25ff-4303-ac03-0e5d726c6f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20" nillable="true" ma:displayName="Sign-off status" ma:internalName="Sign_x002d_off_x0020_status">
      <xsd:simpleType>
        <xsd:restriction base="dms:Text"/>
      </xsd:simpleType>
    </xsd:element>
    <xsd:element name="Datelastedit" ma:index="21" nillable="true" ma:displayName="Date last edit" ma:description="date of last official edit" ma:format="DateOnly" ma:internalName="Datelastedit">
      <xsd:simpleType>
        <xsd:restriction base="dms:DateTim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881b4ab-c2b0-4b32-8bb7-29fb05a8de77"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internalName="MediaServiceLocation" ma:readOnly="true">
      <xsd:simpleType>
        <xsd:restriction base="dms:Text"/>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HPEContentManagement" ma:index="28" nillable="true" ma:displayName="HPE Content Management" ma:format="Dropdown" ma:internalName="HPEContentManagemen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c38eb8-c0da-4bda-8fe2-4c84918aee3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1c01dc6-2c49-4730-b140-874c95cac377"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532580cf-be54-4c49-94c5-bffcfb90b9d4}" ma:internalName="TaxCatchAll" ma:showField="CatchAllData" ma:web="f1c38eb8-c0da-4bda-8fe2-4c84918aee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760886-751A-4238-82A5-A8B8EBABEA81}">
  <ds:schemaRefs>
    <ds:schemaRef ds:uri="http://schemas.microsoft.com/sharepoint/v3/contenttype/forms"/>
  </ds:schemaRefs>
</ds:datastoreItem>
</file>

<file path=customXml/itemProps2.xml><?xml version="1.0" encoding="utf-8"?>
<ds:datastoreItem xmlns:ds="http://schemas.openxmlformats.org/officeDocument/2006/customXml" ds:itemID="{008730CB-A055-4842-A251-F9DF9CCA7563}">
  <ds:schemaRefs>
    <ds:schemaRef ds:uri="http://purl.org/dc/dcmitype/"/>
    <ds:schemaRef ds:uri="http://schemas.microsoft.com/office/2006/documentManagement/types"/>
    <ds:schemaRef ds:uri="http://schemas.microsoft.com/office/infopath/2007/PartnerControls"/>
    <ds:schemaRef ds:uri="http://schemas.microsoft.com/office/2006/metadata/properties"/>
    <ds:schemaRef ds:uri="http://purl.org/dc/terms/"/>
    <ds:schemaRef ds:uri="http://schemas.openxmlformats.org/package/2006/metadata/core-properties"/>
    <ds:schemaRef ds:uri="http://purl.org/dc/elements/1.1/"/>
    <ds:schemaRef ds:uri="7cc651ec-25ff-4303-ac03-0e5d726c6f27"/>
    <ds:schemaRef ds:uri="81c01dc6-2c49-4730-b140-874c95cac377"/>
    <ds:schemaRef ds:uri="f1c38eb8-c0da-4bda-8fe2-4c84918aee37"/>
    <ds:schemaRef ds:uri="http://www.w3.org/XML/1998/namespace"/>
  </ds:schemaRefs>
</ds:datastoreItem>
</file>

<file path=customXml/itemProps3.xml><?xml version="1.0" encoding="utf-8"?>
<ds:datastoreItem xmlns:ds="http://schemas.openxmlformats.org/officeDocument/2006/customXml" ds:itemID="{D5C5A520-9A84-46D8-8D31-0131E033A1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c651ec-25ff-4303-ac03-0e5d726c6f27"/>
    <ds:schemaRef ds:uri="f1c38eb8-c0da-4bda-8fe2-4c84918aee37"/>
    <ds:schemaRef ds:uri="81c01dc6-2c49-4730-b140-874c95cac3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33d8be6-3c40-4052-87a2-9c2adcba8759}" enabled="1" method="Privileged" siteId="{2be67eb7-400c-4b3f-a5a1-1258c0da069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18</vt:i4>
      </vt:variant>
    </vt:vector>
  </HeadingPairs>
  <TitlesOfParts>
    <vt:vector size="38" baseType="lpstr">
      <vt:lpstr>Index</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Index!Print_Area</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2'!Print_Area</vt:lpstr>
      <vt:lpstr>'Table 3'!Print_Area</vt:lpstr>
      <vt:lpstr>'Table 4'!Print_Area</vt:lpstr>
      <vt:lpstr>'Table 5'!Print_Area</vt:lpstr>
      <vt:lpstr>'Table 6'!Print_Area</vt:lpstr>
      <vt:lpstr>'Table 7'!Print_Area</vt:lpstr>
      <vt:lpstr>'Table 8'!Print_Area</vt:lpstr>
      <vt:lpstr>'Table 9'!Print_Area</vt:lpstr>
    </vt:vector>
  </TitlesOfParts>
  <Company>Department of Agriculture, Fisheries and Forestry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Metz, Katie</dc:creator>
  <cp:lastModifiedBy>Dylewski, Michael</cp:lastModifiedBy>
  <dcterms:created xsi:type="dcterms:W3CDTF">2025-08-26T22:52:51Z</dcterms:created>
  <dcterms:modified xsi:type="dcterms:W3CDTF">2025-12-16T00:27:27Z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33d8be6-3c40-4052-87a2-9c2adcba8759_Enabled">
    <vt:lpwstr>true</vt:lpwstr>
  </property>
  <property fmtid="{D5CDD505-2E9C-101B-9397-08002B2CF9AE}" pid="3" name="MSIP_Label_933d8be6-3c40-4052-87a2-9c2adcba8759_SetDate">
    <vt:lpwstr>2025-08-26T22:53:34Z</vt:lpwstr>
  </property>
  <property fmtid="{D5CDD505-2E9C-101B-9397-08002B2CF9AE}" pid="4" name="MSIP_Label_933d8be6-3c40-4052-87a2-9c2adcba8759_Method">
    <vt:lpwstr>Privileged</vt:lpwstr>
  </property>
  <property fmtid="{D5CDD505-2E9C-101B-9397-08002B2CF9AE}" pid="5" name="MSIP_Label_933d8be6-3c40-4052-87a2-9c2adcba8759_Name">
    <vt:lpwstr>OFFICIAL</vt:lpwstr>
  </property>
  <property fmtid="{D5CDD505-2E9C-101B-9397-08002B2CF9AE}" pid="6" name="MSIP_Label_933d8be6-3c40-4052-87a2-9c2adcba8759_SiteId">
    <vt:lpwstr>2be67eb7-400c-4b3f-a5a1-1258c0da0696</vt:lpwstr>
  </property>
  <property fmtid="{D5CDD505-2E9C-101B-9397-08002B2CF9AE}" pid="7" name="MSIP_Label_933d8be6-3c40-4052-87a2-9c2adcba8759_ActionId">
    <vt:lpwstr>e2354e26-325e-4797-9ab5-9c2cfb3aa182</vt:lpwstr>
  </property>
  <property fmtid="{D5CDD505-2E9C-101B-9397-08002B2CF9AE}" pid="8" name="MSIP_Label_933d8be6-3c40-4052-87a2-9c2adcba8759_ContentBits">
    <vt:lpwstr>3</vt:lpwstr>
  </property>
  <property fmtid="{D5CDD505-2E9C-101B-9397-08002B2CF9AE}" pid="9" name="MSIP_Label_933d8be6-3c40-4052-87a2-9c2adcba8759_Tag">
    <vt:lpwstr>10, 0, 1, 1</vt:lpwstr>
  </property>
  <property fmtid="{D5CDD505-2E9C-101B-9397-08002B2CF9AE}" pid="10" name="MediaServiceImageTags">
    <vt:lpwstr/>
  </property>
  <property fmtid="{D5CDD505-2E9C-101B-9397-08002B2CF9AE}" pid="11" name="ContentTypeId">
    <vt:lpwstr>0x0101000C1D118FCCA26C42BA38E406B0DCFF0A</vt:lpwstr>
  </property>
</Properties>
</file>