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chwarts\Downloads\"/>
    </mc:Choice>
  </mc:AlternateContent>
  <xr:revisionPtr revIDLastSave="0" documentId="8_{92815AB0-E28A-4DC4-8CC2-AB8836D9043E}" xr6:coauthVersionLast="47" xr6:coauthVersionMax="47" xr10:uidLastSave="{00000000-0000-0000-0000-000000000000}"/>
  <bookViews>
    <workbookView xWindow="28680" yWindow="-120" windowWidth="29040" windowHeight="15720" xr2:uid="{00000000-000D-0000-FFFF-FFFF00000000}"/>
  </bookViews>
  <sheets>
    <sheet name="Contents" sheetId="1" r:id="rId1"/>
    <sheet name="Notes and symbols" sheetId="35" r:id="rId2"/>
    <sheet name="Table S1" sheetId="2" r:id="rId3"/>
    <sheet name="Table S2" sheetId="3" r:id="rId4"/>
    <sheet name="Table S3" sheetId="4" r:id="rId5"/>
    <sheet name="Table S4" sheetId="5" r:id="rId6"/>
    <sheet name="Table S5" sheetId="6" r:id="rId7"/>
    <sheet name="Table S6" sheetId="7" r:id="rId8"/>
    <sheet name="Table S7" sheetId="8" r:id="rId9"/>
    <sheet name="Table S8" sheetId="9" r:id="rId10"/>
    <sheet name="Table S9" sheetId="10" r:id="rId11"/>
    <sheet name="Table S10" sheetId="11" r:id="rId12"/>
    <sheet name="Table S11" sheetId="12" r:id="rId13"/>
    <sheet name="Table S12" sheetId="13" r:id="rId14"/>
    <sheet name="Table S13" sheetId="14" r:id="rId15"/>
    <sheet name="Table S14" sheetId="15" r:id="rId16"/>
    <sheet name="Table S15" sheetId="16" r:id="rId17"/>
    <sheet name="Table S16" sheetId="17" r:id="rId18"/>
    <sheet name="Table S17" sheetId="18" r:id="rId19"/>
    <sheet name="Table S18" sheetId="19" r:id="rId20"/>
    <sheet name="Table S19" sheetId="20" r:id="rId21"/>
    <sheet name="Table S20" sheetId="21" r:id="rId22"/>
    <sheet name="Table S21" sheetId="22" r:id="rId23"/>
    <sheet name="Table S22" sheetId="23" r:id="rId24"/>
    <sheet name="Table S23" sheetId="24" r:id="rId25"/>
    <sheet name="Table S24" sheetId="25" r:id="rId26"/>
    <sheet name="Table S25" sheetId="26" r:id="rId27"/>
    <sheet name="Table S26" sheetId="27" r:id="rId28"/>
    <sheet name="Table S27" sheetId="28" r:id="rId29"/>
    <sheet name="Table S28" sheetId="29" r:id="rId30"/>
    <sheet name="Table S29" sheetId="30" r:id="rId31"/>
    <sheet name="Table S30" sheetId="36" r:id="rId32"/>
    <sheet name="Table S31" sheetId="32" r:id="rId33"/>
    <sheet name="Table S32" sheetId="33" r:id="rId34"/>
    <sheet name="Table S33" sheetId="34"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27" l="1"/>
  <c r="H25" i="22"/>
  <c r="P48" i="4"/>
  <c r="O48" i="4"/>
  <c r="N48" i="4"/>
  <c r="Q48" i="4"/>
  <c r="R48" i="4"/>
  <c r="S48" i="4"/>
  <c r="T48" i="4"/>
  <c r="U48" i="4"/>
  <c r="M48" i="4"/>
  <c r="R48" i="3"/>
  <c r="N48" i="3"/>
  <c r="O48" i="3"/>
  <c r="P48" i="3"/>
  <c r="Q48" i="3"/>
  <c r="S48" i="3"/>
  <c r="T48" i="3"/>
  <c r="U48" i="3"/>
  <c r="M48" i="3"/>
</calcChain>
</file>

<file path=xl/sharedStrings.xml><?xml version="1.0" encoding="utf-8"?>
<sst xmlns="http://schemas.openxmlformats.org/spreadsheetml/2006/main" count="5007" uniqueCount="444">
  <si>
    <t/>
  </si>
  <si>
    <t>NSW</t>
  </si>
  <si>
    <t>Vic</t>
  </si>
  <si>
    <t>Qld</t>
  </si>
  <si>
    <t>WA</t>
  </si>
  <si>
    <t>SA</t>
  </si>
  <si>
    <t>Tas</t>
  </si>
  <si>
    <t>ACT</t>
  </si>
  <si>
    <t>NT</t>
  </si>
  <si>
    <t>Australia</t>
  </si>
  <si>
    <t>10–17</t>
  </si>
  <si>
    <t>18+</t>
  </si>
  <si>
    <t>Total</t>
  </si>
  <si>
    <t>(a) Number of young people on an average day may not sum to total due to rounding.</t>
  </si>
  <si>
    <t>– represents zero or rounded to zero</t>
  </si>
  <si>
    <t xml:space="preserve"> </t>
  </si>
  <si>
    <t>10–13</t>
  </si>
  <si>
    <t>Note: Age calculated as at start of financial year if first period of supervision in the relevant year began before the start of the financial year, otherwise age calculated as at start of first period of supervision in the relevant year.</t>
  </si>
  <si>
    <t>Male</t>
  </si>
  <si>
    <t>First Nations</t>
  </si>
  <si>
    <t>Non-Indigenous</t>
  </si>
  <si>
    <t>Not stated</t>
  </si>
  <si>
    <t>Female</t>
  </si>
  <si>
    <t>Notes</t>
  </si>
  <si>
    <t>1. Rates are number of young people per 10,000 relevant population.</t>
  </si>
  <si>
    <t>2. Rates are not published where there were fewer than five young people.</t>
  </si>
  <si>
    <t>3.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</si>
  <si>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1. Total includes young people with unknown age.</t>
  </si>
  <si>
    <t>2.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</si>
  <si>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Age calculated as at start of financial year if first period of supervision in the relevant year began before the start of the financial year, otherwise age calculated as at start of first period of supervision in the relevant year.</t>
  </si>
  <si>
    <t>10–11</t>
  </si>
  <si>
    <t>3. Rates are number of young people per 10,000 relevant population.</t>
  </si>
  <si>
    <t>4. Rates are not published where there were fewer than five young people.</t>
  </si>
  <si>
    <t>18+ years</t>
  </si>
  <si>
    <t>1.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</si>
  <si>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Rates are number of young people per 10,000 relevant population.</t>
  </si>
  <si>
    <t>3. Rates are not published where there were fewer than five young people.</t>
  </si>
  <si>
    <t>1. Age calculated as at start of financial year if first period of supervision in the relevant year began before the start of the financial year, otherwise age calculated as at start of first period of supervision in the relevant year.</t>
  </si>
  <si>
    <t>2. Trend data may differ from those previously published due to data revisions.</t>
  </si>
  <si>
    <t>1. Trend data may differ from those previously published due to data revisions.</t>
  </si>
  <si>
    <t>Note: Trend data may differ from those previously published due to data revisions.</t>
  </si>
  <si>
    <t>4. Age calculated as at start of financial year if first period of supervision in the relevant year began before the start of the financial year, otherwise age calculated as at start of first period of supervision in the relevant year.</t>
  </si>
  <si>
    <t>First year of supervision</t>
  </si>
  <si>
    <t>Previously supervised</t>
  </si>
  <si>
    <t>Note :Trend data may differ from those previously published due to data revisions.</t>
  </si>
  <si>
    <t>Note:Trend data may differ from those previously published due to data revisions.</t>
  </si>
  <si>
    <t>1. Total includes young people with unknown date of first supervision.</t>
  </si>
  <si>
    <t>2. Age calculated as at start of first supervision period.</t>
  </si>
  <si>
    <t>Probation and similar</t>
  </si>
  <si>
    <t>Remand</t>
  </si>
  <si>
    <t>Police-referred detention</t>
  </si>
  <si>
    <t>Detention other</t>
  </si>
  <si>
    <t>Supervised or conditional bail and other unsentenced</t>
  </si>
  <si>
    <t>Suspended detention and home detention</t>
  </si>
  <si>
    <t>Sentenced detention</t>
  </si>
  <si>
    <t>Parole or supervised release</t>
  </si>
  <si>
    <t>Community service</t>
  </si>
  <si>
    <t>Other</t>
  </si>
  <si>
    <t>1. Young people may have multiple first supervision types.</t>
  </si>
  <si>
    <t>2. Information on first supervision type is not available for all young people.</t>
  </si>
  <si>
    <t>Total young people under supervision</t>
  </si>
  <si>
    <t>Total under supervision</t>
  </si>
  <si>
    <t>1. Some young people excluded due to missing or invalid postcodes or because the postcode was not listed in the Remoteness areas correspondence file.</t>
  </si>
  <si>
    <t>2. Some remoteness areas are not found in all states and territories.</t>
  </si>
  <si>
    <t>3. Age calculated as at start of financial year if first period of supervision in the relevant year began before the start of the financial year, otherwise age calculated as at start of first period of supervision in the relevant year.</t>
  </si>
  <si>
    <t>Note: Some young people excluded due to missing or invalid postcodes or because the postcode was not listed in the SEIFA file.</t>
  </si>
  <si>
    <t>1. Some young people excluded due to missing or invalid postcodes or because the postcode was not listed in the SEIFA file.</t>
  </si>
  <si>
    <t>2.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</si>
  <si>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3. SEIFA quintiles are calculated based on postcodes across the whole of Australia, and therefore some socioeconomic areas are not found in all states and territories.</t>
  </si>
  <si>
    <t>3.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</si>
  <si>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4. SEIFA quintiles are calculated based on postcodes across the whole of Australia, and therefore some socioeconomic areas are not found in all states and territories.</t>
  </si>
  <si>
    <t>Home detention bail [unsentenced community-based orders]</t>
  </si>
  <si>
    <t>Supervised or conditional bail [unsentenced community-based orders]</t>
  </si>
  <si>
    <t>Other unsentenced community-based supervision [unsentenced community-based orders]</t>
  </si>
  <si>
    <t>Sub-total: unsentenced community-based orders</t>
  </si>
  <si>
    <t>Probation and similar [sentenced community-based orders]</t>
  </si>
  <si>
    <t>Suspended detention [sentenced community-based orders]</t>
  </si>
  <si>
    <t>Home detention [sentenced community-based orders]</t>
  </si>
  <si>
    <t>Parole or supervised release [sentenced community-based orders]</t>
  </si>
  <si>
    <t>Sentenced other [sentenced community-based orders]</t>
  </si>
  <si>
    <t>Community service [sentenced community-based orders]</t>
  </si>
  <si>
    <t>Sub-total: sentenced community-based orders</t>
  </si>
  <si>
    <t>Other - other type of legal arrangements [other orders]</t>
  </si>
  <si>
    <t>Total: Community-based supervised orders</t>
  </si>
  <si>
    <t>Police-referred detention [unsentenced detention orders]</t>
  </si>
  <si>
    <t>Remand [unsentenced detention orders]</t>
  </si>
  <si>
    <t>Sub-total: unsentenced detention orders</t>
  </si>
  <si>
    <t>Sentenced detention [sentenced detention orders]</t>
  </si>
  <si>
    <t>Total: Detention orders</t>
  </si>
  <si>
    <t>All orders</t>
  </si>
  <si>
    <t>1. Some types of supervision are not available in some states and territories.</t>
  </si>
  <si>
    <t>6+</t>
  </si>
  <si>
    <t>No. completed</t>
  </si>
  <si>
    <t>No. not completed</t>
  </si>
  <si>
    <t>No. of supervision periods</t>
  </si>
  <si>
    <t>1. Median lengths were not calculated where there were fewer than five periods.</t>
  </si>
  <si>
    <t>3. In Tasmania sentenced community supervision orders are generally specified by the courts to default to 12 months in length, which has the effect of increasing the length of supervision for Tasmania.</t>
  </si>
  <si>
    <t>1. Average duration calculated from the summed length of periods of supervision that occurred within the financial year.</t>
  </si>
  <si>
    <t>2. Total includes young people of unknown sex.</t>
  </si>
  <si>
    <t>3. Trend data may differ from those previously published due to data revisions.</t>
  </si>
  <si>
    <t>4. In Tasmania sentenced community supervision orders are generally specified by the courts to default to 12 months in length, which has the effect of increasing the length of supervision for Tasmania.</t>
  </si>
  <si>
    <t>365+ days (12+ months)</t>
  </si>
  <si>
    <t>Young people under supervision during the year with a supervision history containing unsentenced community-based supervision</t>
  </si>
  <si>
    <t>Note: Supervision history is not available for all young people under supervision. Young people with incomplete supervision histories are excluded.</t>
  </si>
  <si>
    <t>Young people under supervision during the year with a supervision history containing sentenced community-based supervision</t>
  </si>
  <si>
    <t>Young people under supervision during the year with a supervision history containing any community-based supervision</t>
  </si>
  <si>
    <t>Young people under supervision during the year with a supervision history containing police-referred detention</t>
  </si>
  <si>
    <t>Young people under supervision during the year with a supervision history containing remand</t>
  </si>
  <si>
    <t>Young people under supervision during the year with a supervision history containing sentenced detention</t>
  </si>
  <si>
    <t>Young people under supervision during the year with a supervision history containing any type of detention</t>
  </si>
  <si>
    <t>Young people under supervision during the year with a supervision history comprising only unsentenced community-based supervision</t>
  </si>
  <si>
    <t>Young people under supervision during the year with a supervision history comprising only sentenced community-based supervision</t>
  </si>
  <si>
    <t>Young people under supervision during the year with a supervision history comprising only probation or similar</t>
  </si>
  <si>
    <t>Young people under supervision during the year with a supervision history comprising only community-based supervision</t>
  </si>
  <si>
    <t>Young people under supervision during the year with a supervision history comprising only remand</t>
  </si>
  <si>
    <t>Young people under supervision during the year with a supervision history comprising only unsentenced detention</t>
  </si>
  <si>
    <t>Young people under supervision during the year with a supervision history comprising only sentenced detention</t>
  </si>
  <si>
    <t>Young people under supervision during the year with a supervision history comprising only detention</t>
  </si>
  <si>
    <t>Notes and Symbols</t>
  </si>
  <si>
    <t>Supplementary tables—Characteristics of young people under supervision: S1 to S33</t>
  </si>
  <si>
    <t>Age, sex and Indigenous status</t>
  </si>
  <si>
    <t>Trends</t>
  </si>
  <si>
    <t>First supervision</t>
  </si>
  <si>
    <t>Remoteness</t>
  </si>
  <si>
    <t>Socioeconomic position of usual residence</t>
  </si>
  <si>
    <t>Number of orders and supervision periods</t>
  </si>
  <si>
    <t>Time under supervision and supervision history</t>
  </si>
  <si>
    <t>Abbreviations</t>
  </si>
  <si>
    <t>ABS</t>
  </si>
  <si>
    <t>Australian Bureau of Statistics</t>
  </si>
  <si>
    <t>Australian Capital Territory</t>
  </si>
  <si>
    <t>AIHW</t>
  </si>
  <si>
    <t>Australian Institute of Health and Welfare</t>
  </si>
  <si>
    <t>Aust</t>
  </si>
  <si>
    <t>YJ NMDS</t>
  </si>
  <si>
    <t>Youth Justice National Minimum Data Set</t>
  </si>
  <si>
    <t>New South Wales</t>
  </si>
  <si>
    <t>Northern Territory</t>
  </si>
  <si>
    <t>Queensland</t>
  </si>
  <si>
    <t>South Australia</t>
  </si>
  <si>
    <t>SEIFA</t>
  </si>
  <si>
    <t>Socio–Economic Indexes for Areas</t>
  </si>
  <si>
    <t>Tasmania</t>
  </si>
  <si>
    <t>Victoria</t>
  </si>
  <si>
    <t>Western Australia</t>
  </si>
  <si>
    <t>Symbols</t>
  </si>
  <si>
    <t>—</t>
  </si>
  <si>
    <t xml:space="preserve">zero </t>
  </si>
  <si>
    <t>rounded to zero</t>
  </si>
  <si>
    <t>. .</t>
  </si>
  <si>
    <t>not applicable</t>
  </si>
  <si>
    <t>n.a.</t>
  </si>
  <si>
    <t>not available</t>
  </si>
  <si>
    <t>n.p.</t>
  </si>
  <si>
    <t>not published due to small numbers, confidentiality, and/or reliability concerns</t>
  </si>
  <si>
    <t>References</t>
  </si>
  <si>
    <t>Age</t>
  </si>
  <si>
    <t>Sex</t>
  </si>
  <si>
    <t>Indigenous status</t>
  </si>
  <si>
    <t>Age Group</t>
  </si>
  <si>
    <t>Year</t>
  </si>
  <si>
    <t>Supervision</t>
  </si>
  <si>
    <t>Age group</t>
  </si>
  <si>
    <t>Number of orders</t>
  </si>
  <si>
    <t>No. of completed supervision periods</t>
  </si>
  <si>
    <t>Median length (number of days in total)</t>
  </si>
  <si>
    <t>Number of completed periods</t>
  </si>
  <si>
    <t>Number of young people</t>
  </si>
  <si>
    <t>No. completed supervision periods</t>
  </si>
  <si>
    <t>1. Components of tables may not sum to the totals due to rounding.</t>
  </si>
  <si>
    <t>2. The average daily population of young people under community-based supervision and in detention may not sum to the total average daily population under supervision because a young person may move between community-based supervision and detention on the same day.</t>
  </si>
  <si>
    <r>
      <t xml:space="preserve">3. Age on an average day is calculated based on the age a young person is each day that they are under supervision. If a young person changes age during a period of supervision, then the average daily number under supervision will reflect this. Average daily data broken down by age will not be comparable to </t>
    </r>
    <r>
      <rPr>
        <i/>
        <sz val="11"/>
        <color indexed="8"/>
        <rFont val="Arial"/>
        <family val="2"/>
      </rPr>
      <t>Youth justice in Australia</t>
    </r>
    <r>
      <rPr>
        <sz val="11"/>
        <color indexed="8"/>
        <rFont val="Arial"/>
        <family val="2"/>
      </rPr>
      <t xml:space="preserve"> releases prior to 2019–20.</t>
    </r>
  </si>
  <si>
    <t>4. For 'during the year' (or unique) counts, age is calculated at the start of the first period of relevant supervision. If the first period of relevant supervision began before the financial year, then age is calculated at the start of the financial year. A young person may therefore be included in one age category for one type of supervision and in another age category for a different type of supervision (for example, 15 years old for community-based supervision and 16 years old for detention).</t>
  </si>
  <si>
    <t>5. Unless otherwise specified, tables present data that relate to young people aged 10 and over under youth justice supervision.</t>
  </si>
  <si>
    <r>
      <t xml:space="preserve">6. For information about the impacts of COVID-19 on population data, please see Box 1 in </t>
    </r>
    <r>
      <rPr>
        <i/>
        <sz val="11"/>
        <color theme="1"/>
        <rFont val="Arial"/>
        <family val="2"/>
      </rPr>
      <t>Youth justice in Australia 2020–21 Appendix 1: Data quality and technical notes.</t>
    </r>
  </si>
  <si>
    <r>
      <t xml:space="preserve">7. Historical data for the ACT has been suppressed and is not comparable to previous editions of </t>
    </r>
    <r>
      <rPr>
        <i/>
        <sz val="11"/>
        <color theme="1"/>
        <rFont val="Arial"/>
        <family val="2"/>
      </rPr>
      <t>Youth Justice in Australia</t>
    </r>
    <r>
      <rPr>
        <sz val="11"/>
        <color theme="1"/>
        <rFont val="Arial"/>
        <family val="2"/>
      </rPr>
      <t>.</t>
    </r>
  </si>
  <si>
    <t>8. AIHW uses 'First Nations people' to refer to Aboriginal and Torres Strait Islander people in this report.</t>
  </si>
  <si>
    <t>10–13 years</t>
  </si>
  <si>
    <t>14–17 years</t>
  </si>
  <si>
    <t>10–17 years</t>
  </si>
  <si>
    <t>First supervision type</t>
  </si>
  <si>
    <t>Order type</t>
  </si>
  <si>
    <t>Supervision periods</t>
  </si>
  <si>
    <t>Duration</t>
  </si>
  <si>
    <t>0–29 days (&lt;1 month)</t>
  </si>
  <si>
    <t>30–90 days (1–&lt;3 months)</t>
  </si>
  <si>
    <t>91–182 days (3–&lt;6 months)</t>
  </si>
  <si>
    <t>183–273 days (6–&lt;9 months)</t>
  </si>
  <si>
    <t>274–364 days (9–&lt;12 months)</t>
  </si>
  <si>
    <t>1. Total includes young people of unknown age and Indigenous status.</t>
  </si>
  <si>
    <t>Major cities of Australia</t>
  </si>
  <si>
    <t>Inner regional Australia</t>
  </si>
  <si>
    <t>Outer regional Australia</t>
  </si>
  <si>
    <t>Remote Australia</t>
  </si>
  <si>
    <t>Very remote Australia</t>
  </si>
  <si>
    <t>4. Rates are number of young people per 10,000 relevant population.</t>
  </si>
  <si>
    <t>5. Rates are not published where there were fewer than five young people.</t>
  </si>
  <si>
    <t>1 (lowest)</t>
  </si>
  <si>
    <t>5 (highest)</t>
  </si>
  <si>
    <t>Unknown</t>
  </si>
  <si>
    <t>4. Rate ratio calculated by dividing the rate for the lowest level of socioeconomic areas (1) by the highest level of socioeconomic areas (5).</t>
  </si>
  <si>
    <t>5.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</si>
  <si>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6. SEIFA quintiles are calculated based on postcodes across the whole of Australia, and therefore some socioeconomic areas are not found in all states and territories.</t>
  </si>
  <si>
    <t>7. Age calculated as at start of financial year if first period of supervision in the relevant year began before the start of the financial year, otherwise age calculated as at start of first period of supervision in the relevant year.</t>
  </si>
  <si>
    <t>Remoteness area</t>
  </si>
  <si>
    <t>Socioeconomic areas</t>
  </si>
  <si>
    <t>(b) Address data for young people known to Youth Justice in Tasmania is affected by data qaulity issues. Usual residence data should be interpreted with caution.</t>
  </si>
  <si>
    <t>(a) Address data for young people known to Youth Justice in Tasmania is affected by data qaulity issues. Usual residence data should be interpreted with caution.</t>
  </si>
  <si>
    <t xml:space="preserve">. </t>
  </si>
  <si>
    <t>All</t>
  </si>
  <si>
    <t xml:space="preserve">Total </t>
  </si>
  <si>
    <t>2015-16</t>
  </si>
  <si>
    <t>2016-17</t>
  </si>
  <si>
    <t>2017-18</t>
  </si>
  <si>
    <t>2018-19</t>
  </si>
  <si>
    <t>2019-20</t>
  </si>
  <si>
    <t>2020-21</t>
  </si>
  <si>
    <t>2021-22</t>
  </si>
  <si>
    <t>2022-23</t>
  </si>
  <si>
    <t>2023-24</t>
  </si>
  <si>
    <t>Australia excl NT</t>
  </si>
  <si>
    <t>10-13 years</t>
  </si>
  <si>
    <t>14-17 years</t>
  </si>
  <si>
    <t>2. Time under supervision calculated for 2023–24, from 1 July 2023.</t>
  </si>
  <si>
    <t>Notes:</t>
  </si>
  <si>
    <t>Major Cities of Australia</t>
  </si>
  <si>
    <t>Inner Regional Australia</t>
  </si>
  <si>
    <t>Outer Regional Australia</t>
  </si>
  <si>
    <t>Very Remote Australia</t>
  </si>
  <si>
    <t>(a) Address data for young people known to Youth Justice in Tasmania is affected by data quality issues. Usual residence data should be interpreted with caution.</t>
  </si>
  <si>
    <t>(b) Address data for young people known to Youth Justice in Tasmania is affected by data quality issues. Usual residence data should be interpreted with caution.</t>
  </si>
  <si>
    <t>(a)  Address data for young people known to Youth Justice in Tasmania is affected by data quality issues. Usual residence data should be interpreted with caution.</t>
  </si>
  <si>
    <t xml:space="preserve">Note: </t>
  </si>
  <si>
    <t>3. Number of young people on an average day not available for the Northern Territory in 2023-24.</t>
  </si>
  <si>
    <t>1. Total excludes young people with missing order data.</t>
  </si>
  <si>
    <t>1. Total includes young people of unknown Indigenous status.</t>
  </si>
  <si>
    <t>Source: Tables S3b and S143</t>
  </si>
  <si>
    <t>Source: Tables S5a and S142.</t>
  </si>
  <si>
    <t>Source: Tables S5b and S142.</t>
  </si>
  <si>
    <t>Source: Tables S7a and S150</t>
  </si>
  <si>
    <t>Source: Tables S7b and S150</t>
  </si>
  <si>
    <t>Source: Tables S8a and S147</t>
  </si>
  <si>
    <t>Source: Tables S10a and S145</t>
  </si>
  <si>
    <t>Source: Tables S10b and S145</t>
  </si>
  <si>
    <t>5. In August 2023, the Northern Territory raised the minimum age of criminal responsibility from 10 to 12. The rates for the Northern Territory in 2023-24 are for young people aged 12-17.</t>
  </si>
  <si>
    <t>6. In November 2023, the Australian Capital Territory raised the minimum age of criminal responsibility from 10 to 12. The rates for the Australian Capital Territory in 2023-24 are for young people aged 12-17.</t>
  </si>
  <si>
    <t>3. In August 2023, the Northern Territory raised the minimum age of criminal responsibility from 10 to 12. The rates for the Northern Territory in 2023-24 are for young people aged 12-17.</t>
  </si>
  <si>
    <t>4. In November 2023, the Australian Capital Territory raised the minimum age of criminal responsibility from 10 to 12. The rates for the Australian Capital Territory in 2023-24 are for young people aged 12-17.</t>
  </si>
  <si>
    <t>Source: Tables S13a and S144</t>
  </si>
  <si>
    <t>Source: Tables S13b and S144</t>
  </si>
  <si>
    <t>Source: Tables S22a and S148</t>
  </si>
  <si>
    <t>Source: Tables S22b and S148</t>
  </si>
  <si>
    <t xml:space="preserve">n.p. Some cells are suppressed in this table to protect the confidentiality of young people. </t>
  </si>
  <si>
    <r>
      <rPr>
        <sz val="7"/>
        <color rgb="FF000000"/>
        <rFont val="Arial"/>
        <family val="2"/>
      </rPr>
      <t>n.p. Some cells are suppressed in this table to protect the confidentiality of young people.</t>
    </r>
    <r>
      <rPr>
        <sz val="8"/>
        <color rgb="FF000000"/>
        <rFont val="Arial"/>
        <family val="2"/>
      </rPr>
      <t xml:space="preserve"> </t>
    </r>
  </si>
  <si>
    <t xml:space="preserve">Notes </t>
  </si>
  <si>
    <t>1. Unsentenced detention is both police-referred detention and remand</t>
  </si>
  <si>
    <t>2. Supervision history is not available for all young people under supervision. Young people with incomplete supervision histories are excluded.</t>
  </si>
  <si>
    <t>3. Rate ratio calculated by dividing the rate for the lowest level of socioeconomic areas (1) by the highest level of socioeconomic areas (5).</t>
  </si>
  <si>
    <t>4.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</si>
  <si>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5. SEIFA quintiles are calculated based on postcodes across the whole of Australia, and therefore some socioeconomic areas are not found in all states and territories.</t>
  </si>
  <si>
    <t>6.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</si>
  <si>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2016–17</t>
  </si>
  <si>
    <t>2017–18</t>
  </si>
  <si>
    <t>2018–19</t>
  </si>
  <si>
    <t>2019–20</t>
  </si>
  <si>
    <t>2020–21</t>
  </si>
  <si>
    <t>2021–22</t>
  </si>
  <si>
    <t>2022–23</t>
  </si>
  <si>
    <t>2023–24</t>
  </si>
  <si>
    <t>3. In Tasmania, parole is only applicable under the Sentencing Act of 1997.</t>
  </si>
  <si>
    <t>4. In Tasmania, parole is only applicable under the Sentencing Act of 1997.</t>
  </si>
  <si>
    <t>Table S1a: Young people under supervision on an average day by age, states and territories, 2024–25</t>
  </si>
  <si>
    <t>Table S1b: Young people under supervision during the year by age, states and territories, 2024–25</t>
  </si>
  <si>
    <t>Table S2a: Young people under supervision on an average day by sex and Indigenous status, states and territories, 2024–25</t>
  </si>
  <si>
    <t>Table S2b: Young people under supervision during the year by sex and Indigenous status, states and territories, 2024–25</t>
  </si>
  <si>
    <t>Table S3a: Young people aged 10–17 under supervision on an average day by sex and Indigenous status, states and territories, 2024–25</t>
  </si>
  <si>
    <t>Table S3b: Young people aged 10–17 under supervision during the year by sex and Indigenous status, states and territories, 2024–25</t>
  </si>
  <si>
    <t>Table S4a: Young people aged 10–17 under supervision on an average day by sex and Indigenous status, states and territories, 2024–25 (rate)</t>
  </si>
  <si>
    <t>Table S4b: Young people aged 10–17 under supervision during the year by sex and Indigenous status, states and territories, 2024–25 (rate)</t>
  </si>
  <si>
    <t>Table S5a: Young people under supervision on an average day by age, sex and Indigenous status, Australia, 2024–25</t>
  </si>
  <si>
    <t>Table S5b: Young people under supervision during the year, by age sex and Indigenous status, Australia, 2024–25</t>
  </si>
  <si>
    <t>Table S6a: Young people aged 10–17 under supervision on an average day by age, sex and Indigenous status, Australia, 2024–25 (rate)</t>
  </si>
  <si>
    <t>Table S6b: Young people aged 10–17 under supervision during the year by age, sex and Indigenous status, Australia, 2024–25 (rate)</t>
  </si>
  <si>
    <t>Table S7a: Young people under supervision on an average day by Indigenous status and age, states and territories, 2024–25</t>
  </si>
  <si>
    <t>Table S7b: Young people under supervision during the year by Indigenous status and age, states and territories, 2024–25</t>
  </si>
  <si>
    <t>Table S7c: Young people under supervision on an average day by Indigenous status and age, states and territories, 2024–25 (rate)</t>
  </si>
  <si>
    <t>Table S7d: Young people under supervision during the year by Indigenous status and age, states and territories, 2024–25 (rate)</t>
  </si>
  <si>
    <t>Table S18: Young people under supervision during the year by sex, Indigenous status and age at first supervision, Australia, 2024–25</t>
  </si>
  <si>
    <t>Table S19: Young people under supervision during the year by Indigenous status and age at first supervision, states and territories, 2024–25</t>
  </si>
  <si>
    <t>Table S20: Young people under supervision during the year by type of first supervision and age at first supervision 2024–25</t>
  </si>
  <si>
    <t>Table S21a: Young people under supervision on an average day by Indigenous status, sex and remoteness of usual residence, Australia, 2024–25</t>
  </si>
  <si>
    <t>Table S21b: Young people under supervision during the year by Indigenous status, sex and remoteness of usual residence, Australia, 2024–25</t>
  </si>
  <si>
    <t>Table S22a: Young people aged 10–17 under supervision on an average day by remoteness of usual residence, states and territories, 2024–25</t>
  </si>
  <si>
    <t>Table S22b: Young people aged 10–17 under supervision during the year by remoteness of usual residence, states and territories, 2024–25</t>
  </si>
  <si>
    <t>Table S22c: Young people aged 10–17 under supervision on an average day by remoteness of usual residence, states and territories, 2024–25 (rate)</t>
  </si>
  <si>
    <t>Table S22d: Young people aged 10–17 under supervision during the year by remoteness of usual residence, states and territories, 2024–25 (rate)</t>
  </si>
  <si>
    <t>Table S23a: Young people under supervision on an average day by sex, Indigenous status and socioeconomic position of usual residence, Australia, 2024–25</t>
  </si>
  <si>
    <t>Table S23b: Young people under supervision during the year by sex, Indigenous status and socioeconomic position of usual residence, Australia, 2024–25</t>
  </si>
  <si>
    <t>Table S24a: Young people aged 10–17 under supervision on an average day by socioeconomic position of usual residence, states and territories, 2024–25</t>
  </si>
  <si>
    <t>Table S24b: Young people aged 10–17 under supervision during the year by socioeconomic position of usual residence, states and territories, 2024–25</t>
  </si>
  <si>
    <t>Table S24c: Young people aged 10–17 under supervision on an average day by socioeconomic position of usual residence, states and territories, 2024–25 (rate)</t>
  </si>
  <si>
    <t>Table S24d: Young people aged 10–17 under supervision during the year by socioeconomic position of usual residence, states and territories, 2024–25 (rate)</t>
  </si>
  <si>
    <t>Table S26a: Young people by Indigenous status and number of community-based supervised orders, states and territories, 2024–25</t>
  </si>
  <si>
    <t>Table S26b: Young people by Indigenous status and number of detention orders, states and territories, 2024–25</t>
  </si>
  <si>
    <t>Table S26c: Young people by Indigenous status and number of supervised orders, states and territories, 2024–25</t>
  </si>
  <si>
    <t>Table S27: Completed supervision periods, states and territories, 2024–25</t>
  </si>
  <si>
    <t>Table S28: Young people who completed a period of supervision during the year by number of periods completed and Indigenous status, Australia, 2024–25</t>
  </si>
  <si>
    <t>Table S29: Number and median length of completed periods of supervision by Indigenous status, states and territories, 2024–25</t>
  </si>
  <si>
    <t>Table S32: Orders ended by duration and Indigenous status, states and territories, 2024–25</t>
  </si>
  <si>
    <t>Table S33a: Young people under supervision during the year by supervision history, sex and Indigenous status, states and territories, 2024–25: Young people under supervision during the year with a supervision history containing unsentenced community-based</t>
  </si>
  <si>
    <t>Table S33b: Young people under supervision during the year by supervision history, sex and Indigenous status, states and territories, 2024–25: Young people under supervision during the year with a supervision history containing sentenced community-based supervision</t>
  </si>
  <si>
    <t>Table S33c: Young people under supervision during the year by supervision history, sex and Indigenous status, states and territories, 2024–25: Young people under supervision during the year with a supervision history containing any community-based supervi</t>
  </si>
  <si>
    <t>Table S33d: Young people under supervision during the year by supervision history, sex and Indigenous status, states and territories, 2024–25: Young people under supervision during the year with a supervision history containing police-referred detention</t>
  </si>
  <si>
    <t>Table S33e: Young people under supervision during the year by supervision history, sex and Indigenous status, states and territories, 2024–25: Young people under supervision during the year with a supervision history containing remand</t>
  </si>
  <si>
    <t>Table S33f: Young people under supervision during the year by supervision history, sex and Indigenous status, states and territories, 2024–25:Young people under supervision during the year with a supervision history containing sentenced detention</t>
  </si>
  <si>
    <t>Table S33g: Young people under supervision during the year by supervision history, sex and Indigenous status, states and territories, 2024–25: Young people under supervision during the year with a supervision history containing any type of detention</t>
  </si>
  <si>
    <t>Table S33h: Young people under supervision during the year by supervision history, sex and Indigenous status, states and territories, 2024–25: Young people under supervision during the year with a supervision history comprising only unsentenced community-</t>
  </si>
  <si>
    <t>Table S33i: Young people under supervision during the year by supervision history, sex and Indigenous status, states and territories, 2024–25: Young people under supervision during the year with a supervision history comprising only sentenced community-based supervision</t>
  </si>
  <si>
    <t>Table S33j: Young people under supervision during the year by supervision history, sex and Indigenous status, states and territories, 2024–25: Young people under supervision during the year with a supervision history comprising only probation or similar</t>
  </si>
  <si>
    <t>Table S33k: Young people under supervision during the year by supervision history, sex and Indigenous status, states and territories, 2024–25: Young people under supervision during the year with a supervision history comprising only community-based superv</t>
  </si>
  <si>
    <t>Table S33l: Young people under supervision during the year by supervision history, sex and Indigenous status, states and territories, 2024–25: Young people under supervision during the year with a supervision history comprising only remand</t>
  </si>
  <si>
    <t>Table S33m: Young people under supervision during the year by supervision history, sex and Indigenous status, states and territories, 2024–25: Young people under supervision during the year with a supervision history comprising only unsentenced detention</t>
  </si>
  <si>
    <t>Table S33n: Young people under supervision during the year by supervision history, sex and Indigenous status, states and territories, 2024–25: Young people under supervision during the year with a supervision history comprising only sentenced detention</t>
  </si>
  <si>
    <t>Table S33o: Young people under supervision during the year by supervision history, sex and Indigenous status, states and territories, 2024–25: Young people under supervision during the year with a supervision history comprising only detention</t>
  </si>
  <si>
    <t>Table S8a: Young people aged 10–17 under supervision on an average day by age and sex, Australia, 2020–21 to 2024–25</t>
  </si>
  <si>
    <t>Table S8b: Young people aged 10–17 under supervision during the year by age and sex, Australia, 2020–21 to 2024–25</t>
  </si>
  <si>
    <t>Table S9a: Young people aged 10–17 under supervision on an average day by age and sex, Australia, 2020–21 to 2024–25 (rate)</t>
  </si>
  <si>
    <t>Table S9b: Young people aged 10–17 under supervision during the year by age and sex, Australia, 2020–21 to 2024–25 (rate)</t>
  </si>
  <si>
    <t>Table S16: Young people under supervision during the year by first supervision, states and territories, 2020–21 to 2024–25</t>
  </si>
  <si>
    <t>Table S17: Young people under supervision during the year by first supervision and Indigenous status, Australia, 2020–21 to 2024–25</t>
  </si>
  <si>
    <t>Table S25: Orders by order type, states and territories, 2020–21 to 2024–25</t>
  </si>
  <si>
    <t>Table S30: Average length of time spent under supervision during the year by Indigenous status and sex, states and territories, 2020–21 to 2024–25 (days)</t>
  </si>
  <si>
    <t>Table S31: Young people by number of completed supervision periods, states and territories, 2020–21 to 2024–25</t>
  </si>
  <si>
    <t>Table S10a: Young people aged 10–17 under supervision on an average day by Indigenous status, states and territories, 2015–16 to 2024–25</t>
  </si>
  <si>
    <t>Table S10b: Young people aged 10–17 under supervision during the year by Indigenous status, states and territories, 2015–16 to 2024–25</t>
  </si>
  <si>
    <t>Table S11a: Young people under supervision on an average day by Indigenous status, states and territories, 2015–16 to 2024–25</t>
  </si>
  <si>
    <t>Table S11b: Young people under supervision during the year by Indigenous status, states and territories, 2015–16 to 2024–25</t>
  </si>
  <si>
    <t>Table S12a: Young people aged 10–17 under supervision on an average day by Indigenous status, states and territories, 2015–16 to 2024–25 (rate)</t>
  </si>
  <si>
    <t>Table S12b: Young people aged 10–17 under supervision during the year by Indigenous status, states and territories, 2015–16 to 2024–25 (rate)</t>
  </si>
  <si>
    <t>Table S13a: Young people aged 10–17 under supervision on an average day by sex, states and territories, 2015–16 to 2024–25</t>
  </si>
  <si>
    <t>Table S13b: Young people aged 10–17 under supervision during the year by sex, states and territories, 2015–16 to 2024–25</t>
  </si>
  <si>
    <t>Table S14a: Young people under supervision on an average day by sex, states and territories, 2015–16 to 2024–25</t>
  </si>
  <si>
    <t>Table S14b: Young people under supervision during the year by sex, states and territories, 2015–16 to 2024–25</t>
  </si>
  <si>
    <t>Table S15a: Young people aged 10–17 under supervision on an average day by sex, states and territories, 2015–16 to 2024–25 (rate)</t>
  </si>
  <si>
    <t>Table S15b: Young people aged 10–17 under supervision during the year by sex, states and territories, 2015–16 to 2024–25 (rate)</t>
  </si>
  <si>
    <t>Cat. no. JUV 148. Canberra: AIHW</t>
  </si>
  <si>
    <t xml:space="preserve">Table S1a: Young people under supervision on an average day(a) by age, states and territories, 2024–25 </t>
  </si>
  <si>
    <t>Source: AIHW Youth Justice National Minimum Dataset (YJ NMDS) 2000–01 to 2024–25.</t>
  </si>
  <si>
    <t>2. Number of young people on an average day not available for the Northern Territory in 2024-25.</t>
  </si>
  <si>
    <t>-</t>
  </si>
  <si>
    <t xml:space="preserve">Table S2a: Young people under supervision on an average day(a) by sex and Indigenous status, states and territories, 2024–25 </t>
  </si>
  <si>
    <t>1. Number of young people on an average day not available for the Northern Territory in 2024-25.</t>
  </si>
  <si>
    <t xml:space="preserve">Table S3a: Young people aged 10–17 under supervision on an average day(a) by sex and Indigenous status, states and territories, 2024–25  </t>
  </si>
  <si>
    <t>3. Number of young people on an average day not available for the Northern Territory in 2024-25.</t>
  </si>
  <si>
    <t>4. In November 2023, the Australian Capital Territory raised the minimum age of criminal responsibility from 10 to 12. The rates for the Australian Capital Territory in 2024-25 are for young people aged 12-17.</t>
  </si>
  <si>
    <t xml:space="preserve">Table S7a: Young people under supervision on an average day(a) by Indigenous status and age, states and territories, 2024–25 </t>
  </si>
  <si>
    <t>Table S7c: Young people under supervision on an average day(a) by Indigenous status and age, states and territories, 2024–25 (rate)</t>
  </si>
  <si>
    <t>2024-25</t>
  </si>
  <si>
    <t>(b) Number of young people on an average day not available for the Northern Territory in 2024-25. Northern Territory was removed from all years for this table to have a consistent timeseries.</t>
  </si>
  <si>
    <r>
      <t>Table S10a: Young people aged 10–17 under supervision on an average day</t>
    </r>
    <r>
      <rPr>
        <b/>
        <vertAlign val="superscript"/>
        <sz val="10"/>
        <rFont val="Arial"/>
        <family val="2"/>
      </rPr>
      <t>(a)</t>
    </r>
    <r>
      <rPr>
        <b/>
        <sz val="10"/>
        <rFont val="Arial"/>
        <family val="2"/>
      </rPr>
      <t xml:space="preserve"> by Indigenous status, states and territories, 2015-16 to 2024–25</t>
    </r>
  </si>
  <si>
    <t>3. Number of young people on an average day not available for the Northern Territory in 2023-24 and 2024-25.</t>
  </si>
  <si>
    <t>Table S10b: Young people aged 10–17 under supervision during the year by Indigenous status, states and territories, 2015-16 to 2024–25</t>
  </si>
  <si>
    <t>2. Number of young people on an average day not available for the Northern Territory in 2023-24 and 2024-25.</t>
  </si>
  <si>
    <t>Table S11a: Young people under supervision on an average day(a) by Indigenous status, states and territories, 2015–16 to 2024–25</t>
  </si>
  <si>
    <t>2024–25</t>
  </si>
  <si>
    <t>4. In November 2023, the Australian Capital Territory raised the minimum age of criminal responsibility from 10 to 12. The rates for the Australian Capital Territory from  2023-24 are for young people aged 12-17.</t>
  </si>
  <si>
    <t>5. In October 2024, the Northern Territory lowered the minimum age of criminal responsibility from 12 to 10. The rates for the Northern Territory in 2024-25 are for young people aged 10-17.</t>
  </si>
  <si>
    <t>Table S12a: Young people aged 10–17 under supervision on an average day by Indigenous status, states and territories, 2016–17 to 2024–25 (rate)</t>
  </si>
  <si>
    <t>Table S12b: Young people aged 10–17 under supervision during the year by Indigenous status, states and territories, 2016–17 to 2024–25 (rate)</t>
  </si>
  <si>
    <r>
      <t>Table S13a: Young people aged 10–17 under supervision on an average day</t>
    </r>
    <r>
      <rPr>
        <b/>
        <vertAlign val="superscript"/>
        <sz val="10"/>
        <rFont val="Arial"/>
        <family val="2"/>
      </rPr>
      <t>(a)</t>
    </r>
    <r>
      <rPr>
        <b/>
        <sz val="10"/>
        <rFont val="Arial"/>
        <family val="2"/>
      </rPr>
      <t xml:space="preserve"> by sex, states and territories, 2015-16 to 2024–25</t>
    </r>
  </si>
  <si>
    <t>Table S13b: Young people aged 10–17 under supervision during the year by sex, states and territories, 2015-16 to 2024–25</t>
  </si>
  <si>
    <r>
      <t>Table S14a: Young people under supervision on an average day</t>
    </r>
    <r>
      <rPr>
        <b/>
        <vertAlign val="superscript"/>
        <sz val="10"/>
        <rFont val="Arial"/>
        <family val="2"/>
      </rPr>
      <t>(a)</t>
    </r>
    <r>
      <rPr>
        <b/>
        <sz val="10"/>
        <rFont val="Arial"/>
        <family val="2"/>
      </rPr>
      <t xml:space="preserve"> by sex, states and territories, 2015-16 to 2024–25</t>
    </r>
  </si>
  <si>
    <t>Table S14b: Young people under supervision during the year by sex, states and territories, 2015-16 to 2024–25</t>
  </si>
  <si>
    <t>4. Number of young people on an average day not available for the Northern Territory in 2023-24 and 2024-25.</t>
  </si>
  <si>
    <t>5. In November 2023, the Australian Capital Territory raised the minimum age of criminal responsibility from 10 to 12. The rates for the Australian Capital Territory from 2023-24 are for young people aged 12-17.</t>
  </si>
  <si>
    <t>Table S17: Young people under supervision during the year by first supervision and Indigenous status, Australia 2020–21 to 2024–25</t>
  </si>
  <si>
    <t>Table S18: Young people under supervision during the year by sex, Indigenous status and age at first supervision, Australia, 2024–245</t>
  </si>
  <si>
    <t>Table S20: Young people under supervision during the year by age at first supervision and type of first supervision, 2024–25</t>
  </si>
  <si>
    <r>
      <t>Table S21a: Young people under supervision on an average day</t>
    </r>
    <r>
      <rPr>
        <b/>
        <vertAlign val="superscript"/>
        <sz val="10"/>
        <rFont val="Arial"/>
        <family val="2"/>
      </rPr>
      <t>(a)</t>
    </r>
    <r>
      <rPr>
        <b/>
        <sz val="10"/>
        <rFont val="Arial"/>
        <family val="2"/>
      </rPr>
      <t xml:space="preserve"> by Indigenous status, sex and remoteness of usual residence</t>
    </r>
    <r>
      <rPr>
        <b/>
        <vertAlign val="superscript"/>
        <sz val="10"/>
        <rFont val="Arial"/>
        <family val="2"/>
      </rPr>
      <t>(b)</t>
    </r>
    <r>
      <rPr>
        <b/>
        <sz val="10"/>
        <rFont val="Arial"/>
        <family val="2"/>
      </rPr>
      <t>, Australia, 2024–25</t>
    </r>
  </si>
  <si>
    <r>
      <t>Table S21b: Young people under supervision during the year by Indigenous status, sex and remoteness of usual residence</t>
    </r>
    <r>
      <rPr>
        <b/>
        <vertAlign val="superscript"/>
        <sz val="10"/>
        <color rgb="FF000000"/>
        <rFont val="Arial"/>
        <family val="2"/>
      </rPr>
      <t>(a)</t>
    </r>
    <r>
      <rPr>
        <b/>
        <sz val="10"/>
        <color indexed="8"/>
        <rFont val="Arial"/>
        <family val="2"/>
      </rPr>
      <t>, Australia, 2024–25</t>
    </r>
  </si>
  <si>
    <t>4. Number of young people on an average day not available for the Northern Territory in 2024-25.</t>
  </si>
  <si>
    <r>
      <t>Table S24a: Young people aged 10–17 under supervision on an average day</t>
    </r>
    <r>
      <rPr>
        <b/>
        <vertAlign val="superscript"/>
        <sz val="10"/>
        <rFont val="Arial"/>
        <family val="2"/>
      </rPr>
      <t>(a)</t>
    </r>
    <r>
      <rPr>
        <b/>
        <sz val="10"/>
        <rFont val="Arial"/>
        <family val="2"/>
      </rPr>
      <t xml:space="preserve"> by socioeconomic position of usual residence</t>
    </r>
    <r>
      <rPr>
        <b/>
        <vertAlign val="superscript"/>
        <sz val="10"/>
        <rFont val="Arial"/>
        <family val="2"/>
      </rPr>
      <t>(b)</t>
    </r>
    <r>
      <rPr>
        <b/>
        <sz val="10"/>
        <rFont val="Arial"/>
        <family val="2"/>
      </rPr>
      <t xml:space="preserve">, states and territories, 2024-25 </t>
    </r>
  </si>
  <si>
    <t>8. In November 2023, the Australian Capital Territory raised the minimum age of criminal responsibility from 10 to 12. The rates for the Australian Capital Territory from 2023-24 are for young people aged 12-17.</t>
  </si>
  <si>
    <t>7. Number of young people on an average day not available for the Northern Territory in 2024-25.</t>
  </si>
  <si>
    <t>2. Orders not available for the Northern Territory in 2024-25.</t>
  </si>
  <si>
    <t>2. Completed supervision periods not available for the Northern Territory in 2024-25.</t>
  </si>
  <si>
    <t>2. Completed supervision periods not available for the Northern Territory in 2024–25.</t>
  </si>
  <si>
    <t>Table S33a: Young people under supervision during the year by supervision history, sex and Indigenous status, states and territories, 2024–25</t>
  </si>
  <si>
    <t>Table S33b: Young people under supervision during the year by supervision history, sex and Indigenous status, states and territories, 2024–25</t>
  </si>
  <si>
    <t>Table S33c: Young people under supervision during the year by supervision history, sex and Indigenous status, states and territories, 2024–25</t>
  </si>
  <si>
    <t>Table S33d: Young people under supervision during the year by supervision history, sex and Indigenous status, states and territories, 2024–25</t>
  </si>
  <si>
    <t>Table S33e: Young people under supervision during the year by supervision history, sex and Indigenous status, states and territories, 2024–25</t>
  </si>
  <si>
    <t>Table S33f: Young people under supervision during the year by supervision history, sex and Indigenous status, states and territories, 2024–25</t>
  </si>
  <si>
    <t>Table S33g: Young people under supervision during the year by supervision history, sex and Indigenous status, states and territories, 2024–25</t>
  </si>
  <si>
    <t>Table S33h: Young people under supervision during the year by supervision history, sex and Indigenous status, states and territories, 2024–25</t>
  </si>
  <si>
    <t>Table S33i: Young people under supervision during the year by supervision history, sex and Indigenous status, states and territories, 2024–25</t>
  </si>
  <si>
    <t>Table S33j: Young people under supervision during the year by supervision history, sex and Indigenous status, states and territories, 2024–25</t>
  </si>
  <si>
    <t>Table S33k: Young people under supervision during the year by supervision history, sex and Indigenous status, states and territories, 2024–25</t>
  </si>
  <si>
    <t>Table S33l: Young people under supervision during the year by supervision history, sex and Indigenous status, states and territories, 2024–25</t>
  </si>
  <si>
    <t>Table S33m: Young people under supervision during the year by supervision history, sex and Indigenous status, states and territories, 2024–25</t>
  </si>
  <si>
    <t>Table S33n: Young people under supervision during the year by supervision history, sex and Indigenous status, states and territories, 2024–25</t>
  </si>
  <si>
    <t>Table S33o: Young people under supervision during the year by supervision history, sex and Indigenous status, states and territories, 2024–25</t>
  </si>
  <si>
    <t>Australian Institute of Health and Welfare 2026. Youth justice in Australia 2024–25</t>
  </si>
  <si>
    <r>
      <t>Table S5a: Young people under supervision on an average day</t>
    </r>
    <r>
      <rPr>
        <b/>
        <vertAlign val="superscript"/>
        <sz val="10"/>
        <rFont val="Arial"/>
        <family val="2"/>
      </rPr>
      <t>(a)</t>
    </r>
    <r>
      <rPr>
        <b/>
        <sz val="10"/>
        <rFont val="Arial"/>
        <family val="2"/>
      </rPr>
      <t xml:space="preserve"> by age, sex and Indigenous status, Australia, 2024–25</t>
    </r>
  </si>
  <si>
    <t>Table S5b: Young people under supervision during the year, by age sex and Indigenous status, Australia , 2024–25</t>
  </si>
  <si>
    <t>Table S8b: Young people aged 10–17 under supervision during the year by sex and age, Australia, 2020–21 to 2024–25</t>
  </si>
  <si>
    <r>
      <t>Table S24c: Young people aged 10–17 under supervision on an average day by socioeconomic position of usual residence</t>
    </r>
    <r>
      <rPr>
        <b/>
        <vertAlign val="superscript"/>
        <sz val="10"/>
        <color rgb="FF000000"/>
        <rFont val="Arial"/>
        <family val="2"/>
      </rPr>
      <t>(a)</t>
    </r>
    <r>
      <rPr>
        <b/>
        <sz val="10"/>
        <color indexed="8"/>
        <rFont val="Arial"/>
        <family val="2"/>
      </rPr>
      <t>, states and territories, 2024–25 (rate)</t>
    </r>
  </si>
  <si>
    <r>
      <t>Table S24d: Young people aged 10–17 under supervision during the year by socioeconomic position of usual residence</t>
    </r>
    <r>
      <rPr>
        <b/>
        <vertAlign val="superscript"/>
        <sz val="10"/>
        <color rgb="FF000000"/>
        <rFont val="Arial"/>
        <family val="2"/>
      </rPr>
      <t>(a)</t>
    </r>
    <r>
      <rPr>
        <b/>
        <sz val="10"/>
        <color indexed="8"/>
        <rFont val="Arial"/>
        <family val="2"/>
      </rPr>
      <t>, states and territories, 2024–25 (rate)</t>
    </r>
  </si>
  <si>
    <t>3. Orders not available for the Northern Territory in 2023-24 and 2024-25.</t>
  </si>
  <si>
    <t>2. Time under supervision calculated for 2024–25, from 1 July 2024.</t>
  </si>
  <si>
    <t>2. Completed supervision periods not available for the Northern Territory in 2023-24 and 2024-25.</t>
  </si>
  <si>
    <t>(a) Number of young people on an average day not available for the Northern Territory in 2023-24 and 2024-25. Northern Territory was removed from all years for this table to have a consistent timeseries.</t>
  </si>
  <si>
    <t>7. In October 2024, the Northern Territory lowered the minimum age of criminal responsibility from 12 to 10. The rates for the Northern Territory in 2024-25 are for youne people aged 10-17.</t>
  </si>
  <si>
    <t>6. In November 2023, the Australian Capital Territory raised the minimum age of criminal responsibility from 10 to 12. The rates for the Australian Capital Territory from 2023-24 are for young people aged 12-17.</t>
  </si>
  <si>
    <r>
      <t>Table S9a: Young people aged 10–17 under supervision on an average day by age and sex, Australia</t>
    </r>
    <r>
      <rPr>
        <b/>
        <vertAlign val="superscript"/>
        <sz val="10"/>
        <color rgb="FF000000"/>
        <rFont val="Arial"/>
        <family val="2"/>
      </rPr>
      <t>(a)</t>
    </r>
    <r>
      <rPr>
        <b/>
        <sz val="10"/>
        <color indexed="8"/>
        <rFont val="Arial"/>
        <family val="2"/>
      </rPr>
      <t>, 2020–21 to 2024–25 (rate)</t>
    </r>
  </si>
  <si>
    <t>Median length (number of days in 2024–25)</t>
  </si>
  <si>
    <t>4. Completed supervision periods not available for the Northern Territory in 2024-25.</t>
  </si>
  <si>
    <t>5. Average length of time spent under supervision not available for the Northern Territory in 2023-24 and 2024-25.</t>
  </si>
  <si>
    <t>Table S15a: Young people aged 10–17 under supervision on an average day by sex, states and territories, 2015-16 to 2024–25 (rate)</t>
  </si>
  <si>
    <t>7. In October 2024, the Northern Territory lowered the minum age of criminal responsibility from 12 to 10. The rates for the Northern Territory in 2024-25 are for young people aged 10-17.</t>
  </si>
  <si>
    <t>Table S15b: Young people aged 10–17 under supervision during the year by sex, states and territories, 2015-16 to 2024–25 (rate)</t>
  </si>
  <si>
    <t>Non—Indigenous</t>
  </si>
  <si>
    <t>3. Number of young people on an average day not available for the Northern Territory in 2024—25.</t>
  </si>
  <si>
    <t>5. In November 2023, the Australian Capital Territory raised the minimum age of criminal responsibility from 10 to 12. The rates for the Australian Capital Territory in 2024—25 are for young people aged 12—17.</t>
  </si>
  <si>
    <t>4. In November 2023, the Australian Capital Territory raised the minimum age of criminal responsibility from 10 to 12. The rates for the Australian Capital Territory in 2024—25 are for young people aged 12—17.</t>
  </si>
  <si>
    <r>
      <t>Table S22d: Young people aged 10–17 under supervision during the year by remoteness of usual residence</t>
    </r>
    <r>
      <rPr>
        <b/>
        <vertAlign val="superscript"/>
        <sz val="10"/>
        <color rgb="FF000000"/>
        <rFont val="Arial"/>
        <family val="2"/>
      </rPr>
      <t>(a)</t>
    </r>
    <r>
      <rPr>
        <b/>
        <sz val="10"/>
        <color indexed="8"/>
        <rFont val="Arial"/>
        <family val="2"/>
      </rPr>
      <t>, states and territories, 2024–25 (rate)</t>
    </r>
  </si>
  <si>
    <r>
      <t>Table S22c: Young people aged 10–17 under supervision on an average day</t>
    </r>
    <r>
      <rPr>
        <b/>
        <vertAlign val="superscript"/>
        <sz val="10"/>
        <color rgb="FF000000"/>
        <rFont val="Arial"/>
        <family val="2"/>
      </rPr>
      <t>(a)</t>
    </r>
    <r>
      <rPr>
        <b/>
        <sz val="10"/>
        <color indexed="8"/>
        <rFont val="Arial"/>
        <family val="2"/>
      </rPr>
      <t xml:space="preserve"> by remoteness of usual residence</t>
    </r>
    <r>
      <rPr>
        <b/>
        <vertAlign val="superscript"/>
        <sz val="10"/>
        <color rgb="FF000000"/>
        <rFont val="Arial"/>
        <family val="2"/>
      </rPr>
      <t>(b)</t>
    </r>
    <r>
      <rPr>
        <b/>
        <sz val="10"/>
        <color indexed="8"/>
        <rFont val="Arial"/>
        <family val="2"/>
      </rPr>
      <t>, states and territories, 2024–25 (rate)</t>
    </r>
  </si>
  <si>
    <t>5. Number of young people on an average day not available for the Northern Territory in 2024-25.</t>
  </si>
  <si>
    <r>
      <t>Table S22a: Young people aged 10–17 under supervision on an average day</t>
    </r>
    <r>
      <rPr>
        <b/>
        <vertAlign val="superscript"/>
        <sz val="10"/>
        <rFont val="Arial"/>
        <family val="2"/>
      </rPr>
      <t>(a)</t>
    </r>
    <r>
      <rPr>
        <b/>
        <sz val="10"/>
        <rFont val="Arial"/>
        <family val="2"/>
      </rPr>
      <t xml:space="preserve"> by remoteness of usual residence</t>
    </r>
    <r>
      <rPr>
        <b/>
        <vertAlign val="superscript"/>
        <sz val="10"/>
        <rFont val="Arial"/>
        <family val="2"/>
      </rPr>
      <t>(b)</t>
    </r>
    <r>
      <rPr>
        <b/>
        <sz val="10"/>
        <rFont val="Arial"/>
        <family val="2"/>
      </rPr>
      <t xml:space="preserve">, states and territories,  2024–25 </t>
    </r>
  </si>
  <si>
    <r>
      <t>Table S22b:  Young people aged 10–17 under supervision during the year by remoteness of usual residence</t>
    </r>
    <r>
      <rPr>
        <b/>
        <vertAlign val="superscript"/>
        <sz val="10"/>
        <color rgb="FF000000"/>
        <rFont val="Arial"/>
        <family val="2"/>
      </rPr>
      <t>(a)</t>
    </r>
    <r>
      <rPr>
        <b/>
        <sz val="10"/>
        <color indexed="8"/>
        <rFont val="Arial"/>
        <family val="2"/>
      </rPr>
      <t>, states and territories, 2024–25</t>
    </r>
  </si>
  <si>
    <t>ABS (2025b), Customised report (ERP POA 2021).</t>
  </si>
  <si>
    <t>ABS (2025c), Customised report (ERP RA 2021).</t>
  </si>
  <si>
    <t>ABS (2025a) ‘Quarterly Population Estimates (ERP), by State/Territory, Sex and Age’ [data set], National, state and territory population - Reference period December 2024, [https://explore.data.abs.gov.au] accessed 23 October 2025</t>
  </si>
  <si>
    <t xml:space="preserve">ABS (2021a) PC_2022_to_RA_2022, ABS Geospatial Solutions, ASGS Geographic Correspondences (2021) Edition 3 [https://data.gov.au/data/dataset/asgs-edition-3-2021-correspondences], accessed 23 October 2025. </t>
  </si>
  <si>
    <t xml:space="preserve">ABS (2021b) 'Postal Area, Indexes, SEIFA 2021' [data set], Socio-Economic Indexes for Areas (SEIFA), Australia [https://www.abs.gov.au/statistics/people/people-and-communities/socio-economic-indexes-areas-seifa-australia/2021], accessed 23 October 2025.          </t>
  </si>
  <si>
    <t xml:space="preserve">ABS (2024) ‘Projected population, Aboriginal and Torres Strait Islander Australians, Australia, state and territories, 2011 to 2031' (Series B projections) [Data Explorer data set], Estimates and projections, Aboriginal and Torres Strait Islander Australians [https://www.abs.gov.au/statistics/people/aboriginal-and-torres-strait-islander-peoples/estimates-and-projections-aboriginal-and-torres-strait-islander-australians/20011-2031], accessed 25 October 2025.                                                                                                                                                                                                                                                                                                                                                                                                                                                                                                                                                                                                 </t>
  </si>
  <si>
    <t xml:space="preserve">Table S8a: Young people aged 10–17 under supervision on an average day(a) by sex and age, Australia(b), 2020–21 to 2024–25 </t>
  </si>
  <si>
    <r>
      <t xml:space="preserve"> Table S23a: Young people under supervision on an average day</t>
    </r>
    <r>
      <rPr>
        <b/>
        <vertAlign val="superscript"/>
        <sz val="10"/>
        <rFont val="Arial"/>
        <family val="2"/>
      </rPr>
      <t>(a)</t>
    </r>
    <r>
      <rPr>
        <b/>
        <sz val="10"/>
        <rFont val="Arial"/>
        <family val="2"/>
      </rPr>
      <t xml:space="preserve"> by sex, Indigenous status and socioeconomic position of usual residence</t>
    </r>
    <r>
      <rPr>
        <b/>
        <vertAlign val="superscript"/>
        <sz val="10"/>
        <rFont val="Arial"/>
        <family val="2"/>
      </rPr>
      <t>(b)</t>
    </r>
    <r>
      <rPr>
        <b/>
        <sz val="10"/>
        <rFont val="Arial"/>
        <family val="2"/>
      </rPr>
      <t>, Australia, 2024–25</t>
    </r>
  </si>
  <si>
    <r>
      <t>Table S23b: Young people under supervision during the year by sex, Indigenous status and socioeconomic position of usual residence</t>
    </r>
    <r>
      <rPr>
        <b/>
        <vertAlign val="superscript"/>
        <sz val="10"/>
        <rFont val="Arial"/>
        <family val="2"/>
      </rPr>
      <t>(a)</t>
    </r>
    <r>
      <rPr>
        <b/>
        <sz val="10"/>
        <rFont val="Arial"/>
        <family val="2"/>
      </rPr>
      <t>, Australia,  2024–25</t>
    </r>
  </si>
  <si>
    <r>
      <t>Table S24b: Young people aged 10–17 under supervision during the year by socioeconomic position of usual residence</t>
    </r>
    <r>
      <rPr>
        <b/>
        <vertAlign val="superscript"/>
        <sz val="10"/>
        <color rgb="FF000000"/>
        <rFont val="Arial"/>
        <family val="2"/>
      </rPr>
      <t>(a)</t>
    </r>
    <r>
      <rPr>
        <b/>
        <sz val="10"/>
        <color indexed="8"/>
        <rFont val="Arial"/>
        <family val="2"/>
      </rPr>
      <t>, states and territories, 2024–25</t>
    </r>
  </si>
  <si>
    <t>Source: Tables S8b and S147</t>
  </si>
  <si>
    <t>Source: Tables S3a and S143</t>
  </si>
  <si>
    <t>Source: Tables S24a and S149</t>
  </si>
  <si>
    <t>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</si>
</sst>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
    <numFmt numFmtId="165" formatCode="###,##0"/>
    <numFmt numFmtId="166" formatCode="0.0"/>
    <numFmt numFmtId="167" formatCode="#,##0.0"/>
    <numFmt numFmtId="168" formatCode="_-* #,##0_-;\-* #,##0_-;_-* &quot;-&quot;??_-;_-@_-"/>
    <numFmt numFmtId="169" formatCode="_-* #,##0.0_-;\-* #,##0.0_-;_-* &quot;-&quot;??_-;_-@_-"/>
    <numFmt numFmtId="170" formatCode="#,##0.000000000000000"/>
    <numFmt numFmtId="171" formatCode="#,##0.000"/>
    <numFmt numFmtId="172" formatCode="#,##0.00000000000000"/>
    <numFmt numFmtId="173" formatCode="###,##0.00"/>
    <numFmt numFmtId="174" formatCode="###,##0.000"/>
  </numFmts>
  <fonts count="6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indexed="8"/>
      <name val="Arial"/>
      <family val="2"/>
    </font>
    <font>
      <b/>
      <sz val="10"/>
      <color indexed="8"/>
      <name val="Arial"/>
      <family val="2"/>
    </font>
    <font>
      <sz val="8"/>
      <color indexed="8"/>
      <name val="Arial"/>
      <family val="2"/>
    </font>
    <font>
      <b/>
      <sz val="8"/>
      <color indexed="8"/>
      <name val="Arial"/>
      <family val="2"/>
    </font>
    <font>
      <sz val="7"/>
      <color indexed="8"/>
      <name val="Arial"/>
      <family val="2"/>
    </font>
    <font>
      <i/>
      <sz val="10"/>
      <name val="Arial"/>
      <family val="2"/>
    </font>
    <font>
      <b/>
      <sz val="8"/>
      <name val="Arial"/>
      <family val="2"/>
    </font>
    <font>
      <u/>
      <sz val="11"/>
      <color theme="10"/>
      <name val="Calibri"/>
      <family val="2"/>
      <scheme val="minor"/>
    </font>
    <font>
      <b/>
      <vertAlign val="superscript"/>
      <sz val="10"/>
      <name val="Arial"/>
      <family val="2"/>
    </font>
    <font>
      <b/>
      <sz val="10"/>
      <name val="Arial"/>
      <family val="2"/>
    </font>
    <font>
      <b/>
      <sz val="14"/>
      <name val="Arial"/>
      <family val="2"/>
    </font>
    <font>
      <sz val="11"/>
      <color theme="1"/>
      <name val="Arial"/>
      <family val="2"/>
    </font>
    <font>
      <sz val="10"/>
      <name val="Arial"/>
      <family val="2"/>
    </font>
    <font>
      <sz val="11"/>
      <name val="Arial"/>
      <family val="2"/>
    </font>
    <font>
      <u/>
      <sz val="11"/>
      <color theme="10"/>
      <name val="Arial"/>
      <family val="2"/>
    </font>
    <font>
      <b/>
      <sz val="12"/>
      <name val="Arial"/>
      <family val="2"/>
    </font>
    <font>
      <b/>
      <sz val="11"/>
      <color theme="1"/>
      <name val="Arial"/>
      <family val="2"/>
    </font>
    <font>
      <sz val="11"/>
      <color indexed="8"/>
      <name val="Calibri"/>
      <family val="2"/>
    </font>
    <font>
      <b/>
      <sz val="14"/>
      <color indexed="8"/>
      <name val="Arial"/>
      <family val="2"/>
    </font>
    <font>
      <sz val="11"/>
      <color indexed="8"/>
      <name val="Arial"/>
      <family val="2"/>
    </font>
    <font>
      <i/>
      <sz val="11"/>
      <color indexed="8"/>
      <name val="Arial"/>
      <family val="2"/>
    </font>
    <font>
      <i/>
      <sz val="11"/>
      <color theme="1"/>
      <name val="Arial"/>
      <family val="2"/>
    </font>
    <font>
      <i/>
      <sz val="11"/>
      <color theme="1"/>
      <name val="Calibri"/>
      <family val="2"/>
      <scheme val="minor"/>
    </font>
    <font>
      <b/>
      <sz val="8"/>
      <color indexed="8"/>
      <name val="arial"/>
      <family val="2"/>
    </font>
    <font>
      <b/>
      <sz val="8"/>
      <name val="Arial"/>
      <family val="2"/>
    </font>
    <font>
      <sz val="8"/>
      <color indexed="8"/>
      <name val="Arial"/>
      <family val="2"/>
    </font>
    <font>
      <b/>
      <i/>
      <sz val="8"/>
      <color indexed="8"/>
      <name val="arial"/>
      <family val="2"/>
    </font>
    <font>
      <i/>
      <sz val="10"/>
      <color indexed="8"/>
      <name val="Arial"/>
      <family val="2"/>
    </font>
    <font>
      <b/>
      <sz val="10"/>
      <color indexed="8"/>
      <name val="Arial"/>
      <family val="2"/>
    </font>
    <font>
      <sz val="7"/>
      <color indexed="8"/>
      <name val="Arial"/>
      <family val="2"/>
    </font>
    <font>
      <sz val="7"/>
      <name val="Arial"/>
      <family val="2"/>
    </font>
    <font>
      <sz val="11"/>
      <name val="Calibri"/>
      <family val="2"/>
      <scheme val="minor"/>
    </font>
    <font>
      <u/>
      <sz val="11"/>
      <name val="Calibri"/>
      <family val="2"/>
      <scheme val="minor"/>
    </font>
    <font>
      <b/>
      <vertAlign val="superscript"/>
      <sz val="10"/>
      <color rgb="FF000000"/>
      <name val="Arial"/>
      <family val="2"/>
    </font>
    <font>
      <sz val="8"/>
      <color indexed="8"/>
      <name val="Arial"/>
      <family val="2"/>
    </font>
    <font>
      <b/>
      <sz val="8"/>
      <name val="Arial"/>
      <family val="2"/>
    </font>
    <font>
      <b/>
      <sz val="7"/>
      <color indexed="8"/>
      <name val="Arial"/>
      <family val="2"/>
    </font>
    <font>
      <i/>
      <sz val="8"/>
      <color indexed="8"/>
      <name val="Arial"/>
      <family val="2"/>
    </font>
    <font>
      <sz val="7"/>
      <color rgb="FF000000"/>
      <name val="Arial"/>
      <family val="2"/>
    </font>
    <font>
      <sz val="8"/>
      <color rgb="FF000000"/>
      <name val="Arial"/>
      <family val="2"/>
    </font>
    <font>
      <sz val="10"/>
      <color rgb="FF000000"/>
      <name val="Arial"/>
      <family val="2"/>
    </font>
    <font>
      <sz val="8"/>
      <color indexed="8"/>
      <name val="Arial"/>
      <family val="2"/>
    </font>
    <font>
      <sz val="8"/>
      <color indexed="8"/>
      <name val="arial"/>
    </font>
    <font>
      <sz val="11"/>
      <color theme="4"/>
      <name val="Arial"/>
      <family val="2"/>
    </font>
    <font>
      <u/>
      <sz val="11"/>
      <color theme="4"/>
      <name val="Arial"/>
      <family val="2"/>
    </font>
    <font>
      <sz val="10"/>
      <color theme="4"/>
      <name val="Arial"/>
      <family val="2"/>
    </font>
    <font>
      <sz val="11"/>
      <color theme="10"/>
      <name val="Arial"/>
      <family val="2"/>
    </font>
    <font>
      <u/>
      <sz val="11"/>
      <color theme="4"/>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auto="1"/>
      </top>
      <bottom/>
      <diagonal/>
    </border>
    <border>
      <left/>
      <right/>
      <top style="thin">
        <color rgb="FF000000"/>
      </top>
      <bottom/>
      <diagonal/>
    </border>
    <border>
      <left/>
      <right/>
      <top/>
      <bottom style="thin">
        <color indexed="64"/>
      </bottom>
      <diagonal/>
    </border>
    <border>
      <left/>
      <right/>
      <top style="thin">
        <color indexed="64"/>
      </top>
      <bottom/>
      <diagonal/>
    </border>
    <border>
      <left/>
      <right/>
      <top style="thin">
        <color auto="1"/>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xf numFmtId="0" fontId="35" fillId="0" borderId="0"/>
    <xf numFmtId="43" fontId="1" fillId="0" borderId="0" applyFont="0" applyFill="0" applyBorder="0" applyAlignment="0" applyProtection="0"/>
  </cellStyleXfs>
  <cellXfs count="221">
    <xf numFmtId="0" fontId="0" fillId="0" borderId="0" xfId="0"/>
    <xf numFmtId="0" fontId="0" fillId="34" borderId="0" xfId="0" applyFill="1"/>
    <xf numFmtId="0" fontId="18" fillId="34" borderId="0" xfId="0" applyFont="1" applyFill="1"/>
    <xf numFmtId="0" fontId="21" fillId="33" borderId="10" xfId="0" applyFont="1" applyFill="1" applyBorder="1" applyAlignment="1">
      <alignment horizontal="right" wrapText="1"/>
    </xf>
    <xf numFmtId="0" fontId="20" fillId="33" borderId="0" xfId="0" applyFont="1" applyFill="1" applyAlignment="1">
      <alignment horizontal="left" vertical="top" wrapText="1"/>
    </xf>
    <xf numFmtId="164" fontId="20" fillId="33" borderId="0" xfId="0" applyNumberFormat="1" applyFont="1" applyFill="1" applyAlignment="1">
      <alignment horizontal="right" wrapText="1"/>
    </xf>
    <xf numFmtId="0" fontId="22" fillId="33" borderId="0" xfId="0" applyFont="1" applyFill="1" applyAlignment="1">
      <alignment horizontal="left"/>
    </xf>
    <xf numFmtId="0" fontId="22" fillId="34" borderId="0" xfId="0" applyFont="1" applyFill="1" applyAlignment="1">
      <alignment horizontal="left"/>
    </xf>
    <xf numFmtId="0" fontId="23" fillId="34" borderId="0" xfId="0" applyFont="1" applyFill="1" applyAlignment="1">
      <alignment horizontal="left" wrapText="1"/>
    </xf>
    <xf numFmtId="165" fontId="20" fillId="33" borderId="0" xfId="0" applyNumberFormat="1" applyFont="1" applyFill="1" applyAlignment="1">
      <alignment horizontal="right" wrapText="1"/>
    </xf>
    <xf numFmtId="165" fontId="24" fillId="33" borderId="0" xfId="0" applyNumberFormat="1" applyFont="1" applyFill="1" applyAlignment="1">
      <alignment horizontal="left" vertical="top" wrapText="1"/>
    </xf>
    <xf numFmtId="165" fontId="24" fillId="33" borderId="10" xfId="0" applyNumberFormat="1" applyFont="1" applyFill="1" applyBorder="1" applyAlignment="1">
      <alignment horizontal="right" wrapText="1"/>
    </xf>
    <xf numFmtId="0" fontId="23" fillId="34" borderId="0" xfId="0" applyFont="1" applyFill="1" applyAlignment="1">
      <alignment horizontal="left"/>
    </xf>
    <xf numFmtId="0" fontId="19" fillId="34" borderId="0" xfId="0" applyFont="1" applyFill="1" applyAlignment="1">
      <alignment horizontal="left"/>
    </xf>
    <xf numFmtId="0" fontId="20" fillId="33" borderId="0" xfId="0" applyFont="1" applyFill="1" applyAlignment="1">
      <alignment horizontal="right" wrapText="1"/>
    </xf>
    <xf numFmtId="0" fontId="28" fillId="35" borderId="0" xfId="0" applyFont="1" applyFill="1"/>
    <xf numFmtId="0" fontId="29" fillId="35" borderId="0" xfId="0" applyFont="1" applyFill="1"/>
    <xf numFmtId="0" fontId="30" fillId="35" borderId="0" xfId="0" applyFont="1" applyFill="1"/>
    <xf numFmtId="0" fontId="31" fillId="35" borderId="0" xfId="0" applyFont="1" applyFill="1"/>
    <xf numFmtId="0" fontId="33" fillId="35" borderId="0" xfId="0" applyFont="1" applyFill="1"/>
    <xf numFmtId="0" fontId="32" fillId="35" borderId="0" xfId="42" applyFont="1" applyFill="1" applyAlignment="1">
      <alignment horizontal="left"/>
    </xf>
    <xf numFmtId="0" fontId="32" fillId="35" borderId="0" xfId="42" applyNumberFormat="1" applyFont="1" applyFill="1" applyBorder="1" applyAlignment="1" applyProtection="1">
      <alignment horizontal="left" wrapText="1"/>
    </xf>
    <xf numFmtId="0" fontId="36" fillId="35" borderId="0" xfId="43" applyFont="1" applyFill="1" applyAlignment="1">
      <alignment horizontal="left"/>
    </xf>
    <xf numFmtId="0" fontId="37" fillId="35" borderId="0" xfId="43" applyFont="1" applyFill="1"/>
    <xf numFmtId="0" fontId="0" fillId="35" borderId="0" xfId="0" applyFill="1"/>
    <xf numFmtId="0" fontId="37" fillId="35" borderId="0" xfId="43" applyFont="1" applyFill="1" applyAlignment="1">
      <alignment horizontal="left"/>
    </xf>
    <xf numFmtId="166" fontId="37" fillId="35" borderId="0" xfId="43" applyNumberFormat="1" applyFont="1" applyFill="1" applyAlignment="1">
      <alignment horizontal="left"/>
    </xf>
    <xf numFmtId="0" fontId="35" fillId="35" borderId="0" xfId="0" applyFont="1" applyFill="1"/>
    <xf numFmtId="0" fontId="40" fillId="34" borderId="0" xfId="0" applyFont="1" applyFill="1"/>
    <xf numFmtId="0" fontId="41" fillId="33" borderId="0" xfId="0" applyFont="1" applyFill="1" applyAlignment="1">
      <alignment horizontal="left" vertical="top" wrapText="1"/>
    </xf>
    <xf numFmtId="164" fontId="41" fillId="33" borderId="0" xfId="0" applyNumberFormat="1" applyFont="1" applyFill="1" applyAlignment="1">
      <alignment horizontal="right" wrapText="1"/>
    </xf>
    <xf numFmtId="0" fontId="41" fillId="33" borderId="10" xfId="0" applyFont="1" applyFill="1" applyBorder="1" applyAlignment="1">
      <alignment horizontal="left" wrapText="1"/>
    </xf>
    <xf numFmtId="0" fontId="22" fillId="34" borderId="0" xfId="0" applyFont="1" applyFill="1" applyAlignment="1">
      <alignment horizontal="left" wrapText="1"/>
    </xf>
    <xf numFmtId="0" fontId="21" fillId="33" borderId="10" xfId="0" applyFont="1" applyFill="1" applyBorder="1" applyAlignment="1">
      <alignment wrapText="1"/>
    </xf>
    <xf numFmtId="165" fontId="42" fillId="33" borderId="0" xfId="0" applyNumberFormat="1" applyFont="1" applyFill="1" applyAlignment="1">
      <alignment horizontal="left" vertical="top" wrapText="1"/>
    </xf>
    <xf numFmtId="0" fontId="41" fillId="33" borderId="10" xfId="0" applyFont="1" applyFill="1" applyBorder="1" applyAlignment="1">
      <alignment wrapText="1"/>
    </xf>
    <xf numFmtId="165" fontId="41" fillId="33" borderId="0" xfId="0" applyNumberFormat="1" applyFont="1" applyFill="1" applyAlignment="1">
      <alignment horizontal="right" wrapText="1"/>
    </xf>
    <xf numFmtId="0" fontId="43" fillId="33" borderId="0" xfId="0" applyFont="1" applyFill="1" applyAlignment="1">
      <alignment horizontal="left" vertical="top" wrapText="1"/>
    </xf>
    <xf numFmtId="164" fontId="43" fillId="33" borderId="0" xfId="0" applyNumberFormat="1" applyFont="1" applyFill="1" applyAlignment="1">
      <alignment horizontal="right" wrapText="1"/>
    </xf>
    <xf numFmtId="165" fontId="43" fillId="33" borderId="0" xfId="0" applyNumberFormat="1" applyFont="1" applyFill="1" applyAlignment="1">
      <alignment horizontal="right" wrapText="1"/>
    </xf>
    <xf numFmtId="0" fontId="22" fillId="33" borderId="0" xfId="0" applyFont="1" applyFill="1" applyAlignment="1">
      <alignment horizontal="left" wrapText="1"/>
    </xf>
    <xf numFmtId="0" fontId="41" fillId="33" borderId="13" xfId="0" applyFont="1" applyFill="1" applyBorder="1" applyAlignment="1">
      <alignment horizontal="left" vertical="top" wrapText="1"/>
    </xf>
    <xf numFmtId="165" fontId="41" fillId="33" borderId="13" xfId="0" applyNumberFormat="1" applyFont="1" applyFill="1" applyBorder="1" applyAlignment="1">
      <alignment horizontal="right" wrapText="1"/>
    </xf>
    <xf numFmtId="0" fontId="0" fillId="34" borderId="13" xfId="0" applyFill="1" applyBorder="1"/>
    <xf numFmtId="0" fontId="22" fillId="34" borderId="14" xfId="0" applyFont="1" applyFill="1" applyBorder="1" applyAlignment="1">
      <alignment horizontal="left"/>
    </xf>
    <xf numFmtId="0" fontId="45" fillId="34" borderId="0" xfId="0" applyFont="1" applyFill="1"/>
    <xf numFmtId="0" fontId="18" fillId="34" borderId="13" xfId="0" applyFont="1" applyFill="1" applyBorder="1"/>
    <xf numFmtId="165" fontId="43" fillId="35" borderId="0" xfId="0" applyNumberFormat="1" applyFont="1" applyFill="1" applyAlignment="1">
      <alignment horizontal="right" wrapText="1"/>
    </xf>
    <xf numFmtId="165" fontId="41" fillId="35" borderId="0" xfId="0" applyNumberFormat="1" applyFont="1" applyFill="1" applyAlignment="1">
      <alignment horizontal="right" wrapText="1"/>
    </xf>
    <xf numFmtId="0" fontId="44" fillId="33" borderId="10" xfId="0" applyFont="1" applyFill="1" applyBorder="1" applyAlignment="1">
      <alignment horizontal="right" wrapText="1"/>
    </xf>
    <xf numFmtId="0" fontId="41" fillId="33" borderId="10" xfId="0" applyFont="1" applyFill="1" applyBorder="1" applyAlignment="1">
      <alignment horizontal="right" wrapText="1"/>
    </xf>
    <xf numFmtId="0" fontId="41" fillId="33" borderId="13" xfId="0" applyFont="1" applyFill="1" applyBorder="1" applyAlignment="1">
      <alignment wrapText="1"/>
    </xf>
    <xf numFmtId="0" fontId="41" fillId="33" borderId="13" xfId="0" applyFont="1" applyFill="1" applyBorder="1" applyAlignment="1">
      <alignment horizontal="right" wrapText="1"/>
    </xf>
    <xf numFmtId="0" fontId="44" fillId="33" borderId="13" xfId="0" applyFont="1" applyFill="1" applyBorder="1" applyAlignment="1">
      <alignment horizontal="right" wrapText="1"/>
    </xf>
    <xf numFmtId="0" fontId="21" fillId="33" borderId="13" xfId="0" applyFont="1" applyFill="1" applyBorder="1" applyAlignment="1">
      <alignment horizontal="right" wrapText="1"/>
    </xf>
    <xf numFmtId="0" fontId="20" fillId="33" borderId="13" xfId="0" applyFont="1" applyFill="1" applyBorder="1" applyAlignment="1">
      <alignment horizontal="left" vertical="top" wrapText="1"/>
    </xf>
    <xf numFmtId="164" fontId="20" fillId="33" borderId="13" xfId="0" applyNumberFormat="1" applyFont="1" applyFill="1" applyBorder="1" applyAlignment="1">
      <alignment horizontal="right" wrapText="1"/>
    </xf>
    <xf numFmtId="0" fontId="19" fillId="33" borderId="0" xfId="0" applyFont="1" applyFill="1"/>
    <xf numFmtId="165" fontId="42" fillId="33" borderId="10" xfId="0" applyNumberFormat="1" applyFont="1" applyFill="1" applyBorder="1" applyAlignment="1">
      <alignment horizontal="right" wrapText="1"/>
    </xf>
    <xf numFmtId="165" fontId="42" fillId="33" borderId="13" xfId="0" applyNumberFormat="1" applyFont="1" applyFill="1" applyBorder="1" applyAlignment="1">
      <alignment horizontal="right" wrapText="1"/>
    </xf>
    <xf numFmtId="0" fontId="41" fillId="34" borderId="0" xfId="0" applyFont="1" applyFill="1"/>
    <xf numFmtId="0" fontId="19" fillId="33" borderId="0" xfId="0" applyFont="1" applyFill="1" applyAlignment="1">
      <alignment wrapText="1"/>
    </xf>
    <xf numFmtId="0" fontId="20" fillId="33" borderId="0" xfId="0" applyFont="1" applyFill="1" applyAlignment="1">
      <alignment horizontal="left" vertical="center" wrapText="1"/>
    </xf>
    <xf numFmtId="0" fontId="41" fillId="33" borderId="0" xfId="0" applyFont="1" applyFill="1" applyAlignment="1">
      <alignment horizontal="left" vertical="center" wrapText="1"/>
    </xf>
    <xf numFmtId="0" fontId="21" fillId="33" borderId="0" xfId="0" applyFont="1" applyFill="1" applyAlignment="1">
      <alignment horizontal="right" wrapText="1"/>
    </xf>
    <xf numFmtId="0" fontId="41" fillId="33" borderId="12" xfId="0" applyFont="1" applyFill="1" applyBorder="1" applyAlignment="1">
      <alignment vertical="top" wrapText="1"/>
    </xf>
    <xf numFmtId="0" fontId="43" fillId="33" borderId="12" xfId="0" applyFont="1" applyFill="1" applyBorder="1" applyAlignment="1">
      <alignment vertical="top" wrapText="1"/>
    </xf>
    <xf numFmtId="0" fontId="41" fillId="33" borderId="0" xfId="0" applyFont="1" applyFill="1" applyAlignment="1">
      <alignment vertical="top" wrapText="1"/>
    </xf>
    <xf numFmtId="0" fontId="43" fillId="33" borderId="0" xfId="0" applyFont="1" applyFill="1" applyAlignment="1">
      <alignment vertical="top" wrapText="1"/>
    </xf>
    <xf numFmtId="165" fontId="42" fillId="33" borderId="0" xfId="0" applyNumberFormat="1" applyFont="1" applyFill="1" applyAlignment="1">
      <alignment vertical="top" wrapText="1"/>
    </xf>
    <xf numFmtId="164" fontId="41" fillId="33" borderId="13" xfId="0" applyNumberFormat="1" applyFont="1" applyFill="1" applyBorder="1" applyAlignment="1">
      <alignment horizontal="right" wrapText="1"/>
    </xf>
    <xf numFmtId="165" fontId="24" fillId="33" borderId="13" xfId="0" applyNumberFormat="1" applyFont="1" applyFill="1" applyBorder="1" applyAlignment="1">
      <alignment horizontal="left" vertical="top" wrapText="1"/>
    </xf>
    <xf numFmtId="0" fontId="16" fillId="34" borderId="0" xfId="0" applyFont="1" applyFill="1"/>
    <xf numFmtId="0" fontId="41" fillId="33" borderId="0" xfId="0" applyFont="1" applyFill="1" applyAlignment="1">
      <alignment horizontal="left" wrapText="1"/>
    </xf>
    <xf numFmtId="0" fontId="48" fillId="34" borderId="0" xfId="0" applyFont="1" applyFill="1" applyAlignment="1">
      <alignment horizontal="left"/>
    </xf>
    <xf numFmtId="0" fontId="41" fillId="35" borderId="10" xfId="0" applyFont="1" applyFill="1" applyBorder="1" applyAlignment="1">
      <alignment wrapText="1"/>
    </xf>
    <xf numFmtId="0" fontId="21" fillId="35" borderId="10" xfId="0" applyFont="1" applyFill="1" applyBorder="1" applyAlignment="1">
      <alignment horizontal="right" wrapText="1"/>
    </xf>
    <xf numFmtId="165" fontId="41" fillId="35" borderId="13" xfId="0" applyNumberFormat="1" applyFont="1" applyFill="1" applyBorder="1" applyAlignment="1">
      <alignment horizontal="right" wrapText="1"/>
    </xf>
    <xf numFmtId="165" fontId="20" fillId="35" borderId="0" xfId="0" applyNumberFormat="1" applyFont="1" applyFill="1" applyAlignment="1">
      <alignment horizontal="right" wrapText="1"/>
    </xf>
    <xf numFmtId="0" fontId="41" fillId="35" borderId="12" xfId="0" applyFont="1" applyFill="1" applyBorder="1" applyAlignment="1">
      <alignment vertical="top" wrapText="1"/>
    </xf>
    <xf numFmtId="0" fontId="43" fillId="35" borderId="12" xfId="0" applyFont="1" applyFill="1" applyBorder="1" applyAlignment="1">
      <alignment vertical="top" wrapText="1"/>
    </xf>
    <xf numFmtId="0" fontId="41" fillId="35" borderId="0" xfId="0" applyFont="1" applyFill="1" applyAlignment="1">
      <alignment vertical="top" wrapText="1"/>
    </xf>
    <xf numFmtId="0" fontId="43" fillId="35" borderId="0" xfId="0" applyFont="1" applyFill="1" applyAlignment="1">
      <alignment vertical="top" wrapText="1"/>
    </xf>
    <xf numFmtId="165" fontId="42" fillId="35" borderId="0" xfId="0" applyNumberFormat="1" applyFont="1" applyFill="1" applyAlignment="1">
      <alignment vertical="top" wrapText="1"/>
    </xf>
    <xf numFmtId="0" fontId="0" fillId="35" borderId="13" xfId="0" applyFill="1" applyBorder="1"/>
    <xf numFmtId="0" fontId="22" fillId="35" borderId="0" xfId="0" applyFont="1" applyFill="1" applyAlignment="1">
      <alignment horizontal="left"/>
    </xf>
    <xf numFmtId="0" fontId="18" fillId="35" borderId="0" xfId="0" applyFont="1" applyFill="1"/>
    <xf numFmtId="0" fontId="19" fillId="35" borderId="0" xfId="0" applyFont="1" applyFill="1" applyAlignment="1">
      <alignment horizontal="left"/>
    </xf>
    <xf numFmtId="165" fontId="24" fillId="35" borderId="10" xfId="0" applyNumberFormat="1" applyFont="1" applyFill="1" applyBorder="1" applyAlignment="1">
      <alignment horizontal="right" wrapText="1"/>
    </xf>
    <xf numFmtId="166" fontId="0" fillId="34" borderId="0" xfId="0" applyNumberFormat="1" applyFill="1"/>
    <xf numFmtId="0" fontId="49" fillId="35" borderId="0" xfId="0" applyFont="1" applyFill="1" applyAlignment="1">
      <alignment vertical="center"/>
    </xf>
    <xf numFmtId="0" fontId="50" fillId="35" borderId="0" xfId="42" applyFont="1" applyFill="1" applyAlignment="1">
      <alignment vertical="center"/>
    </xf>
    <xf numFmtId="0" fontId="49" fillId="35" borderId="0" xfId="0" applyFont="1" applyFill="1"/>
    <xf numFmtId="0" fontId="19" fillId="33" borderId="0" xfId="0" applyFont="1" applyFill="1" applyAlignment="1">
      <alignment horizontal="left"/>
    </xf>
    <xf numFmtId="0" fontId="47" fillId="33" borderId="0" xfId="0" applyFont="1" applyFill="1" applyAlignment="1">
      <alignment horizontal="left"/>
    </xf>
    <xf numFmtId="0" fontId="41" fillId="33" borderId="13" xfId="0" applyFont="1" applyFill="1" applyBorder="1" applyAlignment="1">
      <alignment horizontal="left" wrapText="1"/>
    </xf>
    <xf numFmtId="165" fontId="42" fillId="35" borderId="13" xfId="0" applyNumberFormat="1" applyFont="1" applyFill="1" applyBorder="1" applyAlignment="1">
      <alignment vertical="top" wrapText="1"/>
    </xf>
    <xf numFmtId="165" fontId="42" fillId="33" borderId="13" xfId="0" applyNumberFormat="1" applyFont="1" applyFill="1" applyBorder="1" applyAlignment="1">
      <alignment vertical="top" wrapText="1"/>
    </xf>
    <xf numFmtId="0" fontId="52" fillId="33" borderId="0" xfId="0" applyFont="1" applyFill="1" applyAlignment="1">
      <alignment horizontal="left" vertical="top" wrapText="1"/>
    </xf>
    <xf numFmtId="164" fontId="52" fillId="33" borderId="0" xfId="0" applyNumberFormat="1" applyFont="1" applyFill="1" applyAlignment="1">
      <alignment horizontal="right" wrapText="1"/>
    </xf>
    <xf numFmtId="0" fontId="21" fillId="33" borderId="0" xfId="0" applyFont="1" applyFill="1" applyAlignment="1">
      <alignment horizontal="left" vertical="top" wrapText="1"/>
    </xf>
    <xf numFmtId="164" fontId="21" fillId="33" borderId="0" xfId="0" applyNumberFormat="1" applyFont="1" applyFill="1" applyAlignment="1">
      <alignment horizontal="right" wrapText="1"/>
    </xf>
    <xf numFmtId="165" fontId="21" fillId="33" borderId="0" xfId="0" applyNumberFormat="1" applyFont="1" applyFill="1" applyAlignment="1">
      <alignment horizontal="right" wrapText="1"/>
    </xf>
    <xf numFmtId="165" fontId="52" fillId="33" borderId="0" xfId="0" applyNumberFormat="1" applyFont="1" applyFill="1" applyAlignment="1">
      <alignment horizontal="right" wrapText="1"/>
    </xf>
    <xf numFmtId="165" fontId="53" fillId="33" borderId="0" xfId="0" applyNumberFormat="1" applyFont="1" applyFill="1" applyAlignment="1">
      <alignment horizontal="left" vertical="top" wrapText="1"/>
    </xf>
    <xf numFmtId="165" fontId="21" fillId="35" borderId="0" xfId="0" applyNumberFormat="1" applyFont="1" applyFill="1" applyAlignment="1">
      <alignment horizontal="right" wrapText="1"/>
    </xf>
    <xf numFmtId="0" fontId="41" fillId="33" borderId="13" xfId="0" applyFont="1" applyFill="1" applyBorder="1" applyAlignment="1">
      <alignment vertical="top" wrapText="1"/>
    </xf>
    <xf numFmtId="0" fontId="22" fillId="33" borderId="11" xfId="0" applyFont="1" applyFill="1" applyBorder="1"/>
    <xf numFmtId="0" fontId="22" fillId="33" borderId="15" xfId="0" applyFont="1" applyFill="1" applyBorder="1"/>
    <xf numFmtId="165" fontId="24" fillId="33" borderId="13" xfId="0" applyNumberFormat="1" applyFont="1" applyFill="1" applyBorder="1" applyAlignment="1">
      <alignment vertical="top" wrapText="1"/>
    </xf>
    <xf numFmtId="0" fontId="54" fillId="34" borderId="0" xfId="0" applyFont="1" applyFill="1" applyAlignment="1">
      <alignment horizontal="left"/>
    </xf>
    <xf numFmtId="0" fontId="20" fillId="35" borderId="0" xfId="0" applyFont="1" applyFill="1" applyAlignment="1">
      <alignment vertical="top" wrapText="1"/>
    </xf>
    <xf numFmtId="0" fontId="21" fillId="33" borderId="13" xfId="0" applyFont="1" applyFill="1" applyBorder="1" applyAlignment="1">
      <alignment horizontal="left" vertical="top" wrapText="1"/>
    </xf>
    <xf numFmtId="0" fontId="48" fillId="33" borderId="0" xfId="0" applyFont="1" applyFill="1" applyAlignment="1">
      <alignment horizontal="left"/>
    </xf>
    <xf numFmtId="164" fontId="55" fillId="33" borderId="0" xfId="0" applyNumberFormat="1" applyFont="1" applyFill="1" applyAlignment="1">
      <alignment horizontal="right" wrapText="1"/>
    </xf>
    <xf numFmtId="165" fontId="55" fillId="33" borderId="0" xfId="0" applyNumberFormat="1" applyFont="1" applyFill="1" applyAlignment="1">
      <alignment horizontal="right" wrapText="1"/>
    </xf>
    <xf numFmtId="0" fontId="58" fillId="34" borderId="0" xfId="0" applyFont="1" applyFill="1"/>
    <xf numFmtId="165" fontId="21" fillId="33" borderId="13" xfId="0" applyNumberFormat="1" applyFont="1" applyFill="1" applyBorder="1" applyAlignment="1">
      <alignment horizontal="right" wrapText="1"/>
    </xf>
    <xf numFmtId="0" fontId="55" fillId="33" borderId="0" xfId="0" applyFont="1" applyFill="1" applyAlignment="1">
      <alignment horizontal="left" vertical="top" wrapText="1"/>
    </xf>
    <xf numFmtId="165" fontId="44" fillId="33" borderId="0" xfId="0" applyNumberFormat="1" applyFont="1" applyFill="1" applyAlignment="1">
      <alignment horizontal="right" wrapText="1"/>
    </xf>
    <xf numFmtId="3" fontId="20" fillId="33" borderId="0" xfId="0" applyNumberFormat="1" applyFont="1" applyFill="1" applyAlignment="1">
      <alignment horizontal="right" wrapText="1"/>
    </xf>
    <xf numFmtId="3" fontId="21" fillId="33" borderId="0" xfId="0" applyNumberFormat="1" applyFont="1" applyFill="1" applyAlignment="1">
      <alignment horizontal="right" wrapText="1"/>
    </xf>
    <xf numFmtId="1" fontId="0" fillId="34" borderId="0" xfId="0" applyNumberFormat="1" applyFill="1"/>
    <xf numFmtId="165" fontId="0" fillId="34" borderId="0" xfId="0" applyNumberFormat="1" applyFill="1"/>
    <xf numFmtId="167" fontId="22" fillId="34" borderId="0" xfId="0" applyNumberFormat="1" applyFont="1" applyFill="1" applyAlignment="1">
      <alignment horizontal="left"/>
    </xf>
    <xf numFmtId="166" fontId="22" fillId="34" borderId="0" xfId="0" applyNumberFormat="1" applyFont="1" applyFill="1" applyAlignment="1">
      <alignment horizontal="left"/>
    </xf>
    <xf numFmtId="164" fontId="20" fillId="35" borderId="0" xfId="0" applyNumberFormat="1" applyFont="1" applyFill="1" applyAlignment="1">
      <alignment horizontal="right" wrapText="1"/>
    </xf>
    <xf numFmtId="164" fontId="21" fillId="35" borderId="0" xfId="0" applyNumberFormat="1" applyFont="1" applyFill="1" applyAlignment="1">
      <alignment horizontal="right" wrapText="1"/>
    </xf>
    <xf numFmtId="3" fontId="0" fillId="34" borderId="0" xfId="0" applyNumberFormat="1" applyFill="1"/>
    <xf numFmtId="167" fontId="0" fillId="34" borderId="0" xfId="0" applyNumberFormat="1" applyFill="1"/>
    <xf numFmtId="164" fontId="59" fillId="33" borderId="0" xfId="0" applyNumberFormat="1" applyFont="1" applyFill="1" applyAlignment="1">
      <alignment horizontal="right" wrapText="1"/>
    </xf>
    <xf numFmtId="164" fontId="0" fillId="34" borderId="0" xfId="0" applyNumberFormat="1" applyFill="1"/>
    <xf numFmtId="4" fontId="0" fillId="34" borderId="0" xfId="0" applyNumberFormat="1" applyFill="1"/>
    <xf numFmtId="4" fontId="22" fillId="34" borderId="0" xfId="0" applyNumberFormat="1" applyFont="1" applyFill="1" applyAlignment="1">
      <alignment horizontal="left"/>
    </xf>
    <xf numFmtId="4" fontId="23" fillId="34" borderId="0" xfId="0" applyNumberFormat="1" applyFont="1" applyFill="1" applyAlignment="1">
      <alignment horizontal="left"/>
    </xf>
    <xf numFmtId="3" fontId="43" fillId="33" borderId="0" xfId="0" applyNumberFormat="1" applyFont="1" applyFill="1" applyAlignment="1">
      <alignment horizontal="right" wrapText="1"/>
    </xf>
    <xf numFmtId="168" fontId="20" fillId="33" borderId="0" xfId="44" applyNumberFormat="1" applyFont="1" applyFill="1" applyBorder="1" applyAlignment="1" applyProtection="1">
      <alignment horizontal="right" wrapText="1"/>
    </xf>
    <xf numFmtId="168" fontId="21" fillId="33" borderId="0" xfId="44" applyNumberFormat="1" applyFont="1" applyFill="1" applyBorder="1" applyAlignment="1" applyProtection="1">
      <alignment horizontal="right" wrapText="1"/>
    </xf>
    <xf numFmtId="168" fontId="0" fillId="34" borderId="0" xfId="0" applyNumberFormat="1" applyFill="1"/>
    <xf numFmtId="43" fontId="0" fillId="34" borderId="0" xfId="0" applyNumberFormat="1" applyFill="1"/>
    <xf numFmtId="169" fontId="0" fillId="34" borderId="0" xfId="0" applyNumberFormat="1" applyFill="1"/>
    <xf numFmtId="170" fontId="0" fillId="34" borderId="0" xfId="0" applyNumberFormat="1" applyFill="1"/>
    <xf numFmtId="169" fontId="22" fillId="34" borderId="0" xfId="0" applyNumberFormat="1" applyFont="1" applyFill="1" applyAlignment="1">
      <alignment horizontal="left"/>
    </xf>
    <xf numFmtId="169" fontId="20" fillId="33" borderId="0" xfId="44" applyNumberFormat="1" applyFont="1" applyFill="1" applyBorder="1" applyAlignment="1" applyProtection="1">
      <alignment horizontal="right" wrapText="1"/>
    </xf>
    <xf numFmtId="3" fontId="20" fillId="33" borderId="0" xfId="44" applyNumberFormat="1" applyFont="1" applyFill="1" applyBorder="1" applyAlignment="1" applyProtection="1">
      <alignment horizontal="right" wrapText="1"/>
    </xf>
    <xf numFmtId="3" fontId="21" fillId="33" borderId="0" xfId="44" applyNumberFormat="1" applyFont="1" applyFill="1" applyBorder="1" applyAlignment="1" applyProtection="1">
      <alignment horizontal="right" wrapText="1"/>
    </xf>
    <xf numFmtId="168" fontId="22" fillId="34" borderId="0" xfId="0" applyNumberFormat="1" applyFont="1" applyFill="1" applyAlignment="1">
      <alignment horizontal="left"/>
    </xf>
    <xf numFmtId="164" fontId="44" fillId="33" borderId="0" xfId="0" applyNumberFormat="1" applyFont="1" applyFill="1" applyAlignment="1">
      <alignment horizontal="right" wrapText="1"/>
    </xf>
    <xf numFmtId="171" fontId="0" fillId="34" borderId="0" xfId="0" applyNumberFormat="1" applyFill="1"/>
    <xf numFmtId="167" fontId="21" fillId="33" borderId="0" xfId="44" applyNumberFormat="1" applyFont="1" applyFill="1" applyBorder="1" applyAlignment="1" applyProtection="1">
      <alignment horizontal="right" wrapText="1"/>
    </xf>
    <xf numFmtId="167" fontId="20" fillId="33" borderId="0" xfId="44" applyNumberFormat="1" applyFont="1" applyFill="1" applyBorder="1" applyAlignment="1" applyProtection="1">
      <alignment horizontal="right" wrapText="1"/>
    </xf>
    <xf numFmtId="167" fontId="21" fillId="33" borderId="0" xfId="0" applyNumberFormat="1" applyFont="1" applyFill="1" applyAlignment="1">
      <alignment horizontal="right" wrapText="1"/>
    </xf>
    <xf numFmtId="164" fontId="60" fillId="33" borderId="0" xfId="0" applyNumberFormat="1" applyFont="1" applyFill="1" applyAlignment="1">
      <alignment horizontal="right" wrapText="1"/>
    </xf>
    <xf numFmtId="165" fontId="60" fillId="33" borderId="0" xfId="0" applyNumberFormat="1" applyFont="1" applyFill="1" applyAlignment="1">
      <alignment horizontal="right" wrapText="1"/>
    </xf>
    <xf numFmtId="0" fontId="60" fillId="33" borderId="0" xfId="0" applyFont="1" applyFill="1" applyAlignment="1">
      <alignment horizontal="right" wrapText="1"/>
    </xf>
    <xf numFmtId="172" fontId="0" fillId="34" borderId="0" xfId="0" applyNumberFormat="1" applyFill="1"/>
    <xf numFmtId="174" fontId="60" fillId="33" borderId="0" xfId="0" applyNumberFormat="1" applyFont="1" applyFill="1" applyAlignment="1">
      <alignment horizontal="right" wrapText="1"/>
    </xf>
    <xf numFmtId="173" fontId="20" fillId="33" borderId="0" xfId="0" applyNumberFormat="1" applyFont="1" applyFill="1" applyAlignment="1">
      <alignment horizontal="right" wrapText="1"/>
    </xf>
    <xf numFmtId="174" fontId="20" fillId="33" borderId="0" xfId="0" applyNumberFormat="1" applyFont="1" applyFill="1" applyAlignment="1">
      <alignment horizontal="right" wrapText="1"/>
    </xf>
    <xf numFmtId="0" fontId="29" fillId="0" borderId="0" xfId="0" applyFont="1"/>
    <xf numFmtId="0" fontId="30" fillId="0" borderId="0" xfId="0" applyFont="1"/>
    <xf numFmtId="0" fontId="31" fillId="0" borderId="0" xfId="0" applyFont="1"/>
    <xf numFmtId="0" fontId="34" fillId="0" borderId="0" xfId="0" applyFont="1"/>
    <xf numFmtId="0" fontId="32" fillId="0" borderId="0" xfId="42" applyFont="1" applyFill="1"/>
    <xf numFmtId="0" fontId="32" fillId="0" borderId="0" xfId="42" applyNumberFormat="1" applyFont="1" applyFill="1" applyBorder="1" applyAlignment="1" applyProtection="1">
      <alignment horizontal="left" wrapText="1"/>
    </xf>
    <xf numFmtId="0" fontId="32" fillId="0" borderId="0" xfId="42" applyFont="1" applyFill="1" applyBorder="1" applyAlignment="1">
      <alignment horizontal="left" wrapText="1"/>
    </xf>
    <xf numFmtId="0" fontId="61" fillId="35" borderId="0" xfId="0" applyFont="1" applyFill="1"/>
    <xf numFmtId="0" fontId="61" fillId="0" borderId="0" xfId="0" applyFont="1"/>
    <xf numFmtId="0" fontId="62" fillId="35" borderId="0" xfId="42" applyFont="1" applyFill="1" applyAlignment="1">
      <alignment horizontal="left"/>
    </xf>
    <xf numFmtId="0" fontId="63" fillId="35" borderId="0" xfId="0" applyFont="1" applyFill="1"/>
    <xf numFmtId="0" fontId="62" fillId="0" borderId="0" xfId="42" applyFont="1" applyFill="1"/>
    <xf numFmtId="0" fontId="62" fillId="35" borderId="0" xfId="42" quotePrefix="1" applyNumberFormat="1" applyFont="1" applyFill="1" applyBorder="1" applyAlignment="1" applyProtection="1"/>
    <xf numFmtId="0" fontId="61" fillId="0" borderId="0" xfId="42" applyFont="1" applyFill="1"/>
    <xf numFmtId="0" fontId="64" fillId="0" borderId="0" xfId="42" applyNumberFormat="1" applyFont="1" applyFill="1" applyBorder="1" applyAlignment="1" applyProtection="1">
      <alignment horizontal="left" wrapText="1"/>
    </xf>
    <xf numFmtId="0" fontId="64" fillId="0" borderId="0" xfId="42" applyFont="1" applyFill="1"/>
    <xf numFmtId="0" fontId="61" fillId="0" borderId="0" xfId="42" applyFont="1" applyFill="1" applyAlignment="1">
      <alignment horizontal="left"/>
    </xf>
    <xf numFmtId="0" fontId="62" fillId="0" borderId="0" xfId="42" applyFont="1" applyFill="1" applyAlignment="1">
      <alignment horizontal="left"/>
    </xf>
    <xf numFmtId="0" fontId="63" fillId="0" borderId="0" xfId="0" applyFont="1"/>
    <xf numFmtId="0" fontId="61" fillId="35" borderId="0" xfId="42" applyFont="1" applyFill="1" applyAlignment="1">
      <alignment horizontal="left"/>
    </xf>
    <xf numFmtId="0" fontId="65" fillId="0" borderId="0" xfId="42" applyFont="1" applyFill="1" applyAlignment="1">
      <alignment horizontal="left"/>
    </xf>
    <xf numFmtId="0" fontId="32" fillId="0" borderId="0" xfId="42" applyFont="1" applyFill="1" applyAlignment="1">
      <alignment horizontal="left"/>
    </xf>
    <xf numFmtId="0" fontId="61" fillId="35" borderId="0" xfId="42" applyFont="1" applyFill="1"/>
    <xf numFmtId="0" fontId="61" fillId="0" borderId="0" xfId="42" applyFont="1" applyFill="1"/>
    <xf numFmtId="0" fontId="61" fillId="0" borderId="0" xfId="0" applyFont="1"/>
    <xf numFmtId="0" fontId="32" fillId="0" borderId="0" xfId="42" applyFont="1" applyFill="1" applyAlignment="1"/>
    <xf numFmtId="0" fontId="37" fillId="35" borderId="0" xfId="43" applyFont="1" applyFill="1" applyAlignment="1">
      <alignment horizontal="left" wrapText="1"/>
    </xf>
    <xf numFmtId="0" fontId="29" fillId="35" borderId="0" xfId="0" applyFont="1" applyFill="1"/>
    <xf numFmtId="0" fontId="31" fillId="35" borderId="0" xfId="0" applyFont="1" applyFill="1" applyAlignment="1">
      <alignment horizontal="left" wrapText="1"/>
    </xf>
    <xf numFmtId="0" fontId="22" fillId="34" borderId="0" xfId="0" applyFont="1" applyFill="1" applyAlignment="1">
      <alignment horizontal="left" wrapText="1"/>
    </xf>
    <xf numFmtId="0" fontId="22" fillId="34" borderId="14" xfId="0" applyFont="1" applyFill="1" applyBorder="1" applyAlignment="1">
      <alignment horizontal="left" wrapText="1"/>
    </xf>
    <xf numFmtId="0" fontId="27" fillId="33" borderId="0" xfId="0" applyFont="1" applyFill="1" applyAlignment="1">
      <alignment horizontal="left"/>
    </xf>
    <xf numFmtId="0" fontId="22" fillId="33" borderId="11" xfId="0" applyFont="1" applyFill="1" applyBorder="1" applyAlignment="1">
      <alignment horizontal="left"/>
    </xf>
    <xf numFmtId="0" fontId="19" fillId="33" borderId="0" xfId="0" applyFont="1" applyFill="1" applyAlignment="1">
      <alignment horizontal="left"/>
    </xf>
    <xf numFmtId="0" fontId="22" fillId="33" borderId="0" xfId="0" applyFont="1" applyFill="1" applyAlignment="1">
      <alignment horizontal="left"/>
    </xf>
    <xf numFmtId="0" fontId="21" fillId="33" borderId="0" xfId="0" applyFont="1" applyFill="1" applyAlignment="1">
      <alignment horizontal="left" vertical="top" wrapText="1"/>
    </xf>
    <xf numFmtId="165" fontId="24" fillId="33" borderId="0" xfId="0" applyNumberFormat="1" applyFont="1" applyFill="1" applyAlignment="1">
      <alignment horizontal="left" vertical="top" wrapText="1"/>
    </xf>
    <xf numFmtId="0" fontId="22" fillId="33" borderId="0" xfId="0" applyFont="1" applyFill="1" applyAlignment="1">
      <alignment horizontal="left" wrapText="1"/>
    </xf>
    <xf numFmtId="0" fontId="41" fillId="33" borderId="0" xfId="0" applyFont="1" applyFill="1" applyAlignment="1">
      <alignment horizontal="left" vertical="top" wrapText="1"/>
    </xf>
    <xf numFmtId="0" fontId="19" fillId="33" borderId="0" xfId="0" applyFont="1" applyFill="1" applyAlignment="1">
      <alignment horizontal="left" wrapText="1"/>
    </xf>
    <xf numFmtId="0" fontId="48" fillId="33" borderId="11" xfId="0" applyFont="1" applyFill="1" applyBorder="1" applyAlignment="1">
      <alignment horizontal="left"/>
    </xf>
    <xf numFmtId="0" fontId="48" fillId="33" borderId="0" xfId="0" applyFont="1" applyFill="1" applyAlignment="1">
      <alignment horizontal="left"/>
    </xf>
    <xf numFmtId="0" fontId="41" fillId="33" borderId="13" xfId="0" applyFont="1" applyFill="1" applyBorder="1" applyAlignment="1">
      <alignment horizontal="left" vertical="top" wrapText="1"/>
    </xf>
    <xf numFmtId="165" fontId="42" fillId="33" borderId="0" xfId="0" applyNumberFormat="1" applyFont="1" applyFill="1" applyAlignment="1">
      <alignment horizontal="left" vertical="top" wrapText="1"/>
    </xf>
    <xf numFmtId="0" fontId="20" fillId="33" borderId="0" xfId="0" applyFont="1" applyFill="1" applyAlignment="1">
      <alignment horizontal="left" vertical="top" wrapText="1"/>
    </xf>
    <xf numFmtId="0" fontId="19" fillId="0" borderId="0" xfId="0" applyFont="1" applyAlignment="1">
      <alignment horizontal="left"/>
    </xf>
    <xf numFmtId="0" fontId="22" fillId="33" borderId="15" xfId="0" applyFont="1" applyFill="1" applyBorder="1" applyAlignment="1">
      <alignment horizontal="left"/>
    </xf>
    <xf numFmtId="0" fontId="27" fillId="33" borderId="0" xfId="0" applyFont="1" applyFill="1" applyAlignment="1">
      <alignment horizontal="left" wrapText="1"/>
    </xf>
    <xf numFmtId="0" fontId="41" fillId="33" borderId="12" xfId="0" applyFont="1" applyFill="1" applyBorder="1" applyAlignment="1">
      <alignment horizontal="left" vertical="top" wrapText="1"/>
    </xf>
    <xf numFmtId="0" fontId="27" fillId="0" borderId="0" xfId="0" applyFont="1" applyAlignment="1">
      <alignment horizontal="left" wrapText="1"/>
    </xf>
    <xf numFmtId="0" fontId="48" fillId="33" borderId="15" xfId="0" applyFont="1" applyFill="1" applyBorder="1" applyAlignment="1">
      <alignment horizontal="left"/>
    </xf>
    <xf numFmtId="0" fontId="19" fillId="33" borderId="13" xfId="0" applyFont="1" applyFill="1" applyBorder="1" applyAlignment="1">
      <alignment horizontal="left"/>
    </xf>
    <xf numFmtId="0" fontId="46" fillId="33" borderId="13" xfId="0" applyFont="1" applyFill="1" applyBorder="1" applyAlignment="1">
      <alignment horizontal="left"/>
    </xf>
    <xf numFmtId="0" fontId="21" fillId="35" borderId="0" xfId="0" applyFont="1" applyFill="1" applyAlignment="1">
      <alignment horizontal="center" wrapText="1"/>
    </xf>
    <xf numFmtId="0" fontId="21" fillId="33" borderId="0" xfId="0" applyFont="1" applyFill="1" applyAlignment="1">
      <alignment horizontal="center" wrapText="1"/>
    </xf>
    <xf numFmtId="3" fontId="21" fillId="33" borderId="0" xfId="0" applyNumberFormat="1" applyFont="1" applyFill="1" applyAlignment="1">
      <alignment horizontal="center" wrapText="1"/>
    </xf>
    <xf numFmtId="0" fontId="41" fillId="33" borderId="0" xfId="0" applyFont="1" applyFill="1" applyAlignment="1">
      <alignment horizontal="center" wrapText="1"/>
    </xf>
    <xf numFmtId="0" fontId="41" fillId="35" borderId="0" xfId="0" applyFont="1" applyFill="1" applyAlignment="1">
      <alignment horizontal="center" wrapText="1"/>
    </xf>
    <xf numFmtId="3" fontId="41" fillId="33" borderId="0" xfId="0" applyNumberFormat="1" applyFont="1" applyFill="1" applyAlignment="1">
      <alignment horizontal="center" wrapText="1"/>
    </xf>
    <xf numFmtId="0" fontId="21" fillId="33" borderId="12" xfId="0" applyFont="1" applyFill="1" applyBorder="1" applyAlignment="1">
      <alignment horizontal="left" vertical="top" wrapText="1"/>
    </xf>
    <xf numFmtId="165" fontId="42" fillId="33" borderId="13" xfId="0" applyNumberFormat="1" applyFont="1" applyFill="1" applyBorder="1" applyAlignment="1">
      <alignment horizontal="left" vertical="top" wrapText="1"/>
    </xf>
    <xf numFmtId="0" fontId="19" fillId="35" borderId="0" xfId="0" applyFont="1" applyFill="1" applyAlignment="1">
      <alignment horizontal="left"/>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2 2" xfId="43"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
  <sheetViews>
    <sheetView tabSelected="1" workbookViewId="0"/>
  </sheetViews>
  <sheetFormatPr defaultColWidth="9.140625" defaultRowHeight="12.75" x14ac:dyDescent="0.2"/>
  <cols>
    <col min="1" max="1" width="6.7109375" style="17" bestFit="1" customWidth="1"/>
    <col min="2" max="2" width="113.85546875" style="160" customWidth="1"/>
    <col min="3" max="12" width="9.140625" style="160"/>
    <col min="13" max="16384" width="9.140625" style="17"/>
  </cols>
  <sheetData>
    <row r="1" spans="1:25" ht="22.5" customHeight="1" x14ac:dyDescent="0.25">
      <c r="A1" s="15" t="s">
        <v>402</v>
      </c>
      <c r="B1" s="159"/>
      <c r="C1" s="159"/>
      <c r="D1" s="159"/>
      <c r="E1" s="159"/>
      <c r="F1" s="159"/>
      <c r="G1" s="159"/>
      <c r="H1" s="159"/>
      <c r="I1" s="159"/>
      <c r="J1" s="159"/>
      <c r="K1" s="159"/>
      <c r="L1" s="159"/>
      <c r="M1" s="16"/>
      <c r="N1" s="16"/>
      <c r="O1" s="16"/>
      <c r="P1" s="16"/>
      <c r="Q1" s="16"/>
      <c r="R1" s="16"/>
      <c r="S1" s="16"/>
      <c r="T1" s="16"/>
      <c r="U1" s="16"/>
      <c r="V1" s="16"/>
      <c r="W1" s="16"/>
      <c r="X1" s="16"/>
      <c r="Y1" s="16"/>
    </row>
    <row r="2" spans="1:25" ht="21" customHeight="1" x14ac:dyDescent="0.25">
      <c r="A2" s="15" t="s">
        <v>345</v>
      </c>
      <c r="B2" s="161"/>
      <c r="C2" s="159"/>
      <c r="D2" s="159"/>
      <c r="E2" s="159"/>
      <c r="F2" s="159"/>
      <c r="G2" s="159"/>
      <c r="H2" s="159"/>
      <c r="I2" s="159"/>
      <c r="J2" s="159"/>
      <c r="K2" s="159"/>
      <c r="L2" s="159"/>
      <c r="M2" s="16"/>
      <c r="N2" s="16"/>
      <c r="O2" s="16"/>
      <c r="P2" s="16"/>
      <c r="Q2" s="16"/>
      <c r="R2" s="16"/>
      <c r="S2" s="16"/>
      <c r="T2" s="16"/>
      <c r="U2" s="16"/>
      <c r="V2" s="16"/>
      <c r="W2" s="16"/>
      <c r="X2" s="16"/>
      <c r="Y2" s="16"/>
    </row>
    <row r="3" spans="1:25" ht="15" customHeight="1" x14ac:dyDescent="0.25">
      <c r="A3" s="15"/>
      <c r="B3" s="161"/>
      <c r="C3" s="159"/>
      <c r="D3" s="159"/>
      <c r="E3" s="159"/>
      <c r="F3" s="159"/>
      <c r="G3" s="159"/>
      <c r="H3" s="159"/>
      <c r="I3" s="159"/>
      <c r="J3" s="159"/>
      <c r="K3" s="159"/>
      <c r="L3" s="159"/>
      <c r="M3" s="16"/>
      <c r="N3" s="16"/>
      <c r="O3" s="16"/>
      <c r="P3" s="16"/>
      <c r="Q3" s="16"/>
      <c r="R3" s="16"/>
      <c r="S3" s="16"/>
      <c r="T3" s="16"/>
      <c r="U3" s="16"/>
      <c r="V3" s="16"/>
      <c r="W3" s="16"/>
      <c r="X3" s="16"/>
      <c r="Y3" s="16"/>
    </row>
    <row r="4" spans="1:25" ht="15" customHeight="1" x14ac:dyDescent="0.2">
      <c r="A4" s="16"/>
      <c r="B4" s="184" t="s">
        <v>118</v>
      </c>
      <c r="C4" s="184"/>
      <c r="D4" s="159"/>
      <c r="E4" s="159"/>
      <c r="F4" s="159"/>
      <c r="G4" s="159"/>
      <c r="H4" s="159"/>
      <c r="I4" s="159"/>
      <c r="J4" s="159"/>
      <c r="K4" s="159"/>
      <c r="L4" s="159"/>
      <c r="M4" s="16"/>
      <c r="N4" s="16"/>
      <c r="O4" s="16"/>
      <c r="P4" s="16"/>
      <c r="Q4" s="16"/>
      <c r="R4" s="16"/>
      <c r="S4" s="16"/>
      <c r="T4" s="16"/>
      <c r="U4" s="16"/>
      <c r="V4" s="16"/>
      <c r="W4" s="16"/>
      <c r="X4" s="16"/>
      <c r="Y4" s="16"/>
    </row>
    <row r="5" spans="1:25" s="160" customFormat="1" ht="15" customHeight="1" x14ac:dyDescent="0.2">
      <c r="A5" s="159"/>
      <c r="B5" s="159"/>
      <c r="C5" s="159"/>
      <c r="D5" s="159"/>
      <c r="E5" s="159"/>
      <c r="F5" s="159"/>
      <c r="G5" s="159"/>
      <c r="H5" s="159"/>
      <c r="I5" s="159"/>
      <c r="J5" s="159"/>
      <c r="K5" s="159"/>
      <c r="L5" s="159"/>
      <c r="M5" s="159"/>
      <c r="N5" s="159"/>
      <c r="O5" s="159"/>
      <c r="P5" s="159"/>
      <c r="Q5" s="159"/>
      <c r="R5" s="159"/>
      <c r="S5" s="159"/>
      <c r="T5" s="159"/>
      <c r="U5" s="159"/>
      <c r="V5" s="159"/>
      <c r="W5" s="159"/>
      <c r="X5" s="159"/>
      <c r="Y5" s="159"/>
    </row>
    <row r="6" spans="1:25" s="160" customFormat="1" ht="15" customHeight="1" x14ac:dyDescent="0.2">
      <c r="A6" s="159"/>
      <c r="B6" s="159"/>
      <c r="C6" s="159"/>
      <c r="D6" s="159"/>
      <c r="E6" s="159"/>
      <c r="F6" s="159"/>
      <c r="G6" s="159"/>
      <c r="H6" s="159"/>
      <c r="I6" s="159"/>
      <c r="J6" s="159"/>
      <c r="K6" s="159"/>
      <c r="L6" s="159"/>
      <c r="M6" s="159"/>
      <c r="N6" s="159"/>
      <c r="O6" s="159"/>
      <c r="P6" s="159"/>
      <c r="Q6" s="159"/>
      <c r="R6" s="159"/>
      <c r="S6" s="159"/>
      <c r="T6" s="159"/>
      <c r="U6" s="159"/>
      <c r="V6" s="159"/>
      <c r="W6" s="159"/>
      <c r="X6" s="159"/>
      <c r="Y6" s="159"/>
    </row>
    <row r="7" spans="1:25" ht="15" customHeight="1" x14ac:dyDescent="0.25">
      <c r="A7" s="19" t="s">
        <v>119</v>
      </c>
      <c r="B7" s="159"/>
      <c r="C7" s="159"/>
      <c r="D7" s="159"/>
      <c r="E7" s="159"/>
      <c r="F7" s="159"/>
      <c r="G7" s="159"/>
      <c r="H7" s="159"/>
      <c r="I7" s="159"/>
      <c r="J7" s="159"/>
      <c r="K7" s="159"/>
      <c r="L7" s="159"/>
      <c r="M7" s="16"/>
      <c r="N7" s="16"/>
      <c r="O7" s="16"/>
      <c r="P7" s="16"/>
      <c r="Q7" s="16"/>
      <c r="R7" s="16"/>
      <c r="S7" s="16"/>
      <c r="T7" s="16"/>
      <c r="U7" s="16"/>
      <c r="V7" s="16"/>
      <c r="W7" s="16"/>
      <c r="X7" s="16"/>
      <c r="Y7" s="16"/>
    </row>
    <row r="8" spans="1:25" ht="15" customHeight="1" x14ac:dyDescent="0.25">
      <c r="A8" s="19"/>
      <c r="B8" s="159"/>
      <c r="C8" s="159"/>
      <c r="D8" s="159"/>
      <c r="E8" s="159"/>
      <c r="F8" s="159"/>
      <c r="G8" s="159"/>
      <c r="H8" s="159"/>
      <c r="I8" s="159"/>
      <c r="J8" s="159"/>
      <c r="K8" s="159"/>
      <c r="L8" s="159"/>
      <c r="M8" s="16"/>
      <c r="N8" s="16"/>
      <c r="O8" s="16"/>
      <c r="P8" s="16"/>
      <c r="Q8" s="16"/>
      <c r="R8" s="16"/>
      <c r="S8" s="16"/>
      <c r="T8" s="16"/>
      <c r="U8" s="16"/>
      <c r="V8" s="16"/>
      <c r="W8" s="16"/>
      <c r="X8" s="16"/>
      <c r="Y8" s="16"/>
    </row>
    <row r="9" spans="1:25" ht="15" customHeight="1" x14ac:dyDescent="0.25">
      <c r="A9" s="19"/>
      <c r="B9" s="162" t="s">
        <v>120</v>
      </c>
      <c r="C9" s="159"/>
      <c r="D9" s="159"/>
      <c r="E9" s="159"/>
      <c r="F9" s="159"/>
      <c r="G9" s="159"/>
      <c r="H9" s="159"/>
      <c r="I9" s="159"/>
      <c r="J9" s="159"/>
      <c r="K9" s="159"/>
      <c r="L9" s="159"/>
      <c r="M9" s="16"/>
      <c r="N9" s="16"/>
      <c r="O9" s="16"/>
      <c r="P9" s="16"/>
      <c r="Q9" s="16"/>
      <c r="R9" s="16"/>
      <c r="S9" s="16"/>
      <c r="T9" s="16"/>
      <c r="U9" s="16"/>
      <c r="V9" s="16"/>
      <c r="W9" s="16"/>
      <c r="X9" s="16"/>
      <c r="Y9" s="16"/>
    </row>
    <row r="10" spans="1:25" s="169" customFormat="1" ht="15" customHeight="1" x14ac:dyDescent="0.2">
      <c r="A10" s="166" t="s">
        <v>0</v>
      </c>
      <c r="B10" s="167" t="s">
        <v>271</v>
      </c>
      <c r="C10" s="167"/>
      <c r="D10" s="167"/>
      <c r="E10" s="167"/>
      <c r="F10" s="167"/>
      <c r="G10" s="167"/>
      <c r="H10" s="167"/>
      <c r="I10" s="167"/>
      <c r="J10" s="167"/>
      <c r="K10" s="167"/>
      <c r="L10" s="167"/>
      <c r="M10" s="168"/>
      <c r="N10" s="168"/>
      <c r="O10" s="168"/>
      <c r="P10" s="168"/>
      <c r="Q10" s="168"/>
      <c r="R10" s="166"/>
      <c r="S10" s="166"/>
      <c r="T10" s="166"/>
      <c r="U10" s="166"/>
      <c r="V10" s="166"/>
      <c r="W10" s="166"/>
      <c r="X10" s="166"/>
      <c r="Y10" s="166"/>
    </row>
    <row r="11" spans="1:25" s="169" customFormat="1" ht="15" customHeight="1" x14ac:dyDescent="0.2">
      <c r="A11" s="166" t="s">
        <v>0</v>
      </c>
      <c r="B11" s="172" t="s">
        <v>272</v>
      </c>
      <c r="C11" s="167"/>
      <c r="D11" s="167"/>
      <c r="E11" s="167"/>
      <c r="F11" s="167"/>
      <c r="G11" s="167"/>
      <c r="H11" s="167"/>
      <c r="I11" s="167"/>
      <c r="J11" s="167"/>
      <c r="K11" s="167"/>
      <c r="L11" s="167"/>
      <c r="M11" s="168"/>
      <c r="N11" s="168"/>
      <c r="O11" s="168"/>
      <c r="P11" s="168"/>
      <c r="Q11" s="168"/>
      <c r="R11" s="166"/>
      <c r="S11" s="166"/>
      <c r="T11" s="166"/>
      <c r="U11" s="166"/>
      <c r="V11" s="166"/>
      <c r="W11" s="166"/>
      <c r="X11" s="166"/>
      <c r="Y11" s="166"/>
    </row>
    <row r="12" spans="1:25" s="169" customFormat="1" ht="15" customHeight="1" x14ac:dyDescent="0.2">
      <c r="A12" s="166" t="s">
        <v>0</v>
      </c>
      <c r="B12" s="167" t="s">
        <v>273</v>
      </c>
      <c r="C12" s="167"/>
      <c r="D12" s="167"/>
      <c r="E12" s="167"/>
      <c r="F12" s="167"/>
      <c r="G12" s="167"/>
      <c r="H12" s="167"/>
      <c r="I12" s="167"/>
      <c r="J12" s="167"/>
      <c r="K12" s="167"/>
      <c r="L12" s="167"/>
      <c r="M12" s="168"/>
      <c r="N12" s="168"/>
      <c r="O12" s="168"/>
      <c r="P12" s="168"/>
      <c r="Q12" s="168"/>
      <c r="R12" s="166"/>
      <c r="S12" s="166"/>
      <c r="T12" s="166"/>
      <c r="U12" s="166"/>
      <c r="V12" s="166"/>
      <c r="W12" s="166"/>
      <c r="X12" s="166"/>
      <c r="Y12" s="166"/>
    </row>
    <row r="13" spans="1:25" s="169" customFormat="1" ht="15" customHeight="1" x14ac:dyDescent="0.2">
      <c r="A13" s="166" t="s">
        <v>0</v>
      </c>
      <c r="B13" s="167" t="s">
        <v>274</v>
      </c>
      <c r="C13" s="167"/>
      <c r="D13" s="167"/>
      <c r="E13" s="167"/>
      <c r="F13" s="167"/>
      <c r="G13" s="167"/>
      <c r="H13" s="167"/>
      <c r="I13" s="167"/>
      <c r="J13" s="167"/>
      <c r="K13" s="167"/>
      <c r="L13" s="167"/>
      <c r="M13" s="168"/>
      <c r="N13" s="168"/>
      <c r="O13" s="168"/>
      <c r="P13" s="168"/>
      <c r="Q13" s="168"/>
      <c r="R13" s="166"/>
      <c r="S13" s="166"/>
      <c r="T13" s="166"/>
      <c r="U13" s="166"/>
      <c r="V13" s="166"/>
      <c r="W13" s="166"/>
      <c r="X13" s="166"/>
      <c r="Y13" s="166"/>
    </row>
    <row r="14" spans="1:25" s="169" customFormat="1" ht="15" customHeight="1" x14ac:dyDescent="0.2">
      <c r="A14" s="166" t="s">
        <v>0</v>
      </c>
      <c r="B14" s="167" t="s">
        <v>275</v>
      </c>
      <c r="C14" s="167"/>
      <c r="D14" s="167"/>
      <c r="E14" s="167"/>
      <c r="F14" s="167"/>
      <c r="G14" s="167"/>
      <c r="H14" s="167"/>
      <c r="I14" s="167"/>
      <c r="J14" s="167"/>
      <c r="K14" s="167"/>
      <c r="L14" s="167"/>
      <c r="M14" s="168"/>
      <c r="N14" s="168"/>
      <c r="O14" s="168"/>
      <c r="P14" s="168"/>
      <c r="Q14" s="168"/>
      <c r="R14" s="166"/>
      <c r="S14" s="166"/>
      <c r="T14" s="166"/>
      <c r="U14" s="166"/>
      <c r="V14" s="166"/>
      <c r="W14" s="166"/>
      <c r="X14" s="166"/>
      <c r="Y14" s="166"/>
    </row>
    <row r="15" spans="1:25" s="169" customFormat="1" ht="15" customHeight="1" x14ac:dyDescent="0.2">
      <c r="A15" s="171"/>
      <c r="B15" s="167" t="s">
        <v>276</v>
      </c>
      <c r="C15" s="167"/>
      <c r="D15" s="167"/>
      <c r="E15" s="167"/>
      <c r="F15" s="167"/>
      <c r="G15" s="167"/>
      <c r="H15" s="167"/>
      <c r="I15" s="167"/>
      <c r="J15" s="167"/>
      <c r="K15" s="167"/>
      <c r="L15" s="167"/>
      <c r="M15" s="166"/>
      <c r="N15" s="166"/>
      <c r="O15" s="168"/>
      <c r="P15" s="168"/>
      <c r="Q15" s="168"/>
      <c r="R15" s="166"/>
      <c r="S15" s="166"/>
      <c r="T15" s="166"/>
      <c r="U15" s="166"/>
      <c r="V15" s="166"/>
      <c r="W15" s="166"/>
      <c r="X15" s="166"/>
      <c r="Y15" s="166"/>
    </row>
    <row r="16" spans="1:25" s="169" customFormat="1" ht="15" customHeight="1" x14ac:dyDescent="0.2">
      <c r="A16" s="166" t="s">
        <v>0</v>
      </c>
      <c r="B16" s="167" t="s">
        <v>277</v>
      </c>
      <c r="C16" s="167"/>
      <c r="D16" s="167"/>
      <c r="E16" s="167"/>
      <c r="F16" s="167"/>
      <c r="G16" s="167"/>
      <c r="H16" s="167"/>
      <c r="I16" s="167"/>
      <c r="J16" s="167"/>
      <c r="K16" s="167"/>
      <c r="L16" s="167"/>
      <c r="M16" s="168"/>
      <c r="N16" s="168"/>
      <c r="O16" s="168"/>
      <c r="P16" s="168"/>
      <c r="Q16" s="168"/>
      <c r="R16" s="166"/>
      <c r="S16" s="166"/>
      <c r="T16" s="166"/>
      <c r="U16" s="166"/>
      <c r="V16" s="166"/>
      <c r="W16" s="166"/>
      <c r="X16" s="166"/>
      <c r="Y16" s="166"/>
    </row>
    <row r="17" spans="1:25" s="169" customFormat="1" ht="15" customHeight="1" x14ac:dyDescent="0.2">
      <c r="A17" s="166" t="s">
        <v>0</v>
      </c>
      <c r="B17" s="167" t="s">
        <v>278</v>
      </c>
      <c r="C17" s="167"/>
      <c r="D17" s="167"/>
      <c r="E17" s="167"/>
      <c r="F17" s="167"/>
      <c r="G17" s="167"/>
      <c r="H17" s="167"/>
      <c r="I17" s="167"/>
      <c r="J17" s="167"/>
      <c r="K17" s="167"/>
      <c r="L17" s="167"/>
      <c r="M17" s="168"/>
      <c r="N17" s="168"/>
      <c r="O17" s="168"/>
      <c r="P17" s="168"/>
      <c r="Q17" s="168"/>
      <c r="R17" s="166"/>
      <c r="S17" s="166"/>
      <c r="T17" s="166"/>
      <c r="U17" s="166"/>
      <c r="V17" s="166"/>
      <c r="W17" s="166"/>
      <c r="X17" s="166"/>
      <c r="Y17" s="166"/>
    </row>
    <row r="18" spans="1:25" s="169" customFormat="1" ht="15" customHeight="1" x14ac:dyDescent="0.2">
      <c r="A18" s="166" t="s">
        <v>0</v>
      </c>
      <c r="B18" s="167" t="s">
        <v>279</v>
      </c>
      <c r="C18" s="167"/>
      <c r="D18" s="167"/>
      <c r="E18" s="167"/>
      <c r="F18" s="167"/>
      <c r="G18" s="167"/>
      <c r="H18" s="167"/>
      <c r="I18" s="167"/>
      <c r="J18" s="167"/>
      <c r="K18" s="167"/>
      <c r="L18" s="167"/>
      <c r="M18" s="168"/>
      <c r="N18" s="168"/>
      <c r="O18" s="168"/>
      <c r="P18" s="168"/>
      <c r="Q18" s="168"/>
      <c r="R18" s="166"/>
      <c r="S18" s="166"/>
      <c r="T18" s="166"/>
      <c r="U18" s="166"/>
      <c r="V18" s="166"/>
      <c r="W18" s="166"/>
      <c r="X18" s="166"/>
      <c r="Y18" s="166"/>
    </row>
    <row r="19" spans="1:25" s="169" customFormat="1" ht="15" customHeight="1" x14ac:dyDescent="0.2">
      <c r="A19" s="166" t="s">
        <v>0</v>
      </c>
      <c r="B19" s="167" t="s">
        <v>280</v>
      </c>
      <c r="C19" s="167"/>
      <c r="D19" s="167"/>
      <c r="E19" s="167"/>
      <c r="F19" s="167"/>
      <c r="G19" s="167"/>
      <c r="H19" s="167"/>
      <c r="I19" s="167"/>
      <c r="J19" s="167"/>
      <c r="K19" s="167"/>
      <c r="L19" s="167"/>
      <c r="M19" s="168"/>
      <c r="N19" s="168"/>
      <c r="O19" s="168"/>
      <c r="P19" s="168"/>
      <c r="Q19" s="168"/>
      <c r="R19" s="166"/>
      <c r="S19" s="166"/>
      <c r="T19" s="166"/>
      <c r="U19" s="166"/>
      <c r="V19" s="166"/>
      <c r="W19" s="166"/>
      <c r="X19" s="166"/>
      <c r="Y19" s="166"/>
    </row>
    <row r="20" spans="1:25" s="169" customFormat="1" ht="15" customHeight="1" x14ac:dyDescent="0.2">
      <c r="A20" s="166" t="s">
        <v>0</v>
      </c>
      <c r="B20" s="167" t="s">
        <v>281</v>
      </c>
      <c r="C20" s="167"/>
      <c r="D20" s="167"/>
      <c r="E20" s="167"/>
      <c r="F20" s="167"/>
      <c r="G20" s="167"/>
      <c r="H20" s="167"/>
      <c r="I20" s="167"/>
      <c r="J20" s="167"/>
      <c r="K20" s="167"/>
      <c r="L20" s="167"/>
      <c r="M20" s="168"/>
      <c r="N20" s="168"/>
      <c r="O20" s="168"/>
      <c r="P20" s="168"/>
      <c r="Q20" s="168"/>
      <c r="R20" s="166"/>
      <c r="S20" s="166"/>
      <c r="T20" s="166"/>
      <c r="U20" s="166"/>
      <c r="V20" s="166"/>
      <c r="W20" s="166"/>
      <c r="X20" s="166"/>
      <c r="Y20" s="166"/>
    </row>
    <row r="21" spans="1:25" s="169" customFormat="1" ht="15" customHeight="1" x14ac:dyDescent="0.2">
      <c r="A21" s="166" t="s">
        <v>0</v>
      </c>
      <c r="B21" s="167" t="s">
        <v>282</v>
      </c>
      <c r="C21" s="167"/>
      <c r="D21" s="167"/>
      <c r="E21" s="167"/>
      <c r="F21" s="167"/>
      <c r="G21" s="167"/>
      <c r="H21" s="167"/>
      <c r="I21" s="167"/>
      <c r="J21" s="167"/>
      <c r="K21" s="167"/>
      <c r="L21" s="167"/>
      <c r="M21" s="168"/>
      <c r="N21" s="168"/>
      <c r="O21" s="168"/>
      <c r="P21" s="168"/>
      <c r="Q21" s="168"/>
      <c r="R21" s="166"/>
      <c r="S21" s="166"/>
      <c r="T21" s="166"/>
      <c r="U21" s="166"/>
      <c r="V21" s="166"/>
      <c r="W21" s="166"/>
      <c r="X21" s="166"/>
      <c r="Y21" s="166"/>
    </row>
    <row r="22" spans="1:25" s="169" customFormat="1" ht="15" customHeight="1" x14ac:dyDescent="0.2">
      <c r="A22" s="166" t="s">
        <v>0</v>
      </c>
      <c r="B22" s="167" t="s">
        <v>283</v>
      </c>
      <c r="C22" s="167"/>
      <c r="D22" s="167"/>
      <c r="E22" s="167"/>
      <c r="F22" s="167"/>
      <c r="G22" s="167"/>
      <c r="H22" s="167"/>
      <c r="I22" s="167"/>
      <c r="J22" s="167"/>
      <c r="K22" s="167"/>
      <c r="L22" s="167"/>
      <c r="M22" s="168"/>
      <c r="N22" s="168"/>
      <c r="O22" s="168"/>
      <c r="P22" s="168"/>
      <c r="Q22" s="168"/>
      <c r="R22" s="166"/>
      <c r="S22" s="166"/>
      <c r="T22" s="166"/>
      <c r="U22" s="166"/>
      <c r="V22" s="166"/>
      <c r="W22" s="166"/>
      <c r="X22" s="166"/>
      <c r="Y22" s="166"/>
    </row>
    <row r="23" spans="1:25" s="169" customFormat="1" ht="15" customHeight="1" x14ac:dyDescent="0.2">
      <c r="A23" s="166" t="s">
        <v>0</v>
      </c>
      <c r="B23" s="167" t="s">
        <v>284</v>
      </c>
      <c r="C23" s="167"/>
      <c r="D23" s="167"/>
      <c r="E23" s="167"/>
      <c r="F23" s="167"/>
      <c r="G23" s="167"/>
      <c r="H23" s="167"/>
      <c r="I23" s="167"/>
      <c r="J23" s="167"/>
      <c r="K23" s="167"/>
      <c r="L23" s="167"/>
      <c r="M23" s="166"/>
      <c r="N23" s="168"/>
      <c r="O23" s="168"/>
      <c r="P23" s="168"/>
      <c r="Q23" s="168"/>
      <c r="R23" s="166"/>
      <c r="S23" s="166"/>
      <c r="T23" s="166"/>
      <c r="U23" s="166"/>
      <c r="V23" s="166"/>
      <c r="W23" s="166"/>
      <c r="X23" s="166"/>
      <c r="Y23" s="166"/>
    </row>
    <row r="24" spans="1:25" s="169" customFormat="1" ht="15" customHeight="1" x14ac:dyDescent="0.2">
      <c r="A24" s="166"/>
      <c r="B24" s="167" t="s">
        <v>285</v>
      </c>
      <c r="C24" s="167"/>
      <c r="D24" s="167"/>
      <c r="E24" s="167"/>
      <c r="F24" s="167"/>
      <c r="G24" s="167"/>
      <c r="H24" s="167"/>
      <c r="I24" s="167"/>
      <c r="J24" s="167"/>
      <c r="K24" s="167"/>
      <c r="L24" s="167"/>
      <c r="M24" s="168"/>
      <c r="N24" s="168"/>
      <c r="O24" s="168"/>
      <c r="P24" s="168"/>
      <c r="Q24" s="168"/>
      <c r="R24" s="166"/>
      <c r="S24" s="166"/>
      <c r="T24" s="166"/>
      <c r="U24" s="166"/>
      <c r="V24" s="166"/>
      <c r="W24" s="166"/>
      <c r="X24" s="166"/>
      <c r="Y24" s="166"/>
    </row>
    <row r="25" spans="1:25" s="169" customFormat="1" ht="15" customHeight="1" x14ac:dyDescent="0.2">
      <c r="A25" s="166"/>
      <c r="B25" s="167" t="s">
        <v>286</v>
      </c>
      <c r="C25" s="167"/>
      <c r="D25" s="167"/>
      <c r="E25" s="167"/>
      <c r="F25" s="167"/>
      <c r="G25" s="167"/>
      <c r="H25" s="167"/>
      <c r="I25" s="167"/>
      <c r="J25" s="167"/>
      <c r="K25" s="167"/>
      <c r="L25" s="167"/>
      <c r="M25" s="168"/>
      <c r="N25" s="168"/>
      <c r="O25" s="168"/>
      <c r="P25" s="168"/>
      <c r="Q25" s="168"/>
      <c r="R25" s="166"/>
      <c r="S25" s="166"/>
      <c r="T25" s="166"/>
      <c r="U25" s="166"/>
      <c r="V25" s="166"/>
      <c r="W25" s="166"/>
      <c r="X25" s="166"/>
      <c r="Y25" s="166"/>
    </row>
    <row r="26" spans="1:25" ht="15" customHeight="1" x14ac:dyDescent="0.2">
      <c r="A26" s="18"/>
      <c r="B26" s="173"/>
      <c r="C26" s="164"/>
      <c r="D26" s="164"/>
      <c r="E26" s="164"/>
      <c r="F26" s="164"/>
      <c r="G26" s="164"/>
      <c r="H26" s="164"/>
      <c r="I26" s="164"/>
      <c r="J26" s="164"/>
      <c r="K26" s="164"/>
      <c r="L26" s="164"/>
      <c r="M26" s="21"/>
      <c r="N26" s="21"/>
      <c r="O26" s="18"/>
      <c r="P26" s="18"/>
      <c r="Q26" s="18"/>
      <c r="R26" s="16"/>
      <c r="S26" s="16"/>
      <c r="T26" s="16"/>
      <c r="U26" s="16"/>
      <c r="V26" s="16"/>
      <c r="W26" s="16"/>
      <c r="X26" s="16"/>
      <c r="Y26" s="16"/>
    </row>
    <row r="27" spans="1:25" ht="15" customHeight="1" x14ac:dyDescent="0.25">
      <c r="A27" s="18"/>
      <c r="B27" s="162" t="s">
        <v>121</v>
      </c>
      <c r="C27" s="164"/>
      <c r="D27" s="164"/>
      <c r="E27" s="164"/>
      <c r="F27" s="164"/>
      <c r="G27" s="164"/>
      <c r="H27" s="164"/>
      <c r="I27" s="164"/>
      <c r="J27" s="164"/>
      <c r="K27" s="164"/>
      <c r="L27" s="164"/>
      <c r="M27" s="21"/>
      <c r="N27" s="21"/>
      <c r="O27" s="18"/>
      <c r="P27" s="18"/>
      <c r="Q27" s="18"/>
      <c r="R27" s="16"/>
      <c r="S27" s="16"/>
      <c r="T27" s="16"/>
      <c r="U27" s="16"/>
      <c r="V27" s="16"/>
      <c r="W27" s="16"/>
      <c r="X27" s="16"/>
      <c r="Y27" s="16"/>
    </row>
    <row r="28" spans="1:25" s="169" customFormat="1" ht="15" customHeight="1" x14ac:dyDescent="0.2">
      <c r="A28" s="166" t="s">
        <v>0</v>
      </c>
      <c r="B28" s="167" t="s">
        <v>324</v>
      </c>
      <c r="C28" s="167"/>
      <c r="D28" s="167"/>
      <c r="E28" s="167"/>
      <c r="F28" s="167"/>
      <c r="G28" s="167"/>
      <c r="H28" s="167"/>
      <c r="I28" s="167"/>
      <c r="J28" s="167"/>
      <c r="K28" s="167"/>
      <c r="L28" s="167"/>
      <c r="M28" s="178"/>
      <c r="N28" s="178"/>
      <c r="O28" s="178"/>
      <c r="P28" s="178"/>
      <c r="Q28" s="178"/>
      <c r="R28" s="166"/>
      <c r="S28" s="166"/>
      <c r="T28" s="166"/>
      <c r="U28" s="166"/>
      <c r="V28" s="166"/>
      <c r="W28" s="166"/>
      <c r="X28" s="166"/>
      <c r="Y28" s="166"/>
    </row>
    <row r="29" spans="1:25" s="169" customFormat="1" ht="15" customHeight="1" x14ac:dyDescent="0.2">
      <c r="A29" s="166" t="s">
        <v>0</v>
      </c>
      <c r="B29" s="167" t="s">
        <v>325</v>
      </c>
      <c r="C29" s="167"/>
      <c r="D29" s="167"/>
      <c r="E29" s="167"/>
      <c r="F29" s="167"/>
      <c r="G29" s="167"/>
      <c r="H29" s="167"/>
      <c r="I29" s="167"/>
      <c r="J29" s="167"/>
      <c r="K29" s="167"/>
      <c r="L29" s="167"/>
      <c r="M29" s="178"/>
      <c r="N29" s="178"/>
      <c r="O29" s="178"/>
      <c r="P29" s="178"/>
      <c r="Q29" s="178"/>
      <c r="R29" s="178"/>
      <c r="S29" s="166"/>
      <c r="T29" s="166"/>
      <c r="U29" s="166"/>
      <c r="V29" s="166"/>
      <c r="W29" s="166"/>
      <c r="X29" s="166"/>
      <c r="Y29" s="166"/>
    </row>
    <row r="30" spans="1:25" s="169" customFormat="1" ht="15" customHeight="1" x14ac:dyDescent="0.2">
      <c r="A30" s="166" t="s">
        <v>0</v>
      </c>
      <c r="B30" s="175" t="s">
        <v>326</v>
      </c>
      <c r="C30" s="175"/>
      <c r="D30" s="175"/>
      <c r="E30" s="175"/>
      <c r="F30" s="175"/>
      <c r="G30" s="175"/>
      <c r="H30" s="175"/>
      <c r="I30" s="175"/>
      <c r="J30" s="175"/>
      <c r="K30" s="175"/>
      <c r="L30" s="175"/>
      <c r="M30" s="178"/>
      <c r="N30" s="178"/>
      <c r="O30" s="178"/>
      <c r="P30" s="178"/>
      <c r="Q30" s="178"/>
      <c r="R30" s="178"/>
      <c r="S30" s="166"/>
      <c r="T30" s="166"/>
      <c r="U30" s="166"/>
      <c r="V30" s="166"/>
      <c r="W30" s="166"/>
      <c r="X30" s="166"/>
      <c r="Y30" s="166"/>
    </row>
    <row r="31" spans="1:25" s="169" customFormat="1" ht="15" customHeight="1" x14ac:dyDescent="0.2">
      <c r="A31" s="166" t="s">
        <v>0</v>
      </c>
      <c r="B31" s="172" t="s">
        <v>327</v>
      </c>
      <c r="C31" s="167"/>
      <c r="D31" s="167"/>
      <c r="E31" s="167"/>
      <c r="F31" s="167"/>
      <c r="G31" s="167"/>
      <c r="H31" s="167"/>
      <c r="I31" s="167"/>
      <c r="J31" s="167"/>
      <c r="K31" s="167"/>
      <c r="L31" s="167"/>
      <c r="M31" s="166"/>
      <c r="N31" s="166"/>
      <c r="O31" s="166"/>
      <c r="P31" s="166"/>
      <c r="Q31" s="166"/>
      <c r="R31" s="178"/>
      <c r="S31" s="166"/>
      <c r="T31" s="166"/>
      <c r="U31" s="166"/>
      <c r="V31" s="166"/>
      <c r="W31" s="166"/>
      <c r="X31" s="166"/>
      <c r="Y31" s="166"/>
    </row>
    <row r="32" spans="1:25" s="169" customFormat="1" ht="15" customHeight="1" x14ac:dyDescent="0.2">
      <c r="A32" s="166" t="s">
        <v>0</v>
      </c>
      <c r="B32" s="167" t="s">
        <v>333</v>
      </c>
      <c r="C32" s="167"/>
      <c r="D32" s="167"/>
      <c r="E32" s="167"/>
      <c r="F32" s="167"/>
      <c r="G32" s="167"/>
      <c r="H32" s="167"/>
      <c r="I32" s="167"/>
      <c r="J32" s="167"/>
      <c r="K32" s="167"/>
      <c r="L32" s="167"/>
      <c r="M32" s="178"/>
      <c r="N32" s="181"/>
      <c r="O32" s="181"/>
      <c r="P32" s="181"/>
      <c r="Q32" s="181"/>
      <c r="R32" s="178"/>
      <c r="S32" s="166"/>
      <c r="T32" s="166"/>
      <c r="U32" s="166"/>
      <c r="V32" s="166"/>
      <c r="W32" s="166"/>
      <c r="X32" s="166"/>
      <c r="Y32" s="166"/>
    </row>
    <row r="33" spans="1:25" s="169" customFormat="1" ht="15" customHeight="1" x14ac:dyDescent="0.2">
      <c r="A33" s="166" t="s">
        <v>0</v>
      </c>
      <c r="B33" s="167" t="s">
        <v>334</v>
      </c>
      <c r="C33" s="167"/>
      <c r="D33" s="167"/>
      <c r="E33" s="167"/>
      <c r="F33" s="167"/>
      <c r="G33" s="167"/>
      <c r="H33" s="167"/>
      <c r="I33" s="167"/>
      <c r="J33" s="167"/>
      <c r="K33" s="167"/>
      <c r="L33" s="167"/>
      <c r="M33" s="178"/>
      <c r="N33" s="181"/>
      <c r="O33" s="181"/>
      <c r="P33" s="181"/>
      <c r="Q33" s="181"/>
      <c r="R33" s="178"/>
      <c r="S33" s="166"/>
      <c r="T33" s="166"/>
      <c r="U33" s="166"/>
      <c r="V33" s="166"/>
      <c r="W33" s="166"/>
      <c r="X33" s="166"/>
      <c r="Y33" s="166"/>
    </row>
    <row r="34" spans="1:25" s="169" customFormat="1" ht="15" customHeight="1" x14ac:dyDescent="0.2">
      <c r="A34" s="166" t="s">
        <v>0</v>
      </c>
      <c r="B34" s="167" t="s">
        <v>335</v>
      </c>
      <c r="C34" s="167"/>
      <c r="D34" s="167"/>
      <c r="E34" s="167"/>
      <c r="F34" s="167"/>
      <c r="G34" s="167"/>
      <c r="H34" s="167"/>
      <c r="I34" s="167"/>
      <c r="J34" s="167"/>
      <c r="K34" s="167"/>
      <c r="L34" s="167"/>
      <c r="M34" s="178"/>
      <c r="N34" s="181"/>
      <c r="O34" s="181"/>
      <c r="P34" s="181"/>
      <c r="Q34" s="181"/>
      <c r="R34" s="178"/>
      <c r="S34" s="166"/>
      <c r="T34" s="166"/>
      <c r="U34" s="166"/>
      <c r="V34" s="166"/>
      <c r="W34" s="166"/>
      <c r="X34" s="166"/>
      <c r="Y34" s="166"/>
    </row>
    <row r="35" spans="1:25" s="169" customFormat="1" ht="15" customHeight="1" x14ac:dyDescent="0.2">
      <c r="A35" s="166" t="s">
        <v>0</v>
      </c>
      <c r="B35" s="167" t="s">
        <v>336</v>
      </c>
      <c r="C35" s="167"/>
      <c r="D35" s="167"/>
      <c r="E35" s="167"/>
      <c r="F35" s="167"/>
      <c r="G35" s="167"/>
      <c r="H35" s="167"/>
      <c r="I35" s="167"/>
      <c r="J35" s="167"/>
      <c r="K35" s="167"/>
      <c r="L35" s="167"/>
      <c r="M35" s="178"/>
      <c r="N35" s="181"/>
      <c r="O35" s="181"/>
      <c r="P35" s="181"/>
      <c r="Q35" s="181"/>
      <c r="R35" s="178"/>
      <c r="S35" s="166"/>
      <c r="T35" s="166"/>
      <c r="U35" s="166"/>
      <c r="V35" s="166"/>
      <c r="W35" s="166"/>
      <c r="X35" s="166"/>
      <c r="Y35" s="166"/>
    </row>
    <row r="36" spans="1:25" s="177" customFormat="1" ht="15" customHeight="1" x14ac:dyDescent="0.2">
      <c r="A36" s="167" t="s">
        <v>0</v>
      </c>
      <c r="B36" s="182" t="s">
        <v>337</v>
      </c>
      <c r="C36" s="182"/>
      <c r="D36" s="182"/>
      <c r="E36" s="182"/>
      <c r="F36" s="182"/>
      <c r="G36" s="182"/>
      <c r="H36" s="182"/>
      <c r="I36" s="182"/>
      <c r="J36" s="182"/>
      <c r="K36" s="182"/>
      <c r="L36" s="182"/>
      <c r="M36" s="182"/>
      <c r="N36" s="182"/>
      <c r="O36" s="182"/>
      <c r="P36" s="182"/>
      <c r="Q36" s="182"/>
      <c r="R36" s="175"/>
      <c r="S36" s="167"/>
      <c r="T36" s="167"/>
      <c r="U36" s="167"/>
      <c r="V36" s="167"/>
      <c r="W36" s="167"/>
      <c r="X36" s="167"/>
      <c r="Y36" s="167"/>
    </row>
    <row r="37" spans="1:25" s="177" customFormat="1" ht="15" customHeight="1" x14ac:dyDescent="0.2">
      <c r="A37" s="167" t="s">
        <v>0</v>
      </c>
      <c r="B37" s="182" t="s">
        <v>338</v>
      </c>
      <c r="C37" s="182"/>
      <c r="D37" s="182"/>
      <c r="E37" s="182"/>
      <c r="F37" s="182"/>
      <c r="G37" s="182"/>
      <c r="H37" s="182"/>
      <c r="I37" s="182"/>
      <c r="J37" s="182"/>
      <c r="K37" s="182"/>
      <c r="L37" s="182"/>
      <c r="M37" s="182"/>
      <c r="N37" s="183"/>
      <c r="O37" s="183"/>
      <c r="P37" s="183"/>
      <c r="Q37" s="183"/>
      <c r="R37" s="175"/>
      <c r="S37" s="167"/>
      <c r="T37" s="167"/>
      <c r="U37" s="167"/>
      <c r="V37" s="167"/>
      <c r="W37" s="167"/>
      <c r="X37" s="167"/>
      <c r="Y37" s="167"/>
    </row>
    <row r="38" spans="1:25" s="169" customFormat="1" ht="15" customHeight="1" x14ac:dyDescent="0.2">
      <c r="A38" s="166" t="s">
        <v>0</v>
      </c>
      <c r="B38" s="167" t="s">
        <v>339</v>
      </c>
      <c r="C38" s="167"/>
      <c r="D38" s="167"/>
      <c r="E38" s="167"/>
      <c r="F38" s="167"/>
      <c r="G38" s="167"/>
      <c r="H38" s="167"/>
      <c r="I38" s="167"/>
      <c r="J38" s="167"/>
      <c r="K38" s="167"/>
      <c r="L38" s="167"/>
      <c r="M38" s="178"/>
      <c r="N38" s="181"/>
      <c r="O38" s="181"/>
      <c r="P38" s="181"/>
      <c r="Q38" s="181"/>
      <c r="R38" s="178"/>
      <c r="S38" s="166"/>
      <c r="T38" s="166"/>
      <c r="U38" s="166"/>
      <c r="V38" s="166"/>
      <c r="W38" s="166"/>
      <c r="X38" s="166"/>
      <c r="Y38" s="166"/>
    </row>
    <row r="39" spans="1:25" s="169" customFormat="1" ht="15" customHeight="1" x14ac:dyDescent="0.2">
      <c r="A39" s="166" t="s">
        <v>0</v>
      </c>
      <c r="B39" s="167" t="s">
        <v>340</v>
      </c>
      <c r="C39" s="167"/>
      <c r="D39" s="167"/>
      <c r="E39" s="167"/>
      <c r="F39" s="167"/>
      <c r="G39" s="167"/>
      <c r="H39" s="167"/>
      <c r="I39" s="167"/>
      <c r="J39" s="167"/>
      <c r="K39" s="167"/>
      <c r="L39" s="167"/>
      <c r="M39" s="178"/>
      <c r="N39" s="181"/>
      <c r="O39" s="181"/>
      <c r="P39" s="181"/>
      <c r="Q39" s="181"/>
      <c r="R39" s="178"/>
      <c r="S39" s="166"/>
      <c r="T39" s="166"/>
      <c r="U39" s="166"/>
      <c r="V39" s="166"/>
      <c r="W39" s="166"/>
      <c r="X39" s="166"/>
      <c r="Y39" s="166"/>
    </row>
    <row r="40" spans="1:25" s="169" customFormat="1" ht="15" customHeight="1" x14ac:dyDescent="0.2">
      <c r="A40" s="166" t="s">
        <v>0</v>
      </c>
      <c r="B40" s="167" t="s">
        <v>341</v>
      </c>
      <c r="C40" s="167"/>
      <c r="D40" s="167"/>
      <c r="E40" s="167"/>
      <c r="F40" s="167"/>
      <c r="G40" s="167"/>
      <c r="H40" s="167"/>
      <c r="I40" s="167"/>
      <c r="J40" s="167"/>
      <c r="K40" s="167"/>
      <c r="L40" s="167"/>
      <c r="M40" s="178"/>
      <c r="N40" s="181"/>
      <c r="O40" s="181"/>
      <c r="P40" s="181"/>
      <c r="Q40" s="181"/>
      <c r="R40" s="178"/>
      <c r="S40" s="166"/>
      <c r="T40" s="166"/>
      <c r="U40" s="166"/>
      <c r="V40" s="166"/>
      <c r="W40" s="166"/>
      <c r="X40" s="166"/>
      <c r="Y40" s="166"/>
    </row>
    <row r="41" spans="1:25" s="169" customFormat="1" ht="15" customHeight="1" x14ac:dyDescent="0.2">
      <c r="A41" s="166" t="s">
        <v>0</v>
      </c>
      <c r="B41" s="167" t="s">
        <v>342</v>
      </c>
      <c r="C41" s="167"/>
      <c r="D41" s="167"/>
      <c r="E41" s="167"/>
      <c r="F41" s="167"/>
      <c r="G41" s="167"/>
      <c r="H41" s="167"/>
      <c r="I41" s="167"/>
      <c r="J41" s="167"/>
      <c r="K41" s="167"/>
      <c r="L41" s="167"/>
      <c r="M41" s="178"/>
      <c r="N41" s="181"/>
      <c r="O41" s="181"/>
      <c r="P41" s="181"/>
      <c r="Q41" s="181"/>
      <c r="R41" s="178"/>
      <c r="S41" s="166"/>
      <c r="T41" s="166"/>
      <c r="U41" s="166"/>
      <c r="V41" s="166"/>
      <c r="W41" s="166"/>
      <c r="X41" s="166"/>
      <c r="Y41" s="166"/>
    </row>
    <row r="42" spans="1:25" s="169" customFormat="1" ht="15" customHeight="1" x14ac:dyDescent="0.2">
      <c r="A42" s="166" t="s">
        <v>0</v>
      </c>
      <c r="B42" s="167" t="s">
        <v>343</v>
      </c>
      <c r="C42" s="167"/>
      <c r="D42" s="167"/>
      <c r="E42" s="167"/>
      <c r="F42" s="167"/>
      <c r="G42" s="167"/>
      <c r="H42" s="167"/>
      <c r="I42" s="167"/>
      <c r="J42" s="167"/>
      <c r="K42" s="167"/>
      <c r="L42" s="167"/>
      <c r="M42" s="178"/>
      <c r="N42" s="181"/>
      <c r="O42" s="181"/>
      <c r="P42" s="181"/>
      <c r="Q42" s="181"/>
      <c r="R42" s="178"/>
      <c r="S42" s="166"/>
      <c r="T42" s="166"/>
      <c r="U42" s="166"/>
      <c r="V42" s="166"/>
      <c r="W42" s="166"/>
      <c r="X42" s="166"/>
      <c r="Y42" s="166"/>
    </row>
    <row r="43" spans="1:25" s="169" customFormat="1" ht="15" customHeight="1" x14ac:dyDescent="0.2">
      <c r="A43" s="166" t="s">
        <v>0</v>
      </c>
      <c r="B43" s="167" t="s">
        <v>344</v>
      </c>
      <c r="C43" s="167"/>
      <c r="D43" s="167"/>
      <c r="E43" s="167"/>
      <c r="F43" s="167"/>
      <c r="G43" s="167"/>
      <c r="H43" s="167"/>
      <c r="I43" s="167"/>
      <c r="J43" s="167"/>
      <c r="K43" s="167"/>
      <c r="L43" s="167"/>
      <c r="M43" s="178"/>
      <c r="N43" s="166"/>
      <c r="O43" s="166"/>
      <c r="P43" s="166"/>
      <c r="Q43" s="166"/>
      <c r="R43" s="178"/>
      <c r="S43" s="166"/>
      <c r="T43" s="166"/>
      <c r="U43" s="166"/>
      <c r="V43" s="166"/>
      <c r="W43" s="166"/>
      <c r="X43" s="166"/>
      <c r="Y43" s="166"/>
    </row>
    <row r="44" spans="1:25" s="169" customFormat="1" ht="15" customHeight="1" x14ac:dyDescent="0.2">
      <c r="A44" s="166"/>
      <c r="B44" s="167" t="s">
        <v>328</v>
      </c>
      <c r="C44" s="167"/>
      <c r="D44" s="167"/>
      <c r="E44" s="167"/>
      <c r="F44" s="167"/>
      <c r="G44" s="167"/>
      <c r="H44" s="167"/>
      <c r="I44" s="167"/>
      <c r="J44" s="167"/>
      <c r="K44" s="167"/>
      <c r="L44" s="167"/>
      <c r="M44" s="178"/>
      <c r="N44" s="166"/>
      <c r="O44" s="166"/>
      <c r="P44" s="166"/>
      <c r="Q44" s="166"/>
      <c r="R44" s="178"/>
      <c r="S44" s="178"/>
      <c r="T44" s="178"/>
      <c r="U44" s="166"/>
      <c r="V44" s="166"/>
      <c r="W44" s="166"/>
      <c r="X44" s="166"/>
      <c r="Y44" s="166"/>
    </row>
    <row r="45" spans="1:25" s="169" customFormat="1" ht="15" customHeight="1" x14ac:dyDescent="0.2">
      <c r="A45" s="166" t="s">
        <v>0</v>
      </c>
      <c r="B45" s="167" t="s">
        <v>329</v>
      </c>
      <c r="C45" s="167"/>
      <c r="D45" s="167"/>
      <c r="E45" s="167"/>
      <c r="F45" s="167"/>
      <c r="G45" s="167"/>
      <c r="H45" s="167"/>
      <c r="I45" s="167"/>
      <c r="J45" s="167"/>
      <c r="K45" s="167"/>
      <c r="L45" s="167"/>
      <c r="M45" s="178"/>
      <c r="N45" s="166"/>
      <c r="O45" s="166"/>
      <c r="P45" s="166"/>
      <c r="Q45" s="166"/>
      <c r="R45" s="178"/>
      <c r="S45" s="178"/>
      <c r="T45" s="178"/>
      <c r="U45" s="166"/>
      <c r="V45" s="166"/>
      <c r="W45" s="166"/>
      <c r="X45" s="166"/>
      <c r="Y45" s="166"/>
    </row>
    <row r="46" spans="1:25" ht="15" customHeight="1" x14ac:dyDescent="0.2">
      <c r="A46" s="16"/>
      <c r="B46" s="159"/>
      <c r="C46" s="159"/>
      <c r="D46" s="159"/>
      <c r="E46" s="159"/>
      <c r="F46" s="159"/>
      <c r="G46" s="159"/>
      <c r="H46" s="159"/>
      <c r="I46" s="159"/>
      <c r="J46" s="159"/>
      <c r="K46" s="159"/>
      <c r="L46" s="159"/>
      <c r="M46" s="16"/>
      <c r="N46" s="16"/>
      <c r="O46" s="16"/>
      <c r="P46" s="16"/>
      <c r="Q46" s="16"/>
      <c r="R46" s="20"/>
      <c r="S46" s="20"/>
      <c r="T46" s="20"/>
      <c r="U46" s="16"/>
      <c r="V46" s="16"/>
      <c r="W46" s="16"/>
      <c r="X46" s="16"/>
      <c r="Y46" s="16"/>
    </row>
    <row r="47" spans="1:25" ht="15" customHeight="1" x14ac:dyDescent="0.2">
      <c r="A47" s="18"/>
      <c r="B47" s="173"/>
      <c r="C47" s="164"/>
      <c r="D47" s="164"/>
      <c r="E47" s="164"/>
      <c r="F47" s="164"/>
      <c r="G47" s="164"/>
      <c r="H47" s="164"/>
      <c r="I47" s="164"/>
      <c r="J47" s="164"/>
      <c r="K47" s="164"/>
      <c r="L47" s="164"/>
      <c r="M47" s="21"/>
      <c r="N47" s="21"/>
      <c r="O47" s="20"/>
      <c r="P47" s="20"/>
      <c r="Q47" s="20"/>
      <c r="R47" s="20"/>
      <c r="S47" s="20"/>
      <c r="T47" s="20"/>
      <c r="U47" s="16"/>
      <c r="V47" s="16"/>
      <c r="W47" s="16"/>
      <c r="X47" s="16"/>
      <c r="Y47" s="16"/>
    </row>
    <row r="48" spans="1:25" ht="15" customHeight="1" x14ac:dyDescent="0.25">
      <c r="A48" s="18"/>
      <c r="B48" s="162" t="s">
        <v>122</v>
      </c>
      <c r="C48" s="164"/>
      <c r="D48" s="164"/>
      <c r="E48" s="164"/>
      <c r="F48" s="164"/>
      <c r="G48" s="164"/>
      <c r="H48" s="164"/>
      <c r="I48" s="164"/>
      <c r="J48" s="164"/>
      <c r="K48" s="164"/>
      <c r="L48" s="164"/>
      <c r="M48" s="20"/>
      <c r="N48" s="20"/>
      <c r="O48" s="20"/>
      <c r="P48" s="20"/>
      <c r="Q48" s="20"/>
      <c r="R48" s="20"/>
      <c r="S48" s="16"/>
      <c r="T48" s="16"/>
      <c r="U48" s="16"/>
      <c r="V48" s="16"/>
      <c r="W48" s="16"/>
      <c r="X48" s="16"/>
      <c r="Y48" s="16"/>
    </row>
    <row r="49" spans="1:25" s="169" customFormat="1" ht="15" customHeight="1" x14ac:dyDescent="0.2">
      <c r="A49" s="166" t="s">
        <v>0</v>
      </c>
      <c r="B49" s="167" t="s">
        <v>287</v>
      </c>
      <c r="C49" s="167"/>
      <c r="D49" s="167"/>
      <c r="E49" s="167"/>
      <c r="F49" s="167"/>
      <c r="G49" s="167"/>
      <c r="H49" s="167"/>
      <c r="I49" s="167"/>
      <c r="J49" s="167"/>
      <c r="K49" s="167"/>
      <c r="L49" s="167"/>
      <c r="M49" s="168"/>
      <c r="N49" s="168"/>
      <c r="O49" s="168"/>
      <c r="P49" s="168"/>
      <c r="Q49" s="168"/>
      <c r="R49" s="168"/>
      <c r="S49" s="166"/>
      <c r="T49" s="166"/>
      <c r="U49" s="166"/>
      <c r="V49" s="166"/>
      <c r="W49" s="166"/>
      <c r="X49" s="166"/>
      <c r="Y49" s="166"/>
    </row>
    <row r="50" spans="1:25" s="169" customFormat="1" ht="15" customHeight="1" x14ac:dyDescent="0.2">
      <c r="A50" s="166" t="s">
        <v>0</v>
      </c>
      <c r="B50" s="167" t="s">
        <v>288</v>
      </c>
      <c r="C50" s="167"/>
      <c r="D50" s="167"/>
      <c r="E50" s="167"/>
      <c r="F50" s="167"/>
      <c r="G50" s="167"/>
      <c r="H50" s="167"/>
      <c r="I50" s="167"/>
      <c r="J50" s="167"/>
      <c r="K50" s="167"/>
      <c r="L50" s="167"/>
      <c r="M50" s="168"/>
      <c r="N50" s="168"/>
      <c r="O50" s="168"/>
      <c r="P50" s="168"/>
      <c r="Q50" s="168"/>
      <c r="R50" s="168"/>
      <c r="S50" s="166"/>
      <c r="T50" s="166"/>
      <c r="U50" s="166"/>
      <c r="V50" s="166"/>
      <c r="W50" s="166"/>
      <c r="X50" s="166"/>
      <c r="Y50" s="166"/>
    </row>
    <row r="51" spans="1:25" s="169" customFormat="1" ht="15" customHeight="1" x14ac:dyDescent="0.2">
      <c r="A51" s="166"/>
      <c r="B51" s="167" t="s">
        <v>289</v>
      </c>
      <c r="C51" s="167"/>
      <c r="D51" s="167"/>
      <c r="E51" s="167"/>
      <c r="F51" s="167"/>
      <c r="G51" s="167"/>
      <c r="H51" s="167"/>
      <c r="I51" s="167"/>
      <c r="J51" s="167"/>
      <c r="K51" s="167"/>
      <c r="L51" s="167"/>
      <c r="M51" s="166"/>
      <c r="N51" s="166"/>
      <c r="O51" s="166"/>
      <c r="P51" s="166"/>
      <c r="Q51" s="166"/>
      <c r="R51" s="166"/>
      <c r="S51" s="166"/>
      <c r="T51" s="166"/>
      <c r="U51" s="166"/>
      <c r="V51" s="166"/>
      <c r="W51" s="166"/>
      <c r="X51" s="166"/>
      <c r="Y51" s="166"/>
    </row>
    <row r="52" spans="1:25" ht="15" customHeight="1" x14ac:dyDescent="0.2">
      <c r="A52" s="16"/>
      <c r="B52" s="173"/>
      <c r="C52" s="165"/>
      <c r="D52" s="165"/>
      <c r="E52" s="165"/>
      <c r="F52" s="165"/>
      <c r="G52" s="165"/>
      <c r="H52" s="165"/>
      <c r="I52" s="165"/>
      <c r="J52" s="165"/>
      <c r="K52" s="165"/>
      <c r="L52" s="159"/>
      <c r="M52" s="16"/>
      <c r="N52" s="16"/>
      <c r="O52" s="16"/>
      <c r="P52" s="16"/>
      <c r="Q52" s="16"/>
      <c r="R52" s="16"/>
      <c r="S52" s="16"/>
      <c r="T52" s="16"/>
      <c r="U52" s="16"/>
      <c r="V52" s="16"/>
      <c r="W52" s="16"/>
      <c r="X52" s="16"/>
      <c r="Y52" s="16"/>
    </row>
    <row r="53" spans="1:25" ht="15" customHeight="1" x14ac:dyDescent="0.25">
      <c r="A53" s="16"/>
      <c r="B53" s="162" t="s">
        <v>123</v>
      </c>
      <c r="C53" s="165"/>
      <c r="D53" s="165"/>
      <c r="E53" s="165"/>
      <c r="F53" s="165"/>
      <c r="G53" s="165"/>
      <c r="H53" s="165"/>
      <c r="I53" s="165"/>
      <c r="J53" s="165"/>
      <c r="K53" s="165"/>
      <c r="L53" s="159"/>
      <c r="M53" s="16"/>
      <c r="N53" s="16"/>
      <c r="O53" s="16"/>
      <c r="P53" s="16"/>
      <c r="Q53" s="16"/>
      <c r="R53" s="16"/>
      <c r="S53" s="16"/>
      <c r="T53" s="16"/>
      <c r="U53" s="16"/>
      <c r="V53" s="16"/>
      <c r="W53" s="16"/>
      <c r="X53" s="16"/>
      <c r="Y53" s="16"/>
    </row>
    <row r="54" spans="1:25" s="169" customFormat="1" ht="15" customHeight="1" x14ac:dyDescent="0.25">
      <c r="A54" s="166"/>
      <c r="B54" s="172" t="s">
        <v>290</v>
      </c>
      <c r="C54" s="170"/>
      <c r="D54" s="170"/>
      <c r="E54" s="170"/>
      <c r="F54" s="170"/>
      <c r="G54" s="170"/>
      <c r="H54" s="170"/>
      <c r="I54" s="170"/>
      <c r="J54" s="170"/>
      <c r="K54" s="170"/>
      <c r="L54" s="179"/>
      <c r="M54" s="168"/>
      <c r="N54" s="168"/>
      <c r="O54" s="168"/>
      <c r="P54" s="168"/>
      <c r="Q54" s="168"/>
      <c r="R54" s="168"/>
      <c r="S54" s="168"/>
      <c r="T54" s="166"/>
      <c r="U54" s="166"/>
      <c r="V54" s="166"/>
      <c r="W54" s="166"/>
      <c r="X54" s="166"/>
      <c r="Y54" s="166"/>
    </row>
    <row r="55" spans="1:25" s="169" customFormat="1" ht="15" customHeight="1" x14ac:dyDescent="0.2">
      <c r="A55" s="166"/>
      <c r="B55" s="172" t="s">
        <v>291</v>
      </c>
      <c r="C55" s="167"/>
      <c r="D55" s="167"/>
      <c r="E55" s="167"/>
      <c r="F55" s="167"/>
      <c r="G55" s="167"/>
      <c r="H55" s="167"/>
      <c r="I55" s="167"/>
      <c r="J55" s="167"/>
      <c r="K55" s="167"/>
      <c r="L55" s="167"/>
      <c r="M55" s="166"/>
      <c r="N55" s="166"/>
      <c r="O55" s="166"/>
      <c r="P55" s="166"/>
      <c r="Q55" s="166"/>
      <c r="R55" s="166"/>
      <c r="S55" s="166"/>
      <c r="T55" s="166"/>
      <c r="U55" s="166"/>
      <c r="V55" s="166"/>
      <c r="W55" s="166"/>
      <c r="X55" s="166"/>
      <c r="Y55" s="166"/>
    </row>
    <row r="56" spans="1:25" s="169" customFormat="1" ht="15" customHeight="1" x14ac:dyDescent="0.2">
      <c r="A56" s="166"/>
      <c r="B56" s="167" t="s">
        <v>292</v>
      </c>
      <c r="C56" s="167"/>
      <c r="D56" s="167"/>
      <c r="E56" s="167"/>
      <c r="F56" s="167"/>
      <c r="G56" s="167"/>
      <c r="H56" s="167"/>
      <c r="I56" s="167"/>
      <c r="J56" s="167"/>
      <c r="K56" s="167"/>
      <c r="L56" s="167"/>
      <c r="M56" s="168"/>
      <c r="N56" s="168"/>
      <c r="O56" s="168"/>
      <c r="P56" s="168"/>
      <c r="Q56" s="168"/>
      <c r="R56" s="168"/>
      <c r="S56" s="168"/>
      <c r="T56" s="166"/>
      <c r="U56" s="166"/>
      <c r="V56" s="166"/>
      <c r="W56" s="166"/>
      <c r="X56" s="166"/>
      <c r="Y56" s="166"/>
    </row>
    <row r="57" spans="1:25" s="169" customFormat="1" ht="15" customHeight="1" x14ac:dyDescent="0.2">
      <c r="A57" s="166"/>
      <c r="B57" s="167" t="s">
        <v>293</v>
      </c>
      <c r="C57" s="167"/>
      <c r="D57" s="167"/>
      <c r="E57" s="167"/>
      <c r="F57" s="167"/>
      <c r="G57" s="167"/>
      <c r="H57" s="167"/>
      <c r="I57" s="167"/>
      <c r="J57" s="167"/>
      <c r="K57" s="167"/>
      <c r="L57" s="167"/>
      <c r="M57" s="166"/>
      <c r="N57" s="166"/>
      <c r="O57" s="166"/>
      <c r="P57" s="168"/>
      <c r="Q57" s="168"/>
      <c r="R57" s="168"/>
      <c r="S57" s="168"/>
      <c r="T57" s="166"/>
      <c r="U57" s="166"/>
      <c r="V57" s="166"/>
      <c r="W57" s="166"/>
      <c r="X57" s="166"/>
      <c r="Y57" s="166"/>
    </row>
    <row r="58" spans="1:25" s="169" customFormat="1" ht="15" customHeight="1" x14ac:dyDescent="0.2">
      <c r="A58" s="166"/>
      <c r="B58" s="167" t="s">
        <v>294</v>
      </c>
      <c r="C58" s="167"/>
      <c r="D58" s="167"/>
      <c r="E58" s="167"/>
      <c r="F58" s="167"/>
      <c r="G58" s="167"/>
      <c r="H58" s="167"/>
      <c r="I58" s="167"/>
      <c r="J58" s="167"/>
      <c r="K58" s="167"/>
      <c r="L58" s="167"/>
      <c r="M58" s="166"/>
      <c r="N58" s="166"/>
      <c r="O58" s="166"/>
      <c r="P58" s="168"/>
      <c r="Q58" s="168"/>
      <c r="R58" s="168"/>
      <c r="S58" s="168"/>
      <c r="T58" s="166"/>
      <c r="U58" s="166"/>
      <c r="V58" s="166"/>
      <c r="W58" s="166"/>
      <c r="X58" s="166"/>
      <c r="Y58" s="166"/>
    </row>
    <row r="59" spans="1:25" s="169" customFormat="1" ht="15" customHeight="1" x14ac:dyDescent="0.2">
      <c r="A59" s="166"/>
      <c r="B59" s="167" t="s">
        <v>295</v>
      </c>
      <c r="C59" s="167"/>
      <c r="D59" s="167"/>
      <c r="E59" s="167"/>
      <c r="F59" s="167"/>
      <c r="G59" s="167"/>
      <c r="H59" s="167"/>
      <c r="I59" s="167"/>
      <c r="J59" s="167"/>
      <c r="K59" s="167"/>
      <c r="L59" s="167"/>
      <c r="M59" s="166"/>
      <c r="N59" s="166"/>
      <c r="O59" s="166"/>
      <c r="P59" s="168"/>
      <c r="Q59" s="168"/>
      <c r="R59" s="168"/>
      <c r="S59" s="168"/>
      <c r="T59" s="166"/>
      <c r="U59" s="166"/>
      <c r="V59" s="166"/>
      <c r="W59" s="166"/>
      <c r="X59" s="166"/>
      <c r="Y59" s="166"/>
    </row>
    <row r="60" spans="1:25" ht="15" customHeight="1" x14ac:dyDescent="0.2">
      <c r="A60" s="16"/>
      <c r="B60" s="173"/>
      <c r="C60" s="164"/>
      <c r="D60" s="164"/>
      <c r="E60" s="164"/>
      <c r="F60" s="164"/>
      <c r="G60" s="164"/>
      <c r="H60" s="164"/>
      <c r="I60" s="164"/>
      <c r="J60" s="164"/>
      <c r="K60" s="164"/>
      <c r="L60" s="159"/>
      <c r="M60" s="16"/>
      <c r="N60" s="16"/>
      <c r="O60" s="16"/>
      <c r="P60" s="16"/>
      <c r="Q60" s="16"/>
      <c r="R60" s="16"/>
      <c r="S60" s="16"/>
      <c r="T60" s="16"/>
      <c r="U60" s="16"/>
      <c r="V60" s="16"/>
      <c r="W60" s="16"/>
      <c r="X60" s="16"/>
      <c r="Y60" s="16"/>
    </row>
    <row r="61" spans="1:25" ht="15" customHeight="1" x14ac:dyDescent="0.25">
      <c r="A61" s="16"/>
      <c r="B61" s="162" t="s">
        <v>124</v>
      </c>
      <c r="C61" s="164"/>
      <c r="D61" s="164"/>
      <c r="E61" s="164"/>
      <c r="F61" s="164"/>
      <c r="G61" s="164"/>
      <c r="H61" s="164"/>
      <c r="I61" s="164"/>
      <c r="J61" s="164"/>
      <c r="K61" s="164"/>
      <c r="L61" s="159"/>
      <c r="M61" s="16"/>
      <c r="N61" s="16"/>
      <c r="O61" s="16"/>
      <c r="P61" s="16"/>
      <c r="Q61" s="16"/>
      <c r="R61" s="16"/>
      <c r="S61" s="16"/>
      <c r="T61" s="16"/>
      <c r="U61" s="16"/>
      <c r="V61" s="16"/>
      <c r="W61" s="16"/>
      <c r="X61" s="16"/>
      <c r="Y61" s="16"/>
    </row>
    <row r="62" spans="1:25" s="177" customFormat="1" ht="15" customHeight="1" x14ac:dyDescent="0.2">
      <c r="A62" s="167"/>
      <c r="B62" s="167" t="s">
        <v>296</v>
      </c>
      <c r="C62" s="167"/>
      <c r="D62" s="167"/>
      <c r="E62" s="167"/>
      <c r="F62" s="167"/>
      <c r="G62" s="167"/>
      <c r="H62" s="167"/>
      <c r="I62" s="167"/>
      <c r="J62" s="167"/>
      <c r="K62" s="167"/>
      <c r="L62" s="167"/>
      <c r="M62" s="167"/>
      <c r="N62" s="176"/>
      <c r="O62" s="176"/>
      <c r="P62" s="176"/>
      <c r="Q62" s="176"/>
      <c r="R62" s="176"/>
      <c r="S62" s="176"/>
      <c r="T62" s="176"/>
      <c r="U62" s="167"/>
      <c r="V62" s="167"/>
      <c r="W62" s="167"/>
      <c r="X62" s="167"/>
      <c r="Y62" s="167"/>
    </row>
    <row r="63" spans="1:25" s="177" customFormat="1" ht="15" customHeight="1" x14ac:dyDescent="0.2">
      <c r="A63" s="167"/>
      <c r="B63" s="167" t="s">
        <v>297</v>
      </c>
      <c r="C63" s="167"/>
      <c r="D63" s="167"/>
      <c r="E63" s="167"/>
      <c r="F63" s="167"/>
      <c r="G63" s="167"/>
      <c r="H63" s="167"/>
      <c r="I63" s="167"/>
      <c r="J63" s="167"/>
      <c r="K63" s="167"/>
      <c r="L63" s="167"/>
      <c r="M63" s="167"/>
      <c r="N63" s="167"/>
      <c r="O63" s="167"/>
      <c r="P63" s="176"/>
      <c r="Q63" s="176"/>
      <c r="R63" s="176"/>
      <c r="S63" s="176"/>
      <c r="T63" s="176"/>
      <c r="U63" s="167"/>
      <c r="V63" s="167"/>
      <c r="W63" s="167"/>
      <c r="X63" s="167"/>
      <c r="Y63" s="167"/>
    </row>
    <row r="64" spans="1:25" s="177" customFormat="1" ht="15" customHeight="1" x14ac:dyDescent="0.2">
      <c r="A64" s="167"/>
      <c r="B64" s="167" t="s">
        <v>298</v>
      </c>
      <c r="C64" s="167"/>
      <c r="D64" s="167"/>
      <c r="E64" s="167"/>
      <c r="F64" s="167"/>
      <c r="G64" s="167"/>
      <c r="H64" s="167"/>
      <c r="I64" s="167"/>
      <c r="J64" s="167"/>
      <c r="K64" s="167"/>
      <c r="L64" s="167"/>
      <c r="M64" s="167"/>
      <c r="N64" s="167"/>
      <c r="O64" s="167"/>
      <c r="P64" s="167"/>
      <c r="Q64" s="167"/>
      <c r="R64" s="167"/>
      <c r="S64" s="176"/>
      <c r="T64" s="176"/>
      <c r="U64" s="167"/>
      <c r="V64" s="167"/>
      <c r="W64" s="167"/>
      <c r="X64" s="167"/>
      <c r="Y64" s="167"/>
    </row>
    <row r="65" spans="1:25" s="177" customFormat="1" ht="15" customHeight="1" x14ac:dyDescent="0.2">
      <c r="A65" s="167"/>
      <c r="B65" s="167" t="s">
        <v>299</v>
      </c>
      <c r="C65" s="167"/>
      <c r="D65" s="167"/>
      <c r="E65" s="167"/>
      <c r="F65" s="167"/>
      <c r="G65" s="167"/>
      <c r="H65" s="167"/>
      <c r="I65" s="167"/>
      <c r="J65" s="167"/>
      <c r="K65" s="167"/>
      <c r="L65" s="167"/>
      <c r="M65" s="167"/>
      <c r="N65" s="167"/>
      <c r="O65" s="167"/>
      <c r="P65" s="167"/>
      <c r="Q65" s="167"/>
      <c r="R65" s="167"/>
      <c r="S65" s="176"/>
      <c r="T65" s="176"/>
      <c r="U65" s="167"/>
      <c r="V65" s="167"/>
      <c r="W65" s="167"/>
      <c r="X65" s="167"/>
      <c r="Y65" s="167"/>
    </row>
    <row r="66" spans="1:25" s="177" customFormat="1" ht="15" customHeight="1" x14ac:dyDescent="0.2">
      <c r="A66" s="167"/>
      <c r="B66" s="172" t="s">
        <v>300</v>
      </c>
      <c r="C66" s="167"/>
      <c r="D66" s="167"/>
      <c r="E66" s="167"/>
      <c r="F66" s="167"/>
      <c r="G66" s="167"/>
      <c r="H66" s="167"/>
      <c r="I66" s="167"/>
      <c r="J66" s="167"/>
      <c r="K66" s="167"/>
      <c r="L66" s="167"/>
      <c r="M66" s="167"/>
      <c r="N66" s="167"/>
      <c r="O66" s="167"/>
      <c r="P66" s="167"/>
      <c r="Q66" s="167"/>
      <c r="R66" s="167"/>
      <c r="S66" s="176"/>
      <c r="T66" s="176"/>
      <c r="U66" s="167"/>
      <c r="V66" s="167"/>
      <c r="W66" s="167"/>
      <c r="X66" s="167"/>
      <c r="Y66" s="167"/>
    </row>
    <row r="67" spans="1:25" s="177" customFormat="1" ht="15" customHeight="1" x14ac:dyDescent="0.2">
      <c r="A67" s="167"/>
      <c r="B67" s="167" t="s">
        <v>301</v>
      </c>
      <c r="C67" s="167"/>
      <c r="D67" s="167"/>
      <c r="E67" s="167"/>
      <c r="F67" s="167"/>
      <c r="G67" s="167"/>
      <c r="H67" s="167"/>
      <c r="I67" s="167"/>
      <c r="J67" s="167"/>
      <c r="K67" s="167"/>
      <c r="L67" s="167"/>
      <c r="M67" s="167"/>
      <c r="N67" s="167"/>
      <c r="O67" s="167"/>
      <c r="P67" s="167"/>
      <c r="Q67" s="167"/>
      <c r="R67" s="167"/>
      <c r="S67" s="176"/>
      <c r="T67" s="176"/>
      <c r="U67" s="167"/>
      <c r="V67" s="167"/>
      <c r="W67" s="167"/>
      <c r="X67" s="167"/>
      <c r="Y67" s="167"/>
    </row>
    <row r="68" spans="1:25" s="160" customFormat="1" ht="15" customHeight="1" x14ac:dyDescent="0.2">
      <c r="A68" s="159"/>
      <c r="B68" s="173"/>
      <c r="C68" s="165"/>
      <c r="D68" s="165"/>
      <c r="E68" s="165"/>
      <c r="F68" s="165"/>
      <c r="G68" s="165"/>
      <c r="H68" s="165"/>
      <c r="I68" s="165"/>
      <c r="J68" s="165"/>
      <c r="K68" s="165"/>
      <c r="L68" s="161"/>
      <c r="M68" s="161"/>
      <c r="N68" s="161"/>
      <c r="O68" s="161"/>
      <c r="P68" s="161"/>
      <c r="Q68" s="159"/>
      <c r="R68" s="159"/>
      <c r="S68" s="159"/>
      <c r="T68" s="159"/>
      <c r="U68" s="159"/>
      <c r="V68" s="159"/>
      <c r="W68" s="159"/>
      <c r="X68" s="159"/>
      <c r="Y68" s="159"/>
    </row>
    <row r="69" spans="1:25" s="160" customFormat="1" ht="15" customHeight="1" x14ac:dyDescent="0.25">
      <c r="A69" s="159"/>
      <c r="B69" s="162" t="s">
        <v>125</v>
      </c>
      <c r="C69" s="165"/>
      <c r="D69" s="165"/>
      <c r="E69" s="165"/>
      <c r="F69" s="165"/>
      <c r="G69" s="165"/>
      <c r="H69" s="165"/>
      <c r="I69" s="165"/>
      <c r="J69" s="165"/>
      <c r="K69" s="165"/>
      <c r="L69" s="161"/>
      <c r="M69" s="161"/>
      <c r="N69" s="161"/>
      <c r="O69" s="161"/>
      <c r="P69" s="161"/>
      <c r="Q69" s="159"/>
      <c r="R69" s="159"/>
      <c r="S69" s="159"/>
      <c r="T69" s="159"/>
      <c r="U69" s="159"/>
      <c r="V69" s="159"/>
      <c r="W69" s="159"/>
      <c r="X69" s="159"/>
      <c r="Y69" s="159"/>
    </row>
    <row r="70" spans="1:25" s="177" customFormat="1" ht="15" customHeight="1" x14ac:dyDescent="0.2">
      <c r="A70" s="167"/>
      <c r="B70" s="167" t="s">
        <v>330</v>
      </c>
      <c r="C70" s="167"/>
      <c r="D70" s="167"/>
      <c r="E70" s="167"/>
      <c r="F70" s="167"/>
      <c r="G70" s="167"/>
      <c r="H70" s="167"/>
      <c r="I70" s="167"/>
      <c r="J70" s="167"/>
      <c r="K70" s="167"/>
      <c r="L70" s="167"/>
      <c r="M70" s="167"/>
      <c r="N70" s="167"/>
      <c r="O70" s="167"/>
      <c r="P70" s="167"/>
      <c r="Q70" s="167"/>
      <c r="R70" s="167"/>
      <c r="S70" s="167"/>
      <c r="T70" s="167"/>
      <c r="U70" s="167"/>
      <c r="V70" s="167"/>
      <c r="W70" s="167"/>
      <c r="X70" s="167"/>
      <c r="Y70" s="167"/>
    </row>
    <row r="71" spans="1:25" s="177" customFormat="1" ht="15" customHeight="1" x14ac:dyDescent="0.2">
      <c r="A71" s="167"/>
      <c r="B71" s="167" t="s">
        <v>302</v>
      </c>
      <c r="C71" s="167"/>
      <c r="D71" s="167"/>
      <c r="E71" s="167"/>
      <c r="F71" s="167"/>
      <c r="G71" s="167"/>
      <c r="H71" s="167"/>
      <c r="I71" s="167"/>
      <c r="J71" s="167"/>
      <c r="K71" s="167"/>
      <c r="L71" s="167"/>
      <c r="M71" s="167"/>
      <c r="N71" s="167"/>
      <c r="O71" s="167"/>
      <c r="P71" s="167"/>
      <c r="Q71" s="167"/>
      <c r="R71" s="167"/>
      <c r="S71" s="167"/>
      <c r="T71" s="167"/>
      <c r="U71" s="167"/>
      <c r="V71" s="167"/>
      <c r="W71" s="167"/>
      <c r="X71" s="167"/>
      <c r="Y71" s="167"/>
    </row>
    <row r="72" spans="1:25" s="177" customFormat="1" ht="15" customHeight="1" x14ac:dyDescent="0.2">
      <c r="A72" s="167"/>
      <c r="B72" s="167" t="s">
        <v>303</v>
      </c>
      <c r="C72" s="167"/>
      <c r="D72" s="167"/>
      <c r="E72" s="167"/>
      <c r="F72" s="167"/>
      <c r="G72" s="167"/>
      <c r="H72" s="167"/>
      <c r="I72" s="167"/>
      <c r="J72" s="167"/>
      <c r="K72" s="167"/>
      <c r="L72" s="167"/>
      <c r="M72" s="167"/>
      <c r="N72" s="167"/>
      <c r="O72" s="167"/>
      <c r="P72" s="167"/>
      <c r="Q72" s="167"/>
      <c r="R72" s="167"/>
      <c r="S72" s="167"/>
      <c r="T72" s="167"/>
      <c r="U72" s="167"/>
      <c r="V72" s="167"/>
      <c r="W72" s="167"/>
      <c r="X72" s="167"/>
      <c r="Y72" s="167"/>
    </row>
    <row r="73" spans="1:25" s="177" customFormat="1" ht="15" customHeight="1" x14ac:dyDescent="0.2">
      <c r="A73" s="167"/>
      <c r="B73" s="167" t="s">
        <v>304</v>
      </c>
      <c r="C73" s="167"/>
      <c r="D73" s="167"/>
      <c r="E73" s="167"/>
      <c r="F73" s="167"/>
      <c r="G73" s="167"/>
      <c r="H73" s="167"/>
      <c r="I73" s="167"/>
      <c r="J73" s="167"/>
      <c r="K73" s="167"/>
      <c r="L73" s="167"/>
      <c r="M73" s="167"/>
      <c r="N73" s="167"/>
      <c r="O73" s="167"/>
      <c r="P73" s="167"/>
      <c r="Q73" s="167"/>
      <c r="R73" s="167"/>
      <c r="S73" s="167"/>
      <c r="T73" s="167"/>
      <c r="U73" s="167"/>
      <c r="V73" s="167"/>
      <c r="W73" s="167"/>
      <c r="X73" s="167"/>
      <c r="Y73" s="167"/>
    </row>
    <row r="74" spans="1:25" s="177" customFormat="1" ht="15" customHeight="1" x14ac:dyDescent="0.2">
      <c r="A74" s="167"/>
      <c r="B74" s="167" t="s">
        <v>305</v>
      </c>
      <c r="C74" s="167"/>
      <c r="D74" s="167"/>
      <c r="E74" s="167"/>
      <c r="F74" s="167"/>
      <c r="G74" s="167"/>
      <c r="H74" s="167"/>
      <c r="I74" s="167"/>
      <c r="J74" s="167"/>
      <c r="K74" s="167"/>
      <c r="L74" s="167"/>
      <c r="M74" s="167"/>
      <c r="N74" s="167"/>
      <c r="O74" s="167"/>
      <c r="P74" s="167"/>
      <c r="Q74" s="167"/>
      <c r="R74" s="167"/>
      <c r="S74" s="167"/>
      <c r="T74" s="167"/>
      <c r="U74" s="167"/>
      <c r="V74" s="167"/>
      <c r="W74" s="167"/>
      <c r="X74" s="167"/>
      <c r="Y74" s="167"/>
    </row>
    <row r="75" spans="1:25" s="177" customFormat="1" ht="15" customHeight="1" x14ac:dyDescent="0.2">
      <c r="A75" s="167"/>
      <c r="B75" s="167" t="s">
        <v>306</v>
      </c>
      <c r="C75" s="167"/>
      <c r="D75" s="167"/>
      <c r="E75" s="167"/>
      <c r="F75" s="167"/>
      <c r="G75" s="167"/>
      <c r="H75" s="167"/>
      <c r="I75" s="167"/>
      <c r="J75" s="167"/>
      <c r="K75" s="167"/>
      <c r="L75" s="167"/>
      <c r="M75" s="167"/>
      <c r="N75" s="167"/>
      <c r="O75" s="167"/>
      <c r="P75" s="167"/>
      <c r="Q75" s="167"/>
      <c r="R75" s="167"/>
      <c r="S75" s="167"/>
      <c r="T75" s="167"/>
      <c r="U75" s="167"/>
      <c r="V75" s="167"/>
      <c r="W75" s="167"/>
      <c r="X75" s="167"/>
      <c r="Y75" s="167"/>
    </row>
    <row r="76" spans="1:25" s="160" customFormat="1" ht="15" customHeight="1" x14ac:dyDescent="0.2">
      <c r="A76" s="159"/>
      <c r="B76" s="174"/>
      <c r="C76" s="163"/>
      <c r="D76" s="163"/>
      <c r="E76" s="163"/>
      <c r="F76" s="163"/>
      <c r="G76" s="161"/>
      <c r="H76" s="161"/>
      <c r="I76" s="161"/>
      <c r="J76" s="161"/>
      <c r="K76" s="161"/>
      <c r="L76" s="161"/>
      <c r="M76" s="161"/>
      <c r="N76" s="159"/>
      <c r="O76" s="159"/>
      <c r="P76" s="161"/>
      <c r="Q76" s="159"/>
      <c r="R76" s="159"/>
      <c r="S76" s="159"/>
      <c r="T76" s="159"/>
      <c r="U76" s="159"/>
      <c r="V76" s="159"/>
      <c r="W76" s="159"/>
      <c r="X76" s="159"/>
      <c r="Y76" s="159"/>
    </row>
    <row r="77" spans="1:25" s="160" customFormat="1" ht="15" customHeight="1" x14ac:dyDescent="0.25">
      <c r="A77" s="159"/>
      <c r="B77" s="162" t="s">
        <v>126</v>
      </c>
      <c r="C77" s="165"/>
      <c r="D77" s="165"/>
      <c r="E77" s="165"/>
      <c r="F77" s="165"/>
      <c r="G77" s="161"/>
      <c r="H77" s="161"/>
      <c r="I77" s="161"/>
      <c r="J77" s="161"/>
      <c r="K77" s="161"/>
      <c r="L77" s="161"/>
      <c r="M77" s="161"/>
      <c r="N77" s="159"/>
      <c r="O77" s="159"/>
      <c r="P77" s="161"/>
      <c r="Q77" s="159"/>
      <c r="R77" s="159"/>
      <c r="S77" s="159"/>
      <c r="T77" s="159"/>
      <c r="U77" s="159"/>
      <c r="V77" s="159"/>
      <c r="W77" s="159"/>
      <c r="X77" s="159"/>
      <c r="Y77" s="159"/>
    </row>
    <row r="78" spans="1:25" s="177" customFormat="1" ht="15" customHeight="1" x14ac:dyDescent="0.2">
      <c r="A78" s="167"/>
      <c r="B78" s="167" t="s">
        <v>307</v>
      </c>
      <c r="C78" s="167"/>
      <c r="D78" s="167"/>
      <c r="E78" s="167"/>
      <c r="F78" s="167"/>
      <c r="G78" s="167"/>
      <c r="H78" s="167"/>
      <c r="I78" s="167"/>
      <c r="J78" s="167"/>
      <c r="K78" s="167"/>
      <c r="L78" s="167"/>
      <c r="M78" s="167"/>
      <c r="N78" s="167"/>
      <c r="O78" s="167"/>
      <c r="P78" s="167"/>
      <c r="Q78" s="167"/>
      <c r="R78" s="167"/>
      <c r="S78" s="167"/>
      <c r="T78" s="167"/>
      <c r="U78" s="167"/>
      <c r="V78" s="167"/>
      <c r="W78" s="167"/>
      <c r="X78" s="167"/>
      <c r="Y78" s="167"/>
    </row>
    <row r="79" spans="1:25" s="177" customFormat="1" ht="15" customHeight="1" x14ac:dyDescent="0.2">
      <c r="A79" s="167"/>
      <c r="B79" s="167" t="s">
        <v>331</v>
      </c>
      <c r="C79" s="167"/>
      <c r="D79" s="167"/>
      <c r="E79" s="167"/>
      <c r="F79" s="167"/>
      <c r="G79" s="167"/>
      <c r="H79" s="167"/>
      <c r="I79" s="167"/>
      <c r="J79" s="167"/>
      <c r="K79" s="167"/>
      <c r="L79" s="167"/>
      <c r="M79" s="167"/>
      <c r="N79" s="167"/>
      <c r="O79" s="167"/>
      <c r="P79" s="167"/>
      <c r="Q79" s="167"/>
      <c r="R79" s="167"/>
      <c r="S79" s="167"/>
      <c r="T79" s="167"/>
      <c r="U79" s="167"/>
      <c r="V79" s="167"/>
      <c r="W79" s="167"/>
      <c r="X79" s="167"/>
      <c r="Y79" s="167"/>
    </row>
    <row r="80" spans="1:25" s="177" customFormat="1" ht="15" customHeight="1" x14ac:dyDescent="0.2">
      <c r="A80" s="167"/>
      <c r="B80" s="167" t="s">
        <v>332</v>
      </c>
      <c r="C80" s="167"/>
      <c r="D80" s="167"/>
      <c r="E80" s="167"/>
      <c r="F80" s="167"/>
      <c r="G80" s="167"/>
      <c r="H80" s="167"/>
      <c r="I80" s="167"/>
      <c r="J80" s="167"/>
      <c r="K80" s="167"/>
      <c r="L80" s="167"/>
      <c r="M80" s="167"/>
      <c r="N80" s="167"/>
      <c r="O80" s="167"/>
      <c r="P80" s="167"/>
      <c r="Q80" s="167"/>
      <c r="R80" s="167"/>
      <c r="S80" s="167"/>
      <c r="T80" s="167"/>
      <c r="U80" s="167"/>
      <c r="V80" s="167"/>
      <c r="W80" s="167"/>
      <c r="X80" s="167"/>
      <c r="Y80" s="167"/>
    </row>
    <row r="81" spans="1:25" s="177" customFormat="1" ht="15" customHeight="1" x14ac:dyDescent="0.2">
      <c r="A81" s="167"/>
      <c r="B81" s="167" t="s">
        <v>308</v>
      </c>
      <c r="C81" s="167"/>
      <c r="D81" s="167"/>
      <c r="E81" s="167"/>
      <c r="F81" s="167"/>
      <c r="G81" s="167"/>
      <c r="H81" s="167"/>
      <c r="I81" s="167"/>
      <c r="J81" s="167"/>
      <c r="K81" s="167"/>
      <c r="L81" s="167"/>
      <c r="M81" s="167"/>
      <c r="N81" s="167"/>
      <c r="O81" s="167"/>
      <c r="P81" s="167"/>
      <c r="Q81" s="167"/>
      <c r="R81" s="167"/>
      <c r="S81" s="167"/>
      <c r="T81" s="167"/>
      <c r="U81" s="167"/>
      <c r="V81" s="167"/>
      <c r="W81" s="167"/>
      <c r="X81" s="167"/>
      <c r="Y81" s="167"/>
    </row>
    <row r="82" spans="1:25" s="177" customFormat="1" ht="15" customHeight="1" x14ac:dyDescent="0.2">
      <c r="A82" s="167"/>
      <c r="B82" s="167" t="s">
        <v>309</v>
      </c>
      <c r="C82" s="167"/>
      <c r="D82" s="167"/>
      <c r="E82" s="167"/>
      <c r="F82" s="167"/>
      <c r="G82" s="167"/>
      <c r="H82" s="167"/>
      <c r="I82" s="167"/>
      <c r="J82" s="167"/>
      <c r="K82" s="167"/>
      <c r="L82" s="167"/>
      <c r="M82" s="167"/>
      <c r="N82" s="167"/>
      <c r="O82" s="167"/>
      <c r="P82" s="167"/>
      <c r="Q82" s="167"/>
      <c r="R82" s="167"/>
      <c r="S82" s="167"/>
      <c r="T82" s="167"/>
      <c r="U82" s="167"/>
      <c r="V82" s="167"/>
      <c r="W82" s="167"/>
      <c r="X82" s="167"/>
      <c r="Y82" s="167"/>
    </row>
    <row r="83" spans="1:25" s="177" customFormat="1" ht="15" customHeight="1" x14ac:dyDescent="0.2">
      <c r="A83" s="167"/>
      <c r="B83" s="167" t="s">
        <v>310</v>
      </c>
      <c r="C83" s="167"/>
      <c r="D83" s="167"/>
      <c r="E83" s="167"/>
      <c r="F83" s="167"/>
      <c r="G83" s="167"/>
      <c r="H83" s="167"/>
      <c r="I83" s="167"/>
      <c r="J83" s="167"/>
      <c r="K83" s="167"/>
      <c r="L83" s="167"/>
      <c r="M83" s="167"/>
      <c r="N83" s="167"/>
      <c r="O83" s="167"/>
      <c r="P83" s="167"/>
      <c r="Q83" s="167"/>
      <c r="R83" s="167"/>
      <c r="S83" s="167"/>
      <c r="T83" s="167"/>
      <c r="U83" s="167"/>
      <c r="V83" s="167"/>
      <c r="W83" s="167"/>
      <c r="X83" s="167"/>
      <c r="Y83" s="167"/>
    </row>
    <row r="84" spans="1:25" s="177" customFormat="1" ht="15" customHeight="1" x14ac:dyDescent="0.2">
      <c r="A84" s="167"/>
      <c r="B84" s="167" t="s">
        <v>311</v>
      </c>
      <c r="C84" s="167"/>
      <c r="D84" s="167"/>
      <c r="E84" s="167"/>
      <c r="F84" s="167"/>
      <c r="G84" s="167"/>
      <c r="H84" s="167"/>
      <c r="I84" s="167"/>
      <c r="J84" s="167"/>
      <c r="K84" s="167"/>
      <c r="L84" s="167"/>
      <c r="M84" s="167"/>
      <c r="N84" s="167"/>
      <c r="O84" s="167"/>
      <c r="P84" s="167"/>
      <c r="Q84" s="167"/>
      <c r="R84" s="167"/>
      <c r="S84" s="167"/>
      <c r="T84" s="167"/>
      <c r="U84" s="167"/>
      <c r="V84" s="167"/>
      <c r="W84" s="167"/>
      <c r="X84" s="167"/>
      <c r="Y84" s="167"/>
    </row>
    <row r="85" spans="1:25" s="177" customFormat="1" ht="15" customHeight="1" x14ac:dyDescent="0.2">
      <c r="A85" s="167"/>
      <c r="B85" s="167" t="s">
        <v>312</v>
      </c>
      <c r="C85" s="167"/>
      <c r="D85" s="167"/>
      <c r="E85" s="167"/>
      <c r="F85" s="167"/>
      <c r="G85" s="167"/>
      <c r="H85" s="167"/>
      <c r="I85" s="167"/>
      <c r="J85" s="167"/>
      <c r="K85" s="167"/>
      <c r="L85" s="167"/>
      <c r="M85" s="167"/>
      <c r="N85" s="167"/>
      <c r="O85" s="167"/>
      <c r="P85" s="167"/>
      <c r="Q85" s="167"/>
      <c r="R85" s="167"/>
      <c r="S85" s="167"/>
      <c r="T85" s="167"/>
      <c r="U85" s="167"/>
      <c r="V85" s="167"/>
      <c r="W85" s="167"/>
      <c r="X85" s="167"/>
      <c r="Y85" s="167"/>
    </row>
    <row r="86" spans="1:25" s="177" customFormat="1" ht="15" customHeight="1" x14ac:dyDescent="0.2">
      <c r="A86" s="167"/>
      <c r="B86" s="167" t="s">
        <v>313</v>
      </c>
      <c r="C86" s="167"/>
      <c r="D86" s="167"/>
      <c r="E86" s="167"/>
      <c r="F86" s="167"/>
      <c r="G86" s="167"/>
      <c r="H86" s="167"/>
      <c r="I86" s="167"/>
      <c r="J86" s="167"/>
      <c r="K86" s="167"/>
      <c r="L86" s="167"/>
      <c r="M86" s="167"/>
      <c r="N86" s="167"/>
      <c r="O86" s="167"/>
      <c r="P86" s="167"/>
      <c r="Q86" s="167"/>
      <c r="R86" s="167"/>
      <c r="S86" s="167"/>
      <c r="T86" s="167"/>
      <c r="U86" s="167"/>
      <c r="V86" s="167"/>
      <c r="W86" s="167"/>
      <c r="X86" s="167"/>
      <c r="Y86" s="167"/>
    </row>
    <row r="87" spans="1:25" s="177" customFormat="1" ht="15" customHeight="1" x14ac:dyDescent="0.2">
      <c r="A87" s="167"/>
      <c r="B87" s="167" t="s">
        <v>314</v>
      </c>
      <c r="C87" s="167"/>
      <c r="D87" s="167"/>
      <c r="E87" s="167"/>
      <c r="F87" s="167"/>
      <c r="G87" s="167"/>
      <c r="H87" s="167"/>
      <c r="I87" s="167"/>
      <c r="J87" s="167"/>
      <c r="K87" s="167"/>
      <c r="L87" s="167"/>
      <c r="M87" s="167"/>
      <c r="N87" s="167"/>
      <c r="O87" s="167"/>
      <c r="P87" s="167"/>
      <c r="Q87" s="167"/>
      <c r="R87" s="167"/>
      <c r="S87" s="167"/>
      <c r="T87" s="167"/>
      <c r="U87" s="167"/>
      <c r="V87" s="167"/>
      <c r="W87" s="167"/>
      <c r="X87" s="167"/>
      <c r="Y87" s="167"/>
    </row>
    <row r="88" spans="1:25" s="177" customFormat="1" ht="15" customHeight="1" x14ac:dyDescent="0.2">
      <c r="A88" s="167"/>
      <c r="B88" s="167" t="s">
        <v>315</v>
      </c>
      <c r="C88" s="167"/>
      <c r="D88" s="167"/>
      <c r="E88" s="167"/>
      <c r="F88" s="167"/>
      <c r="G88" s="167"/>
      <c r="H88" s="167"/>
      <c r="I88" s="167"/>
      <c r="J88" s="167"/>
      <c r="K88" s="167"/>
      <c r="L88" s="167"/>
      <c r="M88" s="167"/>
      <c r="N88" s="167"/>
      <c r="O88" s="167"/>
      <c r="P88" s="167"/>
      <c r="Q88" s="167"/>
      <c r="R88" s="167"/>
      <c r="S88" s="167"/>
      <c r="T88" s="167"/>
      <c r="U88" s="167"/>
      <c r="V88" s="167"/>
      <c r="W88" s="167"/>
      <c r="X88" s="167"/>
      <c r="Y88" s="167"/>
    </row>
    <row r="89" spans="1:25" s="177" customFormat="1" ht="15" customHeight="1" x14ac:dyDescent="0.2">
      <c r="A89" s="167"/>
      <c r="B89" s="167" t="s">
        <v>316</v>
      </c>
      <c r="C89" s="167"/>
      <c r="D89" s="167"/>
      <c r="E89" s="167"/>
      <c r="F89" s="167"/>
      <c r="G89" s="167"/>
      <c r="H89" s="167"/>
      <c r="I89" s="167"/>
      <c r="J89" s="167"/>
      <c r="K89" s="167"/>
      <c r="L89" s="167"/>
      <c r="M89" s="167"/>
      <c r="N89" s="167"/>
      <c r="O89" s="167"/>
      <c r="P89" s="167"/>
      <c r="Q89" s="167"/>
      <c r="R89" s="167"/>
      <c r="S89" s="167"/>
      <c r="T89" s="167"/>
      <c r="U89" s="167"/>
      <c r="V89" s="167"/>
      <c r="W89" s="167"/>
      <c r="X89" s="167"/>
      <c r="Y89" s="167"/>
    </row>
    <row r="90" spans="1:25" s="177" customFormat="1" ht="15" customHeight="1" x14ac:dyDescent="0.2">
      <c r="A90" s="167"/>
      <c r="B90" s="167" t="s">
        <v>317</v>
      </c>
      <c r="C90" s="167"/>
      <c r="D90" s="167"/>
      <c r="E90" s="167"/>
      <c r="F90" s="167"/>
      <c r="G90" s="167"/>
      <c r="H90" s="167"/>
      <c r="I90" s="167"/>
      <c r="J90" s="167"/>
      <c r="K90" s="167"/>
      <c r="L90" s="167"/>
      <c r="M90" s="167"/>
      <c r="N90" s="167"/>
      <c r="O90" s="167"/>
      <c r="P90" s="167"/>
      <c r="Q90" s="167"/>
      <c r="R90" s="167"/>
      <c r="S90" s="167"/>
      <c r="T90" s="167"/>
      <c r="U90" s="167"/>
      <c r="V90" s="167"/>
      <c r="W90" s="167"/>
      <c r="X90" s="167"/>
      <c r="Y90" s="167"/>
    </row>
    <row r="91" spans="1:25" s="177" customFormat="1" ht="15" customHeight="1" x14ac:dyDescent="0.2">
      <c r="A91" s="167"/>
      <c r="B91" s="167" t="s">
        <v>318</v>
      </c>
      <c r="C91" s="167"/>
      <c r="D91" s="167"/>
      <c r="E91" s="167"/>
      <c r="F91" s="167"/>
      <c r="G91" s="167"/>
      <c r="H91" s="167"/>
      <c r="I91" s="167"/>
      <c r="J91" s="167"/>
      <c r="K91" s="167"/>
      <c r="L91" s="167"/>
      <c r="M91" s="167"/>
      <c r="N91" s="167"/>
      <c r="O91" s="167"/>
      <c r="P91" s="167"/>
      <c r="Q91" s="167"/>
      <c r="R91" s="167"/>
      <c r="S91" s="167"/>
      <c r="T91" s="167"/>
      <c r="U91" s="167"/>
      <c r="V91" s="167"/>
      <c r="W91" s="167"/>
      <c r="X91" s="167"/>
      <c r="Y91" s="167"/>
    </row>
    <row r="92" spans="1:25" s="177" customFormat="1" ht="15" customHeight="1" x14ac:dyDescent="0.2">
      <c r="A92" s="167"/>
      <c r="B92" s="167" t="s">
        <v>319</v>
      </c>
      <c r="C92" s="167"/>
      <c r="D92" s="167"/>
      <c r="E92" s="167"/>
      <c r="F92" s="167"/>
      <c r="G92" s="167"/>
      <c r="H92" s="167"/>
      <c r="I92" s="167"/>
      <c r="J92" s="167"/>
      <c r="K92" s="167"/>
      <c r="L92" s="167"/>
      <c r="M92" s="167"/>
      <c r="N92" s="167"/>
      <c r="O92" s="167"/>
      <c r="P92" s="167"/>
      <c r="Q92" s="167"/>
      <c r="R92" s="167"/>
      <c r="S92" s="167"/>
      <c r="T92" s="167"/>
      <c r="U92" s="167"/>
      <c r="V92" s="167"/>
      <c r="W92" s="167"/>
      <c r="X92" s="167"/>
      <c r="Y92" s="167"/>
    </row>
    <row r="93" spans="1:25" s="177" customFormat="1" ht="15" customHeight="1" x14ac:dyDescent="0.2">
      <c r="A93" s="167"/>
      <c r="B93" s="167" t="s">
        <v>320</v>
      </c>
      <c r="C93" s="167"/>
      <c r="D93" s="167"/>
      <c r="E93" s="167"/>
      <c r="F93" s="167"/>
      <c r="G93" s="167"/>
      <c r="H93" s="167"/>
      <c r="I93" s="167"/>
      <c r="J93" s="167"/>
      <c r="K93" s="167"/>
      <c r="L93" s="167"/>
      <c r="M93" s="167"/>
      <c r="N93" s="167"/>
      <c r="O93" s="167"/>
      <c r="P93" s="167"/>
      <c r="Q93" s="167"/>
      <c r="R93" s="167"/>
      <c r="S93" s="167"/>
      <c r="T93" s="167"/>
      <c r="U93" s="167"/>
      <c r="V93" s="167"/>
      <c r="W93" s="167"/>
      <c r="X93" s="167"/>
      <c r="Y93" s="167"/>
    </row>
    <row r="94" spans="1:25" s="177" customFormat="1" ht="15" customHeight="1" x14ac:dyDescent="0.2">
      <c r="A94" s="167"/>
      <c r="B94" s="167" t="s">
        <v>321</v>
      </c>
      <c r="C94" s="167"/>
      <c r="D94" s="167"/>
      <c r="E94" s="167"/>
      <c r="F94" s="167"/>
      <c r="G94" s="167"/>
      <c r="H94" s="167"/>
      <c r="I94" s="167"/>
      <c r="J94" s="167"/>
      <c r="K94" s="167"/>
      <c r="L94" s="167"/>
      <c r="M94" s="167"/>
      <c r="N94" s="167"/>
      <c r="O94" s="167"/>
      <c r="P94" s="167"/>
      <c r="Q94" s="167"/>
      <c r="R94" s="167"/>
      <c r="S94" s="167"/>
      <c r="T94" s="167"/>
      <c r="U94" s="167"/>
      <c r="V94" s="167"/>
      <c r="W94" s="167"/>
      <c r="X94" s="167"/>
      <c r="Y94" s="167"/>
    </row>
    <row r="95" spans="1:25" s="177" customFormat="1" ht="15" customHeight="1" x14ac:dyDescent="0.2">
      <c r="A95" s="167"/>
      <c r="B95" s="167" t="s">
        <v>322</v>
      </c>
      <c r="C95" s="167"/>
      <c r="D95" s="167"/>
      <c r="E95" s="167"/>
      <c r="F95" s="167"/>
      <c r="G95" s="167"/>
      <c r="H95" s="167"/>
      <c r="I95" s="167"/>
      <c r="J95" s="167"/>
      <c r="K95" s="167"/>
      <c r="L95" s="167"/>
      <c r="M95" s="167"/>
      <c r="N95" s="167"/>
      <c r="O95" s="167"/>
      <c r="P95" s="167"/>
      <c r="Q95" s="167"/>
      <c r="R95" s="167"/>
      <c r="S95" s="167"/>
      <c r="T95" s="167"/>
      <c r="U95" s="167"/>
      <c r="V95" s="167"/>
      <c r="W95" s="167"/>
      <c r="X95" s="167"/>
      <c r="Y95" s="167"/>
    </row>
    <row r="96" spans="1:25" s="177" customFormat="1" ht="15" customHeight="1" x14ac:dyDescent="0.2">
      <c r="A96" s="167"/>
      <c r="B96" s="167" t="s">
        <v>323</v>
      </c>
      <c r="C96" s="167"/>
      <c r="D96" s="167"/>
      <c r="E96" s="167"/>
      <c r="F96" s="167"/>
      <c r="G96" s="167"/>
      <c r="H96" s="167"/>
      <c r="I96" s="167"/>
      <c r="J96" s="167"/>
      <c r="K96" s="167"/>
      <c r="L96" s="167"/>
      <c r="M96" s="167"/>
      <c r="N96" s="167"/>
      <c r="O96" s="167"/>
      <c r="P96" s="167"/>
      <c r="Q96" s="167"/>
      <c r="R96" s="167"/>
      <c r="S96" s="167"/>
      <c r="T96" s="167"/>
      <c r="U96" s="167"/>
      <c r="V96" s="167"/>
      <c r="W96" s="167"/>
      <c r="X96" s="167"/>
      <c r="Y96" s="167"/>
    </row>
    <row r="97" spans="1:25" s="160" customFormat="1" ht="14.25" x14ac:dyDescent="0.2">
      <c r="A97" s="159"/>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row>
    <row r="98" spans="1:25" s="160" customFormat="1" ht="14.25" x14ac:dyDescent="0.2">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row>
    <row r="99" spans="1:25" s="160" customFormat="1" ht="14.25" x14ac:dyDescent="0.2">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row>
    <row r="100" spans="1:25" s="160" customFormat="1" ht="14.25" x14ac:dyDescent="0.2">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row>
    <row r="101" spans="1:25" s="160" customFormat="1" ht="14.25" x14ac:dyDescent="0.2">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row>
    <row r="102" spans="1:25" s="160" customFormat="1" x14ac:dyDescent="0.2"/>
  </sheetData>
  <mergeCells count="15">
    <mergeCell ref="B4:C4"/>
    <mergeCell ref="N32:Q32"/>
    <mergeCell ref="N33:Q33"/>
    <mergeCell ref="N34:Q34"/>
    <mergeCell ref="N35:Q35"/>
    <mergeCell ref="B36:M36"/>
    <mergeCell ref="N36:Q36"/>
    <mergeCell ref="B37:M37"/>
    <mergeCell ref="N37:Q37"/>
    <mergeCell ref="N38:Q38"/>
    <mergeCell ref="B97:Y97"/>
    <mergeCell ref="N39:Q39"/>
    <mergeCell ref="N40:Q40"/>
    <mergeCell ref="N41:Q41"/>
    <mergeCell ref="N42:Q42"/>
  </mergeCells>
  <hyperlinks>
    <hyperlink ref="B10" location="'Table S1'!A1" display="Table S1a: Young people under supervision on an average day(a) by age, states and territories, 2012–13" xr:uid="{00000000-0004-0000-0000-000000000000}"/>
    <hyperlink ref="B12:L12" location="'Table S2'!A1" display="Table S2a: Young people under supervision on an average day(a) by sex and Indigenous status, states and territories, 2012–13" xr:uid="{00000000-0004-0000-0000-000001000000}"/>
    <hyperlink ref="B14:L14" location="'Table S3'!A1" display="Table S3a: Young people aged 10–17 under supervision on an average day(a) by sex and Indigenous status, states and territories, 2012–13" xr:uid="{00000000-0004-0000-0000-000002000000}"/>
    <hyperlink ref="B16:M16" location="'Table S4'!A1" display="Table S4a:  Young people aged 10–17 under supervision on an average day(a) by sex and Indigenous status, states and territories, 2012–13 (rate)" xr:uid="{00000000-0004-0000-0000-000003000000}"/>
    <hyperlink ref="B18:O18" location="'Table S5'!A1" display="Table S5a: Young people under supervision on an average day(a) by age, sex and Indigenous status, Australia (excluding WA and NT), 2012–13" xr:uid="{00000000-0004-0000-0000-000004000000}"/>
    <hyperlink ref="B20:K20" location="'Table S6'!A1" display="Table S6a: Young people aged 10–17 under supervision on an average day(a) by age, sex and Indigenous status, Australia (excluding WA and NT), 2012–13 (rate)" xr:uid="{00000000-0004-0000-0000-000005000000}"/>
    <hyperlink ref="B22:L22" location="'Table S7'!A1" display="Table S7a: Young people under supervision on an average day(a) by Indigenous status and age, states and territories, 2012–13" xr:uid="{00000000-0004-0000-0000-000006000000}"/>
    <hyperlink ref="B30:K30" location="'Table S9'!A1" display="Table S9a: Young people aged 10–17 under supervision on an average day(a) by age and sex, Australia, 2008–09 to 2012–13 (rate)" xr:uid="{00000000-0004-0000-0000-000008000000}"/>
    <hyperlink ref="B32:L32" location="'Table S10'!A1" display="Table S10a: Young people aged 10–17 under supervision on an average day(a) by Indigenous status, states and territories, 2000–01 to 2012–13" xr:uid="{00000000-0004-0000-0000-000009000000}"/>
    <hyperlink ref="B34:L34" location="'Table S11'!A1" display="Table S11a: Young people (all ages) under supervision on an average day(a) by Indigenous status, states and territories, 2000–01 to 2012–13" xr:uid="{00000000-0004-0000-0000-00000A000000}"/>
    <hyperlink ref="B36:M36" location="'Table S12'!A1" display="Table S12a: Young people aged 10–17 under supervision on an average day(a) by Indigenous status, states and territories, 2000–01 to 2012–13 (rate)" xr:uid="{00000000-0004-0000-0000-00000B000000}"/>
    <hyperlink ref="B38:L38" location="'Table S13'!A1" display="Table S13a: Young people aged 10–17 under supervision on an average day(a) by sex, states and territories, 2000–01 to 2012–13" xr:uid="{00000000-0004-0000-0000-00000C000000}"/>
    <hyperlink ref="B40:L40" location="'Table S14'!A1" display="Table S14a: Young people (all ages) under supervision on an average day(a) by sex, states and territories, 2000–01 to 2012–13" xr:uid="{00000000-0004-0000-0000-00000D000000}"/>
    <hyperlink ref="B42:M42" location="'Table S15'!A1" display="Table S15a: Young people aged 10–17 under supervision on an average day (a) by sex, states and territories, 2000–01 to 2012–13 (rate)" xr:uid="{00000000-0004-0000-0000-00000E000000}"/>
    <hyperlink ref="B45:G45" location="'Table S17'!A1" display="Table S17: Young people under supervision during the year by first supervision and Indigenous status, Australia (excluding WA and NT) 2008–09 to 2012–13" xr:uid="{00000000-0004-0000-0000-000010000000}"/>
    <hyperlink ref="B49:P49" location="'Table S18'!A1" display="Table S18: Young people under supervision during the year by sex, Indigenous status and age at first supervision, Australia (excluding WA and NT), 2012–13" xr:uid="{00000000-0004-0000-0000-000011000000}"/>
    <hyperlink ref="B50:N50" location="'Table S19'!A1" display="Table S19: Young people under supervision during the year by Indigenous status and age at first supervision, states and territories, 2012–13" xr:uid="{00000000-0004-0000-0000-000012000000}"/>
    <hyperlink ref="B51:N51" location="'Table S20'!A1" display="Table S20a: Young people under supervision during the year by age at first supervision and type of first supervision, states and territories 2012–13" xr:uid="{00000000-0004-0000-0000-000013000000}"/>
    <hyperlink ref="B56:K56" location="'Table S22'!A1" display="Table S22a: Young people aged 10–17 under supervision on an average day(a) by remoteness of usual residence, states and territories, 2012–13" xr:uid="{00000000-0004-0000-0000-000015000000}"/>
    <hyperlink ref="B62:G62" location="'Table S23'!A1" display="Table S23a: Young people (all ages) under supervision on an average day(a) by Indigenous status and socioeconomic status of usual residence, Australia (excluding WA and NT), 2012–13" xr:uid="{00000000-0004-0000-0000-000016000000}"/>
    <hyperlink ref="B64:K64" location="'Table S24'!A1" display="Table S24a: Young people aged 10–17 under supervision on an average day(a) by socioeconomic status of usual residence, states and territories, 2012–13" xr:uid="{00000000-0004-0000-0000-000017000000}"/>
    <hyperlink ref="B71:N71" location="'Table S26'!A1" display="Table S26a: Young people by Indigenous status and number of community-based supervised orders, states and territories, 2012–13" xr:uid="{00000000-0004-0000-0000-000019000000}"/>
    <hyperlink ref="B74:M74" location="'Table S27'!A1" display="Table S27: Completed supervision periods, states and territories, 2012–13" xr:uid="{00000000-0004-0000-0000-00001A000000}"/>
    <hyperlink ref="B75:F75" location="'Table S28'!A1" display="Table S28: Young people who completed a period of supervision during the year by number of periods completed and Indigenous status, Australia (excluding WA and NT), 2012–13" xr:uid="{00000000-0004-0000-0000-00001B000000}"/>
    <hyperlink ref="B78:M78" location="'Table S29'!A1" display="Table S29: Number and median length of completed periods of supervision by Indigenous status, states and territories, 2012–13" xr:uid="{00000000-0004-0000-0000-00001C000000}"/>
    <hyperlink ref="B79:M79" location="'Table S30'!A1" display="Table S30: Average length of time spent under supervision during the year, states and territories, 2008–09 to 2012–13 (days)" xr:uid="{00000000-0004-0000-0000-00001D000000}"/>
    <hyperlink ref="B80:N80" location="'Table S31'!A1" display="Table S31: Young people by number of completed supervision periods, states and territories, 2008–09 to 2012–13" xr:uid="{00000000-0004-0000-0000-00001E000000}"/>
    <hyperlink ref="B81:O81" location="'Table S32'!A1" display="Table S32: Orders ended by duration, sex and Indigenous status, states and territories, 2020–21" xr:uid="{00000000-0004-0000-0000-00001F000000}"/>
    <hyperlink ref="B82:N82" location="'Table S35'!A1" display="Table S35a: Young people under supervision during the year by supervision history, sex and Indigenous status, states and territories, 2012–13: Young people under supervision during the year with a supervision history containing unsentenced community-based" xr:uid="{00000000-0004-0000-0000-000020000000}"/>
    <hyperlink ref="B4" location="'Notes and symbols'!A1" display="Notes and Symbols" xr:uid="{00000000-0004-0000-0000-000021000000}"/>
    <hyperlink ref="B13:M13" location="'Table S2'!A21" display="Table S2b: Young people under supervision during the year by sex and Indigenous status, states and territories, 2012–13" xr:uid="{00000000-0004-0000-0000-000022000000}"/>
    <hyperlink ref="B17:M17" location="'Table S4'!A21" display="Table S4b: Young people aged 10–17 under supervision during the year by sex and Indigenous status, states and territories, 2012–13 (rate)" xr:uid="{00000000-0004-0000-0000-000023000000}"/>
    <hyperlink ref="B19:Q19" location="'Table S5'!A23" display="Table S5b: Young people under supervision by age during the year, sex and Indigenous status, Australia (excluding WA and NT), 2012–13" xr:uid="{00000000-0004-0000-0000-000024000000}"/>
    <hyperlink ref="B21:K21" location="'Table S6'!A22" display="Table S6b: Young people aged 10–17 under supervision during the year by age, sex and Indigenous status, Australia (excluding WA and NT), 2012–13 (rate)" xr:uid="{00000000-0004-0000-0000-000025000000}"/>
    <hyperlink ref="B33:O33" location="'Table S10'!A64" display="Table S10b: Young people aged 10–17 under supervision during the year by Indigenous status, states and territories, 2000–01 to 2012–13" xr:uid="{00000000-0004-0000-0000-000026000000}"/>
    <hyperlink ref="B35:O35" location="'Table S11'!A64" display="Table S11b: Young people (all ages) under supervision during the year by Indigenous status, states and territories, 2000–01 to 2012–13" xr:uid="{00000000-0004-0000-0000-000027000000}"/>
    <hyperlink ref="B41:O41" location="'Table S14'!A64" display="Table S14b: Young people (all ages) under supervision during the year by sex, states and territories, 2000–01 to 2012–13" xr:uid="{00000000-0004-0000-0000-000029000000}"/>
    <hyperlink ref="B83:W83" location="'Table S35'!A21" display="Table S35b: Young people under supervision during the year by supervision history, sex and Indigenous status, states and territories, 2012–13: Young people under supervision during the year with a supervision history containing sentenced community-based s" xr:uid="{00000000-0004-0000-0000-00002A000000}"/>
    <hyperlink ref="B13" location="'Table S2'!A26" display="Table S2b: Young people under supervision during the year by sex and Indigenous status, states and territories, 2021–22" xr:uid="{00000000-0004-0000-0000-00002B000000}"/>
    <hyperlink ref="B83:Y83" location="'Table S35'!A22" display="Table S35b: Young people under supervision during the year by supervision history, sex and Indigenous status, states and territories, 2012–13: Young people under supervision during the year with a supervision history containing sentenced community-based s" xr:uid="{00000000-0004-0000-0000-00002C000000}"/>
    <hyperlink ref="B19" location="'Table S5'!A29" display="Table S5b: Young people under supervision during the year, by age sex and Indigenous status, Australia, 2021–22" xr:uid="{00000000-0004-0000-0000-00002D000000}"/>
    <hyperlink ref="B21" location="'Table S6'!A22" display="Table S6b: Young people aged 10–17 under supervision during the year by age, sex and Indigenous status, Australia, 2021–22 (rate)" xr:uid="{00000000-0004-0000-0000-00002E000000}"/>
    <hyperlink ref="B33:Q33" location="'Table S10'!A53" display="Table S10b: Young people aged 10–17 under supervision during the year by Indigenous status, states and territories, 2010–11 to 2019–20" xr:uid="{00000000-0004-0000-0000-00002F000000}"/>
    <hyperlink ref="B35" location="'Table S11'!A53" display="Table S11b: Young people under supervision during the year by Indigenous status, states and territories, 2004–05 to 2013–14" xr:uid="{00000000-0004-0000-0000-000030000000}"/>
    <hyperlink ref="B41" location="'Table S14'!A53" display="Table S14b: Young people under supervision during the year by sex, states and territories, 2004–05 to 2013–14" xr:uid="{00000000-0004-0000-0000-000031000000}"/>
    <hyperlink ref="B83" location="'Table S33'!A20" display="Table S35b: Young people under supervision during the year by supervision history, sex and Indigenous status, states and territories, 2019–20: Young people under supervision during the year with a supervision history containing sentenced community-based s" xr:uid="{00000000-0004-0000-0000-000032000000}"/>
    <hyperlink ref="B17:O17" location="'Table S4'!A20" display="Table S4b: Young people aged 10–17 under supervision during the year by sex and Indigenous status, states and territories, 2019–20 (rate)" xr:uid="{00000000-0004-0000-0000-000033000000}"/>
    <hyperlink ref="B17" location="'Table S4'!A19" display="Table S4b: Young people aged 10–17 under supervision during the year by sex and Indigenous status, states and territories, 2021–22 (rate)" xr:uid="{00000000-0004-0000-0000-000034000000}"/>
    <hyperlink ref="B33" location="'Table S10'!A54" display="Table S10b: Young people aged 10–17 under supervision during the year by Indigenous status, states and territories, 2010–11 to 2019–20" xr:uid="{00000000-0004-0000-0000-000035000000}"/>
    <hyperlink ref="B39" location="'Table S13'!A54" display="Table S13b: Young people aged 10–17 under supervision during the year by sex, states and territories, 2010–11 to 2019–20" xr:uid="{00000000-0004-0000-0000-000036000000}"/>
    <hyperlink ref="B82" location="'Table S33'!A1" display="Table S33a: Young people under supervision during the year by supervision history, sex and Indigenous status, states and territories, 2020–21: Young people under supervision during the year with a supervision history containing unsentenced community-based" xr:uid="{00000000-0004-0000-0000-000037000000}"/>
    <hyperlink ref="B4:C4" location="Notes!A1" display="Notes and Symbols" xr:uid="{00000000-0004-0000-0000-000038000000}"/>
    <hyperlink ref="B33:M33" location="'Table S10'!A53" display="Table S10b: Young people aged 10–17 under supervision during the year by Indigenous status, states and territories, 2011–12 to 2020–21" xr:uid="{00000000-0004-0000-0000-000039000000}"/>
    <hyperlink ref="B35:M35" location="'Table S11'!A51" display="Table S11b: Young people under supervision during the year by Indigenous status, states and territories, 2012–13 to 2021–22" xr:uid="{00000000-0004-0000-0000-00003A000000}"/>
    <hyperlink ref="B41:M41" location="'Table S14'!A54" display="Table S14b: Young people under supervision during the year by sex, states and territories, 2012–13 to 2021–22" xr:uid="{00000000-0004-0000-0000-00003C000000}"/>
    <hyperlink ref="B24" location="'Table S7'!A55" display="Table S7c: Young people under supervision on an average day by Indigenous status and age, states and territories, 2021–22 (rate)" xr:uid="{00000000-0004-0000-0000-00003D000000}"/>
    <hyperlink ref="B25" location="'Table S7'!A75" display="Table S7d: Young people under supervision during the year by Indigenous status and age, states and territories, 2021–22 (rate)" xr:uid="{00000000-0004-0000-0000-00003E000000}"/>
    <hyperlink ref="B29" location="'Table S8'!A33" display="Table S8b: Young people aged 10–17 under supervision during the year by age and sex, Australia, 2017–18 to 2021–22" xr:uid="{00000000-0004-0000-0000-00003F000000}"/>
    <hyperlink ref="B23" location="'Table S7'!A29" display="Table S7b: Young people under supervision during the year by Indigenous status and age, states and territories, 2021–22" xr:uid="{00000000-0004-0000-0000-000040000000}"/>
    <hyperlink ref="B15" location="'Table S3'!A27" display="Table S3b: Young people aged 10–17 under supervision during the year by sex and Indigenous status, states and territories, 2021–22" xr:uid="{00000000-0004-0000-0000-000041000000}"/>
    <hyperlink ref="B11" location="'Table S1'!A22" display="Table S1b: Young people under supervision during the year by age, states and territories, 2021–22" xr:uid="{00000000-0004-0000-0000-000042000000}"/>
    <hyperlink ref="B43:M43" location="'Table S15'!A45" display="Table S15b: Young people aged 10–17 under supervision during the year by sex, states and territories, 2012–13 to 2021–22 (rate)" xr:uid="{00000000-0004-0000-0000-000043000000}"/>
    <hyperlink ref="B37:M37" location="'Table S12'!A43" display="Table S12b: Young people aged 10–17 under supervision during the year by Indigenous status, states and territories, 2012–13 to 2021–22 (rate)" xr:uid="{00000000-0004-0000-0000-000044000000}"/>
    <hyperlink ref="B31" location="'Table S9'!A28" display="Table S9b: Young people aged 10–17 under supervision during the year by age and sex, Australia, 2017–18 to 2021–22 (rate)" xr:uid="{00000000-0004-0000-0000-000045000000}"/>
    <hyperlink ref="B55" location="'Table S21'!A33" display="Table S21b: Young people under supervision during the year by Indigenous status, sex and remoteness of usual residence, Australia, 2021–22" xr:uid="{00000000-0004-0000-0000-000046000000}"/>
    <hyperlink ref="B57" location="'Table S22'!A19" display="Table S22b: Young people aged 10–17 under supervision during the year by remoteness of usual residence, states and territories, 2021–22" xr:uid="{00000000-0004-0000-0000-000047000000}"/>
    <hyperlink ref="B58" location="'Table S22'!A35" display="Table S22c: Young people aged 10–17 under supervision on an average day by remoteness of usual residence, states and territories, 2021–22 (rate)" xr:uid="{00000000-0004-0000-0000-000048000000}"/>
    <hyperlink ref="B59" location="'Table S22'!A55" display="Table S22d: Young people aged 10–17 under supervision during the year by remoteness of usual residence, states and territories, 2021–22 (rate)" xr:uid="{00000000-0004-0000-0000-000049000000}"/>
    <hyperlink ref="B63" location="'Table S23'!A32" display="Table S23b: Young people under supervision during the year by sex, Indigenous status and socioeconomic position of usual residence, Australia, 2021–22" xr:uid="{00000000-0004-0000-0000-00004A000000}"/>
    <hyperlink ref="B65" location="'Table S24'!A19" display="Table S24b: Young people aged 10–17 under supervision during the year by socioeconomic position of usual residence, states and territories, 2021–22" xr:uid="{00000000-0004-0000-0000-00004B000000}"/>
    <hyperlink ref="B66" location="'Table S24'!A36" display="Table S24c: Young people aged 10–17 under supervision on an average day by socioeconomic position of usual residence, states and territories, 2021–22 (rate)" xr:uid="{00000000-0004-0000-0000-00004C000000}"/>
    <hyperlink ref="B67" location="'Table S24'!A54" display="Table S24d: Young people aged 10–17 under supervision during the year by socioeconomic position of usual residence, states and territories, 2021–22 (rate)" xr:uid="{00000000-0004-0000-0000-00004D000000}"/>
    <hyperlink ref="B72:N72" location="'Table S26'!A16" display="Table S26b: Young people by Indigenous status and number of detention orders, states and territories, 2021–22" xr:uid="{00000000-0004-0000-0000-00004E000000}"/>
    <hyperlink ref="B73:N73" location="'Table S26'!A31" display="Table S26c: Young people by Indigenous status and number of supervised orders, states and territories, 2021–22" xr:uid="{00000000-0004-0000-0000-00004F000000}"/>
    <hyperlink ref="B84" location="'Table S33'!A41" display="Table S33c: Young people under supervision during the year by supervision history, sex and Indigenous status, states and territories, 2021–22: Young people under supervision during the year with a supervision history containing any community-based supervi" xr:uid="{00000000-0004-0000-0000-000050000000}"/>
    <hyperlink ref="B85" location="'Table S33'!A62" display="Table S33d: Young people under supervision during the year by supervision history, sex and Indigenous status, states and territories, 2021–22: Young people under supervision during the year with a supervision history containing police-referred detention" xr:uid="{00000000-0004-0000-0000-000051000000}"/>
    <hyperlink ref="B86" location="'Table S33'!A83" display="Table S33e: Young people under supervision during the year by supervision history, sex and Indigenous status, states and territories, 2021–22: Young people under supervision during the year with a supervision history containing remand" xr:uid="{00000000-0004-0000-0000-000052000000}"/>
    <hyperlink ref="B87" location="'Table S33'!A104" display="Table S33f: Young people under supervision during the year by supervision history, sex and Indigenous status, states and territories, 2021–22:Young people under supervision during the year with a supervision history containing sentenced detention" xr:uid="{00000000-0004-0000-0000-000053000000}"/>
    <hyperlink ref="B88" location="'Table S33'!A125" display="Table S33g: Young people under supervision during the year by supervision history, sex and Indigenous status, states and territories, 2021–22: Young people under supervision during the year with a supervision history containing any type of detention" xr:uid="{00000000-0004-0000-0000-000054000000}"/>
    <hyperlink ref="B89" location="'Table S33'!A146" display="Table S33h: Young people under supervision during the year by supervision history, sex and Indigenous status, states and territories, 2021–22: Young people under supervision during the year with a supervision history comprising only unsentenced community-" xr:uid="{00000000-0004-0000-0000-000055000000}"/>
    <hyperlink ref="B90" location="'Table S33'!A167" display="Table S33i: Young people under supervision during the year by supervision history, sex and Indigenous status, states and territories, 2021–22: Young people under supervision during the year with a supervision history comprising only sentenced community-based supervision" xr:uid="{00000000-0004-0000-0000-000056000000}"/>
    <hyperlink ref="B91" location="'Table S33'!A188" display="Table S33j: Young people under supervision during the year by supervision history, sex and Indigenous status, states and territories, 2021–22: Young people under supervision during the year with a supervision history comprising only probation or similar" xr:uid="{00000000-0004-0000-0000-000057000000}"/>
    <hyperlink ref="B92" location="'Table S33'!A209" display="Table S33k: Young people under supervision during the year by supervision history, sex and Indigenous status, states and territories, 2021–22: Young people under supervision during the year with a supervision history comprising only community-based superv" xr:uid="{00000000-0004-0000-0000-000058000000}"/>
    <hyperlink ref="B93" location="'Table S33'!A230" display="Table S33l: Young people under supervision during the year by supervision history, sex and Indigenous status, states and territories, 2021–22: Young people under supervision during the year with a supervision history comprising only remand" xr:uid="{00000000-0004-0000-0000-000059000000}"/>
    <hyperlink ref="B94" location="'Table S33'!A251" display="Table S33m: Young people under supervision during the year by supervision history, sex and Indigenous status, states and territories, 2021–22: Young people under supervision during the year with a supervision history comprising only unsentenced detention" xr:uid="{00000000-0004-0000-0000-00005A000000}"/>
    <hyperlink ref="B95" location="'Table S33'!A273" display="Table S33n: Young people under supervision during the year by supervision history, sex and Indigenous status, states and territories, 2021–22: Young people under supervision during the year with a supervision history comprising only sentenced detention" xr:uid="{00000000-0004-0000-0000-00005B000000}"/>
    <hyperlink ref="B96" location="'Table S33'!A294" display="Table S33o: Young people under supervision during the year by supervision history, sex and Indigenous status, states and territories, 2021–22: Young people under supervision during the year with a supervision history comprising only detention" xr:uid="{00000000-0004-0000-0000-00005C000000}"/>
    <hyperlink ref="B54:K54" location="'Table S21'!A1" display="Table S21a: Young people under supervision on an average day by Indigenous status, sex and remoteness of usual residence, Australia, 2022–23" xr:uid="{9DB2A4B5-1174-49FE-9C1B-5855D379D57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0"/>
  <sheetViews>
    <sheetView workbookViewId="0"/>
  </sheetViews>
  <sheetFormatPr defaultColWidth="9.140625" defaultRowHeight="15" x14ac:dyDescent="0.25"/>
  <cols>
    <col min="1" max="16384" width="9.140625" style="24"/>
  </cols>
  <sheetData>
    <row r="1" spans="1:22" ht="18" x14ac:dyDescent="0.25">
      <c r="A1" s="22" t="s">
        <v>127</v>
      </c>
      <c r="B1" s="23"/>
      <c r="C1" s="16"/>
      <c r="D1" s="16"/>
      <c r="E1" s="16"/>
      <c r="F1" s="16"/>
      <c r="G1" s="16"/>
      <c r="H1" s="16"/>
      <c r="I1" s="16"/>
      <c r="J1" s="16"/>
      <c r="K1" s="16"/>
      <c r="L1" s="16"/>
      <c r="M1" s="16"/>
      <c r="N1" s="16"/>
      <c r="O1" s="16"/>
      <c r="P1" s="16"/>
      <c r="Q1" s="16"/>
      <c r="R1" s="16"/>
      <c r="S1" s="16"/>
      <c r="T1" s="16"/>
      <c r="U1" s="16"/>
      <c r="V1" s="16"/>
    </row>
    <row r="2" spans="1:22" ht="15" customHeight="1" x14ac:dyDescent="0.25">
      <c r="A2" s="25" t="s">
        <v>128</v>
      </c>
      <c r="B2" s="23" t="s">
        <v>129</v>
      </c>
      <c r="C2" s="16"/>
      <c r="D2" s="16"/>
      <c r="E2" s="16"/>
      <c r="F2" s="16"/>
      <c r="G2" s="16"/>
      <c r="H2" s="16"/>
      <c r="I2" s="16"/>
      <c r="J2" s="16"/>
      <c r="K2" s="16"/>
      <c r="L2" s="16"/>
      <c r="M2" s="16"/>
      <c r="N2" s="16"/>
      <c r="O2" s="16"/>
      <c r="P2" s="16"/>
      <c r="Q2" s="16"/>
      <c r="R2" s="16"/>
      <c r="S2" s="16"/>
      <c r="T2" s="16"/>
      <c r="U2" s="16"/>
      <c r="V2" s="16"/>
    </row>
    <row r="3" spans="1:22" ht="15" customHeight="1" x14ac:dyDescent="0.25">
      <c r="A3" s="25" t="s">
        <v>7</v>
      </c>
      <c r="B3" s="23" t="s">
        <v>130</v>
      </c>
      <c r="C3" s="16"/>
      <c r="D3" s="16"/>
      <c r="E3" s="16"/>
      <c r="F3" s="16"/>
      <c r="G3" s="16"/>
      <c r="H3" s="16"/>
      <c r="I3" s="16"/>
      <c r="J3" s="16"/>
      <c r="K3" s="16"/>
      <c r="L3" s="16"/>
      <c r="M3" s="16"/>
      <c r="N3" s="16"/>
      <c r="O3" s="16"/>
      <c r="P3" s="16"/>
      <c r="Q3" s="16"/>
      <c r="R3" s="16"/>
      <c r="S3" s="16"/>
      <c r="T3" s="16"/>
      <c r="U3" s="16"/>
      <c r="V3" s="16"/>
    </row>
    <row r="4" spans="1:22" ht="15" customHeight="1" x14ac:dyDescent="0.25">
      <c r="A4" s="25" t="s">
        <v>131</v>
      </c>
      <c r="B4" s="23" t="s">
        <v>132</v>
      </c>
      <c r="C4" s="16"/>
      <c r="D4" s="16"/>
      <c r="E4" s="16"/>
      <c r="F4" s="16"/>
      <c r="G4" s="16"/>
      <c r="H4" s="16"/>
      <c r="I4" s="16"/>
      <c r="J4" s="16"/>
      <c r="K4" s="16"/>
      <c r="L4" s="16"/>
      <c r="M4" s="16"/>
      <c r="N4" s="16"/>
      <c r="O4" s="16"/>
      <c r="P4" s="16"/>
      <c r="Q4" s="16"/>
      <c r="R4" s="16"/>
      <c r="S4" s="16"/>
      <c r="T4" s="16"/>
      <c r="U4" s="16"/>
      <c r="V4" s="16"/>
    </row>
    <row r="5" spans="1:22" ht="15" customHeight="1" x14ac:dyDescent="0.25">
      <c r="A5" s="25" t="s">
        <v>133</v>
      </c>
      <c r="B5" s="23" t="s">
        <v>9</v>
      </c>
      <c r="C5" s="16"/>
      <c r="D5" s="16"/>
      <c r="E5" s="16"/>
      <c r="F5" s="16"/>
      <c r="G5" s="16"/>
      <c r="H5" s="16"/>
      <c r="I5" s="16"/>
      <c r="J5" s="16"/>
      <c r="K5" s="16"/>
      <c r="L5" s="16"/>
      <c r="M5" s="16"/>
      <c r="N5" s="16"/>
      <c r="O5" s="16"/>
      <c r="P5" s="16"/>
      <c r="Q5" s="16"/>
      <c r="R5" s="16"/>
      <c r="S5" s="16"/>
      <c r="T5" s="16"/>
      <c r="U5" s="16"/>
      <c r="V5" s="16"/>
    </row>
    <row r="6" spans="1:22" ht="15" customHeight="1" x14ac:dyDescent="0.25">
      <c r="A6" s="25" t="s">
        <v>134</v>
      </c>
      <c r="B6" s="23" t="s">
        <v>135</v>
      </c>
      <c r="C6" s="16"/>
      <c r="D6" s="16"/>
      <c r="E6" s="16"/>
      <c r="F6" s="16"/>
      <c r="G6" s="16"/>
      <c r="H6" s="16"/>
      <c r="I6" s="16"/>
      <c r="J6" s="16"/>
      <c r="K6" s="16"/>
      <c r="L6" s="16"/>
      <c r="M6" s="16"/>
      <c r="N6" s="16"/>
      <c r="O6" s="16"/>
      <c r="P6" s="16"/>
      <c r="Q6" s="16"/>
      <c r="R6" s="16"/>
      <c r="S6" s="16"/>
      <c r="T6" s="16"/>
      <c r="U6" s="16"/>
      <c r="V6" s="16"/>
    </row>
    <row r="7" spans="1:22" ht="15" customHeight="1" x14ac:dyDescent="0.25">
      <c r="A7" s="25" t="s">
        <v>1</v>
      </c>
      <c r="B7" s="23" t="s">
        <v>136</v>
      </c>
      <c r="C7" s="16"/>
      <c r="D7" s="16"/>
      <c r="E7" s="16"/>
      <c r="F7" s="16"/>
      <c r="G7" s="16"/>
      <c r="H7" s="16"/>
      <c r="I7" s="16"/>
      <c r="J7" s="16"/>
      <c r="K7" s="16"/>
      <c r="L7" s="16"/>
      <c r="M7" s="16"/>
      <c r="N7" s="16"/>
      <c r="O7" s="16"/>
      <c r="P7" s="16"/>
      <c r="Q7" s="16"/>
      <c r="R7" s="16"/>
      <c r="S7" s="16"/>
      <c r="T7" s="16"/>
      <c r="U7" s="16"/>
      <c r="V7" s="16"/>
    </row>
    <row r="8" spans="1:22" ht="15" customHeight="1" x14ac:dyDescent="0.25">
      <c r="A8" s="25" t="s">
        <v>8</v>
      </c>
      <c r="B8" s="23" t="s">
        <v>137</v>
      </c>
      <c r="C8" s="16"/>
      <c r="D8" s="16"/>
      <c r="E8" s="16"/>
      <c r="F8" s="16"/>
      <c r="G8" s="16"/>
      <c r="H8" s="16"/>
      <c r="I8" s="16"/>
      <c r="J8" s="16"/>
      <c r="K8" s="16"/>
      <c r="L8" s="16"/>
      <c r="M8" s="16"/>
      <c r="N8" s="16"/>
      <c r="O8" s="16"/>
      <c r="P8" s="16"/>
      <c r="Q8" s="16"/>
      <c r="R8" s="16"/>
      <c r="S8" s="16"/>
      <c r="T8" s="16"/>
      <c r="U8" s="16"/>
      <c r="V8" s="16"/>
    </row>
    <row r="9" spans="1:22" ht="15" customHeight="1" x14ac:dyDescent="0.25">
      <c r="A9" s="25" t="s">
        <v>3</v>
      </c>
      <c r="B9" s="23" t="s">
        <v>138</v>
      </c>
      <c r="C9" s="16"/>
      <c r="D9" s="16"/>
      <c r="E9" s="16"/>
      <c r="F9" s="16"/>
      <c r="G9" s="16"/>
      <c r="H9" s="16"/>
      <c r="I9" s="16"/>
      <c r="J9" s="16"/>
      <c r="K9" s="16"/>
      <c r="L9" s="16"/>
      <c r="M9" s="16"/>
      <c r="N9" s="16"/>
      <c r="O9" s="16"/>
      <c r="P9" s="16"/>
      <c r="Q9" s="16"/>
      <c r="R9" s="16"/>
      <c r="S9" s="16"/>
      <c r="T9" s="16"/>
      <c r="U9" s="16"/>
      <c r="V9" s="16"/>
    </row>
    <row r="10" spans="1:22" ht="15" customHeight="1" x14ac:dyDescent="0.25">
      <c r="A10" s="25" t="s">
        <v>5</v>
      </c>
      <c r="B10" s="23" t="s">
        <v>139</v>
      </c>
      <c r="C10" s="16"/>
      <c r="D10" s="16"/>
      <c r="E10" s="16"/>
      <c r="F10" s="16"/>
      <c r="G10" s="16"/>
      <c r="H10" s="16"/>
      <c r="I10" s="16"/>
      <c r="J10" s="16"/>
      <c r="K10" s="16"/>
      <c r="L10" s="16"/>
      <c r="M10" s="16"/>
      <c r="N10" s="16"/>
      <c r="O10" s="16"/>
      <c r="P10" s="16"/>
      <c r="Q10" s="16"/>
      <c r="R10" s="16"/>
      <c r="S10" s="16"/>
      <c r="T10" s="16"/>
      <c r="U10" s="16"/>
      <c r="V10" s="16"/>
    </row>
    <row r="11" spans="1:22" ht="15" customHeight="1" x14ac:dyDescent="0.25">
      <c r="A11" s="25" t="s">
        <v>140</v>
      </c>
      <c r="B11" s="23" t="s">
        <v>141</v>
      </c>
      <c r="C11" s="16"/>
      <c r="D11" s="16"/>
      <c r="E11" s="16"/>
      <c r="F11" s="16"/>
      <c r="G11" s="16"/>
      <c r="H11" s="16"/>
      <c r="I11" s="16"/>
      <c r="J11" s="16"/>
      <c r="K11" s="16"/>
      <c r="L11" s="16"/>
      <c r="M11" s="16"/>
      <c r="N11" s="16"/>
      <c r="O11" s="16"/>
      <c r="P11" s="16"/>
      <c r="Q11" s="16"/>
      <c r="R11" s="16"/>
      <c r="S11" s="16"/>
      <c r="T11" s="16"/>
      <c r="U11" s="16"/>
      <c r="V11" s="16"/>
    </row>
    <row r="12" spans="1:22" ht="15" customHeight="1" x14ac:dyDescent="0.25">
      <c r="A12" s="25" t="s">
        <v>6</v>
      </c>
      <c r="B12" s="23" t="s">
        <v>142</v>
      </c>
      <c r="C12" s="16"/>
      <c r="D12" s="16"/>
      <c r="E12" s="16"/>
      <c r="F12" s="16"/>
      <c r="G12" s="16"/>
      <c r="H12" s="16"/>
      <c r="I12" s="16"/>
      <c r="J12" s="16"/>
      <c r="K12" s="16"/>
      <c r="L12" s="16"/>
      <c r="M12" s="16"/>
      <c r="N12" s="16"/>
      <c r="O12" s="16"/>
      <c r="P12" s="16"/>
      <c r="Q12" s="16"/>
      <c r="R12" s="16"/>
      <c r="S12" s="16"/>
      <c r="T12" s="16"/>
      <c r="U12" s="16"/>
      <c r="V12" s="16"/>
    </row>
    <row r="13" spans="1:22" ht="15" customHeight="1" x14ac:dyDescent="0.25">
      <c r="A13" s="25" t="s">
        <v>2</v>
      </c>
      <c r="B13" s="23" t="s">
        <v>143</v>
      </c>
      <c r="C13" s="16"/>
      <c r="D13" s="16"/>
      <c r="E13" s="16"/>
      <c r="F13" s="16"/>
      <c r="G13" s="16"/>
      <c r="H13" s="16"/>
      <c r="I13" s="16"/>
      <c r="J13" s="16"/>
      <c r="K13" s="16"/>
      <c r="L13" s="16"/>
      <c r="M13" s="16"/>
      <c r="N13" s="16"/>
      <c r="O13" s="16"/>
      <c r="P13" s="16"/>
      <c r="Q13" s="16"/>
      <c r="R13" s="16"/>
      <c r="S13" s="16"/>
      <c r="T13" s="16"/>
      <c r="U13" s="16"/>
      <c r="V13" s="16"/>
    </row>
    <row r="14" spans="1:22" ht="15" customHeight="1" x14ac:dyDescent="0.25">
      <c r="A14" s="25" t="s">
        <v>4</v>
      </c>
      <c r="B14" s="23" t="s">
        <v>144</v>
      </c>
      <c r="C14" s="16"/>
      <c r="D14" s="16"/>
      <c r="E14" s="16"/>
      <c r="F14" s="16"/>
      <c r="G14" s="16"/>
      <c r="H14" s="16"/>
      <c r="I14" s="16"/>
      <c r="J14" s="16"/>
      <c r="K14" s="16"/>
      <c r="L14" s="16"/>
      <c r="M14" s="16"/>
      <c r="N14" s="16"/>
      <c r="O14" s="16"/>
      <c r="P14" s="16"/>
      <c r="Q14" s="16"/>
      <c r="R14" s="16"/>
      <c r="S14" s="16"/>
      <c r="T14" s="16"/>
      <c r="U14" s="16"/>
      <c r="V14" s="16"/>
    </row>
    <row r="15" spans="1:22" ht="15" customHeight="1" x14ac:dyDescent="0.25">
      <c r="A15" s="16"/>
      <c r="B15" s="16"/>
      <c r="C15" s="16"/>
      <c r="D15" s="16"/>
      <c r="E15" s="16"/>
      <c r="F15" s="16"/>
      <c r="G15" s="16"/>
      <c r="H15" s="16"/>
      <c r="I15" s="16"/>
      <c r="J15" s="16"/>
      <c r="K15" s="16"/>
      <c r="L15" s="16"/>
      <c r="M15" s="16"/>
      <c r="N15" s="16"/>
      <c r="O15" s="16"/>
      <c r="P15" s="16"/>
      <c r="Q15" s="16"/>
      <c r="R15" s="16"/>
      <c r="S15" s="16"/>
      <c r="T15" s="16"/>
      <c r="U15" s="16"/>
      <c r="V15" s="16"/>
    </row>
    <row r="16" spans="1:22" ht="18" x14ac:dyDescent="0.25">
      <c r="A16" s="22" t="s">
        <v>145</v>
      </c>
      <c r="B16" s="23"/>
      <c r="C16" s="23"/>
      <c r="D16" s="23"/>
      <c r="E16" s="23"/>
      <c r="F16" s="23"/>
      <c r="G16" s="23"/>
      <c r="H16" s="23"/>
      <c r="I16" s="16"/>
      <c r="J16" s="16"/>
      <c r="K16" s="16"/>
      <c r="L16" s="16"/>
      <c r="M16" s="16"/>
      <c r="N16" s="16"/>
      <c r="O16" s="16"/>
      <c r="P16" s="16"/>
      <c r="Q16" s="16"/>
      <c r="R16" s="16"/>
      <c r="S16" s="16"/>
      <c r="T16" s="16"/>
      <c r="U16" s="16"/>
      <c r="V16" s="16"/>
    </row>
    <row r="17" spans="1:22" ht="15" customHeight="1" x14ac:dyDescent="0.25">
      <c r="A17" s="25" t="s">
        <v>146</v>
      </c>
      <c r="B17" s="23" t="s">
        <v>147</v>
      </c>
      <c r="C17" s="23"/>
      <c r="D17" s="23"/>
      <c r="E17" s="23"/>
      <c r="F17" s="23"/>
      <c r="G17" s="23"/>
      <c r="H17" s="23"/>
      <c r="I17" s="16"/>
      <c r="J17" s="16"/>
      <c r="K17" s="16"/>
      <c r="L17" s="16"/>
      <c r="M17" s="16"/>
      <c r="N17" s="16"/>
      <c r="O17" s="16"/>
      <c r="P17" s="16"/>
      <c r="Q17" s="16"/>
      <c r="R17" s="16"/>
      <c r="S17" s="16"/>
      <c r="T17" s="16"/>
      <c r="U17" s="16"/>
      <c r="V17" s="16"/>
    </row>
    <row r="18" spans="1:22" ht="15" customHeight="1" x14ac:dyDescent="0.25">
      <c r="A18" s="26" t="s">
        <v>146</v>
      </c>
      <c r="B18" s="23" t="s">
        <v>148</v>
      </c>
      <c r="C18" s="23"/>
      <c r="D18" s="23"/>
      <c r="E18" s="23"/>
      <c r="F18" s="23"/>
      <c r="G18" s="23"/>
      <c r="H18" s="23"/>
      <c r="I18" s="16"/>
      <c r="J18" s="16"/>
      <c r="K18" s="16"/>
      <c r="L18" s="16"/>
      <c r="M18" s="16"/>
      <c r="N18" s="16"/>
      <c r="O18" s="16"/>
      <c r="P18" s="16"/>
      <c r="Q18" s="16"/>
      <c r="R18" s="16"/>
      <c r="S18" s="16"/>
      <c r="T18" s="16"/>
      <c r="U18" s="16"/>
      <c r="V18" s="16"/>
    </row>
    <row r="19" spans="1:22" ht="15" customHeight="1" x14ac:dyDescent="0.25">
      <c r="A19" s="25" t="s">
        <v>149</v>
      </c>
      <c r="B19" s="23" t="s">
        <v>150</v>
      </c>
      <c r="C19" s="23"/>
      <c r="D19" s="23"/>
      <c r="E19" s="23"/>
      <c r="F19" s="23"/>
      <c r="G19" s="23"/>
      <c r="H19" s="23"/>
      <c r="I19" s="16"/>
      <c r="J19" s="16"/>
      <c r="K19" s="16"/>
      <c r="L19" s="16"/>
      <c r="M19" s="16"/>
      <c r="N19" s="16"/>
      <c r="O19" s="16"/>
      <c r="P19" s="16"/>
      <c r="Q19" s="16"/>
      <c r="R19" s="16"/>
      <c r="S19" s="16"/>
      <c r="T19" s="16"/>
      <c r="U19" s="16"/>
      <c r="V19" s="16"/>
    </row>
    <row r="20" spans="1:22" ht="15" customHeight="1" x14ac:dyDescent="0.25">
      <c r="A20" s="25" t="s">
        <v>151</v>
      </c>
      <c r="B20" s="23" t="s">
        <v>152</v>
      </c>
      <c r="C20" s="23"/>
      <c r="D20" s="23"/>
      <c r="E20" s="23"/>
      <c r="F20" s="23"/>
      <c r="G20" s="23"/>
      <c r="H20" s="23"/>
      <c r="I20" s="16"/>
      <c r="J20" s="16"/>
      <c r="K20" s="16"/>
      <c r="L20" s="16"/>
      <c r="M20" s="16"/>
      <c r="N20" s="16"/>
      <c r="O20" s="16"/>
      <c r="P20" s="16"/>
      <c r="Q20" s="16"/>
      <c r="R20" s="16"/>
      <c r="S20" s="16"/>
      <c r="T20" s="16"/>
      <c r="U20" s="16"/>
      <c r="V20" s="16"/>
    </row>
    <row r="21" spans="1:22" ht="15" customHeight="1" x14ac:dyDescent="0.25">
      <c r="A21" s="25" t="s">
        <v>153</v>
      </c>
      <c r="B21" s="23" t="s">
        <v>154</v>
      </c>
      <c r="C21" s="23"/>
      <c r="D21" s="23"/>
      <c r="E21" s="23"/>
      <c r="F21" s="23"/>
      <c r="G21" s="23"/>
      <c r="H21" s="23"/>
      <c r="I21" s="16"/>
      <c r="J21" s="16"/>
      <c r="K21" s="16"/>
      <c r="L21" s="16"/>
      <c r="M21" s="16"/>
      <c r="N21" s="16"/>
      <c r="O21" s="16"/>
      <c r="P21" s="16"/>
      <c r="Q21" s="16"/>
      <c r="R21" s="16"/>
      <c r="S21" s="16"/>
      <c r="T21" s="16"/>
      <c r="U21" s="16"/>
      <c r="V21" s="16"/>
    </row>
    <row r="22" spans="1:22" ht="15" customHeight="1" x14ac:dyDescent="0.25">
      <c r="A22" s="16"/>
      <c r="B22" s="16"/>
      <c r="C22" s="16"/>
      <c r="D22" s="16"/>
      <c r="E22" s="16"/>
      <c r="F22" s="16"/>
      <c r="G22" s="16"/>
      <c r="H22" s="16"/>
      <c r="I22" s="16"/>
      <c r="J22" s="16"/>
      <c r="K22" s="16"/>
      <c r="L22" s="16"/>
      <c r="M22" s="16"/>
      <c r="N22" s="16"/>
      <c r="O22" s="16"/>
      <c r="P22" s="16"/>
      <c r="Q22" s="16"/>
      <c r="R22" s="16"/>
      <c r="S22" s="16"/>
      <c r="T22" s="16"/>
      <c r="U22" s="16"/>
      <c r="V22" s="16"/>
    </row>
    <row r="23" spans="1:22" ht="18" x14ac:dyDescent="0.25">
      <c r="A23" s="22" t="s">
        <v>23</v>
      </c>
      <c r="B23" s="23"/>
      <c r="C23" s="23"/>
      <c r="D23" s="23"/>
      <c r="E23" s="23"/>
      <c r="F23" s="23"/>
      <c r="G23" s="23"/>
      <c r="H23" s="23"/>
      <c r="I23" s="16"/>
      <c r="J23" s="16"/>
      <c r="K23" s="16"/>
      <c r="L23" s="16"/>
      <c r="M23" s="16"/>
      <c r="N23" s="16"/>
      <c r="O23" s="16"/>
      <c r="P23" s="16"/>
      <c r="Q23" s="16"/>
      <c r="R23" s="16"/>
      <c r="S23" s="16"/>
      <c r="T23" s="16"/>
      <c r="U23" s="16"/>
      <c r="V23" s="16"/>
    </row>
    <row r="24" spans="1:22" x14ac:dyDescent="0.25">
      <c r="A24" s="25" t="s">
        <v>169</v>
      </c>
      <c r="B24" s="23"/>
      <c r="C24" s="23"/>
      <c r="D24" s="23"/>
      <c r="E24" s="23"/>
      <c r="F24" s="23"/>
      <c r="G24" s="23"/>
      <c r="H24" s="23"/>
      <c r="I24" s="16"/>
      <c r="J24" s="16"/>
      <c r="K24" s="16"/>
      <c r="L24" s="16"/>
      <c r="M24" s="16"/>
      <c r="N24" s="16"/>
      <c r="O24" s="16"/>
      <c r="P24" s="16"/>
      <c r="Q24" s="16"/>
      <c r="R24" s="16"/>
      <c r="S24" s="16"/>
      <c r="T24" s="16"/>
      <c r="U24" s="16"/>
      <c r="V24" s="16"/>
    </row>
    <row r="25" spans="1:22" ht="33" customHeight="1" x14ac:dyDescent="0.25">
      <c r="A25" s="185" t="s">
        <v>170</v>
      </c>
      <c r="B25" s="185"/>
      <c r="C25" s="186"/>
      <c r="D25" s="186"/>
      <c r="E25" s="186"/>
      <c r="F25" s="186"/>
      <c r="G25" s="186"/>
      <c r="H25" s="186"/>
      <c r="I25" s="186"/>
      <c r="J25" s="186"/>
      <c r="K25" s="186"/>
      <c r="L25" s="186"/>
      <c r="M25" s="186"/>
      <c r="N25" s="186"/>
      <c r="O25" s="186"/>
      <c r="P25" s="186"/>
      <c r="Q25" s="186"/>
      <c r="R25" s="186"/>
      <c r="S25" s="186"/>
      <c r="T25" s="186"/>
      <c r="U25" s="186"/>
      <c r="V25" s="186"/>
    </row>
    <row r="26" spans="1:22" ht="28.5" customHeight="1" x14ac:dyDescent="0.25">
      <c r="A26" s="185" t="s">
        <v>171</v>
      </c>
      <c r="B26" s="185"/>
      <c r="C26" s="185"/>
      <c r="D26" s="185"/>
      <c r="E26" s="185"/>
      <c r="F26" s="185"/>
      <c r="G26" s="185"/>
      <c r="H26" s="185"/>
      <c r="I26" s="185"/>
      <c r="J26" s="185"/>
      <c r="K26" s="185"/>
      <c r="L26" s="185"/>
      <c r="M26" s="185"/>
      <c r="N26" s="185"/>
      <c r="O26" s="185"/>
      <c r="P26" s="185"/>
      <c r="Q26" s="185"/>
      <c r="R26" s="185"/>
      <c r="S26" s="185"/>
      <c r="T26" s="185"/>
      <c r="U26" s="185"/>
      <c r="V26" s="23"/>
    </row>
    <row r="27" spans="1:22" s="27" customFormat="1" ht="45" customHeight="1" x14ac:dyDescent="0.25">
      <c r="A27" s="185" t="s">
        <v>172</v>
      </c>
      <c r="B27" s="185"/>
      <c r="C27" s="185"/>
      <c r="D27" s="185"/>
      <c r="E27" s="185"/>
      <c r="F27" s="185"/>
      <c r="G27" s="185"/>
      <c r="H27" s="185"/>
      <c r="I27" s="185"/>
      <c r="J27" s="185"/>
      <c r="K27" s="185"/>
      <c r="L27" s="185"/>
      <c r="M27" s="185"/>
      <c r="N27" s="185"/>
      <c r="O27" s="185"/>
      <c r="P27" s="185"/>
      <c r="Q27" s="185"/>
      <c r="R27" s="185"/>
      <c r="S27" s="185"/>
      <c r="T27" s="185"/>
      <c r="U27" s="185"/>
      <c r="V27" s="185"/>
    </row>
    <row r="28" spans="1:22" x14ac:dyDescent="0.25">
      <c r="A28" s="185" t="s">
        <v>173</v>
      </c>
      <c r="B28" s="185"/>
      <c r="C28" s="185"/>
      <c r="D28" s="185"/>
      <c r="E28" s="185"/>
      <c r="F28" s="185"/>
      <c r="G28" s="185"/>
      <c r="H28" s="185"/>
      <c r="I28" s="185"/>
      <c r="J28" s="185"/>
      <c r="K28" s="185"/>
      <c r="L28" s="185"/>
      <c r="M28" s="185"/>
      <c r="N28" s="185"/>
      <c r="O28" s="185"/>
      <c r="P28" s="185"/>
      <c r="Q28" s="185"/>
      <c r="R28" s="185"/>
      <c r="S28" s="185"/>
      <c r="T28" s="185"/>
      <c r="U28" s="185"/>
      <c r="V28" s="23"/>
    </row>
    <row r="29" spans="1:22" x14ac:dyDescent="0.25">
      <c r="A29" s="16" t="s">
        <v>174</v>
      </c>
      <c r="B29" s="16"/>
      <c r="C29" s="16"/>
      <c r="D29" s="16"/>
      <c r="E29" s="16"/>
      <c r="F29" s="16"/>
      <c r="G29" s="16"/>
      <c r="H29" s="16"/>
      <c r="I29" s="16"/>
      <c r="J29" s="16"/>
      <c r="K29" s="16"/>
      <c r="L29" s="16"/>
      <c r="M29" s="16"/>
      <c r="N29" s="16"/>
      <c r="O29" s="16"/>
      <c r="P29" s="16"/>
      <c r="Q29" s="16"/>
      <c r="R29" s="16"/>
      <c r="S29" s="16"/>
      <c r="T29" s="16"/>
      <c r="U29" s="16"/>
      <c r="V29" s="23"/>
    </row>
    <row r="30" spans="1:22" x14ac:dyDescent="0.25">
      <c r="A30" s="16" t="s">
        <v>175</v>
      </c>
      <c r="B30" s="16"/>
      <c r="C30" s="16"/>
      <c r="D30" s="16"/>
      <c r="E30" s="16"/>
      <c r="F30" s="16"/>
      <c r="G30" s="16"/>
      <c r="H30" s="16"/>
      <c r="I30" s="16"/>
      <c r="J30" s="16"/>
      <c r="K30" s="16"/>
      <c r="L30" s="16"/>
      <c r="M30" s="16"/>
      <c r="N30" s="16"/>
      <c r="O30" s="16"/>
      <c r="P30" s="16"/>
      <c r="Q30" s="16"/>
      <c r="R30" s="16"/>
      <c r="S30" s="16"/>
      <c r="T30" s="16"/>
      <c r="U30" s="16"/>
      <c r="V30" s="23"/>
    </row>
    <row r="31" spans="1:22" x14ac:dyDescent="0.25">
      <c r="A31" s="16" t="s">
        <v>176</v>
      </c>
      <c r="B31" s="16"/>
      <c r="C31" s="16"/>
      <c r="D31" s="16"/>
      <c r="E31" s="16"/>
      <c r="F31" s="16"/>
      <c r="G31" s="16"/>
      <c r="H31" s="16"/>
      <c r="I31" s="16"/>
      <c r="J31" s="16"/>
      <c r="K31" s="16"/>
      <c r="L31" s="16"/>
      <c r="M31" s="16"/>
      <c r="N31" s="16"/>
      <c r="O31" s="16"/>
      <c r="P31" s="16"/>
      <c r="Q31" s="16"/>
      <c r="R31" s="16"/>
      <c r="S31" s="16"/>
      <c r="T31" s="16"/>
      <c r="U31" s="16"/>
      <c r="V31" s="23"/>
    </row>
    <row r="32" spans="1:22" x14ac:dyDescent="0.25">
      <c r="A32" s="16"/>
      <c r="B32" s="16"/>
      <c r="C32" s="16"/>
      <c r="D32" s="16"/>
      <c r="E32" s="16"/>
      <c r="F32" s="16"/>
      <c r="G32" s="16"/>
      <c r="H32" s="16"/>
      <c r="I32" s="16"/>
      <c r="J32" s="16"/>
      <c r="K32" s="16"/>
      <c r="L32" s="16"/>
      <c r="M32" s="16"/>
      <c r="N32" s="16"/>
      <c r="O32" s="16"/>
      <c r="P32" s="16"/>
      <c r="Q32" s="16"/>
      <c r="R32" s="16"/>
      <c r="S32" s="16"/>
      <c r="T32" s="16"/>
      <c r="U32" s="16"/>
      <c r="V32" s="23"/>
    </row>
    <row r="33" spans="1:22" ht="18" x14ac:dyDescent="0.25">
      <c r="A33" s="22" t="s">
        <v>155</v>
      </c>
      <c r="B33" s="16"/>
      <c r="C33" s="16"/>
      <c r="D33" s="16"/>
      <c r="E33" s="16"/>
      <c r="F33" s="16"/>
      <c r="G33" s="16"/>
      <c r="H33" s="16"/>
      <c r="I33" s="16"/>
      <c r="J33" s="16"/>
      <c r="K33" s="16"/>
      <c r="L33" s="16"/>
      <c r="M33" s="16"/>
      <c r="N33" s="16"/>
      <c r="O33" s="16"/>
      <c r="P33" s="16"/>
      <c r="Q33" s="16"/>
      <c r="R33" s="16"/>
      <c r="S33" s="16"/>
      <c r="T33" s="16"/>
      <c r="U33" s="16"/>
      <c r="V33" s="16"/>
    </row>
    <row r="34" spans="1:22" ht="31.5" customHeight="1" x14ac:dyDescent="0.25">
      <c r="A34" s="187" t="s">
        <v>432</v>
      </c>
      <c r="B34" s="187"/>
      <c r="C34" s="187"/>
      <c r="D34" s="187"/>
      <c r="E34" s="187"/>
      <c r="F34" s="187"/>
      <c r="G34" s="187"/>
      <c r="H34" s="187"/>
      <c r="I34" s="187"/>
      <c r="J34" s="187"/>
      <c r="K34" s="187"/>
      <c r="L34" s="187"/>
      <c r="M34" s="187"/>
      <c r="N34" s="187"/>
      <c r="O34" s="187"/>
      <c r="P34" s="187"/>
      <c r="Q34" s="187"/>
      <c r="R34" s="187"/>
      <c r="S34" s="187"/>
      <c r="T34" s="187"/>
      <c r="U34" s="187"/>
      <c r="V34" s="187"/>
    </row>
    <row r="35" spans="1:22" ht="18" customHeight="1" x14ac:dyDescent="0.25">
      <c r="A35" s="187" t="s">
        <v>430</v>
      </c>
      <c r="B35" s="187"/>
      <c r="C35" s="187"/>
      <c r="D35" s="187"/>
      <c r="E35" s="187"/>
      <c r="F35" s="187"/>
      <c r="G35" s="187"/>
      <c r="H35" s="187"/>
      <c r="I35" s="187"/>
      <c r="J35" s="187"/>
      <c r="K35" s="187"/>
      <c r="L35" s="187"/>
      <c r="M35" s="187"/>
      <c r="N35" s="187"/>
      <c r="O35" s="187"/>
      <c r="P35" s="187"/>
      <c r="Q35" s="187"/>
      <c r="R35" s="187"/>
      <c r="S35" s="187"/>
      <c r="T35" s="187"/>
      <c r="U35" s="187"/>
      <c r="V35" s="187"/>
    </row>
    <row r="36" spans="1:22" ht="18.75" customHeight="1" x14ac:dyDescent="0.25">
      <c r="A36" s="187" t="s">
        <v>431</v>
      </c>
      <c r="B36" s="187"/>
      <c r="C36" s="187"/>
      <c r="D36" s="187"/>
      <c r="E36" s="187"/>
      <c r="F36" s="187"/>
      <c r="G36" s="187"/>
      <c r="H36" s="187"/>
      <c r="I36" s="187"/>
      <c r="J36" s="187"/>
      <c r="K36" s="187"/>
      <c r="L36" s="187"/>
      <c r="M36" s="187"/>
      <c r="N36" s="187"/>
      <c r="O36" s="187"/>
      <c r="P36" s="187"/>
      <c r="Q36" s="187"/>
      <c r="R36" s="187"/>
      <c r="S36" s="187"/>
      <c r="T36" s="187"/>
      <c r="U36" s="187"/>
      <c r="V36" s="187"/>
    </row>
    <row r="37" spans="1:22" ht="33" customHeight="1" x14ac:dyDescent="0.25">
      <c r="A37" s="187" t="s">
        <v>433</v>
      </c>
      <c r="B37" s="187"/>
      <c r="C37" s="187"/>
      <c r="D37" s="187"/>
      <c r="E37" s="187"/>
      <c r="F37" s="187"/>
      <c r="G37" s="187"/>
      <c r="H37" s="187"/>
      <c r="I37" s="187"/>
      <c r="J37" s="187"/>
      <c r="K37" s="187"/>
      <c r="L37" s="187"/>
      <c r="M37" s="187"/>
      <c r="N37" s="187"/>
      <c r="O37" s="187"/>
      <c r="P37" s="187"/>
      <c r="Q37" s="187"/>
      <c r="R37" s="187"/>
      <c r="S37" s="187"/>
      <c r="T37" s="187"/>
      <c r="U37" s="187"/>
      <c r="V37" s="187"/>
    </row>
    <row r="38" spans="1:22" ht="29.25" customHeight="1" x14ac:dyDescent="0.25">
      <c r="A38" s="187" t="s">
        <v>434</v>
      </c>
      <c r="B38" s="187"/>
      <c r="C38" s="187"/>
      <c r="D38" s="187"/>
      <c r="E38" s="187"/>
      <c r="F38" s="187"/>
      <c r="G38" s="187"/>
      <c r="H38" s="187"/>
      <c r="I38" s="187"/>
      <c r="J38" s="187"/>
      <c r="K38" s="187"/>
      <c r="L38" s="187"/>
      <c r="M38" s="187"/>
      <c r="N38" s="187"/>
      <c r="O38" s="187"/>
      <c r="P38" s="187"/>
      <c r="Q38" s="187"/>
      <c r="R38" s="187"/>
      <c r="S38" s="187"/>
      <c r="T38" s="187"/>
      <c r="U38" s="187"/>
      <c r="V38" s="187"/>
    </row>
    <row r="39" spans="1:22" ht="73.5" customHeight="1" x14ac:dyDescent="0.25">
      <c r="A39" s="187" t="s">
        <v>435</v>
      </c>
      <c r="B39" s="187"/>
      <c r="C39" s="187"/>
      <c r="D39" s="187"/>
      <c r="E39" s="187"/>
      <c r="F39" s="187"/>
      <c r="G39" s="187"/>
      <c r="H39" s="187"/>
      <c r="I39" s="187"/>
      <c r="J39" s="187"/>
      <c r="K39" s="187"/>
      <c r="L39" s="187"/>
      <c r="M39" s="187"/>
      <c r="N39" s="187"/>
      <c r="O39" s="187"/>
      <c r="P39" s="187"/>
      <c r="Q39" s="187"/>
      <c r="R39" s="187"/>
      <c r="S39" s="187"/>
      <c r="T39" s="187"/>
      <c r="U39" s="187"/>
      <c r="V39" s="187"/>
    </row>
    <row r="43" spans="1:22" ht="34.5" customHeight="1" x14ac:dyDescent="0.25">
      <c r="A43" s="187"/>
      <c r="B43" s="187"/>
      <c r="C43" s="187"/>
      <c r="D43" s="187"/>
      <c r="E43" s="187"/>
      <c r="F43" s="187"/>
      <c r="G43" s="187"/>
      <c r="H43" s="187"/>
      <c r="I43" s="187"/>
      <c r="J43" s="187"/>
      <c r="K43" s="187"/>
      <c r="L43" s="187"/>
      <c r="M43" s="187"/>
      <c r="N43" s="187"/>
      <c r="O43" s="187"/>
      <c r="P43" s="187"/>
      <c r="Q43" s="187"/>
      <c r="R43" s="187"/>
      <c r="S43" s="187"/>
    </row>
    <row r="44" spans="1:22" x14ac:dyDescent="0.25">
      <c r="A44" s="90"/>
    </row>
    <row r="45" spans="1:22" x14ac:dyDescent="0.25">
      <c r="A45" s="90"/>
    </row>
    <row r="46" spans="1:22" x14ac:dyDescent="0.25">
      <c r="A46" s="91"/>
    </row>
    <row r="47" spans="1:22" x14ac:dyDescent="0.25">
      <c r="A47" s="90"/>
    </row>
    <row r="48" spans="1:22" x14ac:dyDescent="0.25">
      <c r="A48" s="91"/>
    </row>
    <row r="49" spans="1:1" x14ac:dyDescent="0.25">
      <c r="A49" s="92"/>
    </row>
    <row r="50" spans="1:1" x14ac:dyDescent="0.25">
      <c r="A50" s="92"/>
    </row>
  </sheetData>
  <mergeCells count="11">
    <mergeCell ref="A25:V25"/>
    <mergeCell ref="A26:U26"/>
    <mergeCell ref="A27:V27"/>
    <mergeCell ref="A28:U28"/>
    <mergeCell ref="A43:S43"/>
    <mergeCell ref="A34:V34"/>
    <mergeCell ref="A35:V35"/>
    <mergeCell ref="A38:V38"/>
    <mergeCell ref="A39:V39"/>
    <mergeCell ref="A37:V37"/>
    <mergeCell ref="A36:V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39"/>
  <sheetViews>
    <sheetView zoomScaleNormal="100" workbookViewId="0">
      <selection activeCell="A22" sqref="A22"/>
    </sheetView>
  </sheetViews>
  <sheetFormatPr defaultColWidth="9.140625" defaultRowHeight="15" x14ac:dyDescent="0.25"/>
  <cols>
    <col min="1" max="12" width="11.42578125" style="1" bestFit="1" customWidth="1"/>
    <col min="13" max="16384" width="9.140625" style="1"/>
  </cols>
  <sheetData>
    <row r="1" spans="1:20" ht="21" customHeight="1" x14ac:dyDescent="0.25">
      <c r="A1" s="190" t="s">
        <v>346</v>
      </c>
      <c r="B1" s="190"/>
      <c r="C1" s="190"/>
      <c r="D1" s="190"/>
      <c r="E1" s="190"/>
      <c r="F1" s="190"/>
      <c r="G1" s="190"/>
      <c r="H1" s="190"/>
      <c r="I1" s="190"/>
      <c r="J1" s="190"/>
    </row>
    <row r="2" spans="1:20" ht="4.5" hidden="1" customHeight="1" x14ac:dyDescent="0.25">
      <c r="A2" s="2"/>
    </row>
    <row r="3" spans="1:20" x14ac:dyDescent="0.25">
      <c r="A3" s="31" t="s">
        <v>156</v>
      </c>
      <c r="B3" s="3" t="s">
        <v>1</v>
      </c>
      <c r="C3" s="3" t="s">
        <v>2</v>
      </c>
      <c r="D3" s="3" t="s">
        <v>3</v>
      </c>
      <c r="E3" s="3" t="s">
        <v>4</v>
      </c>
      <c r="F3" s="3" t="s">
        <v>5</v>
      </c>
      <c r="G3" s="3" t="s">
        <v>6</v>
      </c>
      <c r="H3" s="3" t="s">
        <v>7</v>
      </c>
      <c r="I3" s="3" t="s">
        <v>8</v>
      </c>
      <c r="J3" s="3" t="s">
        <v>9</v>
      </c>
    </row>
    <row r="4" spans="1:20" x14ac:dyDescent="0.25">
      <c r="A4" s="98">
        <v>10</v>
      </c>
      <c r="B4" s="130" t="s">
        <v>146</v>
      </c>
      <c r="C4" s="130" t="s">
        <v>146</v>
      </c>
      <c r="D4" s="130">
        <v>0.1</v>
      </c>
      <c r="E4" s="130">
        <v>0.5</v>
      </c>
      <c r="F4" s="130" t="s">
        <v>146</v>
      </c>
      <c r="G4" s="130">
        <v>0.1</v>
      </c>
      <c r="H4" s="130" t="s">
        <v>146</v>
      </c>
      <c r="I4" s="130" t="s">
        <v>151</v>
      </c>
      <c r="J4" s="130">
        <v>0.7</v>
      </c>
      <c r="L4" s="5"/>
      <c r="M4" s="5"/>
      <c r="N4" s="5"/>
      <c r="O4" s="5"/>
      <c r="P4" s="5"/>
      <c r="Q4" s="5"/>
      <c r="R4" s="5"/>
      <c r="S4" s="5"/>
      <c r="T4" s="5"/>
    </row>
    <row r="5" spans="1:20" x14ac:dyDescent="0.25">
      <c r="A5" s="98">
        <v>11</v>
      </c>
      <c r="B5" s="130">
        <v>0.3</v>
      </c>
      <c r="C5" s="130">
        <v>0.1</v>
      </c>
      <c r="D5" s="130">
        <v>3</v>
      </c>
      <c r="E5" s="130">
        <v>0.6</v>
      </c>
      <c r="F5" s="130" t="s">
        <v>146</v>
      </c>
      <c r="G5" s="130" t="s">
        <v>146</v>
      </c>
      <c r="H5" s="130" t="s">
        <v>146</v>
      </c>
      <c r="I5" s="130" t="s">
        <v>151</v>
      </c>
      <c r="J5" s="130">
        <v>4.2</v>
      </c>
      <c r="L5" s="5"/>
      <c r="M5" s="5"/>
      <c r="N5" s="5"/>
      <c r="O5" s="5"/>
      <c r="P5" s="5"/>
      <c r="Q5" s="5"/>
      <c r="R5" s="5"/>
      <c r="S5" s="5"/>
      <c r="T5" s="5"/>
    </row>
    <row r="6" spans="1:20" x14ac:dyDescent="0.25">
      <c r="A6" s="98">
        <v>12</v>
      </c>
      <c r="B6" s="130">
        <v>1.6</v>
      </c>
      <c r="C6" s="130" t="s">
        <v>146</v>
      </c>
      <c r="D6" s="130">
        <v>19.600000000000001</v>
      </c>
      <c r="E6" s="130">
        <v>5.3</v>
      </c>
      <c r="F6" s="130">
        <v>1.7</v>
      </c>
      <c r="G6" s="130">
        <v>0.9</v>
      </c>
      <c r="H6" s="130">
        <v>0.8</v>
      </c>
      <c r="I6" s="130" t="s">
        <v>151</v>
      </c>
      <c r="J6" s="130">
        <v>29.9</v>
      </c>
      <c r="L6" s="5"/>
      <c r="M6" s="5"/>
      <c r="N6" s="5"/>
      <c r="O6" s="5"/>
      <c r="P6" s="5"/>
      <c r="Q6" s="5"/>
      <c r="R6" s="5"/>
      <c r="S6" s="5"/>
      <c r="T6" s="5"/>
    </row>
    <row r="7" spans="1:20" x14ac:dyDescent="0.25">
      <c r="A7" s="98">
        <v>13</v>
      </c>
      <c r="B7" s="130">
        <v>10.3</v>
      </c>
      <c r="C7" s="130">
        <v>1.3</v>
      </c>
      <c r="D7" s="130">
        <v>63.5</v>
      </c>
      <c r="E7" s="130">
        <v>20.3</v>
      </c>
      <c r="F7" s="130">
        <v>7.3</v>
      </c>
      <c r="G7" s="130">
        <v>2.7</v>
      </c>
      <c r="H7" s="130">
        <v>1.7</v>
      </c>
      <c r="I7" s="130" t="s">
        <v>151</v>
      </c>
      <c r="J7" s="130">
        <v>107.1</v>
      </c>
      <c r="L7" s="5"/>
      <c r="M7" s="5"/>
      <c r="N7" s="5"/>
      <c r="O7" s="5"/>
      <c r="P7" s="5"/>
      <c r="Q7" s="5"/>
      <c r="R7" s="5"/>
      <c r="S7" s="5"/>
      <c r="T7" s="5"/>
    </row>
    <row r="8" spans="1:20" x14ac:dyDescent="0.25">
      <c r="A8" s="98">
        <v>14</v>
      </c>
      <c r="B8" s="130">
        <v>73</v>
      </c>
      <c r="C8" s="130">
        <v>16.3</v>
      </c>
      <c r="D8" s="130">
        <v>141.30000000000001</v>
      </c>
      <c r="E8" s="130">
        <v>50.1</v>
      </c>
      <c r="F8" s="130">
        <v>20.8</v>
      </c>
      <c r="G8" s="130">
        <v>8.6</v>
      </c>
      <c r="H8" s="130">
        <v>7.7</v>
      </c>
      <c r="I8" s="130" t="s">
        <v>151</v>
      </c>
      <c r="J8" s="130">
        <v>317.8</v>
      </c>
      <c r="L8" s="5"/>
      <c r="M8" s="5"/>
      <c r="N8" s="5"/>
      <c r="O8" s="5"/>
      <c r="P8" s="5"/>
      <c r="Q8" s="5"/>
      <c r="R8" s="5"/>
      <c r="S8" s="5"/>
      <c r="T8" s="5"/>
    </row>
    <row r="9" spans="1:20" x14ac:dyDescent="0.25">
      <c r="A9" s="98">
        <v>15</v>
      </c>
      <c r="B9" s="130">
        <v>211.3</v>
      </c>
      <c r="C9" s="130">
        <v>60.8</v>
      </c>
      <c r="D9" s="130">
        <v>256</v>
      </c>
      <c r="E9" s="130">
        <v>96.1</v>
      </c>
      <c r="F9" s="130">
        <v>47.1</v>
      </c>
      <c r="G9" s="130">
        <v>21.1</v>
      </c>
      <c r="H9" s="130">
        <v>14.9</v>
      </c>
      <c r="I9" s="130" t="s">
        <v>151</v>
      </c>
      <c r="J9" s="130">
        <v>707.3</v>
      </c>
      <c r="L9" s="5"/>
      <c r="M9" s="5"/>
      <c r="N9" s="5"/>
      <c r="O9" s="5"/>
      <c r="P9" s="5"/>
      <c r="Q9" s="5"/>
      <c r="R9" s="5"/>
      <c r="S9" s="5"/>
      <c r="T9" s="5"/>
    </row>
    <row r="10" spans="1:20" x14ac:dyDescent="0.25">
      <c r="A10" s="98">
        <v>16</v>
      </c>
      <c r="B10" s="130">
        <v>292.89999999999998</v>
      </c>
      <c r="C10" s="130">
        <v>99.3</v>
      </c>
      <c r="D10" s="130">
        <v>329.1</v>
      </c>
      <c r="E10" s="130">
        <v>120.4</v>
      </c>
      <c r="F10" s="130">
        <v>66.8</v>
      </c>
      <c r="G10" s="130">
        <v>32.5</v>
      </c>
      <c r="H10" s="130">
        <v>17.8</v>
      </c>
      <c r="I10" s="130" t="s">
        <v>151</v>
      </c>
      <c r="J10" s="130">
        <v>958.9</v>
      </c>
      <c r="L10" s="5"/>
      <c r="M10" s="5"/>
      <c r="N10" s="5"/>
      <c r="O10" s="5"/>
      <c r="P10" s="5"/>
      <c r="Q10" s="5"/>
      <c r="R10" s="5"/>
      <c r="S10" s="5"/>
      <c r="T10" s="5"/>
    </row>
    <row r="11" spans="1:20" x14ac:dyDescent="0.25">
      <c r="A11" s="98">
        <v>17</v>
      </c>
      <c r="B11" s="130">
        <v>328.7</v>
      </c>
      <c r="C11" s="130">
        <v>122.1</v>
      </c>
      <c r="D11" s="130">
        <v>329.6</v>
      </c>
      <c r="E11" s="130">
        <v>144.1</v>
      </c>
      <c r="F11" s="130">
        <v>61.3</v>
      </c>
      <c r="G11" s="130">
        <v>44.4</v>
      </c>
      <c r="H11" s="130">
        <v>20.8</v>
      </c>
      <c r="I11" s="130" t="s">
        <v>151</v>
      </c>
      <c r="J11" s="130">
        <v>1051</v>
      </c>
      <c r="L11" s="5"/>
      <c r="M11" s="5"/>
      <c r="N11" s="5"/>
      <c r="O11" s="5"/>
      <c r="P11" s="5"/>
      <c r="Q11" s="5"/>
      <c r="R11" s="5"/>
      <c r="S11" s="5"/>
      <c r="T11" s="5"/>
    </row>
    <row r="12" spans="1:20" s="28" customFormat="1" x14ac:dyDescent="0.25">
      <c r="A12" s="118" t="s">
        <v>10</v>
      </c>
      <c r="B12" s="130">
        <v>918.2</v>
      </c>
      <c r="C12" s="130">
        <v>299.89999999999998</v>
      </c>
      <c r="D12" s="130">
        <v>1142.2</v>
      </c>
      <c r="E12" s="130">
        <v>437.5</v>
      </c>
      <c r="F12" s="130">
        <v>205</v>
      </c>
      <c r="G12" s="130">
        <v>110.2</v>
      </c>
      <c r="H12" s="130">
        <v>63.7</v>
      </c>
      <c r="I12" s="130" t="s">
        <v>151</v>
      </c>
      <c r="J12" s="130">
        <v>3176.8</v>
      </c>
      <c r="K12" s="1"/>
      <c r="L12" s="5"/>
      <c r="M12" s="5"/>
      <c r="N12" s="5"/>
      <c r="O12" s="5"/>
      <c r="P12" s="5"/>
      <c r="Q12" s="5"/>
      <c r="R12" s="5"/>
      <c r="S12" s="5"/>
      <c r="T12" s="5"/>
    </row>
    <row r="13" spans="1:20" x14ac:dyDescent="0.25">
      <c r="A13" s="98" t="s">
        <v>11</v>
      </c>
      <c r="B13" s="130">
        <v>116.3</v>
      </c>
      <c r="C13" s="130">
        <v>245.1</v>
      </c>
      <c r="D13" s="130">
        <v>414.4</v>
      </c>
      <c r="E13" s="130">
        <v>78.599999999999994</v>
      </c>
      <c r="F13" s="130">
        <v>38.200000000000003</v>
      </c>
      <c r="G13" s="130">
        <v>52.3</v>
      </c>
      <c r="H13" s="130">
        <v>25.6</v>
      </c>
      <c r="I13" s="130" t="s">
        <v>151</v>
      </c>
      <c r="J13" s="130">
        <v>970.5</v>
      </c>
      <c r="L13" s="5"/>
      <c r="M13" s="5"/>
      <c r="N13" s="5"/>
      <c r="O13" s="5"/>
      <c r="P13" s="5"/>
      <c r="Q13" s="5"/>
      <c r="R13" s="5"/>
      <c r="S13" s="5"/>
      <c r="T13" s="5"/>
    </row>
    <row r="14" spans="1:20" x14ac:dyDescent="0.25">
      <c r="A14" s="100" t="s">
        <v>12</v>
      </c>
      <c r="B14" s="101">
        <v>1034.5</v>
      </c>
      <c r="C14" s="101">
        <v>545</v>
      </c>
      <c r="D14" s="101">
        <v>1556.6</v>
      </c>
      <c r="E14" s="101">
        <v>516.20000000000005</v>
      </c>
      <c r="F14" s="101">
        <v>243.1</v>
      </c>
      <c r="G14" s="101">
        <v>162.5</v>
      </c>
      <c r="H14" s="101">
        <v>89.3</v>
      </c>
      <c r="I14" s="101" t="s">
        <v>151</v>
      </c>
      <c r="J14" s="101">
        <v>4147.3</v>
      </c>
      <c r="K14" s="123"/>
      <c r="L14" s="5"/>
      <c r="M14" s="5"/>
      <c r="N14" s="5"/>
      <c r="O14" s="5"/>
      <c r="P14" s="5"/>
      <c r="Q14" s="5"/>
      <c r="R14" s="5"/>
      <c r="S14" s="5"/>
      <c r="T14" s="5"/>
    </row>
    <row r="15" spans="1:20" ht="2.25" customHeight="1" x14ac:dyDescent="0.25">
      <c r="A15" s="2"/>
    </row>
    <row r="16" spans="1:20" ht="11.1" customHeight="1" x14ac:dyDescent="0.25">
      <c r="A16" s="191" t="s">
        <v>13</v>
      </c>
      <c r="B16" s="191"/>
      <c r="C16" s="191"/>
      <c r="D16" s="191"/>
      <c r="E16" s="191"/>
      <c r="F16" s="191"/>
      <c r="G16" s="191"/>
      <c r="H16" s="191"/>
      <c r="I16" s="191"/>
      <c r="J16" s="191"/>
    </row>
    <row r="17" spans="1:23" s="7" customFormat="1" ht="11.1" customHeight="1" x14ac:dyDescent="0.15">
      <c r="A17" s="7" t="s">
        <v>14</v>
      </c>
    </row>
    <row r="18" spans="1:23" s="8" customFormat="1" ht="9.75" customHeight="1" x14ac:dyDescent="0.2">
      <c r="A18" s="188" t="s">
        <v>232</v>
      </c>
      <c r="B18" s="188"/>
      <c r="C18" s="188"/>
      <c r="D18" s="188"/>
      <c r="E18" s="188"/>
      <c r="F18" s="188"/>
      <c r="G18" s="188"/>
      <c r="H18" s="188"/>
      <c r="I18" s="188"/>
      <c r="J18" s="188"/>
    </row>
    <row r="19" spans="1:23" s="8" customFormat="1" ht="18" customHeight="1" x14ac:dyDescent="0.2">
      <c r="A19" s="188" t="s">
        <v>34</v>
      </c>
      <c r="B19" s="188"/>
      <c r="C19" s="188"/>
      <c r="D19" s="188"/>
      <c r="E19" s="188"/>
      <c r="F19" s="188"/>
      <c r="G19" s="188"/>
      <c r="H19" s="188"/>
      <c r="I19" s="188"/>
      <c r="J19" s="188"/>
    </row>
    <row r="20" spans="1:23" s="7" customFormat="1" ht="11.1" customHeight="1" x14ac:dyDescent="0.15">
      <c r="A20" s="7" t="s">
        <v>348</v>
      </c>
    </row>
    <row r="21" spans="1:23" s="7" customFormat="1" ht="11.1" customHeight="1" x14ac:dyDescent="0.15"/>
    <row r="22" spans="1:23" s="7" customFormat="1" ht="11.1" customHeight="1" x14ac:dyDescent="0.15">
      <c r="A22" s="7" t="s">
        <v>347</v>
      </c>
    </row>
    <row r="23" spans="1:23" ht="12" customHeight="1" x14ac:dyDescent="0.25">
      <c r="A23" s="2"/>
    </row>
    <row r="24" spans="1:23" ht="27.95" customHeight="1" x14ac:dyDescent="0.25">
      <c r="A24" s="192" t="s">
        <v>272</v>
      </c>
      <c r="B24" s="192"/>
      <c r="C24" s="192"/>
      <c r="D24" s="192"/>
      <c r="E24" s="192"/>
      <c r="F24" s="192"/>
      <c r="G24" s="192"/>
      <c r="H24" s="192"/>
      <c r="I24" s="192"/>
      <c r="J24" s="192"/>
      <c r="K24" s="192"/>
      <c r="L24" s="192"/>
    </row>
    <row r="25" spans="1:23" ht="0.75" customHeight="1" x14ac:dyDescent="0.25">
      <c r="A25" s="2"/>
    </row>
    <row r="26" spans="1:23" x14ac:dyDescent="0.25">
      <c r="A26" s="35" t="s">
        <v>156</v>
      </c>
      <c r="B26" s="3" t="s">
        <v>1</v>
      </c>
      <c r="C26" s="3" t="s">
        <v>2</v>
      </c>
      <c r="D26" s="3" t="s">
        <v>3</v>
      </c>
      <c r="E26" s="3" t="s">
        <v>4</v>
      </c>
      <c r="F26" s="3" t="s">
        <v>5</v>
      </c>
      <c r="G26" s="3" t="s">
        <v>6</v>
      </c>
      <c r="H26" s="3" t="s">
        <v>7</v>
      </c>
      <c r="I26" s="3" t="s">
        <v>8</v>
      </c>
      <c r="J26" s="3" t="s">
        <v>9</v>
      </c>
    </row>
    <row r="27" spans="1:23" x14ac:dyDescent="0.25">
      <c r="A27" s="4" t="s">
        <v>16</v>
      </c>
      <c r="B27" s="9">
        <v>160</v>
      </c>
      <c r="C27" s="9">
        <v>12</v>
      </c>
      <c r="D27" s="9">
        <v>214</v>
      </c>
      <c r="E27" s="9">
        <v>184</v>
      </c>
      <c r="F27" s="9">
        <v>56</v>
      </c>
      <c r="G27" s="9">
        <v>13</v>
      </c>
      <c r="H27" s="9">
        <v>9</v>
      </c>
      <c r="I27" s="9">
        <v>88</v>
      </c>
      <c r="J27" s="9">
        <v>736</v>
      </c>
      <c r="L27" s="9"/>
      <c r="M27" s="9"/>
      <c r="N27" s="9"/>
      <c r="O27" s="9"/>
      <c r="P27" s="9"/>
      <c r="Q27" s="9"/>
      <c r="R27" s="9"/>
      <c r="S27" s="9"/>
      <c r="T27" s="9"/>
      <c r="W27" s="123"/>
    </row>
    <row r="28" spans="1:23" x14ac:dyDescent="0.25">
      <c r="A28" s="4">
        <v>14</v>
      </c>
      <c r="B28" s="9">
        <v>310</v>
      </c>
      <c r="C28" s="9">
        <v>59</v>
      </c>
      <c r="D28" s="9">
        <v>304</v>
      </c>
      <c r="E28" s="9">
        <v>211</v>
      </c>
      <c r="F28" s="9">
        <v>80</v>
      </c>
      <c r="G28" s="9">
        <v>26</v>
      </c>
      <c r="H28" s="9">
        <v>26</v>
      </c>
      <c r="I28" s="9">
        <v>104</v>
      </c>
      <c r="J28" s="9">
        <v>1120</v>
      </c>
      <c r="L28" s="9"/>
      <c r="M28" s="9"/>
      <c r="N28" s="9"/>
      <c r="O28" s="9"/>
      <c r="P28" s="9"/>
      <c r="Q28" s="9"/>
      <c r="R28" s="9"/>
      <c r="S28" s="9"/>
      <c r="T28" s="9"/>
    </row>
    <row r="29" spans="1:23" x14ac:dyDescent="0.25">
      <c r="A29" s="4">
        <v>15</v>
      </c>
      <c r="B29" s="9">
        <v>545</v>
      </c>
      <c r="C29" s="9">
        <v>157</v>
      </c>
      <c r="D29" s="9">
        <v>482</v>
      </c>
      <c r="E29" s="9">
        <v>267</v>
      </c>
      <c r="F29" s="9">
        <v>123</v>
      </c>
      <c r="G29" s="9">
        <v>41</v>
      </c>
      <c r="H29" s="9">
        <v>40</v>
      </c>
      <c r="I29" s="9">
        <v>111</v>
      </c>
      <c r="J29" s="9">
        <v>1766</v>
      </c>
      <c r="L29" s="9"/>
      <c r="M29" s="9"/>
      <c r="N29" s="9"/>
      <c r="O29" s="9"/>
      <c r="P29" s="9"/>
      <c r="Q29" s="9"/>
      <c r="R29" s="9"/>
      <c r="S29" s="9"/>
      <c r="T29" s="9"/>
    </row>
    <row r="30" spans="1:23" x14ac:dyDescent="0.25">
      <c r="A30" s="4">
        <v>16</v>
      </c>
      <c r="B30" s="9">
        <v>574</v>
      </c>
      <c r="C30" s="9">
        <v>178</v>
      </c>
      <c r="D30" s="9">
        <v>519</v>
      </c>
      <c r="E30" s="9">
        <v>318</v>
      </c>
      <c r="F30" s="9">
        <v>146</v>
      </c>
      <c r="G30" s="9">
        <v>55</v>
      </c>
      <c r="H30" s="9">
        <v>33</v>
      </c>
      <c r="I30" s="9">
        <v>144</v>
      </c>
      <c r="J30" s="9">
        <v>1967</v>
      </c>
      <c r="L30" s="9"/>
      <c r="M30" s="9"/>
      <c r="N30" s="9"/>
      <c r="O30" s="9"/>
      <c r="P30" s="9"/>
      <c r="Q30" s="9"/>
      <c r="R30" s="9"/>
      <c r="S30" s="9"/>
      <c r="T30" s="9"/>
    </row>
    <row r="31" spans="1:23" x14ac:dyDescent="0.25">
      <c r="A31" s="4">
        <v>17</v>
      </c>
      <c r="B31" s="9">
        <v>720</v>
      </c>
      <c r="C31" s="9">
        <v>229</v>
      </c>
      <c r="D31" s="9">
        <v>542</v>
      </c>
      <c r="E31" s="9">
        <v>361</v>
      </c>
      <c r="F31" s="9">
        <v>136</v>
      </c>
      <c r="G31" s="9">
        <v>81</v>
      </c>
      <c r="H31" s="9">
        <v>44</v>
      </c>
      <c r="I31" s="9">
        <v>206</v>
      </c>
      <c r="J31" s="9">
        <v>2319</v>
      </c>
      <c r="L31" s="9"/>
      <c r="M31" s="9"/>
      <c r="N31" s="9"/>
      <c r="O31" s="9"/>
      <c r="P31" s="9"/>
      <c r="Q31" s="9"/>
      <c r="R31" s="9"/>
      <c r="S31" s="9"/>
      <c r="T31" s="9"/>
    </row>
    <row r="32" spans="1:23" x14ac:dyDescent="0.25">
      <c r="A32" s="118" t="s">
        <v>10</v>
      </c>
      <c r="B32" s="115">
        <v>2309</v>
      </c>
      <c r="C32" s="115">
        <v>635</v>
      </c>
      <c r="D32" s="115">
        <v>2061</v>
      </c>
      <c r="E32" s="115">
        <v>1341</v>
      </c>
      <c r="F32" s="115">
        <v>541</v>
      </c>
      <c r="G32" s="115">
        <v>216</v>
      </c>
      <c r="H32" s="115">
        <v>152</v>
      </c>
      <c r="I32" s="115">
        <v>653</v>
      </c>
      <c r="J32" s="9">
        <v>7908</v>
      </c>
      <c r="L32" s="115"/>
      <c r="M32" s="115"/>
      <c r="N32" s="115"/>
      <c r="O32" s="115"/>
      <c r="P32" s="115"/>
      <c r="Q32" s="115"/>
      <c r="R32" s="115"/>
      <c r="S32" s="115"/>
      <c r="T32" s="115"/>
    </row>
    <row r="33" spans="1:20" x14ac:dyDescent="0.25">
      <c r="A33" s="4" t="s">
        <v>11</v>
      </c>
      <c r="B33" s="9">
        <v>147</v>
      </c>
      <c r="C33" s="9">
        <v>419</v>
      </c>
      <c r="D33" s="9">
        <v>502</v>
      </c>
      <c r="E33" s="9">
        <v>99</v>
      </c>
      <c r="F33" s="9">
        <v>68</v>
      </c>
      <c r="G33" s="9">
        <v>50</v>
      </c>
      <c r="H33" s="9">
        <v>24</v>
      </c>
      <c r="I33" s="9">
        <v>361</v>
      </c>
      <c r="J33" s="9">
        <v>1670</v>
      </c>
      <c r="L33" s="9"/>
      <c r="M33" s="9"/>
      <c r="N33" s="9"/>
      <c r="O33" s="9"/>
      <c r="P33" s="9"/>
      <c r="Q33" s="9"/>
      <c r="R33" s="9"/>
      <c r="S33" s="9"/>
      <c r="T33" s="9"/>
    </row>
    <row r="34" spans="1:20" x14ac:dyDescent="0.25">
      <c r="A34" s="10" t="s">
        <v>210</v>
      </c>
      <c r="B34" s="102">
        <v>2456</v>
      </c>
      <c r="C34" s="102">
        <v>1054</v>
      </c>
      <c r="D34" s="102">
        <v>2563</v>
      </c>
      <c r="E34" s="102">
        <v>1441</v>
      </c>
      <c r="F34" s="102">
        <v>609</v>
      </c>
      <c r="G34" s="102">
        <v>266</v>
      </c>
      <c r="H34" s="102">
        <v>176</v>
      </c>
      <c r="I34" s="102">
        <v>1014</v>
      </c>
      <c r="J34" s="102">
        <v>9579</v>
      </c>
      <c r="K34" s="122"/>
      <c r="L34" s="102"/>
      <c r="M34" s="102"/>
      <c r="N34" s="102"/>
      <c r="O34" s="102"/>
      <c r="P34" s="102"/>
      <c r="Q34" s="102"/>
      <c r="R34" s="102"/>
      <c r="S34" s="102"/>
      <c r="T34" s="102"/>
    </row>
    <row r="35" spans="1:20" ht="0.75" customHeight="1" x14ac:dyDescent="0.25">
      <c r="L35" s="9"/>
      <c r="M35" s="9"/>
      <c r="N35" s="9"/>
      <c r="O35" s="9"/>
      <c r="P35" s="9"/>
      <c r="Q35" s="9"/>
      <c r="R35" s="9"/>
      <c r="S35" s="9"/>
      <c r="T35" s="9"/>
    </row>
    <row r="36" spans="1:20" ht="21.95" customHeight="1" x14ac:dyDescent="0.25">
      <c r="A36" s="189" t="s">
        <v>17</v>
      </c>
      <c r="B36" s="189"/>
      <c r="C36" s="189"/>
      <c r="D36" s="189"/>
      <c r="E36" s="189"/>
      <c r="F36" s="189"/>
      <c r="G36" s="189"/>
      <c r="H36" s="189"/>
      <c r="I36" s="189"/>
      <c r="J36" s="189"/>
      <c r="K36" s="7"/>
      <c r="L36" s="7"/>
    </row>
    <row r="37" spans="1:20" s="7" customFormat="1" ht="11.1" customHeight="1" x14ac:dyDescent="0.15">
      <c r="A37" s="7" t="s">
        <v>15</v>
      </c>
    </row>
    <row r="38" spans="1:20" s="7" customFormat="1" ht="11.1" customHeight="1" x14ac:dyDescent="0.15">
      <c r="A38" s="7" t="s">
        <v>347</v>
      </c>
    </row>
    <row r="39" spans="1:20" ht="12" customHeight="1" x14ac:dyDescent="0.25">
      <c r="A39" s="2"/>
    </row>
  </sheetData>
  <mergeCells count="6">
    <mergeCell ref="A18:J18"/>
    <mergeCell ref="A36:J36"/>
    <mergeCell ref="A1:J1"/>
    <mergeCell ref="A16:J16"/>
    <mergeCell ref="A24:L24"/>
    <mergeCell ref="A19:J19"/>
  </mergeCells>
  <pageMargins left="0.08" right="0.08" top="1" bottom="1" header="0.5" footer="0.5"/>
  <pageSetup scale="44" orientation="landscape" blackAndWhite="1"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52"/>
  <sheetViews>
    <sheetView zoomScaleNormal="100" workbookViewId="0">
      <selection activeCell="A26" sqref="A26"/>
    </sheetView>
  </sheetViews>
  <sheetFormatPr defaultColWidth="9.140625" defaultRowHeight="15" x14ac:dyDescent="0.25"/>
  <cols>
    <col min="1" max="1" width="11.42578125" style="1" bestFit="1" customWidth="1"/>
    <col min="2" max="2" width="17" style="1" customWidth="1"/>
    <col min="3" max="13" width="11.42578125" style="1" bestFit="1" customWidth="1"/>
    <col min="14" max="16384" width="9.140625" style="1"/>
  </cols>
  <sheetData>
    <row r="1" spans="1:23" ht="23.25" customHeight="1" x14ac:dyDescent="0.25">
      <c r="A1" s="190" t="s">
        <v>350</v>
      </c>
      <c r="B1" s="190"/>
      <c r="C1" s="190"/>
      <c r="D1" s="190"/>
      <c r="E1" s="190"/>
      <c r="F1" s="190"/>
      <c r="G1" s="190"/>
      <c r="H1" s="190"/>
      <c r="I1" s="190"/>
      <c r="J1" s="190"/>
      <c r="K1" s="190"/>
    </row>
    <row r="2" spans="1:23" ht="3" customHeight="1" x14ac:dyDescent="0.25">
      <c r="A2" s="2"/>
    </row>
    <row r="3" spans="1:23" x14ac:dyDescent="0.25">
      <c r="A3" s="35" t="s">
        <v>157</v>
      </c>
      <c r="B3" s="35" t="s">
        <v>158</v>
      </c>
      <c r="C3" s="3" t="s">
        <v>1</v>
      </c>
      <c r="D3" s="3" t="s">
        <v>2</v>
      </c>
      <c r="E3" s="3" t="s">
        <v>3</v>
      </c>
      <c r="F3" s="3" t="s">
        <v>4</v>
      </c>
      <c r="G3" s="3" t="s">
        <v>5</v>
      </c>
      <c r="H3" s="3" t="s">
        <v>6</v>
      </c>
      <c r="I3" s="3" t="s">
        <v>7</v>
      </c>
      <c r="J3" s="3" t="s">
        <v>8</v>
      </c>
      <c r="K3" s="3" t="s">
        <v>9</v>
      </c>
    </row>
    <row r="4" spans="1:23" ht="15" customHeight="1" x14ac:dyDescent="0.25">
      <c r="A4" s="194" t="s">
        <v>18</v>
      </c>
      <c r="B4" s="98" t="s">
        <v>19</v>
      </c>
      <c r="C4" s="99">
        <v>457.8</v>
      </c>
      <c r="D4" s="99">
        <v>85.2</v>
      </c>
      <c r="E4" s="99">
        <v>736.8</v>
      </c>
      <c r="F4" s="99">
        <v>247.1</v>
      </c>
      <c r="G4" s="99">
        <v>97</v>
      </c>
      <c r="H4" s="99">
        <v>37.9</v>
      </c>
      <c r="I4" s="99">
        <v>20.2</v>
      </c>
      <c r="J4" s="99" t="s">
        <v>151</v>
      </c>
      <c r="K4" s="99">
        <v>1682</v>
      </c>
      <c r="M4" s="5"/>
      <c r="N4" s="5"/>
      <c r="O4" s="5"/>
      <c r="P4" s="5"/>
      <c r="Q4" s="5"/>
      <c r="R4" s="5"/>
      <c r="S4" s="5"/>
      <c r="T4" s="9"/>
      <c r="U4" s="5"/>
      <c r="W4" s="129"/>
    </row>
    <row r="5" spans="1:23" ht="15" customHeight="1" x14ac:dyDescent="0.25">
      <c r="A5" s="194"/>
      <c r="B5" s="98" t="s">
        <v>20</v>
      </c>
      <c r="C5" s="99">
        <v>364.2</v>
      </c>
      <c r="D5" s="99">
        <v>406.7</v>
      </c>
      <c r="E5" s="99">
        <v>450</v>
      </c>
      <c r="F5" s="99">
        <v>172.6</v>
      </c>
      <c r="G5" s="99">
        <v>83.8</v>
      </c>
      <c r="H5" s="99">
        <v>76</v>
      </c>
      <c r="I5" s="99">
        <v>46.6</v>
      </c>
      <c r="J5" s="99" t="s">
        <v>151</v>
      </c>
      <c r="K5" s="99">
        <v>1599.9</v>
      </c>
      <c r="M5" s="5"/>
      <c r="N5" s="5"/>
      <c r="O5" s="5"/>
      <c r="P5" s="5"/>
      <c r="Q5" s="5"/>
      <c r="R5" s="5"/>
      <c r="S5" s="5"/>
      <c r="T5" s="9"/>
      <c r="U5" s="5"/>
    </row>
    <row r="6" spans="1:23" ht="15" customHeight="1" x14ac:dyDescent="0.25">
      <c r="A6" s="194"/>
      <c r="B6" s="98" t="s">
        <v>21</v>
      </c>
      <c r="C6" s="99">
        <v>22.7</v>
      </c>
      <c r="D6" s="99">
        <v>0.6</v>
      </c>
      <c r="E6" s="99">
        <v>4.3</v>
      </c>
      <c r="F6" s="99" t="s">
        <v>146</v>
      </c>
      <c r="G6" s="99">
        <v>3</v>
      </c>
      <c r="H6" s="99">
        <v>0.5</v>
      </c>
      <c r="I6" s="99" t="s">
        <v>146</v>
      </c>
      <c r="J6" s="99" t="s">
        <v>151</v>
      </c>
      <c r="K6" s="99">
        <v>31</v>
      </c>
      <c r="M6" s="5"/>
      <c r="N6" s="5"/>
      <c r="O6" s="5"/>
      <c r="P6" s="9"/>
      <c r="Q6" s="5"/>
      <c r="R6" s="5"/>
      <c r="S6" s="5"/>
      <c r="T6" s="9"/>
      <c r="U6" s="5"/>
    </row>
    <row r="7" spans="1:23" ht="15" customHeight="1" x14ac:dyDescent="0.25">
      <c r="A7" s="194"/>
      <c r="B7" s="100" t="s">
        <v>12</v>
      </c>
      <c r="C7" s="101">
        <v>844.7</v>
      </c>
      <c r="D7" s="101">
        <v>492.5</v>
      </c>
      <c r="E7" s="101">
        <v>1191.0999999999999</v>
      </c>
      <c r="F7" s="101">
        <v>419.6</v>
      </c>
      <c r="G7" s="101">
        <v>183.8</v>
      </c>
      <c r="H7" s="101">
        <v>114.4</v>
      </c>
      <c r="I7" s="101">
        <v>66.8</v>
      </c>
      <c r="J7" s="101" t="s">
        <v>151</v>
      </c>
      <c r="K7" s="101">
        <v>3312.9</v>
      </c>
      <c r="M7" s="101"/>
      <c r="N7" s="101"/>
      <c r="O7" s="101"/>
      <c r="P7" s="101"/>
      <c r="Q7" s="101"/>
      <c r="R7" s="101"/>
      <c r="S7" s="101"/>
      <c r="T7" s="9"/>
      <c r="U7" s="101"/>
    </row>
    <row r="8" spans="1:23" ht="15" customHeight="1" x14ac:dyDescent="0.25">
      <c r="A8" s="194" t="s">
        <v>22</v>
      </c>
      <c r="B8" s="98" t="s">
        <v>19</v>
      </c>
      <c r="C8" s="99">
        <v>110.1</v>
      </c>
      <c r="D8" s="99">
        <v>11.9</v>
      </c>
      <c r="E8" s="99">
        <v>257.7</v>
      </c>
      <c r="F8" s="99">
        <v>56.7</v>
      </c>
      <c r="G8" s="99">
        <v>35.4</v>
      </c>
      <c r="H8" s="99">
        <v>21.4</v>
      </c>
      <c r="I8" s="99">
        <v>7.1</v>
      </c>
      <c r="J8" s="99" t="s">
        <v>151</v>
      </c>
      <c r="K8" s="99">
        <v>500.3</v>
      </c>
      <c r="M8" s="5"/>
      <c r="N8" s="5"/>
      <c r="O8" s="5"/>
      <c r="P8" s="5"/>
      <c r="Q8" s="5"/>
      <c r="R8" s="5"/>
      <c r="S8" s="5"/>
      <c r="T8" s="9"/>
      <c r="U8" s="5"/>
    </row>
    <row r="9" spans="1:23" ht="15" customHeight="1" x14ac:dyDescent="0.25">
      <c r="A9" s="194"/>
      <c r="B9" s="98" t="s">
        <v>20</v>
      </c>
      <c r="C9" s="99">
        <v>73.099999999999994</v>
      </c>
      <c r="D9" s="99">
        <v>40.6</v>
      </c>
      <c r="E9" s="99">
        <v>106.4</v>
      </c>
      <c r="F9" s="99">
        <v>39.799999999999997</v>
      </c>
      <c r="G9" s="99">
        <v>23.4</v>
      </c>
      <c r="H9" s="99">
        <v>24.6</v>
      </c>
      <c r="I9" s="99">
        <v>15.4</v>
      </c>
      <c r="J9" s="99" t="s">
        <v>151</v>
      </c>
      <c r="K9" s="99">
        <v>323.39999999999998</v>
      </c>
      <c r="M9" s="5"/>
      <c r="N9" s="5"/>
      <c r="O9" s="5"/>
      <c r="P9" s="5"/>
      <c r="Q9" s="5"/>
      <c r="R9" s="5"/>
      <c r="S9" s="5"/>
      <c r="T9" s="9"/>
      <c r="U9" s="5"/>
    </row>
    <row r="10" spans="1:23" ht="15" customHeight="1" x14ac:dyDescent="0.25">
      <c r="A10" s="194"/>
      <c r="B10" s="98" t="s">
        <v>21</v>
      </c>
      <c r="C10" s="99">
        <v>5.4</v>
      </c>
      <c r="D10" s="99" t="s">
        <v>146</v>
      </c>
      <c r="E10" s="99">
        <v>0.3</v>
      </c>
      <c r="F10" s="99" t="s">
        <v>146</v>
      </c>
      <c r="G10" s="99" t="s">
        <v>146</v>
      </c>
      <c r="H10" s="99">
        <v>0.1</v>
      </c>
      <c r="I10" s="99" t="s">
        <v>146</v>
      </c>
      <c r="J10" s="99" t="s">
        <v>151</v>
      </c>
      <c r="K10" s="99">
        <v>5.8</v>
      </c>
      <c r="M10" s="5"/>
      <c r="N10" s="5"/>
      <c r="O10" s="5"/>
      <c r="P10" s="9"/>
      <c r="Q10" s="9"/>
      <c r="R10" s="5"/>
      <c r="S10" s="5"/>
      <c r="T10" s="9"/>
      <c r="U10" s="5"/>
    </row>
    <row r="11" spans="1:23" ht="15" customHeight="1" x14ac:dyDescent="0.25">
      <c r="A11" s="194"/>
      <c r="B11" s="100" t="s">
        <v>12</v>
      </c>
      <c r="C11" s="101">
        <v>188.7</v>
      </c>
      <c r="D11" s="101">
        <v>52.6</v>
      </c>
      <c r="E11" s="101">
        <v>364.3</v>
      </c>
      <c r="F11" s="101">
        <v>96.5</v>
      </c>
      <c r="G11" s="101">
        <v>58.9</v>
      </c>
      <c r="H11" s="101">
        <v>46.1</v>
      </c>
      <c r="I11" s="101">
        <v>22.5</v>
      </c>
      <c r="J11" s="101" t="s">
        <v>151</v>
      </c>
      <c r="K11" s="101">
        <v>829.5</v>
      </c>
      <c r="M11" s="101"/>
      <c r="N11" s="101"/>
      <c r="O11" s="101"/>
      <c r="P11" s="101"/>
      <c r="Q11" s="101"/>
      <c r="R11" s="101"/>
      <c r="S11" s="101"/>
      <c r="T11" s="9"/>
      <c r="U11" s="101"/>
    </row>
    <row r="12" spans="1:23" ht="15" customHeight="1" x14ac:dyDescent="0.25">
      <c r="A12" s="194" t="s">
        <v>21</v>
      </c>
      <c r="B12" s="98" t="s">
        <v>19</v>
      </c>
      <c r="C12" s="99">
        <v>0.4</v>
      </c>
      <c r="D12" s="38" t="s">
        <v>146</v>
      </c>
      <c r="E12" s="99">
        <v>0.1</v>
      </c>
      <c r="F12" s="99" t="s">
        <v>146</v>
      </c>
      <c r="G12" s="99" t="s">
        <v>146</v>
      </c>
      <c r="H12" s="99" t="s">
        <v>146</v>
      </c>
      <c r="I12" s="99" t="s">
        <v>146</v>
      </c>
      <c r="J12" s="99" t="s">
        <v>151</v>
      </c>
      <c r="K12" s="99">
        <v>0.5</v>
      </c>
      <c r="M12" s="5"/>
      <c r="N12" s="5"/>
      <c r="O12" s="5"/>
      <c r="P12" s="5"/>
      <c r="Q12" s="5"/>
      <c r="R12" s="5"/>
      <c r="S12" s="5"/>
      <c r="T12" s="5"/>
      <c r="U12" s="5"/>
    </row>
    <row r="13" spans="1:23" ht="15" customHeight="1" x14ac:dyDescent="0.25">
      <c r="A13" s="194"/>
      <c r="B13" s="98" t="s">
        <v>20</v>
      </c>
      <c r="C13" s="99">
        <v>0.7</v>
      </c>
      <c r="D13" s="38" t="s">
        <v>146</v>
      </c>
      <c r="E13" s="99">
        <v>1.1000000000000001</v>
      </c>
      <c r="F13" s="99" t="s">
        <v>146</v>
      </c>
      <c r="G13" s="99" t="s">
        <v>146</v>
      </c>
      <c r="H13" s="99">
        <v>1.9</v>
      </c>
      <c r="I13" s="99" t="s">
        <v>146</v>
      </c>
      <c r="J13" s="99" t="s">
        <v>151</v>
      </c>
      <c r="K13" s="99">
        <v>3.7</v>
      </c>
      <c r="M13" s="5"/>
      <c r="N13" s="5"/>
      <c r="O13" s="5"/>
      <c r="P13" s="5"/>
      <c r="Q13" s="5"/>
      <c r="R13" s="5"/>
      <c r="S13" s="5"/>
      <c r="T13" s="5"/>
      <c r="U13" s="5"/>
    </row>
    <row r="14" spans="1:23" ht="15" customHeight="1" x14ac:dyDescent="0.25">
      <c r="A14" s="194"/>
      <c r="B14" s="98" t="s">
        <v>21</v>
      </c>
      <c r="C14" s="38" t="s">
        <v>146</v>
      </c>
      <c r="D14" s="38" t="s">
        <v>146</v>
      </c>
      <c r="E14" s="99" t="s">
        <v>146</v>
      </c>
      <c r="F14" s="99" t="s">
        <v>146</v>
      </c>
      <c r="G14" s="99">
        <v>0.5</v>
      </c>
      <c r="H14" s="99">
        <v>0.1</v>
      </c>
      <c r="I14" s="99" t="s">
        <v>146</v>
      </c>
      <c r="J14" s="99" t="s">
        <v>151</v>
      </c>
      <c r="K14" s="99">
        <v>0.6</v>
      </c>
      <c r="M14" s="5"/>
      <c r="N14" s="5"/>
      <c r="O14" s="5"/>
      <c r="P14" s="5"/>
      <c r="Q14" s="5"/>
      <c r="R14" s="5"/>
      <c r="S14" s="5"/>
      <c r="T14" s="5"/>
      <c r="U14" s="5"/>
    </row>
    <row r="15" spans="1:23" ht="15" customHeight="1" x14ac:dyDescent="0.25">
      <c r="A15" s="194"/>
      <c r="B15" s="100" t="s">
        <v>12</v>
      </c>
      <c r="C15" s="101">
        <v>1.1000000000000001</v>
      </c>
      <c r="D15" s="38" t="s">
        <v>146</v>
      </c>
      <c r="E15" s="101">
        <v>1.2</v>
      </c>
      <c r="F15" s="101" t="s">
        <v>146</v>
      </c>
      <c r="G15" s="101">
        <v>0.5</v>
      </c>
      <c r="H15" s="101">
        <v>2</v>
      </c>
      <c r="I15" s="101" t="s">
        <v>146</v>
      </c>
      <c r="J15" s="101" t="s">
        <v>151</v>
      </c>
      <c r="K15" s="101">
        <v>4.9000000000000004</v>
      </c>
      <c r="M15" s="101"/>
      <c r="N15" s="5"/>
      <c r="O15" s="101"/>
      <c r="P15" s="5"/>
      <c r="Q15" s="5"/>
      <c r="R15" s="101"/>
      <c r="S15" s="5"/>
      <c r="T15" s="5"/>
      <c r="U15" s="101"/>
    </row>
    <row r="16" spans="1:23" ht="15" customHeight="1" x14ac:dyDescent="0.25">
      <c r="A16" s="194" t="s">
        <v>12</v>
      </c>
      <c r="B16" s="98" t="s">
        <v>19</v>
      </c>
      <c r="C16" s="99">
        <v>568.29999999999995</v>
      </c>
      <c r="D16" s="99">
        <v>97.1</v>
      </c>
      <c r="E16" s="99">
        <v>994.6</v>
      </c>
      <c r="F16" s="99">
        <v>303.7</v>
      </c>
      <c r="G16" s="99">
        <v>132.4</v>
      </c>
      <c r="H16" s="99">
        <v>59.3</v>
      </c>
      <c r="I16" s="99">
        <v>27.4</v>
      </c>
      <c r="J16" s="99" t="s">
        <v>151</v>
      </c>
      <c r="K16" s="99">
        <v>2182.8000000000002</v>
      </c>
      <c r="M16" s="5"/>
      <c r="N16" s="5"/>
      <c r="O16" s="5"/>
      <c r="P16" s="5"/>
      <c r="Q16" s="5"/>
      <c r="R16" s="5"/>
      <c r="S16" s="5"/>
      <c r="T16" s="9"/>
      <c r="U16" s="5"/>
    </row>
    <row r="17" spans="1:23" ht="15" customHeight="1" x14ac:dyDescent="0.25">
      <c r="A17" s="194"/>
      <c r="B17" s="98" t="s">
        <v>20</v>
      </c>
      <c r="C17" s="99">
        <v>438.1</v>
      </c>
      <c r="D17" s="99">
        <v>447.3</v>
      </c>
      <c r="E17" s="99">
        <v>557.5</v>
      </c>
      <c r="F17" s="99">
        <v>212.4</v>
      </c>
      <c r="G17" s="99">
        <v>107.3</v>
      </c>
      <c r="H17" s="99">
        <v>102.5</v>
      </c>
      <c r="I17" s="99">
        <v>61.9</v>
      </c>
      <c r="J17" s="99" t="s">
        <v>151</v>
      </c>
      <c r="K17" s="99">
        <v>1927</v>
      </c>
      <c r="M17" s="5"/>
      <c r="N17" s="5"/>
      <c r="O17" s="5"/>
      <c r="P17" s="5"/>
      <c r="Q17" s="5"/>
      <c r="R17" s="5"/>
      <c r="S17" s="5"/>
      <c r="T17" s="9"/>
      <c r="U17" s="5"/>
    </row>
    <row r="18" spans="1:23" ht="15" customHeight="1" x14ac:dyDescent="0.25">
      <c r="A18" s="194"/>
      <c r="B18" s="98" t="s">
        <v>21</v>
      </c>
      <c r="C18" s="99">
        <v>28.2</v>
      </c>
      <c r="D18" s="99">
        <v>0.6</v>
      </c>
      <c r="E18" s="99">
        <v>4.5</v>
      </c>
      <c r="F18" s="99" t="s">
        <v>146</v>
      </c>
      <c r="G18" s="99">
        <v>3.5</v>
      </c>
      <c r="H18" s="99">
        <v>0.7</v>
      </c>
      <c r="I18" s="99" t="s">
        <v>146</v>
      </c>
      <c r="J18" s="99" t="s">
        <v>151</v>
      </c>
      <c r="K18" s="99">
        <v>37.5</v>
      </c>
      <c r="M18" s="5"/>
      <c r="N18" s="5"/>
      <c r="O18" s="5"/>
      <c r="P18" s="9"/>
      <c r="Q18" s="5"/>
      <c r="R18" s="5"/>
      <c r="S18" s="5"/>
      <c r="T18" s="9"/>
      <c r="U18" s="5"/>
    </row>
    <row r="19" spans="1:23" ht="15" customHeight="1" x14ac:dyDescent="0.25">
      <c r="A19" s="194"/>
      <c r="B19" s="100" t="s">
        <v>12</v>
      </c>
      <c r="C19" s="101">
        <v>1034.5</v>
      </c>
      <c r="D19" s="101">
        <v>545</v>
      </c>
      <c r="E19" s="101">
        <v>1556.6</v>
      </c>
      <c r="F19" s="101">
        <v>516.20000000000005</v>
      </c>
      <c r="G19" s="101">
        <v>243.1</v>
      </c>
      <c r="H19" s="101">
        <v>162.5</v>
      </c>
      <c r="I19" s="101">
        <v>89.3</v>
      </c>
      <c r="J19" s="101" t="s">
        <v>151</v>
      </c>
      <c r="K19" s="101">
        <v>4147.3</v>
      </c>
      <c r="L19" s="89"/>
      <c r="M19" s="101"/>
      <c r="N19" s="101"/>
      <c r="O19" s="101"/>
      <c r="P19" s="101"/>
      <c r="Q19" s="101"/>
      <c r="R19" s="101"/>
      <c r="S19" s="101"/>
      <c r="T19" s="102"/>
      <c r="U19" s="101"/>
    </row>
    <row r="20" spans="1:23" ht="12" hidden="1" customHeight="1" x14ac:dyDescent="0.25">
      <c r="A20" s="2"/>
    </row>
    <row r="21" spans="1:23" ht="11.1" customHeight="1" x14ac:dyDescent="0.25">
      <c r="A21" s="191" t="s">
        <v>13</v>
      </c>
      <c r="B21" s="191"/>
      <c r="C21" s="191"/>
      <c r="D21" s="191"/>
      <c r="E21" s="191"/>
      <c r="F21" s="191"/>
      <c r="G21" s="191"/>
      <c r="H21" s="191"/>
      <c r="I21" s="191"/>
      <c r="J21" s="191"/>
      <c r="K21" s="191"/>
    </row>
    <row r="22" spans="1:23" s="7" customFormat="1" ht="11.1" customHeight="1" x14ac:dyDescent="0.15">
      <c r="A22" s="7" t="s">
        <v>14</v>
      </c>
    </row>
    <row r="23" spans="1:23" s="7" customFormat="1" ht="11.1" customHeight="1" x14ac:dyDescent="0.15">
      <c r="A23" s="7" t="s">
        <v>23</v>
      </c>
    </row>
    <row r="24" spans="1:23" s="7" customFormat="1" ht="11.1" customHeight="1" x14ac:dyDescent="0.15">
      <c r="A24" s="7" t="s">
        <v>351</v>
      </c>
    </row>
    <row r="25" spans="1:23" s="7" customFormat="1" ht="11.1" customHeight="1" x14ac:dyDescent="0.15"/>
    <row r="26" spans="1:23" s="7" customFormat="1" ht="11.1" customHeight="1" x14ac:dyDescent="0.15">
      <c r="A26" s="7" t="s">
        <v>347</v>
      </c>
    </row>
    <row r="27" spans="1:23" ht="12" customHeight="1" x14ac:dyDescent="0.25">
      <c r="A27" s="2"/>
    </row>
    <row r="28" spans="1:23" ht="27.95" customHeight="1" x14ac:dyDescent="0.25">
      <c r="A28" s="192" t="s">
        <v>274</v>
      </c>
      <c r="B28" s="192"/>
      <c r="C28" s="192"/>
      <c r="D28" s="192"/>
      <c r="E28" s="192"/>
      <c r="F28" s="192"/>
      <c r="G28" s="192"/>
      <c r="H28" s="192"/>
      <c r="I28" s="192"/>
      <c r="J28" s="192"/>
      <c r="K28" s="192"/>
      <c r="L28" s="192"/>
      <c r="M28" s="192"/>
    </row>
    <row r="29" spans="1:23" ht="3" customHeight="1" x14ac:dyDescent="0.25">
      <c r="A29" s="2"/>
    </row>
    <row r="30" spans="1:23" x14ac:dyDescent="0.25">
      <c r="A30" s="33" t="s">
        <v>157</v>
      </c>
      <c r="B30" s="33" t="s">
        <v>158</v>
      </c>
      <c r="C30" s="3" t="s">
        <v>1</v>
      </c>
      <c r="D30" s="3" t="s">
        <v>2</v>
      </c>
      <c r="E30" s="3" t="s">
        <v>3</v>
      </c>
      <c r="F30" s="3" t="s">
        <v>4</v>
      </c>
      <c r="G30" s="3" t="s">
        <v>5</v>
      </c>
      <c r="H30" s="3" t="s">
        <v>6</v>
      </c>
      <c r="I30" s="3" t="s">
        <v>7</v>
      </c>
      <c r="J30" s="3" t="s">
        <v>8</v>
      </c>
      <c r="K30" s="11" t="s">
        <v>9</v>
      </c>
    </row>
    <row r="31" spans="1:23" x14ac:dyDescent="0.25">
      <c r="A31" s="194" t="s">
        <v>18</v>
      </c>
      <c r="B31" s="4" t="s">
        <v>19</v>
      </c>
      <c r="C31" s="9">
        <v>962</v>
      </c>
      <c r="D31" s="9">
        <v>168</v>
      </c>
      <c r="E31" s="9">
        <v>1179</v>
      </c>
      <c r="F31" s="9">
        <v>657</v>
      </c>
      <c r="G31" s="9">
        <v>215</v>
      </c>
      <c r="H31" s="9" t="s">
        <v>153</v>
      </c>
      <c r="I31" s="9" t="s">
        <v>153</v>
      </c>
      <c r="J31" s="9">
        <v>761</v>
      </c>
      <c r="K31" s="9">
        <v>4046</v>
      </c>
      <c r="M31" s="9"/>
      <c r="N31" s="9"/>
      <c r="O31" s="9"/>
      <c r="P31" s="9"/>
      <c r="Q31" s="9"/>
      <c r="R31" s="9"/>
      <c r="S31" s="9"/>
      <c r="T31" s="9"/>
      <c r="U31" s="9"/>
      <c r="W31" s="123"/>
    </row>
    <row r="32" spans="1:23" x14ac:dyDescent="0.25">
      <c r="A32" s="194"/>
      <c r="B32" s="4" t="s">
        <v>20</v>
      </c>
      <c r="C32" s="9">
        <v>887</v>
      </c>
      <c r="D32" s="9">
        <v>753</v>
      </c>
      <c r="E32" s="9">
        <v>756</v>
      </c>
      <c r="F32" s="9">
        <v>446</v>
      </c>
      <c r="G32" s="9">
        <v>216</v>
      </c>
      <c r="H32" s="9" t="s">
        <v>153</v>
      </c>
      <c r="I32" s="9" t="s">
        <v>153</v>
      </c>
      <c r="J32" s="9">
        <v>42</v>
      </c>
      <c r="K32" s="9">
        <v>3309</v>
      </c>
      <c r="M32" s="9"/>
      <c r="N32" s="9"/>
      <c r="O32" s="9"/>
      <c r="P32" s="9"/>
      <c r="Q32" s="9"/>
      <c r="R32" s="9"/>
      <c r="S32" s="9"/>
      <c r="T32" s="9"/>
      <c r="U32" s="9"/>
    </row>
    <row r="33" spans="1:21" x14ac:dyDescent="0.25">
      <c r="A33" s="194"/>
      <c r="B33" s="4" t="s">
        <v>21</v>
      </c>
      <c r="C33" s="9">
        <v>96</v>
      </c>
      <c r="D33" s="9">
        <v>4</v>
      </c>
      <c r="E33" s="9">
        <v>13</v>
      </c>
      <c r="F33" s="9" t="s">
        <v>146</v>
      </c>
      <c r="G33" s="9">
        <v>7</v>
      </c>
      <c r="H33" s="9">
        <v>4</v>
      </c>
      <c r="I33" s="9" t="s">
        <v>146</v>
      </c>
      <c r="J33" s="9">
        <v>27</v>
      </c>
      <c r="K33" s="9">
        <v>151</v>
      </c>
      <c r="M33" s="9"/>
      <c r="N33" s="9"/>
      <c r="O33" s="9"/>
      <c r="P33" s="9"/>
      <c r="Q33" s="9"/>
      <c r="R33" s="9"/>
      <c r="S33" s="9"/>
      <c r="T33" s="9"/>
      <c r="U33" s="9"/>
    </row>
    <row r="34" spans="1:21" x14ac:dyDescent="0.25">
      <c r="A34" s="194"/>
      <c r="B34" s="100" t="s">
        <v>12</v>
      </c>
      <c r="C34" s="102">
        <v>1945</v>
      </c>
      <c r="D34" s="102">
        <v>925</v>
      </c>
      <c r="E34" s="102">
        <v>1948</v>
      </c>
      <c r="F34" s="102">
        <v>1103</v>
      </c>
      <c r="G34" s="102">
        <v>438</v>
      </c>
      <c r="H34" s="102" t="s">
        <v>153</v>
      </c>
      <c r="I34" s="102" t="s">
        <v>153</v>
      </c>
      <c r="J34" s="102">
        <v>830</v>
      </c>
      <c r="K34" s="102">
        <v>7506</v>
      </c>
      <c r="M34" s="9"/>
      <c r="N34" s="9"/>
      <c r="O34" s="9"/>
      <c r="P34" s="9"/>
      <c r="Q34" s="9"/>
      <c r="R34" s="9"/>
      <c r="S34" s="9"/>
      <c r="T34" s="9"/>
      <c r="U34" s="9"/>
    </row>
    <row r="35" spans="1:21" x14ac:dyDescent="0.25">
      <c r="A35" s="194" t="s">
        <v>22</v>
      </c>
      <c r="B35" s="4" t="s">
        <v>19</v>
      </c>
      <c r="C35" s="9">
        <v>275</v>
      </c>
      <c r="D35" s="9">
        <v>30</v>
      </c>
      <c r="E35" s="9">
        <v>424</v>
      </c>
      <c r="F35" s="9">
        <v>210</v>
      </c>
      <c r="G35" s="9">
        <v>104</v>
      </c>
      <c r="H35" s="9" t="s">
        <v>153</v>
      </c>
      <c r="I35" s="9" t="s">
        <v>153</v>
      </c>
      <c r="J35" s="9">
        <v>173</v>
      </c>
      <c r="K35" s="9">
        <v>1261</v>
      </c>
      <c r="M35" s="9"/>
      <c r="N35" s="9"/>
      <c r="O35" s="9"/>
      <c r="P35" s="9"/>
      <c r="Q35" s="9"/>
      <c r="R35" s="9"/>
      <c r="S35" s="9"/>
      <c r="T35" s="9"/>
      <c r="U35" s="9"/>
    </row>
    <row r="36" spans="1:21" x14ac:dyDescent="0.25">
      <c r="A36" s="194"/>
      <c r="B36" s="4" t="s">
        <v>20</v>
      </c>
      <c r="C36" s="9">
        <v>213</v>
      </c>
      <c r="D36" s="9">
        <v>99</v>
      </c>
      <c r="E36" s="9">
        <v>186</v>
      </c>
      <c r="F36" s="9">
        <v>127</v>
      </c>
      <c r="G36" s="9">
        <v>65</v>
      </c>
      <c r="H36" s="9" t="s">
        <v>153</v>
      </c>
      <c r="I36" s="9" t="s">
        <v>153</v>
      </c>
      <c r="J36" s="9">
        <v>3</v>
      </c>
      <c r="K36" s="9">
        <v>769</v>
      </c>
      <c r="M36" s="9"/>
      <c r="N36" s="9"/>
      <c r="O36" s="9"/>
      <c r="P36" s="9"/>
      <c r="Q36" s="9"/>
      <c r="R36" s="9"/>
      <c r="S36" s="9"/>
      <c r="T36" s="9"/>
      <c r="U36" s="9"/>
    </row>
    <row r="37" spans="1:21" x14ac:dyDescent="0.25">
      <c r="A37" s="194"/>
      <c r="B37" s="4" t="s">
        <v>21</v>
      </c>
      <c r="C37" s="9">
        <v>20</v>
      </c>
      <c r="D37" s="9" t="s">
        <v>146</v>
      </c>
      <c r="E37" s="9">
        <v>2</v>
      </c>
      <c r="F37" s="9" t="s">
        <v>146</v>
      </c>
      <c r="G37" s="9">
        <v>1</v>
      </c>
      <c r="H37" s="9">
        <v>1</v>
      </c>
      <c r="I37" s="9" t="s">
        <v>146</v>
      </c>
      <c r="J37" s="9">
        <v>6</v>
      </c>
      <c r="K37" s="9">
        <v>30</v>
      </c>
      <c r="M37" s="9"/>
      <c r="N37" s="9"/>
      <c r="O37" s="9"/>
      <c r="P37" s="9"/>
      <c r="Q37" s="9"/>
      <c r="R37" s="9"/>
      <c r="S37" s="9"/>
      <c r="T37" s="9"/>
      <c r="U37" s="9"/>
    </row>
    <row r="38" spans="1:21" x14ac:dyDescent="0.25">
      <c r="A38" s="194"/>
      <c r="B38" s="100" t="s">
        <v>12</v>
      </c>
      <c r="C38" s="102">
        <v>508</v>
      </c>
      <c r="D38" s="102">
        <v>129</v>
      </c>
      <c r="E38" s="102">
        <v>612</v>
      </c>
      <c r="F38" s="102">
        <v>337</v>
      </c>
      <c r="G38" s="102">
        <v>170</v>
      </c>
      <c r="H38" s="102" t="s">
        <v>153</v>
      </c>
      <c r="I38" s="102" t="s">
        <v>153</v>
      </c>
      <c r="J38" s="102">
        <v>182</v>
      </c>
      <c r="K38" s="102">
        <v>2060</v>
      </c>
      <c r="M38" s="9"/>
      <c r="N38" s="9"/>
      <c r="O38" s="9"/>
      <c r="P38" s="9"/>
      <c r="Q38" s="9"/>
      <c r="R38" s="9"/>
      <c r="S38" s="9"/>
      <c r="T38" s="9"/>
      <c r="U38" s="9"/>
    </row>
    <row r="39" spans="1:21" x14ac:dyDescent="0.25">
      <c r="A39" s="194" t="s">
        <v>21</v>
      </c>
      <c r="B39" s="4" t="s">
        <v>19</v>
      </c>
      <c r="C39" s="9">
        <v>2</v>
      </c>
      <c r="D39" s="9" t="s">
        <v>146</v>
      </c>
      <c r="E39" s="9">
        <v>1</v>
      </c>
      <c r="F39" s="9" t="s">
        <v>146</v>
      </c>
      <c r="G39" s="9" t="s">
        <v>146</v>
      </c>
      <c r="H39" s="9" t="s">
        <v>146</v>
      </c>
      <c r="I39" s="9" t="s">
        <v>146</v>
      </c>
      <c r="J39" s="9" t="s">
        <v>146</v>
      </c>
      <c r="K39" s="9">
        <v>3</v>
      </c>
      <c r="M39" s="9"/>
      <c r="N39" s="9"/>
      <c r="O39" s="9"/>
      <c r="P39" s="9"/>
      <c r="Q39" s="9"/>
      <c r="R39" s="9"/>
      <c r="S39" s="9"/>
      <c r="T39" s="9"/>
      <c r="U39" s="9"/>
    </row>
    <row r="40" spans="1:21" x14ac:dyDescent="0.25">
      <c r="A40" s="194"/>
      <c r="B40" s="4" t="s">
        <v>20</v>
      </c>
      <c r="C40" s="9">
        <v>1</v>
      </c>
      <c r="D40" s="9" t="s">
        <v>146</v>
      </c>
      <c r="E40" s="9">
        <v>2</v>
      </c>
      <c r="F40" s="9">
        <v>1</v>
      </c>
      <c r="G40" s="9" t="s">
        <v>146</v>
      </c>
      <c r="H40" s="9">
        <v>2</v>
      </c>
      <c r="I40" s="9" t="s">
        <v>146</v>
      </c>
      <c r="J40" s="9" t="s">
        <v>146</v>
      </c>
      <c r="K40" s="9">
        <v>6</v>
      </c>
      <c r="M40" s="9"/>
      <c r="N40" s="9"/>
      <c r="O40" s="9"/>
      <c r="P40" s="9"/>
      <c r="Q40" s="9"/>
      <c r="R40" s="9"/>
      <c r="S40" s="9"/>
      <c r="T40" s="9"/>
      <c r="U40" s="9"/>
    </row>
    <row r="41" spans="1:21" x14ac:dyDescent="0.25">
      <c r="A41" s="194"/>
      <c r="B41" s="4" t="s">
        <v>21</v>
      </c>
      <c r="C41" s="39" t="s">
        <v>146</v>
      </c>
      <c r="D41" s="9" t="s">
        <v>146</v>
      </c>
      <c r="E41" s="9" t="s">
        <v>146</v>
      </c>
      <c r="F41" s="9" t="s">
        <v>146</v>
      </c>
      <c r="G41" s="9">
        <v>1</v>
      </c>
      <c r="H41" s="9">
        <v>1</v>
      </c>
      <c r="I41" s="9" t="s">
        <v>146</v>
      </c>
      <c r="J41" s="9">
        <v>2</v>
      </c>
      <c r="K41" s="9">
        <v>4</v>
      </c>
      <c r="M41" s="9"/>
      <c r="N41" s="9"/>
      <c r="O41" s="9"/>
      <c r="P41" s="9"/>
      <c r="Q41" s="9"/>
      <c r="R41" s="9"/>
      <c r="S41" s="9"/>
      <c r="T41" s="9"/>
      <c r="U41" s="9"/>
    </row>
    <row r="42" spans="1:21" x14ac:dyDescent="0.25">
      <c r="A42" s="194"/>
      <c r="B42" s="100" t="s">
        <v>12</v>
      </c>
      <c r="C42" s="102">
        <v>3</v>
      </c>
      <c r="D42" s="102" t="s">
        <v>146</v>
      </c>
      <c r="E42" s="102">
        <v>3</v>
      </c>
      <c r="F42" s="102">
        <v>1</v>
      </c>
      <c r="G42" s="102">
        <v>1</v>
      </c>
      <c r="H42" s="102">
        <v>3</v>
      </c>
      <c r="I42" s="102" t="s">
        <v>146</v>
      </c>
      <c r="J42" s="102">
        <v>2</v>
      </c>
      <c r="K42" s="102">
        <v>13</v>
      </c>
      <c r="M42" s="9"/>
      <c r="N42" s="9"/>
      <c r="O42" s="9"/>
      <c r="P42" s="9"/>
      <c r="Q42" s="9"/>
      <c r="R42" s="9"/>
      <c r="S42" s="9"/>
      <c r="T42" s="9"/>
      <c r="U42" s="9"/>
    </row>
    <row r="43" spans="1:21" x14ac:dyDescent="0.25">
      <c r="A43" s="195" t="s">
        <v>12</v>
      </c>
      <c r="B43" s="4" t="s">
        <v>19</v>
      </c>
      <c r="C43" s="9">
        <v>1239</v>
      </c>
      <c r="D43" s="9">
        <v>198</v>
      </c>
      <c r="E43" s="9">
        <v>1604</v>
      </c>
      <c r="F43" s="9">
        <v>867</v>
      </c>
      <c r="G43" s="9">
        <v>319</v>
      </c>
      <c r="H43" s="9">
        <v>95</v>
      </c>
      <c r="I43" s="9">
        <v>54</v>
      </c>
      <c r="J43" s="9">
        <v>934</v>
      </c>
      <c r="K43" s="9">
        <v>5310</v>
      </c>
      <c r="M43" s="9"/>
      <c r="N43" s="9"/>
      <c r="O43" s="9"/>
      <c r="P43" s="9"/>
      <c r="Q43" s="9"/>
      <c r="R43" s="9"/>
      <c r="S43" s="9"/>
      <c r="T43" s="9"/>
      <c r="U43" s="9"/>
    </row>
    <row r="44" spans="1:21" x14ac:dyDescent="0.25">
      <c r="A44" s="195"/>
      <c r="B44" s="4" t="s">
        <v>20</v>
      </c>
      <c r="C44" s="9">
        <v>1101</v>
      </c>
      <c r="D44" s="9">
        <v>852</v>
      </c>
      <c r="E44" s="9">
        <v>944</v>
      </c>
      <c r="F44" s="9">
        <v>574</v>
      </c>
      <c r="G44" s="9">
        <v>281</v>
      </c>
      <c r="H44" s="9">
        <v>165</v>
      </c>
      <c r="I44" s="9">
        <v>122</v>
      </c>
      <c r="J44" s="9">
        <v>45</v>
      </c>
      <c r="K44" s="9">
        <v>4084</v>
      </c>
      <c r="M44" s="9"/>
      <c r="N44" s="9"/>
      <c r="O44" s="9"/>
      <c r="P44" s="9"/>
      <c r="Q44" s="9"/>
      <c r="R44" s="9"/>
      <c r="S44" s="9"/>
      <c r="T44" s="9"/>
      <c r="U44" s="9"/>
    </row>
    <row r="45" spans="1:21" x14ac:dyDescent="0.25">
      <c r="A45" s="195"/>
      <c r="B45" s="4" t="s">
        <v>21</v>
      </c>
      <c r="C45" s="9">
        <v>116</v>
      </c>
      <c r="D45" s="9">
        <v>4</v>
      </c>
      <c r="E45" s="9">
        <v>15</v>
      </c>
      <c r="F45" s="9" t="s">
        <v>146</v>
      </c>
      <c r="G45" s="9">
        <v>9</v>
      </c>
      <c r="H45" s="9">
        <v>6</v>
      </c>
      <c r="I45" s="9" t="s">
        <v>146</v>
      </c>
      <c r="J45" s="9">
        <v>35</v>
      </c>
      <c r="K45" s="9">
        <v>185</v>
      </c>
      <c r="M45" s="9"/>
      <c r="N45" s="9"/>
      <c r="O45" s="9"/>
      <c r="P45" s="9"/>
      <c r="Q45" s="9"/>
      <c r="R45" s="9"/>
      <c r="S45" s="9"/>
      <c r="T45" s="9"/>
      <c r="U45" s="9"/>
    </row>
    <row r="46" spans="1:21" x14ac:dyDescent="0.25">
      <c r="A46" s="195"/>
      <c r="B46" s="100" t="s">
        <v>12</v>
      </c>
      <c r="C46" s="102">
        <v>2456</v>
      </c>
      <c r="D46" s="102">
        <v>1054</v>
      </c>
      <c r="E46" s="102">
        <v>2563</v>
      </c>
      <c r="F46" s="102">
        <v>1441</v>
      </c>
      <c r="G46" s="102">
        <v>609</v>
      </c>
      <c r="H46" s="102">
        <v>266</v>
      </c>
      <c r="I46" s="102">
        <v>176</v>
      </c>
      <c r="J46" s="102">
        <v>1014</v>
      </c>
      <c r="K46" s="102">
        <v>9579</v>
      </c>
      <c r="M46" s="9"/>
      <c r="N46" s="9"/>
      <c r="O46" s="9"/>
      <c r="P46" s="9"/>
      <c r="Q46" s="9"/>
      <c r="R46" s="9"/>
      <c r="S46" s="9"/>
      <c r="T46" s="9"/>
      <c r="U46" s="9"/>
    </row>
    <row r="47" spans="1:21" ht="2.25" customHeight="1" x14ac:dyDescent="0.25">
      <c r="C47" s="1" t="s">
        <v>349</v>
      </c>
      <c r="D47" s="1" t="s">
        <v>349</v>
      </c>
      <c r="E47" s="1" t="s">
        <v>349</v>
      </c>
      <c r="F47" s="1" t="s">
        <v>349</v>
      </c>
      <c r="G47" s="1" t="s">
        <v>349</v>
      </c>
      <c r="H47" s="1" t="s">
        <v>349</v>
      </c>
      <c r="I47" s="1" t="s">
        <v>349</v>
      </c>
      <c r="J47" s="1" t="s">
        <v>349</v>
      </c>
      <c r="K47" s="1" t="s">
        <v>349</v>
      </c>
    </row>
    <row r="48" spans="1:21" ht="1.5" customHeight="1" x14ac:dyDescent="0.25">
      <c r="C48" s="1" t="s">
        <v>349</v>
      </c>
      <c r="D48" s="1" t="s">
        <v>349</v>
      </c>
      <c r="E48" s="1" t="s">
        <v>349</v>
      </c>
      <c r="F48" s="1" t="s">
        <v>349</v>
      </c>
      <c r="G48" s="1" t="s">
        <v>349</v>
      </c>
      <c r="H48" s="1" t="s">
        <v>349</v>
      </c>
      <c r="I48" s="1" t="s">
        <v>349</v>
      </c>
      <c r="J48" s="1" t="s">
        <v>349</v>
      </c>
      <c r="K48" s="1" t="s">
        <v>349</v>
      </c>
      <c r="M48" s="1" t="str">
        <f t="shared" ref="M48" si="0">IF(C48=0,"-",C48)</f>
        <v>-</v>
      </c>
      <c r="N48" s="1" t="str">
        <f t="shared" ref="N48" si="1">IF(D48=0,"-",D48)</f>
        <v>-</v>
      </c>
      <c r="O48" s="1" t="str">
        <f t="shared" ref="O48" si="2">IF(E48=0,"-",E48)</f>
        <v>-</v>
      </c>
      <c r="P48" s="1" t="str">
        <f t="shared" ref="P48" si="3">IF(F48=0,"-",F48)</f>
        <v>-</v>
      </c>
      <c r="Q48" s="1" t="str">
        <f t="shared" ref="Q48" si="4">IF(G48=0,"-",G48)</f>
        <v>-</v>
      </c>
      <c r="R48" s="1" t="str">
        <f t="shared" ref="R48" si="5">IF(H48=0,"-",H48)</f>
        <v>-</v>
      </c>
      <c r="S48" s="1" t="str">
        <f t="shared" ref="S48" si="6">IF(I48=0,"-",I48)</f>
        <v>-</v>
      </c>
      <c r="T48" s="1" t="str">
        <f t="shared" ref="T48" si="7">IF(J48=0,"-",J48)</f>
        <v>-</v>
      </c>
      <c r="U48" s="1" t="str">
        <f t="shared" ref="U48" si="8">IF(K48=0,"-",K48)</f>
        <v>-</v>
      </c>
    </row>
    <row r="49" spans="1:13" ht="11.1" customHeight="1" x14ac:dyDescent="0.25">
      <c r="A49" s="191" t="s">
        <v>252</v>
      </c>
      <c r="B49" s="191"/>
      <c r="C49" s="191"/>
      <c r="D49" s="191"/>
      <c r="E49" s="191"/>
      <c r="F49" s="191"/>
      <c r="G49" s="191"/>
      <c r="H49" s="191"/>
      <c r="I49" s="191"/>
      <c r="J49" s="191"/>
      <c r="K49" s="191"/>
      <c r="L49" s="193"/>
      <c r="M49" s="193"/>
    </row>
    <row r="50" spans="1:13" ht="11.1" customHeight="1" x14ac:dyDescent="0.25">
      <c r="A50" s="6" t="s">
        <v>13</v>
      </c>
      <c r="B50" s="6"/>
      <c r="C50" s="6"/>
      <c r="D50" s="6"/>
      <c r="E50" s="6"/>
      <c r="F50" s="6"/>
      <c r="G50" s="6"/>
      <c r="H50" s="6"/>
      <c r="I50" s="6"/>
      <c r="J50" s="6"/>
      <c r="K50" s="6"/>
      <c r="L50" s="6"/>
      <c r="M50" s="6"/>
    </row>
    <row r="51" spans="1:13" s="7" customFormat="1" ht="11.1" customHeight="1" x14ac:dyDescent="0.15">
      <c r="A51" s="7" t="s">
        <v>347</v>
      </c>
    </row>
    <row r="52" spans="1:13" ht="12" customHeight="1" x14ac:dyDescent="0.25">
      <c r="A52" s="2"/>
    </row>
  </sheetData>
  <mergeCells count="12">
    <mergeCell ref="A1:K1"/>
    <mergeCell ref="A4:A7"/>
    <mergeCell ref="A8:A11"/>
    <mergeCell ref="A12:A15"/>
    <mergeCell ref="A16:A19"/>
    <mergeCell ref="A49:M49"/>
    <mergeCell ref="A21:K21"/>
    <mergeCell ref="A28:M28"/>
    <mergeCell ref="A31:A34"/>
    <mergeCell ref="A35:A38"/>
    <mergeCell ref="A39:A42"/>
    <mergeCell ref="A43:A46"/>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56"/>
  <sheetViews>
    <sheetView zoomScaleNormal="100" workbookViewId="0">
      <selection activeCell="N6" sqref="N6"/>
    </sheetView>
  </sheetViews>
  <sheetFormatPr defaultColWidth="9.140625" defaultRowHeight="15" x14ac:dyDescent="0.25"/>
  <cols>
    <col min="1" max="1" width="11.42578125" style="1" bestFit="1" customWidth="1"/>
    <col min="2" max="2" width="15.42578125" style="1" customWidth="1"/>
    <col min="3" max="13" width="11.42578125" style="1" bestFit="1" customWidth="1"/>
    <col min="14" max="16384" width="9.140625" style="1"/>
  </cols>
  <sheetData>
    <row r="1" spans="1:23" ht="24.75" customHeight="1" x14ac:dyDescent="0.25">
      <c r="A1" s="190" t="s">
        <v>352</v>
      </c>
      <c r="B1" s="190"/>
      <c r="C1" s="190"/>
      <c r="D1" s="190"/>
      <c r="E1" s="190"/>
      <c r="F1" s="190"/>
      <c r="G1" s="190"/>
      <c r="H1" s="190"/>
      <c r="I1" s="190"/>
      <c r="J1" s="190"/>
      <c r="K1" s="190"/>
    </row>
    <row r="2" spans="1:23" ht="1.5" customHeight="1" x14ac:dyDescent="0.25">
      <c r="A2" s="2"/>
    </row>
    <row r="3" spans="1:23" x14ac:dyDescent="0.25">
      <c r="A3" s="35" t="s">
        <v>157</v>
      </c>
      <c r="B3" s="35" t="s">
        <v>158</v>
      </c>
      <c r="C3" s="3" t="s">
        <v>1</v>
      </c>
      <c r="D3" s="3" t="s">
        <v>2</v>
      </c>
      <c r="E3" s="3" t="s">
        <v>3</v>
      </c>
      <c r="F3" s="3" t="s">
        <v>4</v>
      </c>
      <c r="G3" s="3" t="s">
        <v>5</v>
      </c>
      <c r="H3" s="3" t="s">
        <v>6</v>
      </c>
      <c r="I3" s="3" t="s">
        <v>7</v>
      </c>
      <c r="J3" s="3" t="s">
        <v>8</v>
      </c>
      <c r="K3" s="3" t="s">
        <v>9</v>
      </c>
    </row>
    <row r="4" spans="1:23" ht="15" customHeight="1" x14ac:dyDescent="0.25">
      <c r="A4" s="194" t="s">
        <v>18</v>
      </c>
      <c r="B4" s="4" t="s">
        <v>19</v>
      </c>
      <c r="C4" s="5">
        <v>403.5</v>
      </c>
      <c r="D4" s="5">
        <v>45.7</v>
      </c>
      <c r="E4" s="5">
        <v>579.29999999999995</v>
      </c>
      <c r="F4" s="5">
        <v>207.7</v>
      </c>
      <c r="G4" s="5">
        <v>84.3</v>
      </c>
      <c r="H4" s="5">
        <v>27.2</v>
      </c>
      <c r="I4" s="5">
        <v>14.6</v>
      </c>
      <c r="J4" s="5" t="s">
        <v>151</v>
      </c>
      <c r="K4" s="5">
        <v>1362.3</v>
      </c>
      <c r="M4" s="5"/>
      <c r="N4" s="5"/>
      <c r="O4" s="5"/>
      <c r="P4" s="5"/>
      <c r="Q4" s="5"/>
      <c r="R4" s="5"/>
      <c r="S4" s="5"/>
      <c r="T4" s="5"/>
      <c r="U4" s="5"/>
      <c r="W4" s="129"/>
    </row>
    <row r="5" spans="1:23" ht="15" customHeight="1" x14ac:dyDescent="0.25">
      <c r="A5" s="194"/>
      <c r="B5" s="4" t="s">
        <v>20</v>
      </c>
      <c r="C5" s="5">
        <v>313.39999999999998</v>
      </c>
      <c r="D5" s="5">
        <v>222.6</v>
      </c>
      <c r="E5" s="5">
        <v>271.2</v>
      </c>
      <c r="F5" s="5">
        <v>143.30000000000001</v>
      </c>
      <c r="G5" s="5">
        <v>68</v>
      </c>
      <c r="H5" s="5">
        <v>49.5</v>
      </c>
      <c r="I5" s="5">
        <v>32.9</v>
      </c>
      <c r="J5" s="5" t="s">
        <v>151</v>
      </c>
      <c r="K5" s="5">
        <v>1100.9000000000001</v>
      </c>
      <c r="M5" s="5"/>
      <c r="N5" s="5"/>
      <c r="O5" s="5"/>
      <c r="P5" s="5"/>
      <c r="Q5" s="5"/>
      <c r="R5" s="5"/>
      <c r="S5" s="5"/>
      <c r="T5" s="5"/>
      <c r="U5" s="5"/>
    </row>
    <row r="6" spans="1:23" ht="15" customHeight="1" x14ac:dyDescent="0.25">
      <c r="A6" s="194"/>
      <c r="B6" s="4" t="s">
        <v>21</v>
      </c>
      <c r="C6" s="5">
        <v>20.6</v>
      </c>
      <c r="D6" s="5">
        <v>0.6</v>
      </c>
      <c r="E6" s="5">
        <v>3.7</v>
      </c>
      <c r="F6" s="5" t="s">
        <v>146</v>
      </c>
      <c r="G6" s="5">
        <v>2.2000000000000002</v>
      </c>
      <c r="H6" s="5">
        <v>0.2</v>
      </c>
      <c r="I6" s="5" t="s">
        <v>146</v>
      </c>
      <c r="J6" s="5" t="s">
        <v>151</v>
      </c>
      <c r="K6" s="5">
        <v>27.2</v>
      </c>
      <c r="M6" s="5"/>
      <c r="N6" s="5"/>
      <c r="O6" s="5"/>
      <c r="P6" s="5"/>
      <c r="Q6" s="5"/>
      <c r="R6" s="5"/>
      <c r="S6" s="5"/>
      <c r="T6" s="5"/>
      <c r="U6" s="5"/>
    </row>
    <row r="7" spans="1:23" ht="15" customHeight="1" x14ac:dyDescent="0.25">
      <c r="A7" s="194"/>
      <c r="B7" s="100" t="s">
        <v>12</v>
      </c>
      <c r="C7" s="101">
        <v>737.5</v>
      </c>
      <c r="D7" s="101">
        <v>268.89999999999998</v>
      </c>
      <c r="E7" s="101">
        <v>854.1</v>
      </c>
      <c r="F7" s="101">
        <v>351.1</v>
      </c>
      <c r="G7" s="101">
        <v>154.5</v>
      </c>
      <c r="H7" s="101">
        <v>76.900000000000006</v>
      </c>
      <c r="I7" s="101">
        <v>47.5</v>
      </c>
      <c r="J7" s="101" t="s">
        <v>151</v>
      </c>
      <c r="K7" s="101">
        <v>2490.5</v>
      </c>
      <c r="M7" s="101"/>
      <c r="N7" s="101"/>
      <c r="O7" s="101"/>
      <c r="P7" s="101"/>
      <c r="Q7" s="101"/>
      <c r="R7" s="101"/>
      <c r="S7" s="101"/>
      <c r="T7" s="5"/>
      <c r="U7" s="101"/>
    </row>
    <row r="8" spans="1:23" ht="15" customHeight="1" x14ac:dyDescent="0.25">
      <c r="A8" s="194" t="s">
        <v>22</v>
      </c>
      <c r="B8" s="4" t="s">
        <v>19</v>
      </c>
      <c r="C8" s="5">
        <v>106.7</v>
      </c>
      <c r="D8" s="5">
        <v>7.4</v>
      </c>
      <c r="E8" s="5">
        <v>210.5</v>
      </c>
      <c r="F8" s="5">
        <v>51.5</v>
      </c>
      <c r="G8" s="5">
        <v>31.9</v>
      </c>
      <c r="H8" s="5">
        <v>15.5</v>
      </c>
      <c r="I8" s="5">
        <v>6.6</v>
      </c>
      <c r="J8" s="5" t="s">
        <v>151</v>
      </c>
      <c r="K8" s="5">
        <v>430.1</v>
      </c>
      <c r="M8" s="5"/>
      <c r="N8" s="5"/>
      <c r="O8" s="5"/>
      <c r="P8" s="5"/>
      <c r="Q8" s="5"/>
      <c r="R8" s="5"/>
      <c r="S8" s="5"/>
      <c r="T8" s="5"/>
      <c r="U8" s="5"/>
    </row>
    <row r="9" spans="1:23" ht="15" customHeight="1" x14ac:dyDescent="0.25">
      <c r="A9" s="194"/>
      <c r="B9" s="4" t="s">
        <v>20</v>
      </c>
      <c r="C9" s="5">
        <v>67.5</v>
      </c>
      <c r="D9" s="5">
        <v>23.6</v>
      </c>
      <c r="E9" s="5">
        <v>76.400000000000006</v>
      </c>
      <c r="F9" s="5">
        <v>34.9</v>
      </c>
      <c r="G9" s="5">
        <v>18.2</v>
      </c>
      <c r="H9" s="5">
        <v>16.899999999999999</v>
      </c>
      <c r="I9" s="5">
        <v>9.6</v>
      </c>
      <c r="J9" s="5" t="s">
        <v>151</v>
      </c>
      <c r="K9" s="5">
        <v>247.1</v>
      </c>
      <c r="M9" s="5"/>
      <c r="N9" s="5"/>
      <c r="O9" s="5"/>
      <c r="P9" s="5"/>
      <c r="Q9" s="5"/>
      <c r="R9" s="5"/>
      <c r="S9" s="5"/>
      <c r="T9" s="5"/>
      <c r="U9" s="5"/>
    </row>
    <row r="10" spans="1:23" ht="15" customHeight="1" x14ac:dyDescent="0.25">
      <c r="A10" s="194"/>
      <c r="B10" s="4" t="s">
        <v>21</v>
      </c>
      <c r="C10" s="5">
        <v>5.4</v>
      </c>
      <c r="D10" s="5" t="s">
        <v>146</v>
      </c>
      <c r="E10" s="5">
        <v>0.3</v>
      </c>
      <c r="F10" s="5" t="s">
        <v>146</v>
      </c>
      <c r="G10" s="5" t="s">
        <v>146</v>
      </c>
      <c r="H10" s="5">
        <v>0.1</v>
      </c>
      <c r="I10" s="5" t="s">
        <v>146</v>
      </c>
      <c r="J10" s="5" t="s">
        <v>151</v>
      </c>
      <c r="K10" s="5">
        <v>5.8</v>
      </c>
      <c r="M10" s="5"/>
      <c r="N10" s="5"/>
      <c r="O10" s="5"/>
      <c r="P10" s="5"/>
      <c r="Q10" s="5"/>
      <c r="R10" s="5"/>
      <c r="S10" s="5"/>
      <c r="T10" s="5"/>
      <c r="U10" s="5"/>
    </row>
    <row r="11" spans="1:23" ht="15" customHeight="1" x14ac:dyDescent="0.25">
      <c r="A11" s="194"/>
      <c r="B11" s="100" t="s">
        <v>12</v>
      </c>
      <c r="C11" s="101">
        <v>179.7</v>
      </c>
      <c r="D11" s="101">
        <v>31</v>
      </c>
      <c r="E11" s="101">
        <v>287.2</v>
      </c>
      <c r="F11" s="101">
        <v>86.4</v>
      </c>
      <c r="G11" s="101">
        <v>50</v>
      </c>
      <c r="H11" s="101">
        <v>32.5</v>
      </c>
      <c r="I11" s="101">
        <v>16.2</v>
      </c>
      <c r="J11" s="101" t="s">
        <v>151</v>
      </c>
      <c r="K11" s="101">
        <v>683</v>
      </c>
      <c r="M11" s="101"/>
      <c r="N11" s="101"/>
      <c r="O11" s="101"/>
      <c r="P11" s="101"/>
      <c r="Q11" s="101"/>
      <c r="R11" s="101"/>
      <c r="S11" s="101"/>
      <c r="T11" s="5"/>
      <c r="U11" s="101"/>
    </row>
    <row r="12" spans="1:23" ht="15" customHeight="1" x14ac:dyDescent="0.25">
      <c r="A12" s="194" t="s">
        <v>21</v>
      </c>
      <c r="B12" s="4" t="s">
        <v>19</v>
      </c>
      <c r="C12" s="5">
        <v>0.3</v>
      </c>
      <c r="D12" s="5" t="s">
        <v>146</v>
      </c>
      <c r="E12" s="5">
        <v>0.1</v>
      </c>
      <c r="F12" s="5" t="s">
        <v>146</v>
      </c>
      <c r="G12" s="5" t="s">
        <v>146</v>
      </c>
      <c r="H12" s="5" t="s">
        <v>146</v>
      </c>
      <c r="I12" s="5" t="s">
        <v>146</v>
      </c>
      <c r="J12" s="5" t="s">
        <v>151</v>
      </c>
      <c r="K12" s="5">
        <v>0.4</v>
      </c>
      <c r="M12" s="5"/>
      <c r="N12" s="5"/>
      <c r="O12" s="5"/>
      <c r="P12" s="5"/>
      <c r="Q12" s="5"/>
      <c r="R12" s="5"/>
      <c r="S12" s="5"/>
      <c r="T12" s="5"/>
      <c r="U12" s="5"/>
    </row>
    <row r="13" spans="1:23" ht="15" customHeight="1" x14ac:dyDescent="0.25">
      <c r="A13" s="194"/>
      <c r="B13" s="4" t="s">
        <v>20</v>
      </c>
      <c r="C13" s="5">
        <v>0.7</v>
      </c>
      <c r="D13" s="5" t="s">
        <v>146</v>
      </c>
      <c r="E13" s="5">
        <v>0.8</v>
      </c>
      <c r="F13" s="5" t="s">
        <v>146</v>
      </c>
      <c r="G13" s="5" t="s">
        <v>146</v>
      </c>
      <c r="H13" s="5">
        <v>0.7</v>
      </c>
      <c r="I13" s="5" t="s">
        <v>146</v>
      </c>
      <c r="J13" s="5" t="s">
        <v>151</v>
      </c>
      <c r="K13" s="5">
        <v>2.2999999999999998</v>
      </c>
      <c r="M13" s="5"/>
      <c r="N13" s="5"/>
      <c r="O13" s="5"/>
      <c r="P13" s="5"/>
      <c r="Q13" s="5"/>
      <c r="R13" s="5"/>
      <c r="S13" s="5"/>
      <c r="T13" s="5"/>
      <c r="U13" s="5"/>
    </row>
    <row r="14" spans="1:23" ht="15" customHeight="1" x14ac:dyDescent="0.25">
      <c r="A14" s="194"/>
      <c r="B14" s="4" t="s">
        <v>21</v>
      </c>
      <c r="C14" s="38" t="s">
        <v>146</v>
      </c>
      <c r="D14" s="5" t="s">
        <v>146</v>
      </c>
      <c r="E14" s="5" t="s">
        <v>146</v>
      </c>
      <c r="F14" s="5" t="s">
        <v>146</v>
      </c>
      <c r="G14" s="5">
        <v>0.5</v>
      </c>
      <c r="H14" s="5">
        <v>0.1</v>
      </c>
      <c r="I14" s="5" t="s">
        <v>146</v>
      </c>
      <c r="J14" s="5" t="s">
        <v>151</v>
      </c>
      <c r="K14" s="5">
        <v>0.6</v>
      </c>
      <c r="M14" s="5"/>
      <c r="N14" s="5"/>
      <c r="O14" s="5"/>
      <c r="P14" s="5"/>
      <c r="Q14" s="5"/>
      <c r="R14" s="5"/>
      <c r="S14" s="5"/>
      <c r="T14" s="5"/>
      <c r="U14" s="5"/>
    </row>
    <row r="15" spans="1:23" ht="15" customHeight="1" x14ac:dyDescent="0.25">
      <c r="A15" s="194"/>
      <c r="B15" s="100" t="s">
        <v>12</v>
      </c>
      <c r="C15" s="101">
        <v>1</v>
      </c>
      <c r="D15" s="101" t="s">
        <v>146</v>
      </c>
      <c r="E15" s="101">
        <v>0.9</v>
      </c>
      <c r="F15" s="101" t="s">
        <v>146</v>
      </c>
      <c r="G15" s="101">
        <v>0.5</v>
      </c>
      <c r="H15" s="101">
        <v>0.8</v>
      </c>
      <c r="I15" s="101" t="s">
        <v>146</v>
      </c>
      <c r="J15" s="101" t="s">
        <v>151</v>
      </c>
      <c r="K15" s="101">
        <v>3.3</v>
      </c>
      <c r="M15" s="101"/>
      <c r="N15" s="5"/>
      <c r="O15" s="101"/>
      <c r="P15" s="5"/>
      <c r="Q15" s="5"/>
      <c r="R15" s="101"/>
      <c r="S15" s="5"/>
      <c r="T15" s="5"/>
      <c r="U15" s="101"/>
    </row>
    <row r="16" spans="1:23" ht="15" customHeight="1" x14ac:dyDescent="0.25">
      <c r="A16" s="194" t="s">
        <v>12</v>
      </c>
      <c r="B16" s="4" t="s">
        <v>19</v>
      </c>
      <c r="C16" s="5">
        <v>510.5</v>
      </c>
      <c r="D16" s="5">
        <v>53.1</v>
      </c>
      <c r="E16" s="5">
        <v>789.9</v>
      </c>
      <c r="F16" s="5">
        <v>259.2</v>
      </c>
      <c r="G16" s="5">
        <v>116.2</v>
      </c>
      <c r="H16" s="5">
        <v>42.7</v>
      </c>
      <c r="I16" s="5">
        <v>21.2</v>
      </c>
      <c r="J16" s="5" t="s">
        <v>151</v>
      </c>
      <c r="K16" s="5">
        <v>1792.8</v>
      </c>
      <c r="M16" s="5"/>
      <c r="N16" s="5"/>
      <c r="O16" s="5"/>
      <c r="P16" s="5"/>
      <c r="Q16" s="5"/>
      <c r="R16" s="5"/>
      <c r="S16" s="5"/>
      <c r="T16" s="5"/>
      <c r="U16" s="5"/>
    </row>
    <row r="17" spans="1:23" ht="15" customHeight="1" x14ac:dyDescent="0.25">
      <c r="A17" s="194"/>
      <c r="B17" s="4" t="s">
        <v>20</v>
      </c>
      <c r="C17" s="5">
        <v>381.7</v>
      </c>
      <c r="D17" s="5">
        <v>246.3</v>
      </c>
      <c r="E17" s="5">
        <v>348.3</v>
      </c>
      <c r="F17" s="5">
        <v>178.3</v>
      </c>
      <c r="G17" s="5">
        <v>86.1</v>
      </c>
      <c r="H17" s="5">
        <v>67.099999999999994</v>
      </c>
      <c r="I17" s="5">
        <v>42.5</v>
      </c>
      <c r="J17" s="5" t="s">
        <v>151</v>
      </c>
      <c r="K17" s="5">
        <v>1350.3</v>
      </c>
      <c r="M17" s="5"/>
      <c r="N17" s="5"/>
      <c r="O17" s="5"/>
      <c r="P17" s="5"/>
      <c r="Q17" s="5"/>
      <c r="R17" s="5"/>
      <c r="S17" s="5"/>
      <c r="T17" s="5"/>
      <c r="U17" s="5"/>
    </row>
    <row r="18" spans="1:23" ht="15" customHeight="1" x14ac:dyDescent="0.25">
      <c r="A18" s="194"/>
      <c r="B18" s="4" t="s">
        <v>21</v>
      </c>
      <c r="C18" s="5">
        <v>26</v>
      </c>
      <c r="D18" s="5">
        <v>0.6</v>
      </c>
      <c r="E18" s="5">
        <v>4</v>
      </c>
      <c r="F18" s="5" t="s">
        <v>146</v>
      </c>
      <c r="G18" s="5">
        <v>2.7</v>
      </c>
      <c r="H18" s="5">
        <v>0.4</v>
      </c>
      <c r="I18" s="5" t="s">
        <v>146</v>
      </c>
      <c r="J18" s="5" t="s">
        <v>151</v>
      </c>
      <c r="K18" s="5">
        <v>33.700000000000003</v>
      </c>
      <c r="M18" s="5"/>
      <c r="N18" s="5"/>
      <c r="O18" s="5"/>
      <c r="P18" s="5"/>
      <c r="Q18" s="5"/>
      <c r="R18" s="5"/>
      <c r="S18" s="5"/>
      <c r="T18" s="5"/>
      <c r="U18" s="5"/>
    </row>
    <row r="19" spans="1:23" ht="15" customHeight="1" x14ac:dyDescent="0.25">
      <c r="A19" s="194"/>
      <c r="B19" s="100" t="s">
        <v>12</v>
      </c>
      <c r="C19" s="101">
        <v>918.2</v>
      </c>
      <c r="D19" s="101">
        <v>299.89999999999998</v>
      </c>
      <c r="E19" s="101">
        <v>1142.2</v>
      </c>
      <c r="F19" s="101">
        <v>437.5</v>
      </c>
      <c r="G19" s="101">
        <v>205</v>
      </c>
      <c r="H19" s="101">
        <v>110.2</v>
      </c>
      <c r="I19" s="101">
        <v>63.7</v>
      </c>
      <c r="J19" s="101" t="s">
        <v>151</v>
      </c>
      <c r="K19" s="101">
        <v>3176.8</v>
      </c>
      <c r="M19" s="101"/>
      <c r="N19" s="101"/>
      <c r="O19" s="101"/>
      <c r="P19" s="101"/>
      <c r="Q19" s="101"/>
      <c r="R19" s="101"/>
      <c r="S19" s="101"/>
      <c r="T19" s="101"/>
      <c r="U19" s="101"/>
    </row>
    <row r="20" spans="1:23" ht="3.75" customHeight="1" x14ac:dyDescent="0.25">
      <c r="A20" s="2"/>
      <c r="C20" s="1" t="s">
        <v>349</v>
      </c>
      <c r="D20" s="1" t="s">
        <v>349</v>
      </c>
      <c r="E20" s="1" t="s">
        <v>349</v>
      </c>
      <c r="F20" s="1" t="s">
        <v>349</v>
      </c>
      <c r="G20" s="1" t="s">
        <v>349</v>
      </c>
      <c r="H20" s="1" t="s">
        <v>349</v>
      </c>
      <c r="I20" s="1" t="s">
        <v>349</v>
      </c>
      <c r="J20" s="1" t="s">
        <v>349</v>
      </c>
      <c r="K20" s="1" t="s">
        <v>349</v>
      </c>
    </row>
    <row r="21" spans="1:23" ht="11.1" customHeight="1" x14ac:dyDescent="0.25">
      <c r="A21" s="191" t="s">
        <v>13</v>
      </c>
      <c r="B21" s="191"/>
      <c r="C21" s="191"/>
      <c r="D21" s="191"/>
      <c r="E21" s="191"/>
      <c r="F21" s="191"/>
      <c r="G21" s="191"/>
      <c r="H21" s="191"/>
      <c r="I21" s="191"/>
      <c r="J21" s="191"/>
      <c r="K21" s="191"/>
    </row>
    <row r="22" spans="1:23" s="7" customFormat="1" ht="11.1" customHeight="1" x14ac:dyDescent="0.15">
      <c r="A22" s="7" t="s">
        <v>14</v>
      </c>
    </row>
    <row r="23" spans="1:23" s="12" customFormat="1" ht="12.75" customHeight="1" x14ac:dyDescent="0.2">
      <c r="A23" s="196" t="s">
        <v>224</v>
      </c>
      <c r="B23" s="196"/>
      <c r="C23" s="196"/>
      <c r="D23" s="196"/>
      <c r="E23" s="196"/>
      <c r="F23" s="196"/>
      <c r="G23" s="196"/>
      <c r="H23" s="196"/>
      <c r="I23" s="196"/>
      <c r="J23" s="196"/>
      <c r="K23" s="196"/>
    </row>
    <row r="24" spans="1:23" s="12" customFormat="1" ht="21" customHeight="1" x14ac:dyDescent="0.2">
      <c r="A24" s="196" t="s">
        <v>34</v>
      </c>
      <c r="B24" s="196"/>
      <c r="C24" s="196"/>
      <c r="D24" s="196"/>
      <c r="E24" s="196"/>
      <c r="F24" s="196"/>
      <c r="G24" s="196"/>
      <c r="H24" s="196"/>
      <c r="I24" s="196"/>
      <c r="J24" s="196"/>
      <c r="K24" s="196"/>
    </row>
    <row r="25" spans="1:23" s="12" customFormat="1" ht="12.75" customHeight="1" x14ac:dyDescent="0.2">
      <c r="A25" s="196" t="s">
        <v>348</v>
      </c>
      <c r="B25" s="196"/>
      <c r="C25" s="196"/>
      <c r="D25" s="196"/>
      <c r="E25" s="196"/>
      <c r="F25" s="196"/>
      <c r="G25" s="196"/>
      <c r="H25" s="196"/>
      <c r="I25" s="196"/>
      <c r="J25" s="196"/>
      <c r="K25" s="196"/>
    </row>
    <row r="26" spans="1:23" s="7" customFormat="1" ht="11.1" customHeight="1" x14ac:dyDescent="0.15">
      <c r="A26" s="7" t="s">
        <v>15</v>
      </c>
    </row>
    <row r="27" spans="1:23" s="7" customFormat="1" ht="11.1" customHeight="1" x14ac:dyDescent="0.15">
      <c r="A27" s="7" t="s">
        <v>347</v>
      </c>
    </row>
    <row r="28" spans="1:23" ht="12" customHeight="1" x14ac:dyDescent="0.25">
      <c r="A28" s="2"/>
    </row>
    <row r="29" spans="1:23" ht="27.95" customHeight="1" x14ac:dyDescent="0.25">
      <c r="A29" s="192" t="s">
        <v>276</v>
      </c>
      <c r="B29" s="192"/>
      <c r="C29" s="192"/>
      <c r="D29" s="192"/>
      <c r="E29" s="192"/>
      <c r="F29" s="192"/>
      <c r="G29" s="192"/>
      <c r="H29" s="192"/>
      <c r="I29" s="192"/>
      <c r="J29" s="192"/>
      <c r="K29" s="192"/>
      <c r="L29" s="192"/>
      <c r="M29" s="192"/>
      <c r="P29" s="12"/>
      <c r="Q29" s="12"/>
      <c r="R29" s="12"/>
      <c r="S29" s="12"/>
      <c r="T29" s="12"/>
      <c r="U29" s="12"/>
      <c r="V29" s="12"/>
    </row>
    <row r="30" spans="1:23" ht="0.75" customHeight="1" x14ac:dyDescent="0.25">
      <c r="A30" s="2"/>
      <c r="P30" s="12"/>
      <c r="Q30" s="12"/>
      <c r="R30" s="12"/>
      <c r="S30" s="12"/>
      <c r="T30" s="12"/>
      <c r="U30" s="12"/>
      <c r="V30" s="12"/>
    </row>
    <row r="31" spans="1:23" x14ac:dyDescent="0.25">
      <c r="A31" s="35" t="s">
        <v>157</v>
      </c>
      <c r="B31" s="35" t="s">
        <v>158</v>
      </c>
      <c r="C31" s="3" t="s">
        <v>1</v>
      </c>
      <c r="D31" s="3" t="s">
        <v>2</v>
      </c>
      <c r="E31" s="3" t="s">
        <v>3</v>
      </c>
      <c r="F31" s="3" t="s">
        <v>4</v>
      </c>
      <c r="G31" s="3" t="s">
        <v>5</v>
      </c>
      <c r="H31" s="3" t="s">
        <v>6</v>
      </c>
      <c r="I31" s="3" t="s">
        <v>7</v>
      </c>
      <c r="J31" s="3" t="s">
        <v>8</v>
      </c>
      <c r="K31" s="11" t="s">
        <v>9</v>
      </c>
      <c r="P31" s="12"/>
      <c r="Q31" s="12"/>
      <c r="R31" s="12"/>
      <c r="S31" s="12"/>
      <c r="T31" s="12"/>
      <c r="U31" s="12"/>
      <c r="V31" s="12"/>
    </row>
    <row r="32" spans="1:23" x14ac:dyDescent="0.25">
      <c r="A32" s="194" t="s">
        <v>18</v>
      </c>
      <c r="B32" s="4" t="s">
        <v>19</v>
      </c>
      <c r="C32" s="9">
        <v>896</v>
      </c>
      <c r="D32" s="9">
        <v>97</v>
      </c>
      <c r="E32" s="9">
        <v>985</v>
      </c>
      <c r="F32" s="9">
        <v>605</v>
      </c>
      <c r="G32" s="9">
        <v>191</v>
      </c>
      <c r="H32" s="9">
        <v>55</v>
      </c>
      <c r="I32" s="9">
        <v>34</v>
      </c>
      <c r="J32" s="9">
        <v>479</v>
      </c>
      <c r="K32" s="9">
        <v>3342</v>
      </c>
      <c r="M32" s="9"/>
      <c r="N32" s="9"/>
      <c r="O32" s="9"/>
      <c r="P32" s="9"/>
      <c r="Q32" s="9"/>
      <c r="R32" s="9"/>
      <c r="S32" s="9"/>
      <c r="T32" s="9"/>
      <c r="U32" s="9"/>
      <c r="V32" s="12"/>
      <c r="W32" s="123"/>
    </row>
    <row r="33" spans="1:22" x14ac:dyDescent="0.25">
      <c r="A33" s="194"/>
      <c r="B33" s="4" t="s">
        <v>20</v>
      </c>
      <c r="C33" s="9">
        <v>818</v>
      </c>
      <c r="D33" s="9">
        <v>447</v>
      </c>
      <c r="E33" s="9">
        <v>539</v>
      </c>
      <c r="F33" s="9">
        <v>409</v>
      </c>
      <c r="G33" s="9">
        <v>183</v>
      </c>
      <c r="H33" s="9">
        <v>92</v>
      </c>
      <c r="I33" s="9">
        <v>74</v>
      </c>
      <c r="J33" s="9">
        <v>23</v>
      </c>
      <c r="K33" s="9">
        <v>2585</v>
      </c>
      <c r="M33" s="9"/>
      <c r="N33" s="9"/>
      <c r="O33" s="9"/>
      <c r="P33" s="9"/>
      <c r="Q33" s="9"/>
      <c r="R33" s="9"/>
      <c r="S33" s="9"/>
      <c r="T33" s="9"/>
      <c r="U33" s="9"/>
      <c r="V33" s="12"/>
    </row>
    <row r="34" spans="1:22" x14ac:dyDescent="0.25">
      <c r="A34" s="194"/>
      <c r="B34" s="4" t="s">
        <v>21</v>
      </c>
      <c r="C34" s="9">
        <v>93</v>
      </c>
      <c r="D34" s="9">
        <v>4</v>
      </c>
      <c r="E34" s="9">
        <v>12</v>
      </c>
      <c r="F34" s="9" t="s">
        <v>146</v>
      </c>
      <c r="G34" s="9">
        <v>7</v>
      </c>
      <c r="H34" s="9">
        <v>3</v>
      </c>
      <c r="I34" s="9" t="s">
        <v>146</v>
      </c>
      <c r="J34" s="9">
        <v>12</v>
      </c>
      <c r="K34" s="9">
        <v>131</v>
      </c>
      <c r="M34" s="9"/>
      <c r="N34" s="9"/>
      <c r="O34" s="9"/>
      <c r="P34" s="9"/>
      <c r="Q34" s="9"/>
      <c r="R34" s="9"/>
      <c r="S34" s="9"/>
      <c r="T34" s="9"/>
      <c r="U34" s="9"/>
      <c r="V34" s="12"/>
    </row>
    <row r="35" spans="1:22" x14ac:dyDescent="0.25">
      <c r="A35" s="194"/>
      <c r="B35" s="10" t="s">
        <v>209</v>
      </c>
      <c r="C35" s="102">
        <v>1807</v>
      </c>
      <c r="D35" s="102">
        <v>548</v>
      </c>
      <c r="E35" s="102">
        <v>1536</v>
      </c>
      <c r="F35" s="102">
        <v>1014</v>
      </c>
      <c r="G35" s="102">
        <v>381</v>
      </c>
      <c r="H35" s="102">
        <v>150</v>
      </c>
      <c r="I35" s="102">
        <v>108</v>
      </c>
      <c r="J35" s="102">
        <v>514</v>
      </c>
      <c r="K35" s="102">
        <v>6058</v>
      </c>
      <c r="M35" s="102"/>
      <c r="N35" s="102"/>
      <c r="O35" s="102"/>
      <c r="P35" s="102"/>
      <c r="Q35" s="102"/>
      <c r="R35" s="102"/>
      <c r="S35" s="102"/>
      <c r="T35" s="102"/>
      <c r="U35" s="102"/>
      <c r="V35" s="12"/>
    </row>
    <row r="36" spans="1:22" x14ac:dyDescent="0.25">
      <c r="A36" s="194" t="s">
        <v>22</v>
      </c>
      <c r="B36" s="4" t="s">
        <v>19</v>
      </c>
      <c r="C36" s="9">
        <v>271</v>
      </c>
      <c r="D36" s="9">
        <v>20</v>
      </c>
      <c r="E36" s="9">
        <v>365</v>
      </c>
      <c r="F36" s="9">
        <v>203</v>
      </c>
      <c r="G36" s="9">
        <v>100</v>
      </c>
      <c r="H36" s="9">
        <v>25</v>
      </c>
      <c r="I36" s="9">
        <v>14</v>
      </c>
      <c r="J36" s="9">
        <v>131</v>
      </c>
      <c r="K36" s="9">
        <v>1129</v>
      </c>
      <c r="M36" s="9"/>
      <c r="N36" s="9"/>
      <c r="O36" s="9"/>
      <c r="P36" s="9"/>
      <c r="Q36" s="9"/>
      <c r="R36" s="9"/>
      <c r="S36" s="9"/>
      <c r="T36" s="9"/>
      <c r="U36" s="9"/>
      <c r="V36" s="12"/>
    </row>
    <row r="37" spans="1:22" x14ac:dyDescent="0.25">
      <c r="A37" s="194"/>
      <c r="B37" s="4" t="s">
        <v>20</v>
      </c>
      <c r="C37" s="9">
        <v>209</v>
      </c>
      <c r="D37" s="9">
        <v>67</v>
      </c>
      <c r="E37" s="9">
        <v>155</v>
      </c>
      <c r="F37" s="9">
        <v>123</v>
      </c>
      <c r="G37" s="9">
        <v>58</v>
      </c>
      <c r="H37" s="9">
        <v>37</v>
      </c>
      <c r="I37" s="9">
        <v>30</v>
      </c>
      <c r="J37" s="9">
        <v>3</v>
      </c>
      <c r="K37" s="9">
        <v>682</v>
      </c>
      <c r="M37" s="9"/>
      <c r="N37" s="9"/>
      <c r="O37" s="9"/>
      <c r="P37" s="9"/>
      <c r="Q37" s="9"/>
      <c r="R37" s="9"/>
      <c r="S37" s="9"/>
      <c r="T37" s="9"/>
      <c r="U37" s="9"/>
      <c r="V37" s="12"/>
    </row>
    <row r="38" spans="1:22" x14ac:dyDescent="0.25">
      <c r="A38" s="194"/>
      <c r="B38" s="4" t="s">
        <v>21</v>
      </c>
      <c r="C38" s="9">
        <v>20</v>
      </c>
      <c r="D38" s="9" t="s">
        <v>146</v>
      </c>
      <c r="E38" s="9">
        <v>2</v>
      </c>
      <c r="F38" s="9" t="s">
        <v>146</v>
      </c>
      <c r="G38" s="9">
        <v>1</v>
      </c>
      <c r="H38" s="9">
        <v>1</v>
      </c>
      <c r="I38" s="9" t="s">
        <v>146</v>
      </c>
      <c r="J38" s="9">
        <v>4</v>
      </c>
      <c r="K38" s="9">
        <v>28</v>
      </c>
      <c r="M38" s="9"/>
      <c r="N38" s="9"/>
      <c r="O38" s="9"/>
      <c r="P38" s="9"/>
      <c r="Q38" s="9"/>
      <c r="R38" s="9"/>
      <c r="S38" s="9"/>
      <c r="T38" s="9"/>
      <c r="U38" s="9"/>
      <c r="V38" s="12"/>
    </row>
    <row r="39" spans="1:22" x14ac:dyDescent="0.25">
      <c r="A39" s="194"/>
      <c r="B39" s="10" t="s">
        <v>209</v>
      </c>
      <c r="C39" s="102">
        <v>500</v>
      </c>
      <c r="D39" s="102">
        <v>87</v>
      </c>
      <c r="E39" s="102">
        <v>522</v>
      </c>
      <c r="F39" s="102">
        <v>326</v>
      </c>
      <c r="G39" s="102">
        <v>159</v>
      </c>
      <c r="H39" s="102">
        <v>63</v>
      </c>
      <c r="I39" s="102">
        <v>44</v>
      </c>
      <c r="J39" s="102">
        <v>138</v>
      </c>
      <c r="K39" s="102">
        <v>1839</v>
      </c>
      <c r="L39" s="12"/>
      <c r="M39" s="102"/>
      <c r="N39" s="102"/>
      <c r="O39" s="102"/>
      <c r="P39" s="102"/>
      <c r="Q39" s="102"/>
      <c r="R39" s="102"/>
      <c r="S39" s="102"/>
      <c r="T39" s="102"/>
      <c r="U39" s="102"/>
      <c r="V39" s="12"/>
    </row>
    <row r="40" spans="1:22" x14ac:dyDescent="0.25">
      <c r="A40" s="194" t="s">
        <v>21</v>
      </c>
      <c r="B40" s="4" t="s">
        <v>19</v>
      </c>
      <c r="C40" s="9">
        <v>1</v>
      </c>
      <c r="D40" s="9" t="s">
        <v>146</v>
      </c>
      <c r="E40" s="9">
        <v>1</v>
      </c>
      <c r="F40" s="9" t="s">
        <v>146</v>
      </c>
      <c r="G40" s="9" t="s">
        <v>146</v>
      </c>
      <c r="H40" s="9" t="s">
        <v>146</v>
      </c>
      <c r="I40" s="9" t="s">
        <v>146</v>
      </c>
      <c r="J40" s="9" t="s">
        <v>146</v>
      </c>
      <c r="K40" s="9">
        <v>2</v>
      </c>
      <c r="L40" s="12"/>
      <c r="M40" s="9"/>
      <c r="N40" s="9"/>
      <c r="O40" s="9"/>
      <c r="P40" s="9"/>
      <c r="Q40" s="9"/>
      <c r="R40" s="9"/>
      <c r="S40" s="9"/>
      <c r="T40" s="9"/>
      <c r="U40" s="9"/>
      <c r="V40" s="12"/>
    </row>
    <row r="41" spans="1:22" x14ac:dyDescent="0.25">
      <c r="A41" s="194"/>
      <c r="B41" s="4" t="s">
        <v>20</v>
      </c>
      <c r="C41" s="9">
        <v>1</v>
      </c>
      <c r="D41" s="9" t="s">
        <v>146</v>
      </c>
      <c r="E41" s="9">
        <v>2</v>
      </c>
      <c r="F41" s="9">
        <v>1</v>
      </c>
      <c r="G41" s="9" t="s">
        <v>146</v>
      </c>
      <c r="H41" s="9">
        <v>2</v>
      </c>
      <c r="I41" s="9" t="s">
        <v>146</v>
      </c>
      <c r="J41" s="9" t="s">
        <v>146</v>
      </c>
      <c r="K41" s="9">
        <v>6</v>
      </c>
      <c r="L41" s="12"/>
      <c r="M41" s="9"/>
      <c r="N41" s="9"/>
      <c r="O41" s="9"/>
      <c r="P41" s="9"/>
      <c r="Q41" s="9"/>
      <c r="R41" s="9"/>
      <c r="S41" s="9"/>
      <c r="T41" s="9"/>
      <c r="U41" s="9"/>
      <c r="V41" s="12"/>
    </row>
    <row r="42" spans="1:22" x14ac:dyDescent="0.25">
      <c r="A42" s="194"/>
      <c r="B42" s="4" t="s">
        <v>21</v>
      </c>
      <c r="C42" s="39" t="s">
        <v>146</v>
      </c>
      <c r="D42" s="9" t="s">
        <v>146</v>
      </c>
      <c r="E42" s="9" t="s">
        <v>146</v>
      </c>
      <c r="F42" s="9" t="s">
        <v>146</v>
      </c>
      <c r="G42" s="9">
        <v>1</v>
      </c>
      <c r="H42" s="9">
        <v>1</v>
      </c>
      <c r="I42" s="9" t="s">
        <v>146</v>
      </c>
      <c r="J42" s="9">
        <v>1</v>
      </c>
      <c r="K42" s="9">
        <v>3</v>
      </c>
      <c r="L42" s="12"/>
      <c r="M42" s="9"/>
      <c r="N42" s="9"/>
      <c r="O42" s="9"/>
      <c r="P42" s="9"/>
      <c r="Q42" s="9"/>
      <c r="R42" s="9"/>
      <c r="S42" s="9"/>
      <c r="T42" s="9"/>
      <c r="U42" s="9"/>
      <c r="V42" s="12"/>
    </row>
    <row r="43" spans="1:22" x14ac:dyDescent="0.25">
      <c r="A43" s="194"/>
      <c r="B43" s="10" t="s">
        <v>209</v>
      </c>
      <c r="C43" s="102">
        <v>2</v>
      </c>
      <c r="D43" s="102" t="s">
        <v>146</v>
      </c>
      <c r="E43" s="102">
        <v>3</v>
      </c>
      <c r="F43" s="102">
        <v>1</v>
      </c>
      <c r="G43" s="102">
        <v>1</v>
      </c>
      <c r="H43" s="102">
        <v>3</v>
      </c>
      <c r="I43" s="102" t="s">
        <v>146</v>
      </c>
      <c r="J43" s="102">
        <v>1</v>
      </c>
      <c r="K43" s="102">
        <v>11</v>
      </c>
      <c r="L43" s="12"/>
      <c r="M43" s="102"/>
      <c r="N43" s="9"/>
      <c r="O43" s="102"/>
      <c r="P43" s="9"/>
      <c r="Q43" s="9"/>
      <c r="R43" s="102"/>
      <c r="S43" s="9"/>
      <c r="T43" s="102"/>
      <c r="U43" s="102"/>
      <c r="V43" s="12"/>
    </row>
    <row r="44" spans="1:22" x14ac:dyDescent="0.25">
      <c r="A44" s="195" t="s">
        <v>209</v>
      </c>
      <c r="B44" s="4" t="s">
        <v>19</v>
      </c>
      <c r="C44" s="9">
        <v>1168</v>
      </c>
      <c r="D44" s="9">
        <v>117</v>
      </c>
      <c r="E44" s="9">
        <v>1351</v>
      </c>
      <c r="F44" s="9">
        <v>808</v>
      </c>
      <c r="G44" s="9">
        <v>291</v>
      </c>
      <c r="H44" s="9">
        <v>80</v>
      </c>
      <c r="I44" s="9">
        <v>48</v>
      </c>
      <c r="J44" s="9">
        <v>610</v>
      </c>
      <c r="K44" s="9">
        <v>4473</v>
      </c>
      <c r="M44" s="9"/>
      <c r="N44" s="9"/>
      <c r="O44" s="9"/>
      <c r="P44" s="9"/>
      <c r="Q44" s="9"/>
      <c r="R44" s="9"/>
      <c r="S44" s="9"/>
      <c r="T44" s="9"/>
      <c r="U44" s="9"/>
      <c r="V44" s="12"/>
    </row>
    <row r="45" spans="1:22" x14ac:dyDescent="0.25">
      <c r="A45" s="195"/>
      <c r="B45" s="4" t="s">
        <v>20</v>
      </c>
      <c r="C45" s="9">
        <v>1028</v>
      </c>
      <c r="D45" s="9">
        <v>514</v>
      </c>
      <c r="E45" s="9">
        <v>696</v>
      </c>
      <c r="F45" s="9">
        <v>533</v>
      </c>
      <c r="G45" s="9">
        <v>241</v>
      </c>
      <c r="H45" s="9">
        <v>131</v>
      </c>
      <c r="I45" s="9">
        <v>104</v>
      </c>
      <c r="J45" s="9">
        <v>26</v>
      </c>
      <c r="K45" s="9">
        <v>3273</v>
      </c>
      <c r="M45" s="9"/>
      <c r="N45" s="9"/>
      <c r="O45" s="9"/>
      <c r="P45" s="9"/>
      <c r="Q45" s="9"/>
      <c r="R45" s="9"/>
      <c r="S45" s="9"/>
      <c r="T45" s="9"/>
      <c r="U45" s="9"/>
      <c r="V45" s="12"/>
    </row>
    <row r="46" spans="1:22" x14ac:dyDescent="0.25">
      <c r="A46" s="195"/>
      <c r="B46" s="4" t="s">
        <v>21</v>
      </c>
      <c r="C46" s="9">
        <v>113</v>
      </c>
      <c r="D46" s="9">
        <v>4</v>
      </c>
      <c r="E46" s="9">
        <v>14</v>
      </c>
      <c r="F46" s="9" t="s">
        <v>146</v>
      </c>
      <c r="G46" s="9">
        <v>9</v>
      </c>
      <c r="H46" s="9">
        <v>5</v>
      </c>
      <c r="I46" s="9" t="s">
        <v>146</v>
      </c>
      <c r="J46" s="9">
        <v>17</v>
      </c>
      <c r="K46" s="9">
        <v>162</v>
      </c>
      <c r="M46" s="9"/>
      <c r="N46" s="9"/>
      <c r="O46" s="9"/>
      <c r="P46" s="9"/>
      <c r="Q46" s="9"/>
      <c r="R46" s="9"/>
      <c r="S46" s="9"/>
      <c r="T46" s="9"/>
      <c r="U46" s="9"/>
    </row>
    <row r="47" spans="1:22" x14ac:dyDescent="0.25">
      <c r="A47" s="195"/>
      <c r="B47" s="10" t="s">
        <v>209</v>
      </c>
      <c r="C47" s="102">
        <v>2309</v>
      </c>
      <c r="D47" s="102">
        <v>635</v>
      </c>
      <c r="E47" s="102">
        <v>2061</v>
      </c>
      <c r="F47" s="102">
        <v>1341</v>
      </c>
      <c r="G47" s="102">
        <v>541</v>
      </c>
      <c r="H47" s="102">
        <v>216</v>
      </c>
      <c r="I47" s="102">
        <v>152</v>
      </c>
      <c r="J47" s="102">
        <v>653</v>
      </c>
      <c r="K47" s="102">
        <v>7908</v>
      </c>
      <c r="M47" s="102"/>
      <c r="N47" s="102"/>
      <c r="O47" s="102"/>
      <c r="P47" s="102"/>
      <c r="Q47" s="102"/>
      <c r="R47" s="102"/>
      <c r="S47" s="102"/>
      <c r="T47" s="102"/>
      <c r="U47" s="102"/>
    </row>
    <row r="48" spans="1:22" ht="2.25" customHeight="1" x14ac:dyDescent="0.25">
      <c r="A48" s="43"/>
      <c r="B48" s="43"/>
      <c r="C48" s="43" t="s">
        <v>349</v>
      </c>
      <c r="D48" s="43" t="s">
        <v>349</v>
      </c>
      <c r="E48" s="43" t="s">
        <v>349</v>
      </c>
      <c r="F48" s="43" t="s">
        <v>349</v>
      </c>
      <c r="G48" s="43" t="s">
        <v>349</v>
      </c>
      <c r="H48" s="43" t="s">
        <v>349</v>
      </c>
      <c r="I48" s="43" t="s">
        <v>349</v>
      </c>
      <c r="J48" s="43" t="s">
        <v>349</v>
      </c>
      <c r="K48" s="43" t="s">
        <v>349</v>
      </c>
      <c r="M48" s="1" t="str">
        <f t="shared" ref="M48" si="0">IF(C48=0,"-",C48)</f>
        <v>-</v>
      </c>
      <c r="N48" s="1" t="str">
        <f t="shared" ref="N48" si="1">IF(D48=0,"-",D48)</f>
        <v>-</v>
      </c>
      <c r="O48" s="1" t="str">
        <f t="shared" ref="O48" si="2">IF(E48=0,"-",E48)</f>
        <v>-</v>
      </c>
      <c r="P48" s="1" t="str">
        <f t="shared" ref="P48" si="3">IF(F48=0,"-",F48)</f>
        <v>-</v>
      </c>
      <c r="Q48" s="1" t="str">
        <f t="shared" ref="Q48" si="4">IF(G48=0,"-",G48)</f>
        <v>-</v>
      </c>
      <c r="R48" s="1" t="str">
        <f t="shared" ref="R48" si="5">IF(H48=0,"-",H48)</f>
        <v>-</v>
      </c>
      <c r="S48" s="1" t="str">
        <f t="shared" ref="S48" si="6">IF(I48=0,"-",I48)</f>
        <v>-</v>
      </c>
      <c r="T48" s="1" t="str">
        <f t="shared" ref="T48" si="7">IF(J48=0,"-",J48)</f>
        <v>-</v>
      </c>
      <c r="U48" s="1" t="str">
        <f t="shared" ref="U48" si="8">IF(K48=0,"-",K48)</f>
        <v>-</v>
      </c>
    </row>
    <row r="49" spans="1:13" ht="21.95" customHeight="1" x14ac:dyDescent="0.25">
      <c r="A49" s="196" t="s">
        <v>17</v>
      </c>
      <c r="B49" s="196"/>
      <c r="C49" s="196"/>
      <c r="D49" s="196"/>
      <c r="E49" s="196"/>
      <c r="F49" s="196"/>
      <c r="G49" s="196"/>
      <c r="H49" s="196"/>
      <c r="I49" s="196"/>
      <c r="J49" s="196"/>
      <c r="K49" s="196"/>
      <c r="L49" s="196"/>
      <c r="M49" s="196"/>
    </row>
    <row r="50" spans="1:13" ht="10.5" customHeight="1" x14ac:dyDescent="0.25">
      <c r="A50" s="40"/>
      <c r="B50" s="40"/>
      <c r="C50" s="40"/>
      <c r="D50" s="40"/>
      <c r="E50" s="40"/>
      <c r="F50" s="40"/>
      <c r="G50" s="40"/>
      <c r="H50" s="40"/>
      <c r="I50" s="40"/>
      <c r="J50" s="40"/>
      <c r="K50" s="40"/>
      <c r="L50" s="40"/>
      <c r="M50" s="40"/>
    </row>
    <row r="51" spans="1:13" s="7" customFormat="1" ht="11.1" customHeight="1" x14ac:dyDescent="0.15">
      <c r="A51" s="7" t="s">
        <v>347</v>
      </c>
    </row>
    <row r="52" spans="1:13" ht="12" customHeight="1" x14ac:dyDescent="0.25">
      <c r="A52" s="2"/>
    </row>
    <row r="55" spans="1:13" x14ac:dyDescent="0.25">
      <c r="J55" s="139"/>
      <c r="K55" s="139"/>
    </row>
    <row r="56" spans="1:13" x14ac:dyDescent="0.25">
      <c r="J56" s="139"/>
      <c r="K56" s="139"/>
    </row>
  </sheetData>
  <mergeCells count="16">
    <mergeCell ref="A1:K1"/>
    <mergeCell ref="A4:A7"/>
    <mergeCell ref="A8:A11"/>
    <mergeCell ref="A12:A15"/>
    <mergeCell ref="A16:A19"/>
    <mergeCell ref="A23:K23"/>
    <mergeCell ref="A49:K49"/>
    <mergeCell ref="L49:M49"/>
    <mergeCell ref="A21:K21"/>
    <mergeCell ref="A29:M29"/>
    <mergeCell ref="A32:A35"/>
    <mergeCell ref="A36:A39"/>
    <mergeCell ref="A40:A43"/>
    <mergeCell ref="A44:A47"/>
    <mergeCell ref="A25:K25"/>
    <mergeCell ref="A24:K24"/>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41"/>
  <sheetViews>
    <sheetView topLeftCell="A2" zoomScale="110" zoomScaleNormal="110" workbookViewId="0">
      <selection activeCell="M24" sqref="M24"/>
    </sheetView>
  </sheetViews>
  <sheetFormatPr defaultColWidth="9.140625" defaultRowHeight="15" x14ac:dyDescent="0.25"/>
  <cols>
    <col min="1" max="1" width="11.42578125" style="1" bestFit="1" customWidth="1"/>
    <col min="2" max="2" width="17.5703125" style="1" customWidth="1"/>
    <col min="3" max="11" width="11.42578125" style="1" bestFit="1" customWidth="1"/>
    <col min="12" max="16384" width="9.140625" style="1"/>
  </cols>
  <sheetData>
    <row r="1" spans="1:23" ht="27.95" customHeight="1" x14ac:dyDescent="0.25">
      <c r="A1" s="192" t="s">
        <v>277</v>
      </c>
      <c r="B1" s="192"/>
      <c r="C1" s="192"/>
      <c r="D1" s="192"/>
      <c r="E1" s="192"/>
      <c r="F1" s="192"/>
      <c r="G1" s="192"/>
      <c r="H1" s="192"/>
      <c r="I1" s="192"/>
      <c r="J1" s="192"/>
      <c r="K1" s="192"/>
    </row>
    <row r="2" spans="1:23" ht="3" customHeight="1" x14ac:dyDescent="0.25">
      <c r="A2" s="2"/>
    </row>
    <row r="3" spans="1:23" x14ac:dyDescent="0.25">
      <c r="A3" s="35" t="s">
        <v>157</v>
      </c>
      <c r="B3" s="35" t="s">
        <v>158</v>
      </c>
      <c r="C3" s="3" t="s">
        <v>1</v>
      </c>
      <c r="D3" s="3" t="s">
        <v>2</v>
      </c>
      <c r="E3" s="3" t="s">
        <v>3</v>
      </c>
      <c r="F3" s="3" t="s">
        <v>4</v>
      </c>
      <c r="G3" s="3" t="s">
        <v>5</v>
      </c>
      <c r="H3" s="3" t="s">
        <v>6</v>
      </c>
      <c r="I3" s="3" t="s">
        <v>7</v>
      </c>
      <c r="J3" s="3" t="s">
        <v>8</v>
      </c>
      <c r="K3" s="3" t="s">
        <v>9</v>
      </c>
    </row>
    <row r="4" spans="1:23" ht="15" customHeight="1" x14ac:dyDescent="0.25">
      <c r="A4" s="197" t="s">
        <v>18</v>
      </c>
      <c r="B4" s="37" t="s">
        <v>19</v>
      </c>
      <c r="C4" s="99">
        <v>125.751</v>
      </c>
      <c r="D4" s="99">
        <v>64.433000000000007</v>
      </c>
      <c r="E4" s="99">
        <v>222.13800000000001</v>
      </c>
      <c r="F4" s="99">
        <v>196.67</v>
      </c>
      <c r="G4" s="99">
        <v>172.21799999999999</v>
      </c>
      <c r="H4" s="99">
        <v>86.963999999999999</v>
      </c>
      <c r="I4" s="99">
        <v>239.71</v>
      </c>
      <c r="J4" s="99" t="s">
        <v>151</v>
      </c>
      <c r="K4" s="99">
        <v>161.30600000000001</v>
      </c>
      <c r="M4" s="5"/>
      <c r="N4" s="5"/>
      <c r="O4" s="5"/>
      <c r="P4" s="5"/>
      <c r="Q4" s="5"/>
      <c r="R4" s="5"/>
      <c r="S4" s="5"/>
      <c r="T4" s="5"/>
      <c r="U4" s="5"/>
      <c r="V4" s="5"/>
      <c r="W4" s="129"/>
    </row>
    <row r="5" spans="1:23" ht="15" customHeight="1" x14ac:dyDescent="0.25">
      <c r="A5" s="197"/>
      <c r="B5" s="37" t="s">
        <v>20</v>
      </c>
      <c r="C5" s="99">
        <v>7.907</v>
      </c>
      <c r="D5" s="99">
        <v>6.6369999999999996</v>
      </c>
      <c r="E5" s="99">
        <v>9.9350000000000005</v>
      </c>
      <c r="F5" s="99">
        <v>9.9789999999999992</v>
      </c>
      <c r="G5" s="99">
        <v>7.8659999999999997</v>
      </c>
      <c r="H5" s="99">
        <v>19.952000000000002</v>
      </c>
      <c r="I5" s="99">
        <v>19.422999999999998</v>
      </c>
      <c r="J5" s="99" t="s">
        <v>151</v>
      </c>
      <c r="K5" s="99">
        <v>8.6240000000000006</v>
      </c>
      <c r="M5" s="5"/>
      <c r="N5" s="5"/>
      <c r="O5" s="5"/>
      <c r="P5" s="5"/>
      <c r="Q5" s="5"/>
      <c r="R5" s="5"/>
      <c r="S5" s="5"/>
      <c r="T5" s="5"/>
      <c r="U5" s="5"/>
      <c r="V5" s="5"/>
    </row>
    <row r="6" spans="1:23" ht="15" customHeight="1" x14ac:dyDescent="0.25">
      <c r="A6" s="197"/>
      <c r="B6" s="29" t="s">
        <v>12</v>
      </c>
      <c r="C6" s="101">
        <v>17.213000000000001</v>
      </c>
      <c r="D6" s="101">
        <v>7.851</v>
      </c>
      <c r="E6" s="101">
        <v>28.567</v>
      </c>
      <c r="F6" s="101">
        <v>22.768000000000001</v>
      </c>
      <c r="G6" s="101">
        <v>16.914999999999999</v>
      </c>
      <c r="H6" s="101">
        <v>27.526</v>
      </c>
      <c r="I6" s="101">
        <v>27.045999999999999</v>
      </c>
      <c r="J6" s="101" t="s">
        <v>151</v>
      </c>
      <c r="K6" s="101">
        <v>18.298999999999999</v>
      </c>
      <c r="L6" s="89"/>
      <c r="M6" s="5"/>
      <c r="N6" s="5"/>
      <c r="O6" s="5"/>
      <c r="P6" s="5"/>
      <c r="Q6" s="5"/>
      <c r="R6" s="5"/>
      <c r="S6" s="5"/>
      <c r="T6" s="5"/>
      <c r="U6" s="5"/>
      <c r="V6" s="5"/>
    </row>
    <row r="7" spans="1:23" ht="15" customHeight="1" x14ac:dyDescent="0.25">
      <c r="A7" s="197" t="s">
        <v>22</v>
      </c>
      <c r="B7" s="37" t="s">
        <v>19</v>
      </c>
      <c r="C7" s="99">
        <v>35.655999999999999</v>
      </c>
      <c r="D7" s="99">
        <v>10.706</v>
      </c>
      <c r="E7" s="99">
        <v>84.14</v>
      </c>
      <c r="F7" s="99">
        <v>50.332999999999998</v>
      </c>
      <c r="G7" s="99">
        <v>68.387</v>
      </c>
      <c r="H7" s="99">
        <v>52.295999999999999</v>
      </c>
      <c r="I7" s="99">
        <v>136.06899999999999</v>
      </c>
      <c r="J7" s="99" t="s">
        <v>151</v>
      </c>
      <c r="K7" s="99">
        <v>53.655000000000001</v>
      </c>
      <c r="M7" s="5"/>
      <c r="N7" s="5"/>
      <c r="O7" s="5"/>
      <c r="P7" s="5"/>
      <c r="Q7" s="5"/>
      <c r="R7" s="5"/>
      <c r="S7" s="5"/>
      <c r="T7" s="5"/>
      <c r="U7" s="5"/>
      <c r="V7" s="5"/>
    </row>
    <row r="8" spans="1:23" ht="15" customHeight="1" x14ac:dyDescent="0.25">
      <c r="A8" s="197"/>
      <c r="B8" s="37" t="s">
        <v>20</v>
      </c>
      <c r="C8" s="99">
        <v>1.8089999999999999</v>
      </c>
      <c r="D8" s="99">
        <v>0.74299999999999999</v>
      </c>
      <c r="E8" s="99">
        <v>2.9670000000000001</v>
      </c>
      <c r="F8" s="99">
        <v>2.5710000000000002</v>
      </c>
      <c r="G8" s="99">
        <v>2.2130000000000001</v>
      </c>
      <c r="H8" s="99">
        <v>7.3049999999999997</v>
      </c>
      <c r="I8" s="99">
        <v>6.0430000000000001</v>
      </c>
      <c r="J8" s="99" t="s">
        <v>151</v>
      </c>
      <c r="K8" s="99">
        <v>2.0499999999999998</v>
      </c>
      <c r="M8" s="5"/>
      <c r="N8" s="5"/>
      <c r="O8" s="5"/>
      <c r="P8" s="5"/>
      <c r="Q8" s="5"/>
      <c r="R8" s="5"/>
      <c r="S8" s="5"/>
      <c r="T8" s="5"/>
      <c r="U8" s="5"/>
      <c r="V8" s="5"/>
    </row>
    <row r="9" spans="1:23" ht="15" customHeight="1" x14ac:dyDescent="0.25">
      <c r="A9" s="197"/>
      <c r="B9" s="29" t="s">
        <v>12</v>
      </c>
      <c r="C9" s="101">
        <v>4.4560000000000004</v>
      </c>
      <c r="D9" s="101">
        <v>0.95399999999999996</v>
      </c>
      <c r="E9" s="101">
        <v>10.167</v>
      </c>
      <c r="F9" s="101">
        <v>5.9169999999999998</v>
      </c>
      <c r="G9" s="101">
        <v>5.7690000000000001</v>
      </c>
      <c r="H9" s="101">
        <v>12.448</v>
      </c>
      <c r="I9" s="101">
        <v>9.9120000000000008</v>
      </c>
      <c r="J9" s="101" t="s">
        <v>151</v>
      </c>
      <c r="K9" s="101">
        <v>5.3120000000000003</v>
      </c>
      <c r="M9" s="5"/>
      <c r="N9" s="5"/>
      <c r="O9" s="5"/>
      <c r="P9" s="5"/>
      <c r="Q9" s="5"/>
      <c r="R9" s="5"/>
      <c r="S9" s="5"/>
      <c r="T9" s="5"/>
      <c r="U9" s="5"/>
      <c r="V9" s="5"/>
    </row>
    <row r="10" spans="1:23" ht="15" customHeight="1" x14ac:dyDescent="0.25">
      <c r="A10" s="197" t="s">
        <v>12</v>
      </c>
      <c r="B10" s="37" t="s">
        <v>19</v>
      </c>
      <c r="C10" s="99">
        <v>82.316000000000003</v>
      </c>
      <c r="D10" s="99">
        <v>38.006</v>
      </c>
      <c r="E10" s="99">
        <v>154.58699999999999</v>
      </c>
      <c r="F10" s="99">
        <v>124.672</v>
      </c>
      <c r="G10" s="99">
        <v>121.593</v>
      </c>
      <c r="H10" s="99">
        <v>70.117000000000004</v>
      </c>
      <c r="I10" s="99">
        <v>193.56299999999999</v>
      </c>
      <c r="J10" s="99" t="s">
        <v>151</v>
      </c>
      <c r="K10" s="99">
        <v>108.911</v>
      </c>
      <c r="L10" s="122"/>
      <c r="M10" s="5"/>
      <c r="N10" s="5"/>
      <c r="O10" s="5"/>
      <c r="P10" s="5"/>
      <c r="Q10" s="5"/>
      <c r="R10" s="5"/>
      <c r="S10" s="5"/>
      <c r="T10" s="5"/>
      <c r="U10" s="5"/>
      <c r="V10" s="5"/>
    </row>
    <row r="11" spans="1:23" ht="15" customHeight="1" x14ac:dyDescent="0.25">
      <c r="A11" s="197"/>
      <c r="B11" s="37" t="s">
        <v>20</v>
      </c>
      <c r="C11" s="99">
        <v>4.9589999999999996</v>
      </c>
      <c r="D11" s="99">
        <v>3.7679999999999998</v>
      </c>
      <c r="E11" s="99">
        <v>6.5679999999999996</v>
      </c>
      <c r="F11" s="99">
        <v>6.38</v>
      </c>
      <c r="G11" s="99">
        <v>5.1130000000000004</v>
      </c>
      <c r="H11" s="99">
        <v>13.996</v>
      </c>
      <c r="I11" s="99">
        <v>12.946999999999999</v>
      </c>
      <c r="J11" s="99" t="s">
        <v>151</v>
      </c>
      <c r="K11" s="99">
        <v>5.44</v>
      </c>
      <c r="M11" s="5"/>
      <c r="N11" s="5"/>
      <c r="O11" s="5"/>
      <c r="P11" s="5"/>
      <c r="Q11" s="5"/>
      <c r="R11" s="5"/>
      <c r="S11" s="5"/>
      <c r="T11" s="5"/>
      <c r="U11" s="5"/>
      <c r="V11" s="5"/>
      <c r="W11" s="89"/>
    </row>
    <row r="12" spans="1:23" ht="15" customHeight="1" x14ac:dyDescent="0.25">
      <c r="A12" s="197"/>
      <c r="B12" s="29" t="s">
        <v>12</v>
      </c>
      <c r="C12" s="101">
        <v>11.041</v>
      </c>
      <c r="D12" s="101">
        <v>4.4930000000000003</v>
      </c>
      <c r="E12" s="101">
        <v>19.643999999999998</v>
      </c>
      <c r="F12" s="101">
        <v>14.571999999999999</v>
      </c>
      <c r="G12" s="101">
        <v>11.513999999999999</v>
      </c>
      <c r="H12" s="101">
        <v>20.398</v>
      </c>
      <c r="I12" s="101">
        <v>18.774000000000001</v>
      </c>
      <c r="J12" s="101" t="s">
        <v>151</v>
      </c>
      <c r="K12" s="101">
        <v>12.002000000000001</v>
      </c>
      <c r="M12" s="5"/>
      <c r="N12" s="5"/>
      <c r="O12" s="5"/>
      <c r="P12" s="5"/>
      <c r="Q12" s="5"/>
      <c r="R12" s="5"/>
      <c r="S12" s="5"/>
      <c r="T12" s="5"/>
      <c r="U12" s="5"/>
      <c r="V12" s="5"/>
    </row>
    <row r="13" spans="1:23" ht="2.25" customHeight="1" x14ac:dyDescent="0.25">
      <c r="A13" s="2"/>
      <c r="J13" s="99" t="s">
        <v>151</v>
      </c>
    </row>
    <row r="14" spans="1:23" ht="11.1" customHeight="1" x14ac:dyDescent="0.25">
      <c r="A14" s="191" t="s">
        <v>23</v>
      </c>
      <c r="B14" s="191"/>
      <c r="C14" s="191"/>
      <c r="D14" s="191"/>
      <c r="E14" s="191"/>
      <c r="F14" s="191"/>
      <c r="G14" s="191"/>
      <c r="H14" s="191"/>
      <c r="I14" s="191"/>
      <c r="J14" s="191"/>
      <c r="K14" s="191"/>
      <c r="M14" s="128"/>
      <c r="N14" s="128"/>
    </row>
    <row r="15" spans="1:23" s="7" customFormat="1" ht="11.1" customHeight="1" x14ac:dyDescent="0.15">
      <c r="A15" s="7" t="s">
        <v>24</v>
      </c>
    </row>
    <row r="16" spans="1:23" s="7" customFormat="1" ht="22.5" customHeight="1" x14ac:dyDescent="0.15">
      <c r="A16" s="188" t="s">
        <v>28</v>
      </c>
      <c r="B16" s="188"/>
      <c r="C16" s="188"/>
      <c r="D16" s="188"/>
      <c r="E16" s="188"/>
      <c r="F16" s="188"/>
      <c r="G16" s="188"/>
      <c r="H16" s="188"/>
      <c r="I16" s="188"/>
      <c r="J16" s="188"/>
      <c r="K16" s="188"/>
    </row>
    <row r="17" spans="1:23" s="7" customFormat="1" ht="12" customHeight="1" x14ac:dyDescent="0.15">
      <c r="A17" s="7" t="s">
        <v>353</v>
      </c>
      <c r="B17" s="32"/>
      <c r="C17" s="32"/>
      <c r="D17" s="32"/>
      <c r="E17" s="32"/>
      <c r="F17" s="32"/>
      <c r="G17" s="32"/>
      <c r="H17" s="32"/>
      <c r="I17" s="32"/>
      <c r="J17" s="32"/>
      <c r="K17" s="32"/>
    </row>
    <row r="18" spans="1:23" s="7" customFormat="1" ht="12" customHeight="1" x14ac:dyDescent="0.15">
      <c r="A18" s="7" t="s">
        <v>354</v>
      </c>
      <c r="B18" s="32"/>
      <c r="C18" s="32"/>
      <c r="D18" s="32"/>
      <c r="E18" s="32"/>
      <c r="F18" s="32"/>
      <c r="G18" s="32"/>
      <c r="H18" s="32"/>
      <c r="I18" s="32"/>
      <c r="J18" s="32"/>
      <c r="K18" s="32"/>
    </row>
    <row r="19" spans="1:23" s="7" customFormat="1" ht="9" x14ac:dyDescent="0.15">
      <c r="A19" s="32"/>
      <c r="B19" s="32"/>
      <c r="C19" s="32"/>
      <c r="D19" s="32"/>
      <c r="E19" s="32"/>
      <c r="F19" s="32"/>
      <c r="G19" s="32"/>
      <c r="H19" s="32"/>
      <c r="I19" s="32"/>
      <c r="J19" s="32"/>
      <c r="K19" s="32"/>
    </row>
    <row r="20" spans="1:23" s="7" customFormat="1" ht="9" x14ac:dyDescent="0.15">
      <c r="A20" s="32"/>
      <c r="B20" s="32"/>
      <c r="C20" s="32"/>
      <c r="D20" s="32"/>
      <c r="E20" s="32"/>
      <c r="F20" s="32"/>
      <c r="G20" s="32"/>
      <c r="H20" s="32"/>
      <c r="I20" s="32"/>
      <c r="J20" s="32"/>
      <c r="K20" s="32"/>
    </row>
    <row r="21" spans="1:23" ht="12" customHeight="1" x14ac:dyDescent="0.25">
      <c r="A21" s="7" t="s">
        <v>441</v>
      </c>
    </row>
    <row r="22" spans="1:23" ht="27.95" customHeight="1" x14ac:dyDescent="0.25">
      <c r="A22" s="192" t="s">
        <v>278</v>
      </c>
      <c r="B22" s="192"/>
      <c r="C22" s="192"/>
      <c r="D22" s="192"/>
      <c r="E22" s="192"/>
      <c r="F22" s="192"/>
      <c r="G22" s="192"/>
      <c r="H22" s="192"/>
      <c r="I22" s="192"/>
      <c r="J22" s="192"/>
      <c r="K22" s="192"/>
    </row>
    <row r="23" spans="1:23" ht="2.25" customHeight="1" x14ac:dyDescent="0.25">
      <c r="A23" s="2"/>
    </row>
    <row r="24" spans="1:23" x14ac:dyDescent="0.25">
      <c r="A24" s="35" t="s">
        <v>157</v>
      </c>
      <c r="B24" s="35" t="s">
        <v>158</v>
      </c>
      <c r="C24" s="3" t="s">
        <v>1</v>
      </c>
      <c r="D24" s="3" t="s">
        <v>2</v>
      </c>
      <c r="E24" s="3" t="s">
        <v>3</v>
      </c>
      <c r="F24" s="3" t="s">
        <v>4</v>
      </c>
      <c r="G24" s="3" t="s">
        <v>5</v>
      </c>
      <c r="H24" s="3" t="s">
        <v>6</v>
      </c>
      <c r="I24" s="3" t="s">
        <v>7</v>
      </c>
      <c r="J24" s="3" t="s">
        <v>8</v>
      </c>
      <c r="K24" s="3" t="s">
        <v>9</v>
      </c>
    </row>
    <row r="25" spans="1:23" x14ac:dyDescent="0.25">
      <c r="A25" s="197" t="s">
        <v>18</v>
      </c>
      <c r="B25" s="37" t="s">
        <v>19</v>
      </c>
      <c r="C25" s="5">
        <v>279.20999999999998</v>
      </c>
      <c r="D25" s="5">
        <v>136.745</v>
      </c>
      <c r="E25" s="5">
        <v>377.73500000000001</v>
      </c>
      <c r="F25" s="5">
        <v>572.75400000000002</v>
      </c>
      <c r="G25" s="5">
        <v>390.154</v>
      </c>
      <c r="H25" s="5">
        <v>175.71899999999999</v>
      </c>
      <c r="I25" s="5">
        <v>559.97699999999998</v>
      </c>
      <c r="J25" s="5">
        <v>814.00300000000004</v>
      </c>
      <c r="K25" s="5">
        <v>369.93299999999999</v>
      </c>
      <c r="M25" s="5"/>
      <c r="N25" s="5"/>
      <c r="O25" s="5"/>
      <c r="P25" s="5"/>
      <c r="Q25" s="5"/>
      <c r="R25" s="5"/>
      <c r="S25" s="5"/>
      <c r="T25" s="5"/>
      <c r="U25" s="5"/>
      <c r="W25" s="129"/>
    </row>
    <row r="26" spans="1:23" x14ac:dyDescent="0.25">
      <c r="A26" s="197"/>
      <c r="B26" s="37" t="s">
        <v>20</v>
      </c>
      <c r="C26" s="5">
        <v>20.637</v>
      </c>
      <c r="D26" s="5">
        <v>13.324999999999999</v>
      </c>
      <c r="E26" s="5">
        <v>19.748999999999999</v>
      </c>
      <c r="F26" s="5">
        <v>28.475000000000001</v>
      </c>
      <c r="G26" s="5">
        <v>21.177</v>
      </c>
      <c r="H26" s="5">
        <v>37.094999999999999</v>
      </c>
      <c r="I26" s="5">
        <v>43.686</v>
      </c>
      <c r="J26" s="5">
        <v>27.35</v>
      </c>
      <c r="K26" s="5">
        <v>20.117999999999999</v>
      </c>
      <c r="M26" s="5"/>
      <c r="N26" s="5"/>
      <c r="O26" s="5"/>
      <c r="P26" s="5"/>
      <c r="Q26" s="5"/>
      <c r="R26" s="5"/>
      <c r="S26" s="5"/>
      <c r="T26" s="5"/>
      <c r="U26" s="5"/>
    </row>
    <row r="27" spans="1:23" x14ac:dyDescent="0.25">
      <c r="A27" s="197"/>
      <c r="B27" s="29" t="s">
        <v>12</v>
      </c>
      <c r="C27" s="101">
        <v>42.173999999999999</v>
      </c>
      <c r="D27" s="101">
        <v>15.997999999999999</v>
      </c>
      <c r="E27" s="101">
        <v>51.371000000000002</v>
      </c>
      <c r="F27" s="101">
        <v>65.760000000000005</v>
      </c>
      <c r="G27" s="101">
        <v>41.725999999999999</v>
      </c>
      <c r="H27" s="101">
        <v>53.704000000000001</v>
      </c>
      <c r="I27" s="101">
        <v>61.551000000000002</v>
      </c>
      <c r="J27" s="101">
        <v>359.59100000000001</v>
      </c>
      <c r="K27" s="101">
        <v>44.048999999999999</v>
      </c>
      <c r="M27" s="5"/>
      <c r="N27" s="5"/>
      <c r="O27" s="5"/>
      <c r="P27" s="5"/>
      <c r="Q27" s="5"/>
      <c r="R27" s="5"/>
      <c r="S27" s="5"/>
      <c r="T27" s="5"/>
      <c r="U27" s="5"/>
    </row>
    <row r="28" spans="1:23" x14ac:dyDescent="0.25">
      <c r="A28" s="197" t="s">
        <v>22</v>
      </c>
      <c r="B28" s="37" t="s">
        <v>19</v>
      </c>
      <c r="C28" s="5">
        <v>90.549000000000007</v>
      </c>
      <c r="D28" s="5">
        <v>29.126999999999999</v>
      </c>
      <c r="E28" s="5">
        <v>145.86600000000001</v>
      </c>
      <c r="F28" s="5">
        <v>198.42599999999999</v>
      </c>
      <c r="G28" s="5">
        <v>214.684</v>
      </c>
      <c r="H28" s="5">
        <v>84.488</v>
      </c>
      <c r="I28" s="5">
        <v>287.27800000000002</v>
      </c>
      <c r="J28" s="5">
        <v>238.16</v>
      </c>
      <c r="K28" s="5">
        <v>131.81</v>
      </c>
      <c r="M28" s="5"/>
      <c r="N28" s="5"/>
      <c r="O28" s="5"/>
      <c r="P28" s="5"/>
      <c r="Q28" s="5"/>
      <c r="R28" s="5"/>
      <c r="S28" s="5"/>
      <c r="T28" s="5"/>
      <c r="U28" s="5"/>
    </row>
    <row r="29" spans="1:23" x14ac:dyDescent="0.25">
      <c r="A29" s="197"/>
      <c r="B29" s="37" t="s">
        <v>20</v>
      </c>
      <c r="C29" s="5">
        <v>5.5990000000000002</v>
      </c>
      <c r="D29" s="5">
        <v>2.1059999999999999</v>
      </c>
      <c r="E29" s="5">
        <v>6.0209999999999999</v>
      </c>
      <c r="F29" s="5">
        <v>9.0559999999999992</v>
      </c>
      <c r="G29" s="5">
        <v>7.07</v>
      </c>
      <c r="H29" s="5">
        <v>15.98</v>
      </c>
      <c r="I29" s="5">
        <v>18.881</v>
      </c>
      <c r="J29" s="5">
        <v>3.8540000000000001</v>
      </c>
      <c r="K29" s="5">
        <v>5.62</v>
      </c>
      <c r="M29" s="5"/>
      <c r="N29" s="5"/>
      <c r="O29" s="5"/>
      <c r="P29" s="5"/>
      <c r="Q29" s="5"/>
      <c r="R29" s="5"/>
      <c r="S29" s="5"/>
      <c r="T29" s="5"/>
      <c r="U29" s="5"/>
    </row>
    <row r="30" spans="1:23" x14ac:dyDescent="0.25">
      <c r="A30" s="197"/>
      <c r="B30" s="29" t="s">
        <v>12</v>
      </c>
      <c r="C30" s="101">
        <v>12.401</v>
      </c>
      <c r="D30" s="101">
        <v>2.677</v>
      </c>
      <c r="E30" s="101">
        <v>18.481000000000002</v>
      </c>
      <c r="F30" s="101">
        <v>22.321999999999999</v>
      </c>
      <c r="G30" s="101">
        <v>18.34</v>
      </c>
      <c r="H30" s="101">
        <v>24.126000000000001</v>
      </c>
      <c r="I30" s="101">
        <v>26.867000000000001</v>
      </c>
      <c r="J30" s="101">
        <v>103.877</v>
      </c>
      <c r="K30" s="101">
        <v>14.154999999999999</v>
      </c>
      <c r="M30" s="5"/>
      <c r="N30" s="5"/>
      <c r="O30" s="5"/>
      <c r="P30" s="5"/>
      <c r="Q30" s="5"/>
      <c r="R30" s="5"/>
      <c r="S30" s="5"/>
      <c r="T30" s="5"/>
      <c r="U30" s="5"/>
    </row>
    <row r="31" spans="1:23" x14ac:dyDescent="0.25">
      <c r="A31" s="197" t="s">
        <v>12</v>
      </c>
      <c r="B31" s="37" t="s">
        <v>19</v>
      </c>
      <c r="C31" s="5">
        <v>188.32900000000001</v>
      </c>
      <c r="D31" s="5">
        <v>83.811000000000007</v>
      </c>
      <c r="E31" s="5">
        <v>264.38600000000002</v>
      </c>
      <c r="F31" s="5">
        <v>388.58300000000003</v>
      </c>
      <c r="G31" s="5">
        <v>304.60000000000002</v>
      </c>
      <c r="H31" s="5">
        <v>131.38399999999999</v>
      </c>
      <c r="I31" s="5">
        <v>438.55599999999998</v>
      </c>
      <c r="J31" s="5">
        <v>535.79300000000001</v>
      </c>
      <c r="K31" s="5">
        <v>254.15600000000001</v>
      </c>
      <c r="M31" s="5"/>
      <c r="N31" s="5"/>
      <c r="O31" s="5"/>
      <c r="P31" s="5"/>
      <c r="Q31" s="5"/>
      <c r="R31" s="5"/>
      <c r="S31" s="5"/>
      <c r="T31" s="5"/>
      <c r="U31" s="5"/>
    </row>
    <row r="32" spans="1:23" x14ac:dyDescent="0.25">
      <c r="A32" s="197"/>
      <c r="B32" s="37" t="s">
        <v>20</v>
      </c>
      <c r="C32" s="5">
        <v>13.356999999999999</v>
      </c>
      <c r="D32" s="5">
        <v>7.8639999999999999</v>
      </c>
      <c r="E32" s="5">
        <v>13.122999999999999</v>
      </c>
      <c r="F32" s="5">
        <v>19.073</v>
      </c>
      <c r="G32" s="5">
        <v>14.307</v>
      </c>
      <c r="H32" s="5">
        <v>27.317</v>
      </c>
      <c r="I32" s="5">
        <v>31.68</v>
      </c>
      <c r="J32" s="5">
        <v>16.055</v>
      </c>
      <c r="K32" s="5">
        <v>13.1</v>
      </c>
      <c r="M32" s="5"/>
      <c r="N32" s="5"/>
      <c r="O32" s="5"/>
      <c r="P32" s="5"/>
      <c r="Q32" s="5"/>
      <c r="R32" s="5"/>
      <c r="S32" s="5"/>
      <c r="T32" s="5"/>
      <c r="U32" s="5"/>
    </row>
    <row r="33" spans="1:21" x14ac:dyDescent="0.25">
      <c r="A33" s="197"/>
      <c r="B33" s="29" t="s">
        <v>12</v>
      </c>
      <c r="C33" s="101">
        <v>27.763999999999999</v>
      </c>
      <c r="D33" s="101">
        <v>9.5120000000000005</v>
      </c>
      <c r="E33" s="101">
        <v>35.445999999999998</v>
      </c>
      <c r="F33" s="101">
        <v>44.664000000000001</v>
      </c>
      <c r="G33" s="101">
        <v>30.391999999999999</v>
      </c>
      <c r="H33" s="101">
        <v>39.966999999999999</v>
      </c>
      <c r="I33" s="101">
        <v>44.807000000000002</v>
      </c>
      <c r="J33" s="101">
        <v>236.774</v>
      </c>
      <c r="K33" s="101">
        <v>29.568999999999999</v>
      </c>
      <c r="M33" s="5"/>
      <c r="N33" s="5"/>
      <c r="O33" s="5"/>
      <c r="P33" s="5"/>
      <c r="Q33" s="5"/>
      <c r="R33" s="5"/>
      <c r="S33" s="5"/>
      <c r="T33" s="5"/>
      <c r="U33" s="5"/>
    </row>
    <row r="34" spans="1:21" ht="1.5" customHeight="1" x14ac:dyDescent="0.25">
      <c r="A34" s="2"/>
    </row>
    <row r="35" spans="1:21" ht="11.1" customHeight="1" x14ac:dyDescent="0.25">
      <c r="A35" s="191" t="s">
        <v>23</v>
      </c>
      <c r="B35" s="191"/>
      <c r="C35" s="191"/>
      <c r="D35" s="191"/>
      <c r="E35" s="191"/>
      <c r="F35" s="191"/>
      <c r="G35" s="191"/>
      <c r="H35" s="191"/>
      <c r="I35" s="191"/>
      <c r="J35" s="191"/>
      <c r="K35" s="191"/>
    </row>
    <row r="36" spans="1:21" s="7" customFormat="1" ht="11.1" customHeight="1" x14ac:dyDescent="0.15">
      <c r="A36" s="7" t="s">
        <v>24</v>
      </c>
    </row>
    <row r="37" spans="1:21" s="7" customFormat="1" ht="11.1" customHeight="1" x14ac:dyDescent="0.15">
      <c r="A37" s="7" t="s">
        <v>25</v>
      </c>
    </row>
    <row r="38" spans="1:21" s="7" customFormat="1" ht="11.1" customHeight="1" x14ac:dyDescent="0.15">
      <c r="A38" s="7" t="s">
        <v>354</v>
      </c>
    </row>
    <row r="39" spans="1:21" s="7" customFormat="1" ht="11.1" customHeight="1" x14ac:dyDescent="0.15">
      <c r="A39" s="7" t="s">
        <v>15</v>
      </c>
    </row>
    <row r="40" spans="1:21" s="7" customFormat="1" ht="11.1" customHeight="1" x14ac:dyDescent="0.15">
      <c r="A40" s="7" t="s">
        <v>236</v>
      </c>
    </row>
    <row r="41" spans="1:21" ht="12" customHeight="1" x14ac:dyDescent="0.25">
      <c r="A41" s="2"/>
    </row>
  </sheetData>
  <mergeCells count="11">
    <mergeCell ref="A35:K35"/>
    <mergeCell ref="A1:K1"/>
    <mergeCell ref="A4:A6"/>
    <mergeCell ref="A7:A9"/>
    <mergeCell ref="A10:A12"/>
    <mergeCell ref="A14:K14"/>
    <mergeCell ref="A22:K22"/>
    <mergeCell ref="A25:A27"/>
    <mergeCell ref="A28:A30"/>
    <mergeCell ref="A31:A33"/>
    <mergeCell ref="A16:K16"/>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56"/>
  <sheetViews>
    <sheetView zoomScaleNormal="100" workbookViewId="0">
      <selection sqref="A1:M1"/>
    </sheetView>
  </sheetViews>
  <sheetFormatPr defaultColWidth="9.140625" defaultRowHeight="15" x14ac:dyDescent="0.25"/>
  <cols>
    <col min="1" max="1" width="11.42578125" style="1" bestFit="1" customWidth="1"/>
    <col min="2" max="2" width="17.42578125" style="1" customWidth="1"/>
    <col min="3" max="15" width="11.42578125" style="1" bestFit="1" customWidth="1"/>
    <col min="16" max="16384" width="9.140625" style="1"/>
  </cols>
  <sheetData>
    <row r="1" spans="1:27" ht="24.75" customHeight="1" x14ac:dyDescent="0.25">
      <c r="A1" s="190" t="s">
        <v>403</v>
      </c>
      <c r="B1" s="190"/>
      <c r="C1" s="190"/>
      <c r="D1" s="190"/>
      <c r="E1" s="190"/>
      <c r="F1" s="190"/>
      <c r="G1" s="190"/>
      <c r="H1" s="190"/>
      <c r="I1" s="190"/>
      <c r="J1" s="190"/>
      <c r="K1" s="190"/>
      <c r="L1" s="190"/>
      <c r="M1" s="190"/>
    </row>
    <row r="2" spans="1:27" ht="0.75" customHeight="1" x14ac:dyDescent="0.25">
      <c r="A2" s="2"/>
    </row>
    <row r="3" spans="1:27" x14ac:dyDescent="0.25">
      <c r="A3" s="35" t="s">
        <v>157</v>
      </c>
      <c r="B3" s="35" t="s">
        <v>158</v>
      </c>
      <c r="C3" s="3">
        <v>10</v>
      </c>
      <c r="D3" s="3">
        <v>11</v>
      </c>
      <c r="E3" s="3">
        <v>12</v>
      </c>
      <c r="F3" s="3">
        <v>13</v>
      </c>
      <c r="G3" s="3">
        <v>14</v>
      </c>
      <c r="H3" s="3">
        <v>15</v>
      </c>
      <c r="I3" s="3">
        <v>16</v>
      </c>
      <c r="J3" s="3">
        <v>17</v>
      </c>
      <c r="K3" s="49" t="s">
        <v>10</v>
      </c>
      <c r="L3" s="3" t="s">
        <v>11</v>
      </c>
      <c r="M3" s="3" t="s">
        <v>12</v>
      </c>
    </row>
    <row r="4" spans="1:27" ht="15" customHeight="1" x14ac:dyDescent="0.25">
      <c r="A4" s="197" t="s">
        <v>18</v>
      </c>
      <c r="B4" s="37" t="s">
        <v>19</v>
      </c>
      <c r="C4" s="5">
        <v>0.5</v>
      </c>
      <c r="D4" s="5">
        <v>3.2</v>
      </c>
      <c r="E4" s="5">
        <v>20.100000000000001</v>
      </c>
      <c r="F4" s="5">
        <v>55.4</v>
      </c>
      <c r="G4" s="5">
        <v>150.69999999999999</v>
      </c>
      <c r="H4" s="5">
        <v>301.2</v>
      </c>
      <c r="I4" s="5">
        <v>390</v>
      </c>
      <c r="J4" s="5">
        <v>441.2</v>
      </c>
      <c r="K4" s="114">
        <v>1362.3</v>
      </c>
      <c r="L4" s="5">
        <v>319.60000000000002</v>
      </c>
      <c r="M4" s="5">
        <v>1682</v>
      </c>
      <c r="O4" s="5"/>
      <c r="P4" s="5"/>
      <c r="Q4" s="5"/>
      <c r="R4" s="5"/>
      <c r="S4" s="5"/>
      <c r="T4" s="5"/>
      <c r="U4" s="5"/>
      <c r="V4" s="5"/>
      <c r="W4" s="114"/>
      <c r="X4" s="5"/>
      <c r="Y4" s="5"/>
      <c r="AA4" s="129"/>
    </row>
    <row r="5" spans="1:27" ht="15" customHeight="1" x14ac:dyDescent="0.25">
      <c r="A5" s="197"/>
      <c r="B5" s="37" t="s">
        <v>20</v>
      </c>
      <c r="C5" s="5">
        <v>0.1</v>
      </c>
      <c r="D5" s="5" t="s">
        <v>146</v>
      </c>
      <c r="E5" s="5">
        <v>1.6</v>
      </c>
      <c r="F5" s="5">
        <v>24.1</v>
      </c>
      <c r="G5" s="5">
        <v>86.2</v>
      </c>
      <c r="H5" s="5">
        <v>226.1</v>
      </c>
      <c r="I5" s="5">
        <v>355.4</v>
      </c>
      <c r="J5" s="5">
        <v>407.4</v>
      </c>
      <c r="K5" s="114">
        <v>1100.9000000000001</v>
      </c>
      <c r="L5" s="5">
        <v>499</v>
      </c>
      <c r="M5" s="5">
        <v>1599.9</v>
      </c>
      <c r="O5" s="5"/>
      <c r="P5" s="5"/>
      <c r="Q5" s="5"/>
      <c r="R5" s="5"/>
      <c r="S5" s="5"/>
      <c r="T5" s="5"/>
      <c r="U5" s="5"/>
      <c r="V5" s="5"/>
      <c r="W5" s="114"/>
      <c r="X5" s="5"/>
      <c r="Y5" s="5"/>
    </row>
    <row r="6" spans="1:27" ht="15" customHeight="1" x14ac:dyDescent="0.25">
      <c r="A6" s="197"/>
      <c r="B6" s="37" t="s">
        <v>21</v>
      </c>
      <c r="C6" s="5" t="s">
        <v>146</v>
      </c>
      <c r="D6" s="5" t="s">
        <v>146</v>
      </c>
      <c r="E6" s="5" t="s">
        <v>146</v>
      </c>
      <c r="F6" s="5">
        <v>0.2</v>
      </c>
      <c r="G6" s="5">
        <v>1.2</v>
      </c>
      <c r="H6" s="5">
        <v>5.5</v>
      </c>
      <c r="I6" s="5">
        <v>9.6</v>
      </c>
      <c r="J6" s="5">
        <v>10.8</v>
      </c>
      <c r="K6" s="114">
        <v>27.2</v>
      </c>
      <c r="L6" s="5">
        <v>3.8</v>
      </c>
      <c r="M6" s="5">
        <v>31</v>
      </c>
      <c r="O6" s="5"/>
      <c r="P6" s="5"/>
      <c r="Q6" s="5"/>
      <c r="R6" s="5"/>
      <c r="S6" s="5"/>
      <c r="T6" s="5"/>
      <c r="U6" s="5"/>
      <c r="V6" s="5"/>
      <c r="W6" s="114"/>
      <c r="X6" s="5"/>
      <c r="Y6" s="5"/>
    </row>
    <row r="7" spans="1:27" ht="15" customHeight="1" x14ac:dyDescent="0.25">
      <c r="A7" s="197"/>
      <c r="B7" s="29" t="s">
        <v>12</v>
      </c>
      <c r="C7" s="101">
        <v>0.6</v>
      </c>
      <c r="D7" s="101">
        <v>3.3</v>
      </c>
      <c r="E7" s="101">
        <v>21.7</v>
      </c>
      <c r="F7" s="101">
        <v>79.7</v>
      </c>
      <c r="G7" s="101">
        <v>238</v>
      </c>
      <c r="H7" s="101">
        <v>532.79999999999995</v>
      </c>
      <c r="I7" s="101">
        <v>755</v>
      </c>
      <c r="J7" s="101">
        <v>859.3</v>
      </c>
      <c r="K7" s="147">
        <v>2490.5</v>
      </c>
      <c r="L7" s="101">
        <v>822.4</v>
      </c>
      <c r="M7" s="101">
        <v>3312.9</v>
      </c>
      <c r="N7" s="122"/>
      <c r="O7" s="101"/>
      <c r="P7" s="101"/>
      <c r="Q7" s="101"/>
      <c r="R7" s="101"/>
      <c r="S7" s="101"/>
      <c r="T7" s="101"/>
      <c r="U7" s="101"/>
      <c r="V7" s="101"/>
      <c r="W7" s="147"/>
      <c r="X7" s="101"/>
      <c r="Y7" s="101"/>
    </row>
    <row r="8" spans="1:27" ht="15" customHeight="1" x14ac:dyDescent="0.25">
      <c r="A8" s="197" t="s">
        <v>22</v>
      </c>
      <c r="B8" s="37" t="s">
        <v>19</v>
      </c>
      <c r="C8" s="5" t="s">
        <v>146</v>
      </c>
      <c r="D8" s="5">
        <v>0.1</v>
      </c>
      <c r="E8" s="5">
        <v>6.6</v>
      </c>
      <c r="F8" s="5">
        <v>19.899999999999999</v>
      </c>
      <c r="G8" s="5">
        <v>56</v>
      </c>
      <c r="H8" s="5">
        <v>113.2</v>
      </c>
      <c r="I8" s="5">
        <v>123.7</v>
      </c>
      <c r="J8" s="5">
        <v>110.5</v>
      </c>
      <c r="K8" s="114">
        <v>430.1</v>
      </c>
      <c r="L8" s="5">
        <v>70.2</v>
      </c>
      <c r="M8" s="5">
        <v>500.3</v>
      </c>
      <c r="O8" s="5"/>
      <c r="P8" s="5"/>
      <c r="Q8" s="5"/>
      <c r="R8" s="5"/>
      <c r="S8" s="5"/>
      <c r="T8" s="5"/>
      <c r="U8" s="5"/>
      <c r="V8" s="5"/>
      <c r="W8" s="114"/>
      <c r="X8" s="5"/>
      <c r="Y8" s="5"/>
    </row>
    <row r="9" spans="1:27" ht="15" customHeight="1" x14ac:dyDescent="0.25">
      <c r="A9" s="197"/>
      <c r="B9" s="37" t="s">
        <v>20</v>
      </c>
      <c r="C9" s="5">
        <v>0.1</v>
      </c>
      <c r="D9" s="5">
        <v>0.8</v>
      </c>
      <c r="E9" s="5">
        <v>1.4</v>
      </c>
      <c r="F9" s="5">
        <v>7.4</v>
      </c>
      <c r="G9" s="5">
        <v>22.9</v>
      </c>
      <c r="H9" s="5">
        <v>59.9</v>
      </c>
      <c r="I9" s="5">
        <v>76.8</v>
      </c>
      <c r="J9" s="5">
        <v>77.8</v>
      </c>
      <c r="K9" s="114">
        <v>247.1</v>
      </c>
      <c r="L9" s="5">
        <v>76.3</v>
      </c>
      <c r="M9" s="5">
        <v>323.39999999999998</v>
      </c>
      <c r="O9" s="5"/>
      <c r="P9" s="5"/>
      <c r="Q9" s="5"/>
      <c r="R9" s="5"/>
      <c r="S9" s="5"/>
      <c r="T9" s="5"/>
      <c r="U9" s="5"/>
      <c r="V9" s="5"/>
      <c r="W9" s="114"/>
      <c r="X9" s="5"/>
      <c r="Y9" s="5"/>
    </row>
    <row r="10" spans="1:27" ht="15" customHeight="1" x14ac:dyDescent="0.25">
      <c r="A10" s="197"/>
      <c r="B10" s="37" t="s">
        <v>21</v>
      </c>
      <c r="C10" s="5" t="s">
        <v>146</v>
      </c>
      <c r="D10" s="5" t="s">
        <v>146</v>
      </c>
      <c r="E10" s="5">
        <v>0.1</v>
      </c>
      <c r="F10" s="5" t="s">
        <v>146</v>
      </c>
      <c r="G10" s="5">
        <v>0.8</v>
      </c>
      <c r="H10" s="5">
        <v>0.8</v>
      </c>
      <c r="I10" s="5">
        <v>2</v>
      </c>
      <c r="J10" s="5">
        <v>2.1</v>
      </c>
      <c r="K10" s="114">
        <v>5.8</v>
      </c>
      <c r="L10" s="5" t="s">
        <v>146</v>
      </c>
      <c r="M10" s="5">
        <v>5.8</v>
      </c>
      <c r="O10" s="5"/>
      <c r="P10" s="5"/>
      <c r="Q10" s="5"/>
      <c r="R10" s="5"/>
      <c r="S10" s="5"/>
      <c r="T10" s="5"/>
      <c r="U10" s="5"/>
      <c r="V10" s="5"/>
      <c r="W10" s="114"/>
      <c r="X10" s="5"/>
      <c r="Y10" s="5"/>
    </row>
    <row r="11" spans="1:27" ht="15" customHeight="1" x14ac:dyDescent="0.25">
      <c r="A11" s="197"/>
      <c r="B11" s="29" t="s">
        <v>12</v>
      </c>
      <c r="C11" s="101">
        <v>0.1</v>
      </c>
      <c r="D11" s="101">
        <v>0.9</v>
      </c>
      <c r="E11" s="101">
        <v>8.1999999999999993</v>
      </c>
      <c r="F11" s="101">
        <v>27.3</v>
      </c>
      <c r="G11" s="101">
        <v>79.8</v>
      </c>
      <c r="H11" s="101">
        <v>173.8</v>
      </c>
      <c r="I11" s="101">
        <v>202.5</v>
      </c>
      <c r="J11" s="101">
        <v>190.4</v>
      </c>
      <c r="K11" s="147">
        <v>683</v>
      </c>
      <c r="L11" s="101">
        <v>146.5</v>
      </c>
      <c r="M11" s="101">
        <v>829.5</v>
      </c>
      <c r="N11" s="122"/>
      <c r="O11" s="101"/>
      <c r="P11" s="101"/>
      <c r="Q11" s="101"/>
      <c r="R11" s="101"/>
      <c r="S11" s="101"/>
      <c r="T11" s="101"/>
      <c r="U11" s="101"/>
      <c r="V11" s="101"/>
      <c r="W11" s="147"/>
      <c r="X11" s="101"/>
      <c r="Y11" s="101"/>
    </row>
    <row r="12" spans="1:27" ht="15" customHeight="1" x14ac:dyDescent="0.25">
      <c r="A12" s="197" t="s">
        <v>21</v>
      </c>
      <c r="B12" s="37" t="s">
        <v>19</v>
      </c>
      <c r="C12" s="5" t="s">
        <v>146</v>
      </c>
      <c r="D12" s="5" t="s">
        <v>146</v>
      </c>
      <c r="E12" s="5" t="s">
        <v>146</v>
      </c>
      <c r="F12" s="5" t="s">
        <v>146</v>
      </c>
      <c r="G12" s="5" t="s">
        <v>146</v>
      </c>
      <c r="H12" s="5" t="s">
        <v>146</v>
      </c>
      <c r="I12" s="5">
        <v>0.4</v>
      </c>
      <c r="J12" s="5" t="s">
        <v>146</v>
      </c>
      <c r="K12" s="114">
        <v>0.4</v>
      </c>
      <c r="L12" s="5">
        <v>0.1</v>
      </c>
      <c r="M12" s="5">
        <v>0.5</v>
      </c>
      <c r="O12" s="5"/>
      <c r="P12" s="5"/>
      <c r="Q12" s="5"/>
      <c r="R12" s="5"/>
      <c r="S12" s="5"/>
      <c r="T12" s="5"/>
      <c r="U12" s="5"/>
      <c r="V12" s="5"/>
      <c r="W12" s="114"/>
      <c r="X12" s="5"/>
      <c r="Y12" s="5"/>
    </row>
    <row r="13" spans="1:27" ht="15" customHeight="1" x14ac:dyDescent="0.25">
      <c r="A13" s="197"/>
      <c r="B13" s="37" t="s">
        <v>20</v>
      </c>
      <c r="C13" s="5" t="s">
        <v>146</v>
      </c>
      <c r="D13" s="5" t="s">
        <v>146</v>
      </c>
      <c r="E13" s="5" t="s">
        <v>146</v>
      </c>
      <c r="F13" s="5" t="s">
        <v>146</v>
      </c>
      <c r="G13" s="5" t="s">
        <v>146</v>
      </c>
      <c r="H13" s="5">
        <v>0.2</v>
      </c>
      <c r="I13" s="5">
        <v>1</v>
      </c>
      <c r="J13" s="5">
        <v>1.1000000000000001</v>
      </c>
      <c r="K13" s="114">
        <v>2.2999999999999998</v>
      </c>
      <c r="L13" s="5">
        <v>1.4</v>
      </c>
      <c r="M13" s="5">
        <v>3.7</v>
      </c>
      <c r="O13" s="5"/>
      <c r="P13" s="5"/>
      <c r="Q13" s="5"/>
      <c r="R13" s="5"/>
      <c r="S13" s="5"/>
      <c r="T13" s="5"/>
      <c r="U13" s="5"/>
      <c r="V13" s="5"/>
      <c r="W13" s="114"/>
      <c r="X13" s="5"/>
      <c r="Y13" s="5"/>
    </row>
    <row r="14" spans="1:27" ht="15" customHeight="1" x14ac:dyDescent="0.25">
      <c r="A14" s="197"/>
      <c r="B14" s="37" t="s">
        <v>21</v>
      </c>
      <c r="C14" s="5" t="s">
        <v>146</v>
      </c>
      <c r="D14" s="5" t="s">
        <v>146</v>
      </c>
      <c r="E14" s="5" t="s">
        <v>146</v>
      </c>
      <c r="F14" s="5" t="s">
        <v>146</v>
      </c>
      <c r="G14" s="5" t="s">
        <v>146</v>
      </c>
      <c r="H14" s="5">
        <v>0.5</v>
      </c>
      <c r="I14" s="5" t="s">
        <v>146</v>
      </c>
      <c r="J14" s="5">
        <v>0.1</v>
      </c>
      <c r="K14" s="114">
        <v>0.6</v>
      </c>
      <c r="L14" s="5" t="s">
        <v>146</v>
      </c>
      <c r="M14" s="5">
        <v>0.6</v>
      </c>
      <c r="O14" s="5"/>
      <c r="P14" s="5"/>
      <c r="Q14" s="5"/>
      <c r="R14" s="5"/>
      <c r="S14" s="5"/>
      <c r="T14" s="5"/>
      <c r="U14" s="5"/>
      <c r="V14" s="5"/>
      <c r="W14" s="114"/>
      <c r="X14" s="5"/>
      <c r="Y14" s="5"/>
    </row>
    <row r="15" spans="1:27" ht="15" customHeight="1" x14ac:dyDescent="0.25">
      <c r="A15" s="197"/>
      <c r="B15" s="29" t="s">
        <v>12</v>
      </c>
      <c r="C15" s="101" t="s">
        <v>146</v>
      </c>
      <c r="D15" s="101" t="s">
        <v>146</v>
      </c>
      <c r="E15" s="101" t="s">
        <v>146</v>
      </c>
      <c r="F15" s="101" t="s">
        <v>146</v>
      </c>
      <c r="G15" s="101" t="s">
        <v>146</v>
      </c>
      <c r="H15" s="101">
        <v>0.7</v>
      </c>
      <c r="I15" s="101">
        <v>1.4</v>
      </c>
      <c r="J15" s="101">
        <v>1.3</v>
      </c>
      <c r="K15" s="147">
        <v>3.3</v>
      </c>
      <c r="L15" s="101">
        <v>1.6</v>
      </c>
      <c r="M15" s="101">
        <v>4.9000000000000004</v>
      </c>
      <c r="N15" s="64"/>
      <c r="O15" s="5"/>
      <c r="P15" s="5"/>
      <c r="Q15" s="5"/>
      <c r="R15" s="5"/>
      <c r="S15" s="101"/>
      <c r="T15" s="101"/>
      <c r="U15" s="101"/>
      <c r="V15" s="101"/>
      <c r="W15" s="147"/>
      <c r="X15" s="101"/>
      <c r="Y15" s="101"/>
    </row>
    <row r="16" spans="1:27" ht="15" customHeight="1" x14ac:dyDescent="0.25">
      <c r="A16" s="197" t="s">
        <v>12</v>
      </c>
      <c r="B16" s="37" t="s">
        <v>19</v>
      </c>
      <c r="C16" s="5">
        <v>0.5</v>
      </c>
      <c r="D16" s="5">
        <v>3.3</v>
      </c>
      <c r="E16" s="5">
        <v>26.7</v>
      </c>
      <c r="F16" s="5">
        <v>75.3</v>
      </c>
      <c r="G16" s="5">
        <v>206.7</v>
      </c>
      <c r="H16" s="5">
        <v>414.4</v>
      </c>
      <c r="I16" s="5">
        <v>514.1</v>
      </c>
      <c r="J16" s="5">
        <v>551.70000000000005</v>
      </c>
      <c r="K16" s="114">
        <v>1792.8</v>
      </c>
      <c r="L16" s="5">
        <v>389.9</v>
      </c>
      <c r="M16" s="5">
        <v>2182.8000000000002</v>
      </c>
      <c r="N16" s="89"/>
      <c r="O16" s="5"/>
      <c r="P16" s="5"/>
      <c r="Q16" s="5"/>
      <c r="R16" s="5"/>
      <c r="S16" s="5"/>
      <c r="T16" s="5"/>
      <c r="U16" s="5"/>
      <c r="V16" s="5"/>
      <c r="W16" s="114"/>
      <c r="X16" s="5"/>
      <c r="Y16" s="5"/>
    </row>
    <row r="17" spans="1:25" ht="15" customHeight="1" x14ac:dyDescent="0.25">
      <c r="A17" s="197"/>
      <c r="B17" s="37" t="s">
        <v>20</v>
      </c>
      <c r="C17" s="5">
        <v>0.2</v>
      </c>
      <c r="D17" s="5">
        <v>0.8</v>
      </c>
      <c r="E17" s="5">
        <v>3</v>
      </c>
      <c r="F17" s="5">
        <v>31.5</v>
      </c>
      <c r="G17" s="5">
        <v>109.1</v>
      </c>
      <c r="H17" s="5">
        <v>286.10000000000002</v>
      </c>
      <c r="I17" s="5">
        <v>433.2</v>
      </c>
      <c r="J17" s="5">
        <v>486.3</v>
      </c>
      <c r="K17" s="114">
        <v>1350.3</v>
      </c>
      <c r="L17" s="5">
        <v>576.70000000000005</v>
      </c>
      <c r="M17" s="5">
        <v>1927</v>
      </c>
      <c r="N17" s="89"/>
      <c r="O17" s="5"/>
      <c r="P17" s="5"/>
      <c r="Q17" s="5"/>
      <c r="R17" s="5"/>
      <c r="S17" s="5"/>
      <c r="T17" s="5"/>
      <c r="U17" s="5"/>
      <c r="V17" s="5"/>
      <c r="W17" s="114"/>
      <c r="X17" s="5"/>
      <c r="Y17" s="5"/>
    </row>
    <row r="18" spans="1:25" ht="15" customHeight="1" x14ac:dyDescent="0.25">
      <c r="A18" s="197"/>
      <c r="B18" s="37" t="s">
        <v>21</v>
      </c>
      <c r="C18" s="5" t="s">
        <v>146</v>
      </c>
      <c r="D18" s="5" t="s">
        <v>146</v>
      </c>
      <c r="E18" s="5">
        <v>0.1</v>
      </c>
      <c r="F18" s="5">
        <v>0.2</v>
      </c>
      <c r="G18" s="5">
        <v>2</v>
      </c>
      <c r="H18" s="5">
        <v>6.7</v>
      </c>
      <c r="I18" s="5">
        <v>11.6</v>
      </c>
      <c r="J18" s="5">
        <v>13</v>
      </c>
      <c r="K18" s="114">
        <v>33.700000000000003</v>
      </c>
      <c r="L18" s="5">
        <v>3.8</v>
      </c>
      <c r="M18" s="5">
        <v>37.5</v>
      </c>
      <c r="N18" s="89"/>
      <c r="O18" s="5"/>
      <c r="P18" s="5"/>
      <c r="Q18" s="5"/>
      <c r="R18" s="5"/>
      <c r="S18" s="5"/>
      <c r="T18" s="5"/>
      <c r="U18" s="5"/>
      <c r="V18" s="5"/>
      <c r="W18" s="114"/>
      <c r="X18" s="5"/>
      <c r="Y18" s="5"/>
    </row>
    <row r="19" spans="1:25" ht="15" customHeight="1" x14ac:dyDescent="0.25">
      <c r="A19" s="197"/>
      <c r="B19" s="29" t="s">
        <v>12</v>
      </c>
      <c r="C19" s="101">
        <v>0.7</v>
      </c>
      <c r="D19" s="101">
        <v>4.2</v>
      </c>
      <c r="E19" s="101">
        <v>29.9</v>
      </c>
      <c r="F19" s="101">
        <v>107.1</v>
      </c>
      <c r="G19" s="101">
        <v>317.8</v>
      </c>
      <c r="H19" s="101">
        <v>707.3</v>
      </c>
      <c r="I19" s="101">
        <v>958.9</v>
      </c>
      <c r="J19" s="101">
        <v>1051</v>
      </c>
      <c r="K19" s="147">
        <v>3176.8</v>
      </c>
      <c r="L19" s="101">
        <v>970.5</v>
      </c>
      <c r="M19" s="101">
        <v>4147.3</v>
      </c>
      <c r="N19" s="89"/>
      <c r="O19" s="101"/>
      <c r="P19" s="101"/>
      <c r="Q19" s="101"/>
      <c r="R19" s="101"/>
      <c r="S19" s="101"/>
      <c r="T19" s="101"/>
      <c r="U19" s="101"/>
      <c r="V19" s="101"/>
      <c r="W19" s="147"/>
      <c r="X19" s="101"/>
      <c r="Y19" s="101"/>
    </row>
    <row r="20" spans="1:25" ht="2.25" customHeight="1" x14ac:dyDescent="0.25">
      <c r="A20" s="2"/>
      <c r="P20" s="130"/>
      <c r="Q20" s="5"/>
      <c r="R20" s="5"/>
      <c r="S20" s="5"/>
      <c r="T20" s="5"/>
      <c r="U20" s="5"/>
      <c r="V20" s="5"/>
      <c r="W20" s="5"/>
    </row>
    <row r="21" spans="1:25" ht="11.1" customHeight="1" x14ac:dyDescent="0.25">
      <c r="A21" s="191" t="s">
        <v>13</v>
      </c>
      <c r="B21" s="191"/>
      <c r="C21" s="191"/>
      <c r="D21" s="191"/>
      <c r="E21" s="191"/>
      <c r="F21" s="191"/>
      <c r="G21" s="191"/>
      <c r="H21" s="191"/>
      <c r="I21" s="191"/>
      <c r="J21" s="191"/>
      <c r="K21" s="191"/>
      <c r="L21" s="191"/>
      <c r="M21" s="191"/>
      <c r="P21" s="38"/>
      <c r="Q21" s="5"/>
      <c r="R21" s="5"/>
      <c r="S21" s="5"/>
      <c r="T21" s="5"/>
      <c r="U21" s="5"/>
      <c r="V21" s="5"/>
      <c r="W21" s="5"/>
    </row>
    <row r="22" spans="1:25" s="7" customFormat="1" ht="11.1" customHeight="1" x14ac:dyDescent="0.2">
      <c r="A22" s="7" t="s">
        <v>14</v>
      </c>
      <c r="P22" s="101"/>
      <c r="Q22" s="101"/>
      <c r="R22" s="101"/>
      <c r="S22" s="101"/>
      <c r="T22" s="101"/>
      <c r="U22" s="101"/>
      <c r="V22" s="101"/>
      <c r="W22" s="101"/>
    </row>
    <row r="23" spans="1:25" s="12" customFormat="1" ht="11.1" customHeight="1" x14ac:dyDescent="0.2">
      <c r="A23" s="7" t="s">
        <v>23</v>
      </c>
      <c r="P23" s="5"/>
      <c r="Q23" s="5"/>
      <c r="R23" s="5"/>
      <c r="S23" s="5"/>
      <c r="T23" s="5"/>
      <c r="U23" s="5"/>
      <c r="V23" s="5"/>
      <c r="W23" s="5"/>
    </row>
    <row r="24" spans="1:25" s="7" customFormat="1" ht="11.1" customHeight="1" x14ac:dyDescent="0.2">
      <c r="A24" s="7" t="s">
        <v>27</v>
      </c>
      <c r="P24" s="5"/>
      <c r="Q24" s="5"/>
      <c r="R24" s="5"/>
      <c r="S24" s="5"/>
      <c r="T24" s="5"/>
      <c r="U24" s="5"/>
      <c r="V24" s="5"/>
      <c r="W24" s="5"/>
    </row>
    <row r="25" spans="1:25" s="7" customFormat="1" ht="10.5" customHeight="1" x14ac:dyDescent="0.2">
      <c r="A25" s="188" t="s">
        <v>353</v>
      </c>
      <c r="B25" s="188"/>
      <c r="C25" s="188"/>
      <c r="D25" s="188"/>
      <c r="E25" s="188"/>
      <c r="F25" s="188"/>
      <c r="G25" s="188"/>
      <c r="H25" s="188"/>
      <c r="I25" s="188"/>
      <c r="J25" s="188"/>
      <c r="K25" s="188"/>
      <c r="L25" s="188"/>
      <c r="M25" s="188"/>
      <c r="P25" s="101"/>
      <c r="Q25" s="101"/>
      <c r="R25" s="101"/>
      <c r="S25" s="101"/>
      <c r="T25" s="101"/>
      <c r="U25" s="101"/>
      <c r="V25" s="101"/>
      <c r="W25" s="101"/>
    </row>
    <row r="26" spans="1:25" s="7" customFormat="1" ht="11.1" customHeight="1" x14ac:dyDescent="0.15">
      <c r="A26" s="7" t="s">
        <v>15</v>
      </c>
    </row>
    <row r="27" spans="1:25" s="7" customFormat="1" ht="11.1" customHeight="1" x14ac:dyDescent="0.15">
      <c r="A27" s="7" t="s">
        <v>347</v>
      </c>
    </row>
    <row r="28" spans="1:25" ht="12" customHeight="1" x14ac:dyDescent="0.25">
      <c r="A28" s="2"/>
      <c r="P28" s="140"/>
      <c r="Q28" s="140"/>
      <c r="R28" s="140"/>
      <c r="S28" s="140"/>
      <c r="T28" s="140"/>
      <c r="U28" s="140"/>
      <c r="V28" s="140"/>
      <c r="W28" s="140"/>
    </row>
    <row r="29" spans="1:25" ht="27.95" customHeight="1" x14ac:dyDescent="0.25">
      <c r="A29" s="192" t="s">
        <v>404</v>
      </c>
      <c r="B29" s="192"/>
      <c r="C29" s="192"/>
      <c r="D29" s="192"/>
      <c r="E29" s="192"/>
      <c r="F29" s="192"/>
      <c r="G29" s="192"/>
      <c r="H29" s="192"/>
      <c r="I29" s="192"/>
      <c r="J29" s="192"/>
      <c r="K29" s="192"/>
      <c r="L29" s="192"/>
      <c r="M29" s="192"/>
      <c r="N29" s="192"/>
      <c r="O29" s="192"/>
      <c r="P29" s="140"/>
      <c r="Q29" s="140"/>
      <c r="R29" s="140"/>
      <c r="S29" s="140"/>
      <c r="T29" s="140"/>
      <c r="U29" s="140"/>
      <c r="V29" s="140"/>
      <c r="W29" s="140"/>
    </row>
    <row r="30" spans="1:25" ht="2.25" customHeight="1" x14ac:dyDescent="0.25">
      <c r="A30" s="2"/>
      <c r="P30" s="140"/>
      <c r="Q30" s="140"/>
      <c r="R30" s="140"/>
      <c r="S30" s="140"/>
      <c r="T30" s="140"/>
      <c r="U30" s="140"/>
      <c r="V30" s="140"/>
      <c r="W30" s="140"/>
    </row>
    <row r="31" spans="1:25" x14ac:dyDescent="0.25">
      <c r="A31" s="35" t="s">
        <v>157</v>
      </c>
      <c r="B31" s="35" t="s">
        <v>158</v>
      </c>
      <c r="C31" s="3" t="s">
        <v>30</v>
      </c>
      <c r="D31" s="3">
        <v>12</v>
      </c>
      <c r="E31" s="3">
        <v>13</v>
      </c>
      <c r="F31" s="3">
        <v>14</v>
      </c>
      <c r="G31" s="3">
        <v>15</v>
      </c>
      <c r="H31" s="3">
        <v>16</v>
      </c>
      <c r="I31" s="3">
        <v>17</v>
      </c>
      <c r="J31" s="49" t="s">
        <v>10</v>
      </c>
      <c r="K31" s="3" t="s">
        <v>11</v>
      </c>
      <c r="L31" s="11" t="s">
        <v>12</v>
      </c>
      <c r="P31" s="140"/>
      <c r="Q31" s="140"/>
      <c r="R31" s="140"/>
      <c r="S31" s="140"/>
      <c r="T31" s="140"/>
      <c r="U31" s="140"/>
      <c r="V31" s="140"/>
      <c r="W31" s="140"/>
    </row>
    <row r="32" spans="1:25" x14ac:dyDescent="0.25">
      <c r="A32" s="197" t="s">
        <v>18</v>
      </c>
      <c r="B32" s="37" t="s">
        <v>19</v>
      </c>
      <c r="C32" s="9">
        <v>29</v>
      </c>
      <c r="D32" s="9">
        <v>111</v>
      </c>
      <c r="E32" s="9">
        <v>259</v>
      </c>
      <c r="F32" s="9">
        <v>498</v>
      </c>
      <c r="G32" s="9">
        <v>698</v>
      </c>
      <c r="H32" s="9">
        <v>790</v>
      </c>
      <c r="I32" s="9">
        <v>957</v>
      </c>
      <c r="J32" s="115">
        <v>3342</v>
      </c>
      <c r="K32" s="9">
        <v>703</v>
      </c>
      <c r="L32" s="9">
        <v>4046</v>
      </c>
      <c r="N32" s="9"/>
      <c r="O32" s="9"/>
      <c r="P32" s="9"/>
      <c r="Q32" s="9"/>
      <c r="R32" s="9"/>
      <c r="S32" s="9"/>
      <c r="T32" s="9"/>
      <c r="U32" s="115"/>
      <c r="V32" s="9"/>
      <c r="W32" s="9"/>
    </row>
    <row r="33" spans="1:23" x14ac:dyDescent="0.25">
      <c r="A33" s="197"/>
      <c r="B33" s="37" t="s">
        <v>20</v>
      </c>
      <c r="C33" s="9">
        <v>2</v>
      </c>
      <c r="D33" s="9">
        <v>13</v>
      </c>
      <c r="E33" s="9">
        <v>117</v>
      </c>
      <c r="F33" s="9">
        <v>303</v>
      </c>
      <c r="G33" s="9">
        <v>585</v>
      </c>
      <c r="H33" s="9">
        <v>703</v>
      </c>
      <c r="I33" s="9">
        <v>862</v>
      </c>
      <c r="J33" s="115">
        <v>2585</v>
      </c>
      <c r="K33" s="9">
        <v>724</v>
      </c>
      <c r="L33" s="9">
        <v>3309</v>
      </c>
      <c r="N33" s="9"/>
      <c r="O33" s="9"/>
      <c r="P33" s="9"/>
      <c r="Q33" s="9"/>
      <c r="R33" s="9"/>
      <c r="S33" s="9"/>
      <c r="T33" s="9"/>
      <c r="U33" s="115"/>
      <c r="V33" s="9"/>
      <c r="W33" s="9"/>
    </row>
    <row r="34" spans="1:23" x14ac:dyDescent="0.25">
      <c r="A34" s="197"/>
      <c r="B34" s="37" t="s">
        <v>21</v>
      </c>
      <c r="C34" s="9" t="s">
        <v>146</v>
      </c>
      <c r="D34" s="9">
        <v>3</v>
      </c>
      <c r="E34" s="9">
        <v>4</v>
      </c>
      <c r="F34" s="9">
        <v>15</v>
      </c>
      <c r="G34" s="9">
        <v>27</v>
      </c>
      <c r="H34" s="9">
        <v>32</v>
      </c>
      <c r="I34" s="9">
        <v>50</v>
      </c>
      <c r="J34" s="115">
        <v>131</v>
      </c>
      <c r="K34" s="9">
        <v>20</v>
      </c>
      <c r="L34" s="9">
        <v>151</v>
      </c>
      <c r="N34" s="9"/>
      <c r="O34" s="9"/>
      <c r="P34" s="9"/>
      <c r="Q34" s="9"/>
      <c r="R34" s="9"/>
      <c r="S34" s="9"/>
      <c r="T34" s="9"/>
      <c r="U34" s="115"/>
      <c r="V34" s="9"/>
      <c r="W34" s="9"/>
    </row>
    <row r="35" spans="1:23" x14ac:dyDescent="0.25">
      <c r="A35" s="197"/>
      <c r="B35" s="29" t="s">
        <v>12</v>
      </c>
      <c r="C35" s="102">
        <v>31</v>
      </c>
      <c r="D35" s="102">
        <v>127</v>
      </c>
      <c r="E35" s="102">
        <v>380</v>
      </c>
      <c r="F35" s="102">
        <v>816</v>
      </c>
      <c r="G35" s="102">
        <v>1310</v>
      </c>
      <c r="H35" s="102">
        <v>1525</v>
      </c>
      <c r="I35" s="102">
        <v>1869</v>
      </c>
      <c r="J35" s="119">
        <v>6058</v>
      </c>
      <c r="K35" s="102">
        <v>1447</v>
      </c>
      <c r="L35" s="102">
        <v>7506</v>
      </c>
      <c r="N35" s="102"/>
      <c r="O35" s="102"/>
      <c r="P35" s="102"/>
      <c r="Q35" s="102"/>
      <c r="R35" s="102"/>
      <c r="S35" s="102"/>
      <c r="T35" s="102"/>
      <c r="U35" s="119"/>
      <c r="V35" s="102"/>
      <c r="W35" s="102"/>
    </row>
    <row r="36" spans="1:23" x14ac:dyDescent="0.25">
      <c r="A36" s="197" t="s">
        <v>22</v>
      </c>
      <c r="B36" s="37" t="s">
        <v>19</v>
      </c>
      <c r="C36" s="9">
        <v>3</v>
      </c>
      <c r="D36" s="9">
        <v>32</v>
      </c>
      <c r="E36" s="9">
        <v>97</v>
      </c>
      <c r="F36" s="9">
        <v>207</v>
      </c>
      <c r="G36" s="9">
        <v>278</v>
      </c>
      <c r="H36" s="9">
        <v>276</v>
      </c>
      <c r="I36" s="9">
        <v>236</v>
      </c>
      <c r="J36" s="115">
        <v>1129</v>
      </c>
      <c r="K36" s="9">
        <v>132</v>
      </c>
      <c r="L36" s="9">
        <v>1261</v>
      </c>
      <c r="N36" s="9"/>
      <c r="O36" s="9"/>
      <c r="P36" s="9"/>
      <c r="Q36" s="9"/>
      <c r="R36" s="9"/>
      <c r="S36" s="9"/>
      <c r="T36" s="9"/>
      <c r="U36" s="115"/>
      <c r="V36" s="9"/>
      <c r="W36" s="9"/>
    </row>
    <row r="37" spans="1:23" x14ac:dyDescent="0.25">
      <c r="A37" s="197"/>
      <c r="B37" s="37" t="s">
        <v>20</v>
      </c>
      <c r="C37" s="9">
        <v>1</v>
      </c>
      <c r="D37" s="9">
        <v>11</v>
      </c>
      <c r="E37" s="9">
        <v>49</v>
      </c>
      <c r="F37" s="9">
        <v>91</v>
      </c>
      <c r="G37" s="9">
        <v>171</v>
      </c>
      <c r="H37" s="9">
        <v>154</v>
      </c>
      <c r="I37" s="9">
        <v>205</v>
      </c>
      <c r="J37" s="115">
        <v>682</v>
      </c>
      <c r="K37" s="9">
        <v>87</v>
      </c>
      <c r="L37" s="9">
        <v>769</v>
      </c>
      <c r="N37" s="9"/>
      <c r="O37" s="9"/>
      <c r="P37" s="9"/>
      <c r="Q37" s="9"/>
      <c r="R37" s="9"/>
      <c r="S37" s="9"/>
      <c r="T37" s="9"/>
      <c r="U37" s="115"/>
      <c r="V37" s="9"/>
      <c r="W37" s="9"/>
    </row>
    <row r="38" spans="1:23" x14ac:dyDescent="0.25">
      <c r="A38" s="197"/>
      <c r="B38" s="37" t="s">
        <v>21</v>
      </c>
      <c r="C38" s="9" t="s">
        <v>146</v>
      </c>
      <c r="D38" s="9">
        <v>2</v>
      </c>
      <c r="E38" s="9">
        <v>2</v>
      </c>
      <c r="F38" s="9">
        <v>6</v>
      </c>
      <c r="G38" s="9">
        <v>5</v>
      </c>
      <c r="H38" s="9">
        <v>9</v>
      </c>
      <c r="I38" s="9">
        <v>4</v>
      </c>
      <c r="J38" s="115">
        <v>28</v>
      </c>
      <c r="K38" s="9">
        <v>2</v>
      </c>
      <c r="L38" s="9">
        <v>30</v>
      </c>
      <c r="N38" s="9"/>
      <c r="O38" s="9"/>
      <c r="P38" s="9"/>
      <c r="Q38" s="9"/>
      <c r="R38" s="9"/>
      <c r="S38" s="9"/>
      <c r="T38" s="9"/>
      <c r="U38" s="115"/>
      <c r="V38" s="9"/>
      <c r="W38" s="9"/>
    </row>
    <row r="39" spans="1:23" x14ac:dyDescent="0.25">
      <c r="A39" s="197"/>
      <c r="B39" s="29" t="s">
        <v>12</v>
      </c>
      <c r="C39" s="102">
        <v>4</v>
      </c>
      <c r="D39" s="102">
        <v>45</v>
      </c>
      <c r="E39" s="102">
        <v>148</v>
      </c>
      <c r="F39" s="102">
        <v>304</v>
      </c>
      <c r="G39" s="102">
        <v>454</v>
      </c>
      <c r="H39" s="102">
        <v>439</v>
      </c>
      <c r="I39" s="102">
        <v>445</v>
      </c>
      <c r="J39" s="119">
        <v>1839</v>
      </c>
      <c r="K39" s="102">
        <v>221</v>
      </c>
      <c r="L39" s="102">
        <v>2060</v>
      </c>
      <c r="N39" s="102"/>
      <c r="O39" s="102"/>
      <c r="P39" s="102"/>
      <c r="Q39" s="102"/>
      <c r="R39" s="102"/>
      <c r="S39" s="102"/>
      <c r="T39" s="102"/>
      <c r="U39" s="119"/>
      <c r="V39" s="102"/>
      <c r="W39" s="102"/>
    </row>
    <row r="40" spans="1:23" x14ac:dyDescent="0.25">
      <c r="A40" s="197" t="s">
        <v>21</v>
      </c>
      <c r="B40" s="37" t="s">
        <v>19</v>
      </c>
      <c r="C40" s="9" t="s">
        <v>146</v>
      </c>
      <c r="D40" s="9" t="s">
        <v>146</v>
      </c>
      <c r="E40" s="9" t="s">
        <v>146</v>
      </c>
      <c r="F40" s="9" t="s">
        <v>146</v>
      </c>
      <c r="G40" s="9" t="s">
        <v>146</v>
      </c>
      <c r="H40" s="9">
        <v>2</v>
      </c>
      <c r="I40" s="9" t="s">
        <v>146</v>
      </c>
      <c r="J40" s="115">
        <v>2</v>
      </c>
      <c r="K40" s="9">
        <v>1</v>
      </c>
      <c r="L40" s="9">
        <v>3</v>
      </c>
      <c r="N40" s="9"/>
      <c r="O40" s="9"/>
      <c r="P40" s="9"/>
      <c r="Q40" s="9"/>
      <c r="R40" s="9"/>
      <c r="S40" s="9"/>
      <c r="T40" s="9"/>
      <c r="U40" s="115"/>
      <c r="V40" s="9"/>
      <c r="W40" s="9"/>
    </row>
    <row r="41" spans="1:23" x14ac:dyDescent="0.25">
      <c r="A41" s="197"/>
      <c r="B41" s="37" t="s">
        <v>20</v>
      </c>
      <c r="C41" s="9" t="s">
        <v>146</v>
      </c>
      <c r="D41" s="9" t="s">
        <v>146</v>
      </c>
      <c r="E41" s="9" t="s">
        <v>146</v>
      </c>
      <c r="F41" s="9" t="s">
        <v>146</v>
      </c>
      <c r="G41" s="9">
        <v>1</v>
      </c>
      <c r="H41" s="9">
        <v>1</v>
      </c>
      <c r="I41" s="9">
        <v>4</v>
      </c>
      <c r="J41" s="115">
        <v>6</v>
      </c>
      <c r="K41" s="9" t="s">
        <v>146</v>
      </c>
      <c r="L41" s="9">
        <v>6</v>
      </c>
      <c r="N41" s="9"/>
      <c r="O41" s="9"/>
      <c r="P41" s="9"/>
      <c r="Q41" s="9"/>
      <c r="R41" s="9"/>
      <c r="S41" s="9"/>
      <c r="T41" s="9"/>
      <c r="U41" s="115"/>
      <c r="V41" s="9"/>
      <c r="W41" s="9"/>
    </row>
    <row r="42" spans="1:23" x14ac:dyDescent="0.25">
      <c r="A42" s="197"/>
      <c r="B42" s="37" t="s">
        <v>21</v>
      </c>
      <c r="C42" s="9" t="s">
        <v>146</v>
      </c>
      <c r="D42" s="9">
        <v>1</v>
      </c>
      <c r="E42" s="9" t="s">
        <v>146</v>
      </c>
      <c r="F42" s="9" t="s">
        <v>146</v>
      </c>
      <c r="G42" s="9">
        <v>1</v>
      </c>
      <c r="H42" s="9" t="s">
        <v>146</v>
      </c>
      <c r="I42" s="9">
        <v>1</v>
      </c>
      <c r="J42" s="115">
        <v>3</v>
      </c>
      <c r="K42" s="9">
        <v>1</v>
      </c>
      <c r="L42" s="9">
        <v>4</v>
      </c>
      <c r="N42" s="9"/>
      <c r="O42" s="9"/>
      <c r="P42" s="9"/>
      <c r="Q42" s="9"/>
      <c r="R42" s="9"/>
      <c r="S42" s="9"/>
      <c r="T42" s="9"/>
      <c r="U42" s="115"/>
      <c r="V42" s="9"/>
      <c r="W42" s="9"/>
    </row>
    <row r="43" spans="1:23" x14ac:dyDescent="0.25">
      <c r="A43" s="197"/>
      <c r="B43" s="29" t="s">
        <v>12</v>
      </c>
      <c r="C43" s="102" t="s">
        <v>146</v>
      </c>
      <c r="D43" s="102">
        <v>1</v>
      </c>
      <c r="E43" s="102" t="s">
        <v>146</v>
      </c>
      <c r="F43" s="102" t="s">
        <v>146</v>
      </c>
      <c r="G43" s="102">
        <v>2</v>
      </c>
      <c r="H43" s="102">
        <v>3</v>
      </c>
      <c r="I43" s="102">
        <v>5</v>
      </c>
      <c r="J43" s="119">
        <v>11</v>
      </c>
      <c r="K43" s="102">
        <v>2</v>
      </c>
      <c r="L43" s="102">
        <v>13</v>
      </c>
      <c r="N43" s="9"/>
      <c r="O43" s="9"/>
      <c r="P43" s="9"/>
      <c r="Q43" s="102"/>
      <c r="R43" s="102"/>
      <c r="S43" s="102"/>
      <c r="T43" s="102"/>
      <c r="U43" s="119"/>
      <c r="V43" s="102"/>
      <c r="W43" s="102"/>
    </row>
    <row r="44" spans="1:23" x14ac:dyDescent="0.25">
      <c r="A44" s="197" t="s">
        <v>12</v>
      </c>
      <c r="B44" s="37" t="s">
        <v>19</v>
      </c>
      <c r="C44" s="9">
        <v>32</v>
      </c>
      <c r="D44" s="9">
        <v>143</v>
      </c>
      <c r="E44" s="9">
        <v>356</v>
      </c>
      <c r="F44" s="9">
        <v>705</v>
      </c>
      <c r="G44" s="9">
        <v>976</v>
      </c>
      <c r="H44" s="9">
        <v>1068</v>
      </c>
      <c r="I44" s="9">
        <v>1193</v>
      </c>
      <c r="J44" s="115">
        <v>4473</v>
      </c>
      <c r="K44" s="9">
        <v>836</v>
      </c>
      <c r="L44" s="9">
        <v>5310</v>
      </c>
      <c r="N44" s="9"/>
      <c r="O44" s="9"/>
      <c r="P44" s="9"/>
      <c r="Q44" s="9"/>
      <c r="R44" s="9"/>
      <c r="S44" s="9"/>
      <c r="T44" s="9"/>
      <c r="U44" s="115"/>
      <c r="V44" s="9"/>
      <c r="W44" s="9"/>
    </row>
    <row r="45" spans="1:23" x14ac:dyDescent="0.25">
      <c r="A45" s="197"/>
      <c r="B45" s="37" t="s">
        <v>20</v>
      </c>
      <c r="C45" s="9">
        <v>3</v>
      </c>
      <c r="D45" s="9">
        <v>24</v>
      </c>
      <c r="E45" s="9">
        <v>166</v>
      </c>
      <c r="F45" s="9">
        <v>394</v>
      </c>
      <c r="G45" s="9">
        <v>757</v>
      </c>
      <c r="H45" s="9">
        <v>858</v>
      </c>
      <c r="I45" s="9">
        <v>1071</v>
      </c>
      <c r="J45" s="115">
        <v>3273</v>
      </c>
      <c r="K45" s="9">
        <v>811</v>
      </c>
      <c r="L45" s="9">
        <v>4084</v>
      </c>
      <c r="N45" s="9"/>
      <c r="O45" s="9"/>
      <c r="P45" s="9"/>
      <c r="Q45" s="9"/>
      <c r="R45" s="9"/>
      <c r="S45" s="9"/>
      <c r="T45" s="9"/>
      <c r="U45" s="115"/>
      <c r="V45" s="9"/>
      <c r="W45" s="9"/>
    </row>
    <row r="46" spans="1:23" x14ac:dyDescent="0.25">
      <c r="A46" s="197"/>
      <c r="B46" s="37" t="s">
        <v>21</v>
      </c>
      <c r="C46" s="9" t="s">
        <v>146</v>
      </c>
      <c r="D46" s="9">
        <v>6</v>
      </c>
      <c r="E46" s="9">
        <v>6</v>
      </c>
      <c r="F46" s="9">
        <v>21</v>
      </c>
      <c r="G46" s="9">
        <v>33</v>
      </c>
      <c r="H46" s="9">
        <v>41</v>
      </c>
      <c r="I46" s="9">
        <v>55</v>
      </c>
      <c r="J46" s="115">
        <v>162</v>
      </c>
      <c r="K46" s="9">
        <v>23</v>
      </c>
      <c r="L46" s="9">
        <v>185</v>
      </c>
      <c r="N46" s="9"/>
      <c r="O46" s="9"/>
      <c r="P46" s="9"/>
      <c r="Q46" s="9"/>
      <c r="R46" s="9"/>
      <c r="S46" s="9"/>
      <c r="T46" s="9"/>
      <c r="U46" s="115"/>
      <c r="V46" s="9"/>
      <c r="W46" s="9"/>
    </row>
    <row r="47" spans="1:23" x14ac:dyDescent="0.25">
      <c r="A47" s="197"/>
      <c r="B47" s="29" t="s">
        <v>12</v>
      </c>
      <c r="C47" s="102">
        <v>35</v>
      </c>
      <c r="D47" s="102">
        <v>173</v>
      </c>
      <c r="E47" s="102">
        <v>528</v>
      </c>
      <c r="F47" s="102">
        <v>1120</v>
      </c>
      <c r="G47" s="102">
        <v>1766</v>
      </c>
      <c r="H47" s="102">
        <v>1967</v>
      </c>
      <c r="I47" s="102">
        <v>2319</v>
      </c>
      <c r="J47" s="119">
        <v>7908</v>
      </c>
      <c r="K47" s="102">
        <v>1670</v>
      </c>
      <c r="L47" s="102">
        <v>9579</v>
      </c>
      <c r="N47" s="102"/>
      <c r="O47" s="102"/>
      <c r="P47" s="102"/>
      <c r="Q47" s="102"/>
      <c r="R47" s="102"/>
      <c r="S47" s="102"/>
      <c r="T47" s="102"/>
      <c r="U47" s="119"/>
      <c r="V47" s="102"/>
      <c r="W47" s="102"/>
    </row>
    <row r="48" spans="1:23" ht="12" hidden="1" customHeight="1" x14ac:dyDescent="0.25">
      <c r="A48" s="43"/>
      <c r="B48" s="43"/>
      <c r="C48" s="43"/>
      <c r="D48" s="43"/>
      <c r="E48" s="43"/>
      <c r="F48" s="43"/>
      <c r="G48" s="43"/>
      <c r="H48" s="43"/>
      <c r="I48" s="43"/>
      <c r="J48" s="43"/>
      <c r="K48" s="43"/>
      <c r="L48" s="43"/>
    </row>
    <row r="49" spans="1:16" ht="11.1" customHeight="1" x14ac:dyDescent="0.25">
      <c r="A49" s="44" t="s">
        <v>23</v>
      </c>
      <c r="B49" s="44"/>
      <c r="C49" s="44"/>
      <c r="D49" s="44"/>
      <c r="E49" s="44"/>
      <c r="F49" s="44"/>
      <c r="G49" s="44"/>
      <c r="H49" s="44"/>
      <c r="I49" s="44"/>
      <c r="J49" s="44"/>
      <c r="K49" s="44"/>
      <c r="L49" s="44"/>
      <c r="M49" s="7"/>
      <c r="N49" s="7"/>
      <c r="O49" s="7"/>
    </row>
    <row r="50" spans="1:16" s="7" customFormat="1" ht="11.1" customHeight="1" x14ac:dyDescent="0.15">
      <c r="A50" s="7" t="s">
        <v>27</v>
      </c>
    </row>
    <row r="51" spans="1:16" s="7" customFormat="1" ht="11.1" customHeight="1" x14ac:dyDescent="0.15">
      <c r="A51" s="7" t="s">
        <v>29</v>
      </c>
    </row>
    <row r="52" spans="1:16" s="7" customFormat="1" ht="11.1" customHeight="1" x14ac:dyDescent="0.15">
      <c r="A52" s="7" t="s">
        <v>15</v>
      </c>
    </row>
    <row r="53" spans="1:16" s="7" customFormat="1" ht="11.1" customHeight="1" x14ac:dyDescent="0.15">
      <c r="A53" s="7" t="s">
        <v>347</v>
      </c>
    </row>
    <row r="54" spans="1:16" ht="12" customHeight="1" x14ac:dyDescent="0.25">
      <c r="A54" s="2"/>
      <c r="P54" s="139"/>
    </row>
    <row r="56" spans="1:16" x14ac:dyDescent="0.25">
      <c r="C56" s="123"/>
    </row>
  </sheetData>
  <mergeCells count="12">
    <mergeCell ref="A44:A47"/>
    <mergeCell ref="A21:M21"/>
    <mergeCell ref="A1:M1"/>
    <mergeCell ref="A4:A7"/>
    <mergeCell ref="A8:A11"/>
    <mergeCell ref="A12:A15"/>
    <mergeCell ref="A16:A19"/>
    <mergeCell ref="A29:O29"/>
    <mergeCell ref="A32:A35"/>
    <mergeCell ref="A36:A39"/>
    <mergeCell ref="A40:A43"/>
    <mergeCell ref="A25:M25"/>
  </mergeCells>
  <pageMargins left="0.08" right="0.08" top="1" bottom="1" header="0.5" footer="0.5"/>
  <pageSetup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2"/>
  <sheetViews>
    <sheetView zoomScaleNormal="100" workbookViewId="0">
      <selection sqref="A1:J1"/>
    </sheetView>
  </sheetViews>
  <sheetFormatPr defaultColWidth="9.140625" defaultRowHeight="15" x14ac:dyDescent="0.25"/>
  <cols>
    <col min="1" max="1" width="11.42578125" style="1" bestFit="1" customWidth="1"/>
    <col min="2" max="2" width="15.5703125" style="1" customWidth="1"/>
    <col min="3" max="10" width="11.42578125" style="1" bestFit="1" customWidth="1"/>
    <col min="11" max="16384" width="9.140625" style="1"/>
  </cols>
  <sheetData>
    <row r="1" spans="1:21" ht="29.25" customHeight="1" x14ac:dyDescent="0.25">
      <c r="A1" s="198" t="s">
        <v>281</v>
      </c>
      <c r="B1" s="198"/>
      <c r="C1" s="198"/>
      <c r="D1" s="198"/>
      <c r="E1" s="198"/>
      <c r="F1" s="198"/>
      <c r="G1" s="198"/>
      <c r="H1" s="198"/>
      <c r="I1" s="198"/>
      <c r="J1" s="198"/>
    </row>
    <row r="2" spans="1:21" ht="1.5" customHeight="1" x14ac:dyDescent="0.25">
      <c r="A2" s="2"/>
    </row>
    <row r="3" spans="1:21" x14ac:dyDescent="0.25">
      <c r="A3" s="35" t="s">
        <v>157</v>
      </c>
      <c r="B3" s="35" t="s">
        <v>158</v>
      </c>
      <c r="C3" s="3">
        <v>10</v>
      </c>
      <c r="D3" s="3">
        <v>11</v>
      </c>
      <c r="E3" s="3">
        <v>12</v>
      </c>
      <c r="F3" s="3">
        <v>13</v>
      </c>
      <c r="G3" s="3">
        <v>14</v>
      </c>
      <c r="H3" s="3">
        <v>15</v>
      </c>
      <c r="I3" s="3">
        <v>16</v>
      </c>
      <c r="J3" s="3">
        <v>17</v>
      </c>
    </row>
    <row r="4" spans="1:21" ht="15" customHeight="1" x14ac:dyDescent="0.25">
      <c r="A4" s="197" t="s">
        <v>18</v>
      </c>
      <c r="B4" s="37" t="s">
        <v>19</v>
      </c>
      <c r="C4" s="5">
        <v>0.45</v>
      </c>
      <c r="D4" s="5">
        <v>2.8479999999999999</v>
      </c>
      <c r="E4" s="5">
        <v>17.768999999999998</v>
      </c>
      <c r="F4" s="5">
        <v>49.506999999999998</v>
      </c>
      <c r="G4" s="5">
        <v>133.971</v>
      </c>
      <c r="H4" s="5">
        <v>264.52800000000002</v>
      </c>
      <c r="I4" s="5">
        <v>340.48599999999999</v>
      </c>
      <c r="J4" s="5">
        <v>388.834</v>
      </c>
      <c r="L4" s="5"/>
      <c r="M4" s="5"/>
      <c r="N4" s="5"/>
      <c r="O4" s="5"/>
      <c r="P4" s="5"/>
      <c r="Q4" s="5"/>
      <c r="R4" s="5"/>
      <c r="S4" s="5"/>
      <c r="U4" s="129"/>
    </row>
    <row r="5" spans="1:21" ht="15" customHeight="1" x14ac:dyDescent="0.25">
      <c r="A5" s="197"/>
      <c r="B5" s="37" t="s">
        <v>20</v>
      </c>
      <c r="C5" s="5" t="s">
        <v>146</v>
      </c>
      <c r="D5" s="5" t="s">
        <v>146</v>
      </c>
      <c r="E5" s="5">
        <v>9.8000000000000004E-2</v>
      </c>
      <c r="F5" s="5">
        <v>1.496</v>
      </c>
      <c r="G5" s="5">
        <v>5.3369999999999997</v>
      </c>
      <c r="H5" s="5">
        <v>13.981</v>
      </c>
      <c r="I5" s="5">
        <v>22.042000000000002</v>
      </c>
      <c r="J5" s="5">
        <v>25.254999999999999</v>
      </c>
      <c r="L5" s="5"/>
      <c r="M5" s="5"/>
      <c r="N5" s="5"/>
      <c r="O5" s="5"/>
      <c r="P5" s="5"/>
      <c r="Q5" s="5"/>
      <c r="R5" s="5"/>
      <c r="S5" s="5"/>
    </row>
    <row r="6" spans="1:21" ht="15" customHeight="1" x14ac:dyDescent="0.25">
      <c r="A6" s="197"/>
      <c r="B6" s="29" t="s">
        <v>12</v>
      </c>
      <c r="C6" s="5" t="s">
        <v>146</v>
      </c>
      <c r="D6" s="5" t="s">
        <v>146</v>
      </c>
      <c r="E6" s="102">
        <v>1.2509999999999999</v>
      </c>
      <c r="F6" s="102">
        <v>4.6189999999999998</v>
      </c>
      <c r="G6" s="102">
        <v>13.78</v>
      </c>
      <c r="H6" s="102">
        <v>30.78</v>
      </c>
      <c r="I6" s="102">
        <v>43.713999999999999</v>
      </c>
      <c r="J6" s="102">
        <v>49.774000000000001</v>
      </c>
      <c r="L6" s="5"/>
      <c r="M6" s="5"/>
      <c r="N6" s="5"/>
      <c r="O6" s="5"/>
      <c r="P6" s="5"/>
      <c r="Q6" s="5"/>
      <c r="R6" s="5"/>
      <c r="S6" s="5"/>
    </row>
    <row r="7" spans="1:21" ht="15" customHeight="1" x14ac:dyDescent="0.25">
      <c r="A7" s="197" t="s">
        <v>22</v>
      </c>
      <c r="B7" s="37" t="s">
        <v>19</v>
      </c>
      <c r="C7" s="5" t="s">
        <v>146</v>
      </c>
      <c r="D7" s="5">
        <v>0.1</v>
      </c>
      <c r="E7" s="5">
        <v>6.1669999999999998</v>
      </c>
      <c r="F7" s="5">
        <v>18.492000000000001</v>
      </c>
      <c r="G7" s="5">
        <v>51.737000000000002</v>
      </c>
      <c r="H7" s="5">
        <v>103.598</v>
      </c>
      <c r="I7" s="5">
        <v>113.38</v>
      </c>
      <c r="J7" s="5">
        <v>101.593</v>
      </c>
      <c r="L7" s="5"/>
      <c r="M7" s="5"/>
      <c r="N7" s="5"/>
      <c r="O7" s="5"/>
      <c r="P7" s="5"/>
      <c r="Q7" s="5"/>
      <c r="R7" s="5"/>
      <c r="S7" s="5"/>
    </row>
    <row r="8" spans="1:21" ht="15" customHeight="1" x14ac:dyDescent="0.25">
      <c r="A8" s="197"/>
      <c r="B8" s="37" t="s">
        <v>20</v>
      </c>
      <c r="C8" s="5" t="s">
        <v>146</v>
      </c>
      <c r="D8" s="5">
        <v>5.2999999999999999E-2</v>
      </c>
      <c r="E8" s="5">
        <v>9.4E-2</v>
      </c>
      <c r="F8" s="5">
        <v>0.48399999999999999</v>
      </c>
      <c r="G8" s="5">
        <v>1.5</v>
      </c>
      <c r="H8" s="5">
        <v>3.9169999999999998</v>
      </c>
      <c r="I8" s="5">
        <v>5.0430000000000001</v>
      </c>
      <c r="J8" s="5">
        <v>5.1289999999999996</v>
      </c>
      <c r="L8" s="5"/>
      <c r="M8" s="5"/>
      <c r="N8" s="5"/>
      <c r="O8" s="5"/>
      <c r="P8" s="5"/>
      <c r="Q8" s="5"/>
      <c r="R8" s="5"/>
      <c r="S8" s="5"/>
    </row>
    <row r="9" spans="1:21" ht="15" customHeight="1" x14ac:dyDescent="0.25">
      <c r="A9" s="197"/>
      <c r="B9" s="29" t="s">
        <v>12</v>
      </c>
      <c r="C9" s="5" t="s">
        <v>146</v>
      </c>
      <c r="D9" s="101">
        <v>5.6000000000000001E-2</v>
      </c>
      <c r="E9" s="101">
        <v>0.497</v>
      </c>
      <c r="F9" s="101">
        <v>1.6719999999999999</v>
      </c>
      <c r="G9" s="101">
        <v>4.8730000000000002</v>
      </c>
      <c r="H9" s="101">
        <v>10.614000000000001</v>
      </c>
      <c r="I9" s="101">
        <v>12.414</v>
      </c>
      <c r="J9" s="101">
        <v>11.711</v>
      </c>
      <c r="L9" s="5"/>
      <c r="M9" s="5"/>
      <c r="N9" s="5"/>
      <c r="O9" s="5"/>
      <c r="P9" s="5"/>
      <c r="Q9" s="5"/>
      <c r="R9" s="5"/>
      <c r="S9" s="5"/>
    </row>
    <row r="10" spans="1:21" ht="15" customHeight="1" x14ac:dyDescent="0.25">
      <c r="A10" s="197" t="s">
        <v>12</v>
      </c>
      <c r="B10" s="37" t="s">
        <v>19</v>
      </c>
      <c r="C10" s="5">
        <v>0.23400000000000001</v>
      </c>
      <c r="D10" s="5">
        <v>1.5309999999999999</v>
      </c>
      <c r="E10" s="5">
        <v>12.132999999999999</v>
      </c>
      <c r="F10" s="5">
        <v>34.286999999999999</v>
      </c>
      <c r="G10" s="5">
        <v>93.64</v>
      </c>
      <c r="H10" s="5">
        <v>185.72399999999999</v>
      </c>
      <c r="I10" s="5">
        <v>229.84800000000001</v>
      </c>
      <c r="J10" s="5">
        <v>248.26499999999999</v>
      </c>
      <c r="L10" s="5"/>
      <c r="M10" s="5"/>
      <c r="N10" s="5"/>
      <c r="O10" s="5"/>
      <c r="P10" s="5"/>
      <c r="Q10" s="5"/>
      <c r="R10" s="5"/>
      <c r="S10" s="5"/>
    </row>
    <row r="11" spans="1:21" ht="15" customHeight="1" x14ac:dyDescent="0.25">
      <c r="A11" s="197"/>
      <c r="B11" s="37" t="s">
        <v>20</v>
      </c>
      <c r="C11" s="5" t="s">
        <v>146</v>
      </c>
      <c r="D11" s="5" t="s">
        <v>146</v>
      </c>
      <c r="E11" s="5">
        <v>9.6000000000000002E-2</v>
      </c>
      <c r="F11" s="5">
        <v>1.004</v>
      </c>
      <c r="G11" s="5">
        <v>3.4710000000000001</v>
      </c>
      <c r="H11" s="5">
        <v>9.0960000000000001</v>
      </c>
      <c r="I11" s="5">
        <v>13.819000000000001</v>
      </c>
      <c r="J11" s="5">
        <v>15.537000000000001</v>
      </c>
      <c r="L11" s="5"/>
      <c r="M11" s="5"/>
      <c r="N11" s="5"/>
      <c r="O11" s="5"/>
      <c r="P11" s="5"/>
      <c r="Q11" s="5"/>
      <c r="R11" s="5"/>
      <c r="S11" s="5"/>
    </row>
    <row r="12" spans="1:21" ht="15" customHeight="1" x14ac:dyDescent="0.25">
      <c r="A12" s="197"/>
      <c r="B12" s="29" t="s">
        <v>12</v>
      </c>
      <c r="C12" s="5" t="s">
        <v>146</v>
      </c>
      <c r="D12" s="101">
        <v>0.124</v>
      </c>
      <c r="E12" s="101">
        <v>0.88500000000000001</v>
      </c>
      <c r="F12" s="101">
        <v>3.1850000000000001</v>
      </c>
      <c r="G12" s="101">
        <v>9.4459999999999997</v>
      </c>
      <c r="H12" s="101">
        <v>20.995999999999999</v>
      </c>
      <c r="I12" s="101">
        <v>28.552</v>
      </c>
      <c r="J12" s="101">
        <v>31.352</v>
      </c>
      <c r="L12" s="5"/>
      <c r="M12" s="5"/>
      <c r="N12" s="5"/>
      <c r="O12" s="5"/>
      <c r="P12" s="5"/>
      <c r="Q12" s="5"/>
      <c r="R12" s="5"/>
      <c r="S12" s="5"/>
    </row>
    <row r="13" spans="1:21" ht="3.75" customHeight="1" x14ac:dyDescent="0.25">
      <c r="A13" s="45"/>
    </row>
    <row r="14" spans="1:21" ht="11.1" customHeight="1" x14ac:dyDescent="0.25">
      <c r="A14" s="199" t="s">
        <v>23</v>
      </c>
      <c r="B14" s="199"/>
      <c r="C14" s="199"/>
      <c r="D14" s="199"/>
      <c r="E14" s="199"/>
      <c r="F14" s="199"/>
      <c r="G14" s="199"/>
      <c r="H14" s="199"/>
      <c r="I14" s="199"/>
      <c r="J14" s="199"/>
    </row>
    <row r="15" spans="1:21" s="7" customFormat="1" ht="11.1" customHeight="1" x14ac:dyDescent="0.15">
      <c r="A15" s="7" t="s">
        <v>27</v>
      </c>
    </row>
    <row r="16" spans="1:21" s="7" customFormat="1" ht="18" customHeight="1" x14ac:dyDescent="0.15">
      <c r="A16" s="188" t="s">
        <v>28</v>
      </c>
      <c r="B16" s="188"/>
      <c r="C16" s="188"/>
      <c r="D16" s="188"/>
      <c r="E16" s="188"/>
      <c r="F16" s="188"/>
      <c r="G16" s="188"/>
      <c r="H16" s="188"/>
      <c r="I16" s="188"/>
      <c r="J16" s="188"/>
    </row>
    <row r="17" spans="1:21" s="7" customFormat="1" ht="11.1" customHeight="1" x14ac:dyDescent="0.15">
      <c r="A17" s="7" t="s">
        <v>31</v>
      </c>
    </row>
    <row r="18" spans="1:21" s="7" customFormat="1" ht="11.1" customHeight="1" x14ac:dyDescent="0.15">
      <c r="A18" s="7" t="s">
        <v>380</v>
      </c>
    </row>
    <row r="19" spans="1:21" s="7" customFormat="1" ht="11.1" customHeight="1" x14ac:dyDescent="0.15">
      <c r="A19" s="7" t="s">
        <v>15</v>
      </c>
    </row>
    <row r="20" spans="1:21" s="7" customFormat="1" ht="11.1" customHeight="1" x14ac:dyDescent="0.15">
      <c r="A20" s="7" t="s">
        <v>237</v>
      </c>
    </row>
    <row r="21" spans="1:21" ht="12" customHeight="1" x14ac:dyDescent="0.25">
      <c r="A21" s="2"/>
    </row>
    <row r="22" spans="1:21" ht="27.95" customHeight="1" x14ac:dyDescent="0.25">
      <c r="A22" s="198" t="s">
        <v>282</v>
      </c>
      <c r="B22" s="198"/>
      <c r="C22" s="198"/>
      <c r="D22" s="198"/>
      <c r="E22" s="198"/>
      <c r="F22" s="198"/>
      <c r="G22" s="198"/>
      <c r="H22" s="198"/>
      <c r="I22" s="198"/>
      <c r="J22" s="198"/>
    </row>
    <row r="23" spans="1:21" ht="12" hidden="1" customHeight="1" x14ac:dyDescent="0.25">
      <c r="A23" s="2"/>
    </row>
    <row r="24" spans="1:21" x14ac:dyDescent="0.25">
      <c r="A24" s="35" t="s">
        <v>157</v>
      </c>
      <c r="B24" s="35" t="s">
        <v>158</v>
      </c>
      <c r="C24" s="76" t="s">
        <v>30</v>
      </c>
      <c r="D24" s="3">
        <v>12</v>
      </c>
      <c r="E24" s="3">
        <v>13</v>
      </c>
      <c r="F24" s="3">
        <v>14</v>
      </c>
      <c r="G24" s="3">
        <v>15</v>
      </c>
      <c r="H24" s="3">
        <v>16</v>
      </c>
      <c r="I24" s="3">
        <v>17</v>
      </c>
    </row>
    <row r="25" spans="1:21" x14ac:dyDescent="0.25">
      <c r="A25" s="197" t="s">
        <v>18</v>
      </c>
      <c r="B25" s="4" t="s">
        <v>19</v>
      </c>
      <c r="C25" s="5">
        <v>12.816000000000001</v>
      </c>
      <c r="D25" s="5">
        <v>98.057000000000002</v>
      </c>
      <c r="E25" s="5">
        <v>231.55</v>
      </c>
      <c r="F25" s="5">
        <v>442.78500000000003</v>
      </c>
      <c r="G25" s="5">
        <v>612.98</v>
      </c>
      <c r="H25" s="5">
        <v>689.68499999999995</v>
      </c>
      <c r="I25" s="5">
        <v>843.43200000000002</v>
      </c>
      <c r="L25" s="5"/>
      <c r="M25" s="5"/>
      <c r="N25" s="5"/>
      <c r="O25" s="5"/>
      <c r="P25" s="5"/>
      <c r="Q25" s="5"/>
      <c r="R25" s="5"/>
      <c r="U25" s="148"/>
    </row>
    <row r="26" spans="1:21" x14ac:dyDescent="0.25">
      <c r="A26" s="197"/>
      <c r="B26" s="4" t="s">
        <v>20</v>
      </c>
      <c r="C26" s="5" t="s">
        <v>146</v>
      </c>
      <c r="D26" s="5">
        <v>0.80100000000000005</v>
      </c>
      <c r="E26" s="5">
        <v>7.2489999999999997</v>
      </c>
      <c r="F26" s="5">
        <v>18.762</v>
      </c>
      <c r="G26" s="5">
        <v>36.174999999999997</v>
      </c>
      <c r="H26" s="5">
        <v>43.594000000000001</v>
      </c>
      <c r="I26" s="5">
        <v>53.441000000000003</v>
      </c>
      <c r="L26" s="5"/>
      <c r="M26" s="5"/>
      <c r="N26" s="5"/>
      <c r="O26" s="5"/>
      <c r="P26" s="5"/>
      <c r="Q26" s="5"/>
      <c r="R26" s="5"/>
    </row>
    <row r="27" spans="1:21" x14ac:dyDescent="0.25">
      <c r="A27" s="197"/>
      <c r="B27" s="29" t="s">
        <v>12</v>
      </c>
      <c r="C27" s="101">
        <v>0.90100000000000002</v>
      </c>
      <c r="D27" s="101">
        <v>7.3170000000000002</v>
      </c>
      <c r="E27" s="101">
        <v>22.015999999999998</v>
      </c>
      <c r="F27" s="101">
        <v>47.238</v>
      </c>
      <c r="G27" s="101">
        <v>75.679000000000002</v>
      </c>
      <c r="H27" s="101">
        <v>88.296000000000006</v>
      </c>
      <c r="I27" s="101">
        <v>108.25700000000001</v>
      </c>
      <c r="L27" s="5"/>
      <c r="M27" s="5"/>
      <c r="N27" s="5"/>
      <c r="O27" s="5"/>
      <c r="P27" s="5"/>
      <c r="Q27" s="5"/>
      <c r="R27" s="5"/>
    </row>
    <row r="28" spans="1:21" x14ac:dyDescent="0.25">
      <c r="A28" s="197" t="s">
        <v>22</v>
      </c>
      <c r="B28" s="4" t="s">
        <v>19</v>
      </c>
      <c r="C28" s="5" t="s">
        <v>146</v>
      </c>
      <c r="D28" s="5">
        <v>29.922999999999998</v>
      </c>
      <c r="E28" s="5">
        <v>89.994</v>
      </c>
      <c r="F28" s="5">
        <v>191.215</v>
      </c>
      <c r="G28" s="5">
        <v>254.42699999999999</v>
      </c>
      <c r="H28" s="5">
        <v>252.875</v>
      </c>
      <c r="I28" s="5">
        <v>217.02099999999999</v>
      </c>
      <c r="L28" s="5"/>
      <c r="M28" s="5"/>
      <c r="N28" s="5"/>
      <c r="O28" s="5"/>
      <c r="P28" s="5"/>
      <c r="Q28" s="5"/>
      <c r="R28" s="5"/>
    </row>
    <row r="29" spans="1:21" x14ac:dyDescent="0.25">
      <c r="A29" s="197"/>
      <c r="B29" s="4" t="s">
        <v>20</v>
      </c>
      <c r="C29" s="5" t="s">
        <v>146</v>
      </c>
      <c r="D29" s="5">
        <v>0.71699999999999997</v>
      </c>
      <c r="E29" s="5">
        <v>3.2080000000000002</v>
      </c>
      <c r="F29" s="5">
        <v>5.9530000000000003</v>
      </c>
      <c r="G29" s="5">
        <v>11.189</v>
      </c>
      <c r="H29" s="5">
        <v>10.117000000000001</v>
      </c>
      <c r="I29" s="5">
        <v>13.513</v>
      </c>
      <c r="L29" s="5"/>
      <c r="M29" s="5"/>
      <c r="N29" s="5"/>
      <c r="O29" s="5"/>
      <c r="P29" s="5"/>
      <c r="Q29" s="5"/>
      <c r="R29" s="5"/>
    </row>
    <row r="30" spans="1:21" x14ac:dyDescent="0.25">
      <c r="A30" s="197"/>
      <c r="B30" s="4" t="s">
        <v>12</v>
      </c>
      <c r="C30" s="5" t="s">
        <v>146</v>
      </c>
      <c r="D30" s="101">
        <v>2.7440000000000002</v>
      </c>
      <c r="E30" s="101">
        <v>9.0510000000000002</v>
      </c>
      <c r="F30" s="101">
        <v>18.57</v>
      </c>
      <c r="G30" s="101">
        <v>27.722999999999999</v>
      </c>
      <c r="H30" s="101">
        <v>26.908999999999999</v>
      </c>
      <c r="I30" s="101">
        <v>27.372</v>
      </c>
      <c r="L30" s="5"/>
      <c r="M30" s="5"/>
      <c r="N30" s="5"/>
      <c r="O30" s="5"/>
      <c r="P30" s="5"/>
      <c r="Q30" s="5"/>
      <c r="R30" s="5"/>
    </row>
    <row r="31" spans="1:21" x14ac:dyDescent="0.25">
      <c r="A31" s="197" t="s">
        <v>12</v>
      </c>
      <c r="B31" s="4" t="s">
        <v>19</v>
      </c>
      <c r="C31" s="5">
        <v>7.36</v>
      </c>
      <c r="D31" s="5">
        <v>64.959000000000003</v>
      </c>
      <c r="E31" s="5">
        <v>162.083</v>
      </c>
      <c r="F31" s="5">
        <v>319.40199999999999</v>
      </c>
      <c r="G31" s="5">
        <v>437.40300000000002</v>
      </c>
      <c r="H31" s="5">
        <v>477.44600000000003</v>
      </c>
      <c r="I31" s="5">
        <v>536.88</v>
      </c>
      <c r="L31" s="5"/>
      <c r="M31" s="5"/>
      <c r="N31" s="5"/>
      <c r="O31" s="5"/>
      <c r="P31" s="5"/>
      <c r="Q31" s="5"/>
      <c r="R31" s="5"/>
    </row>
    <row r="32" spans="1:21" x14ac:dyDescent="0.25">
      <c r="A32" s="197"/>
      <c r="B32" s="4" t="s">
        <v>20</v>
      </c>
      <c r="C32" s="5" t="s">
        <v>146</v>
      </c>
      <c r="D32" s="5">
        <v>0.76100000000000001</v>
      </c>
      <c r="E32" s="5">
        <v>5.2839999999999998</v>
      </c>
      <c r="F32" s="5">
        <v>12.532999999999999</v>
      </c>
      <c r="G32" s="5">
        <v>24.065999999999999</v>
      </c>
      <c r="H32" s="5">
        <v>27.37</v>
      </c>
      <c r="I32" s="5">
        <v>34.216999999999999</v>
      </c>
      <c r="L32" s="5"/>
      <c r="M32" s="5"/>
      <c r="N32" s="5"/>
      <c r="O32" s="5"/>
      <c r="P32" s="5"/>
      <c r="Q32" s="5"/>
      <c r="R32" s="5"/>
    </row>
    <row r="33" spans="1:18" x14ac:dyDescent="0.25">
      <c r="A33" s="197"/>
      <c r="B33" s="4" t="s">
        <v>12</v>
      </c>
      <c r="C33" s="101">
        <v>0.52400000000000002</v>
      </c>
      <c r="D33" s="101">
        <v>5.125</v>
      </c>
      <c r="E33" s="101">
        <v>15.709</v>
      </c>
      <c r="F33" s="101">
        <v>33.289000000000001</v>
      </c>
      <c r="G33" s="101">
        <v>52.424999999999997</v>
      </c>
      <c r="H33" s="101">
        <v>58.567</v>
      </c>
      <c r="I33" s="101">
        <v>69.177999999999997</v>
      </c>
      <c r="L33" s="5"/>
      <c r="M33" s="5"/>
      <c r="N33" s="5"/>
      <c r="O33" s="5"/>
      <c r="P33" s="5"/>
      <c r="Q33" s="5"/>
      <c r="R33" s="5"/>
    </row>
    <row r="34" spans="1:18" ht="3.75" customHeight="1" x14ac:dyDescent="0.25">
      <c r="A34" s="2"/>
    </row>
    <row r="35" spans="1:18" ht="11.1" customHeight="1" x14ac:dyDescent="0.25">
      <c r="A35" s="199" t="s">
        <v>23</v>
      </c>
      <c r="B35" s="199"/>
      <c r="C35" s="199"/>
      <c r="D35" s="199"/>
      <c r="E35" s="199"/>
      <c r="F35" s="199"/>
      <c r="G35" s="199"/>
      <c r="H35" s="199"/>
      <c r="I35" s="199"/>
      <c r="J35" s="200"/>
    </row>
    <row r="36" spans="1:18" s="7" customFormat="1" ht="11.1" customHeight="1" x14ac:dyDescent="0.15">
      <c r="A36" s="7" t="s">
        <v>27</v>
      </c>
    </row>
    <row r="37" spans="1:18" s="7" customFormat="1" ht="20.25" customHeight="1" x14ac:dyDescent="0.15">
      <c r="A37" s="188" t="s">
        <v>29</v>
      </c>
      <c r="B37" s="188"/>
      <c r="C37" s="188"/>
      <c r="D37" s="188"/>
      <c r="E37" s="188"/>
      <c r="F37" s="188"/>
      <c r="G37" s="188"/>
      <c r="H37" s="188"/>
      <c r="I37" s="188"/>
      <c r="J37" s="188"/>
    </row>
    <row r="38" spans="1:18" s="7" customFormat="1" ht="11.1" customHeight="1" x14ac:dyDescent="0.15">
      <c r="A38" s="7" t="s">
        <v>31</v>
      </c>
    </row>
    <row r="39" spans="1:18" s="7" customFormat="1" ht="11.1" customHeight="1" x14ac:dyDescent="0.15">
      <c r="A39" s="7" t="s">
        <v>32</v>
      </c>
    </row>
    <row r="40" spans="1:18" s="7" customFormat="1" ht="11.1" customHeight="1" x14ac:dyDescent="0.15">
      <c r="A40" s="7" t="s">
        <v>15</v>
      </c>
    </row>
    <row r="41" spans="1:18" s="7" customFormat="1" ht="11.1" customHeight="1" x14ac:dyDescent="0.15">
      <c r="A41" s="7" t="s">
        <v>238</v>
      </c>
    </row>
    <row r="42" spans="1:18" ht="12" customHeight="1" x14ac:dyDescent="0.25">
      <c r="A42" s="2"/>
    </row>
  </sheetData>
  <mergeCells count="12">
    <mergeCell ref="A1:J1"/>
    <mergeCell ref="A4:A6"/>
    <mergeCell ref="A7:A9"/>
    <mergeCell ref="A10:A12"/>
    <mergeCell ref="A14:J14"/>
    <mergeCell ref="A16:J16"/>
    <mergeCell ref="A37:J37"/>
    <mergeCell ref="A22:J22"/>
    <mergeCell ref="A25:A27"/>
    <mergeCell ref="A28:A30"/>
    <mergeCell ref="A31:A33"/>
    <mergeCell ref="A35:J35"/>
  </mergeCells>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1"/>
  <sheetViews>
    <sheetView topLeftCell="A5" zoomScaleNormal="100" workbookViewId="0">
      <selection activeCell="A29" sqref="A29"/>
    </sheetView>
  </sheetViews>
  <sheetFormatPr defaultColWidth="9.140625" defaultRowHeight="15" x14ac:dyDescent="0.25"/>
  <cols>
    <col min="1" max="1" width="16.5703125" style="1" customWidth="1"/>
    <col min="2" max="2" width="17.5703125" style="1" customWidth="1"/>
    <col min="3" max="10" width="11.42578125" style="1" bestFit="1" customWidth="1"/>
    <col min="11" max="11" width="11.42578125" style="1" customWidth="1"/>
    <col min="12" max="12" width="11.42578125" style="1" bestFit="1" customWidth="1"/>
    <col min="13" max="13" width="4" style="1" customWidth="1"/>
    <col min="14" max="14" width="11.42578125" style="1" bestFit="1" customWidth="1"/>
    <col min="15" max="23" width="9.140625" style="1"/>
    <col min="24" max="24" width="8.7109375" style="1" bestFit="1" customWidth="1"/>
    <col min="25" max="25" width="6" style="1" bestFit="1" customWidth="1"/>
    <col min="26" max="32" width="5.5703125" style="1" customWidth="1"/>
    <col min="33" max="34" width="5.5703125" style="1" bestFit="1" customWidth="1"/>
    <col min="35" max="16384" width="9.140625" style="1"/>
  </cols>
  <sheetData>
    <row r="1" spans="1:36" ht="20.25" customHeight="1" x14ac:dyDescent="0.25">
      <c r="A1" s="190" t="s">
        <v>355</v>
      </c>
      <c r="B1" s="190"/>
      <c r="C1" s="190"/>
      <c r="D1" s="190"/>
      <c r="E1" s="190"/>
      <c r="F1" s="190"/>
      <c r="G1" s="190"/>
      <c r="H1" s="190"/>
      <c r="I1" s="190"/>
      <c r="J1" s="190"/>
      <c r="K1" s="190"/>
      <c r="L1" s="190"/>
      <c r="M1" s="136"/>
      <c r="N1" s="136"/>
      <c r="O1" s="136"/>
      <c r="P1" s="136"/>
      <c r="Q1" s="136"/>
      <c r="R1" s="136"/>
      <c r="S1" s="136"/>
      <c r="T1" s="136"/>
      <c r="U1" s="136"/>
      <c r="V1" s="136"/>
      <c r="W1" s="136"/>
      <c r="X1" s="136"/>
    </row>
    <row r="2" spans="1:36" ht="3" customHeight="1" x14ac:dyDescent="0.25">
      <c r="A2" s="2"/>
      <c r="M2" s="136"/>
      <c r="N2" s="136"/>
      <c r="O2" s="136"/>
      <c r="P2" s="136"/>
      <c r="Q2" s="136"/>
      <c r="R2" s="136"/>
      <c r="S2" s="136"/>
      <c r="T2" s="136"/>
      <c r="U2" s="136"/>
      <c r="V2" s="136"/>
      <c r="W2" s="136"/>
      <c r="X2" s="136"/>
    </row>
    <row r="3" spans="1:36" x14ac:dyDescent="0.25">
      <c r="A3" s="35" t="s">
        <v>158</v>
      </c>
      <c r="B3" s="35" t="s">
        <v>159</v>
      </c>
      <c r="C3" s="3" t="s">
        <v>1</v>
      </c>
      <c r="D3" s="3" t="s">
        <v>2</v>
      </c>
      <c r="E3" s="3" t="s">
        <v>3</v>
      </c>
      <c r="F3" s="3" t="s">
        <v>4</v>
      </c>
      <c r="G3" s="3" t="s">
        <v>5</v>
      </c>
      <c r="H3" s="3" t="s">
        <v>6</v>
      </c>
      <c r="I3" s="3" t="s">
        <v>7</v>
      </c>
      <c r="J3" s="3" t="s">
        <v>8</v>
      </c>
      <c r="K3" s="3" t="s">
        <v>9</v>
      </c>
      <c r="M3" s="136"/>
      <c r="N3" s="136"/>
      <c r="O3" s="136"/>
      <c r="P3" s="136"/>
      <c r="Q3" s="136"/>
      <c r="R3" s="136"/>
      <c r="S3" s="136"/>
      <c r="T3" s="136"/>
      <c r="U3" s="136"/>
      <c r="V3" s="136"/>
      <c r="W3" s="136"/>
      <c r="X3" s="136"/>
    </row>
    <row r="4" spans="1:36" x14ac:dyDescent="0.25">
      <c r="A4" s="197" t="s">
        <v>19</v>
      </c>
      <c r="B4" s="37" t="s">
        <v>177</v>
      </c>
      <c r="C4" s="5">
        <v>7.6</v>
      </c>
      <c r="D4" s="5">
        <v>0.4</v>
      </c>
      <c r="E4" s="5">
        <v>67.2</v>
      </c>
      <c r="F4" s="5">
        <v>19.2</v>
      </c>
      <c r="G4" s="5">
        <v>7.3</v>
      </c>
      <c r="H4" s="5">
        <v>2</v>
      </c>
      <c r="I4" s="5">
        <v>2.2000000000000002</v>
      </c>
      <c r="J4" s="5" t="s">
        <v>151</v>
      </c>
      <c r="K4" s="5">
        <v>105.9</v>
      </c>
      <c r="L4" s="5"/>
      <c r="M4" s="5"/>
      <c r="N4" s="5"/>
      <c r="O4" s="5"/>
      <c r="P4" s="5"/>
      <c r="Q4" s="5"/>
      <c r="R4" s="5"/>
      <c r="S4" s="5"/>
      <c r="T4" s="5"/>
      <c r="U4" s="5"/>
      <c r="V4" s="136"/>
      <c r="W4" s="136"/>
      <c r="X4" s="136"/>
      <c r="Y4" s="136"/>
      <c r="Z4" s="136"/>
      <c r="AA4" s="136"/>
      <c r="AB4" s="136"/>
      <c r="AC4" s="136"/>
      <c r="AD4" s="136"/>
      <c r="AE4" s="136"/>
      <c r="AF4" s="136"/>
      <c r="AG4" s="136"/>
      <c r="AI4" s="136"/>
      <c r="AJ4" s="136"/>
    </row>
    <row r="5" spans="1:36" x14ac:dyDescent="0.25">
      <c r="A5" s="197"/>
      <c r="B5" s="37" t="s">
        <v>178</v>
      </c>
      <c r="C5" s="5">
        <v>502.9</v>
      </c>
      <c r="D5" s="5">
        <v>52.7</v>
      </c>
      <c r="E5" s="5">
        <v>722.7</v>
      </c>
      <c r="F5" s="5">
        <v>240.1</v>
      </c>
      <c r="G5" s="5">
        <v>108.8</v>
      </c>
      <c r="H5" s="5">
        <v>40.700000000000003</v>
      </c>
      <c r="I5" s="5">
        <v>19</v>
      </c>
      <c r="J5" s="5" t="s">
        <v>151</v>
      </c>
      <c r="K5" s="5">
        <v>1686.9</v>
      </c>
      <c r="L5" s="5"/>
      <c r="M5" s="5"/>
      <c r="N5" s="5"/>
      <c r="O5" s="5"/>
      <c r="P5" s="5"/>
      <c r="Q5" s="5"/>
      <c r="R5" s="5"/>
      <c r="S5" s="5"/>
      <c r="T5" s="5"/>
      <c r="U5" s="5"/>
      <c r="V5" s="136"/>
      <c r="W5" s="136"/>
      <c r="X5" s="136"/>
      <c r="Y5" s="136"/>
      <c r="Z5" s="136"/>
      <c r="AA5" s="136"/>
      <c r="AB5" s="136"/>
      <c r="AC5" s="136"/>
      <c r="AD5" s="136"/>
      <c r="AE5" s="136"/>
      <c r="AF5" s="136"/>
      <c r="AG5" s="136"/>
      <c r="AI5" s="136"/>
      <c r="AJ5" s="136"/>
    </row>
    <row r="6" spans="1:36" x14ac:dyDescent="0.25">
      <c r="A6" s="197"/>
      <c r="B6" s="37" t="s">
        <v>33</v>
      </c>
      <c r="C6" s="5">
        <v>57.7</v>
      </c>
      <c r="D6" s="5">
        <v>44.1</v>
      </c>
      <c r="E6" s="5">
        <v>204.7</v>
      </c>
      <c r="F6" s="5">
        <v>44.4</v>
      </c>
      <c r="G6" s="5">
        <v>16.2</v>
      </c>
      <c r="H6" s="5">
        <v>16.600000000000001</v>
      </c>
      <c r="I6" s="5">
        <v>6.2</v>
      </c>
      <c r="J6" s="5" t="s">
        <v>151</v>
      </c>
      <c r="K6" s="5">
        <v>389.9</v>
      </c>
      <c r="L6" s="5"/>
      <c r="M6" s="5"/>
      <c r="N6" s="5"/>
      <c r="O6" s="5"/>
      <c r="P6" s="5"/>
      <c r="Q6" s="5"/>
      <c r="R6" s="5"/>
      <c r="S6" s="5"/>
      <c r="T6" s="5"/>
      <c r="U6" s="5"/>
      <c r="V6" s="137"/>
      <c r="W6" s="137"/>
      <c r="X6" s="137"/>
      <c r="Y6" s="137"/>
      <c r="Z6" s="137"/>
      <c r="AA6" s="137"/>
      <c r="AB6" s="137"/>
      <c r="AC6" s="137"/>
      <c r="AD6" s="137"/>
      <c r="AE6" s="137"/>
      <c r="AF6" s="137"/>
      <c r="AG6" s="137"/>
      <c r="AI6" s="137"/>
      <c r="AJ6" s="137"/>
    </row>
    <row r="7" spans="1:36" x14ac:dyDescent="0.25">
      <c r="A7" s="197"/>
      <c r="B7" s="100" t="s">
        <v>12</v>
      </c>
      <c r="C7" s="101">
        <v>568.29999999999995</v>
      </c>
      <c r="D7" s="101">
        <v>97.1</v>
      </c>
      <c r="E7" s="101">
        <v>994.6</v>
      </c>
      <c r="F7" s="101">
        <v>303.7</v>
      </c>
      <c r="G7" s="101">
        <v>132.4</v>
      </c>
      <c r="H7" s="101">
        <v>59.3</v>
      </c>
      <c r="I7" s="101">
        <v>27.4</v>
      </c>
      <c r="J7" s="5" t="s">
        <v>151</v>
      </c>
      <c r="K7" s="101">
        <v>2182.8000000000002</v>
      </c>
      <c r="L7" s="101"/>
      <c r="M7" s="5"/>
      <c r="N7" s="5"/>
      <c r="O7" s="5"/>
      <c r="P7" s="5"/>
      <c r="Q7" s="5"/>
      <c r="R7" s="5"/>
      <c r="S7" s="5"/>
      <c r="T7" s="5"/>
      <c r="U7" s="5"/>
      <c r="V7" s="136"/>
      <c r="W7" s="136"/>
      <c r="X7" s="136"/>
      <c r="Y7" s="136"/>
      <c r="Z7" s="136"/>
      <c r="AA7" s="136"/>
      <c r="AB7" s="136"/>
      <c r="AC7" s="136"/>
      <c r="AD7" s="136"/>
      <c r="AE7" s="136"/>
      <c r="AF7" s="136"/>
      <c r="AG7" s="136"/>
      <c r="AI7" s="136"/>
      <c r="AJ7" s="136"/>
    </row>
    <row r="8" spans="1:36" x14ac:dyDescent="0.25">
      <c r="A8" s="197" t="s">
        <v>421</v>
      </c>
      <c r="B8" s="37" t="s">
        <v>177</v>
      </c>
      <c r="C8" s="5">
        <v>4.5</v>
      </c>
      <c r="D8" s="5">
        <v>1</v>
      </c>
      <c r="E8" s="5">
        <v>19</v>
      </c>
      <c r="F8" s="5">
        <v>7.6</v>
      </c>
      <c r="G8" s="5">
        <v>1.6</v>
      </c>
      <c r="H8" s="5">
        <v>1.6</v>
      </c>
      <c r="I8" s="5">
        <v>0.3</v>
      </c>
      <c r="J8" s="5" t="s">
        <v>151</v>
      </c>
      <c r="K8" s="5">
        <v>35.6</v>
      </c>
      <c r="L8" s="5"/>
      <c r="M8" s="5"/>
      <c r="N8" s="5"/>
      <c r="O8" s="5"/>
      <c r="P8" s="5"/>
      <c r="Q8" s="5"/>
      <c r="R8" s="5"/>
      <c r="S8" s="5"/>
      <c r="T8" s="5"/>
      <c r="U8" s="5"/>
      <c r="V8" s="136"/>
      <c r="W8" s="136"/>
      <c r="X8" s="136"/>
      <c r="Y8" s="136"/>
      <c r="Z8" s="136"/>
      <c r="AA8" s="136"/>
      <c r="AB8" s="136"/>
      <c r="AC8" s="136"/>
      <c r="AD8" s="136"/>
      <c r="AE8" s="136"/>
      <c r="AF8" s="136"/>
      <c r="AG8" s="136"/>
      <c r="AI8" s="136"/>
      <c r="AJ8" s="136"/>
    </row>
    <row r="9" spans="1:36" x14ac:dyDescent="0.25">
      <c r="A9" s="197"/>
      <c r="B9" s="37" t="s">
        <v>178</v>
      </c>
      <c r="C9" s="5">
        <v>377.2</v>
      </c>
      <c r="D9" s="5">
        <v>245.3</v>
      </c>
      <c r="E9" s="5">
        <v>329.3</v>
      </c>
      <c r="F9" s="5">
        <v>170.7</v>
      </c>
      <c r="G9" s="5">
        <v>84.5</v>
      </c>
      <c r="H9" s="5">
        <v>65.5</v>
      </c>
      <c r="I9" s="5">
        <v>42.2</v>
      </c>
      <c r="J9" s="5" t="s">
        <v>151</v>
      </c>
      <c r="K9" s="5">
        <v>1314.8</v>
      </c>
      <c r="L9" s="5"/>
      <c r="M9" s="5"/>
      <c r="N9" s="5"/>
      <c r="O9" s="5"/>
      <c r="P9" s="5"/>
      <c r="Q9" s="5"/>
      <c r="R9" s="5"/>
      <c r="S9" s="5"/>
      <c r="T9" s="5"/>
      <c r="U9" s="5"/>
      <c r="V9" s="137"/>
      <c r="W9" s="137"/>
      <c r="X9" s="137"/>
      <c r="Y9" s="137"/>
      <c r="Z9" s="137"/>
      <c r="AA9" s="137"/>
      <c r="AB9" s="137"/>
      <c r="AC9" s="137"/>
      <c r="AD9" s="137"/>
      <c r="AE9" s="137"/>
      <c r="AF9" s="137"/>
      <c r="AG9" s="137"/>
      <c r="AI9" s="137"/>
      <c r="AJ9" s="137"/>
    </row>
    <row r="10" spans="1:36" x14ac:dyDescent="0.25">
      <c r="A10" s="197"/>
      <c r="B10" s="37" t="s">
        <v>33</v>
      </c>
      <c r="C10" s="5">
        <v>56.4</v>
      </c>
      <c r="D10" s="5">
        <v>201</v>
      </c>
      <c r="E10" s="5">
        <v>209.2</v>
      </c>
      <c r="F10" s="5">
        <v>34.1</v>
      </c>
      <c r="G10" s="5">
        <v>21.1</v>
      </c>
      <c r="H10" s="5">
        <v>35.299999999999997</v>
      </c>
      <c r="I10" s="5">
        <v>19.399999999999999</v>
      </c>
      <c r="J10" s="5" t="s">
        <v>151</v>
      </c>
      <c r="K10" s="5">
        <v>576.70000000000005</v>
      </c>
      <c r="L10" s="5"/>
      <c r="M10" s="5"/>
      <c r="N10" s="5"/>
      <c r="O10" s="5"/>
      <c r="P10" s="5"/>
      <c r="Q10" s="5"/>
      <c r="R10" s="5"/>
      <c r="S10" s="5"/>
      <c r="T10" s="5"/>
      <c r="U10" s="5"/>
      <c r="V10" s="136"/>
      <c r="W10" s="136"/>
      <c r="X10" s="136"/>
      <c r="Y10" s="136"/>
      <c r="Z10" s="136"/>
      <c r="AA10" s="136"/>
      <c r="AB10" s="136"/>
      <c r="AC10" s="136"/>
      <c r="AD10" s="136"/>
      <c r="AE10" s="136"/>
      <c r="AF10" s="136"/>
      <c r="AG10" s="136"/>
      <c r="AI10" s="136"/>
      <c r="AJ10" s="136"/>
    </row>
    <row r="11" spans="1:36" x14ac:dyDescent="0.25">
      <c r="A11" s="197"/>
      <c r="B11" s="29" t="s">
        <v>12</v>
      </c>
      <c r="C11" s="101">
        <v>438.1</v>
      </c>
      <c r="D11" s="101">
        <v>447.3</v>
      </c>
      <c r="E11" s="101">
        <v>557.5</v>
      </c>
      <c r="F11" s="101">
        <v>212.4</v>
      </c>
      <c r="G11" s="101">
        <v>107.3</v>
      </c>
      <c r="H11" s="101">
        <v>102.5</v>
      </c>
      <c r="I11" s="101">
        <v>61.9</v>
      </c>
      <c r="J11" s="5" t="s">
        <v>151</v>
      </c>
      <c r="K11" s="101">
        <v>1927</v>
      </c>
      <c r="L11" s="101"/>
      <c r="M11" s="5"/>
      <c r="N11" s="5"/>
      <c r="O11" s="5"/>
      <c r="P11" s="5"/>
      <c r="Q11" s="5"/>
      <c r="R11" s="5"/>
      <c r="S11" s="5"/>
      <c r="T11" s="5"/>
      <c r="U11" s="5"/>
      <c r="V11" s="136"/>
      <c r="W11" s="136"/>
      <c r="X11" s="136"/>
      <c r="Y11" s="136"/>
      <c r="Z11" s="136"/>
      <c r="AA11" s="136"/>
      <c r="AB11" s="136"/>
      <c r="AC11" s="136"/>
      <c r="AD11" s="136"/>
      <c r="AE11" s="136"/>
      <c r="AF11" s="136"/>
      <c r="AG11" s="136"/>
      <c r="AI11" s="136"/>
      <c r="AJ11" s="136"/>
    </row>
    <row r="12" spans="1:36" x14ac:dyDescent="0.25">
      <c r="A12" s="197" t="s">
        <v>21</v>
      </c>
      <c r="B12" s="37" t="s">
        <v>177</v>
      </c>
      <c r="C12" s="5">
        <v>0.2</v>
      </c>
      <c r="D12" s="5" t="s">
        <v>146</v>
      </c>
      <c r="E12" s="5" t="s">
        <v>146</v>
      </c>
      <c r="F12" s="5" t="s">
        <v>146</v>
      </c>
      <c r="G12" s="5" t="s">
        <v>146</v>
      </c>
      <c r="H12" s="5">
        <v>0.1</v>
      </c>
      <c r="I12" s="5" t="s">
        <v>146</v>
      </c>
      <c r="J12" s="5" t="s">
        <v>151</v>
      </c>
      <c r="K12" s="5">
        <v>0.3</v>
      </c>
      <c r="L12" s="5"/>
      <c r="M12" s="5"/>
      <c r="N12" s="5"/>
      <c r="O12" s="5"/>
      <c r="P12" s="5"/>
      <c r="Q12" s="5"/>
      <c r="R12" s="5"/>
      <c r="S12" s="5"/>
      <c r="T12" s="5"/>
      <c r="U12" s="5"/>
      <c r="V12" s="137"/>
      <c r="W12" s="137"/>
      <c r="X12" s="137"/>
      <c r="Y12" s="137"/>
      <c r="Z12" s="137"/>
      <c r="AA12" s="137"/>
      <c r="AB12" s="137"/>
      <c r="AC12" s="137"/>
      <c r="AD12" s="137"/>
      <c r="AE12" s="137"/>
      <c r="AF12" s="137"/>
      <c r="AG12" s="137"/>
      <c r="AI12" s="137"/>
      <c r="AJ12" s="137"/>
    </row>
    <row r="13" spans="1:36" x14ac:dyDescent="0.25">
      <c r="A13" s="197"/>
      <c r="B13" s="37" t="s">
        <v>178</v>
      </c>
      <c r="C13" s="5">
        <v>25.8</v>
      </c>
      <c r="D13" s="5">
        <v>0.6</v>
      </c>
      <c r="E13" s="5">
        <v>4</v>
      </c>
      <c r="F13" s="5" t="s">
        <v>146</v>
      </c>
      <c r="G13" s="5">
        <v>2.7</v>
      </c>
      <c r="H13" s="5">
        <v>0.3</v>
      </c>
      <c r="I13" s="5" t="s">
        <v>146</v>
      </c>
      <c r="J13" s="5" t="s">
        <v>151</v>
      </c>
      <c r="K13" s="5">
        <v>33.299999999999997</v>
      </c>
      <c r="L13" s="5"/>
      <c r="M13" s="5"/>
      <c r="N13" s="5"/>
      <c r="O13" s="5"/>
      <c r="P13" s="5"/>
      <c r="Q13" s="5"/>
      <c r="R13" s="5"/>
      <c r="S13" s="5"/>
      <c r="T13" s="5"/>
      <c r="U13" s="5"/>
    </row>
    <row r="14" spans="1:36" x14ac:dyDescent="0.25">
      <c r="A14" s="197"/>
      <c r="B14" s="37" t="s">
        <v>33</v>
      </c>
      <c r="C14" s="5">
        <v>2.2000000000000002</v>
      </c>
      <c r="D14" s="5" t="s">
        <v>146</v>
      </c>
      <c r="E14" s="5">
        <v>0.6</v>
      </c>
      <c r="F14" s="5" t="s">
        <v>146</v>
      </c>
      <c r="G14" s="5">
        <v>0.8</v>
      </c>
      <c r="H14" s="5">
        <v>0.3</v>
      </c>
      <c r="I14" s="5" t="s">
        <v>146</v>
      </c>
      <c r="J14" s="5" t="s">
        <v>151</v>
      </c>
      <c r="K14" s="5">
        <v>3.8</v>
      </c>
      <c r="L14" s="5"/>
      <c r="M14" s="5"/>
      <c r="N14" s="5"/>
      <c r="O14" s="5"/>
      <c r="P14" s="5"/>
      <c r="Q14" s="5"/>
      <c r="R14" s="5"/>
      <c r="S14" s="5"/>
      <c r="T14" s="5"/>
      <c r="U14" s="5"/>
      <c r="V14" s="136"/>
    </row>
    <row r="15" spans="1:36" x14ac:dyDescent="0.25">
      <c r="A15" s="197"/>
      <c r="B15" s="29" t="s">
        <v>12</v>
      </c>
      <c r="C15" s="101">
        <v>28.2</v>
      </c>
      <c r="D15" s="101">
        <v>0.6</v>
      </c>
      <c r="E15" s="101">
        <v>4.5</v>
      </c>
      <c r="F15" s="5" t="s">
        <v>146</v>
      </c>
      <c r="G15" s="101">
        <v>3.5</v>
      </c>
      <c r="H15" s="101">
        <v>0.7</v>
      </c>
      <c r="I15" s="101" t="s">
        <v>146</v>
      </c>
      <c r="J15" s="5" t="s">
        <v>151</v>
      </c>
      <c r="K15" s="101">
        <v>37.5</v>
      </c>
      <c r="L15" s="101"/>
      <c r="M15" s="5"/>
      <c r="N15" s="5"/>
      <c r="O15" s="5"/>
      <c r="P15" s="5"/>
      <c r="Q15" s="5"/>
      <c r="R15" s="5"/>
      <c r="S15" s="5"/>
      <c r="T15" s="5"/>
      <c r="U15" s="5"/>
      <c r="V15" s="136"/>
    </row>
    <row r="16" spans="1:36" x14ac:dyDescent="0.25">
      <c r="A16" s="197" t="s">
        <v>12</v>
      </c>
      <c r="B16" s="37" t="s">
        <v>177</v>
      </c>
      <c r="C16" s="5">
        <v>12.3</v>
      </c>
      <c r="D16" s="5">
        <v>1.4</v>
      </c>
      <c r="E16" s="5">
        <v>86.2</v>
      </c>
      <c r="F16" s="5">
        <v>26.7</v>
      </c>
      <c r="G16" s="5">
        <v>9</v>
      </c>
      <c r="H16" s="5">
        <v>3.7</v>
      </c>
      <c r="I16" s="5">
        <v>2.5</v>
      </c>
      <c r="J16" s="5" t="s">
        <v>151</v>
      </c>
      <c r="K16" s="5">
        <v>141.80000000000001</v>
      </c>
      <c r="L16" s="5"/>
      <c r="M16" s="5"/>
      <c r="N16" s="5"/>
      <c r="O16" s="5"/>
      <c r="P16" s="5"/>
      <c r="Q16" s="5"/>
      <c r="R16" s="5"/>
      <c r="S16" s="5"/>
      <c r="T16" s="5"/>
      <c r="U16" s="5"/>
      <c r="V16" s="137"/>
    </row>
    <row r="17" spans="1:23" x14ac:dyDescent="0.25">
      <c r="A17" s="197"/>
      <c r="B17" s="37" t="s">
        <v>178</v>
      </c>
      <c r="C17" s="5">
        <v>905.9</v>
      </c>
      <c r="D17" s="5">
        <v>298.5</v>
      </c>
      <c r="E17" s="5">
        <v>1056</v>
      </c>
      <c r="F17" s="5">
        <v>410.8</v>
      </c>
      <c r="G17" s="5">
        <v>196</v>
      </c>
      <c r="H17" s="5">
        <v>106.5</v>
      </c>
      <c r="I17" s="5">
        <v>61.2</v>
      </c>
      <c r="J17" s="5" t="s">
        <v>151</v>
      </c>
      <c r="K17" s="5">
        <v>3035</v>
      </c>
      <c r="L17" s="5"/>
      <c r="M17" s="5"/>
      <c r="N17" s="5"/>
      <c r="O17" s="5"/>
      <c r="P17" s="5"/>
      <c r="Q17" s="5"/>
      <c r="R17" s="5"/>
      <c r="S17" s="5"/>
      <c r="T17" s="5"/>
      <c r="U17" s="5"/>
      <c r="V17" s="136"/>
    </row>
    <row r="18" spans="1:23" x14ac:dyDescent="0.25">
      <c r="A18" s="197"/>
      <c r="B18" s="37" t="s">
        <v>33</v>
      </c>
      <c r="C18" s="5">
        <v>116.3</v>
      </c>
      <c r="D18" s="5">
        <v>245.1</v>
      </c>
      <c r="E18" s="5">
        <v>414.4</v>
      </c>
      <c r="F18" s="5">
        <v>78.599999999999994</v>
      </c>
      <c r="G18" s="5">
        <v>38.200000000000003</v>
      </c>
      <c r="H18" s="5">
        <v>52.3</v>
      </c>
      <c r="I18" s="5">
        <v>25.6</v>
      </c>
      <c r="J18" s="5" t="s">
        <v>151</v>
      </c>
      <c r="K18" s="5">
        <v>970.5</v>
      </c>
      <c r="L18" s="5"/>
      <c r="M18" s="5"/>
      <c r="N18" s="5"/>
      <c r="O18" s="5"/>
      <c r="P18" s="5"/>
      <c r="Q18" s="5"/>
      <c r="R18" s="5"/>
      <c r="S18" s="5"/>
      <c r="T18" s="5"/>
      <c r="U18" s="5"/>
      <c r="V18" s="136"/>
    </row>
    <row r="19" spans="1:23" x14ac:dyDescent="0.25">
      <c r="A19" s="197"/>
      <c r="B19" s="29" t="s">
        <v>12</v>
      </c>
      <c r="C19" s="101">
        <v>1034.5</v>
      </c>
      <c r="D19" s="101">
        <v>545</v>
      </c>
      <c r="E19" s="101">
        <v>1556.6</v>
      </c>
      <c r="F19" s="101">
        <v>516.20000000000005</v>
      </c>
      <c r="G19" s="101">
        <v>243.1</v>
      </c>
      <c r="H19" s="101">
        <v>162.5</v>
      </c>
      <c r="I19" s="101">
        <v>89.3</v>
      </c>
      <c r="J19" s="101" t="s">
        <v>151</v>
      </c>
      <c r="K19" s="101">
        <v>4147.3</v>
      </c>
      <c r="L19" s="101"/>
      <c r="M19" s="5"/>
      <c r="N19" s="5"/>
      <c r="O19" s="5"/>
      <c r="P19" s="5"/>
      <c r="Q19" s="5"/>
      <c r="R19" s="5"/>
      <c r="S19" s="5"/>
      <c r="T19" s="5"/>
      <c r="U19" s="5"/>
      <c r="V19" s="137"/>
      <c r="W19" s="136"/>
    </row>
    <row r="20" spans="1:23" ht="1.5" customHeight="1" x14ac:dyDescent="0.25">
      <c r="A20" s="2"/>
      <c r="J20" s="5" t="s">
        <v>151</v>
      </c>
      <c r="K20" s="5"/>
      <c r="N20" s="136"/>
      <c r="O20" s="136"/>
      <c r="P20" s="136"/>
      <c r="Q20" s="136"/>
      <c r="R20" s="136"/>
      <c r="S20" s="136"/>
      <c r="T20" s="136"/>
      <c r="U20" s="136"/>
      <c r="V20" s="136"/>
      <c r="W20" s="136"/>
    </row>
    <row r="21" spans="1:23" ht="1.5" customHeight="1" x14ac:dyDescent="0.25">
      <c r="A21" s="2"/>
      <c r="J21" s="5"/>
      <c r="K21" s="5"/>
      <c r="N21" s="136"/>
      <c r="O21" s="136"/>
      <c r="P21" s="136"/>
      <c r="Q21" s="136"/>
      <c r="R21" s="136"/>
      <c r="S21" s="136"/>
      <c r="T21" s="136"/>
      <c r="U21" s="136"/>
      <c r="V21" s="136"/>
      <c r="W21" s="137"/>
    </row>
    <row r="22" spans="1:23" ht="11.1" customHeight="1" x14ac:dyDescent="0.25">
      <c r="A22" s="107" t="s">
        <v>13</v>
      </c>
      <c r="B22" s="107"/>
      <c r="C22" s="107"/>
      <c r="D22" s="107"/>
      <c r="E22" s="107"/>
      <c r="F22" s="107"/>
      <c r="G22" s="107"/>
      <c r="H22" s="107"/>
      <c r="I22" s="107"/>
      <c r="J22" s="107"/>
      <c r="K22" s="108"/>
      <c r="N22" s="137"/>
      <c r="O22" s="137"/>
      <c r="P22" s="137"/>
      <c r="Q22" s="137"/>
      <c r="R22" s="137"/>
      <c r="S22" s="137"/>
      <c r="T22" s="137"/>
      <c r="U22" s="137"/>
      <c r="V22" s="137"/>
      <c r="W22" s="136"/>
    </row>
    <row r="23" spans="1:23" s="7" customFormat="1" ht="11.1" customHeight="1" x14ac:dyDescent="0.2">
      <c r="A23" s="7" t="s">
        <v>14</v>
      </c>
      <c r="N23" s="136"/>
      <c r="O23" s="136"/>
      <c r="P23" s="136"/>
      <c r="Q23" s="136"/>
      <c r="R23" s="136"/>
      <c r="S23" s="136"/>
      <c r="T23" s="136"/>
      <c r="U23" s="136"/>
      <c r="V23" s="136"/>
      <c r="W23" s="136"/>
    </row>
    <row r="24" spans="1:23" s="12" customFormat="1" ht="11.1" customHeight="1" x14ac:dyDescent="0.2">
      <c r="A24" s="7" t="s">
        <v>23</v>
      </c>
      <c r="N24" s="137"/>
      <c r="O24" s="137"/>
      <c r="P24" s="137"/>
      <c r="Q24" s="137"/>
      <c r="R24" s="137"/>
      <c r="S24" s="137"/>
      <c r="T24" s="137"/>
      <c r="U24" s="137"/>
      <c r="V24" s="137"/>
      <c r="W24" s="137"/>
    </row>
    <row r="25" spans="1:23" s="7" customFormat="1" ht="11.1" customHeight="1" x14ac:dyDescent="0.2">
      <c r="A25" s="7" t="s">
        <v>189</v>
      </c>
      <c r="N25" s="136"/>
      <c r="O25" s="136"/>
      <c r="P25" s="136"/>
      <c r="Q25" s="136"/>
      <c r="R25" s="136"/>
      <c r="S25" s="136"/>
      <c r="T25" s="136"/>
      <c r="U25" s="136"/>
      <c r="V25" s="136"/>
      <c r="W25" s="136"/>
    </row>
    <row r="26" spans="1:23" s="7" customFormat="1" ht="18.75" customHeight="1" x14ac:dyDescent="0.2">
      <c r="A26" s="188" t="s">
        <v>28</v>
      </c>
      <c r="B26" s="188"/>
      <c r="C26" s="188"/>
      <c r="D26" s="188"/>
      <c r="E26" s="188"/>
      <c r="F26" s="188"/>
      <c r="G26" s="188"/>
      <c r="H26" s="188"/>
      <c r="I26" s="188"/>
      <c r="J26" s="188"/>
      <c r="K26" s="188"/>
      <c r="L26" s="188"/>
      <c r="N26" s="136"/>
      <c r="O26" s="136"/>
      <c r="P26" s="136"/>
      <c r="Q26" s="136"/>
      <c r="R26" s="136"/>
      <c r="S26" s="136"/>
      <c r="T26" s="136"/>
      <c r="U26" s="136"/>
      <c r="V26" s="136"/>
      <c r="W26" s="136"/>
    </row>
    <row r="27" spans="1:23" s="7" customFormat="1" ht="9" customHeight="1" x14ac:dyDescent="0.2">
      <c r="A27" s="188" t="s">
        <v>422</v>
      </c>
      <c r="B27" s="188"/>
      <c r="C27" s="188"/>
      <c r="D27" s="188"/>
      <c r="E27" s="188"/>
      <c r="F27" s="188"/>
      <c r="G27" s="188"/>
      <c r="H27" s="188"/>
      <c r="I27" s="188"/>
      <c r="J27" s="188"/>
      <c r="K27" s="188"/>
      <c r="L27" s="32"/>
      <c r="N27" s="137"/>
      <c r="O27" s="137"/>
      <c r="P27" s="137"/>
      <c r="Q27" s="137"/>
      <c r="R27" s="137"/>
      <c r="S27" s="137"/>
      <c r="T27" s="137"/>
      <c r="U27" s="137"/>
      <c r="V27" s="137"/>
      <c r="W27" s="137"/>
    </row>
    <row r="28" spans="1:23" s="7" customFormat="1" ht="11.1" customHeight="1" x14ac:dyDescent="0.15">
      <c r="A28" s="7" t="s">
        <v>15</v>
      </c>
    </row>
    <row r="29" spans="1:23" s="7" customFormat="1" ht="11.1" customHeight="1" x14ac:dyDescent="0.15">
      <c r="A29" s="7" t="s">
        <v>347</v>
      </c>
    </row>
    <row r="30" spans="1:23" ht="12" customHeight="1" x14ac:dyDescent="0.25">
      <c r="A30" s="2"/>
    </row>
    <row r="31" spans="1:23" ht="27.95" customHeight="1" x14ac:dyDescent="0.25">
      <c r="A31" s="192" t="s">
        <v>284</v>
      </c>
      <c r="B31" s="192"/>
      <c r="C31" s="192"/>
      <c r="D31" s="192"/>
      <c r="E31" s="192"/>
      <c r="F31" s="192"/>
      <c r="G31" s="192"/>
      <c r="H31" s="192"/>
      <c r="I31" s="192"/>
      <c r="J31" s="192"/>
      <c r="K31" s="192"/>
      <c r="L31" s="192"/>
      <c r="M31" s="192"/>
      <c r="N31" s="192"/>
    </row>
    <row r="32" spans="1:23" ht="2.25" customHeight="1" x14ac:dyDescent="0.25">
      <c r="A32" s="2"/>
    </row>
    <row r="33" spans="1:23" x14ac:dyDescent="0.25">
      <c r="A33" s="35" t="s">
        <v>158</v>
      </c>
      <c r="B33" s="35" t="s">
        <v>162</v>
      </c>
      <c r="C33" s="3" t="s">
        <v>1</v>
      </c>
      <c r="D33" s="3" t="s">
        <v>2</v>
      </c>
      <c r="E33" s="3" t="s">
        <v>3</v>
      </c>
      <c r="F33" s="3" t="s">
        <v>4</v>
      </c>
      <c r="G33" s="3" t="s">
        <v>5</v>
      </c>
      <c r="H33" s="3" t="s">
        <v>6</v>
      </c>
      <c r="I33" s="3" t="s">
        <v>7</v>
      </c>
      <c r="J33" s="3" t="s">
        <v>8</v>
      </c>
      <c r="K33" s="3" t="s">
        <v>9</v>
      </c>
    </row>
    <row r="34" spans="1:23" x14ac:dyDescent="0.25">
      <c r="A34" s="197" t="s">
        <v>19</v>
      </c>
      <c r="B34" s="37" t="s">
        <v>177</v>
      </c>
      <c r="C34" s="9">
        <v>91</v>
      </c>
      <c r="D34" s="9">
        <v>4</v>
      </c>
      <c r="E34" s="9">
        <v>156</v>
      </c>
      <c r="F34" s="9">
        <v>146</v>
      </c>
      <c r="G34" s="9">
        <v>39</v>
      </c>
      <c r="H34" s="9" t="s">
        <v>153</v>
      </c>
      <c r="I34" s="9" t="s">
        <v>153</v>
      </c>
      <c r="J34" s="9">
        <v>84</v>
      </c>
      <c r="K34" s="9">
        <v>531</v>
      </c>
      <c r="L34" s="9"/>
      <c r="M34" s="9"/>
      <c r="N34" s="9"/>
      <c r="O34" s="9"/>
      <c r="P34" s="9"/>
      <c r="Q34" s="9"/>
      <c r="R34" s="9"/>
      <c r="S34" s="9"/>
      <c r="T34" s="9"/>
      <c r="U34" s="9"/>
      <c r="W34" s="123"/>
    </row>
    <row r="35" spans="1:23" x14ac:dyDescent="0.25">
      <c r="A35" s="197"/>
      <c r="B35" s="37" t="s">
        <v>178</v>
      </c>
      <c r="C35" s="9">
        <v>1077</v>
      </c>
      <c r="D35" s="9">
        <v>113</v>
      </c>
      <c r="E35" s="9">
        <v>1195</v>
      </c>
      <c r="F35" s="9">
        <v>662</v>
      </c>
      <c r="G35" s="9">
        <v>252</v>
      </c>
      <c r="H35" s="9">
        <v>74</v>
      </c>
      <c r="I35" s="9">
        <v>43</v>
      </c>
      <c r="J35" s="9">
        <v>526</v>
      </c>
      <c r="K35" s="9">
        <v>3942</v>
      </c>
      <c r="L35" s="9"/>
      <c r="M35" s="9"/>
      <c r="N35" s="9"/>
      <c r="O35" s="9"/>
      <c r="P35" s="9"/>
      <c r="Q35" s="9"/>
      <c r="R35" s="9"/>
      <c r="S35" s="9"/>
      <c r="T35" s="9"/>
      <c r="U35" s="9"/>
    </row>
    <row r="36" spans="1:23" x14ac:dyDescent="0.25">
      <c r="A36" s="197"/>
      <c r="B36" s="37" t="s">
        <v>33</v>
      </c>
      <c r="C36" s="9">
        <v>71</v>
      </c>
      <c r="D36" s="9">
        <v>81</v>
      </c>
      <c r="E36" s="9">
        <v>253</v>
      </c>
      <c r="F36" s="9">
        <v>58</v>
      </c>
      <c r="G36" s="9">
        <v>28</v>
      </c>
      <c r="H36" s="9" t="s">
        <v>153</v>
      </c>
      <c r="I36" s="9" t="s">
        <v>153</v>
      </c>
      <c r="J36" s="9">
        <v>324</v>
      </c>
      <c r="K36" s="9">
        <v>836</v>
      </c>
      <c r="L36" s="9"/>
      <c r="M36" s="9"/>
      <c r="N36" s="9"/>
      <c r="O36" s="9"/>
      <c r="P36" s="9"/>
      <c r="Q36" s="9"/>
      <c r="R36" s="9"/>
      <c r="S36" s="9"/>
      <c r="T36" s="9"/>
      <c r="U36" s="9"/>
    </row>
    <row r="37" spans="1:23" x14ac:dyDescent="0.25">
      <c r="A37" s="197"/>
      <c r="B37" s="29" t="s">
        <v>12</v>
      </c>
      <c r="C37" s="102">
        <v>1239</v>
      </c>
      <c r="D37" s="102">
        <v>198</v>
      </c>
      <c r="E37" s="102">
        <v>1604</v>
      </c>
      <c r="F37" s="102">
        <v>867</v>
      </c>
      <c r="G37" s="102">
        <v>319</v>
      </c>
      <c r="H37" s="102">
        <v>95</v>
      </c>
      <c r="I37" s="102">
        <v>54</v>
      </c>
      <c r="J37" s="102">
        <v>934</v>
      </c>
      <c r="K37" s="102">
        <v>5310</v>
      </c>
      <c r="L37" s="102"/>
      <c r="M37" s="9"/>
      <c r="N37" s="9"/>
      <c r="O37" s="9"/>
      <c r="P37" s="9"/>
      <c r="Q37" s="9"/>
      <c r="R37" s="9"/>
      <c r="S37" s="9"/>
      <c r="T37" s="9"/>
      <c r="U37" s="9"/>
    </row>
    <row r="38" spans="1:23" x14ac:dyDescent="0.25">
      <c r="A38" s="197" t="s">
        <v>421</v>
      </c>
      <c r="B38" s="37" t="s">
        <v>177</v>
      </c>
      <c r="C38" s="9">
        <v>61</v>
      </c>
      <c r="D38" s="9">
        <v>8</v>
      </c>
      <c r="E38" s="9">
        <v>58</v>
      </c>
      <c r="F38" s="9">
        <v>38</v>
      </c>
      <c r="G38" s="9">
        <v>17</v>
      </c>
      <c r="H38" s="9" t="s">
        <v>153</v>
      </c>
      <c r="I38" s="9" t="s">
        <v>153</v>
      </c>
      <c r="J38" s="9">
        <v>1</v>
      </c>
      <c r="K38" s="9">
        <v>193</v>
      </c>
      <c r="L38" s="9"/>
      <c r="M38" s="9"/>
      <c r="N38" s="9"/>
      <c r="O38" s="9"/>
      <c r="P38" s="9"/>
      <c r="Q38" s="9"/>
      <c r="R38" s="9"/>
      <c r="S38" s="9"/>
      <c r="T38" s="9"/>
      <c r="U38" s="9"/>
    </row>
    <row r="39" spans="1:23" x14ac:dyDescent="0.25">
      <c r="A39" s="197"/>
      <c r="B39" s="37" t="s">
        <v>178</v>
      </c>
      <c r="C39" s="9">
        <v>967</v>
      </c>
      <c r="D39" s="9">
        <v>506</v>
      </c>
      <c r="E39" s="9">
        <v>638</v>
      </c>
      <c r="F39" s="9">
        <v>495</v>
      </c>
      <c r="G39" s="9">
        <v>224</v>
      </c>
      <c r="H39" s="9">
        <v>125</v>
      </c>
      <c r="I39" s="9">
        <v>100</v>
      </c>
      <c r="J39" s="9">
        <v>25</v>
      </c>
      <c r="K39" s="9">
        <v>3080</v>
      </c>
      <c r="L39" s="9"/>
      <c r="M39" s="9"/>
      <c r="N39" s="9"/>
      <c r="O39" s="9"/>
      <c r="P39" s="9"/>
      <c r="Q39" s="9"/>
      <c r="R39" s="9"/>
      <c r="S39" s="9"/>
      <c r="T39" s="9"/>
      <c r="U39" s="9"/>
    </row>
    <row r="40" spans="1:23" x14ac:dyDescent="0.25">
      <c r="A40" s="197"/>
      <c r="B40" s="37" t="s">
        <v>33</v>
      </c>
      <c r="C40" s="9">
        <v>73</v>
      </c>
      <c r="D40" s="9">
        <v>338</v>
      </c>
      <c r="E40" s="9">
        <v>248</v>
      </c>
      <c r="F40" s="9">
        <v>41</v>
      </c>
      <c r="G40" s="9">
        <v>40</v>
      </c>
      <c r="H40" s="9" t="s">
        <v>153</v>
      </c>
      <c r="I40" s="9" t="s">
        <v>153</v>
      </c>
      <c r="J40" s="9">
        <v>19</v>
      </c>
      <c r="K40" s="9">
        <v>811</v>
      </c>
      <c r="L40" s="9"/>
      <c r="M40" s="9"/>
      <c r="N40" s="9"/>
      <c r="O40" s="9"/>
      <c r="P40" s="9"/>
      <c r="Q40" s="9"/>
      <c r="R40" s="9"/>
      <c r="S40" s="9"/>
      <c r="T40" s="9"/>
      <c r="U40" s="9"/>
    </row>
    <row r="41" spans="1:23" x14ac:dyDescent="0.25">
      <c r="A41" s="197"/>
      <c r="B41" s="29" t="s">
        <v>12</v>
      </c>
      <c r="C41" s="102">
        <v>1101</v>
      </c>
      <c r="D41" s="102">
        <v>852</v>
      </c>
      <c r="E41" s="102">
        <v>944</v>
      </c>
      <c r="F41" s="102">
        <v>574</v>
      </c>
      <c r="G41" s="102">
        <v>281</v>
      </c>
      <c r="H41" s="102">
        <v>165</v>
      </c>
      <c r="I41" s="102">
        <v>122</v>
      </c>
      <c r="J41" s="102">
        <v>45</v>
      </c>
      <c r="K41" s="9">
        <v>4084</v>
      </c>
      <c r="L41" s="102"/>
      <c r="M41" s="9"/>
      <c r="N41" s="9"/>
      <c r="O41" s="9"/>
      <c r="P41" s="9"/>
      <c r="Q41" s="9"/>
      <c r="R41" s="9"/>
      <c r="S41" s="9"/>
      <c r="T41" s="9"/>
      <c r="U41" s="9"/>
    </row>
    <row r="42" spans="1:23" x14ac:dyDescent="0.25">
      <c r="A42" s="197" t="s">
        <v>21</v>
      </c>
      <c r="B42" s="37" t="s">
        <v>177</v>
      </c>
      <c r="C42" s="9">
        <v>8</v>
      </c>
      <c r="D42" s="9" t="s">
        <v>146</v>
      </c>
      <c r="E42" s="9" t="s">
        <v>146</v>
      </c>
      <c r="F42" s="9" t="s">
        <v>146</v>
      </c>
      <c r="G42" s="9" t="s">
        <v>146</v>
      </c>
      <c r="H42" s="9">
        <v>1</v>
      </c>
      <c r="I42" s="9" t="s">
        <v>146</v>
      </c>
      <c r="J42" s="9">
        <v>3</v>
      </c>
      <c r="K42" s="9">
        <v>12</v>
      </c>
      <c r="L42" s="9"/>
      <c r="M42" s="9"/>
      <c r="N42" s="9"/>
      <c r="O42" s="9"/>
      <c r="P42" s="9"/>
      <c r="Q42" s="9"/>
      <c r="R42" s="9"/>
      <c r="S42" s="9"/>
      <c r="T42" s="9"/>
      <c r="U42" s="9"/>
    </row>
    <row r="43" spans="1:23" x14ac:dyDescent="0.25">
      <c r="A43" s="197"/>
      <c r="B43" s="37" t="s">
        <v>178</v>
      </c>
      <c r="C43" s="9">
        <v>105</v>
      </c>
      <c r="D43" s="9">
        <v>4</v>
      </c>
      <c r="E43" s="9">
        <v>14</v>
      </c>
      <c r="F43" s="9" t="s">
        <v>146</v>
      </c>
      <c r="G43" s="9">
        <v>9</v>
      </c>
      <c r="H43" s="9">
        <v>4</v>
      </c>
      <c r="I43" s="9" t="s">
        <v>146</v>
      </c>
      <c r="J43" s="9">
        <v>14</v>
      </c>
      <c r="K43" s="9">
        <v>150</v>
      </c>
      <c r="L43" s="9"/>
      <c r="M43" s="9"/>
      <c r="N43" s="9"/>
      <c r="O43" s="9"/>
      <c r="P43" s="9"/>
      <c r="Q43" s="9"/>
      <c r="R43" s="9"/>
      <c r="S43" s="9"/>
      <c r="T43" s="9"/>
      <c r="U43" s="9"/>
    </row>
    <row r="44" spans="1:23" x14ac:dyDescent="0.25">
      <c r="A44" s="197"/>
      <c r="B44" s="37" t="s">
        <v>33</v>
      </c>
      <c r="C44" s="9">
        <v>3</v>
      </c>
      <c r="D44" s="9" t="s">
        <v>146</v>
      </c>
      <c r="E44" s="9">
        <v>1</v>
      </c>
      <c r="F44" s="9" t="s">
        <v>146</v>
      </c>
      <c r="G44" s="9" t="s">
        <v>146</v>
      </c>
      <c r="H44" s="9">
        <v>1</v>
      </c>
      <c r="I44" s="9" t="s">
        <v>146</v>
      </c>
      <c r="J44" s="9">
        <v>18</v>
      </c>
      <c r="K44" s="9">
        <v>23</v>
      </c>
      <c r="L44" s="9"/>
      <c r="M44" s="9"/>
      <c r="N44" s="9"/>
      <c r="O44" s="9"/>
      <c r="P44" s="9"/>
      <c r="Q44" s="9"/>
      <c r="R44" s="9"/>
      <c r="S44" s="9"/>
      <c r="T44" s="9"/>
      <c r="U44" s="9"/>
    </row>
    <row r="45" spans="1:23" x14ac:dyDescent="0.25">
      <c r="A45" s="197"/>
      <c r="B45" s="29" t="s">
        <v>12</v>
      </c>
      <c r="C45" s="102">
        <v>116</v>
      </c>
      <c r="D45" s="102">
        <v>4</v>
      </c>
      <c r="E45" s="102">
        <v>15</v>
      </c>
      <c r="F45" s="9" t="s">
        <v>146</v>
      </c>
      <c r="G45" s="102">
        <v>9</v>
      </c>
      <c r="H45" s="102">
        <v>6</v>
      </c>
      <c r="I45" s="102" t="s">
        <v>146</v>
      </c>
      <c r="J45" s="102">
        <v>35</v>
      </c>
      <c r="K45" s="102">
        <v>185</v>
      </c>
      <c r="L45" s="102"/>
      <c r="M45" s="9"/>
      <c r="N45" s="9"/>
      <c r="O45" s="9"/>
      <c r="P45" s="9"/>
      <c r="Q45" s="9"/>
      <c r="R45" s="9"/>
      <c r="S45" s="9"/>
      <c r="T45" s="9"/>
      <c r="U45" s="9"/>
    </row>
    <row r="46" spans="1:23" x14ac:dyDescent="0.25">
      <c r="A46" s="197" t="s">
        <v>12</v>
      </c>
      <c r="B46" s="37" t="s">
        <v>177</v>
      </c>
      <c r="C46" s="9">
        <v>160</v>
      </c>
      <c r="D46" s="9">
        <v>12</v>
      </c>
      <c r="E46" s="9">
        <v>214</v>
      </c>
      <c r="F46" s="9">
        <v>184</v>
      </c>
      <c r="G46" s="9">
        <v>56</v>
      </c>
      <c r="H46" s="9">
        <v>13</v>
      </c>
      <c r="I46" s="9">
        <v>9</v>
      </c>
      <c r="J46" s="9">
        <v>88</v>
      </c>
      <c r="K46" s="9">
        <v>736</v>
      </c>
      <c r="L46" s="9"/>
      <c r="M46" s="9"/>
      <c r="N46" s="9"/>
      <c r="O46" s="9"/>
      <c r="P46" s="9"/>
      <c r="Q46" s="9"/>
      <c r="R46" s="9"/>
      <c r="S46" s="9"/>
      <c r="T46" s="9"/>
      <c r="U46" s="9"/>
    </row>
    <row r="47" spans="1:23" x14ac:dyDescent="0.25">
      <c r="A47" s="197"/>
      <c r="B47" s="37" t="s">
        <v>178</v>
      </c>
      <c r="C47" s="9">
        <v>2149</v>
      </c>
      <c r="D47" s="9">
        <v>623</v>
      </c>
      <c r="E47" s="9">
        <v>1847</v>
      </c>
      <c r="F47" s="9">
        <v>1157</v>
      </c>
      <c r="G47" s="9">
        <v>485</v>
      </c>
      <c r="H47" s="9">
        <v>203</v>
      </c>
      <c r="I47" s="9">
        <v>143</v>
      </c>
      <c r="J47" s="9">
        <v>565</v>
      </c>
      <c r="K47" s="9">
        <v>7172</v>
      </c>
      <c r="L47" s="9"/>
      <c r="M47" s="9"/>
      <c r="N47" s="9"/>
      <c r="O47" s="9"/>
      <c r="P47" s="9"/>
      <c r="Q47" s="9"/>
      <c r="R47" s="9"/>
      <c r="S47" s="9"/>
      <c r="T47" s="9"/>
      <c r="U47" s="9"/>
    </row>
    <row r="48" spans="1:23" x14ac:dyDescent="0.25">
      <c r="A48" s="197"/>
      <c r="B48" s="37" t="s">
        <v>33</v>
      </c>
      <c r="C48" s="9">
        <v>147</v>
      </c>
      <c r="D48" s="9">
        <v>419</v>
      </c>
      <c r="E48" s="9">
        <v>502</v>
      </c>
      <c r="F48" s="9">
        <v>99</v>
      </c>
      <c r="G48" s="9">
        <v>68</v>
      </c>
      <c r="H48" s="9">
        <v>50</v>
      </c>
      <c r="I48" s="9">
        <v>24</v>
      </c>
      <c r="J48" s="9">
        <v>361</v>
      </c>
      <c r="K48" s="9">
        <v>1670</v>
      </c>
      <c r="L48" s="9"/>
      <c r="M48" s="9"/>
      <c r="N48" s="9"/>
      <c r="O48" s="9"/>
      <c r="P48" s="9"/>
      <c r="Q48" s="9"/>
      <c r="R48" s="9"/>
      <c r="S48" s="9"/>
      <c r="T48" s="9"/>
      <c r="U48" s="9"/>
    </row>
    <row r="49" spans="1:35" x14ac:dyDescent="0.25">
      <c r="A49" s="197"/>
      <c r="B49" s="29" t="s">
        <v>12</v>
      </c>
      <c r="C49" s="102">
        <v>2456</v>
      </c>
      <c r="D49" s="102">
        <v>1054</v>
      </c>
      <c r="E49" s="102">
        <v>2563</v>
      </c>
      <c r="F49" s="102">
        <v>1441</v>
      </c>
      <c r="G49" s="102">
        <v>609</v>
      </c>
      <c r="H49" s="102">
        <v>266</v>
      </c>
      <c r="I49" s="102">
        <v>176</v>
      </c>
      <c r="J49" s="102">
        <v>1014</v>
      </c>
      <c r="K49" s="102">
        <v>9579</v>
      </c>
      <c r="M49" s="9"/>
      <c r="N49" s="9"/>
      <c r="O49" s="9"/>
      <c r="P49" s="9"/>
      <c r="Q49" s="9"/>
      <c r="R49" s="9"/>
      <c r="S49" s="9"/>
      <c r="T49" s="9"/>
      <c r="U49" s="9"/>
    </row>
    <row r="50" spans="1:35" ht="2.25" customHeight="1" x14ac:dyDescent="0.25">
      <c r="A50" s="43"/>
      <c r="B50" s="43"/>
      <c r="C50" s="43" t="s">
        <v>146</v>
      </c>
      <c r="D50" s="43" t="s">
        <v>146</v>
      </c>
      <c r="E50" s="43" t="s">
        <v>146</v>
      </c>
      <c r="F50" s="43" t="s">
        <v>146</v>
      </c>
      <c r="G50" s="43" t="s">
        <v>146</v>
      </c>
      <c r="H50" s="43" t="s">
        <v>146</v>
      </c>
      <c r="I50" s="43" t="s">
        <v>146</v>
      </c>
      <c r="J50" s="43" t="s">
        <v>146</v>
      </c>
      <c r="K50" s="43" t="s">
        <v>146</v>
      </c>
      <c r="M50" s="9"/>
      <c r="N50" s="9"/>
      <c r="O50" s="9"/>
      <c r="P50" s="9"/>
      <c r="Q50" s="9"/>
      <c r="R50" s="9"/>
      <c r="S50" s="9"/>
      <c r="T50" s="9"/>
      <c r="U50" s="9"/>
    </row>
    <row r="51" spans="1:35" ht="11.1" customHeight="1" x14ac:dyDescent="0.25">
      <c r="A51" s="7" t="s">
        <v>252</v>
      </c>
      <c r="B51" s="7"/>
      <c r="C51" s="7"/>
      <c r="D51" s="7"/>
      <c r="E51" s="7"/>
      <c r="F51" s="7"/>
      <c r="G51" s="7"/>
      <c r="H51" s="7"/>
      <c r="I51" s="7"/>
      <c r="J51" s="7"/>
      <c r="K51" s="7"/>
      <c r="L51" s="7"/>
      <c r="M51" s="9"/>
      <c r="N51" s="9"/>
      <c r="O51" s="9"/>
      <c r="P51" s="9"/>
      <c r="Q51" s="9"/>
      <c r="R51" s="9"/>
      <c r="S51" s="9"/>
      <c r="T51" s="9"/>
      <c r="U51" s="9"/>
    </row>
    <row r="52" spans="1:35" s="7" customFormat="1" ht="9.75" customHeight="1" x14ac:dyDescent="0.2">
      <c r="A52" s="7" t="s">
        <v>23</v>
      </c>
      <c r="M52" s="9"/>
      <c r="N52" s="9"/>
      <c r="O52" s="9"/>
      <c r="P52" s="9"/>
      <c r="Q52" s="9"/>
      <c r="R52" s="9"/>
      <c r="S52" s="9"/>
      <c r="T52" s="9"/>
      <c r="U52" s="9"/>
    </row>
    <row r="53" spans="1:35" s="7" customFormat="1" ht="9.75" customHeight="1" x14ac:dyDescent="0.2">
      <c r="A53" s="7" t="s">
        <v>189</v>
      </c>
      <c r="M53" s="9"/>
      <c r="N53" s="9"/>
      <c r="O53" s="9"/>
      <c r="P53" s="9"/>
      <c r="Q53" s="9"/>
      <c r="R53" s="9"/>
      <c r="S53" s="9"/>
      <c r="T53" s="9"/>
      <c r="U53" s="9"/>
    </row>
    <row r="54" spans="1:35" s="7" customFormat="1" ht="11.1" customHeight="1" x14ac:dyDescent="0.15">
      <c r="A54" s="7" t="s">
        <v>29</v>
      </c>
    </row>
    <row r="55" spans="1:35" ht="11.1" customHeight="1" x14ac:dyDescent="0.25">
      <c r="A55" s="7"/>
      <c r="B55" s="7"/>
      <c r="C55" s="7"/>
      <c r="D55" s="7"/>
      <c r="E55" s="7"/>
      <c r="F55" s="7"/>
      <c r="G55" s="7"/>
      <c r="H55" s="7"/>
      <c r="I55" s="7"/>
      <c r="J55" s="7"/>
      <c r="K55" s="7"/>
      <c r="L55" s="7"/>
      <c r="M55" s="7"/>
      <c r="N55" s="7"/>
    </row>
    <row r="56" spans="1:35" s="7" customFormat="1" ht="11.1" customHeight="1" x14ac:dyDescent="0.15">
      <c r="A56" s="7" t="s">
        <v>347</v>
      </c>
    </row>
    <row r="57" spans="1:35" ht="12" customHeight="1" x14ac:dyDescent="0.25">
      <c r="A57" s="2"/>
    </row>
    <row r="58" spans="1:35" ht="27.95" customHeight="1" x14ac:dyDescent="0.25">
      <c r="A58" s="93" t="s">
        <v>356</v>
      </c>
      <c r="B58" s="93"/>
      <c r="C58" s="93"/>
      <c r="D58" s="93"/>
      <c r="E58" s="93"/>
      <c r="F58" s="93"/>
      <c r="G58" s="93"/>
      <c r="H58" s="93"/>
      <c r="I58" s="93"/>
      <c r="J58" s="93"/>
      <c r="K58" s="93"/>
      <c r="L58" s="93"/>
      <c r="M58" s="93"/>
      <c r="N58" s="93"/>
    </row>
    <row r="59" spans="1:35" ht="3" customHeight="1" x14ac:dyDescent="0.25">
      <c r="A59" s="2"/>
    </row>
    <row r="60" spans="1:35" x14ac:dyDescent="0.25">
      <c r="A60" s="35" t="s">
        <v>158</v>
      </c>
      <c r="B60" s="35" t="s">
        <v>162</v>
      </c>
      <c r="C60" s="3" t="s">
        <v>1</v>
      </c>
      <c r="D60" s="3" t="s">
        <v>2</v>
      </c>
      <c r="E60" s="3" t="s">
        <v>3</v>
      </c>
      <c r="F60" s="3" t="s">
        <v>4</v>
      </c>
      <c r="G60" s="3" t="s">
        <v>5</v>
      </c>
      <c r="H60" s="3" t="s">
        <v>6</v>
      </c>
      <c r="I60" s="3" t="s">
        <v>7</v>
      </c>
      <c r="J60" s="3" t="s">
        <v>8</v>
      </c>
      <c r="K60" s="3" t="s">
        <v>9</v>
      </c>
    </row>
    <row r="61" spans="1:35" x14ac:dyDescent="0.25">
      <c r="A61" s="197" t="s">
        <v>19</v>
      </c>
      <c r="B61" s="37" t="s">
        <v>177</v>
      </c>
      <c r="C61" s="5">
        <v>2.4670000000000001</v>
      </c>
      <c r="D61" s="5">
        <v>0.56499999999999995</v>
      </c>
      <c r="E61" s="5">
        <v>26.722999999999999</v>
      </c>
      <c r="F61" s="5">
        <v>18.561</v>
      </c>
      <c r="G61" s="5">
        <v>15.727</v>
      </c>
      <c r="H61" s="5">
        <v>6.7670000000000003</v>
      </c>
      <c r="I61" s="5">
        <v>59.527999999999999</v>
      </c>
      <c r="J61" s="5" t="s">
        <v>151</v>
      </c>
      <c r="K61" s="5">
        <v>13.018000000000001</v>
      </c>
      <c r="N61" s="5"/>
      <c r="O61" s="5"/>
      <c r="P61" s="5"/>
      <c r="Q61" s="5"/>
      <c r="R61" s="5"/>
      <c r="S61" s="5"/>
      <c r="T61" s="5"/>
      <c r="U61" s="5"/>
      <c r="V61" s="5"/>
      <c r="W61" s="140"/>
      <c r="X61" s="140"/>
      <c r="Y61" s="140"/>
      <c r="Z61" s="140"/>
      <c r="AA61" s="140"/>
      <c r="AB61" s="140"/>
      <c r="AC61" s="140"/>
      <c r="AD61" s="140"/>
      <c r="AE61" s="140"/>
      <c r="AF61" s="140"/>
      <c r="AG61" s="140"/>
      <c r="AH61" s="140"/>
      <c r="AI61" s="140"/>
    </row>
    <row r="62" spans="1:35" x14ac:dyDescent="0.25">
      <c r="A62" s="197"/>
      <c r="B62" s="37" t="s">
        <v>178</v>
      </c>
      <c r="C62" s="5">
        <v>162.072</v>
      </c>
      <c r="D62" s="5">
        <v>74.936000000000007</v>
      </c>
      <c r="E62" s="5">
        <v>278.54899999999998</v>
      </c>
      <c r="F62" s="5">
        <v>229.429</v>
      </c>
      <c r="G62" s="5">
        <v>222.345</v>
      </c>
      <c r="H62" s="5">
        <v>127.461</v>
      </c>
      <c r="I62" s="5">
        <v>259.666</v>
      </c>
      <c r="J62" s="5" t="s">
        <v>151</v>
      </c>
      <c r="K62" s="5">
        <v>202.53899999999999</v>
      </c>
      <c r="N62" s="5"/>
      <c r="O62" s="5"/>
      <c r="P62" s="5"/>
      <c r="Q62" s="5"/>
      <c r="R62" s="5"/>
      <c r="S62" s="5"/>
      <c r="T62" s="5"/>
      <c r="U62" s="5"/>
      <c r="V62" s="5"/>
      <c r="W62" s="140"/>
      <c r="X62" s="140"/>
      <c r="Y62" s="140"/>
      <c r="Z62" s="140"/>
      <c r="AA62" s="140"/>
      <c r="AB62" s="140"/>
      <c r="AC62" s="140"/>
      <c r="AD62" s="140"/>
      <c r="AE62" s="140"/>
      <c r="AF62" s="140"/>
      <c r="AG62" s="140"/>
      <c r="AH62" s="140"/>
      <c r="AI62" s="140"/>
    </row>
    <row r="63" spans="1:35" x14ac:dyDescent="0.25">
      <c r="A63" s="197"/>
      <c r="B63" s="29" t="s">
        <v>179</v>
      </c>
      <c r="C63" s="101">
        <v>82.316000000000003</v>
      </c>
      <c r="D63" s="101">
        <v>38.006</v>
      </c>
      <c r="E63" s="101">
        <v>154.58699999999999</v>
      </c>
      <c r="F63" s="101">
        <v>124.672</v>
      </c>
      <c r="G63" s="101">
        <v>121.593</v>
      </c>
      <c r="H63" s="101">
        <v>70.117000000000004</v>
      </c>
      <c r="I63" s="101">
        <v>193.56299999999999</v>
      </c>
      <c r="J63" s="101" t="s">
        <v>151</v>
      </c>
      <c r="K63" s="101">
        <v>108.911</v>
      </c>
      <c r="N63" s="101"/>
      <c r="O63" s="101"/>
      <c r="P63" s="101"/>
      <c r="Q63" s="101"/>
      <c r="R63" s="101"/>
      <c r="S63" s="101"/>
      <c r="T63" s="101"/>
      <c r="U63" s="101"/>
      <c r="V63" s="101"/>
      <c r="W63" s="140"/>
      <c r="X63" s="140"/>
      <c r="Y63" s="140"/>
      <c r="Z63" s="140"/>
      <c r="AA63" s="140"/>
      <c r="AB63" s="140"/>
      <c r="AC63" s="140"/>
      <c r="AD63" s="140"/>
      <c r="AE63" s="140"/>
      <c r="AF63" s="140"/>
      <c r="AG63" s="140"/>
      <c r="AH63" s="140"/>
      <c r="AI63" s="140"/>
    </row>
    <row r="64" spans="1:35" x14ac:dyDescent="0.25">
      <c r="A64" s="197" t="s">
        <v>421</v>
      </c>
      <c r="B64" s="37" t="s">
        <v>177</v>
      </c>
      <c r="C64" s="5">
        <v>0.11600000000000001</v>
      </c>
      <c r="D64" s="5" t="s">
        <v>146</v>
      </c>
      <c r="E64" s="5">
        <v>0.72399999999999998</v>
      </c>
      <c r="F64" s="5">
        <v>0.53900000000000003</v>
      </c>
      <c r="G64" s="5">
        <v>0.19400000000000001</v>
      </c>
      <c r="H64" s="5">
        <v>0.69499999999999995</v>
      </c>
      <c r="I64" s="5">
        <v>0.27100000000000002</v>
      </c>
      <c r="J64" s="5" t="s">
        <v>151</v>
      </c>
      <c r="K64" s="5">
        <v>0.28799999999999998</v>
      </c>
      <c r="N64" s="5"/>
      <c r="O64" s="5"/>
      <c r="P64" s="5"/>
      <c r="Q64" s="5"/>
      <c r="R64" s="5"/>
      <c r="S64" s="5"/>
      <c r="T64" s="5"/>
      <c r="U64" s="5"/>
      <c r="V64" s="5"/>
      <c r="W64" s="140"/>
      <c r="X64" s="140"/>
      <c r="Y64" s="140"/>
      <c r="Z64" s="140"/>
      <c r="AA64" s="140"/>
      <c r="AB64" s="140"/>
      <c r="AC64" s="140"/>
      <c r="AD64" s="140"/>
      <c r="AE64" s="140"/>
      <c r="AF64" s="140"/>
      <c r="AG64" s="140"/>
      <c r="AH64" s="140"/>
      <c r="AI64" s="140"/>
    </row>
    <row r="65" spans="1:35" x14ac:dyDescent="0.25">
      <c r="A65" s="197"/>
      <c r="B65" s="37" t="s">
        <v>178</v>
      </c>
      <c r="C65" s="5">
        <v>9.8019999999999996</v>
      </c>
      <c r="D65" s="5">
        <v>7.5609999999999999</v>
      </c>
      <c r="E65" s="5">
        <v>12.266</v>
      </c>
      <c r="F65" s="5">
        <v>12.292999999999999</v>
      </c>
      <c r="G65" s="5">
        <v>9.9610000000000003</v>
      </c>
      <c r="H65" s="5">
        <v>26.646999999999998</v>
      </c>
      <c r="I65" s="5">
        <v>19.510000000000002</v>
      </c>
      <c r="J65" s="5" t="s">
        <v>151</v>
      </c>
      <c r="K65" s="5">
        <v>10.538</v>
      </c>
      <c r="N65" s="5"/>
      <c r="O65" s="5"/>
      <c r="P65" s="5"/>
      <c r="Q65" s="5"/>
      <c r="R65" s="5"/>
      <c r="S65" s="5"/>
      <c r="T65" s="5"/>
      <c r="U65" s="5"/>
      <c r="V65" s="5"/>
      <c r="W65" s="140"/>
      <c r="X65" s="140"/>
      <c r="Y65" s="140"/>
      <c r="Z65" s="140"/>
      <c r="AA65" s="140"/>
      <c r="AB65" s="140"/>
      <c r="AC65" s="140"/>
      <c r="AD65" s="140"/>
      <c r="AE65" s="140"/>
      <c r="AF65" s="140"/>
      <c r="AG65" s="140"/>
      <c r="AH65" s="140"/>
      <c r="AI65" s="140"/>
    </row>
    <row r="66" spans="1:35" x14ac:dyDescent="0.25">
      <c r="A66" s="197"/>
      <c r="B66" s="29" t="s">
        <v>179</v>
      </c>
      <c r="C66" s="101">
        <v>4.9589999999999996</v>
      </c>
      <c r="D66" s="101">
        <v>3.7679999999999998</v>
      </c>
      <c r="E66" s="101">
        <v>6.5679999999999996</v>
      </c>
      <c r="F66" s="101">
        <v>6.38</v>
      </c>
      <c r="G66" s="101">
        <v>5.1130000000000004</v>
      </c>
      <c r="H66" s="101">
        <v>13.996</v>
      </c>
      <c r="I66" s="101">
        <v>12.977</v>
      </c>
      <c r="J66" s="101" t="s">
        <v>151</v>
      </c>
      <c r="K66" s="101">
        <v>5.44</v>
      </c>
      <c r="N66" s="101"/>
      <c r="O66" s="101"/>
      <c r="P66" s="101"/>
      <c r="Q66" s="101"/>
      <c r="R66" s="101"/>
      <c r="S66" s="101"/>
      <c r="T66" s="101"/>
      <c r="U66" s="101"/>
      <c r="V66" s="101"/>
      <c r="W66" s="140"/>
      <c r="X66" s="140"/>
      <c r="Y66" s="140"/>
      <c r="Z66" s="140"/>
      <c r="AA66" s="140"/>
      <c r="AB66" s="140"/>
      <c r="AC66" s="140"/>
      <c r="AD66" s="140"/>
      <c r="AE66" s="140"/>
      <c r="AF66" s="140"/>
      <c r="AG66" s="140"/>
      <c r="AH66" s="140"/>
      <c r="AI66" s="140"/>
    </row>
    <row r="67" spans="1:35" x14ac:dyDescent="0.25">
      <c r="A67" s="197" t="s">
        <v>12</v>
      </c>
      <c r="B67" s="37" t="s">
        <v>177</v>
      </c>
      <c r="C67" s="5">
        <v>0.29599999999999999</v>
      </c>
      <c r="D67" s="5" t="s">
        <v>146</v>
      </c>
      <c r="E67" s="5">
        <v>3.0030000000000001</v>
      </c>
      <c r="F67" s="5">
        <v>1.772</v>
      </c>
      <c r="G67" s="5">
        <v>1.014</v>
      </c>
      <c r="H67" s="5">
        <v>1.4079999999999999</v>
      </c>
      <c r="I67" s="5">
        <v>2.1360000000000001</v>
      </c>
      <c r="J67" s="5" t="s">
        <v>151</v>
      </c>
      <c r="K67" s="5">
        <v>1.077</v>
      </c>
      <c r="N67" s="5"/>
      <c r="O67" s="5"/>
      <c r="P67" s="5"/>
      <c r="Q67" s="5"/>
      <c r="R67" s="5"/>
      <c r="S67" s="5"/>
      <c r="T67" s="5"/>
      <c r="U67" s="5"/>
      <c r="V67" s="5"/>
      <c r="W67" s="140"/>
      <c r="X67" s="140"/>
      <c r="Y67" s="140"/>
      <c r="Z67" s="140"/>
      <c r="AA67" s="140"/>
      <c r="AB67" s="140"/>
      <c r="AC67" s="140"/>
      <c r="AD67" s="140"/>
      <c r="AE67" s="140"/>
      <c r="AF67" s="140"/>
      <c r="AG67" s="140"/>
      <c r="AH67" s="140"/>
      <c r="AI67" s="140"/>
    </row>
    <row r="68" spans="1:35" x14ac:dyDescent="0.25">
      <c r="A68" s="197"/>
      <c r="B68" s="37" t="s">
        <v>178</v>
      </c>
      <c r="C68" s="5">
        <v>21.782</v>
      </c>
      <c r="D68" s="5">
        <v>9.0079999999999991</v>
      </c>
      <c r="E68" s="5">
        <v>35.866</v>
      </c>
      <c r="F68" s="5">
        <v>27.506</v>
      </c>
      <c r="G68" s="5">
        <v>21.844999999999999</v>
      </c>
      <c r="H68" s="5">
        <v>38.357999999999997</v>
      </c>
      <c r="I68" s="5">
        <v>27.381</v>
      </c>
      <c r="J68" s="5" t="s">
        <v>151</v>
      </c>
      <c r="K68" s="5">
        <v>22.803999999999998</v>
      </c>
      <c r="N68" s="5"/>
      <c r="O68" s="5"/>
      <c r="P68" s="5"/>
      <c r="Q68" s="5"/>
      <c r="R68" s="5"/>
      <c r="S68" s="5"/>
      <c r="T68" s="5"/>
      <c r="U68" s="5"/>
      <c r="V68" s="5"/>
      <c r="W68" s="140"/>
      <c r="X68" s="140"/>
      <c r="Y68" s="140"/>
      <c r="Z68" s="140"/>
      <c r="AA68" s="140"/>
      <c r="AB68" s="140"/>
      <c r="AC68" s="140"/>
      <c r="AD68" s="140"/>
      <c r="AE68" s="140"/>
      <c r="AF68" s="140"/>
      <c r="AG68" s="140"/>
      <c r="AH68" s="140"/>
      <c r="AI68" s="140"/>
    </row>
    <row r="69" spans="1:35" x14ac:dyDescent="0.25">
      <c r="A69" s="197"/>
      <c r="B69" s="29" t="s">
        <v>179</v>
      </c>
      <c r="C69" s="101">
        <v>11.041</v>
      </c>
      <c r="D69" s="101">
        <v>4.4930000000000003</v>
      </c>
      <c r="E69" s="101">
        <v>19.643999999999998</v>
      </c>
      <c r="F69" s="101">
        <v>14.571999999999999</v>
      </c>
      <c r="G69" s="101">
        <v>11.513999999999999</v>
      </c>
      <c r="H69" s="101">
        <v>20.398</v>
      </c>
      <c r="I69" s="101">
        <v>18.815999999999999</v>
      </c>
      <c r="J69" s="101" t="s">
        <v>151</v>
      </c>
      <c r="K69" s="101">
        <v>12.002000000000001</v>
      </c>
      <c r="N69" s="101"/>
      <c r="O69" s="101"/>
      <c r="P69" s="101"/>
      <c r="Q69" s="101"/>
      <c r="R69" s="101"/>
      <c r="S69" s="101"/>
      <c r="T69" s="101"/>
      <c r="U69" s="101"/>
      <c r="V69" s="101"/>
      <c r="W69" s="140"/>
      <c r="X69" s="140"/>
      <c r="Y69" s="140"/>
      <c r="Z69" s="140"/>
      <c r="AA69" s="140"/>
      <c r="AB69" s="140"/>
      <c r="AC69" s="140"/>
      <c r="AD69" s="140"/>
      <c r="AE69" s="140"/>
      <c r="AF69" s="140"/>
      <c r="AG69" s="140"/>
      <c r="AH69" s="140"/>
      <c r="AI69" s="140"/>
    </row>
    <row r="70" spans="1:35" ht="6.75" customHeight="1" x14ac:dyDescent="0.25">
      <c r="A70" s="201"/>
      <c r="B70" s="41"/>
      <c r="C70" s="70"/>
      <c r="D70" s="70"/>
      <c r="E70" s="70"/>
      <c r="F70" s="70"/>
      <c r="G70" s="70"/>
      <c r="H70" s="70"/>
      <c r="I70" s="70"/>
      <c r="J70" s="70"/>
      <c r="K70" s="70"/>
    </row>
    <row r="71" spans="1:35" ht="3.75" hidden="1" customHeight="1" x14ac:dyDescent="0.25">
      <c r="A71" s="46"/>
      <c r="B71" s="43"/>
      <c r="C71" s="43"/>
      <c r="D71" s="43"/>
      <c r="E71" s="43"/>
      <c r="F71" s="43"/>
      <c r="G71" s="43"/>
      <c r="H71" s="43"/>
      <c r="I71" s="43"/>
      <c r="J71" s="43"/>
      <c r="K71" s="43"/>
      <c r="L71" s="43"/>
    </row>
    <row r="72" spans="1:35" ht="11.1" customHeight="1" x14ac:dyDescent="0.25">
      <c r="A72" s="7" t="s">
        <v>23</v>
      </c>
      <c r="B72" s="7"/>
      <c r="C72" s="7"/>
      <c r="D72" s="7"/>
      <c r="E72" s="7"/>
      <c r="F72" s="7"/>
      <c r="G72" s="7"/>
      <c r="H72" s="7"/>
      <c r="I72" s="7"/>
      <c r="J72" s="7"/>
      <c r="K72" s="7"/>
      <c r="L72" s="7"/>
      <c r="M72" s="7"/>
      <c r="N72" s="7"/>
    </row>
    <row r="73" spans="1:35" s="7" customFormat="1" ht="17.25" customHeight="1" x14ac:dyDescent="0.15">
      <c r="A73" s="7" t="s">
        <v>34</v>
      </c>
    </row>
    <row r="74" spans="1:35" s="7" customFormat="1" ht="9.75" customHeight="1" x14ac:dyDescent="0.15">
      <c r="A74" s="7" t="s">
        <v>35</v>
      </c>
    </row>
    <row r="75" spans="1:35" s="7" customFormat="1" ht="11.1" customHeight="1" x14ac:dyDescent="0.15">
      <c r="A75" s="7" t="s">
        <v>422</v>
      </c>
    </row>
    <row r="76" spans="1:35" s="7" customFormat="1" ht="11.1" customHeight="1" x14ac:dyDescent="0.15">
      <c r="A76" s="7" t="s">
        <v>424</v>
      </c>
    </row>
    <row r="77" spans="1:35" s="7" customFormat="1" ht="11.1" customHeight="1" x14ac:dyDescent="0.15"/>
    <row r="78" spans="1:35" s="7" customFormat="1" ht="11.1" customHeight="1" x14ac:dyDescent="0.15">
      <c r="A78" s="7" t="s">
        <v>239</v>
      </c>
    </row>
    <row r="79" spans="1:35" ht="12" customHeight="1" x14ac:dyDescent="0.25">
      <c r="A79" s="7"/>
    </row>
    <row r="80" spans="1:35" ht="27.95" customHeight="1" x14ac:dyDescent="0.25">
      <c r="A80" s="93" t="s">
        <v>286</v>
      </c>
      <c r="B80" s="93"/>
      <c r="C80" s="93"/>
      <c r="D80" s="93"/>
      <c r="E80" s="93"/>
      <c r="F80" s="93"/>
      <c r="G80" s="93"/>
      <c r="H80" s="93"/>
      <c r="I80" s="93"/>
      <c r="J80" s="93"/>
      <c r="K80" s="93"/>
      <c r="L80" s="93"/>
      <c r="M80" s="93"/>
    </row>
    <row r="81" spans="1:25" ht="0.75" customHeight="1" x14ac:dyDescent="0.25">
      <c r="A81" s="2"/>
    </row>
    <row r="82" spans="1:25" x14ac:dyDescent="0.25">
      <c r="A82" s="35" t="s">
        <v>158</v>
      </c>
      <c r="B82" s="35" t="s">
        <v>162</v>
      </c>
      <c r="C82" s="3" t="s">
        <v>1</v>
      </c>
      <c r="D82" s="3" t="s">
        <v>2</v>
      </c>
      <c r="E82" s="3" t="s">
        <v>3</v>
      </c>
      <c r="F82" s="3" t="s">
        <v>4</v>
      </c>
      <c r="G82" s="3" t="s">
        <v>5</v>
      </c>
      <c r="H82" s="3" t="s">
        <v>6</v>
      </c>
      <c r="I82" s="3" t="s">
        <v>7</v>
      </c>
      <c r="J82" s="3" t="s">
        <v>8</v>
      </c>
      <c r="K82" s="3" t="s">
        <v>9</v>
      </c>
    </row>
    <row r="83" spans="1:25" x14ac:dyDescent="0.25">
      <c r="A83" s="197" t="s">
        <v>19</v>
      </c>
      <c r="B83" s="37" t="s">
        <v>177</v>
      </c>
      <c r="C83" s="5">
        <v>29.363</v>
      </c>
      <c r="D83" s="9" t="s">
        <v>146</v>
      </c>
      <c r="E83" s="5">
        <v>62.018000000000001</v>
      </c>
      <c r="F83" s="5">
        <v>141.33600000000001</v>
      </c>
      <c r="G83" s="5">
        <v>83.718000000000004</v>
      </c>
      <c r="H83" s="9" t="s">
        <v>153</v>
      </c>
      <c r="I83" s="9" t="s">
        <v>153</v>
      </c>
      <c r="J83" s="5">
        <v>146.905</v>
      </c>
      <c r="K83" s="5">
        <v>61.006999999999998</v>
      </c>
      <c r="M83" s="5"/>
      <c r="N83" s="9"/>
      <c r="O83" s="5"/>
      <c r="P83" s="5"/>
      <c r="Q83" s="5"/>
      <c r="R83" s="5"/>
      <c r="S83" s="5"/>
      <c r="T83" s="5"/>
      <c r="U83" s="5"/>
      <c r="V83" s="140"/>
      <c r="W83" s="129"/>
      <c r="X83" s="129"/>
      <c r="Y83" s="139"/>
    </row>
    <row r="84" spans="1:25" x14ac:dyDescent="0.25">
      <c r="A84" s="197"/>
      <c r="B84" s="37" t="s">
        <v>178</v>
      </c>
      <c r="C84" s="5">
        <v>347.11099999999999</v>
      </c>
      <c r="D84" s="5">
        <v>160.785</v>
      </c>
      <c r="E84" s="5">
        <v>460.58100000000002</v>
      </c>
      <c r="F84" s="5">
        <v>632.67499999999995</v>
      </c>
      <c r="G84" s="5">
        <v>514.81100000000004</v>
      </c>
      <c r="H84" s="9" t="s">
        <v>153</v>
      </c>
      <c r="I84" s="9" t="s">
        <v>153</v>
      </c>
      <c r="J84" s="5">
        <v>928.18100000000004</v>
      </c>
      <c r="K84" s="5">
        <v>443.14299999999997</v>
      </c>
      <c r="M84" s="5"/>
      <c r="N84" s="5"/>
      <c r="O84" s="5"/>
      <c r="P84" s="5"/>
      <c r="Q84" s="5"/>
      <c r="R84" s="5"/>
      <c r="S84" s="5"/>
      <c r="T84" s="5"/>
      <c r="U84" s="5"/>
      <c r="V84" s="140"/>
    </row>
    <row r="85" spans="1:25" x14ac:dyDescent="0.25">
      <c r="A85" s="197"/>
      <c r="B85" s="29" t="s">
        <v>179</v>
      </c>
      <c r="C85" s="101">
        <v>188.32900000000001</v>
      </c>
      <c r="D85" s="101">
        <v>83.811000000000007</v>
      </c>
      <c r="E85" s="101">
        <v>264.38600000000002</v>
      </c>
      <c r="F85" s="101">
        <v>388.58300000000003</v>
      </c>
      <c r="G85" s="101">
        <v>304.60000000000002</v>
      </c>
      <c r="H85" s="101">
        <v>131.38399999999999</v>
      </c>
      <c r="I85" s="101">
        <v>438.55599999999998</v>
      </c>
      <c r="J85" s="101">
        <v>535.79300000000001</v>
      </c>
      <c r="K85" s="101">
        <v>254.15600000000001</v>
      </c>
      <c r="M85" s="101"/>
      <c r="N85" s="101"/>
      <c r="O85" s="101"/>
      <c r="P85" s="101"/>
      <c r="Q85" s="101"/>
      <c r="R85" s="101"/>
      <c r="S85" s="101"/>
      <c r="T85" s="101"/>
      <c r="U85" s="101"/>
      <c r="V85" s="140"/>
    </row>
    <row r="86" spans="1:25" x14ac:dyDescent="0.25">
      <c r="A86" s="197" t="s">
        <v>421</v>
      </c>
      <c r="B86" s="37" t="s">
        <v>177</v>
      </c>
      <c r="C86" s="5">
        <v>1.585</v>
      </c>
      <c r="D86" s="5">
        <v>0.24299999999999999</v>
      </c>
      <c r="E86" s="5">
        <v>2.2149999999999999</v>
      </c>
      <c r="F86" s="5">
        <v>2.7029999999999998</v>
      </c>
      <c r="G86" s="5">
        <v>2.0329999999999999</v>
      </c>
      <c r="H86" s="9" t="s">
        <v>153</v>
      </c>
      <c r="I86" s="9" t="s">
        <v>153</v>
      </c>
      <c r="J86" s="9" t="s">
        <v>146</v>
      </c>
      <c r="K86" s="5">
        <v>1.552</v>
      </c>
      <c r="M86" s="5"/>
      <c r="N86" s="5"/>
      <c r="O86" s="5"/>
      <c r="P86" s="5"/>
      <c r="Q86" s="5"/>
      <c r="R86" s="5"/>
      <c r="S86" s="5"/>
      <c r="T86" s="9"/>
      <c r="U86" s="5"/>
      <c r="V86" s="140"/>
    </row>
    <row r="87" spans="1:25" x14ac:dyDescent="0.25">
      <c r="A87" s="197"/>
      <c r="B87" s="37" t="s">
        <v>178</v>
      </c>
      <c r="C87" s="5">
        <v>25.126000000000001</v>
      </c>
      <c r="D87" s="5">
        <v>15.6</v>
      </c>
      <c r="E87" s="5">
        <v>23.762</v>
      </c>
      <c r="F87" s="5">
        <v>35.643000000000001</v>
      </c>
      <c r="G87" s="5">
        <v>26.405000000000001</v>
      </c>
      <c r="H87" s="9" t="s">
        <v>153</v>
      </c>
      <c r="I87" s="9" t="s">
        <v>153</v>
      </c>
      <c r="J87" s="5">
        <v>33.091000000000001</v>
      </c>
      <c r="K87" s="5">
        <v>24.538</v>
      </c>
      <c r="M87" s="5"/>
      <c r="N87" s="5"/>
      <c r="O87" s="5"/>
      <c r="P87" s="5"/>
      <c r="Q87" s="5"/>
      <c r="R87" s="5"/>
      <c r="S87" s="5"/>
      <c r="T87" s="5"/>
      <c r="U87" s="5"/>
      <c r="V87" s="140"/>
    </row>
    <row r="88" spans="1:25" x14ac:dyDescent="0.25">
      <c r="A88" s="197"/>
      <c r="B88" s="29" t="s">
        <v>179</v>
      </c>
      <c r="C88" s="101">
        <v>13.356999999999999</v>
      </c>
      <c r="D88" s="101">
        <v>7.8639999999999999</v>
      </c>
      <c r="E88" s="101">
        <v>13.122999999999999</v>
      </c>
      <c r="F88" s="101">
        <v>19.073</v>
      </c>
      <c r="G88" s="101">
        <v>14.307</v>
      </c>
      <c r="H88" s="101">
        <v>27.317</v>
      </c>
      <c r="I88" s="101">
        <v>31.753</v>
      </c>
      <c r="J88" s="101">
        <v>16.055</v>
      </c>
      <c r="K88" s="101">
        <v>13.1</v>
      </c>
      <c r="M88" s="101"/>
      <c r="N88" s="101"/>
      <c r="O88" s="101"/>
      <c r="P88" s="101"/>
      <c r="Q88" s="101"/>
      <c r="R88" s="101"/>
      <c r="S88" s="101"/>
      <c r="T88" s="101"/>
      <c r="U88" s="101"/>
      <c r="V88" s="140"/>
    </row>
    <row r="89" spans="1:25" x14ac:dyDescent="0.25">
      <c r="A89" s="197" t="s">
        <v>12</v>
      </c>
      <c r="B89" s="37" t="s">
        <v>177</v>
      </c>
      <c r="C89" s="5">
        <v>3.8479999999999999</v>
      </c>
      <c r="D89" s="5">
        <v>0.35699999999999998</v>
      </c>
      <c r="E89" s="5">
        <v>7.4560000000000004</v>
      </c>
      <c r="F89" s="5">
        <v>12.193</v>
      </c>
      <c r="G89" s="5">
        <v>6.3440000000000003</v>
      </c>
      <c r="H89" s="5">
        <v>4.9489999999999998</v>
      </c>
      <c r="I89" s="5">
        <v>7.8380000000000001</v>
      </c>
      <c r="J89" s="5">
        <v>61.293999999999997</v>
      </c>
      <c r="K89" s="5">
        <v>5.5330000000000004</v>
      </c>
      <c r="M89" s="5"/>
      <c r="N89" s="5"/>
      <c r="O89" s="5"/>
      <c r="P89" s="5"/>
      <c r="Q89" s="5"/>
      <c r="R89" s="5"/>
      <c r="S89" s="5"/>
      <c r="T89" s="5"/>
      <c r="U89" s="5"/>
      <c r="V89" s="140"/>
    </row>
    <row r="90" spans="1:25" x14ac:dyDescent="0.25">
      <c r="A90" s="197"/>
      <c r="B90" s="37" t="s">
        <v>178</v>
      </c>
      <c r="C90" s="5">
        <v>51.673000000000002</v>
      </c>
      <c r="D90" s="5">
        <v>18.8</v>
      </c>
      <c r="E90" s="5">
        <v>62.728999999999999</v>
      </c>
      <c r="F90" s="5">
        <v>77.474000000000004</v>
      </c>
      <c r="G90" s="5">
        <v>54.052</v>
      </c>
      <c r="H90" s="5">
        <v>73.087000000000003</v>
      </c>
      <c r="I90" s="5">
        <v>63.942</v>
      </c>
      <c r="J90" s="5">
        <v>427.31799999999998</v>
      </c>
      <c r="K90" s="5">
        <v>53.357999999999997</v>
      </c>
      <c r="M90" s="5"/>
      <c r="N90" s="5"/>
      <c r="O90" s="5"/>
      <c r="P90" s="5"/>
      <c r="Q90" s="5"/>
      <c r="R90" s="5"/>
      <c r="S90" s="5"/>
      <c r="T90" s="5"/>
      <c r="U90" s="5"/>
      <c r="V90" s="140"/>
    </row>
    <row r="91" spans="1:25" x14ac:dyDescent="0.25">
      <c r="A91" s="197"/>
      <c r="B91" s="29" t="s">
        <v>179</v>
      </c>
      <c r="C91" s="101">
        <v>27.763999999999999</v>
      </c>
      <c r="D91" s="101">
        <v>9.5120000000000005</v>
      </c>
      <c r="E91" s="101">
        <v>35.445999999999998</v>
      </c>
      <c r="F91" s="101">
        <v>44.664000000000001</v>
      </c>
      <c r="G91" s="101">
        <v>30.391999999999999</v>
      </c>
      <c r="H91" s="101">
        <v>39.966999999999999</v>
      </c>
      <c r="I91" s="101">
        <v>44.908000000000001</v>
      </c>
      <c r="J91" s="101">
        <v>236.774</v>
      </c>
      <c r="K91" s="101">
        <v>29.568999999999999</v>
      </c>
      <c r="M91" s="101"/>
      <c r="N91" s="101"/>
      <c r="O91" s="101"/>
      <c r="P91" s="101"/>
      <c r="Q91" s="101"/>
      <c r="R91" s="101"/>
      <c r="S91" s="101"/>
      <c r="T91" s="101"/>
      <c r="U91" s="101"/>
      <c r="V91" s="140"/>
    </row>
    <row r="92" spans="1:25" ht="2.25" customHeight="1" x14ac:dyDescent="0.25">
      <c r="A92" s="46"/>
      <c r="B92" s="43"/>
      <c r="C92" s="43"/>
      <c r="D92" s="43"/>
      <c r="E92" s="43"/>
      <c r="F92" s="43"/>
      <c r="G92" s="43"/>
      <c r="H92" s="43"/>
      <c r="I92" s="43"/>
      <c r="J92" s="43"/>
      <c r="K92" s="43"/>
      <c r="N92" s="140"/>
      <c r="O92" s="140"/>
      <c r="P92" s="140"/>
      <c r="Q92" s="140"/>
      <c r="R92" s="140"/>
      <c r="S92" s="140"/>
      <c r="T92" s="140"/>
      <c r="U92" s="140"/>
      <c r="V92" s="140"/>
    </row>
    <row r="93" spans="1:25" ht="12" customHeight="1" x14ac:dyDescent="0.25">
      <c r="A93" s="116" t="s">
        <v>253</v>
      </c>
    </row>
    <row r="94" spans="1:25" s="7" customFormat="1" ht="9.75" customHeight="1" x14ac:dyDescent="0.15">
      <c r="A94" s="7" t="s">
        <v>23</v>
      </c>
    </row>
    <row r="95" spans="1:25" s="7" customFormat="1" ht="9.75" customHeight="1" x14ac:dyDescent="0.15">
      <c r="A95" s="7" t="s">
        <v>37</v>
      </c>
    </row>
    <row r="96" spans="1:25" s="7" customFormat="1" ht="11.1" customHeight="1" x14ac:dyDescent="0.15">
      <c r="A96" s="7" t="s">
        <v>35</v>
      </c>
    </row>
    <row r="97" spans="1:14" ht="11.1" customHeight="1" x14ac:dyDescent="0.25">
      <c r="A97" s="7" t="s">
        <v>36</v>
      </c>
      <c r="B97" s="7"/>
      <c r="C97" s="7"/>
      <c r="D97" s="7"/>
      <c r="E97" s="7"/>
      <c r="F97" s="7"/>
      <c r="G97" s="7"/>
      <c r="H97" s="7"/>
      <c r="I97" s="7"/>
      <c r="J97" s="7"/>
      <c r="K97" s="7"/>
      <c r="L97" s="7"/>
      <c r="M97" s="7"/>
      <c r="N97" s="7"/>
    </row>
    <row r="98" spans="1:14" s="7" customFormat="1" ht="11.1" customHeight="1" x14ac:dyDescent="0.15">
      <c r="A98" s="7" t="s">
        <v>423</v>
      </c>
    </row>
    <row r="99" spans="1:14" s="7" customFormat="1" ht="11.1" customHeight="1" x14ac:dyDescent="0.15"/>
    <row r="100" spans="1:14" s="7" customFormat="1" ht="11.1" customHeight="1" x14ac:dyDescent="0.15">
      <c r="A100" s="7" t="s">
        <v>240</v>
      </c>
    </row>
    <row r="101" spans="1:14" ht="12" customHeight="1" x14ac:dyDescent="0.25">
      <c r="A101" s="2"/>
    </row>
  </sheetData>
  <mergeCells count="18">
    <mergeCell ref="A46:A49"/>
    <mergeCell ref="A1:L1"/>
    <mergeCell ref="A4:A7"/>
    <mergeCell ref="A8:A11"/>
    <mergeCell ref="A12:A15"/>
    <mergeCell ref="A16:A19"/>
    <mergeCell ref="A26:L26"/>
    <mergeCell ref="A31:N31"/>
    <mergeCell ref="A34:A37"/>
    <mergeCell ref="A38:A41"/>
    <mergeCell ref="A42:A45"/>
    <mergeCell ref="A27:K27"/>
    <mergeCell ref="A89:A91"/>
    <mergeCell ref="A61:A63"/>
    <mergeCell ref="A64:A66"/>
    <mergeCell ref="A67:A70"/>
    <mergeCell ref="A83:A85"/>
    <mergeCell ref="A86:A88"/>
  </mergeCells>
  <pageMargins left="0.08" right="0.08" top="1" bottom="1" header="0.5" footer="0.5"/>
  <pageSetup orientation="landscape" blackAndWhite="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W63"/>
  <sheetViews>
    <sheetView zoomScaleNormal="100" workbookViewId="0">
      <selection sqref="A1:K1"/>
    </sheetView>
  </sheetViews>
  <sheetFormatPr defaultColWidth="9.140625" defaultRowHeight="15" x14ac:dyDescent="0.25"/>
  <cols>
    <col min="1" max="13" width="11.42578125" style="1" bestFit="1" customWidth="1"/>
    <col min="14" max="14" width="17.85546875" style="1" bestFit="1" customWidth="1"/>
    <col min="15" max="16384" width="9.140625" style="1"/>
  </cols>
  <sheetData>
    <row r="1" spans="1:23" ht="22.5" customHeight="1" x14ac:dyDescent="0.25">
      <c r="A1" s="190" t="s">
        <v>436</v>
      </c>
      <c r="B1" s="190"/>
      <c r="C1" s="190"/>
      <c r="D1" s="190"/>
      <c r="E1" s="190"/>
      <c r="F1" s="190"/>
      <c r="G1" s="190"/>
      <c r="H1" s="190"/>
      <c r="I1" s="190"/>
      <c r="J1" s="190"/>
      <c r="K1" s="190"/>
    </row>
    <row r="2" spans="1:23" ht="4.5" customHeight="1" x14ac:dyDescent="0.25">
      <c r="A2" s="2"/>
    </row>
    <row r="3" spans="1:23" x14ac:dyDescent="0.25">
      <c r="A3" s="35" t="s">
        <v>157</v>
      </c>
      <c r="B3" s="35" t="s">
        <v>160</v>
      </c>
      <c r="C3" s="3">
        <v>10</v>
      </c>
      <c r="D3" s="3">
        <v>11</v>
      </c>
      <c r="E3" s="3">
        <v>12</v>
      </c>
      <c r="F3" s="3">
        <v>13</v>
      </c>
      <c r="G3" s="3">
        <v>14</v>
      </c>
      <c r="H3" s="3">
        <v>15</v>
      </c>
      <c r="I3" s="3">
        <v>16</v>
      </c>
      <c r="J3" s="3">
        <v>17</v>
      </c>
      <c r="K3" s="49" t="s">
        <v>10</v>
      </c>
    </row>
    <row r="4" spans="1:23" x14ac:dyDescent="0.25">
      <c r="A4" s="197" t="s">
        <v>18</v>
      </c>
      <c r="B4" s="98" t="s">
        <v>216</v>
      </c>
      <c r="C4" s="5">
        <v>1</v>
      </c>
      <c r="D4" s="5">
        <v>7.4</v>
      </c>
      <c r="E4" s="5">
        <v>26.2</v>
      </c>
      <c r="F4" s="5">
        <v>90.3</v>
      </c>
      <c r="G4" s="5">
        <v>260</v>
      </c>
      <c r="H4" s="5">
        <v>555.1</v>
      </c>
      <c r="I4" s="5">
        <v>770.1</v>
      </c>
      <c r="J4" s="5">
        <v>970.6</v>
      </c>
      <c r="K4" s="5">
        <v>2680.8</v>
      </c>
      <c r="M4" s="5"/>
      <c r="N4" s="5"/>
      <c r="O4" s="5"/>
      <c r="P4" s="5"/>
      <c r="Q4" s="5"/>
      <c r="R4" s="5"/>
      <c r="S4" s="5"/>
      <c r="T4" s="5"/>
      <c r="U4" s="114"/>
      <c r="W4" s="129"/>
    </row>
    <row r="5" spans="1:23" x14ac:dyDescent="0.25">
      <c r="A5" s="197"/>
      <c r="B5" s="98" t="s">
        <v>217</v>
      </c>
      <c r="C5" s="5">
        <v>0.3</v>
      </c>
      <c r="D5" s="5">
        <v>3.9</v>
      </c>
      <c r="E5" s="5">
        <v>28.4</v>
      </c>
      <c r="F5" s="5">
        <v>87.9</v>
      </c>
      <c r="G5" s="5">
        <v>252.4</v>
      </c>
      <c r="H5" s="5">
        <v>494.5</v>
      </c>
      <c r="I5" s="5">
        <v>772.7</v>
      </c>
      <c r="J5" s="5">
        <v>944.4</v>
      </c>
      <c r="K5" s="5">
        <v>2584.6</v>
      </c>
      <c r="M5" s="5"/>
      <c r="N5" s="5"/>
      <c r="O5" s="5"/>
      <c r="P5" s="5"/>
      <c r="Q5" s="5"/>
      <c r="R5" s="5"/>
      <c r="S5" s="5"/>
      <c r="T5" s="5"/>
      <c r="U5" s="114"/>
    </row>
    <row r="6" spans="1:23" x14ac:dyDescent="0.25">
      <c r="A6" s="197"/>
      <c r="B6" s="98" t="s">
        <v>218</v>
      </c>
      <c r="C6" s="5">
        <v>1.4</v>
      </c>
      <c r="D6" s="5">
        <v>5.8</v>
      </c>
      <c r="E6" s="5">
        <v>18.8</v>
      </c>
      <c r="F6" s="5">
        <v>100.7</v>
      </c>
      <c r="G6" s="5">
        <v>261.8</v>
      </c>
      <c r="H6" s="5">
        <v>532.1</v>
      </c>
      <c r="I6" s="5">
        <v>725.2</v>
      </c>
      <c r="J6" s="5">
        <v>914.8</v>
      </c>
      <c r="K6" s="5">
        <v>2560.4</v>
      </c>
      <c r="M6" s="5"/>
      <c r="N6" s="5"/>
      <c r="O6" s="5"/>
      <c r="P6" s="5"/>
      <c r="Q6" s="5"/>
      <c r="R6" s="5"/>
      <c r="S6" s="5"/>
      <c r="T6" s="5"/>
      <c r="U6" s="114"/>
    </row>
    <row r="7" spans="1:23" x14ac:dyDescent="0.25">
      <c r="A7" s="197"/>
      <c r="B7" s="98" t="s">
        <v>219</v>
      </c>
      <c r="C7" s="5">
        <v>0.4</v>
      </c>
      <c r="D7" s="5">
        <v>6.1</v>
      </c>
      <c r="E7" s="5">
        <v>22.6</v>
      </c>
      <c r="F7" s="5">
        <v>90.8</v>
      </c>
      <c r="G7" s="5">
        <v>250.4</v>
      </c>
      <c r="H7" s="5">
        <v>538.1</v>
      </c>
      <c r="I7" s="5">
        <v>730</v>
      </c>
      <c r="J7" s="5">
        <v>892.3</v>
      </c>
      <c r="K7" s="5">
        <v>2530.6999999999998</v>
      </c>
      <c r="M7" s="5"/>
      <c r="N7" s="5"/>
      <c r="O7" s="5"/>
      <c r="P7" s="5"/>
      <c r="Q7" s="5"/>
      <c r="R7" s="5"/>
      <c r="S7" s="5"/>
      <c r="T7" s="5"/>
      <c r="U7" s="114"/>
    </row>
    <row r="8" spans="1:23" x14ac:dyDescent="0.25">
      <c r="A8" s="197"/>
      <c r="B8" s="98" t="s">
        <v>357</v>
      </c>
      <c r="C8" s="5">
        <v>0.6</v>
      </c>
      <c r="D8" s="5">
        <v>3.3</v>
      </c>
      <c r="E8" s="5">
        <v>21.6</v>
      </c>
      <c r="F8" s="5">
        <v>79.599999999999994</v>
      </c>
      <c r="G8" s="5">
        <v>237.7</v>
      </c>
      <c r="H8" s="5">
        <v>530.9</v>
      </c>
      <c r="I8" s="5">
        <v>753.6</v>
      </c>
      <c r="J8" s="5">
        <v>859.2</v>
      </c>
      <c r="K8" s="5">
        <v>2486.1</v>
      </c>
      <c r="M8" s="5"/>
      <c r="N8" s="5"/>
      <c r="O8" s="5"/>
      <c r="P8" s="5"/>
      <c r="Q8" s="5"/>
      <c r="R8" s="5"/>
      <c r="S8" s="5"/>
      <c r="T8" s="5"/>
      <c r="U8" s="114"/>
    </row>
    <row r="9" spans="1:23" x14ac:dyDescent="0.25">
      <c r="A9" s="197" t="s">
        <v>22</v>
      </c>
      <c r="B9" s="98" t="s">
        <v>216</v>
      </c>
      <c r="C9" s="5" t="s">
        <v>146</v>
      </c>
      <c r="D9" s="5">
        <v>1</v>
      </c>
      <c r="E9" s="5">
        <v>7.5</v>
      </c>
      <c r="F9" s="5">
        <v>28.9</v>
      </c>
      <c r="G9" s="5">
        <v>94.6</v>
      </c>
      <c r="H9" s="5">
        <v>160.5</v>
      </c>
      <c r="I9" s="5">
        <v>203.5</v>
      </c>
      <c r="J9" s="5">
        <v>202.1</v>
      </c>
      <c r="K9" s="5">
        <v>698.1</v>
      </c>
      <c r="M9" s="5"/>
      <c r="N9" s="5"/>
      <c r="O9" s="5"/>
      <c r="P9" s="5"/>
      <c r="Q9" s="5"/>
      <c r="R9" s="5"/>
      <c r="S9" s="5"/>
      <c r="T9" s="5"/>
      <c r="U9" s="114"/>
    </row>
    <row r="10" spans="1:23" x14ac:dyDescent="0.25">
      <c r="A10" s="197"/>
      <c r="B10" s="98" t="s">
        <v>217</v>
      </c>
      <c r="C10" s="5" t="s">
        <v>146</v>
      </c>
      <c r="D10" s="5">
        <v>0.6</v>
      </c>
      <c r="E10" s="5">
        <v>9.1</v>
      </c>
      <c r="F10" s="5">
        <v>40.5</v>
      </c>
      <c r="G10" s="5">
        <v>90.2</v>
      </c>
      <c r="H10" s="5">
        <v>159.69999999999999</v>
      </c>
      <c r="I10" s="5">
        <v>198</v>
      </c>
      <c r="J10" s="5">
        <v>192.6</v>
      </c>
      <c r="K10" s="5">
        <v>690.7</v>
      </c>
      <c r="M10" s="5"/>
      <c r="N10" s="5"/>
      <c r="O10" s="5"/>
      <c r="P10" s="5"/>
      <c r="Q10" s="5"/>
      <c r="R10" s="5"/>
      <c r="S10" s="5"/>
      <c r="T10" s="5"/>
      <c r="U10" s="114"/>
    </row>
    <row r="11" spans="1:23" x14ac:dyDescent="0.25">
      <c r="A11" s="197"/>
      <c r="B11" s="98" t="s">
        <v>218</v>
      </c>
      <c r="C11" s="5" t="s">
        <v>146</v>
      </c>
      <c r="D11" s="5">
        <v>1.3</v>
      </c>
      <c r="E11" s="5">
        <v>9</v>
      </c>
      <c r="F11" s="5">
        <v>39</v>
      </c>
      <c r="G11" s="5">
        <v>96</v>
      </c>
      <c r="H11" s="5">
        <v>165</v>
      </c>
      <c r="I11" s="5">
        <v>186.9</v>
      </c>
      <c r="J11" s="5">
        <v>179.7</v>
      </c>
      <c r="K11" s="5">
        <v>677</v>
      </c>
      <c r="M11" s="5"/>
      <c r="N11" s="5"/>
      <c r="O11" s="5"/>
      <c r="P11" s="5"/>
      <c r="Q11" s="5"/>
      <c r="R11" s="5"/>
      <c r="S11" s="5"/>
      <c r="T11" s="5"/>
      <c r="U11" s="114"/>
    </row>
    <row r="12" spans="1:23" x14ac:dyDescent="0.25">
      <c r="A12" s="197"/>
      <c r="B12" s="98" t="s">
        <v>219</v>
      </c>
      <c r="C12" s="5">
        <v>0.1</v>
      </c>
      <c r="D12" s="5">
        <v>1.3</v>
      </c>
      <c r="E12" s="5">
        <v>6.6</v>
      </c>
      <c r="F12" s="5">
        <v>33.299999999999997</v>
      </c>
      <c r="G12" s="5">
        <v>92.3</v>
      </c>
      <c r="H12" s="5">
        <v>179.2</v>
      </c>
      <c r="I12" s="5">
        <v>220.5</v>
      </c>
      <c r="J12" s="5">
        <v>192.9</v>
      </c>
      <c r="K12" s="5">
        <v>726.1</v>
      </c>
      <c r="M12" s="5"/>
      <c r="N12" s="5"/>
      <c r="O12" s="5"/>
      <c r="P12" s="5"/>
      <c r="Q12" s="5"/>
      <c r="R12" s="5"/>
      <c r="S12" s="5"/>
      <c r="T12" s="5"/>
      <c r="U12" s="114"/>
    </row>
    <row r="13" spans="1:23" x14ac:dyDescent="0.25">
      <c r="A13" s="197"/>
      <c r="B13" s="98" t="s">
        <v>357</v>
      </c>
      <c r="C13" s="5">
        <v>0.1</v>
      </c>
      <c r="D13" s="5">
        <v>0.9</v>
      </c>
      <c r="E13" s="5">
        <v>8.1999999999999993</v>
      </c>
      <c r="F13" s="5">
        <v>27.3</v>
      </c>
      <c r="G13" s="5">
        <v>79.8</v>
      </c>
      <c r="H13" s="5">
        <v>173.8</v>
      </c>
      <c r="I13" s="5">
        <v>202.5</v>
      </c>
      <c r="J13" s="5">
        <v>190.4</v>
      </c>
      <c r="K13" s="5">
        <v>683</v>
      </c>
      <c r="M13" s="5"/>
      <c r="N13" s="5"/>
      <c r="O13" s="5"/>
      <c r="P13" s="5"/>
      <c r="Q13" s="5"/>
      <c r="R13" s="5"/>
      <c r="S13" s="5"/>
      <c r="T13" s="5"/>
      <c r="U13" s="114"/>
    </row>
    <row r="14" spans="1:23" x14ac:dyDescent="0.25">
      <c r="A14" s="197" t="s">
        <v>21</v>
      </c>
      <c r="B14" s="98" t="s">
        <v>216</v>
      </c>
      <c r="C14" s="5" t="s">
        <v>146</v>
      </c>
      <c r="D14" s="5" t="s">
        <v>146</v>
      </c>
      <c r="E14" s="5" t="s">
        <v>146</v>
      </c>
      <c r="F14" s="5" t="s">
        <v>146</v>
      </c>
      <c r="G14" s="5" t="s">
        <v>146</v>
      </c>
      <c r="H14" s="5">
        <v>0.6</v>
      </c>
      <c r="I14" s="5">
        <v>0.4</v>
      </c>
      <c r="J14" s="5" t="s">
        <v>146</v>
      </c>
      <c r="K14" s="5">
        <v>1</v>
      </c>
      <c r="M14" s="5"/>
      <c r="N14" s="5"/>
      <c r="O14" s="5"/>
      <c r="P14" s="5"/>
      <c r="Q14" s="5"/>
      <c r="R14" s="5"/>
      <c r="S14" s="5"/>
      <c r="T14" s="5"/>
      <c r="U14" s="114"/>
    </row>
    <row r="15" spans="1:23" x14ac:dyDescent="0.25">
      <c r="A15" s="197"/>
      <c r="B15" s="98" t="s">
        <v>217</v>
      </c>
      <c r="C15" s="5" t="s">
        <v>146</v>
      </c>
      <c r="D15" s="5" t="s">
        <v>146</v>
      </c>
      <c r="E15" s="5" t="s">
        <v>146</v>
      </c>
      <c r="F15" s="5" t="s">
        <v>146</v>
      </c>
      <c r="G15" s="5" t="s">
        <v>146</v>
      </c>
      <c r="H15" s="5">
        <v>0.5</v>
      </c>
      <c r="I15" s="5">
        <v>2.1</v>
      </c>
      <c r="J15" s="5">
        <v>0.2</v>
      </c>
      <c r="K15" s="5">
        <v>2.8</v>
      </c>
      <c r="M15" s="5"/>
      <c r="N15" s="5"/>
      <c r="O15" s="5"/>
      <c r="P15" s="5"/>
      <c r="Q15" s="5"/>
      <c r="R15" s="5"/>
      <c r="S15" s="5"/>
      <c r="T15" s="5"/>
      <c r="U15" s="114"/>
    </row>
    <row r="16" spans="1:23" x14ac:dyDescent="0.25">
      <c r="A16" s="197"/>
      <c r="B16" s="98" t="s">
        <v>218</v>
      </c>
      <c r="C16" s="5" t="s">
        <v>146</v>
      </c>
      <c r="D16" s="5" t="s">
        <v>146</v>
      </c>
      <c r="E16" s="5" t="s">
        <v>146</v>
      </c>
      <c r="F16" s="5" t="s">
        <v>146</v>
      </c>
      <c r="G16" s="5">
        <v>0.6</v>
      </c>
      <c r="H16" s="5" t="s">
        <v>146</v>
      </c>
      <c r="I16" s="5">
        <v>0.4</v>
      </c>
      <c r="J16" s="5">
        <v>1.2</v>
      </c>
      <c r="K16" s="5">
        <v>2.2999999999999998</v>
      </c>
      <c r="M16" s="5"/>
      <c r="N16" s="5"/>
      <c r="O16" s="5"/>
      <c r="P16" s="5"/>
      <c r="Q16" s="5"/>
      <c r="R16" s="5"/>
      <c r="S16" s="5"/>
      <c r="T16" s="5"/>
      <c r="U16" s="114"/>
    </row>
    <row r="17" spans="1:22" x14ac:dyDescent="0.25">
      <c r="A17" s="197"/>
      <c r="B17" s="98" t="s">
        <v>219</v>
      </c>
      <c r="C17" s="5" t="s">
        <v>146</v>
      </c>
      <c r="D17" s="5" t="s">
        <v>146</v>
      </c>
      <c r="E17" s="5" t="s">
        <v>146</v>
      </c>
      <c r="F17" s="5" t="s">
        <v>146</v>
      </c>
      <c r="G17" s="5">
        <v>0.3</v>
      </c>
      <c r="H17" s="5">
        <v>0.1</v>
      </c>
      <c r="I17" s="5">
        <v>0.6</v>
      </c>
      <c r="J17" s="5">
        <v>0.2</v>
      </c>
      <c r="K17" s="5">
        <v>1.2</v>
      </c>
      <c r="M17" s="5"/>
      <c r="N17" s="5"/>
      <c r="O17" s="5"/>
      <c r="P17" s="5"/>
      <c r="Q17" s="5"/>
      <c r="R17" s="5"/>
      <c r="S17" s="5"/>
      <c r="T17" s="5"/>
      <c r="U17" s="114"/>
    </row>
    <row r="18" spans="1:22" x14ac:dyDescent="0.25">
      <c r="A18" s="197"/>
      <c r="B18" s="98" t="s">
        <v>357</v>
      </c>
      <c r="C18" s="5" t="s">
        <v>146</v>
      </c>
      <c r="D18" s="5" t="s">
        <v>146</v>
      </c>
      <c r="E18" s="5" t="s">
        <v>146</v>
      </c>
      <c r="F18" s="5" t="s">
        <v>146</v>
      </c>
      <c r="G18" s="5" t="s">
        <v>146</v>
      </c>
      <c r="H18" s="5">
        <v>0.7</v>
      </c>
      <c r="I18" s="5">
        <v>1.4</v>
      </c>
      <c r="J18" s="5">
        <v>1.3</v>
      </c>
      <c r="K18" s="5">
        <v>3.3</v>
      </c>
      <c r="M18" s="5"/>
      <c r="N18" s="5"/>
      <c r="O18" s="5"/>
      <c r="P18" s="5"/>
      <c r="Q18" s="5"/>
      <c r="R18" s="5"/>
      <c r="S18" s="5"/>
      <c r="T18" s="5"/>
      <c r="U18" s="114"/>
    </row>
    <row r="19" spans="1:22" x14ac:dyDescent="0.25">
      <c r="A19" s="197" t="s">
        <v>12</v>
      </c>
      <c r="B19" s="98" t="s">
        <v>216</v>
      </c>
      <c r="C19" s="5">
        <v>1</v>
      </c>
      <c r="D19" s="5">
        <v>8.4</v>
      </c>
      <c r="E19" s="5">
        <v>33.700000000000003</v>
      </c>
      <c r="F19" s="5">
        <v>119.2</v>
      </c>
      <c r="G19" s="5">
        <v>354.6</v>
      </c>
      <c r="H19" s="5">
        <v>715.9</v>
      </c>
      <c r="I19" s="5">
        <v>974.1</v>
      </c>
      <c r="J19" s="5">
        <v>1172.9000000000001</v>
      </c>
      <c r="K19" s="5">
        <v>3379.9</v>
      </c>
      <c r="M19" s="5"/>
      <c r="N19" s="5"/>
      <c r="O19" s="5"/>
      <c r="P19" s="5"/>
      <c r="Q19" s="5"/>
      <c r="R19" s="5"/>
      <c r="S19" s="5"/>
      <c r="T19" s="5"/>
      <c r="U19" s="114"/>
    </row>
    <row r="20" spans="1:22" x14ac:dyDescent="0.25">
      <c r="A20" s="197"/>
      <c r="B20" s="98" t="s">
        <v>217</v>
      </c>
      <c r="C20" s="5">
        <v>0.3</v>
      </c>
      <c r="D20" s="5">
        <v>4.5999999999999996</v>
      </c>
      <c r="E20" s="5">
        <v>37.5</v>
      </c>
      <c r="F20" s="5">
        <v>128.4</v>
      </c>
      <c r="G20" s="5">
        <v>342.6</v>
      </c>
      <c r="H20" s="5">
        <v>654.70000000000005</v>
      </c>
      <c r="I20" s="5">
        <v>972.2</v>
      </c>
      <c r="J20" s="5">
        <v>1137.5999999999999</v>
      </c>
      <c r="K20" s="5">
        <v>3277.9</v>
      </c>
      <c r="M20" s="5"/>
      <c r="N20" s="5"/>
      <c r="O20" s="5"/>
      <c r="P20" s="5"/>
      <c r="Q20" s="5"/>
      <c r="R20" s="5"/>
      <c r="S20" s="5"/>
      <c r="T20" s="5"/>
      <c r="U20" s="114"/>
    </row>
    <row r="21" spans="1:22" x14ac:dyDescent="0.25">
      <c r="A21" s="197"/>
      <c r="B21" s="98" t="s">
        <v>218</v>
      </c>
      <c r="C21" s="5">
        <v>1.4</v>
      </c>
      <c r="D21" s="5">
        <v>7.1</v>
      </c>
      <c r="E21" s="5">
        <v>27.8</v>
      </c>
      <c r="F21" s="5">
        <v>139.69999999999999</v>
      </c>
      <c r="G21" s="5">
        <v>358.5</v>
      </c>
      <c r="H21" s="5">
        <v>696.7</v>
      </c>
      <c r="I21" s="5">
        <v>912.8</v>
      </c>
      <c r="J21" s="5">
        <v>1094.5999999999999</v>
      </c>
      <c r="K21" s="5">
        <v>3238.5</v>
      </c>
      <c r="M21" s="5"/>
      <c r="N21" s="5"/>
      <c r="O21" s="5"/>
      <c r="P21" s="5"/>
      <c r="Q21" s="5"/>
      <c r="R21" s="5"/>
      <c r="S21" s="5"/>
      <c r="T21" s="5"/>
      <c r="U21" s="114"/>
    </row>
    <row r="22" spans="1:22" x14ac:dyDescent="0.25">
      <c r="A22" s="197"/>
      <c r="B22" s="98" t="s">
        <v>219</v>
      </c>
      <c r="C22" s="5">
        <v>0.5</v>
      </c>
      <c r="D22" s="5">
        <v>7.5</v>
      </c>
      <c r="E22" s="5">
        <v>29.1</v>
      </c>
      <c r="F22" s="5">
        <v>124.1</v>
      </c>
      <c r="G22" s="5">
        <v>343.2</v>
      </c>
      <c r="H22" s="5">
        <v>717.5</v>
      </c>
      <c r="I22" s="5">
        <v>950.3</v>
      </c>
      <c r="J22" s="5">
        <v>1085.2</v>
      </c>
      <c r="K22" s="5">
        <v>3257.3</v>
      </c>
      <c r="M22" s="5"/>
      <c r="N22" s="5"/>
      <c r="O22" s="5"/>
      <c r="P22" s="5"/>
      <c r="Q22" s="5"/>
      <c r="R22" s="5"/>
      <c r="S22" s="5"/>
      <c r="T22" s="5"/>
      <c r="U22" s="114"/>
    </row>
    <row r="23" spans="1:22" x14ac:dyDescent="0.25">
      <c r="A23" s="197"/>
      <c r="B23" s="98" t="s">
        <v>357</v>
      </c>
      <c r="C23" s="5">
        <v>0.7</v>
      </c>
      <c r="D23" s="5">
        <v>4.2</v>
      </c>
      <c r="E23" s="5">
        <v>29.9</v>
      </c>
      <c r="F23" s="5">
        <v>107.1</v>
      </c>
      <c r="G23" s="5">
        <v>317.8</v>
      </c>
      <c r="H23" s="5">
        <v>707.3</v>
      </c>
      <c r="I23" s="5">
        <v>958.9</v>
      </c>
      <c r="J23" s="5">
        <v>1051</v>
      </c>
      <c r="K23" s="5">
        <v>3176.8</v>
      </c>
      <c r="M23" s="5"/>
      <c r="N23" s="5"/>
      <c r="O23" s="5"/>
      <c r="P23" s="5"/>
      <c r="Q23" s="5"/>
      <c r="R23" s="5"/>
      <c r="S23" s="5"/>
      <c r="T23" s="5"/>
      <c r="U23" s="114"/>
    </row>
    <row r="24" spans="1:22" ht="1.5" customHeight="1" x14ac:dyDescent="0.25">
      <c r="A24" s="2"/>
      <c r="C24" s="1" t="s">
        <v>349</v>
      </c>
      <c r="D24" s="1" t="s">
        <v>349</v>
      </c>
      <c r="E24" s="1" t="s">
        <v>349</v>
      </c>
      <c r="F24" s="1" t="s">
        <v>349</v>
      </c>
      <c r="G24" s="1" t="s">
        <v>349</v>
      </c>
      <c r="H24" s="1" t="s">
        <v>349</v>
      </c>
      <c r="I24" s="1" t="s">
        <v>349</v>
      </c>
      <c r="J24" s="1" t="s">
        <v>349</v>
      </c>
      <c r="K24" s="1" t="s">
        <v>349</v>
      </c>
      <c r="V24" s="132"/>
    </row>
    <row r="25" spans="1:22" ht="11.1" customHeight="1" x14ac:dyDescent="0.25">
      <c r="A25" s="191" t="s">
        <v>13</v>
      </c>
      <c r="B25" s="191"/>
      <c r="C25" s="191"/>
      <c r="D25" s="191"/>
      <c r="E25" s="191"/>
      <c r="F25" s="191"/>
      <c r="G25" s="191"/>
      <c r="H25" s="191"/>
      <c r="I25" s="191"/>
      <c r="J25" s="191"/>
      <c r="K25" s="191"/>
      <c r="V25" s="132"/>
    </row>
    <row r="26" spans="1:22" ht="11.1" customHeight="1" x14ac:dyDescent="0.25">
      <c r="A26" s="193" t="s">
        <v>358</v>
      </c>
      <c r="B26" s="193"/>
      <c r="C26" s="193"/>
      <c r="D26" s="193"/>
      <c r="E26" s="193"/>
      <c r="F26" s="193"/>
      <c r="G26" s="193"/>
      <c r="H26" s="193"/>
      <c r="I26" s="193"/>
      <c r="J26" s="193"/>
      <c r="K26" s="193"/>
      <c r="V26" s="132"/>
    </row>
    <row r="27" spans="1:22" s="7" customFormat="1" ht="11.1" customHeight="1" x14ac:dyDescent="0.15">
      <c r="A27" s="7" t="s">
        <v>14</v>
      </c>
      <c r="V27" s="133"/>
    </row>
    <row r="28" spans="1:22" s="12" customFormat="1" ht="11.1" customHeight="1" x14ac:dyDescent="0.2">
      <c r="A28" s="7" t="s">
        <v>23</v>
      </c>
      <c r="V28" s="134"/>
    </row>
    <row r="29" spans="1:22" s="7" customFormat="1" ht="18.75" customHeight="1" x14ac:dyDescent="0.15">
      <c r="A29" s="188" t="s">
        <v>34</v>
      </c>
      <c r="B29" s="188"/>
      <c r="C29" s="188"/>
      <c r="D29" s="188"/>
      <c r="E29" s="188"/>
      <c r="F29" s="188"/>
      <c r="G29" s="188"/>
      <c r="H29" s="188"/>
      <c r="I29" s="188"/>
      <c r="J29" s="188"/>
      <c r="K29" s="188"/>
    </row>
    <row r="30" spans="1:22" s="7" customFormat="1" ht="11.1" customHeight="1" x14ac:dyDescent="0.15">
      <c r="A30" s="7" t="s">
        <v>38</v>
      </c>
    </row>
    <row r="31" spans="1:22" s="7" customFormat="1" ht="11.1" customHeight="1" x14ac:dyDescent="0.15">
      <c r="A31" s="7" t="s">
        <v>15</v>
      </c>
    </row>
    <row r="32" spans="1:22" s="7" customFormat="1" ht="11.1" customHeight="1" x14ac:dyDescent="0.15">
      <c r="A32" s="7" t="s">
        <v>347</v>
      </c>
    </row>
    <row r="33" spans="1:23" ht="12" customHeight="1" x14ac:dyDescent="0.25">
      <c r="A33" s="2"/>
    </row>
    <row r="34" spans="1:23" ht="27.95" customHeight="1" x14ac:dyDescent="0.25">
      <c r="A34" s="192" t="s">
        <v>405</v>
      </c>
      <c r="B34" s="192"/>
      <c r="C34" s="192"/>
      <c r="D34" s="192"/>
      <c r="E34" s="192"/>
      <c r="F34" s="192"/>
      <c r="G34" s="192"/>
      <c r="H34" s="192"/>
      <c r="I34" s="192"/>
      <c r="J34" s="192"/>
      <c r="K34" s="192"/>
      <c r="L34" s="192"/>
      <c r="M34" s="192"/>
    </row>
    <row r="35" spans="1:23" ht="0.75" customHeight="1" x14ac:dyDescent="0.25">
      <c r="A35" s="2"/>
    </row>
    <row r="36" spans="1:23" x14ac:dyDescent="0.25">
      <c r="A36" s="35" t="s">
        <v>157</v>
      </c>
      <c r="B36" s="35" t="s">
        <v>160</v>
      </c>
      <c r="C36" s="50">
        <v>10</v>
      </c>
      <c r="D36" s="50">
        <v>11</v>
      </c>
      <c r="E36" s="50">
        <v>12</v>
      </c>
      <c r="F36" s="50">
        <v>13</v>
      </c>
      <c r="G36" s="50">
        <v>14</v>
      </c>
      <c r="H36" s="50">
        <v>15</v>
      </c>
      <c r="I36" s="50">
        <v>16</v>
      </c>
      <c r="J36" s="50">
        <v>17</v>
      </c>
      <c r="K36" s="49" t="s">
        <v>10</v>
      </c>
    </row>
    <row r="37" spans="1:23" x14ac:dyDescent="0.25">
      <c r="A37" s="197" t="s">
        <v>18</v>
      </c>
      <c r="B37" s="98" t="s">
        <v>216</v>
      </c>
      <c r="C37" s="9">
        <v>7</v>
      </c>
      <c r="D37" s="9">
        <v>39</v>
      </c>
      <c r="E37" s="9">
        <v>108</v>
      </c>
      <c r="F37" s="9">
        <v>338</v>
      </c>
      <c r="G37" s="9">
        <v>750</v>
      </c>
      <c r="H37" s="9">
        <v>1252</v>
      </c>
      <c r="I37" s="9">
        <v>1518</v>
      </c>
      <c r="J37" s="9">
        <v>1950</v>
      </c>
      <c r="K37" s="9">
        <v>5962</v>
      </c>
      <c r="M37" s="9"/>
      <c r="N37" s="9"/>
      <c r="O37" s="9"/>
      <c r="P37" s="9"/>
      <c r="Q37" s="9"/>
      <c r="R37" s="9"/>
      <c r="S37" s="9"/>
      <c r="T37" s="9"/>
      <c r="U37" s="115"/>
      <c r="W37" s="123"/>
    </row>
    <row r="38" spans="1:23" x14ac:dyDescent="0.25">
      <c r="A38" s="197"/>
      <c r="B38" s="98" t="s">
        <v>217</v>
      </c>
      <c r="C38" s="9">
        <v>8</v>
      </c>
      <c r="D38" s="9">
        <v>26</v>
      </c>
      <c r="E38" s="9">
        <v>118</v>
      </c>
      <c r="F38" s="9">
        <v>313</v>
      </c>
      <c r="G38" s="9">
        <v>756</v>
      </c>
      <c r="H38" s="9">
        <v>1157</v>
      </c>
      <c r="I38" s="9">
        <v>1594</v>
      </c>
      <c r="J38" s="9">
        <v>1770</v>
      </c>
      <c r="K38" s="9">
        <v>5742</v>
      </c>
      <c r="M38" s="9"/>
      <c r="N38" s="9"/>
      <c r="O38" s="9"/>
      <c r="P38" s="9"/>
      <c r="Q38" s="9"/>
      <c r="R38" s="9"/>
      <c r="S38" s="9"/>
      <c r="T38" s="9"/>
      <c r="U38" s="115"/>
    </row>
    <row r="39" spans="1:23" x14ac:dyDescent="0.25">
      <c r="A39" s="197"/>
      <c r="B39" s="98" t="s">
        <v>218</v>
      </c>
      <c r="C39" s="9">
        <v>12</v>
      </c>
      <c r="D39" s="9">
        <v>49</v>
      </c>
      <c r="E39" s="9">
        <v>141</v>
      </c>
      <c r="F39" s="9">
        <v>378</v>
      </c>
      <c r="G39" s="9">
        <v>788</v>
      </c>
      <c r="H39" s="9">
        <v>1204</v>
      </c>
      <c r="I39" s="9">
        <v>1500</v>
      </c>
      <c r="J39" s="9">
        <v>1835</v>
      </c>
      <c r="K39" s="9">
        <v>5907</v>
      </c>
      <c r="M39" s="9"/>
      <c r="N39" s="9"/>
      <c r="O39" s="9"/>
      <c r="P39" s="9"/>
      <c r="Q39" s="9"/>
      <c r="R39" s="9"/>
      <c r="S39" s="9"/>
      <c r="T39" s="9"/>
      <c r="U39" s="115"/>
    </row>
    <row r="40" spans="1:23" x14ac:dyDescent="0.25">
      <c r="A40" s="197"/>
      <c r="B40" s="98" t="s">
        <v>219</v>
      </c>
      <c r="C40" s="9">
        <v>10</v>
      </c>
      <c r="D40" s="9">
        <v>24</v>
      </c>
      <c r="E40" s="9">
        <v>122</v>
      </c>
      <c r="F40" s="9">
        <v>386</v>
      </c>
      <c r="G40" s="9">
        <v>745</v>
      </c>
      <c r="H40" s="9">
        <v>1303</v>
      </c>
      <c r="I40" s="9">
        <v>1530</v>
      </c>
      <c r="J40" s="9">
        <v>1747</v>
      </c>
      <c r="K40" s="9">
        <v>5867</v>
      </c>
      <c r="M40" s="9"/>
      <c r="N40" s="9"/>
      <c r="O40" s="9"/>
      <c r="P40" s="9"/>
      <c r="Q40" s="9"/>
      <c r="R40" s="9"/>
      <c r="S40" s="9"/>
      <c r="T40" s="9"/>
      <c r="U40" s="115"/>
    </row>
    <row r="41" spans="1:23" x14ac:dyDescent="0.25">
      <c r="A41" s="197"/>
      <c r="B41" s="98" t="s">
        <v>357</v>
      </c>
      <c r="C41" s="9">
        <v>4</v>
      </c>
      <c r="D41" s="9">
        <v>27</v>
      </c>
      <c r="E41" s="9">
        <v>127</v>
      </c>
      <c r="F41" s="9">
        <v>380</v>
      </c>
      <c r="G41" s="9">
        <v>816</v>
      </c>
      <c r="H41" s="9">
        <v>1310</v>
      </c>
      <c r="I41" s="9">
        <v>1525</v>
      </c>
      <c r="J41" s="9">
        <v>1869</v>
      </c>
      <c r="K41" s="9">
        <v>6058</v>
      </c>
      <c r="M41" s="9"/>
      <c r="N41" s="9"/>
      <c r="O41" s="9"/>
      <c r="P41" s="9"/>
      <c r="Q41" s="9"/>
      <c r="R41" s="9"/>
      <c r="S41" s="9"/>
      <c r="T41" s="9"/>
      <c r="U41" s="115"/>
    </row>
    <row r="42" spans="1:23" x14ac:dyDescent="0.25">
      <c r="A42" s="197" t="s">
        <v>22</v>
      </c>
      <c r="B42" s="98" t="s">
        <v>216</v>
      </c>
      <c r="C42" s="9" t="s">
        <v>146</v>
      </c>
      <c r="D42" s="9">
        <v>5</v>
      </c>
      <c r="E42" s="9">
        <v>37</v>
      </c>
      <c r="F42" s="9">
        <v>134</v>
      </c>
      <c r="G42" s="9">
        <v>279</v>
      </c>
      <c r="H42" s="9">
        <v>416</v>
      </c>
      <c r="I42" s="9">
        <v>409</v>
      </c>
      <c r="J42" s="9">
        <v>423</v>
      </c>
      <c r="K42" s="9">
        <v>1703</v>
      </c>
      <c r="M42" s="9"/>
      <c r="N42" s="9"/>
      <c r="O42" s="9"/>
      <c r="P42" s="9"/>
      <c r="Q42" s="9"/>
      <c r="R42" s="9"/>
      <c r="S42" s="9"/>
      <c r="T42" s="9"/>
      <c r="U42" s="115"/>
    </row>
    <row r="43" spans="1:23" x14ac:dyDescent="0.25">
      <c r="A43" s="197"/>
      <c r="B43" s="98" t="s">
        <v>217</v>
      </c>
      <c r="C43" s="9">
        <v>1</v>
      </c>
      <c r="D43" s="9">
        <v>7</v>
      </c>
      <c r="E43" s="9">
        <v>61</v>
      </c>
      <c r="F43" s="9">
        <v>131</v>
      </c>
      <c r="G43" s="9">
        <v>274</v>
      </c>
      <c r="H43" s="9">
        <v>388</v>
      </c>
      <c r="I43" s="9">
        <v>397</v>
      </c>
      <c r="J43" s="9">
        <v>368</v>
      </c>
      <c r="K43" s="9">
        <v>1627</v>
      </c>
      <c r="M43" s="9"/>
      <c r="N43" s="9"/>
      <c r="O43" s="9"/>
      <c r="P43" s="9"/>
      <c r="Q43" s="9"/>
      <c r="R43" s="9"/>
      <c r="S43" s="9"/>
      <c r="T43" s="9"/>
      <c r="U43" s="115"/>
    </row>
    <row r="44" spans="1:23" x14ac:dyDescent="0.25">
      <c r="A44" s="197"/>
      <c r="B44" s="98" t="s">
        <v>218</v>
      </c>
      <c r="C44" s="9">
        <v>5</v>
      </c>
      <c r="D44" s="9">
        <v>7</v>
      </c>
      <c r="E44" s="9">
        <v>61</v>
      </c>
      <c r="F44" s="9">
        <v>160</v>
      </c>
      <c r="G44" s="9">
        <v>287</v>
      </c>
      <c r="H44" s="9">
        <v>430</v>
      </c>
      <c r="I44" s="9">
        <v>406</v>
      </c>
      <c r="J44" s="9">
        <v>381</v>
      </c>
      <c r="K44" s="9">
        <v>1737</v>
      </c>
      <c r="M44" s="9"/>
      <c r="N44" s="9"/>
      <c r="O44" s="9"/>
      <c r="P44" s="9"/>
      <c r="Q44" s="9"/>
      <c r="R44" s="9"/>
      <c r="S44" s="9"/>
      <c r="T44" s="9"/>
      <c r="U44" s="115"/>
    </row>
    <row r="45" spans="1:23" x14ac:dyDescent="0.25">
      <c r="A45" s="197"/>
      <c r="B45" s="98" t="s">
        <v>219</v>
      </c>
      <c r="C45" s="9">
        <v>3</v>
      </c>
      <c r="D45" s="9">
        <v>7</v>
      </c>
      <c r="E45" s="9">
        <v>52</v>
      </c>
      <c r="F45" s="9">
        <v>155</v>
      </c>
      <c r="G45" s="9">
        <v>342</v>
      </c>
      <c r="H45" s="9">
        <v>414</v>
      </c>
      <c r="I45" s="9">
        <v>476</v>
      </c>
      <c r="J45" s="9">
        <v>398</v>
      </c>
      <c r="K45" s="9">
        <v>1847</v>
      </c>
      <c r="M45" s="9"/>
      <c r="N45" s="9"/>
      <c r="O45" s="9"/>
      <c r="P45" s="9"/>
      <c r="Q45" s="9"/>
      <c r="R45" s="9"/>
      <c r="S45" s="9"/>
      <c r="T45" s="9"/>
      <c r="U45" s="115"/>
    </row>
    <row r="46" spans="1:23" x14ac:dyDescent="0.25">
      <c r="A46" s="197"/>
      <c r="B46" s="98" t="s">
        <v>357</v>
      </c>
      <c r="C46" s="9">
        <v>1</v>
      </c>
      <c r="D46" s="9">
        <v>3</v>
      </c>
      <c r="E46" s="9">
        <v>45</v>
      </c>
      <c r="F46" s="9">
        <v>148</v>
      </c>
      <c r="G46" s="9">
        <v>304</v>
      </c>
      <c r="H46" s="9">
        <v>454</v>
      </c>
      <c r="I46" s="9">
        <v>439</v>
      </c>
      <c r="J46" s="9">
        <v>445</v>
      </c>
      <c r="K46" s="9">
        <v>1839</v>
      </c>
      <c r="M46" s="9"/>
      <c r="N46" s="9"/>
      <c r="O46" s="9"/>
      <c r="P46" s="9"/>
      <c r="Q46" s="9"/>
      <c r="R46" s="9"/>
      <c r="S46" s="9"/>
      <c r="T46" s="9"/>
      <c r="U46" s="115"/>
    </row>
    <row r="47" spans="1:23" x14ac:dyDescent="0.25">
      <c r="A47" s="197" t="s">
        <v>21</v>
      </c>
      <c r="B47" s="98" t="s">
        <v>216</v>
      </c>
      <c r="C47" s="9" t="s">
        <v>146</v>
      </c>
      <c r="D47" s="9" t="s">
        <v>146</v>
      </c>
      <c r="E47" s="9" t="s">
        <v>146</v>
      </c>
      <c r="F47" s="9" t="s">
        <v>146</v>
      </c>
      <c r="G47" s="9" t="s">
        <v>146</v>
      </c>
      <c r="H47" s="9">
        <v>1</v>
      </c>
      <c r="I47" s="9" t="s">
        <v>146</v>
      </c>
      <c r="J47" s="9" t="s">
        <v>146</v>
      </c>
      <c r="K47" s="9">
        <v>1</v>
      </c>
      <c r="M47" s="9"/>
      <c r="N47" s="9"/>
      <c r="O47" s="9"/>
      <c r="P47" s="9"/>
      <c r="Q47" s="9"/>
      <c r="R47" s="9"/>
      <c r="S47" s="9"/>
      <c r="T47" s="9"/>
      <c r="U47" s="115"/>
    </row>
    <row r="48" spans="1:23" x14ac:dyDescent="0.25">
      <c r="A48" s="197"/>
      <c r="B48" s="98" t="s">
        <v>217</v>
      </c>
      <c r="C48" s="9" t="s">
        <v>146</v>
      </c>
      <c r="D48" s="9" t="s">
        <v>146</v>
      </c>
      <c r="E48" s="9" t="s">
        <v>146</v>
      </c>
      <c r="F48" s="9" t="s">
        <v>146</v>
      </c>
      <c r="G48" s="9" t="s">
        <v>146</v>
      </c>
      <c r="H48" s="9">
        <v>1</v>
      </c>
      <c r="I48" s="9">
        <v>4</v>
      </c>
      <c r="J48" s="9">
        <v>1</v>
      </c>
      <c r="K48" s="9">
        <v>6</v>
      </c>
      <c r="M48" s="9"/>
      <c r="N48" s="9"/>
      <c r="O48" s="9"/>
      <c r="P48" s="9"/>
      <c r="Q48" s="9"/>
      <c r="R48" s="9"/>
      <c r="S48" s="9"/>
      <c r="T48" s="9"/>
      <c r="U48" s="115"/>
    </row>
    <row r="49" spans="1:21" x14ac:dyDescent="0.25">
      <c r="A49" s="197"/>
      <c r="B49" s="98" t="s">
        <v>218</v>
      </c>
      <c r="C49" s="9" t="s">
        <v>146</v>
      </c>
      <c r="D49" s="9">
        <v>1</v>
      </c>
      <c r="E49" s="9" t="s">
        <v>146</v>
      </c>
      <c r="F49" s="9">
        <v>2</v>
      </c>
      <c r="G49" s="9" t="s">
        <v>146</v>
      </c>
      <c r="H49" s="9">
        <v>1</v>
      </c>
      <c r="I49" s="9">
        <v>4</v>
      </c>
      <c r="J49" s="9">
        <v>1</v>
      </c>
      <c r="K49" s="9">
        <v>9</v>
      </c>
      <c r="M49" s="9"/>
      <c r="N49" s="9"/>
      <c r="O49" s="9"/>
      <c r="P49" s="9"/>
      <c r="Q49" s="9"/>
      <c r="R49" s="9"/>
      <c r="S49" s="9"/>
      <c r="T49" s="9"/>
      <c r="U49" s="115"/>
    </row>
    <row r="50" spans="1:21" x14ac:dyDescent="0.25">
      <c r="A50" s="197"/>
      <c r="B50" s="98" t="s">
        <v>219</v>
      </c>
      <c r="C50" s="9" t="s">
        <v>146</v>
      </c>
      <c r="D50" s="9" t="s">
        <v>146</v>
      </c>
      <c r="E50" s="9" t="s">
        <v>146</v>
      </c>
      <c r="F50" s="9" t="s">
        <v>146</v>
      </c>
      <c r="G50" s="9">
        <v>2</v>
      </c>
      <c r="H50" s="9">
        <v>2</v>
      </c>
      <c r="I50" s="9">
        <v>2</v>
      </c>
      <c r="J50" s="9">
        <v>5</v>
      </c>
      <c r="K50" s="9">
        <v>11</v>
      </c>
      <c r="M50" s="9"/>
      <c r="N50" s="9"/>
      <c r="O50" s="9"/>
      <c r="P50" s="9"/>
      <c r="Q50" s="9"/>
      <c r="R50" s="9"/>
      <c r="S50" s="9"/>
      <c r="T50" s="9"/>
      <c r="U50" s="115"/>
    </row>
    <row r="51" spans="1:21" x14ac:dyDescent="0.25">
      <c r="A51" s="197"/>
      <c r="B51" s="98" t="s">
        <v>357</v>
      </c>
      <c r="C51" s="9" t="s">
        <v>146</v>
      </c>
      <c r="D51" s="9" t="s">
        <v>146</v>
      </c>
      <c r="E51" s="9">
        <v>1</v>
      </c>
      <c r="F51" s="9" t="s">
        <v>146</v>
      </c>
      <c r="G51" s="9" t="s">
        <v>146</v>
      </c>
      <c r="H51" s="9">
        <v>2</v>
      </c>
      <c r="I51" s="9">
        <v>3</v>
      </c>
      <c r="J51" s="9">
        <v>5</v>
      </c>
      <c r="K51" s="9">
        <v>11</v>
      </c>
      <c r="M51" s="9"/>
      <c r="N51" s="9"/>
      <c r="O51" s="9"/>
      <c r="P51" s="9"/>
      <c r="Q51" s="9"/>
      <c r="R51" s="9"/>
      <c r="S51" s="9"/>
      <c r="T51" s="9"/>
      <c r="U51" s="115"/>
    </row>
    <row r="52" spans="1:21" x14ac:dyDescent="0.25">
      <c r="A52" s="202" t="s">
        <v>12</v>
      </c>
      <c r="B52" s="98" t="s">
        <v>216</v>
      </c>
      <c r="C52" s="9">
        <v>7</v>
      </c>
      <c r="D52" s="9">
        <v>44</v>
      </c>
      <c r="E52" s="9">
        <v>145</v>
      </c>
      <c r="F52" s="9">
        <v>472</v>
      </c>
      <c r="G52" s="9">
        <v>1029</v>
      </c>
      <c r="H52" s="9">
        <v>1669</v>
      </c>
      <c r="I52" s="9">
        <v>1927</v>
      </c>
      <c r="J52" s="9">
        <v>2373</v>
      </c>
      <c r="K52" s="9">
        <v>7666</v>
      </c>
      <c r="M52" s="9"/>
      <c r="N52" s="9"/>
      <c r="O52" s="9"/>
      <c r="P52" s="9"/>
      <c r="Q52" s="9"/>
      <c r="R52" s="9"/>
      <c r="S52" s="9"/>
      <c r="T52" s="9"/>
      <c r="U52" s="115"/>
    </row>
    <row r="53" spans="1:21" x14ac:dyDescent="0.25">
      <c r="A53" s="202"/>
      <c r="B53" s="98" t="s">
        <v>217</v>
      </c>
      <c r="C53" s="9">
        <v>9</v>
      </c>
      <c r="D53" s="9">
        <v>33</v>
      </c>
      <c r="E53" s="9">
        <v>179</v>
      </c>
      <c r="F53" s="9">
        <v>444</v>
      </c>
      <c r="G53" s="9">
        <v>1030</v>
      </c>
      <c r="H53" s="9">
        <v>1546</v>
      </c>
      <c r="I53" s="9">
        <v>1995</v>
      </c>
      <c r="J53" s="9">
        <v>2139</v>
      </c>
      <c r="K53" s="9">
        <v>7375</v>
      </c>
      <c r="M53" s="9"/>
      <c r="N53" s="9"/>
      <c r="O53" s="9"/>
      <c r="P53" s="9"/>
      <c r="Q53" s="9"/>
      <c r="R53" s="9"/>
      <c r="S53" s="9"/>
      <c r="T53" s="9"/>
      <c r="U53" s="115"/>
    </row>
    <row r="54" spans="1:21" x14ac:dyDescent="0.25">
      <c r="A54" s="202"/>
      <c r="B54" s="98" t="s">
        <v>218</v>
      </c>
      <c r="C54" s="9">
        <v>17</v>
      </c>
      <c r="D54" s="9">
        <v>57</v>
      </c>
      <c r="E54" s="9">
        <v>202</v>
      </c>
      <c r="F54" s="9">
        <v>540</v>
      </c>
      <c r="G54" s="9">
        <v>1075</v>
      </c>
      <c r="H54" s="9">
        <v>1635</v>
      </c>
      <c r="I54" s="9">
        <v>1910</v>
      </c>
      <c r="J54" s="9">
        <v>2217</v>
      </c>
      <c r="K54" s="9">
        <v>7653</v>
      </c>
      <c r="M54" s="9"/>
      <c r="N54" s="9"/>
      <c r="O54" s="9"/>
      <c r="P54" s="9"/>
      <c r="Q54" s="9"/>
      <c r="R54" s="9"/>
      <c r="S54" s="9"/>
      <c r="T54" s="9"/>
      <c r="U54" s="115"/>
    </row>
    <row r="55" spans="1:21" x14ac:dyDescent="0.25">
      <c r="A55" s="202"/>
      <c r="B55" s="98" t="s">
        <v>219</v>
      </c>
      <c r="C55" s="9">
        <v>13</v>
      </c>
      <c r="D55" s="9">
        <v>31</v>
      </c>
      <c r="E55" s="9">
        <v>174</v>
      </c>
      <c r="F55" s="9">
        <v>541</v>
      </c>
      <c r="G55" s="9">
        <v>1089</v>
      </c>
      <c r="H55" s="9">
        <v>1719</v>
      </c>
      <c r="I55" s="9">
        <v>2008</v>
      </c>
      <c r="J55" s="9">
        <v>2150</v>
      </c>
      <c r="K55" s="9">
        <v>7725</v>
      </c>
      <c r="M55" s="9"/>
      <c r="N55" s="9"/>
      <c r="O55" s="9"/>
      <c r="P55" s="9"/>
      <c r="Q55" s="9"/>
      <c r="R55" s="9"/>
      <c r="S55" s="9"/>
      <c r="T55" s="9"/>
      <c r="U55" s="115"/>
    </row>
    <row r="56" spans="1:21" x14ac:dyDescent="0.25">
      <c r="A56" s="202"/>
      <c r="B56" s="98" t="s">
        <v>357</v>
      </c>
      <c r="C56" s="9">
        <v>5</v>
      </c>
      <c r="D56" s="9">
        <v>30</v>
      </c>
      <c r="E56" s="9">
        <v>173</v>
      </c>
      <c r="F56" s="9">
        <v>528</v>
      </c>
      <c r="G56" s="9">
        <v>1120</v>
      </c>
      <c r="H56" s="9">
        <v>1766</v>
      </c>
      <c r="I56" s="9">
        <v>1967</v>
      </c>
      <c r="J56" s="9">
        <v>2319</v>
      </c>
      <c r="K56" s="9">
        <v>7908</v>
      </c>
      <c r="M56" s="9"/>
      <c r="N56" s="9"/>
      <c r="O56" s="9"/>
      <c r="P56" s="9"/>
      <c r="Q56" s="9"/>
      <c r="R56" s="9"/>
      <c r="S56" s="9"/>
      <c r="T56" s="9"/>
      <c r="U56" s="115"/>
    </row>
    <row r="57" spans="1:21" ht="1.5" customHeight="1" x14ac:dyDescent="0.25">
      <c r="A57" s="43"/>
      <c r="B57" s="43"/>
      <c r="C57" s="43"/>
      <c r="D57" s="43"/>
      <c r="E57" s="43"/>
      <c r="F57" s="43"/>
      <c r="G57" s="43"/>
      <c r="H57" s="43"/>
      <c r="I57" s="43"/>
      <c r="J57" s="43"/>
      <c r="K57" s="43"/>
    </row>
    <row r="58" spans="1:21" ht="11.1" customHeight="1" x14ac:dyDescent="0.25">
      <c r="A58" s="7" t="s">
        <v>23</v>
      </c>
      <c r="B58" s="7"/>
      <c r="C58" s="7"/>
      <c r="D58" s="7"/>
      <c r="E58" s="7"/>
      <c r="F58" s="7"/>
      <c r="G58" s="7"/>
      <c r="H58" s="7"/>
      <c r="I58" s="7"/>
      <c r="J58" s="7"/>
      <c r="K58" s="7"/>
      <c r="L58" s="7"/>
      <c r="M58" s="7"/>
    </row>
    <row r="59" spans="1:21" s="7" customFormat="1" ht="11.1" customHeight="1" x14ac:dyDescent="0.15">
      <c r="A59" s="7" t="s">
        <v>37</v>
      </c>
    </row>
    <row r="60" spans="1:21" s="7" customFormat="1" ht="11.1" customHeight="1" x14ac:dyDescent="0.15">
      <c r="A60" s="7" t="s">
        <v>38</v>
      </c>
    </row>
    <row r="61" spans="1:21" s="7" customFormat="1" ht="11.1" customHeight="1" x14ac:dyDescent="0.15">
      <c r="A61" s="7" t="s">
        <v>15</v>
      </c>
    </row>
    <row r="62" spans="1:21" s="7" customFormat="1" ht="11.1" customHeight="1" x14ac:dyDescent="0.15">
      <c r="A62" s="7" t="s">
        <v>347</v>
      </c>
    </row>
    <row r="63" spans="1:21" ht="12" customHeight="1" x14ac:dyDescent="0.25">
      <c r="A63" s="2"/>
    </row>
  </sheetData>
  <mergeCells count="13">
    <mergeCell ref="A52:A56"/>
    <mergeCell ref="A29:K29"/>
    <mergeCell ref="A1:K1"/>
    <mergeCell ref="A4:A8"/>
    <mergeCell ref="A9:A13"/>
    <mergeCell ref="A14:A18"/>
    <mergeCell ref="A19:A23"/>
    <mergeCell ref="A25:K25"/>
    <mergeCell ref="A34:M34"/>
    <mergeCell ref="A37:A41"/>
    <mergeCell ref="A42:A46"/>
    <mergeCell ref="A47:A51"/>
    <mergeCell ref="A26:K26"/>
  </mergeCells>
  <pageMargins left="0.08" right="0.08" top="1" bottom="1" header="0.5" footer="0.5"/>
  <pageSetup orientation="landscape" blackAndWhite="1"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70"/>
  <sheetViews>
    <sheetView zoomScaleNormal="100" workbookViewId="0">
      <selection sqref="A1:K1"/>
    </sheetView>
  </sheetViews>
  <sheetFormatPr defaultColWidth="9.140625" defaultRowHeight="15" x14ac:dyDescent="0.25"/>
  <cols>
    <col min="1" max="11" width="11.42578125" style="1" bestFit="1" customWidth="1"/>
    <col min="12" max="16384" width="9.140625" style="1"/>
  </cols>
  <sheetData>
    <row r="1" spans="1:31" ht="25.5" customHeight="1" x14ac:dyDescent="0.25">
      <c r="A1" s="204" t="s">
        <v>414</v>
      </c>
      <c r="B1" s="204"/>
      <c r="C1" s="204"/>
      <c r="D1" s="204"/>
      <c r="E1" s="204"/>
      <c r="F1" s="204"/>
      <c r="G1" s="204"/>
      <c r="H1" s="204"/>
      <c r="I1" s="204"/>
      <c r="J1" s="204"/>
      <c r="K1" s="204"/>
    </row>
    <row r="2" spans="1:31" ht="3" customHeight="1" x14ac:dyDescent="0.25">
      <c r="A2" s="2"/>
    </row>
    <row r="3" spans="1:31" x14ac:dyDescent="0.25">
      <c r="A3" s="35" t="s">
        <v>157</v>
      </c>
      <c r="B3" s="35" t="s">
        <v>160</v>
      </c>
      <c r="C3" s="50">
        <v>10</v>
      </c>
      <c r="D3" s="50">
        <v>11</v>
      </c>
      <c r="E3" s="50">
        <v>12</v>
      </c>
      <c r="F3" s="50">
        <v>13</v>
      </c>
      <c r="G3" s="50">
        <v>14</v>
      </c>
      <c r="H3" s="50">
        <v>15</v>
      </c>
      <c r="I3" s="50">
        <v>16</v>
      </c>
      <c r="J3" s="50">
        <v>17</v>
      </c>
      <c r="K3" s="49" t="s">
        <v>10</v>
      </c>
    </row>
    <row r="4" spans="1:31" x14ac:dyDescent="0.25">
      <c r="A4" s="197" t="s">
        <v>18</v>
      </c>
      <c r="B4" s="98" t="s">
        <v>216</v>
      </c>
      <c r="C4" s="5">
        <v>6.2E-2</v>
      </c>
      <c r="D4" s="5">
        <v>0.44800000000000001</v>
      </c>
      <c r="E4" s="5">
        <v>1.589</v>
      </c>
      <c r="F4" s="5">
        <v>5.4989999999999997</v>
      </c>
      <c r="G4" s="5">
        <v>16.22</v>
      </c>
      <c r="H4" s="5">
        <v>35.942</v>
      </c>
      <c r="I4" s="5">
        <v>51.250999999999998</v>
      </c>
      <c r="J4" s="5">
        <v>65.734999999999999</v>
      </c>
      <c r="K4" s="5">
        <v>21.06</v>
      </c>
      <c r="M4" s="5"/>
      <c r="N4" s="5"/>
      <c r="O4" s="5"/>
      <c r="P4" s="5"/>
      <c r="Q4" s="5"/>
      <c r="R4" s="5"/>
      <c r="S4" s="5"/>
      <c r="T4" s="5"/>
      <c r="U4" s="5"/>
      <c r="V4" s="5"/>
      <c r="W4" s="143"/>
      <c r="X4" s="140"/>
      <c r="Y4" s="140"/>
      <c r="Z4" s="140"/>
      <c r="AA4" s="140"/>
      <c r="AB4" s="140"/>
      <c r="AC4" s="140"/>
      <c r="AD4" s="140"/>
      <c r="AE4" s="140"/>
    </row>
    <row r="5" spans="1:31" x14ac:dyDescent="0.25">
      <c r="A5" s="197"/>
      <c r="B5" s="98" t="s">
        <v>217</v>
      </c>
      <c r="C5" s="5" t="s">
        <v>146</v>
      </c>
      <c r="D5" s="5">
        <v>0.23599999999999999</v>
      </c>
      <c r="E5" s="5">
        <v>1.71</v>
      </c>
      <c r="F5" s="5">
        <v>5.3070000000000004</v>
      </c>
      <c r="G5" s="5">
        <v>15.3</v>
      </c>
      <c r="H5" s="5">
        <v>30.725999999999999</v>
      </c>
      <c r="I5" s="5">
        <v>49.853999999999999</v>
      </c>
      <c r="J5" s="5">
        <v>62.703000000000003</v>
      </c>
      <c r="K5" s="5">
        <v>19.954000000000001</v>
      </c>
      <c r="M5" s="5"/>
      <c r="N5" s="5"/>
      <c r="O5" s="5"/>
      <c r="P5" s="5"/>
      <c r="Q5" s="5"/>
      <c r="R5" s="5"/>
      <c r="S5" s="5"/>
      <c r="T5" s="5"/>
      <c r="U5" s="5"/>
      <c r="V5" s="5"/>
      <c r="W5" s="143"/>
      <c r="X5" s="140"/>
      <c r="Y5" s="140"/>
      <c r="Z5" s="140"/>
      <c r="AA5" s="140"/>
      <c r="AB5" s="140"/>
      <c r="AC5" s="140"/>
      <c r="AD5" s="140"/>
      <c r="AE5" s="140"/>
    </row>
    <row r="6" spans="1:31" x14ac:dyDescent="0.25">
      <c r="A6" s="197"/>
      <c r="B6" s="98" t="s">
        <v>218</v>
      </c>
      <c r="C6" s="5">
        <v>8.3000000000000004E-2</v>
      </c>
      <c r="D6" s="5">
        <v>0.34499999999999997</v>
      </c>
      <c r="E6" s="5">
        <v>1.121</v>
      </c>
      <c r="F6" s="5">
        <v>6.0010000000000003</v>
      </c>
      <c r="G6" s="5">
        <v>15.657999999999999</v>
      </c>
      <c r="H6" s="5">
        <v>31.922000000000001</v>
      </c>
      <c r="I6" s="5">
        <v>44.649000000000001</v>
      </c>
      <c r="J6" s="5">
        <v>58.216000000000001</v>
      </c>
      <c r="K6" s="5">
        <v>19.338000000000001</v>
      </c>
      <c r="M6" s="5"/>
      <c r="N6" s="5"/>
      <c r="O6" s="5"/>
      <c r="P6" s="5"/>
      <c r="Q6" s="5"/>
      <c r="R6" s="5"/>
      <c r="S6" s="5"/>
      <c r="T6" s="5"/>
      <c r="U6" s="5"/>
      <c r="V6" s="5"/>
      <c r="W6" s="143"/>
      <c r="X6" s="140"/>
      <c r="Y6" s="140"/>
      <c r="Z6" s="140"/>
      <c r="AA6" s="140"/>
      <c r="AB6" s="140"/>
      <c r="AC6" s="140"/>
      <c r="AD6" s="140"/>
      <c r="AE6" s="140"/>
    </row>
    <row r="7" spans="1:31" x14ac:dyDescent="0.25">
      <c r="A7" s="197"/>
      <c r="B7" s="98" t="s">
        <v>219</v>
      </c>
      <c r="C7" s="5" t="s">
        <v>146</v>
      </c>
      <c r="D7" s="5">
        <v>0.36799999999999999</v>
      </c>
      <c r="E7" s="5">
        <v>1.3340000000000001</v>
      </c>
      <c r="F7" s="5">
        <v>5.3630000000000004</v>
      </c>
      <c r="G7" s="5">
        <v>14.776999999999999</v>
      </c>
      <c r="H7" s="5">
        <v>31.824000000000002</v>
      </c>
      <c r="I7" s="5">
        <v>43.25</v>
      </c>
      <c r="J7" s="5">
        <v>53.978999999999999</v>
      </c>
      <c r="K7" s="5">
        <v>18.821999999999999</v>
      </c>
      <c r="M7" s="5"/>
      <c r="N7" s="5"/>
      <c r="O7" s="5"/>
      <c r="P7" s="5"/>
      <c r="Q7" s="5"/>
      <c r="R7" s="5"/>
      <c r="S7" s="5"/>
      <c r="T7" s="5"/>
      <c r="U7" s="5"/>
      <c r="V7" s="5"/>
      <c r="W7" s="143"/>
      <c r="X7" s="140"/>
      <c r="Y7" s="140"/>
      <c r="Z7" s="140"/>
      <c r="AA7" s="140"/>
      <c r="AB7" s="140"/>
      <c r="AC7" s="140"/>
      <c r="AD7" s="140"/>
      <c r="AE7" s="140"/>
    </row>
    <row r="8" spans="1:31" x14ac:dyDescent="0.25">
      <c r="A8" s="197"/>
      <c r="B8" s="98" t="s">
        <v>357</v>
      </c>
      <c r="C8" s="5" t="s">
        <v>146</v>
      </c>
      <c r="D8" s="5">
        <v>0.17799999999999999</v>
      </c>
      <c r="E8" s="5">
        <v>1.2569999999999999</v>
      </c>
      <c r="F8" s="5">
        <v>4.6689999999999996</v>
      </c>
      <c r="G8" s="5">
        <v>13.927</v>
      </c>
      <c r="H8" s="5">
        <v>31.099</v>
      </c>
      <c r="I8" s="5">
        <v>44.16</v>
      </c>
      <c r="J8" s="5">
        <v>50.268999999999998</v>
      </c>
      <c r="K8" s="5">
        <v>18.302</v>
      </c>
      <c r="M8" s="5"/>
      <c r="N8" s="5"/>
      <c r="O8" s="5"/>
      <c r="P8" s="5"/>
      <c r="Q8" s="5"/>
      <c r="R8" s="5"/>
      <c r="S8" s="5"/>
      <c r="T8" s="5"/>
      <c r="U8" s="5"/>
      <c r="V8" s="5"/>
      <c r="W8" s="143"/>
      <c r="X8" s="140"/>
      <c r="Y8" s="140"/>
      <c r="Z8" s="140"/>
      <c r="AA8" s="140"/>
      <c r="AB8" s="140"/>
      <c r="AC8" s="140"/>
      <c r="AD8" s="140"/>
      <c r="AE8" s="140"/>
    </row>
    <row r="9" spans="1:31" x14ac:dyDescent="0.25">
      <c r="A9" s="197" t="s">
        <v>22</v>
      </c>
      <c r="B9" s="98" t="s">
        <v>216</v>
      </c>
      <c r="C9" s="5" t="s">
        <v>146</v>
      </c>
      <c r="D9" s="5">
        <v>6.0999999999999999E-2</v>
      </c>
      <c r="E9" s="5">
        <v>0.48199999999999998</v>
      </c>
      <c r="F9" s="5">
        <v>1.871</v>
      </c>
      <c r="G9" s="5">
        <v>6.2809999999999997</v>
      </c>
      <c r="H9" s="5">
        <v>11.081</v>
      </c>
      <c r="I9" s="5">
        <v>14.446</v>
      </c>
      <c r="J9" s="5">
        <v>14.497</v>
      </c>
      <c r="K9" s="5">
        <v>5.819</v>
      </c>
      <c r="M9" s="5"/>
      <c r="N9" s="5"/>
      <c r="O9" s="5"/>
      <c r="P9" s="5"/>
      <c r="Q9" s="5"/>
      <c r="R9" s="5"/>
      <c r="S9" s="5"/>
      <c r="T9" s="5"/>
      <c r="U9" s="5"/>
      <c r="V9" s="5"/>
      <c r="W9" s="143"/>
      <c r="X9" s="140"/>
      <c r="Y9" s="140"/>
      <c r="Z9" s="140"/>
      <c r="AA9" s="140"/>
      <c r="AB9" s="140"/>
      <c r="AC9" s="140"/>
      <c r="AD9" s="140"/>
      <c r="AE9" s="140"/>
    </row>
    <row r="10" spans="1:31" x14ac:dyDescent="0.25">
      <c r="A10" s="197"/>
      <c r="B10" s="98" t="s">
        <v>217</v>
      </c>
      <c r="C10" s="5" t="s">
        <v>146</v>
      </c>
      <c r="D10" s="5" t="s">
        <v>146</v>
      </c>
      <c r="E10" s="5">
        <v>0.57799999999999996</v>
      </c>
      <c r="F10" s="5">
        <v>2.59</v>
      </c>
      <c r="G10" s="5">
        <v>5.8120000000000003</v>
      </c>
      <c r="H10" s="5">
        <v>10.57</v>
      </c>
      <c r="I10" s="5">
        <v>13.625999999999999</v>
      </c>
      <c r="J10" s="5">
        <v>13.637</v>
      </c>
      <c r="K10" s="5">
        <v>5.657</v>
      </c>
      <c r="M10" s="5"/>
      <c r="N10" s="5"/>
      <c r="O10" s="5"/>
      <c r="P10" s="5"/>
      <c r="Q10" s="5"/>
      <c r="R10" s="5"/>
      <c r="S10" s="5"/>
      <c r="T10" s="5"/>
      <c r="U10" s="5"/>
      <c r="V10" s="5"/>
      <c r="W10" s="143"/>
      <c r="X10" s="140"/>
      <c r="Y10" s="140"/>
      <c r="Z10" s="140"/>
      <c r="AA10" s="140"/>
      <c r="AB10" s="140"/>
      <c r="AC10" s="140"/>
      <c r="AD10" s="140"/>
      <c r="AE10" s="140"/>
    </row>
    <row r="11" spans="1:31" x14ac:dyDescent="0.25">
      <c r="A11" s="197"/>
      <c r="B11" s="98" t="s">
        <v>218</v>
      </c>
      <c r="C11" s="5" t="s">
        <v>146</v>
      </c>
      <c r="D11" s="5">
        <v>8.3000000000000004E-2</v>
      </c>
      <c r="E11" s="5">
        <v>0.56599999999999995</v>
      </c>
      <c r="F11" s="5">
        <v>2.4540000000000002</v>
      </c>
      <c r="G11" s="5">
        <v>6.0880000000000001</v>
      </c>
      <c r="H11" s="5">
        <v>10.535</v>
      </c>
      <c r="I11" s="5">
        <v>12.243</v>
      </c>
      <c r="J11" s="5">
        <v>12.198</v>
      </c>
      <c r="K11" s="5">
        <v>5.42</v>
      </c>
      <c r="M11" s="5"/>
      <c r="N11" s="5"/>
      <c r="O11" s="5"/>
      <c r="P11" s="5"/>
      <c r="Q11" s="5"/>
      <c r="R11" s="5"/>
      <c r="S11" s="5"/>
      <c r="T11" s="5"/>
      <c r="U11" s="5"/>
      <c r="V11" s="5"/>
      <c r="W11" s="143"/>
      <c r="X11" s="140"/>
      <c r="Y11" s="140"/>
      <c r="Z11" s="140"/>
      <c r="AA11" s="140"/>
      <c r="AB11" s="140"/>
      <c r="AC11" s="140"/>
      <c r="AD11" s="140"/>
      <c r="AE11" s="140"/>
    </row>
    <row r="12" spans="1:31" x14ac:dyDescent="0.25">
      <c r="A12" s="197"/>
      <c r="B12" s="98" t="s">
        <v>219</v>
      </c>
      <c r="C12" s="5" t="s">
        <v>146</v>
      </c>
      <c r="D12" s="5">
        <v>8.4000000000000005E-2</v>
      </c>
      <c r="E12" s="5">
        <v>0.41199999999999998</v>
      </c>
      <c r="F12" s="5">
        <v>2.0739999999999998</v>
      </c>
      <c r="G12" s="5">
        <v>5.7519999999999998</v>
      </c>
      <c r="H12" s="5">
        <v>11.222</v>
      </c>
      <c r="I12" s="5">
        <v>13.885999999999999</v>
      </c>
      <c r="J12" s="5">
        <v>12.416</v>
      </c>
      <c r="K12" s="5">
        <v>5.72</v>
      </c>
      <c r="M12" s="5"/>
      <c r="N12" s="5"/>
      <c r="O12" s="5"/>
      <c r="P12" s="5"/>
      <c r="Q12" s="5"/>
      <c r="R12" s="5"/>
      <c r="S12" s="5"/>
      <c r="T12" s="5"/>
      <c r="U12" s="5"/>
      <c r="V12" s="5"/>
      <c r="W12" s="143"/>
      <c r="X12" s="140"/>
      <c r="Y12" s="140"/>
      <c r="Z12" s="140"/>
      <c r="AA12" s="140"/>
      <c r="AB12" s="140"/>
      <c r="AC12" s="140"/>
      <c r="AD12" s="140"/>
      <c r="AE12" s="140"/>
    </row>
    <row r="13" spans="1:31" x14ac:dyDescent="0.25">
      <c r="A13" s="197"/>
      <c r="B13" s="98" t="s">
        <v>357</v>
      </c>
      <c r="C13" s="5" t="s">
        <v>146</v>
      </c>
      <c r="D13" s="5">
        <v>5.7000000000000002E-2</v>
      </c>
      <c r="E13" s="5">
        <v>0.499</v>
      </c>
      <c r="F13" s="5">
        <v>1.69</v>
      </c>
      <c r="G13" s="5">
        <v>4.9219999999999997</v>
      </c>
      <c r="H13" s="5">
        <v>10.72</v>
      </c>
      <c r="I13" s="5">
        <v>12.537000000000001</v>
      </c>
      <c r="J13" s="5">
        <v>11.824999999999999</v>
      </c>
      <c r="K13" s="5">
        <v>5.3109999999999999</v>
      </c>
      <c r="M13" s="5"/>
      <c r="N13" s="5"/>
      <c r="O13" s="5"/>
      <c r="P13" s="5"/>
      <c r="Q13" s="5"/>
      <c r="R13" s="5"/>
      <c r="S13" s="5"/>
      <c r="T13" s="5"/>
      <c r="U13" s="5"/>
      <c r="V13" s="5"/>
      <c r="W13" s="143"/>
      <c r="X13" s="140"/>
      <c r="Y13" s="140"/>
      <c r="Z13" s="140"/>
      <c r="AA13" s="140"/>
      <c r="AB13" s="140"/>
      <c r="AC13" s="140"/>
      <c r="AD13" s="140"/>
      <c r="AE13" s="140"/>
    </row>
    <row r="14" spans="1:31" x14ac:dyDescent="0.25">
      <c r="A14" s="197" t="s">
        <v>12</v>
      </c>
      <c r="B14" s="98" t="s">
        <v>216</v>
      </c>
      <c r="C14" s="5" t="s">
        <v>146</v>
      </c>
      <c r="D14" s="5">
        <v>0.26</v>
      </c>
      <c r="E14" s="5">
        <v>1.0509999999999999</v>
      </c>
      <c r="F14" s="5">
        <v>3.74</v>
      </c>
      <c r="G14" s="5">
        <v>11.406000000000001</v>
      </c>
      <c r="H14" s="5">
        <v>23.925999999999998</v>
      </c>
      <c r="I14" s="5">
        <v>33.459000000000003</v>
      </c>
      <c r="J14" s="5">
        <v>40.851999999999997</v>
      </c>
      <c r="K14" s="5">
        <v>13.669</v>
      </c>
      <c r="M14" s="5"/>
      <c r="N14" s="5"/>
      <c r="O14" s="5"/>
      <c r="P14" s="5"/>
      <c r="Q14" s="5"/>
      <c r="R14" s="5"/>
      <c r="S14" s="5"/>
      <c r="T14" s="5"/>
      <c r="U14" s="5"/>
      <c r="V14" s="5"/>
      <c r="W14" s="143"/>
      <c r="X14" s="140"/>
      <c r="Y14" s="140"/>
      <c r="Z14" s="140"/>
      <c r="AA14" s="140"/>
      <c r="AB14" s="140"/>
      <c r="AC14" s="140"/>
      <c r="AD14" s="140"/>
      <c r="AE14" s="140"/>
    </row>
    <row r="15" spans="1:31" x14ac:dyDescent="0.25">
      <c r="A15" s="197"/>
      <c r="B15" s="98" t="s">
        <v>217</v>
      </c>
      <c r="C15" s="5" t="s">
        <v>146</v>
      </c>
      <c r="D15" s="5">
        <v>0.14099999999999999</v>
      </c>
      <c r="E15" s="5">
        <v>1.1599999999999999</v>
      </c>
      <c r="F15" s="5">
        <v>3.988</v>
      </c>
      <c r="G15" s="5">
        <v>10.702</v>
      </c>
      <c r="H15" s="5">
        <v>20.984000000000002</v>
      </c>
      <c r="I15" s="5">
        <v>32.387</v>
      </c>
      <c r="J15" s="5">
        <v>38.969000000000001</v>
      </c>
      <c r="K15" s="5">
        <v>13.029</v>
      </c>
      <c r="M15" s="5"/>
      <c r="N15" s="5"/>
      <c r="O15" s="5"/>
      <c r="P15" s="5"/>
      <c r="Q15" s="5"/>
      <c r="R15" s="5"/>
      <c r="S15" s="5"/>
      <c r="T15" s="5"/>
      <c r="U15" s="5"/>
      <c r="V15" s="5"/>
      <c r="W15" s="143"/>
      <c r="X15" s="140"/>
      <c r="Y15" s="140"/>
      <c r="Z15" s="140"/>
      <c r="AA15" s="140"/>
      <c r="AB15" s="140"/>
      <c r="AC15" s="140"/>
      <c r="AD15" s="140"/>
      <c r="AE15" s="140"/>
    </row>
    <row r="16" spans="1:31" x14ac:dyDescent="0.25">
      <c r="A16" s="197"/>
      <c r="B16" s="98" t="s">
        <v>218</v>
      </c>
      <c r="C16" s="5" t="s">
        <v>146</v>
      </c>
      <c r="D16" s="5">
        <v>0.218</v>
      </c>
      <c r="E16" s="5">
        <v>0.85</v>
      </c>
      <c r="F16" s="5">
        <v>4.2770000000000001</v>
      </c>
      <c r="G16" s="5">
        <v>11.032999999999999</v>
      </c>
      <c r="H16" s="5">
        <v>21.556000000000001</v>
      </c>
      <c r="I16" s="5">
        <v>28.963999999999999</v>
      </c>
      <c r="J16" s="5">
        <v>35.972000000000001</v>
      </c>
      <c r="K16" s="5">
        <v>12.589</v>
      </c>
      <c r="M16" s="5"/>
      <c r="N16" s="5"/>
      <c r="O16" s="5"/>
      <c r="P16" s="5"/>
      <c r="Q16" s="5"/>
      <c r="R16" s="5"/>
      <c r="S16" s="5"/>
      <c r="T16" s="5"/>
      <c r="U16" s="5"/>
      <c r="V16" s="5"/>
      <c r="W16" s="143"/>
      <c r="X16" s="140"/>
      <c r="Y16" s="140"/>
      <c r="Z16" s="140"/>
      <c r="AA16" s="140"/>
      <c r="AB16" s="140"/>
      <c r="AC16" s="140"/>
      <c r="AD16" s="140"/>
      <c r="AE16" s="140"/>
    </row>
    <row r="17" spans="1:31" x14ac:dyDescent="0.25">
      <c r="A17" s="197"/>
      <c r="B17" s="98" t="s">
        <v>219</v>
      </c>
      <c r="C17" s="5" t="s">
        <v>146</v>
      </c>
      <c r="D17" s="5">
        <v>0.23</v>
      </c>
      <c r="E17" s="5">
        <v>0.88500000000000001</v>
      </c>
      <c r="F17" s="5">
        <v>3.762</v>
      </c>
      <c r="G17" s="5">
        <v>10.398</v>
      </c>
      <c r="H17" s="5">
        <v>21.82</v>
      </c>
      <c r="I17" s="5">
        <v>29.029</v>
      </c>
      <c r="J17" s="5">
        <v>33.845999999999997</v>
      </c>
      <c r="K17" s="5">
        <v>12.462999999999999</v>
      </c>
      <c r="M17" s="5"/>
      <c r="N17" s="5"/>
      <c r="O17" s="5"/>
      <c r="P17" s="5"/>
      <c r="Q17" s="5"/>
      <c r="R17" s="5"/>
      <c r="S17" s="5"/>
      <c r="T17" s="5"/>
      <c r="U17" s="5"/>
      <c r="V17" s="5"/>
      <c r="W17" s="143"/>
      <c r="X17" s="140"/>
      <c r="Y17" s="140"/>
      <c r="Z17" s="140"/>
      <c r="AA17" s="140"/>
      <c r="AB17" s="140"/>
      <c r="AC17" s="140"/>
      <c r="AD17" s="140"/>
      <c r="AE17" s="140"/>
    </row>
    <row r="18" spans="1:31" x14ac:dyDescent="0.25">
      <c r="A18" s="197"/>
      <c r="B18" s="98" t="s">
        <v>357</v>
      </c>
      <c r="C18" s="5" t="s">
        <v>146</v>
      </c>
      <c r="D18" s="5">
        <v>0.12</v>
      </c>
      <c r="E18" s="5">
        <v>0.88900000000000001</v>
      </c>
      <c r="F18" s="5">
        <v>3.2189999999999999</v>
      </c>
      <c r="G18" s="5">
        <v>9.5449999999999999</v>
      </c>
      <c r="H18" s="5">
        <v>21.21</v>
      </c>
      <c r="I18" s="5">
        <v>28.838000000000001</v>
      </c>
      <c r="J18" s="5">
        <v>31.66</v>
      </c>
      <c r="K18" s="5">
        <v>12.002000000000001</v>
      </c>
      <c r="M18" s="5"/>
      <c r="N18" s="5"/>
      <c r="O18" s="5"/>
      <c r="P18" s="5"/>
      <c r="Q18" s="5"/>
      <c r="R18" s="5"/>
      <c r="S18" s="5"/>
      <c r="T18" s="5"/>
      <c r="U18" s="5"/>
      <c r="V18" s="5"/>
      <c r="W18" s="143"/>
      <c r="X18" s="140"/>
      <c r="Y18" s="140"/>
      <c r="Z18" s="140"/>
      <c r="AA18" s="140"/>
      <c r="AB18" s="140"/>
      <c r="AC18" s="140"/>
      <c r="AD18" s="140"/>
      <c r="AE18" s="140"/>
    </row>
    <row r="19" spans="1:31" ht="2.25" customHeight="1" x14ac:dyDescent="0.25">
      <c r="A19" s="51"/>
      <c r="B19" s="51"/>
      <c r="C19" s="52" t="s">
        <v>349</v>
      </c>
      <c r="D19" s="52" t="s">
        <v>349</v>
      </c>
      <c r="E19" s="52" t="s">
        <v>349</v>
      </c>
      <c r="F19" s="52" t="s">
        <v>349</v>
      </c>
      <c r="G19" s="52" t="s">
        <v>349</v>
      </c>
      <c r="H19" s="52" t="s">
        <v>349</v>
      </c>
      <c r="I19" s="52" t="s">
        <v>349</v>
      </c>
      <c r="J19" s="52" t="s">
        <v>349</v>
      </c>
      <c r="K19" s="53" t="s">
        <v>349</v>
      </c>
      <c r="N19" s="5"/>
      <c r="O19" s="5"/>
      <c r="P19" s="5"/>
      <c r="Q19" s="5"/>
      <c r="R19" s="5"/>
      <c r="S19" s="5"/>
      <c r="T19" s="5"/>
      <c r="U19" s="5"/>
      <c r="V19" s="5"/>
    </row>
    <row r="20" spans="1:31" x14ac:dyDescent="0.25">
      <c r="A20" s="193" t="s">
        <v>411</v>
      </c>
      <c r="B20" s="193"/>
      <c r="C20" s="193"/>
      <c r="D20" s="193"/>
      <c r="E20" s="193"/>
      <c r="F20" s="193"/>
      <c r="G20" s="193"/>
      <c r="H20" s="193"/>
      <c r="I20" s="193"/>
      <c r="J20" s="193"/>
      <c r="K20" s="193"/>
      <c r="N20" s="5"/>
      <c r="O20" s="5"/>
      <c r="P20" s="5"/>
      <c r="Q20" s="5"/>
      <c r="R20" s="5"/>
      <c r="S20" s="5"/>
      <c r="T20" s="5"/>
      <c r="U20" s="5"/>
      <c r="V20" s="5"/>
    </row>
    <row r="21" spans="1:31" x14ac:dyDescent="0.25">
      <c r="A21" s="7" t="s">
        <v>23</v>
      </c>
      <c r="B21" s="7"/>
      <c r="C21" s="7"/>
      <c r="D21" s="7"/>
      <c r="E21" s="7"/>
      <c r="F21" s="7"/>
      <c r="G21" s="7"/>
      <c r="H21" s="7"/>
      <c r="I21" s="7"/>
      <c r="J21" s="7"/>
      <c r="K21" s="7"/>
      <c r="N21" s="5"/>
      <c r="O21" s="5"/>
      <c r="P21" s="5"/>
      <c r="Q21" s="5"/>
      <c r="R21" s="5"/>
      <c r="S21" s="5"/>
      <c r="T21" s="5"/>
      <c r="U21" s="5"/>
      <c r="V21" s="5"/>
    </row>
    <row r="22" spans="1:31" s="7" customFormat="1" ht="20.25" customHeight="1" x14ac:dyDescent="0.2">
      <c r="A22" s="188" t="s">
        <v>34</v>
      </c>
      <c r="B22" s="188"/>
      <c r="C22" s="188"/>
      <c r="D22" s="188"/>
      <c r="E22" s="188"/>
      <c r="F22" s="188"/>
      <c r="G22" s="188"/>
      <c r="H22" s="188"/>
      <c r="I22" s="188"/>
      <c r="J22" s="188"/>
      <c r="K22" s="188"/>
      <c r="N22" s="136"/>
      <c r="O22" s="136"/>
      <c r="P22" s="136"/>
      <c r="Q22" s="136"/>
      <c r="R22" s="136"/>
      <c r="S22" s="136"/>
      <c r="T22" s="136"/>
      <c r="U22" s="136"/>
      <c r="V22" s="136"/>
      <c r="W22" s="142"/>
      <c r="X22" s="142"/>
    </row>
    <row r="23" spans="1:31" s="7" customFormat="1" ht="11.1" customHeight="1" x14ac:dyDescent="0.2">
      <c r="A23" s="7" t="s">
        <v>38</v>
      </c>
      <c r="N23" s="136"/>
      <c r="O23" s="136"/>
      <c r="P23" s="136"/>
      <c r="Q23" s="136"/>
      <c r="R23" s="136"/>
      <c r="S23" s="136"/>
      <c r="T23" s="136"/>
      <c r="U23" s="136"/>
      <c r="V23" s="136"/>
      <c r="W23" s="142"/>
      <c r="X23" s="142"/>
    </row>
    <row r="24" spans="1:31" s="7" customFormat="1" ht="11.1" customHeight="1" x14ac:dyDescent="0.2">
      <c r="A24" s="7" t="s">
        <v>31</v>
      </c>
      <c r="N24" s="136"/>
      <c r="O24" s="136"/>
      <c r="P24" s="136"/>
      <c r="Q24" s="136"/>
      <c r="R24" s="136"/>
      <c r="S24" s="136"/>
      <c r="T24" s="136"/>
      <c r="U24" s="136"/>
      <c r="V24" s="136"/>
      <c r="W24" s="142"/>
      <c r="X24" s="142"/>
    </row>
    <row r="25" spans="1:31" s="7" customFormat="1" ht="11.1" customHeight="1" x14ac:dyDescent="0.2">
      <c r="A25" s="7" t="s">
        <v>365</v>
      </c>
      <c r="N25" s="136"/>
      <c r="O25" s="136"/>
      <c r="P25" s="136"/>
      <c r="Q25" s="136"/>
      <c r="R25" s="136"/>
      <c r="S25" s="136"/>
      <c r="T25" s="136"/>
      <c r="U25" s="136"/>
      <c r="V25" s="136"/>
      <c r="W25" s="142"/>
      <c r="X25" s="142"/>
    </row>
    <row r="26" spans="1:31" s="7" customFormat="1" ht="11.1" customHeight="1" x14ac:dyDescent="0.2">
      <c r="N26" s="136"/>
      <c r="O26" s="136"/>
      <c r="P26" s="136"/>
      <c r="Q26" s="136"/>
      <c r="R26" s="136"/>
      <c r="S26" s="136"/>
      <c r="T26" s="136"/>
      <c r="U26" s="136"/>
      <c r="V26" s="136"/>
      <c r="W26" s="142"/>
      <c r="X26" s="142"/>
    </row>
    <row r="27" spans="1:31" s="7" customFormat="1" ht="11.1" customHeight="1" x14ac:dyDescent="0.2">
      <c r="A27" s="7" t="s">
        <v>241</v>
      </c>
      <c r="N27" s="136"/>
      <c r="O27" s="136"/>
      <c r="P27" s="136"/>
      <c r="Q27" s="136"/>
      <c r="R27" s="136"/>
      <c r="S27" s="136"/>
      <c r="T27" s="136"/>
      <c r="U27" s="136"/>
      <c r="V27" s="136"/>
      <c r="W27" s="142"/>
      <c r="X27" s="142"/>
    </row>
    <row r="28" spans="1:31" ht="12" customHeight="1" x14ac:dyDescent="0.25">
      <c r="A28" s="2"/>
      <c r="N28" s="136"/>
      <c r="O28" s="136"/>
      <c r="P28" s="136"/>
      <c r="Q28" s="136"/>
      <c r="R28" s="136"/>
      <c r="S28" s="136"/>
      <c r="T28" s="136"/>
      <c r="U28" s="136"/>
      <c r="V28" s="136"/>
      <c r="W28" s="140"/>
      <c r="X28" s="140"/>
    </row>
    <row r="29" spans="1:31" ht="27.95" customHeight="1" x14ac:dyDescent="0.25">
      <c r="A29" s="192" t="s">
        <v>327</v>
      </c>
      <c r="B29" s="192"/>
      <c r="C29" s="192"/>
      <c r="D29" s="192"/>
      <c r="E29" s="192"/>
      <c r="F29" s="192"/>
      <c r="G29" s="192"/>
      <c r="H29" s="192"/>
      <c r="I29" s="192"/>
      <c r="J29" s="192"/>
      <c r="K29" s="192"/>
      <c r="N29" s="136"/>
      <c r="O29" s="136"/>
      <c r="P29" s="136"/>
      <c r="Q29" s="136"/>
      <c r="R29" s="136"/>
      <c r="S29" s="136"/>
      <c r="T29" s="136"/>
      <c r="U29" s="136"/>
      <c r="V29" s="136"/>
      <c r="W29" s="140"/>
      <c r="X29" s="140"/>
    </row>
    <row r="30" spans="1:31" ht="3" customHeight="1" x14ac:dyDescent="0.25">
      <c r="A30" s="2"/>
      <c r="N30" s="136"/>
      <c r="O30" s="136"/>
      <c r="P30" s="136"/>
      <c r="Q30" s="136"/>
      <c r="R30" s="136"/>
      <c r="S30" s="136"/>
      <c r="T30" s="136"/>
      <c r="U30" s="136"/>
      <c r="V30" s="136"/>
      <c r="W30" s="140"/>
      <c r="X30" s="140"/>
    </row>
    <row r="31" spans="1:31" x14ac:dyDescent="0.25">
      <c r="A31" s="35" t="s">
        <v>157</v>
      </c>
      <c r="B31" s="35" t="s">
        <v>160</v>
      </c>
      <c r="C31" s="3">
        <v>10</v>
      </c>
      <c r="D31" s="3">
        <v>11</v>
      </c>
      <c r="E31" s="3">
        <v>12</v>
      </c>
      <c r="F31" s="3">
        <v>13</v>
      </c>
      <c r="G31" s="3">
        <v>14</v>
      </c>
      <c r="H31" s="3">
        <v>15</v>
      </c>
      <c r="I31" s="3">
        <v>16</v>
      </c>
      <c r="J31" s="3">
        <v>17</v>
      </c>
      <c r="K31" s="3" t="s">
        <v>10</v>
      </c>
      <c r="N31" s="136"/>
      <c r="O31" s="136"/>
      <c r="P31" s="136"/>
      <c r="Q31" s="136"/>
      <c r="R31" s="136"/>
      <c r="S31" s="136"/>
      <c r="T31" s="136"/>
      <c r="U31" s="136"/>
      <c r="V31" s="136"/>
      <c r="W31" s="140"/>
      <c r="X31" s="140"/>
    </row>
    <row r="32" spans="1:31" x14ac:dyDescent="0.25">
      <c r="A32" s="203" t="s">
        <v>18</v>
      </c>
      <c r="B32" s="98" t="s">
        <v>216</v>
      </c>
      <c r="C32" s="5">
        <v>0.41799999999999998</v>
      </c>
      <c r="D32" s="5">
        <v>2.3290000000000002</v>
      </c>
      <c r="E32" s="5">
        <v>6.476</v>
      </c>
      <c r="F32" s="5">
        <v>20.363</v>
      </c>
      <c r="G32" s="5">
        <v>46.314999999999998</v>
      </c>
      <c r="H32" s="5">
        <v>80.269000000000005</v>
      </c>
      <c r="I32" s="5">
        <v>99.938999999999993</v>
      </c>
      <c r="J32" s="5">
        <v>130.636</v>
      </c>
      <c r="K32" s="5">
        <v>46.34</v>
      </c>
      <c r="M32" s="5"/>
      <c r="N32" s="5"/>
      <c r="O32" s="5"/>
      <c r="P32" s="5"/>
      <c r="Q32" s="5"/>
      <c r="R32" s="5"/>
      <c r="S32" s="5"/>
      <c r="T32" s="5"/>
      <c r="U32" s="114"/>
      <c r="V32" s="136"/>
      <c r="W32" s="138"/>
      <c r="X32" s="138"/>
      <c r="Y32" s="138"/>
      <c r="Z32" s="138"/>
      <c r="AA32" s="138"/>
      <c r="AB32" s="138"/>
      <c r="AC32" s="138"/>
      <c r="AD32" s="138"/>
      <c r="AE32" s="138"/>
    </row>
    <row r="33" spans="1:31" x14ac:dyDescent="0.25">
      <c r="A33" s="203"/>
      <c r="B33" s="98" t="s">
        <v>217</v>
      </c>
      <c r="C33" s="5">
        <v>0.47799999999999998</v>
      </c>
      <c r="D33" s="5">
        <v>1.5489999999999999</v>
      </c>
      <c r="E33" s="5">
        <v>7.0170000000000003</v>
      </c>
      <c r="F33" s="5">
        <v>18.690000000000001</v>
      </c>
      <c r="G33" s="5">
        <v>45.362000000000002</v>
      </c>
      <c r="H33" s="5">
        <v>71.182000000000002</v>
      </c>
      <c r="I33" s="5">
        <v>101.86799999999999</v>
      </c>
      <c r="J33" s="5">
        <v>116.247</v>
      </c>
      <c r="K33" s="5">
        <v>43.87</v>
      </c>
      <c r="M33" s="5"/>
      <c r="N33" s="5"/>
      <c r="O33" s="5"/>
      <c r="P33" s="5"/>
      <c r="Q33" s="5"/>
      <c r="R33" s="5"/>
      <c r="S33" s="5"/>
      <c r="T33" s="5"/>
      <c r="U33" s="114"/>
      <c r="V33" s="136"/>
      <c r="W33" s="138"/>
      <c r="X33" s="138"/>
      <c r="Y33" s="138"/>
      <c r="Z33" s="138"/>
      <c r="AA33" s="138"/>
      <c r="AB33" s="138"/>
      <c r="AC33" s="138"/>
      <c r="AD33" s="138"/>
      <c r="AE33" s="138"/>
    </row>
    <row r="34" spans="1:31" x14ac:dyDescent="0.25">
      <c r="A34" s="203"/>
      <c r="B34" s="98" t="s">
        <v>218</v>
      </c>
      <c r="C34" s="5">
        <v>0.70699999999999996</v>
      </c>
      <c r="D34" s="5">
        <v>2.9009999999999998</v>
      </c>
      <c r="E34" s="5">
        <v>8.327</v>
      </c>
      <c r="F34" s="5">
        <v>22.295000000000002</v>
      </c>
      <c r="G34" s="5">
        <v>46.646999999999998</v>
      </c>
      <c r="H34" s="5">
        <v>71.569999999999993</v>
      </c>
      <c r="I34" s="5">
        <v>91.406999999999996</v>
      </c>
      <c r="J34" s="5">
        <v>115.75700000000001</v>
      </c>
      <c r="K34" s="5">
        <v>44.170999999999999</v>
      </c>
      <c r="M34" s="5"/>
      <c r="N34" s="5"/>
      <c r="O34" s="5"/>
      <c r="P34" s="5"/>
      <c r="Q34" s="5"/>
      <c r="R34" s="5"/>
      <c r="S34" s="5"/>
      <c r="T34" s="5"/>
      <c r="U34" s="114"/>
      <c r="V34" s="136"/>
      <c r="W34" s="138"/>
      <c r="X34" s="138"/>
      <c r="Y34" s="138"/>
      <c r="Z34" s="138"/>
      <c r="AA34" s="138"/>
      <c r="AB34" s="138"/>
      <c r="AC34" s="138"/>
      <c r="AD34" s="138"/>
      <c r="AE34" s="138"/>
    </row>
    <row r="35" spans="1:31" x14ac:dyDescent="0.25">
      <c r="A35" s="203"/>
      <c r="B35" s="98" t="s">
        <v>219</v>
      </c>
      <c r="C35" s="5">
        <v>0.60099999999999998</v>
      </c>
      <c r="D35" s="5">
        <v>1.4370000000000001</v>
      </c>
      <c r="E35" s="5">
        <v>7.14</v>
      </c>
      <c r="F35" s="5">
        <v>22.562000000000001</v>
      </c>
      <c r="G35" s="5">
        <v>43.487000000000002</v>
      </c>
      <c r="H35" s="5">
        <v>76.268000000000001</v>
      </c>
      <c r="I35" s="5">
        <v>89.852000000000004</v>
      </c>
      <c r="J35" s="5">
        <v>104.705</v>
      </c>
      <c r="K35" s="5">
        <v>43.314</v>
      </c>
      <c r="M35" s="5"/>
      <c r="N35" s="5"/>
      <c r="O35" s="5"/>
      <c r="P35" s="5"/>
      <c r="Q35" s="5"/>
      <c r="R35" s="5"/>
      <c r="S35" s="5"/>
      <c r="T35" s="5"/>
      <c r="U35" s="114"/>
      <c r="V35" s="136"/>
      <c r="W35" s="136"/>
      <c r="X35" s="138"/>
      <c r="Y35" s="138"/>
      <c r="Z35" s="138"/>
      <c r="AA35" s="138"/>
      <c r="AB35" s="138"/>
      <c r="AC35" s="138"/>
      <c r="AD35" s="138"/>
      <c r="AE35" s="138"/>
    </row>
    <row r="36" spans="1:31" x14ac:dyDescent="0.25">
      <c r="A36" s="203"/>
      <c r="B36" s="98" t="s">
        <v>357</v>
      </c>
      <c r="C36" s="5" t="s">
        <v>146</v>
      </c>
      <c r="D36" s="5">
        <v>1.59</v>
      </c>
      <c r="E36" s="5">
        <v>7.319</v>
      </c>
      <c r="F36" s="5">
        <v>22.021999999999998</v>
      </c>
      <c r="G36" s="5">
        <v>47.247</v>
      </c>
      <c r="H36" s="5">
        <v>75.694000000000003</v>
      </c>
      <c r="I36" s="5">
        <v>88.314999999999998</v>
      </c>
      <c r="J36" s="5">
        <v>108.276</v>
      </c>
      <c r="K36" s="5">
        <v>44.055999999999997</v>
      </c>
      <c r="M36" s="5"/>
      <c r="N36" s="5"/>
      <c r="O36" s="5"/>
      <c r="P36" s="5"/>
      <c r="Q36" s="5"/>
      <c r="R36" s="5"/>
      <c r="S36" s="5"/>
      <c r="T36" s="5"/>
      <c r="U36" s="114"/>
      <c r="V36" s="136"/>
      <c r="W36" s="136"/>
      <c r="X36" s="138"/>
      <c r="Y36" s="138"/>
      <c r="Z36" s="138"/>
      <c r="AA36" s="138"/>
      <c r="AB36" s="138"/>
      <c r="AC36" s="138"/>
      <c r="AD36" s="138"/>
      <c r="AE36" s="138"/>
    </row>
    <row r="37" spans="1:31" x14ac:dyDescent="0.25">
      <c r="A37" s="203" t="s">
        <v>22</v>
      </c>
      <c r="B37" s="98" t="s">
        <v>216</v>
      </c>
      <c r="C37" s="5" t="s">
        <v>146</v>
      </c>
      <c r="D37" s="5">
        <v>0.316</v>
      </c>
      <c r="E37" s="5">
        <v>2.351</v>
      </c>
      <c r="F37" s="5">
        <v>8.5760000000000005</v>
      </c>
      <c r="G37" s="5">
        <v>18.335000000000001</v>
      </c>
      <c r="H37" s="5">
        <v>28.42</v>
      </c>
      <c r="I37" s="5">
        <v>28.734000000000002</v>
      </c>
      <c r="J37" s="5">
        <v>30.021000000000001</v>
      </c>
      <c r="K37" s="5">
        <v>14.045999999999999</v>
      </c>
      <c r="M37" s="5"/>
      <c r="N37" s="5"/>
      <c r="O37" s="5"/>
      <c r="P37" s="5"/>
      <c r="Q37" s="5"/>
      <c r="R37" s="5"/>
      <c r="S37" s="5"/>
      <c r="T37" s="5"/>
      <c r="U37" s="114"/>
      <c r="V37" s="136"/>
      <c r="W37" s="136"/>
      <c r="X37" s="138"/>
      <c r="Y37" s="138"/>
      <c r="Z37" s="138"/>
      <c r="AA37" s="138"/>
      <c r="AB37" s="138"/>
      <c r="AC37" s="138"/>
      <c r="AD37" s="138"/>
      <c r="AE37" s="138"/>
    </row>
    <row r="38" spans="1:31" x14ac:dyDescent="0.25">
      <c r="A38" s="203"/>
      <c r="B38" s="98" t="s">
        <v>217</v>
      </c>
      <c r="C38" s="5" t="s">
        <v>146</v>
      </c>
      <c r="D38" s="5">
        <v>0.44</v>
      </c>
      <c r="E38" s="5">
        <v>3.8359999999999999</v>
      </c>
      <c r="F38" s="5">
        <v>8.2940000000000005</v>
      </c>
      <c r="G38" s="5">
        <v>17.483000000000001</v>
      </c>
      <c r="H38" s="5">
        <v>25.425000000000001</v>
      </c>
      <c r="I38" s="5">
        <v>27.042000000000002</v>
      </c>
      <c r="J38" s="5">
        <v>25.786999999999999</v>
      </c>
      <c r="K38" s="5">
        <v>13.19</v>
      </c>
      <c r="M38" s="5"/>
      <c r="N38" s="5"/>
      <c r="O38" s="5"/>
      <c r="P38" s="5"/>
      <c r="Q38" s="5"/>
      <c r="R38" s="5"/>
      <c r="S38" s="5"/>
      <c r="T38" s="5"/>
      <c r="U38" s="114"/>
      <c r="V38" s="136"/>
      <c r="W38" s="136"/>
      <c r="X38" s="138"/>
      <c r="Y38" s="138"/>
      <c r="Z38" s="138"/>
      <c r="AA38" s="138"/>
      <c r="AB38" s="138"/>
      <c r="AC38" s="138"/>
      <c r="AD38" s="138"/>
      <c r="AE38" s="138"/>
    </row>
    <row r="39" spans="1:31" x14ac:dyDescent="0.25">
      <c r="A39" s="203"/>
      <c r="B39" s="98" t="s">
        <v>218</v>
      </c>
      <c r="C39" s="5">
        <v>0.312</v>
      </c>
      <c r="D39" s="5">
        <v>0.437</v>
      </c>
      <c r="E39" s="5">
        <v>3.8010000000000002</v>
      </c>
      <c r="F39" s="5">
        <v>9.9770000000000003</v>
      </c>
      <c r="G39" s="5">
        <v>18.013999999999999</v>
      </c>
      <c r="H39" s="5">
        <v>27.175000000000001</v>
      </c>
      <c r="I39" s="5">
        <v>26.332000000000001</v>
      </c>
      <c r="J39" s="5">
        <v>25.596</v>
      </c>
      <c r="K39" s="5">
        <v>13.763999999999999</v>
      </c>
      <c r="M39" s="5"/>
      <c r="N39" s="5"/>
      <c r="O39" s="5"/>
      <c r="P39" s="5"/>
      <c r="Q39" s="5"/>
      <c r="R39" s="5"/>
      <c r="S39" s="5"/>
      <c r="T39" s="5"/>
      <c r="U39" s="114"/>
      <c r="V39" s="136"/>
      <c r="W39" s="136"/>
      <c r="X39" s="138"/>
      <c r="Y39" s="138"/>
      <c r="Z39" s="138"/>
      <c r="AA39" s="138"/>
      <c r="AB39" s="138"/>
      <c r="AC39" s="138"/>
      <c r="AD39" s="138"/>
      <c r="AE39" s="138"/>
    </row>
    <row r="40" spans="1:31" x14ac:dyDescent="0.25">
      <c r="A40" s="203"/>
      <c r="B40" s="98" t="s">
        <v>219</v>
      </c>
      <c r="C40" s="5" t="s">
        <v>146</v>
      </c>
      <c r="D40" s="5">
        <v>0.44400000000000001</v>
      </c>
      <c r="E40" s="5">
        <v>3.2120000000000002</v>
      </c>
      <c r="F40" s="5">
        <v>9.56</v>
      </c>
      <c r="G40" s="5">
        <v>21.102</v>
      </c>
      <c r="H40" s="5">
        <v>25.669</v>
      </c>
      <c r="I40" s="5">
        <v>29.692</v>
      </c>
      <c r="J40" s="5">
        <v>25.370999999999999</v>
      </c>
      <c r="K40" s="5">
        <v>14.441000000000001</v>
      </c>
      <c r="M40" s="5"/>
      <c r="N40" s="5"/>
      <c r="O40" s="5"/>
      <c r="P40" s="5"/>
      <c r="Q40" s="5"/>
      <c r="R40" s="5"/>
      <c r="S40" s="5"/>
      <c r="T40" s="5"/>
      <c r="U40" s="114"/>
      <c r="V40" s="136"/>
      <c r="W40" s="136"/>
      <c r="X40" s="138"/>
      <c r="Y40" s="138"/>
      <c r="Z40" s="138"/>
      <c r="AA40" s="138"/>
      <c r="AB40" s="138"/>
      <c r="AC40" s="138"/>
      <c r="AD40" s="138"/>
      <c r="AE40" s="138"/>
    </row>
    <row r="41" spans="1:31" x14ac:dyDescent="0.25">
      <c r="A41" s="203"/>
      <c r="B41" s="98" t="s">
        <v>357</v>
      </c>
      <c r="C41" s="5" t="s">
        <v>146</v>
      </c>
      <c r="D41" s="5" t="s">
        <v>146</v>
      </c>
      <c r="E41" s="5">
        <v>2.7440000000000002</v>
      </c>
      <c r="F41" s="5">
        <v>9.0519999999999996</v>
      </c>
      <c r="G41" s="5">
        <v>18.573</v>
      </c>
      <c r="H41" s="5">
        <v>27.728000000000002</v>
      </c>
      <c r="I41" s="5">
        <v>26.914000000000001</v>
      </c>
      <c r="J41" s="5">
        <v>27.376000000000001</v>
      </c>
      <c r="K41" s="5">
        <v>14.154</v>
      </c>
      <c r="M41" s="5"/>
      <c r="N41" s="5"/>
      <c r="O41" s="5"/>
      <c r="P41" s="5"/>
      <c r="Q41" s="5"/>
      <c r="R41" s="5"/>
      <c r="S41" s="5"/>
      <c r="T41" s="5"/>
      <c r="U41" s="114"/>
      <c r="V41" s="143"/>
      <c r="W41" s="138"/>
      <c r="X41" s="138"/>
      <c r="Y41" s="138"/>
      <c r="Z41" s="138"/>
      <c r="AA41" s="138"/>
      <c r="AB41" s="138"/>
      <c r="AC41" s="138"/>
      <c r="AD41" s="138"/>
      <c r="AE41" s="138"/>
    </row>
    <row r="42" spans="1:31" x14ac:dyDescent="0.25">
      <c r="A42" s="203" t="s">
        <v>12</v>
      </c>
      <c r="B42" s="98" t="s">
        <v>216</v>
      </c>
      <c r="C42" s="5">
        <v>0.215</v>
      </c>
      <c r="D42" s="5">
        <v>1.35</v>
      </c>
      <c r="E42" s="5">
        <v>4.4729999999999999</v>
      </c>
      <c r="F42" s="5">
        <v>14.647</v>
      </c>
      <c r="G42" s="5">
        <v>32.76</v>
      </c>
      <c r="H42" s="5">
        <v>55.2</v>
      </c>
      <c r="I42" s="5">
        <v>65.492999999999995</v>
      </c>
      <c r="J42" s="5">
        <v>81.78</v>
      </c>
      <c r="K42" s="5">
        <v>30.677</v>
      </c>
      <c r="M42" s="5"/>
      <c r="N42" s="5"/>
      <c r="O42" s="5"/>
      <c r="P42" s="5"/>
      <c r="Q42" s="5"/>
      <c r="R42" s="5"/>
      <c r="S42" s="5"/>
      <c r="T42" s="5"/>
      <c r="U42" s="114"/>
      <c r="V42" s="143"/>
      <c r="W42" s="138"/>
      <c r="X42" s="138"/>
      <c r="Y42" s="138"/>
      <c r="Z42" s="138"/>
      <c r="AA42" s="138"/>
      <c r="AB42" s="138"/>
      <c r="AC42" s="138"/>
      <c r="AD42" s="138"/>
      <c r="AE42" s="138"/>
    </row>
    <row r="43" spans="1:31" x14ac:dyDescent="0.25">
      <c r="A43" s="203"/>
      <c r="B43" s="98" t="s">
        <v>217</v>
      </c>
      <c r="C43" s="5">
        <v>0.27600000000000002</v>
      </c>
      <c r="D43" s="5">
        <v>1.0089999999999999</v>
      </c>
      <c r="E43" s="5">
        <v>5.4710000000000001</v>
      </c>
      <c r="F43" s="5">
        <v>13.644</v>
      </c>
      <c r="G43" s="5">
        <v>31.85</v>
      </c>
      <c r="H43" s="5">
        <v>49.057000000000002</v>
      </c>
      <c r="I43" s="5">
        <v>65.778999999999996</v>
      </c>
      <c r="J43" s="5">
        <v>72.516000000000005</v>
      </c>
      <c r="K43" s="5">
        <v>29.007999999999999</v>
      </c>
      <c r="M43" s="5"/>
      <c r="N43" s="5"/>
      <c r="O43" s="5"/>
      <c r="P43" s="5"/>
      <c r="Q43" s="5"/>
      <c r="R43" s="5"/>
      <c r="S43" s="5"/>
      <c r="T43" s="5"/>
      <c r="U43" s="114"/>
      <c r="V43" s="143"/>
      <c r="W43" s="138"/>
      <c r="X43" s="138"/>
      <c r="Y43" s="138"/>
      <c r="Z43" s="138"/>
      <c r="AA43" s="138"/>
      <c r="AB43" s="138"/>
      <c r="AC43" s="138"/>
      <c r="AD43" s="138"/>
      <c r="AE43" s="138"/>
    </row>
    <row r="44" spans="1:31" x14ac:dyDescent="0.25">
      <c r="A44" s="203"/>
      <c r="B44" s="98" t="s">
        <v>218</v>
      </c>
      <c r="C44" s="5">
        <v>0.51500000000000001</v>
      </c>
      <c r="D44" s="5">
        <v>1.732</v>
      </c>
      <c r="E44" s="5">
        <v>6.125</v>
      </c>
      <c r="F44" s="5">
        <v>16.367999999999999</v>
      </c>
      <c r="G44" s="5">
        <v>32.749000000000002</v>
      </c>
      <c r="H44" s="5">
        <v>50.082000000000001</v>
      </c>
      <c r="I44" s="5">
        <v>60.009</v>
      </c>
      <c r="J44" s="5">
        <v>72.128</v>
      </c>
      <c r="K44" s="5">
        <v>29.443000000000001</v>
      </c>
      <c r="M44" s="5"/>
      <c r="N44" s="5"/>
      <c r="O44" s="5"/>
      <c r="P44" s="5"/>
      <c r="Q44" s="5"/>
      <c r="R44" s="5"/>
      <c r="S44" s="5"/>
      <c r="T44" s="5"/>
      <c r="U44" s="114"/>
      <c r="V44" s="143"/>
      <c r="W44" s="138"/>
      <c r="X44" s="138"/>
      <c r="Y44" s="138"/>
      <c r="Z44" s="138"/>
      <c r="AA44" s="138"/>
      <c r="AB44" s="138"/>
      <c r="AC44" s="138"/>
      <c r="AD44" s="138"/>
      <c r="AE44" s="138"/>
    </row>
    <row r="45" spans="1:31" x14ac:dyDescent="0.25">
      <c r="A45" s="203"/>
      <c r="B45" s="98" t="s">
        <v>219</v>
      </c>
      <c r="C45" s="5">
        <v>0.40200000000000002</v>
      </c>
      <c r="D45" s="5">
        <v>0.95499999999999996</v>
      </c>
      <c r="E45" s="5">
        <v>5.2290000000000001</v>
      </c>
      <c r="F45" s="5">
        <v>16.236000000000001</v>
      </c>
      <c r="G45" s="5">
        <v>32.664999999999999</v>
      </c>
      <c r="H45" s="5">
        <v>51.756999999999998</v>
      </c>
      <c r="I45" s="5">
        <v>60.738999999999997</v>
      </c>
      <c r="J45" s="5">
        <v>66.415000000000006</v>
      </c>
      <c r="K45" s="5">
        <v>29.334</v>
      </c>
      <c r="M45" s="5"/>
      <c r="N45" s="5"/>
      <c r="O45" s="5"/>
      <c r="P45" s="5"/>
      <c r="Q45" s="5"/>
      <c r="R45" s="5"/>
      <c r="S45" s="5"/>
      <c r="T45" s="5"/>
      <c r="U45" s="114"/>
      <c r="V45" s="143"/>
      <c r="W45" s="138"/>
      <c r="X45" s="138"/>
      <c r="Y45" s="138"/>
      <c r="Z45" s="138"/>
      <c r="AA45" s="138"/>
      <c r="AB45" s="138"/>
      <c r="AC45" s="138"/>
      <c r="AD45" s="138"/>
      <c r="AE45" s="138"/>
    </row>
    <row r="46" spans="1:31" x14ac:dyDescent="0.25">
      <c r="A46" s="203"/>
      <c r="B46" s="98" t="s">
        <v>357</v>
      </c>
      <c r="C46" s="5">
        <v>0.153</v>
      </c>
      <c r="D46" s="5">
        <v>0.90900000000000003</v>
      </c>
      <c r="E46" s="5">
        <v>5.1260000000000003</v>
      </c>
      <c r="F46" s="5">
        <v>15.712</v>
      </c>
      <c r="G46" s="5">
        <v>33.295000000000002</v>
      </c>
      <c r="H46" s="5">
        <v>52.435000000000002</v>
      </c>
      <c r="I46" s="5">
        <v>58.578000000000003</v>
      </c>
      <c r="J46" s="5">
        <v>69.19</v>
      </c>
      <c r="K46" s="5">
        <v>29.568999999999999</v>
      </c>
      <c r="M46" s="5"/>
      <c r="N46" s="5"/>
      <c r="O46" s="5"/>
      <c r="P46" s="5"/>
      <c r="Q46" s="5"/>
      <c r="R46" s="5"/>
      <c r="S46" s="5"/>
      <c r="T46" s="5"/>
      <c r="U46" s="114"/>
      <c r="V46" s="143"/>
      <c r="W46" s="89"/>
      <c r="X46" s="89"/>
      <c r="Y46" s="89"/>
      <c r="Z46" s="89"/>
      <c r="AA46" s="89"/>
      <c r="AB46" s="89"/>
      <c r="AC46" s="89"/>
      <c r="AD46" s="89"/>
      <c r="AE46" s="89"/>
    </row>
    <row r="47" spans="1:31" ht="3" customHeight="1" x14ac:dyDescent="0.25">
      <c r="A47" s="46"/>
      <c r="B47" s="43"/>
      <c r="C47" s="43"/>
      <c r="D47" s="43"/>
      <c r="E47" s="43"/>
      <c r="F47" s="43"/>
      <c r="G47" s="43"/>
      <c r="H47" s="43"/>
      <c r="I47" s="43"/>
      <c r="J47" s="43"/>
      <c r="K47" s="43"/>
      <c r="N47" s="143"/>
      <c r="O47" s="143"/>
      <c r="P47" s="143"/>
      <c r="Q47" s="143"/>
      <c r="R47" s="143"/>
      <c r="S47" s="143"/>
      <c r="T47" s="143"/>
      <c r="U47" s="143"/>
      <c r="V47" s="143"/>
    </row>
    <row r="48" spans="1:31" ht="11.1" customHeight="1" x14ac:dyDescent="0.25">
      <c r="A48" s="7" t="s">
        <v>23</v>
      </c>
      <c r="B48" s="7"/>
      <c r="C48" s="7"/>
      <c r="D48" s="7"/>
      <c r="E48" s="7"/>
      <c r="F48" s="7"/>
      <c r="G48" s="7"/>
      <c r="H48" s="7"/>
      <c r="I48" s="7"/>
      <c r="J48" s="7"/>
      <c r="K48" s="7"/>
      <c r="N48" s="143"/>
      <c r="O48" s="143"/>
      <c r="P48" s="143"/>
      <c r="Q48" s="143"/>
      <c r="R48" s="143"/>
      <c r="S48" s="143"/>
      <c r="T48" s="143"/>
      <c r="U48" s="143"/>
      <c r="V48" s="143"/>
    </row>
    <row r="49" spans="1:23" s="7" customFormat="1" ht="11.1" customHeight="1" x14ac:dyDescent="0.2">
      <c r="A49" s="7" t="s">
        <v>37</v>
      </c>
      <c r="N49" s="143"/>
      <c r="O49" s="143"/>
      <c r="P49" s="143"/>
      <c r="Q49" s="143"/>
      <c r="R49" s="143"/>
      <c r="S49" s="143"/>
      <c r="T49" s="143"/>
      <c r="U49" s="143"/>
      <c r="V49" s="143"/>
    </row>
    <row r="50" spans="1:23" s="7" customFormat="1" ht="11.1" customHeight="1" x14ac:dyDescent="0.15">
      <c r="A50" s="7" t="s">
        <v>38</v>
      </c>
      <c r="N50" s="142"/>
      <c r="O50" s="142"/>
      <c r="P50" s="142"/>
      <c r="Q50" s="142"/>
      <c r="R50" s="142"/>
      <c r="S50" s="142"/>
      <c r="T50" s="142"/>
      <c r="U50" s="142"/>
      <c r="V50" s="142"/>
    </row>
    <row r="51" spans="1:23" s="7" customFormat="1" ht="11.1" customHeight="1" x14ac:dyDescent="0.15">
      <c r="A51" s="7" t="s">
        <v>31</v>
      </c>
      <c r="N51" s="142"/>
      <c r="O51" s="142"/>
      <c r="P51" s="142"/>
      <c r="Q51" s="142"/>
      <c r="R51" s="142"/>
      <c r="S51" s="142"/>
      <c r="T51" s="142"/>
      <c r="U51" s="142"/>
      <c r="V51" s="142"/>
    </row>
    <row r="52" spans="1:23" s="7" customFormat="1" ht="11.1" customHeight="1" x14ac:dyDescent="0.15">
      <c r="A52" s="7" t="s">
        <v>32</v>
      </c>
      <c r="N52" s="142"/>
      <c r="O52" s="142"/>
      <c r="P52" s="142"/>
      <c r="Q52" s="142"/>
      <c r="R52" s="142"/>
      <c r="S52" s="142"/>
      <c r="T52" s="142"/>
      <c r="U52" s="142"/>
      <c r="V52" s="142"/>
    </row>
    <row r="53" spans="1:23" s="7" customFormat="1" ht="11.1" customHeight="1" x14ac:dyDescent="0.15">
      <c r="A53" s="7" t="s">
        <v>244</v>
      </c>
      <c r="N53" s="142"/>
      <c r="O53" s="142"/>
      <c r="P53" s="142"/>
      <c r="Q53" s="142"/>
      <c r="R53" s="142"/>
      <c r="S53" s="142"/>
      <c r="T53" s="142"/>
      <c r="U53" s="142"/>
      <c r="V53" s="142"/>
    </row>
    <row r="54" spans="1:23" s="7" customFormat="1" ht="11.1" customHeight="1" x14ac:dyDescent="0.15">
      <c r="A54" s="7" t="s">
        <v>413</v>
      </c>
      <c r="N54" s="142"/>
      <c r="O54" s="142"/>
      <c r="P54" s="142"/>
      <c r="Q54" s="142"/>
      <c r="R54" s="142"/>
      <c r="S54" s="142"/>
      <c r="T54" s="142"/>
      <c r="U54" s="142"/>
      <c r="V54" s="142"/>
    </row>
    <row r="55" spans="1:23" s="7" customFormat="1" ht="11.1" customHeight="1" x14ac:dyDescent="0.15">
      <c r="A55" s="7" t="s">
        <v>412</v>
      </c>
      <c r="N55" s="142"/>
      <c r="O55" s="142"/>
      <c r="P55" s="142"/>
      <c r="Q55" s="142"/>
      <c r="R55" s="142"/>
      <c r="S55" s="142"/>
      <c r="T55" s="142"/>
      <c r="U55" s="142"/>
      <c r="V55" s="142"/>
    </row>
    <row r="56" spans="1:23" s="7" customFormat="1" ht="11.1" customHeight="1" x14ac:dyDescent="0.15">
      <c r="O56" s="142"/>
      <c r="P56" s="142"/>
      <c r="Q56" s="142"/>
      <c r="R56" s="142"/>
      <c r="S56" s="142"/>
      <c r="T56" s="142"/>
      <c r="U56" s="142"/>
      <c r="V56" s="142"/>
      <c r="W56" s="142"/>
    </row>
    <row r="57" spans="1:23" s="7" customFormat="1" ht="11.1" customHeight="1" x14ac:dyDescent="0.15">
      <c r="A57" s="7" t="s">
        <v>440</v>
      </c>
      <c r="O57" s="142"/>
      <c r="P57" s="142"/>
      <c r="Q57" s="142"/>
      <c r="R57" s="142"/>
      <c r="S57" s="142"/>
      <c r="T57" s="142"/>
      <c r="U57" s="142"/>
      <c r="V57" s="142"/>
      <c r="W57" s="142"/>
    </row>
    <row r="58" spans="1:23" ht="12" customHeight="1" x14ac:dyDescent="0.25">
      <c r="A58" s="2"/>
      <c r="O58" s="140"/>
      <c r="P58" s="140"/>
      <c r="Q58" s="140"/>
      <c r="R58" s="140"/>
      <c r="S58" s="140"/>
      <c r="T58" s="140"/>
      <c r="U58" s="140"/>
      <c r="V58" s="140"/>
      <c r="W58" s="140"/>
    </row>
    <row r="59" spans="1:23" x14ac:dyDescent="0.25">
      <c r="O59" s="140"/>
      <c r="P59" s="140"/>
      <c r="Q59" s="140"/>
      <c r="R59" s="140"/>
      <c r="S59" s="140"/>
      <c r="T59" s="140"/>
      <c r="U59" s="140"/>
      <c r="V59" s="140"/>
      <c r="W59" s="140"/>
    </row>
    <row r="60" spans="1:23" x14ac:dyDescent="0.25">
      <c r="N60" s="139"/>
      <c r="O60" s="140"/>
      <c r="P60" s="140"/>
      <c r="Q60" s="140"/>
      <c r="R60" s="140"/>
      <c r="S60" s="140"/>
      <c r="T60" s="140"/>
      <c r="U60" s="140"/>
      <c r="V60" s="140"/>
      <c r="W60" s="140"/>
    </row>
    <row r="61" spans="1:23" x14ac:dyDescent="0.25">
      <c r="N61" s="139"/>
      <c r="O61" s="140"/>
      <c r="P61" s="140"/>
      <c r="Q61" s="140"/>
      <c r="R61" s="140"/>
      <c r="S61" s="140"/>
      <c r="T61" s="140"/>
      <c r="U61" s="140"/>
      <c r="V61" s="140"/>
      <c r="W61" s="140"/>
    </row>
    <row r="62" spans="1:23" x14ac:dyDescent="0.25">
      <c r="O62" s="140"/>
      <c r="P62" s="140"/>
      <c r="Q62" s="140"/>
      <c r="R62" s="140"/>
      <c r="S62" s="140"/>
      <c r="T62" s="140"/>
      <c r="U62" s="140"/>
      <c r="V62" s="140"/>
      <c r="W62" s="140"/>
    </row>
    <row r="63" spans="1:23" x14ac:dyDescent="0.25">
      <c r="O63" s="140"/>
      <c r="P63" s="140"/>
      <c r="Q63" s="140"/>
      <c r="R63" s="140"/>
      <c r="S63" s="140"/>
      <c r="T63" s="140"/>
      <c r="U63" s="140"/>
      <c r="V63" s="140"/>
      <c r="W63" s="140"/>
    </row>
    <row r="64" spans="1:23" x14ac:dyDescent="0.25">
      <c r="O64" s="140"/>
      <c r="P64" s="140"/>
      <c r="Q64" s="140"/>
      <c r="R64" s="140"/>
      <c r="S64" s="140"/>
      <c r="T64" s="140"/>
      <c r="U64" s="140"/>
      <c r="V64" s="140"/>
      <c r="W64" s="140"/>
    </row>
    <row r="65" spans="15:23" x14ac:dyDescent="0.25">
      <c r="O65" s="140"/>
      <c r="P65" s="140"/>
      <c r="Q65" s="140"/>
      <c r="R65" s="140"/>
      <c r="S65" s="140"/>
      <c r="T65" s="140"/>
      <c r="U65" s="140"/>
      <c r="V65" s="140"/>
      <c r="W65" s="140"/>
    </row>
    <row r="66" spans="15:23" x14ac:dyDescent="0.25">
      <c r="O66" s="140"/>
      <c r="P66" s="140"/>
      <c r="Q66" s="140"/>
      <c r="R66" s="140"/>
      <c r="S66" s="140"/>
      <c r="T66" s="140"/>
      <c r="U66" s="140"/>
      <c r="V66" s="140"/>
      <c r="W66" s="140"/>
    </row>
    <row r="67" spans="15:23" x14ac:dyDescent="0.25">
      <c r="O67" s="140"/>
      <c r="P67" s="140"/>
      <c r="Q67" s="140"/>
      <c r="R67" s="140"/>
      <c r="S67" s="140"/>
      <c r="T67" s="140"/>
      <c r="U67" s="140"/>
      <c r="V67" s="140"/>
      <c r="W67" s="140"/>
    </row>
    <row r="68" spans="15:23" x14ac:dyDescent="0.25">
      <c r="O68" s="140"/>
      <c r="P68" s="140"/>
      <c r="Q68" s="140"/>
      <c r="R68" s="140"/>
      <c r="S68" s="140"/>
      <c r="T68" s="140"/>
      <c r="U68" s="140"/>
      <c r="V68" s="140"/>
      <c r="W68" s="140"/>
    </row>
    <row r="69" spans="15:23" x14ac:dyDescent="0.25">
      <c r="O69" s="140"/>
      <c r="P69" s="140"/>
      <c r="Q69" s="140"/>
      <c r="R69" s="140"/>
      <c r="S69" s="140"/>
      <c r="T69" s="140"/>
      <c r="U69" s="140"/>
      <c r="V69" s="140"/>
      <c r="W69" s="140"/>
    </row>
    <row r="70" spans="15:23" x14ac:dyDescent="0.25">
      <c r="O70" s="140"/>
      <c r="P70" s="140"/>
      <c r="Q70" s="140"/>
      <c r="R70" s="140"/>
      <c r="S70" s="140"/>
      <c r="T70" s="140"/>
      <c r="U70" s="140"/>
      <c r="V70" s="140"/>
      <c r="W70" s="140"/>
    </row>
  </sheetData>
  <mergeCells count="10">
    <mergeCell ref="A29:K29"/>
    <mergeCell ref="A32:A36"/>
    <mergeCell ref="A37:A41"/>
    <mergeCell ref="A42:A46"/>
    <mergeCell ref="A1:K1"/>
    <mergeCell ref="A4:A8"/>
    <mergeCell ref="A9:A13"/>
    <mergeCell ref="A14:A18"/>
    <mergeCell ref="A22:K22"/>
    <mergeCell ref="A20:K20"/>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3"/>
  <sheetViews>
    <sheetView zoomScaleNormal="100" workbookViewId="0">
      <selection sqref="A1:L1"/>
    </sheetView>
  </sheetViews>
  <sheetFormatPr defaultColWidth="9.140625" defaultRowHeight="15" customHeight="1" x14ac:dyDescent="0.25"/>
  <cols>
    <col min="1" max="1" width="11.42578125" style="1" bestFit="1" customWidth="1"/>
    <col min="2" max="2" width="17.85546875" style="1" customWidth="1"/>
    <col min="3" max="10" width="11.42578125" style="1" bestFit="1" customWidth="1"/>
    <col min="11" max="11" width="10.85546875" style="1" customWidth="1"/>
    <col min="12" max="14" width="11.42578125" style="1" bestFit="1" customWidth="1"/>
    <col min="15" max="16384" width="9.140625" style="1"/>
  </cols>
  <sheetData>
    <row r="1" spans="1:25" ht="15" customHeight="1" x14ac:dyDescent="0.25">
      <c r="A1" s="190" t="s">
        <v>359</v>
      </c>
      <c r="B1" s="190"/>
      <c r="C1" s="190"/>
      <c r="D1" s="190"/>
      <c r="E1" s="190"/>
      <c r="F1" s="190"/>
      <c r="G1" s="190"/>
      <c r="H1" s="190"/>
      <c r="I1" s="190"/>
      <c r="J1" s="190"/>
      <c r="K1" s="190"/>
      <c r="L1" s="190"/>
    </row>
    <row r="2" spans="1:25" ht="2.25" customHeight="1" x14ac:dyDescent="0.25">
      <c r="A2" s="2"/>
    </row>
    <row r="3" spans="1:25" ht="24" customHeight="1" x14ac:dyDescent="0.25">
      <c r="A3" s="35" t="s">
        <v>160</v>
      </c>
      <c r="B3" s="35" t="s">
        <v>158</v>
      </c>
      <c r="C3" s="3" t="s">
        <v>1</v>
      </c>
      <c r="D3" s="3" t="s">
        <v>2</v>
      </c>
      <c r="E3" s="3" t="s">
        <v>3</v>
      </c>
      <c r="F3" s="3" t="s">
        <v>4</v>
      </c>
      <c r="G3" s="3" t="s">
        <v>5</v>
      </c>
      <c r="H3" s="3" t="s">
        <v>6</v>
      </c>
      <c r="I3" s="3" t="s">
        <v>7</v>
      </c>
      <c r="J3" s="3" t="s">
        <v>8</v>
      </c>
      <c r="K3" s="3" t="s">
        <v>220</v>
      </c>
      <c r="L3" s="3" t="s">
        <v>9</v>
      </c>
    </row>
    <row r="4" spans="1:25" ht="15" customHeight="1" x14ac:dyDescent="0.25">
      <c r="A4" s="194" t="s">
        <v>211</v>
      </c>
      <c r="B4" s="4" t="s">
        <v>19</v>
      </c>
      <c r="C4" s="5">
        <v>633.5</v>
      </c>
      <c r="D4" s="5">
        <v>131.30000000000001</v>
      </c>
      <c r="E4" s="5">
        <v>755.7</v>
      </c>
      <c r="F4" s="5">
        <v>452.6</v>
      </c>
      <c r="G4" s="5">
        <v>134.19999999999999</v>
      </c>
      <c r="H4" s="5">
        <v>24.1</v>
      </c>
      <c r="I4" s="5">
        <v>16.5</v>
      </c>
      <c r="J4" s="5">
        <v>136.69999999999999</v>
      </c>
      <c r="K4" s="5">
        <v>2147.9</v>
      </c>
      <c r="L4" s="5">
        <v>2284.6999999999998</v>
      </c>
      <c r="M4" s="131"/>
      <c r="N4" s="5"/>
      <c r="O4" s="5"/>
      <c r="P4" s="5"/>
      <c r="Q4" s="5"/>
      <c r="R4" s="5"/>
      <c r="S4" s="5"/>
      <c r="T4" s="5"/>
      <c r="U4" s="5"/>
      <c r="V4" s="5"/>
      <c r="W4" s="5"/>
      <c r="Y4" s="129"/>
    </row>
    <row r="5" spans="1:25" ht="15" customHeight="1" x14ac:dyDescent="0.25">
      <c r="A5" s="194"/>
      <c r="B5" s="4" t="s">
        <v>20</v>
      </c>
      <c r="C5" s="5">
        <v>632</v>
      </c>
      <c r="D5" s="5">
        <v>545.1</v>
      </c>
      <c r="E5" s="5">
        <v>536.6</v>
      </c>
      <c r="F5" s="5">
        <v>227.2</v>
      </c>
      <c r="G5" s="5">
        <v>123.6</v>
      </c>
      <c r="H5" s="5">
        <v>58.3</v>
      </c>
      <c r="I5" s="5">
        <v>45.4</v>
      </c>
      <c r="J5" s="5">
        <v>7.4</v>
      </c>
      <c r="K5" s="5">
        <v>2168.1</v>
      </c>
      <c r="L5" s="5">
        <v>2175.5</v>
      </c>
      <c r="N5" s="5"/>
      <c r="O5" s="5"/>
      <c r="P5" s="5"/>
      <c r="Q5" s="5"/>
      <c r="R5" s="5"/>
      <c r="S5" s="5"/>
      <c r="T5" s="5"/>
      <c r="U5" s="5"/>
      <c r="V5" s="5"/>
      <c r="W5" s="5"/>
    </row>
    <row r="6" spans="1:25" ht="15" customHeight="1" x14ac:dyDescent="0.25">
      <c r="A6" s="194"/>
      <c r="B6" s="4" t="s">
        <v>21</v>
      </c>
      <c r="C6" s="5">
        <v>45.7</v>
      </c>
      <c r="D6" s="5">
        <v>0.1</v>
      </c>
      <c r="E6" s="5">
        <v>8</v>
      </c>
      <c r="F6" s="5" t="s">
        <v>146</v>
      </c>
      <c r="G6" s="5">
        <v>0.6</v>
      </c>
      <c r="H6" s="5">
        <v>1.5</v>
      </c>
      <c r="I6" s="5" t="s">
        <v>146</v>
      </c>
      <c r="J6" s="5">
        <v>7.9</v>
      </c>
      <c r="K6" s="5">
        <v>55.8</v>
      </c>
      <c r="L6" s="5">
        <v>63.7</v>
      </c>
      <c r="N6" s="5"/>
      <c r="O6" s="5"/>
      <c r="P6" s="5"/>
      <c r="Q6" s="5"/>
      <c r="R6" s="5"/>
      <c r="S6" s="5"/>
      <c r="T6" s="5"/>
      <c r="U6" s="5"/>
      <c r="V6" s="5"/>
      <c r="W6" s="5"/>
    </row>
    <row r="7" spans="1:25" ht="15" customHeight="1" x14ac:dyDescent="0.25">
      <c r="A7" s="194"/>
      <c r="B7" s="100" t="s">
        <v>12</v>
      </c>
      <c r="C7" s="101">
        <v>1311.2</v>
      </c>
      <c r="D7" s="101">
        <v>676.5</v>
      </c>
      <c r="E7" s="101">
        <v>1300.3</v>
      </c>
      <c r="F7" s="101">
        <v>679.8</v>
      </c>
      <c r="G7" s="101">
        <v>258.39999999999998</v>
      </c>
      <c r="H7" s="101">
        <v>83.8</v>
      </c>
      <c r="I7" s="101">
        <v>61.8</v>
      </c>
      <c r="J7" s="101">
        <v>152.1</v>
      </c>
      <c r="K7" s="101">
        <v>4371.8</v>
      </c>
      <c r="L7" s="101">
        <v>4523.8999999999996</v>
      </c>
      <c r="N7" s="5"/>
      <c r="O7" s="5"/>
      <c r="P7" s="5"/>
      <c r="Q7" s="5"/>
      <c r="R7" s="5"/>
      <c r="S7" s="5"/>
      <c r="T7" s="5"/>
      <c r="U7" s="5"/>
      <c r="V7" s="5"/>
      <c r="W7" s="5"/>
    </row>
    <row r="8" spans="1:25" ht="15" customHeight="1" x14ac:dyDescent="0.25">
      <c r="A8" s="194" t="s">
        <v>212</v>
      </c>
      <c r="B8" s="4" t="s">
        <v>19</v>
      </c>
      <c r="C8" s="5">
        <v>578.20000000000005</v>
      </c>
      <c r="D8" s="5">
        <v>122</v>
      </c>
      <c r="E8" s="5">
        <v>759.2</v>
      </c>
      <c r="F8" s="5">
        <v>451.8</v>
      </c>
      <c r="G8" s="5">
        <v>146.19999999999999</v>
      </c>
      <c r="H8" s="5">
        <v>21.8</v>
      </c>
      <c r="I8" s="5">
        <v>15.9</v>
      </c>
      <c r="J8" s="5">
        <v>138.69999999999999</v>
      </c>
      <c r="K8" s="5">
        <v>2095</v>
      </c>
      <c r="L8" s="5">
        <v>2233.6999999999998</v>
      </c>
      <c r="N8" s="5"/>
      <c r="O8" s="5"/>
      <c r="P8" s="5"/>
      <c r="Q8" s="5"/>
      <c r="R8" s="5"/>
      <c r="S8" s="5"/>
      <c r="T8" s="5"/>
      <c r="U8" s="5"/>
      <c r="V8" s="5"/>
      <c r="W8" s="5"/>
    </row>
    <row r="9" spans="1:25" ht="15" customHeight="1" x14ac:dyDescent="0.25">
      <c r="A9" s="194"/>
      <c r="B9" s="4" t="s">
        <v>20</v>
      </c>
      <c r="C9" s="5">
        <v>579.79999999999995</v>
      </c>
      <c r="D9" s="5">
        <v>511.6</v>
      </c>
      <c r="E9" s="5">
        <v>511.6</v>
      </c>
      <c r="F9" s="5">
        <v>223.2</v>
      </c>
      <c r="G9" s="5">
        <v>114.3</v>
      </c>
      <c r="H9" s="5">
        <v>60</v>
      </c>
      <c r="I9" s="5">
        <v>46.8</v>
      </c>
      <c r="J9" s="5">
        <v>5.6</v>
      </c>
      <c r="K9" s="5">
        <v>2047.3</v>
      </c>
      <c r="L9" s="5">
        <v>2052.9</v>
      </c>
      <c r="N9" s="5"/>
      <c r="O9" s="5"/>
      <c r="P9" s="5"/>
      <c r="Q9" s="5"/>
      <c r="R9" s="5"/>
      <c r="S9" s="5"/>
      <c r="T9" s="5"/>
      <c r="U9" s="5"/>
      <c r="V9" s="5"/>
      <c r="W9" s="5"/>
    </row>
    <row r="10" spans="1:25" ht="15" customHeight="1" x14ac:dyDescent="0.25">
      <c r="A10" s="194"/>
      <c r="B10" s="4" t="s">
        <v>21</v>
      </c>
      <c r="C10" s="5">
        <v>40</v>
      </c>
      <c r="D10" s="5">
        <v>0.7</v>
      </c>
      <c r="E10" s="5">
        <v>3.5</v>
      </c>
      <c r="F10" s="5" t="s">
        <v>146</v>
      </c>
      <c r="G10" s="5">
        <v>0.6</v>
      </c>
      <c r="H10" s="5">
        <v>3.8</v>
      </c>
      <c r="I10" s="5" t="s">
        <v>146</v>
      </c>
      <c r="J10" s="5">
        <v>8</v>
      </c>
      <c r="K10" s="5">
        <v>48.6</v>
      </c>
      <c r="L10" s="5">
        <v>56.6</v>
      </c>
      <c r="N10" s="5"/>
      <c r="O10" s="5"/>
      <c r="P10" s="5"/>
      <c r="Q10" s="5"/>
      <c r="R10" s="5"/>
      <c r="S10" s="5"/>
      <c r="T10" s="5"/>
      <c r="U10" s="5"/>
      <c r="V10" s="5"/>
      <c r="W10" s="5"/>
    </row>
    <row r="11" spans="1:25" ht="15" customHeight="1" x14ac:dyDescent="0.25">
      <c r="A11" s="194"/>
      <c r="B11" s="100" t="s">
        <v>12</v>
      </c>
      <c r="C11" s="101">
        <v>1197.9000000000001</v>
      </c>
      <c r="D11" s="101">
        <v>634.20000000000005</v>
      </c>
      <c r="E11" s="101">
        <v>1274.3</v>
      </c>
      <c r="F11" s="101">
        <v>675</v>
      </c>
      <c r="G11" s="101">
        <v>261.10000000000002</v>
      </c>
      <c r="H11" s="101">
        <v>85.6</v>
      </c>
      <c r="I11" s="101">
        <v>62.7</v>
      </c>
      <c r="J11" s="101">
        <v>152.30000000000001</v>
      </c>
      <c r="K11" s="101">
        <v>4190.8</v>
      </c>
      <c r="L11" s="101">
        <v>4343.2</v>
      </c>
      <c r="N11" s="5"/>
      <c r="O11" s="5"/>
      <c r="P11" s="5"/>
      <c r="Q11" s="5"/>
      <c r="R11" s="5"/>
      <c r="S11" s="5"/>
      <c r="T11" s="5"/>
      <c r="U11" s="5"/>
      <c r="V11" s="5"/>
      <c r="W11" s="5"/>
    </row>
    <row r="12" spans="1:25" ht="15" customHeight="1" x14ac:dyDescent="0.25">
      <c r="A12" s="194" t="s">
        <v>213</v>
      </c>
      <c r="B12" s="4" t="s">
        <v>19</v>
      </c>
      <c r="C12" s="5">
        <v>552.5</v>
      </c>
      <c r="D12" s="5">
        <v>109.8</v>
      </c>
      <c r="E12" s="5">
        <v>862.5</v>
      </c>
      <c r="F12" s="5">
        <v>451.9</v>
      </c>
      <c r="G12" s="5">
        <v>115.5</v>
      </c>
      <c r="H12" s="5">
        <v>30.9</v>
      </c>
      <c r="I12" s="5">
        <v>23.8</v>
      </c>
      <c r="J12" s="5">
        <v>131</v>
      </c>
      <c r="K12" s="5">
        <v>2146.8000000000002</v>
      </c>
      <c r="L12" s="5">
        <v>2277.8000000000002</v>
      </c>
      <c r="N12" s="5"/>
      <c r="O12" s="5"/>
      <c r="P12" s="5"/>
      <c r="Q12" s="5"/>
      <c r="R12" s="5"/>
      <c r="S12" s="5"/>
      <c r="T12" s="5"/>
      <c r="U12" s="5"/>
      <c r="V12" s="5"/>
      <c r="W12" s="5"/>
    </row>
    <row r="13" spans="1:25" ht="15" customHeight="1" x14ac:dyDescent="0.25">
      <c r="A13" s="194"/>
      <c r="B13" s="4" t="s">
        <v>20</v>
      </c>
      <c r="C13" s="5">
        <v>573.6</v>
      </c>
      <c r="D13" s="5">
        <v>513.6</v>
      </c>
      <c r="E13" s="5">
        <v>567.5</v>
      </c>
      <c r="F13" s="5">
        <v>226.6</v>
      </c>
      <c r="G13" s="5">
        <v>106.3</v>
      </c>
      <c r="H13" s="5">
        <v>67.900000000000006</v>
      </c>
      <c r="I13" s="5">
        <v>62.7</v>
      </c>
      <c r="J13" s="5">
        <v>4</v>
      </c>
      <c r="K13" s="5">
        <v>2118.1999999999998</v>
      </c>
      <c r="L13" s="5">
        <v>2122.1999999999998</v>
      </c>
      <c r="N13" s="5"/>
      <c r="O13" s="5"/>
      <c r="P13" s="5"/>
      <c r="Q13" s="5"/>
      <c r="R13" s="5"/>
      <c r="S13" s="5"/>
      <c r="T13" s="5"/>
      <c r="U13" s="5"/>
      <c r="V13" s="5"/>
      <c r="W13" s="5"/>
    </row>
    <row r="14" spans="1:25" ht="15" customHeight="1" x14ac:dyDescent="0.25">
      <c r="A14" s="194"/>
      <c r="B14" s="4" t="s">
        <v>21</v>
      </c>
      <c r="C14" s="5">
        <v>51.6</v>
      </c>
      <c r="D14" s="5">
        <v>1</v>
      </c>
      <c r="E14" s="5">
        <v>6.4</v>
      </c>
      <c r="F14" s="5" t="s">
        <v>146</v>
      </c>
      <c r="G14" s="5">
        <v>1.3</v>
      </c>
      <c r="H14" s="5">
        <v>4.9000000000000004</v>
      </c>
      <c r="I14" s="5" t="s">
        <v>146</v>
      </c>
      <c r="J14" s="5">
        <v>4.2</v>
      </c>
      <c r="K14" s="5">
        <v>65.2</v>
      </c>
      <c r="L14" s="5">
        <v>69.5</v>
      </c>
      <c r="N14" s="5"/>
      <c r="O14" s="5"/>
      <c r="P14" s="5"/>
      <c r="Q14" s="5"/>
      <c r="R14" s="5"/>
      <c r="S14" s="5"/>
      <c r="T14" s="5"/>
      <c r="U14" s="5"/>
      <c r="V14" s="5"/>
      <c r="W14" s="5"/>
    </row>
    <row r="15" spans="1:25" ht="15" customHeight="1" x14ac:dyDescent="0.25">
      <c r="A15" s="194"/>
      <c r="B15" s="100" t="s">
        <v>12</v>
      </c>
      <c r="C15" s="101">
        <v>1177.7</v>
      </c>
      <c r="D15" s="101">
        <v>624.4</v>
      </c>
      <c r="E15" s="101">
        <v>1436.4</v>
      </c>
      <c r="F15" s="101">
        <v>678.6</v>
      </c>
      <c r="G15" s="101">
        <v>223.1</v>
      </c>
      <c r="H15" s="101">
        <v>103.6</v>
      </c>
      <c r="I15" s="101">
        <v>86.5</v>
      </c>
      <c r="J15" s="101">
        <v>139.30000000000001</v>
      </c>
      <c r="K15" s="101">
        <v>4330.3</v>
      </c>
      <c r="L15" s="101">
        <v>4469.5</v>
      </c>
      <c r="N15" s="5"/>
      <c r="O15" s="5"/>
      <c r="P15" s="5"/>
      <c r="Q15" s="5"/>
      <c r="R15" s="5"/>
      <c r="S15" s="5"/>
      <c r="T15" s="5"/>
      <c r="U15" s="5"/>
      <c r="V15" s="5"/>
      <c r="W15" s="5"/>
    </row>
    <row r="16" spans="1:25" ht="15" customHeight="1" x14ac:dyDescent="0.25">
      <c r="A16" s="194" t="s">
        <v>214</v>
      </c>
      <c r="B16" s="4" t="s">
        <v>19</v>
      </c>
      <c r="C16" s="5">
        <v>536.29999999999995</v>
      </c>
      <c r="D16" s="5">
        <v>102.9</v>
      </c>
      <c r="E16" s="5">
        <v>956.5</v>
      </c>
      <c r="F16" s="5">
        <v>418.9</v>
      </c>
      <c r="G16" s="5">
        <v>96.6</v>
      </c>
      <c r="H16" s="5">
        <v>36.1</v>
      </c>
      <c r="I16" s="5">
        <v>14.7</v>
      </c>
      <c r="J16" s="5">
        <v>135.1</v>
      </c>
      <c r="K16" s="5">
        <v>2161.9</v>
      </c>
      <c r="L16" s="5">
        <v>2297</v>
      </c>
      <c r="N16" s="5"/>
      <c r="O16" s="5"/>
      <c r="P16" s="5"/>
      <c r="Q16" s="5"/>
      <c r="R16" s="5"/>
      <c r="S16" s="5"/>
      <c r="T16" s="5"/>
      <c r="U16" s="5"/>
      <c r="V16" s="5"/>
      <c r="W16" s="5"/>
    </row>
    <row r="17" spans="1:24" ht="15" customHeight="1" x14ac:dyDescent="0.25">
      <c r="A17" s="194"/>
      <c r="B17" s="4" t="s">
        <v>20</v>
      </c>
      <c r="C17" s="5">
        <v>605</v>
      </c>
      <c r="D17" s="5">
        <v>486</v>
      </c>
      <c r="E17" s="5">
        <v>531.5</v>
      </c>
      <c r="F17" s="5">
        <v>249.3</v>
      </c>
      <c r="G17" s="5">
        <v>95.2</v>
      </c>
      <c r="H17" s="5">
        <v>75.2</v>
      </c>
      <c r="I17" s="5">
        <v>47.5</v>
      </c>
      <c r="J17" s="5">
        <v>5.2</v>
      </c>
      <c r="K17" s="5">
        <v>2089.6999999999998</v>
      </c>
      <c r="L17" s="5">
        <v>2094.9</v>
      </c>
      <c r="N17" s="5"/>
      <c r="O17" s="5"/>
      <c r="P17" s="5"/>
      <c r="Q17" s="5"/>
      <c r="R17" s="5"/>
      <c r="S17" s="5"/>
      <c r="T17" s="5"/>
      <c r="U17" s="5"/>
      <c r="V17" s="5"/>
      <c r="W17" s="5"/>
    </row>
    <row r="18" spans="1:24" ht="15" customHeight="1" x14ac:dyDescent="0.25">
      <c r="A18" s="194"/>
      <c r="B18" s="4" t="s">
        <v>21</v>
      </c>
      <c r="C18" s="5">
        <v>35.799999999999997</v>
      </c>
      <c r="D18" s="5" t="s">
        <v>146</v>
      </c>
      <c r="E18" s="5">
        <v>4.9000000000000004</v>
      </c>
      <c r="F18" s="5" t="s">
        <v>146</v>
      </c>
      <c r="G18" s="5">
        <v>1</v>
      </c>
      <c r="H18" s="5">
        <v>8.6</v>
      </c>
      <c r="I18" s="5" t="s">
        <v>146</v>
      </c>
      <c r="J18" s="5">
        <v>2.1</v>
      </c>
      <c r="K18" s="5">
        <v>50.3</v>
      </c>
      <c r="L18" s="5">
        <v>52.4</v>
      </c>
      <c r="N18" s="5"/>
      <c r="O18" s="5"/>
      <c r="P18" s="5"/>
      <c r="Q18" s="5"/>
      <c r="R18" s="5"/>
      <c r="S18" s="5"/>
      <c r="T18" s="5"/>
      <c r="U18" s="5"/>
      <c r="V18" s="5"/>
      <c r="W18" s="5"/>
    </row>
    <row r="19" spans="1:24" ht="15" customHeight="1" x14ac:dyDescent="0.25">
      <c r="A19" s="194"/>
      <c r="B19" s="100" t="s">
        <v>12</v>
      </c>
      <c r="C19" s="101">
        <v>1177.0999999999999</v>
      </c>
      <c r="D19" s="101">
        <v>589</v>
      </c>
      <c r="E19" s="101">
        <v>1492.8</v>
      </c>
      <c r="F19" s="101">
        <v>668.1</v>
      </c>
      <c r="G19" s="101">
        <v>192.8</v>
      </c>
      <c r="H19" s="101">
        <v>119.8</v>
      </c>
      <c r="I19" s="101">
        <v>62.2</v>
      </c>
      <c r="J19" s="101">
        <v>142.4</v>
      </c>
      <c r="K19" s="101">
        <v>4301.8999999999996</v>
      </c>
      <c r="L19" s="101">
        <v>4444.2</v>
      </c>
      <c r="N19" s="5"/>
      <c r="O19" s="5"/>
      <c r="P19" s="5"/>
      <c r="Q19" s="5"/>
      <c r="R19" s="5"/>
      <c r="S19" s="5"/>
      <c r="T19" s="5"/>
      <c r="U19" s="5"/>
      <c r="V19" s="5"/>
      <c r="W19" s="5"/>
    </row>
    <row r="20" spans="1:24" ht="15" customHeight="1" x14ac:dyDescent="0.25">
      <c r="A20" s="194" t="s">
        <v>215</v>
      </c>
      <c r="B20" s="4" t="s">
        <v>19</v>
      </c>
      <c r="C20" s="5">
        <v>516.5</v>
      </c>
      <c r="D20" s="5">
        <v>85.8</v>
      </c>
      <c r="E20" s="5">
        <v>828.8</v>
      </c>
      <c r="F20" s="5">
        <v>360.9</v>
      </c>
      <c r="G20" s="5">
        <v>98.8</v>
      </c>
      <c r="H20" s="5">
        <v>39.4</v>
      </c>
      <c r="I20" s="5">
        <v>15.1</v>
      </c>
      <c r="J20" s="5">
        <v>123.5</v>
      </c>
      <c r="K20" s="5">
        <v>1945.3</v>
      </c>
      <c r="L20" s="5">
        <v>2068.8000000000002</v>
      </c>
      <c r="N20" s="5"/>
      <c r="O20" s="5"/>
      <c r="P20" s="5"/>
      <c r="Q20" s="5"/>
      <c r="R20" s="5"/>
      <c r="S20" s="5"/>
      <c r="T20" s="5"/>
      <c r="U20" s="5"/>
      <c r="V20" s="5"/>
      <c r="W20" s="5"/>
    </row>
    <row r="21" spans="1:24" ht="15" customHeight="1" x14ac:dyDescent="0.25">
      <c r="A21" s="194"/>
      <c r="B21" s="4" t="s">
        <v>20</v>
      </c>
      <c r="C21" s="5">
        <v>571.9</v>
      </c>
      <c r="D21" s="5">
        <v>466.6</v>
      </c>
      <c r="E21" s="5">
        <v>435.3</v>
      </c>
      <c r="F21" s="5">
        <v>238.3</v>
      </c>
      <c r="G21" s="5">
        <v>101.5</v>
      </c>
      <c r="H21" s="5">
        <v>67.5</v>
      </c>
      <c r="I21" s="5">
        <v>48.4</v>
      </c>
      <c r="J21" s="5">
        <v>6.1</v>
      </c>
      <c r="K21" s="5">
        <v>1929.5</v>
      </c>
      <c r="L21" s="5">
        <v>1935.6</v>
      </c>
      <c r="N21" s="5"/>
      <c r="O21" s="5"/>
      <c r="P21" s="5"/>
      <c r="Q21" s="5"/>
      <c r="R21" s="5"/>
      <c r="S21" s="5"/>
      <c r="T21" s="5"/>
      <c r="U21" s="5"/>
      <c r="V21" s="5"/>
      <c r="W21" s="5"/>
    </row>
    <row r="22" spans="1:24" ht="15" customHeight="1" x14ac:dyDescent="0.25">
      <c r="A22" s="194"/>
      <c r="B22" s="4" t="s">
        <v>21</v>
      </c>
      <c r="C22" s="5">
        <v>40.700000000000003</v>
      </c>
      <c r="D22" s="5" t="s">
        <v>146</v>
      </c>
      <c r="E22" s="5">
        <v>3.3</v>
      </c>
      <c r="F22" s="5" t="s">
        <v>146</v>
      </c>
      <c r="G22" s="5">
        <v>1.5</v>
      </c>
      <c r="H22" s="5">
        <v>7.5</v>
      </c>
      <c r="I22" s="5" t="s">
        <v>146</v>
      </c>
      <c r="J22" s="5">
        <v>0.9</v>
      </c>
      <c r="K22" s="5">
        <v>53</v>
      </c>
      <c r="L22" s="5">
        <v>53.9</v>
      </c>
      <c r="N22" s="5"/>
      <c r="O22" s="5"/>
      <c r="P22" s="5"/>
      <c r="Q22" s="5"/>
      <c r="R22" s="5"/>
      <c r="S22" s="5"/>
      <c r="T22" s="5"/>
      <c r="U22" s="5"/>
      <c r="V22" s="5"/>
      <c r="W22" s="5"/>
    </row>
    <row r="23" spans="1:24" ht="15" customHeight="1" x14ac:dyDescent="0.25">
      <c r="A23" s="194"/>
      <c r="B23" s="100" t="s">
        <v>12</v>
      </c>
      <c r="C23" s="101">
        <v>1129.0999999999999</v>
      </c>
      <c r="D23" s="101">
        <v>552.4</v>
      </c>
      <c r="E23" s="101">
        <v>1267.4000000000001</v>
      </c>
      <c r="F23" s="101">
        <v>599.20000000000005</v>
      </c>
      <c r="G23" s="101">
        <v>201.7</v>
      </c>
      <c r="H23" s="101">
        <v>114.4</v>
      </c>
      <c r="I23" s="101">
        <v>63.5</v>
      </c>
      <c r="J23" s="101">
        <v>130.5</v>
      </c>
      <c r="K23" s="101">
        <v>3927.7</v>
      </c>
      <c r="L23" s="101">
        <v>4058.2</v>
      </c>
      <c r="N23" s="5"/>
      <c r="O23" s="5"/>
      <c r="P23" s="5"/>
      <c r="Q23" s="5"/>
      <c r="R23" s="5"/>
      <c r="S23" s="5"/>
      <c r="T23" s="5"/>
      <c r="U23" s="5"/>
      <c r="V23" s="5"/>
      <c r="W23" s="5"/>
    </row>
    <row r="24" spans="1:24" ht="15" customHeight="1" x14ac:dyDescent="0.25">
      <c r="A24" s="194" t="s">
        <v>216</v>
      </c>
      <c r="B24" s="4" t="s">
        <v>19</v>
      </c>
      <c r="C24" s="5">
        <v>451.7</v>
      </c>
      <c r="D24" s="5">
        <v>75.3</v>
      </c>
      <c r="E24" s="5">
        <v>739.3</v>
      </c>
      <c r="F24" s="5">
        <v>280.10000000000002</v>
      </c>
      <c r="G24" s="5">
        <v>77</v>
      </c>
      <c r="H24" s="5">
        <v>27.1</v>
      </c>
      <c r="I24" s="5">
        <v>9</v>
      </c>
      <c r="J24" s="5">
        <v>95.9</v>
      </c>
      <c r="K24" s="5">
        <v>1659.4</v>
      </c>
      <c r="L24" s="5">
        <v>1755.3</v>
      </c>
      <c r="N24" s="5"/>
      <c r="O24" s="5"/>
      <c r="P24" s="5"/>
      <c r="Q24" s="5"/>
      <c r="R24" s="5"/>
      <c r="S24" s="5"/>
      <c r="T24" s="5"/>
      <c r="U24" s="5"/>
      <c r="V24" s="5"/>
      <c r="W24" s="5"/>
    </row>
    <row r="25" spans="1:24" ht="15" customHeight="1" x14ac:dyDescent="0.25">
      <c r="A25" s="194"/>
      <c r="B25" s="4" t="s">
        <v>20</v>
      </c>
      <c r="C25" s="5">
        <v>553.4</v>
      </c>
      <c r="D25" s="5">
        <v>375.7</v>
      </c>
      <c r="E25" s="5">
        <v>390.4</v>
      </c>
      <c r="F25" s="5">
        <v>173.5</v>
      </c>
      <c r="G25" s="5">
        <v>84.4</v>
      </c>
      <c r="H25" s="5">
        <v>51.3</v>
      </c>
      <c r="I25" s="5">
        <v>47</v>
      </c>
      <c r="J25" s="5">
        <v>5.2</v>
      </c>
      <c r="K25" s="5">
        <v>1675.6</v>
      </c>
      <c r="L25" s="5">
        <v>1680.7</v>
      </c>
      <c r="N25" s="5"/>
      <c r="O25" s="5"/>
      <c r="P25" s="5"/>
      <c r="Q25" s="5"/>
      <c r="R25" s="5"/>
      <c r="S25" s="5"/>
      <c r="T25" s="5"/>
      <c r="U25" s="5"/>
      <c r="V25" s="5"/>
      <c r="W25" s="5"/>
    </row>
    <row r="26" spans="1:24" ht="15" customHeight="1" x14ac:dyDescent="0.25">
      <c r="A26" s="194"/>
      <c r="B26" s="4" t="s">
        <v>21</v>
      </c>
      <c r="C26" s="5">
        <v>39.1</v>
      </c>
      <c r="D26" s="5">
        <v>0.1</v>
      </c>
      <c r="E26" s="5">
        <v>3.2</v>
      </c>
      <c r="F26" s="5" t="s">
        <v>146</v>
      </c>
      <c r="G26" s="5">
        <v>0.6</v>
      </c>
      <c r="H26" s="5">
        <v>1.8</v>
      </c>
      <c r="I26" s="5" t="s">
        <v>146</v>
      </c>
      <c r="J26" s="5">
        <v>1.1000000000000001</v>
      </c>
      <c r="K26" s="5">
        <v>44.9</v>
      </c>
      <c r="L26" s="5">
        <v>45.9</v>
      </c>
      <c r="N26" s="5"/>
      <c r="O26" s="5"/>
      <c r="P26" s="5"/>
      <c r="Q26" s="5"/>
      <c r="R26" s="5"/>
      <c r="S26" s="5"/>
      <c r="T26" s="5"/>
      <c r="U26" s="5"/>
      <c r="V26" s="5"/>
      <c r="W26" s="5"/>
    </row>
    <row r="27" spans="1:24" ht="15" customHeight="1" x14ac:dyDescent="0.25">
      <c r="A27" s="194"/>
      <c r="B27" s="100" t="s">
        <v>12</v>
      </c>
      <c r="C27" s="101">
        <v>1044.2</v>
      </c>
      <c r="D27" s="101">
        <v>451</v>
      </c>
      <c r="E27" s="101">
        <v>1133</v>
      </c>
      <c r="F27" s="101">
        <v>453.5</v>
      </c>
      <c r="G27" s="101">
        <v>161.9</v>
      </c>
      <c r="H27" s="101">
        <v>80.099999999999994</v>
      </c>
      <c r="I27" s="101">
        <v>56.1</v>
      </c>
      <c r="J27" s="101">
        <v>102.1</v>
      </c>
      <c r="K27" s="101">
        <v>3379.9</v>
      </c>
      <c r="L27" s="101">
        <v>3482</v>
      </c>
      <c r="N27" s="5"/>
      <c r="O27" s="5"/>
      <c r="P27" s="5"/>
      <c r="Q27" s="5"/>
      <c r="R27" s="5"/>
      <c r="S27" s="5"/>
      <c r="T27" s="5"/>
      <c r="U27" s="5"/>
      <c r="V27" s="5"/>
      <c r="W27" s="5"/>
    </row>
    <row r="28" spans="1:24" ht="15" customHeight="1" x14ac:dyDescent="0.25">
      <c r="A28" s="194" t="s">
        <v>217</v>
      </c>
      <c r="B28" s="4" t="s">
        <v>19</v>
      </c>
      <c r="C28" s="5">
        <v>444</v>
      </c>
      <c r="D28" s="5">
        <v>61.5</v>
      </c>
      <c r="E28" s="5">
        <v>773.2</v>
      </c>
      <c r="F28" s="5">
        <v>315.8</v>
      </c>
      <c r="G28" s="5">
        <v>84.7</v>
      </c>
      <c r="H28" s="5">
        <v>23.7</v>
      </c>
      <c r="I28" s="5">
        <v>7.5</v>
      </c>
      <c r="J28" s="5">
        <v>141.6</v>
      </c>
      <c r="K28" s="5">
        <v>1710.5</v>
      </c>
      <c r="L28" s="5">
        <v>1852.1</v>
      </c>
      <c r="N28" s="5"/>
      <c r="O28" s="5"/>
      <c r="P28" s="5"/>
      <c r="Q28" s="5"/>
      <c r="R28" s="5"/>
      <c r="S28" s="5"/>
      <c r="T28" s="5"/>
      <c r="U28" s="5"/>
      <c r="V28" s="5"/>
      <c r="W28" s="5"/>
    </row>
    <row r="29" spans="1:24" ht="15" customHeight="1" x14ac:dyDescent="0.25">
      <c r="A29" s="194"/>
      <c r="B29" s="4" t="s">
        <v>20</v>
      </c>
      <c r="C29" s="5">
        <v>483.7</v>
      </c>
      <c r="D29" s="5">
        <v>302.5</v>
      </c>
      <c r="E29" s="5">
        <v>401.3</v>
      </c>
      <c r="F29" s="5">
        <v>170.3</v>
      </c>
      <c r="G29" s="5">
        <v>93.7</v>
      </c>
      <c r="H29" s="5">
        <v>41.6</v>
      </c>
      <c r="I29" s="5">
        <v>40.799999999999997</v>
      </c>
      <c r="J29" s="5">
        <v>7.5</v>
      </c>
      <c r="K29" s="5">
        <v>1534</v>
      </c>
      <c r="L29" s="5">
        <v>1541.5</v>
      </c>
      <c r="N29" s="5"/>
      <c r="O29" s="5"/>
      <c r="P29" s="5"/>
      <c r="Q29" s="5"/>
      <c r="R29" s="5"/>
      <c r="S29" s="5"/>
      <c r="T29" s="5"/>
      <c r="U29" s="5"/>
      <c r="V29" s="5"/>
      <c r="W29" s="5"/>
      <c r="X29" s="144"/>
    </row>
    <row r="30" spans="1:24" ht="15" customHeight="1" x14ac:dyDescent="0.25">
      <c r="A30" s="194"/>
      <c r="B30" s="4" t="s">
        <v>21</v>
      </c>
      <c r="C30" s="5">
        <v>31.3</v>
      </c>
      <c r="D30" s="5" t="s">
        <v>146</v>
      </c>
      <c r="E30" s="5">
        <v>1.5</v>
      </c>
      <c r="F30" s="5" t="s">
        <v>146</v>
      </c>
      <c r="G30" s="5">
        <v>0.4</v>
      </c>
      <c r="H30" s="5">
        <v>0.2</v>
      </c>
      <c r="I30" s="5" t="s">
        <v>146</v>
      </c>
      <c r="J30" s="5">
        <v>3.1</v>
      </c>
      <c r="K30" s="5">
        <v>33.4</v>
      </c>
      <c r="L30" s="5">
        <v>36.5</v>
      </c>
      <c r="N30" s="5"/>
      <c r="O30" s="5"/>
      <c r="P30" s="5"/>
      <c r="Q30" s="5"/>
      <c r="R30" s="5"/>
      <c r="S30" s="5"/>
      <c r="T30" s="5"/>
      <c r="U30" s="5"/>
      <c r="V30" s="5"/>
      <c r="W30" s="5"/>
      <c r="X30" s="144"/>
    </row>
    <row r="31" spans="1:24" ht="15" customHeight="1" x14ac:dyDescent="0.25">
      <c r="A31" s="194"/>
      <c r="B31" s="100" t="s">
        <v>12</v>
      </c>
      <c r="C31" s="101">
        <v>959</v>
      </c>
      <c r="D31" s="101">
        <v>364</v>
      </c>
      <c r="E31" s="101">
        <v>1175.9000000000001</v>
      </c>
      <c r="F31" s="101">
        <v>486.2</v>
      </c>
      <c r="G31" s="101">
        <v>178.9</v>
      </c>
      <c r="H31" s="101">
        <v>65.5</v>
      </c>
      <c r="I31" s="101">
        <v>48.4</v>
      </c>
      <c r="J31" s="101">
        <v>152.19999999999999</v>
      </c>
      <c r="K31" s="101">
        <v>3277.9</v>
      </c>
      <c r="L31" s="101">
        <v>3430.1</v>
      </c>
      <c r="N31" s="5"/>
      <c r="O31" s="5"/>
      <c r="P31" s="5"/>
      <c r="Q31" s="5"/>
      <c r="R31" s="5"/>
      <c r="S31" s="5"/>
      <c r="T31" s="5"/>
      <c r="U31" s="5"/>
      <c r="V31" s="5"/>
      <c r="W31" s="5"/>
      <c r="X31" s="144"/>
    </row>
    <row r="32" spans="1:24" ht="15" customHeight="1" x14ac:dyDescent="0.25">
      <c r="A32" s="194" t="s">
        <v>218</v>
      </c>
      <c r="B32" s="4" t="s">
        <v>19</v>
      </c>
      <c r="C32" s="5">
        <v>476.7</v>
      </c>
      <c r="D32" s="5">
        <v>47.2</v>
      </c>
      <c r="E32" s="5">
        <v>784.1</v>
      </c>
      <c r="F32" s="5">
        <v>347.4</v>
      </c>
      <c r="G32" s="5">
        <v>102.9</v>
      </c>
      <c r="H32" s="5">
        <v>24.5</v>
      </c>
      <c r="I32" s="5">
        <v>11.5</v>
      </c>
      <c r="J32" s="5">
        <v>205</v>
      </c>
      <c r="K32" s="5">
        <v>1794.3</v>
      </c>
      <c r="L32" s="5">
        <v>1999.3</v>
      </c>
      <c r="N32" s="5"/>
      <c r="O32" s="5"/>
      <c r="P32" s="5"/>
      <c r="Q32" s="5"/>
      <c r="R32" s="5"/>
      <c r="S32" s="5"/>
      <c r="T32" s="5"/>
      <c r="U32" s="5"/>
      <c r="V32" s="5"/>
      <c r="W32" s="5"/>
      <c r="X32" s="144"/>
    </row>
    <row r="33" spans="1:26" ht="15" customHeight="1" x14ac:dyDescent="0.25">
      <c r="A33" s="194"/>
      <c r="B33" s="4" t="s">
        <v>20</v>
      </c>
      <c r="C33" s="5">
        <v>385.9</v>
      </c>
      <c r="D33" s="5">
        <v>256.89999999999998</v>
      </c>
      <c r="E33" s="5">
        <v>377.2</v>
      </c>
      <c r="F33" s="5">
        <v>184.8</v>
      </c>
      <c r="G33" s="5">
        <v>109.3</v>
      </c>
      <c r="H33" s="5">
        <v>54.3</v>
      </c>
      <c r="I33" s="5">
        <v>42.8</v>
      </c>
      <c r="J33" s="5">
        <v>6.5</v>
      </c>
      <c r="K33" s="5">
        <v>1411.2</v>
      </c>
      <c r="L33" s="5">
        <v>1417.6</v>
      </c>
      <c r="N33" s="5"/>
      <c r="O33" s="5"/>
      <c r="P33" s="5"/>
      <c r="Q33" s="5"/>
      <c r="R33" s="5"/>
      <c r="S33" s="5"/>
      <c r="T33" s="5"/>
      <c r="U33" s="5"/>
      <c r="V33" s="5"/>
      <c r="W33" s="5"/>
      <c r="X33" s="144"/>
    </row>
    <row r="34" spans="1:26" ht="15" customHeight="1" x14ac:dyDescent="0.25">
      <c r="A34" s="194"/>
      <c r="B34" s="4" t="s">
        <v>21</v>
      </c>
      <c r="C34" s="5">
        <v>28.7</v>
      </c>
      <c r="D34" s="5" t="s">
        <v>146</v>
      </c>
      <c r="E34" s="5">
        <v>1.7</v>
      </c>
      <c r="F34" s="5" t="s">
        <v>146</v>
      </c>
      <c r="G34" s="5">
        <v>1.6</v>
      </c>
      <c r="H34" s="5">
        <v>0.6</v>
      </c>
      <c r="I34" s="5">
        <v>0.4</v>
      </c>
      <c r="J34" s="5">
        <v>5.4</v>
      </c>
      <c r="K34" s="5">
        <v>33</v>
      </c>
      <c r="L34" s="5">
        <v>38.4</v>
      </c>
      <c r="N34" s="5"/>
      <c r="O34" s="5"/>
      <c r="P34" s="5"/>
      <c r="Q34" s="5"/>
      <c r="R34" s="5"/>
      <c r="S34" s="5"/>
      <c r="T34" s="5"/>
      <c r="U34" s="5"/>
      <c r="V34" s="5"/>
      <c r="W34" s="5"/>
      <c r="X34" s="144"/>
    </row>
    <row r="35" spans="1:26" ht="15" customHeight="1" x14ac:dyDescent="0.25">
      <c r="A35" s="194"/>
      <c r="B35" s="100" t="s">
        <v>12</v>
      </c>
      <c r="C35" s="101">
        <v>891.3</v>
      </c>
      <c r="D35" s="101">
        <v>304</v>
      </c>
      <c r="E35" s="101">
        <v>1163</v>
      </c>
      <c r="F35" s="101">
        <v>532.20000000000005</v>
      </c>
      <c r="G35" s="101">
        <v>213.8</v>
      </c>
      <c r="H35" s="101">
        <v>79.400000000000006</v>
      </c>
      <c r="I35" s="101">
        <v>54.7</v>
      </c>
      <c r="J35" s="101">
        <v>216.8</v>
      </c>
      <c r="K35" s="101">
        <v>3238.5</v>
      </c>
      <c r="L35" s="101">
        <v>3455.3</v>
      </c>
      <c r="N35" s="5"/>
      <c r="O35" s="5"/>
      <c r="P35" s="5"/>
      <c r="Q35" s="5"/>
      <c r="R35" s="5"/>
      <c r="S35" s="5"/>
      <c r="T35" s="5"/>
      <c r="U35" s="5"/>
      <c r="V35" s="5"/>
      <c r="W35" s="5"/>
    </row>
    <row r="36" spans="1:26" ht="15" customHeight="1" x14ac:dyDescent="0.25">
      <c r="A36" s="194" t="s">
        <v>219</v>
      </c>
      <c r="B36" s="4" t="s">
        <v>19</v>
      </c>
      <c r="C36" s="5">
        <v>499.8</v>
      </c>
      <c r="D36" s="5">
        <v>47.8</v>
      </c>
      <c r="E36" s="5">
        <v>813.1</v>
      </c>
      <c r="F36" s="5">
        <v>315.39999999999998</v>
      </c>
      <c r="G36" s="5">
        <v>133</v>
      </c>
      <c r="H36" s="5">
        <v>33.5</v>
      </c>
      <c r="I36" s="5">
        <v>17.399999999999999</v>
      </c>
      <c r="J36" s="5" t="s">
        <v>151</v>
      </c>
      <c r="K36" s="5">
        <v>1860</v>
      </c>
      <c r="L36" s="5" t="s">
        <v>151</v>
      </c>
      <c r="N36" s="5"/>
      <c r="O36" s="5"/>
      <c r="P36" s="5"/>
      <c r="Q36" s="5"/>
      <c r="R36" s="5"/>
      <c r="S36" s="5"/>
      <c r="T36" s="5"/>
      <c r="U36" s="5"/>
      <c r="V36" s="5"/>
      <c r="W36" s="5"/>
    </row>
    <row r="37" spans="1:26" ht="15" customHeight="1" x14ac:dyDescent="0.25">
      <c r="A37" s="194"/>
      <c r="B37" s="4" t="s">
        <v>20</v>
      </c>
      <c r="C37" s="5">
        <v>368.8</v>
      </c>
      <c r="D37" s="5">
        <v>220.4</v>
      </c>
      <c r="E37" s="5">
        <v>366.1</v>
      </c>
      <c r="F37" s="5">
        <v>195.2</v>
      </c>
      <c r="G37" s="5">
        <v>109.7</v>
      </c>
      <c r="H37" s="5">
        <v>59.8</v>
      </c>
      <c r="I37" s="5">
        <v>49.1</v>
      </c>
      <c r="J37" s="5" t="s">
        <v>151</v>
      </c>
      <c r="K37" s="5">
        <v>1369.2</v>
      </c>
      <c r="L37" s="5" t="s">
        <v>151</v>
      </c>
      <c r="N37" s="5"/>
      <c r="O37" s="5"/>
      <c r="P37" s="5"/>
      <c r="Q37" s="5"/>
      <c r="R37" s="5"/>
      <c r="S37" s="5"/>
      <c r="T37" s="5"/>
      <c r="U37" s="5"/>
      <c r="V37" s="5"/>
      <c r="W37" s="5"/>
    </row>
    <row r="38" spans="1:26" ht="15" customHeight="1" x14ac:dyDescent="0.25">
      <c r="A38" s="194"/>
      <c r="B38" s="4" t="s">
        <v>21</v>
      </c>
      <c r="C38" s="5">
        <v>25.6</v>
      </c>
      <c r="D38" s="5" t="s">
        <v>146</v>
      </c>
      <c r="E38" s="5">
        <v>1.4</v>
      </c>
      <c r="F38" s="5" t="s">
        <v>146</v>
      </c>
      <c r="G38" s="5">
        <v>0.6</v>
      </c>
      <c r="H38" s="5">
        <v>0.4</v>
      </c>
      <c r="I38" s="5">
        <v>0.1</v>
      </c>
      <c r="J38" s="5" t="s">
        <v>151</v>
      </c>
      <c r="K38" s="5">
        <v>28.2</v>
      </c>
      <c r="L38" s="5" t="s">
        <v>151</v>
      </c>
      <c r="N38" s="5"/>
      <c r="O38" s="5"/>
      <c r="P38" s="5"/>
      <c r="Q38" s="5"/>
      <c r="R38" s="5"/>
      <c r="S38" s="5"/>
      <c r="T38" s="5"/>
      <c r="U38" s="5"/>
      <c r="V38" s="5"/>
      <c r="W38" s="5"/>
    </row>
    <row r="39" spans="1:26" ht="15" customHeight="1" x14ac:dyDescent="0.25">
      <c r="A39" s="194"/>
      <c r="B39" s="100" t="s">
        <v>12</v>
      </c>
      <c r="C39" s="101">
        <v>894.3</v>
      </c>
      <c r="D39" s="101">
        <v>268.2</v>
      </c>
      <c r="E39" s="101">
        <v>1180.5999999999999</v>
      </c>
      <c r="F39" s="101">
        <v>510.6</v>
      </c>
      <c r="G39" s="101">
        <v>243.3</v>
      </c>
      <c r="H39" s="101">
        <v>93.7</v>
      </c>
      <c r="I39" s="101">
        <v>66.599999999999994</v>
      </c>
      <c r="J39" s="5" t="s">
        <v>151</v>
      </c>
      <c r="K39" s="101">
        <v>3257.3</v>
      </c>
      <c r="L39" s="101" t="s">
        <v>151</v>
      </c>
      <c r="N39" s="5"/>
      <c r="O39" s="5"/>
      <c r="P39" s="5"/>
      <c r="Q39" s="5"/>
      <c r="R39" s="5"/>
      <c r="S39" s="5"/>
      <c r="T39" s="5"/>
      <c r="U39" s="5"/>
      <c r="V39" s="5"/>
      <c r="W39" s="5"/>
    </row>
    <row r="40" spans="1:26" ht="15" customHeight="1" x14ac:dyDescent="0.25">
      <c r="A40" s="194" t="s">
        <v>357</v>
      </c>
      <c r="B40" s="4" t="s">
        <v>19</v>
      </c>
      <c r="C40" s="5">
        <v>510.5</v>
      </c>
      <c r="D40" s="5">
        <v>53.1</v>
      </c>
      <c r="E40" s="5">
        <v>789.9</v>
      </c>
      <c r="F40" s="5">
        <v>259.2</v>
      </c>
      <c r="G40" s="5">
        <v>116.2</v>
      </c>
      <c r="H40" s="5">
        <v>42.7</v>
      </c>
      <c r="I40" s="5">
        <v>21.2</v>
      </c>
      <c r="J40" s="5" t="s">
        <v>151</v>
      </c>
      <c r="K40" s="5">
        <v>1792.8</v>
      </c>
      <c r="L40" s="5" t="s">
        <v>151</v>
      </c>
      <c r="N40" s="5"/>
      <c r="O40" s="5"/>
      <c r="P40" s="5"/>
      <c r="Q40" s="5"/>
      <c r="R40" s="5"/>
      <c r="S40" s="5"/>
      <c r="T40" s="5"/>
      <c r="U40" s="5"/>
      <c r="V40" s="5"/>
      <c r="W40" s="5"/>
    </row>
    <row r="41" spans="1:26" ht="15" customHeight="1" x14ac:dyDescent="0.25">
      <c r="A41" s="194"/>
      <c r="B41" s="4" t="s">
        <v>20</v>
      </c>
      <c r="C41" s="5">
        <v>381.7</v>
      </c>
      <c r="D41" s="5">
        <v>246.3</v>
      </c>
      <c r="E41" s="5">
        <v>348.3</v>
      </c>
      <c r="F41" s="5">
        <v>178.3</v>
      </c>
      <c r="G41" s="5">
        <v>86.1</v>
      </c>
      <c r="H41" s="5">
        <v>67.099999999999994</v>
      </c>
      <c r="I41" s="5">
        <v>42.5</v>
      </c>
      <c r="J41" s="5" t="s">
        <v>151</v>
      </c>
      <c r="K41" s="5">
        <v>1350.3</v>
      </c>
      <c r="L41" s="5" t="s">
        <v>151</v>
      </c>
      <c r="N41" s="5"/>
      <c r="O41" s="5"/>
      <c r="P41" s="5"/>
      <c r="Q41" s="5"/>
      <c r="R41" s="5"/>
      <c r="S41" s="5"/>
      <c r="T41" s="5"/>
      <c r="U41" s="5"/>
      <c r="V41" s="5"/>
      <c r="W41" s="5"/>
    </row>
    <row r="42" spans="1:26" ht="15" customHeight="1" x14ac:dyDescent="0.25">
      <c r="A42" s="194"/>
      <c r="B42" s="4" t="s">
        <v>21</v>
      </c>
      <c r="C42" s="5">
        <v>26</v>
      </c>
      <c r="D42" s="5">
        <v>0.6</v>
      </c>
      <c r="E42" s="5">
        <v>4</v>
      </c>
      <c r="F42" s="5" t="s">
        <v>146</v>
      </c>
      <c r="G42" s="5">
        <v>2.7</v>
      </c>
      <c r="H42" s="5">
        <v>0.4</v>
      </c>
      <c r="I42" s="5" t="s">
        <v>146</v>
      </c>
      <c r="J42" s="5" t="s">
        <v>151</v>
      </c>
      <c r="K42" s="5">
        <v>33.700000000000003</v>
      </c>
      <c r="L42" s="5" t="s">
        <v>151</v>
      </c>
      <c r="N42" s="5"/>
      <c r="O42" s="5"/>
      <c r="P42" s="5"/>
      <c r="Q42" s="5"/>
      <c r="R42" s="5"/>
      <c r="S42" s="5"/>
      <c r="T42" s="5"/>
      <c r="U42" s="5"/>
      <c r="V42" s="5"/>
      <c r="W42" s="5"/>
      <c r="X42" s="144"/>
      <c r="Y42" s="144"/>
      <c r="Z42" s="144"/>
    </row>
    <row r="43" spans="1:26" ht="15" customHeight="1" x14ac:dyDescent="0.25">
      <c r="A43" s="194"/>
      <c r="B43" s="100" t="s">
        <v>12</v>
      </c>
      <c r="C43" s="101">
        <v>918.2</v>
      </c>
      <c r="D43" s="101">
        <v>299.89999999999998</v>
      </c>
      <c r="E43" s="101">
        <v>1142.2</v>
      </c>
      <c r="F43" s="101">
        <v>437.5</v>
      </c>
      <c r="G43" s="101">
        <v>205</v>
      </c>
      <c r="H43" s="101">
        <v>110.2</v>
      </c>
      <c r="I43" s="101">
        <v>63.7</v>
      </c>
      <c r="J43" s="101" t="s">
        <v>151</v>
      </c>
      <c r="K43" s="101">
        <v>3176.8</v>
      </c>
      <c r="L43" s="101" t="s">
        <v>151</v>
      </c>
      <c r="N43" s="5"/>
      <c r="O43" s="5"/>
      <c r="P43" s="5"/>
      <c r="Q43" s="5"/>
      <c r="R43" s="5"/>
      <c r="S43" s="5"/>
      <c r="T43" s="5"/>
      <c r="U43" s="5"/>
      <c r="V43" s="5"/>
      <c r="W43" s="5"/>
      <c r="X43" s="144"/>
      <c r="Y43" s="144"/>
      <c r="Z43" s="144"/>
    </row>
    <row r="44" spans="1:26" ht="0.75" customHeight="1" x14ac:dyDescent="0.25">
      <c r="A44" s="2"/>
      <c r="C44" s="1" t="s">
        <v>349</v>
      </c>
      <c r="D44" s="1" t="s">
        <v>349</v>
      </c>
      <c r="E44" s="1" t="s">
        <v>349</v>
      </c>
      <c r="F44" s="1" t="s">
        <v>349</v>
      </c>
      <c r="G44" s="1" t="s">
        <v>349</v>
      </c>
      <c r="H44" s="1" t="s">
        <v>349</v>
      </c>
      <c r="I44" s="1" t="s">
        <v>349</v>
      </c>
      <c r="J44" s="1" t="s">
        <v>349</v>
      </c>
      <c r="K44" s="1" t="s">
        <v>349</v>
      </c>
      <c r="L44" s="1" t="s">
        <v>349</v>
      </c>
      <c r="N44" s="144"/>
      <c r="O44" s="144"/>
      <c r="P44" s="144"/>
      <c r="Q44" s="144"/>
      <c r="R44" s="144"/>
      <c r="S44" s="144"/>
      <c r="T44" s="144"/>
      <c r="U44" s="144"/>
      <c r="V44" s="144"/>
      <c r="W44" s="144"/>
      <c r="X44" s="144"/>
      <c r="Y44" s="144"/>
      <c r="Z44" s="144"/>
    </row>
    <row r="45" spans="1:26" ht="15" customHeight="1" x14ac:dyDescent="0.25">
      <c r="A45" s="191" t="s">
        <v>13</v>
      </c>
      <c r="B45" s="191"/>
      <c r="C45" s="191"/>
      <c r="D45" s="191"/>
      <c r="E45" s="191"/>
      <c r="F45" s="191"/>
      <c r="G45" s="191"/>
      <c r="H45" s="191"/>
      <c r="I45" s="191"/>
      <c r="J45" s="191"/>
      <c r="K45" s="205"/>
      <c r="L45" s="191"/>
      <c r="N45" s="144"/>
      <c r="O45" s="144"/>
      <c r="P45" s="144"/>
      <c r="Q45" s="144"/>
      <c r="R45" s="144"/>
      <c r="S45" s="144"/>
      <c r="T45" s="144"/>
      <c r="U45" s="144"/>
      <c r="V45" s="144"/>
      <c r="W45" s="144"/>
      <c r="X45" s="144"/>
      <c r="Y45" s="144"/>
      <c r="Z45" s="144"/>
    </row>
    <row r="46" spans="1:26" s="7" customFormat="1" ht="10.5" customHeight="1" x14ac:dyDescent="0.2">
      <c r="A46" s="7" t="s">
        <v>14</v>
      </c>
      <c r="N46" s="144"/>
      <c r="O46" s="144"/>
      <c r="P46" s="144"/>
      <c r="Q46" s="144"/>
      <c r="R46" s="144"/>
      <c r="S46" s="144"/>
      <c r="T46" s="144"/>
      <c r="U46" s="144"/>
      <c r="V46" s="144"/>
      <c r="W46" s="144"/>
      <c r="X46" s="144"/>
      <c r="Y46" s="144"/>
      <c r="Z46" s="144"/>
    </row>
    <row r="47" spans="1:26" s="12" customFormat="1" ht="15" customHeight="1" x14ac:dyDescent="0.2">
      <c r="A47" s="7" t="s">
        <v>23</v>
      </c>
      <c r="N47" s="144"/>
      <c r="O47" s="144"/>
      <c r="P47" s="144"/>
      <c r="Q47" s="144"/>
      <c r="R47" s="144"/>
      <c r="S47" s="144"/>
      <c r="T47" s="144"/>
      <c r="U47" s="144"/>
      <c r="V47" s="144"/>
      <c r="W47" s="144"/>
      <c r="X47" s="144"/>
      <c r="Y47" s="144"/>
      <c r="Z47" s="144"/>
    </row>
    <row r="48" spans="1:26" s="7" customFormat="1" ht="12" customHeight="1" x14ac:dyDescent="0.2">
      <c r="A48" s="7" t="s">
        <v>39</v>
      </c>
      <c r="N48" s="144"/>
      <c r="O48" s="144"/>
      <c r="P48" s="144"/>
      <c r="Q48" s="144"/>
      <c r="R48" s="144"/>
      <c r="S48" s="144"/>
      <c r="T48" s="144"/>
      <c r="U48" s="144"/>
      <c r="V48" s="144"/>
      <c r="W48" s="144"/>
      <c r="X48" s="144"/>
      <c r="Y48" s="144"/>
      <c r="Z48" s="144"/>
    </row>
    <row r="49" spans="1:26" s="7" customFormat="1" ht="21" customHeight="1" x14ac:dyDescent="0.2">
      <c r="A49" s="188" t="s">
        <v>28</v>
      </c>
      <c r="B49" s="188"/>
      <c r="C49" s="188"/>
      <c r="D49" s="188"/>
      <c r="E49" s="188"/>
      <c r="F49" s="188"/>
      <c r="G49" s="188"/>
      <c r="H49" s="188"/>
      <c r="I49" s="188"/>
      <c r="J49" s="188"/>
      <c r="K49" s="188"/>
      <c r="L49" s="188"/>
      <c r="N49" s="144"/>
      <c r="O49" s="144"/>
      <c r="P49" s="144"/>
      <c r="Q49" s="144"/>
      <c r="R49" s="144"/>
      <c r="S49" s="144"/>
      <c r="T49" s="144"/>
      <c r="U49" s="144"/>
      <c r="V49" s="144"/>
      <c r="W49" s="144"/>
      <c r="X49" s="144"/>
      <c r="Y49" s="144"/>
      <c r="Z49" s="144"/>
    </row>
    <row r="50" spans="1:26" s="7" customFormat="1" ht="12" customHeight="1" x14ac:dyDescent="0.15">
      <c r="A50" s="188" t="s">
        <v>360</v>
      </c>
      <c r="B50" s="188"/>
      <c r="C50" s="188"/>
      <c r="D50" s="188"/>
      <c r="E50" s="188"/>
      <c r="F50" s="188"/>
      <c r="G50" s="188"/>
      <c r="H50" s="188"/>
      <c r="I50" s="188"/>
      <c r="J50" s="188"/>
      <c r="K50" s="188"/>
      <c r="L50" s="188"/>
    </row>
    <row r="51" spans="1:26" s="7" customFormat="1" ht="15" customHeight="1" x14ac:dyDescent="0.15">
      <c r="A51" s="7" t="s">
        <v>15</v>
      </c>
    </row>
    <row r="52" spans="1:26" s="7" customFormat="1" ht="15" customHeight="1" x14ac:dyDescent="0.15">
      <c r="A52" s="7" t="s">
        <v>347</v>
      </c>
    </row>
    <row r="53" spans="1:26" ht="15" customHeight="1" x14ac:dyDescent="0.25">
      <c r="A53" s="2"/>
    </row>
    <row r="54" spans="1:26" ht="12" customHeight="1" x14ac:dyDescent="0.25">
      <c r="A54" s="192" t="s">
        <v>361</v>
      </c>
      <c r="B54" s="192"/>
      <c r="C54" s="192"/>
      <c r="D54" s="192"/>
      <c r="E54" s="192"/>
      <c r="F54" s="192"/>
      <c r="G54" s="192"/>
      <c r="H54" s="192"/>
      <c r="I54" s="192"/>
      <c r="J54" s="192"/>
      <c r="K54" s="192"/>
      <c r="L54" s="192"/>
      <c r="M54" s="192"/>
      <c r="N54" s="192"/>
    </row>
    <row r="55" spans="1:26" ht="15" hidden="1" customHeight="1" x14ac:dyDescent="0.25">
      <c r="A55" s="2"/>
    </row>
    <row r="56" spans="1:26" ht="15" customHeight="1" x14ac:dyDescent="0.25">
      <c r="A56" s="35" t="s">
        <v>160</v>
      </c>
      <c r="B56" s="35" t="s">
        <v>158</v>
      </c>
      <c r="C56" s="3" t="s">
        <v>1</v>
      </c>
      <c r="D56" s="3" t="s">
        <v>2</v>
      </c>
      <c r="E56" s="3" t="s">
        <v>3</v>
      </c>
      <c r="F56" s="3" t="s">
        <v>4</v>
      </c>
      <c r="G56" s="3" t="s">
        <v>5</v>
      </c>
      <c r="H56" s="3" t="s">
        <v>6</v>
      </c>
      <c r="I56" s="3" t="s">
        <v>7</v>
      </c>
      <c r="J56" s="3" t="s">
        <v>8</v>
      </c>
      <c r="K56" s="3" t="s">
        <v>9</v>
      </c>
    </row>
    <row r="57" spans="1:26" ht="15" customHeight="1" x14ac:dyDescent="0.25">
      <c r="A57" s="194" t="s">
        <v>211</v>
      </c>
      <c r="B57" s="98" t="s">
        <v>19</v>
      </c>
      <c r="C57" s="9">
        <v>1171</v>
      </c>
      <c r="D57" s="9">
        <v>250</v>
      </c>
      <c r="E57" s="9">
        <v>1379</v>
      </c>
      <c r="F57" s="9">
        <v>1023</v>
      </c>
      <c r="G57" s="9">
        <v>316</v>
      </c>
      <c r="H57" s="9">
        <v>37</v>
      </c>
      <c r="I57" s="9">
        <v>41</v>
      </c>
      <c r="J57" s="9">
        <v>346</v>
      </c>
      <c r="K57" s="9">
        <v>4563</v>
      </c>
      <c r="L57" s="9"/>
      <c r="M57" s="9"/>
      <c r="N57" s="9"/>
      <c r="O57" s="9"/>
      <c r="P57" s="9"/>
      <c r="Q57" s="9"/>
      <c r="R57" s="9"/>
      <c r="S57" s="9"/>
      <c r="T57" s="9"/>
      <c r="U57" s="9"/>
      <c r="W57" s="123"/>
    </row>
    <row r="58" spans="1:26" ht="15" customHeight="1" x14ac:dyDescent="0.25">
      <c r="A58" s="194"/>
      <c r="B58" s="98" t="s">
        <v>20</v>
      </c>
      <c r="C58" s="9">
        <v>1398</v>
      </c>
      <c r="D58" s="9">
        <v>1149</v>
      </c>
      <c r="E58" s="9">
        <v>1064</v>
      </c>
      <c r="F58" s="9">
        <v>644</v>
      </c>
      <c r="G58" s="9">
        <v>335</v>
      </c>
      <c r="H58" s="9">
        <v>109</v>
      </c>
      <c r="I58" s="9">
        <v>105</v>
      </c>
      <c r="J58" s="9">
        <v>20</v>
      </c>
      <c r="K58" s="9">
        <v>4824</v>
      </c>
      <c r="L58" s="9"/>
      <c r="M58" s="9"/>
      <c r="N58" s="9"/>
      <c r="O58" s="9"/>
      <c r="P58" s="9"/>
      <c r="Q58" s="9"/>
      <c r="R58" s="9"/>
      <c r="S58" s="9"/>
      <c r="T58" s="9"/>
      <c r="U58" s="9"/>
    </row>
    <row r="59" spans="1:26" ht="15" customHeight="1" x14ac:dyDescent="0.25">
      <c r="A59" s="194"/>
      <c r="B59" s="98" t="s">
        <v>21</v>
      </c>
      <c r="C59" s="9">
        <v>147</v>
      </c>
      <c r="D59" s="9">
        <v>1</v>
      </c>
      <c r="E59" s="9">
        <v>20</v>
      </c>
      <c r="F59" s="9" t="s">
        <v>146</v>
      </c>
      <c r="G59" s="9">
        <v>4</v>
      </c>
      <c r="H59" s="9">
        <v>5</v>
      </c>
      <c r="I59" s="9" t="s">
        <v>146</v>
      </c>
      <c r="J59" s="9">
        <v>16</v>
      </c>
      <c r="K59" s="9">
        <v>193</v>
      </c>
      <c r="L59" s="9"/>
      <c r="M59" s="9"/>
      <c r="N59" s="9"/>
      <c r="O59" s="9"/>
      <c r="P59" s="9"/>
      <c r="Q59" s="9"/>
      <c r="R59" s="9"/>
      <c r="S59" s="9"/>
      <c r="T59" s="9"/>
      <c r="U59" s="9"/>
    </row>
    <row r="60" spans="1:26" ht="15" customHeight="1" x14ac:dyDescent="0.25">
      <c r="A60" s="194"/>
      <c r="B60" s="104" t="s">
        <v>12</v>
      </c>
      <c r="C60" s="102">
        <v>2716</v>
      </c>
      <c r="D60" s="102">
        <v>1400</v>
      </c>
      <c r="E60" s="102">
        <v>2463</v>
      </c>
      <c r="F60" s="102">
        <v>1667</v>
      </c>
      <c r="G60" s="102">
        <v>655</v>
      </c>
      <c r="H60" s="102">
        <v>151</v>
      </c>
      <c r="I60" s="102">
        <v>146</v>
      </c>
      <c r="J60" s="102">
        <v>382</v>
      </c>
      <c r="K60" s="102">
        <v>9580</v>
      </c>
      <c r="L60" s="36"/>
      <c r="M60" s="9"/>
      <c r="N60" s="9"/>
      <c r="O60" s="9"/>
      <c r="P60" s="9"/>
      <c r="Q60" s="9"/>
      <c r="R60" s="9"/>
      <c r="S60" s="9"/>
      <c r="T60" s="9"/>
      <c r="U60" s="9"/>
    </row>
    <row r="61" spans="1:26" ht="15" customHeight="1" x14ac:dyDescent="0.25">
      <c r="A61" s="194" t="s">
        <v>212</v>
      </c>
      <c r="B61" s="98" t="s">
        <v>19</v>
      </c>
      <c r="C61" s="9">
        <v>1136</v>
      </c>
      <c r="D61" s="9">
        <v>237</v>
      </c>
      <c r="E61" s="9">
        <v>1372</v>
      </c>
      <c r="F61" s="9">
        <v>1001</v>
      </c>
      <c r="G61" s="9">
        <v>301</v>
      </c>
      <c r="H61" s="9">
        <v>53</v>
      </c>
      <c r="I61" s="9">
        <v>39</v>
      </c>
      <c r="J61" s="9">
        <v>329</v>
      </c>
      <c r="K61" s="9">
        <v>4468</v>
      </c>
      <c r="L61" s="9"/>
      <c r="M61" s="9"/>
      <c r="N61" s="9"/>
      <c r="O61" s="9"/>
      <c r="P61" s="9"/>
      <c r="Q61" s="9"/>
      <c r="R61" s="9"/>
      <c r="S61" s="9"/>
      <c r="T61" s="9"/>
      <c r="U61" s="9"/>
    </row>
    <row r="62" spans="1:26" ht="15" customHeight="1" x14ac:dyDescent="0.25">
      <c r="A62" s="194"/>
      <c r="B62" s="98" t="s">
        <v>20</v>
      </c>
      <c r="C62" s="9">
        <v>1284</v>
      </c>
      <c r="D62" s="9">
        <v>1044</v>
      </c>
      <c r="E62" s="9">
        <v>1036</v>
      </c>
      <c r="F62" s="9">
        <v>632</v>
      </c>
      <c r="G62" s="9">
        <v>322</v>
      </c>
      <c r="H62" s="9">
        <v>120</v>
      </c>
      <c r="I62" s="9">
        <v>104</v>
      </c>
      <c r="J62" s="9">
        <v>15</v>
      </c>
      <c r="K62" s="9">
        <v>4557</v>
      </c>
      <c r="L62" s="9"/>
      <c r="M62" s="9"/>
      <c r="N62" s="9"/>
      <c r="O62" s="9"/>
      <c r="P62" s="9"/>
      <c r="Q62" s="9"/>
      <c r="R62" s="9"/>
      <c r="S62" s="9"/>
      <c r="T62" s="9"/>
      <c r="U62" s="9"/>
    </row>
    <row r="63" spans="1:26" ht="15" customHeight="1" x14ac:dyDescent="0.25">
      <c r="A63" s="194"/>
      <c r="B63" s="98" t="s">
        <v>21</v>
      </c>
      <c r="C63" s="9">
        <v>131</v>
      </c>
      <c r="D63" s="9">
        <v>1</v>
      </c>
      <c r="E63" s="9">
        <v>17</v>
      </c>
      <c r="F63" s="9" t="s">
        <v>146</v>
      </c>
      <c r="G63" s="9">
        <v>4</v>
      </c>
      <c r="H63" s="9">
        <v>10</v>
      </c>
      <c r="I63" s="9" t="s">
        <v>146</v>
      </c>
      <c r="J63" s="9">
        <v>17</v>
      </c>
      <c r="K63" s="9">
        <v>180</v>
      </c>
      <c r="L63" s="9"/>
      <c r="M63" s="9"/>
      <c r="N63" s="9"/>
      <c r="O63" s="9"/>
      <c r="P63" s="9"/>
      <c r="Q63" s="9"/>
      <c r="R63" s="9"/>
      <c r="S63" s="9"/>
      <c r="T63" s="9"/>
      <c r="U63" s="9"/>
    </row>
    <row r="64" spans="1:26" ht="15" customHeight="1" x14ac:dyDescent="0.25">
      <c r="A64" s="194"/>
      <c r="B64" s="104" t="s">
        <v>12</v>
      </c>
      <c r="C64" s="102">
        <v>2551</v>
      </c>
      <c r="D64" s="102">
        <v>1282</v>
      </c>
      <c r="E64" s="102">
        <v>2425</v>
      </c>
      <c r="F64" s="102">
        <v>1633</v>
      </c>
      <c r="G64" s="102">
        <v>627</v>
      </c>
      <c r="H64" s="102">
        <v>183</v>
      </c>
      <c r="I64" s="102">
        <v>143</v>
      </c>
      <c r="J64" s="102">
        <v>361</v>
      </c>
      <c r="K64" s="102">
        <v>9205</v>
      </c>
      <c r="L64" s="36"/>
      <c r="M64" s="9"/>
      <c r="N64" s="9"/>
      <c r="O64" s="9"/>
      <c r="P64" s="9"/>
      <c r="Q64" s="9"/>
      <c r="R64" s="9"/>
      <c r="S64" s="9"/>
      <c r="T64" s="9"/>
      <c r="U64" s="9"/>
    </row>
    <row r="65" spans="1:21" ht="15" customHeight="1" x14ac:dyDescent="0.25">
      <c r="A65" s="194" t="s">
        <v>213</v>
      </c>
      <c r="B65" s="98" t="s">
        <v>19</v>
      </c>
      <c r="C65" s="9">
        <v>1130</v>
      </c>
      <c r="D65" s="9">
        <v>212</v>
      </c>
      <c r="E65" s="9">
        <v>1526</v>
      </c>
      <c r="F65" s="9">
        <v>966</v>
      </c>
      <c r="G65" s="9">
        <v>269</v>
      </c>
      <c r="H65" s="9">
        <v>51</v>
      </c>
      <c r="I65" s="9">
        <v>44</v>
      </c>
      <c r="J65" s="9">
        <v>272</v>
      </c>
      <c r="K65" s="9">
        <v>4470</v>
      </c>
      <c r="L65" s="9"/>
      <c r="M65" s="9"/>
      <c r="N65" s="9"/>
      <c r="O65" s="9"/>
      <c r="P65" s="9"/>
      <c r="Q65" s="9"/>
      <c r="R65" s="9"/>
      <c r="S65" s="9"/>
      <c r="T65" s="9"/>
      <c r="U65" s="9"/>
    </row>
    <row r="66" spans="1:21" ht="15" customHeight="1" x14ac:dyDescent="0.25">
      <c r="A66" s="194"/>
      <c r="B66" s="98" t="s">
        <v>20</v>
      </c>
      <c r="C66" s="9">
        <v>1291</v>
      </c>
      <c r="D66" s="9">
        <v>1005</v>
      </c>
      <c r="E66" s="9">
        <v>1096</v>
      </c>
      <c r="F66" s="9">
        <v>665</v>
      </c>
      <c r="G66" s="9">
        <v>288</v>
      </c>
      <c r="H66" s="9">
        <v>126</v>
      </c>
      <c r="I66" s="9">
        <v>116</v>
      </c>
      <c r="J66" s="9">
        <v>11</v>
      </c>
      <c r="K66" s="9">
        <v>4598</v>
      </c>
      <c r="L66" s="9"/>
      <c r="M66" s="9"/>
      <c r="N66" s="9"/>
      <c r="O66" s="9"/>
      <c r="P66" s="9"/>
      <c r="Q66" s="9"/>
      <c r="R66" s="9"/>
      <c r="S66" s="9"/>
      <c r="T66" s="9"/>
      <c r="U66" s="9"/>
    </row>
    <row r="67" spans="1:21" ht="15" customHeight="1" x14ac:dyDescent="0.25">
      <c r="A67" s="194"/>
      <c r="B67" s="98" t="s">
        <v>21</v>
      </c>
      <c r="C67" s="9">
        <v>131</v>
      </c>
      <c r="D67" s="9">
        <v>2</v>
      </c>
      <c r="E67" s="9">
        <v>20</v>
      </c>
      <c r="F67" s="9" t="s">
        <v>146</v>
      </c>
      <c r="G67" s="9">
        <v>5</v>
      </c>
      <c r="H67" s="9">
        <v>14</v>
      </c>
      <c r="I67" s="9" t="s">
        <v>146</v>
      </c>
      <c r="J67" s="9">
        <v>10</v>
      </c>
      <c r="K67" s="9">
        <v>182</v>
      </c>
      <c r="L67" s="9"/>
      <c r="M67" s="9"/>
      <c r="N67" s="9"/>
      <c r="O67" s="9"/>
      <c r="P67" s="9"/>
      <c r="Q67" s="9"/>
      <c r="R67" s="9"/>
      <c r="S67" s="9"/>
      <c r="T67" s="9"/>
      <c r="U67" s="9"/>
    </row>
    <row r="68" spans="1:21" ht="15" customHeight="1" x14ac:dyDescent="0.25">
      <c r="A68" s="194"/>
      <c r="B68" s="104" t="s">
        <v>12</v>
      </c>
      <c r="C68" s="102">
        <v>2552</v>
      </c>
      <c r="D68" s="102">
        <v>1219</v>
      </c>
      <c r="E68" s="102">
        <v>2642</v>
      </c>
      <c r="F68" s="102">
        <v>1631</v>
      </c>
      <c r="G68" s="102">
        <v>562</v>
      </c>
      <c r="H68" s="102">
        <v>191</v>
      </c>
      <c r="I68" s="102">
        <v>160</v>
      </c>
      <c r="J68" s="102">
        <v>293</v>
      </c>
      <c r="K68" s="102">
        <v>9250</v>
      </c>
      <c r="L68" s="36"/>
      <c r="M68" s="9"/>
      <c r="N68" s="9"/>
      <c r="O68" s="9"/>
      <c r="P68" s="9"/>
      <c r="Q68" s="9"/>
      <c r="R68" s="9"/>
      <c r="S68" s="9"/>
      <c r="T68" s="9"/>
      <c r="U68" s="9"/>
    </row>
    <row r="69" spans="1:21" ht="15" customHeight="1" x14ac:dyDescent="0.25">
      <c r="A69" s="194" t="s">
        <v>214</v>
      </c>
      <c r="B69" s="98" t="s">
        <v>19</v>
      </c>
      <c r="C69" s="9">
        <v>1108</v>
      </c>
      <c r="D69" s="9">
        <v>187</v>
      </c>
      <c r="E69" s="9">
        <v>1625</v>
      </c>
      <c r="F69" s="9">
        <v>901</v>
      </c>
      <c r="G69" s="9">
        <v>231</v>
      </c>
      <c r="H69" s="9">
        <v>62</v>
      </c>
      <c r="I69" s="9">
        <v>35</v>
      </c>
      <c r="J69" s="9">
        <v>278</v>
      </c>
      <c r="K69" s="9">
        <v>4427</v>
      </c>
      <c r="L69" s="9"/>
      <c r="M69" s="9"/>
      <c r="N69" s="9"/>
      <c r="O69" s="9"/>
      <c r="P69" s="9"/>
      <c r="Q69" s="9"/>
      <c r="R69" s="9"/>
      <c r="S69" s="9"/>
      <c r="T69" s="9"/>
      <c r="U69" s="9"/>
    </row>
    <row r="70" spans="1:21" ht="15" customHeight="1" x14ac:dyDescent="0.25">
      <c r="A70" s="194"/>
      <c r="B70" s="98" t="s">
        <v>20</v>
      </c>
      <c r="C70" s="9">
        <v>1364</v>
      </c>
      <c r="D70" s="9">
        <v>976</v>
      </c>
      <c r="E70" s="9">
        <v>1073</v>
      </c>
      <c r="F70" s="9">
        <v>706</v>
      </c>
      <c r="G70" s="9">
        <v>258</v>
      </c>
      <c r="H70" s="9">
        <v>134</v>
      </c>
      <c r="I70" s="9">
        <v>112</v>
      </c>
      <c r="J70" s="9">
        <v>12</v>
      </c>
      <c r="K70" s="9">
        <v>4635</v>
      </c>
      <c r="L70" s="9"/>
      <c r="M70" s="9"/>
      <c r="N70" s="9"/>
      <c r="O70" s="9"/>
      <c r="P70" s="9"/>
      <c r="Q70" s="9"/>
      <c r="R70" s="9"/>
      <c r="S70" s="9"/>
      <c r="T70" s="9"/>
      <c r="U70" s="9"/>
    </row>
    <row r="71" spans="1:21" ht="15" customHeight="1" x14ac:dyDescent="0.25">
      <c r="A71" s="194"/>
      <c r="B71" s="98" t="s">
        <v>21</v>
      </c>
      <c r="C71" s="9">
        <v>112</v>
      </c>
      <c r="D71" s="9" t="s">
        <v>146</v>
      </c>
      <c r="E71" s="9">
        <v>19</v>
      </c>
      <c r="F71" s="9" t="s">
        <v>146</v>
      </c>
      <c r="G71" s="9">
        <v>2</v>
      </c>
      <c r="H71" s="9">
        <v>20</v>
      </c>
      <c r="I71" s="9" t="s">
        <v>146</v>
      </c>
      <c r="J71" s="9">
        <v>7</v>
      </c>
      <c r="K71" s="9">
        <v>160</v>
      </c>
      <c r="L71" s="9"/>
      <c r="M71" s="9"/>
      <c r="N71" s="9"/>
      <c r="O71" s="9"/>
      <c r="P71" s="9"/>
      <c r="Q71" s="9"/>
      <c r="R71" s="9"/>
      <c r="S71" s="9"/>
      <c r="T71" s="9"/>
      <c r="U71" s="9"/>
    </row>
    <row r="72" spans="1:21" ht="15" customHeight="1" x14ac:dyDescent="0.25">
      <c r="A72" s="194"/>
      <c r="B72" s="104" t="s">
        <v>12</v>
      </c>
      <c r="C72" s="102">
        <v>2584</v>
      </c>
      <c r="D72" s="102">
        <v>1163</v>
      </c>
      <c r="E72" s="102">
        <v>2717</v>
      </c>
      <c r="F72" s="102">
        <v>1607</v>
      </c>
      <c r="G72" s="102">
        <v>491</v>
      </c>
      <c r="H72" s="102">
        <v>216</v>
      </c>
      <c r="I72" s="102">
        <v>147</v>
      </c>
      <c r="J72" s="102">
        <v>297</v>
      </c>
      <c r="K72" s="102">
        <v>9222</v>
      </c>
      <c r="L72" s="36"/>
      <c r="M72" s="9"/>
      <c r="N72" s="9"/>
      <c r="O72" s="9"/>
      <c r="P72" s="9"/>
      <c r="Q72" s="9"/>
      <c r="R72" s="9"/>
      <c r="S72" s="9"/>
      <c r="T72" s="9"/>
      <c r="U72" s="9"/>
    </row>
    <row r="73" spans="1:21" ht="15" customHeight="1" x14ac:dyDescent="0.25">
      <c r="A73" s="194" t="s">
        <v>215</v>
      </c>
      <c r="B73" s="98" t="s">
        <v>19</v>
      </c>
      <c r="C73" s="9">
        <v>1041</v>
      </c>
      <c r="D73" s="9">
        <v>168</v>
      </c>
      <c r="E73" s="9">
        <v>1397</v>
      </c>
      <c r="F73" s="9">
        <v>812</v>
      </c>
      <c r="G73" s="9">
        <v>220</v>
      </c>
      <c r="H73" s="9">
        <v>67</v>
      </c>
      <c r="I73" s="9">
        <v>36</v>
      </c>
      <c r="J73" s="9">
        <v>254</v>
      </c>
      <c r="K73" s="9">
        <v>3995</v>
      </c>
      <c r="L73" s="9"/>
      <c r="M73" s="9"/>
      <c r="N73" s="9"/>
      <c r="O73" s="9"/>
      <c r="P73" s="9"/>
      <c r="Q73" s="9"/>
      <c r="R73" s="9"/>
      <c r="S73" s="9"/>
      <c r="T73" s="9"/>
      <c r="U73" s="9"/>
    </row>
    <row r="74" spans="1:21" ht="15" customHeight="1" x14ac:dyDescent="0.25">
      <c r="A74" s="194"/>
      <c r="B74" s="98" t="s">
        <v>20</v>
      </c>
      <c r="C74" s="9">
        <v>1361</v>
      </c>
      <c r="D74" s="9">
        <v>951</v>
      </c>
      <c r="E74" s="9">
        <v>892</v>
      </c>
      <c r="F74" s="9">
        <v>641</v>
      </c>
      <c r="G74" s="9">
        <v>263</v>
      </c>
      <c r="H74" s="9">
        <v>121</v>
      </c>
      <c r="I74" s="9">
        <v>99</v>
      </c>
      <c r="J74" s="9">
        <v>14</v>
      </c>
      <c r="K74" s="9">
        <v>4342</v>
      </c>
      <c r="L74" s="9"/>
      <c r="M74" s="9"/>
      <c r="N74" s="9"/>
      <c r="O74" s="9"/>
      <c r="P74" s="9"/>
      <c r="Q74" s="9"/>
      <c r="R74" s="9"/>
      <c r="S74" s="9"/>
      <c r="T74" s="9"/>
      <c r="U74" s="9"/>
    </row>
    <row r="75" spans="1:21" ht="15" customHeight="1" x14ac:dyDescent="0.25">
      <c r="A75" s="194"/>
      <c r="B75" s="98" t="s">
        <v>21</v>
      </c>
      <c r="C75" s="9">
        <v>116</v>
      </c>
      <c r="D75" s="9" t="s">
        <v>146</v>
      </c>
      <c r="E75" s="9">
        <v>11</v>
      </c>
      <c r="F75" s="9" t="s">
        <v>146</v>
      </c>
      <c r="G75" s="9">
        <v>4</v>
      </c>
      <c r="H75" s="9">
        <v>17</v>
      </c>
      <c r="I75" s="9">
        <v>1</v>
      </c>
      <c r="J75" s="9">
        <v>5</v>
      </c>
      <c r="K75" s="9">
        <v>154</v>
      </c>
      <c r="L75" s="9"/>
      <c r="M75" s="9"/>
      <c r="N75" s="9"/>
      <c r="O75" s="9"/>
      <c r="P75" s="9"/>
      <c r="Q75" s="9"/>
      <c r="R75" s="9"/>
      <c r="S75" s="9"/>
      <c r="T75" s="9"/>
      <c r="U75" s="9"/>
    </row>
    <row r="76" spans="1:21" ht="15" customHeight="1" x14ac:dyDescent="0.25">
      <c r="A76" s="194"/>
      <c r="B76" s="104" t="s">
        <v>12</v>
      </c>
      <c r="C76" s="102">
        <v>2518</v>
      </c>
      <c r="D76" s="102">
        <v>1119</v>
      </c>
      <c r="E76" s="102">
        <v>2300</v>
      </c>
      <c r="F76" s="102">
        <v>1453</v>
      </c>
      <c r="G76" s="102">
        <v>487</v>
      </c>
      <c r="H76" s="102">
        <v>205</v>
      </c>
      <c r="I76" s="102">
        <v>136</v>
      </c>
      <c r="J76" s="102">
        <v>273</v>
      </c>
      <c r="K76" s="102">
        <v>8491</v>
      </c>
      <c r="L76" s="36"/>
      <c r="M76" s="9"/>
      <c r="N76" s="9"/>
      <c r="O76" s="9"/>
      <c r="P76" s="9"/>
      <c r="Q76" s="9"/>
      <c r="R76" s="9"/>
      <c r="S76" s="9"/>
      <c r="T76" s="9"/>
      <c r="U76" s="9"/>
    </row>
    <row r="77" spans="1:21" ht="15" customHeight="1" x14ac:dyDescent="0.25">
      <c r="A77" s="194" t="s">
        <v>216</v>
      </c>
      <c r="B77" s="98" t="s">
        <v>19</v>
      </c>
      <c r="C77" s="9">
        <v>979</v>
      </c>
      <c r="D77" s="9">
        <v>149</v>
      </c>
      <c r="E77" s="9">
        <v>1276</v>
      </c>
      <c r="F77" s="9">
        <v>686</v>
      </c>
      <c r="G77" s="9">
        <v>194</v>
      </c>
      <c r="H77" s="9">
        <v>62</v>
      </c>
      <c r="I77" s="9">
        <v>28</v>
      </c>
      <c r="J77" s="9">
        <v>249</v>
      </c>
      <c r="K77" s="9">
        <v>3623</v>
      </c>
      <c r="L77" s="9"/>
      <c r="M77" s="9"/>
      <c r="N77" s="9"/>
      <c r="O77" s="9"/>
      <c r="P77" s="9"/>
      <c r="Q77" s="9"/>
      <c r="R77" s="9"/>
      <c r="S77" s="9"/>
      <c r="T77" s="9"/>
      <c r="U77" s="9"/>
    </row>
    <row r="78" spans="1:21" ht="15" customHeight="1" x14ac:dyDescent="0.25">
      <c r="A78" s="194"/>
      <c r="B78" s="98" t="s">
        <v>20</v>
      </c>
      <c r="C78" s="9">
        <v>1337</v>
      </c>
      <c r="D78" s="9">
        <v>761</v>
      </c>
      <c r="E78" s="9">
        <v>811</v>
      </c>
      <c r="F78" s="9">
        <v>512</v>
      </c>
      <c r="G78" s="9">
        <v>239</v>
      </c>
      <c r="H78" s="9">
        <v>109</v>
      </c>
      <c r="I78" s="9">
        <v>94</v>
      </c>
      <c r="J78" s="9">
        <v>15</v>
      </c>
      <c r="K78" s="9">
        <v>3878</v>
      </c>
      <c r="L78" s="9"/>
      <c r="M78" s="9"/>
      <c r="N78" s="9"/>
      <c r="O78" s="9"/>
      <c r="P78" s="9"/>
      <c r="Q78" s="9"/>
      <c r="R78" s="9"/>
      <c r="S78" s="9"/>
      <c r="T78" s="9"/>
      <c r="U78" s="9"/>
    </row>
    <row r="79" spans="1:21" ht="15" customHeight="1" x14ac:dyDescent="0.25">
      <c r="A79" s="194"/>
      <c r="B79" s="98" t="s">
        <v>21</v>
      </c>
      <c r="C79" s="9">
        <v>131</v>
      </c>
      <c r="D79" s="9">
        <v>1</v>
      </c>
      <c r="E79" s="9">
        <v>14</v>
      </c>
      <c r="F79" s="9" t="s">
        <v>146</v>
      </c>
      <c r="G79" s="9">
        <v>3</v>
      </c>
      <c r="H79" s="9">
        <v>8</v>
      </c>
      <c r="I79" s="9">
        <v>2</v>
      </c>
      <c r="J79" s="9">
        <v>6</v>
      </c>
      <c r="K79" s="9">
        <v>165</v>
      </c>
      <c r="L79" s="9"/>
      <c r="M79" s="9"/>
      <c r="N79" s="9"/>
      <c r="O79" s="9"/>
      <c r="P79" s="9"/>
      <c r="Q79" s="9"/>
      <c r="R79" s="9"/>
      <c r="S79" s="9"/>
      <c r="T79" s="9"/>
      <c r="U79" s="9"/>
    </row>
    <row r="80" spans="1:21" ht="15" customHeight="1" x14ac:dyDescent="0.25">
      <c r="A80" s="194"/>
      <c r="B80" s="104" t="s">
        <v>12</v>
      </c>
      <c r="C80" s="102">
        <v>2447</v>
      </c>
      <c r="D80" s="102">
        <v>911</v>
      </c>
      <c r="E80" s="102">
        <v>2101</v>
      </c>
      <c r="F80" s="102">
        <v>1198</v>
      </c>
      <c r="G80" s="102">
        <v>436</v>
      </c>
      <c r="H80" s="102">
        <v>179</v>
      </c>
      <c r="I80" s="102">
        <v>124</v>
      </c>
      <c r="J80" s="102">
        <v>270</v>
      </c>
      <c r="K80" s="102">
        <v>7666</v>
      </c>
      <c r="L80" s="36"/>
      <c r="M80" s="9"/>
      <c r="N80" s="9"/>
      <c r="O80" s="9"/>
      <c r="P80" s="9"/>
      <c r="Q80" s="9"/>
      <c r="R80" s="9"/>
      <c r="S80" s="9"/>
      <c r="T80" s="9"/>
      <c r="U80" s="9"/>
    </row>
    <row r="81" spans="1:21" ht="15" customHeight="1" x14ac:dyDescent="0.25">
      <c r="A81" s="194" t="s">
        <v>217</v>
      </c>
      <c r="B81" s="98" t="s">
        <v>19</v>
      </c>
      <c r="C81" s="9">
        <v>1019</v>
      </c>
      <c r="D81" s="9">
        <v>125</v>
      </c>
      <c r="E81" s="9">
        <v>1302</v>
      </c>
      <c r="F81" s="9">
        <v>771</v>
      </c>
      <c r="G81" s="9">
        <v>204</v>
      </c>
      <c r="H81" s="9">
        <v>43</v>
      </c>
      <c r="I81" s="9">
        <v>22</v>
      </c>
      <c r="J81" s="9">
        <v>324</v>
      </c>
      <c r="K81" s="9">
        <v>3810</v>
      </c>
      <c r="L81" s="9"/>
      <c r="M81" s="9"/>
      <c r="N81" s="9"/>
      <c r="O81" s="9"/>
      <c r="P81" s="9"/>
      <c r="Q81" s="9"/>
      <c r="R81" s="9"/>
      <c r="S81" s="9"/>
      <c r="T81" s="9"/>
      <c r="U81" s="9"/>
    </row>
    <row r="82" spans="1:21" ht="15" customHeight="1" x14ac:dyDescent="0.25">
      <c r="A82" s="194"/>
      <c r="B82" s="98" t="s">
        <v>20</v>
      </c>
      <c r="C82" s="9">
        <v>1124</v>
      </c>
      <c r="D82" s="9">
        <v>600</v>
      </c>
      <c r="E82" s="9">
        <v>776</v>
      </c>
      <c r="F82" s="9">
        <v>516</v>
      </c>
      <c r="G82" s="9">
        <v>231</v>
      </c>
      <c r="H82" s="9">
        <v>92</v>
      </c>
      <c r="I82" s="9">
        <v>87</v>
      </c>
      <c r="J82" s="9">
        <v>16</v>
      </c>
      <c r="K82" s="9">
        <v>3442</v>
      </c>
      <c r="L82" s="9"/>
      <c r="M82" s="9"/>
      <c r="N82" s="9"/>
      <c r="O82" s="9"/>
      <c r="P82" s="9"/>
      <c r="Q82" s="9"/>
      <c r="R82" s="9"/>
      <c r="S82" s="9"/>
      <c r="T82" s="9"/>
      <c r="U82" s="9"/>
    </row>
    <row r="83" spans="1:21" ht="15" customHeight="1" x14ac:dyDescent="0.25">
      <c r="A83" s="194"/>
      <c r="B83" s="98" t="s">
        <v>21</v>
      </c>
      <c r="C83" s="9">
        <v>101</v>
      </c>
      <c r="D83" s="9" t="s">
        <v>146</v>
      </c>
      <c r="E83" s="9">
        <v>9</v>
      </c>
      <c r="F83" s="9" t="s">
        <v>146</v>
      </c>
      <c r="G83" s="9">
        <v>3</v>
      </c>
      <c r="H83" s="9">
        <v>3</v>
      </c>
      <c r="I83" s="9">
        <v>1</v>
      </c>
      <c r="J83" s="9">
        <v>6</v>
      </c>
      <c r="K83" s="9">
        <v>123</v>
      </c>
      <c r="L83" s="9"/>
      <c r="M83" s="9"/>
      <c r="N83" s="9"/>
      <c r="O83" s="9"/>
      <c r="P83" s="9"/>
      <c r="Q83" s="9"/>
      <c r="R83" s="9"/>
      <c r="S83" s="9"/>
      <c r="T83" s="9"/>
      <c r="U83" s="9"/>
    </row>
    <row r="84" spans="1:21" ht="15" customHeight="1" x14ac:dyDescent="0.25">
      <c r="A84" s="194"/>
      <c r="B84" s="104" t="s">
        <v>12</v>
      </c>
      <c r="C84" s="102">
        <v>2244</v>
      </c>
      <c r="D84" s="102">
        <v>725</v>
      </c>
      <c r="E84" s="102">
        <v>2087</v>
      </c>
      <c r="F84" s="102">
        <v>1287</v>
      </c>
      <c r="G84" s="102">
        <v>438</v>
      </c>
      <c r="H84" s="102">
        <v>138</v>
      </c>
      <c r="I84" s="102">
        <v>110</v>
      </c>
      <c r="J84" s="102">
        <v>346</v>
      </c>
      <c r="K84" s="102">
        <v>7375</v>
      </c>
      <c r="L84" s="36"/>
      <c r="M84" s="9"/>
      <c r="N84" s="9"/>
      <c r="O84" s="9"/>
      <c r="P84" s="9"/>
      <c r="Q84" s="9"/>
      <c r="R84" s="9"/>
      <c r="S84" s="9"/>
      <c r="T84" s="9"/>
      <c r="U84" s="9"/>
    </row>
    <row r="85" spans="1:21" ht="15" customHeight="1" x14ac:dyDescent="0.25">
      <c r="A85" s="194" t="s">
        <v>218</v>
      </c>
      <c r="B85" s="98" t="s">
        <v>19</v>
      </c>
      <c r="C85" s="9">
        <v>1137</v>
      </c>
      <c r="D85" s="9">
        <v>108</v>
      </c>
      <c r="E85" s="9">
        <v>1316</v>
      </c>
      <c r="F85" s="9">
        <v>842</v>
      </c>
      <c r="G85" s="9">
        <v>255</v>
      </c>
      <c r="H85" s="9">
        <v>54</v>
      </c>
      <c r="I85" s="9">
        <v>37</v>
      </c>
      <c r="J85" s="9">
        <v>386</v>
      </c>
      <c r="K85" s="9">
        <v>4135</v>
      </c>
      <c r="L85" s="9"/>
      <c r="M85" s="9"/>
      <c r="N85" s="9"/>
      <c r="O85" s="9"/>
      <c r="P85" s="9"/>
      <c r="Q85" s="9"/>
      <c r="R85" s="9"/>
      <c r="S85" s="9"/>
      <c r="T85" s="9"/>
      <c r="U85" s="9"/>
    </row>
    <row r="86" spans="1:21" ht="15" customHeight="1" x14ac:dyDescent="0.25">
      <c r="A86" s="194"/>
      <c r="B86" s="98" t="s">
        <v>20</v>
      </c>
      <c r="C86" s="9">
        <v>1065</v>
      </c>
      <c r="D86" s="9">
        <v>518</v>
      </c>
      <c r="E86" s="9">
        <v>718</v>
      </c>
      <c r="F86" s="9">
        <v>586</v>
      </c>
      <c r="G86" s="9">
        <v>277</v>
      </c>
      <c r="H86" s="9">
        <v>103</v>
      </c>
      <c r="I86" s="9">
        <v>101</v>
      </c>
      <c r="J86" s="9">
        <v>13</v>
      </c>
      <c r="K86" s="9">
        <v>3381</v>
      </c>
      <c r="L86" s="9"/>
      <c r="M86" s="9"/>
      <c r="N86" s="9"/>
      <c r="O86" s="9"/>
      <c r="P86" s="9"/>
      <c r="Q86" s="9"/>
      <c r="R86" s="9"/>
      <c r="S86" s="9"/>
      <c r="T86" s="9"/>
      <c r="U86" s="9"/>
    </row>
    <row r="87" spans="1:21" ht="15" customHeight="1" x14ac:dyDescent="0.25">
      <c r="A87" s="194"/>
      <c r="B87" s="98" t="s">
        <v>21</v>
      </c>
      <c r="C87" s="9">
        <v>99</v>
      </c>
      <c r="D87" s="9" t="s">
        <v>146</v>
      </c>
      <c r="E87" s="9">
        <v>8</v>
      </c>
      <c r="F87" s="9" t="s">
        <v>146</v>
      </c>
      <c r="G87" s="9">
        <v>4</v>
      </c>
      <c r="H87" s="9">
        <v>2</v>
      </c>
      <c r="I87" s="9">
        <v>9</v>
      </c>
      <c r="J87" s="9">
        <v>15</v>
      </c>
      <c r="K87" s="9">
        <v>137</v>
      </c>
      <c r="L87" s="9"/>
      <c r="M87" s="9"/>
      <c r="N87" s="9"/>
      <c r="O87" s="9"/>
      <c r="P87" s="9"/>
      <c r="Q87" s="9"/>
      <c r="R87" s="9"/>
      <c r="S87" s="9"/>
      <c r="T87" s="9"/>
      <c r="U87" s="9"/>
    </row>
    <row r="88" spans="1:21" ht="15" customHeight="1" x14ac:dyDescent="0.25">
      <c r="A88" s="194"/>
      <c r="B88" s="104" t="s">
        <v>12</v>
      </c>
      <c r="C88" s="102">
        <v>2301</v>
      </c>
      <c r="D88" s="102">
        <v>626</v>
      </c>
      <c r="E88" s="102">
        <v>2042</v>
      </c>
      <c r="F88" s="102">
        <v>1428</v>
      </c>
      <c r="G88" s="102">
        <v>536</v>
      </c>
      <c r="H88" s="102">
        <v>159</v>
      </c>
      <c r="I88" s="102">
        <v>147</v>
      </c>
      <c r="J88" s="102">
        <v>414</v>
      </c>
      <c r="K88" s="102">
        <v>7653</v>
      </c>
      <c r="L88" s="36"/>
      <c r="M88" s="9"/>
      <c r="N88" s="9"/>
      <c r="O88" s="9"/>
      <c r="P88" s="9"/>
      <c r="Q88" s="9"/>
      <c r="R88" s="9"/>
      <c r="S88" s="9"/>
      <c r="T88" s="9"/>
      <c r="U88" s="9"/>
    </row>
    <row r="89" spans="1:21" ht="15" customHeight="1" x14ac:dyDescent="0.25">
      <c r="A89" s="194" t="s">
        <v>219</v>
      </c>
      <c r="B89" s="98" t="s">
        <v>19</v>
      </c>
      <c r="C89" s="9">
        <v>1170</v>
      </c>
      <c r="D89" s="9">
        <v>100</v>
      </c>
      <c r="E89" s="9">
        <v>1367</v>
      </c>
      <c r="F89" s="9">
        <v>836</v>
      </c>
      <c r="G89" s="9">
        <v>283</v>
      </c>
      <c r="H89" s="9">
        <v>59</v>
      </c>
      <c r="I89" s="9">
        <v>48</v>
      </c>
      <c r="J89" s="9">
        <v>493</v>
      </c>
      <c r="K89" s="9">
        <v>4356</v>
      </c>
      <c r="L89" s="9"/>
      <c r="M89" s="9"/>
      <c r="N89" s="9"/>
      <c r="O89" s="9"/>
      <c r="P89" s="9"/>
      <c r="Q89" s="9"/>
      <c r="R89" s="9"/>
      <c r="S89" s="9"/>
      <c r="T89" s="9"/>
      <c r="U89" s="9"/>
    </row>
    <row r="90" spans="1:21" ht="15" customHeight="1" x14ac:dyDescent="0.25">
      <c r="A90" s="194"/>
      <c r="B90" s="98" t="s">
        <v>20</v>
      </c>
      <c r="C90" s="9">
        <v>1005</v>
      </c>
      <c r="D90" s="9">
        <v>461</v>
      </c>
      <c r="E90" s="9">
        <v>694</v>
      </c>
      <c r="F90" s="9">
        <v>559</v>
      </c>
      <c r="G90" s="9">
        <v>262</v>
      </c>
      <c r="H90" s="9">
        <v>127</v>
      </c>
      <c r="I90" s="9">
        <v>107</v>
      </c>
      <c r="J90" s="9">
        <v>25</v>
      </c>
      <c r="K90" s="9">
        <v>3240</v>
      </c>
      <c r="L90" s="9"/>
      <c r="M90" s="9"/>
      <c r="N90" s="9"/>
      <c r="O90" s="9"/>
      <c r="P90" s="9"/>
      <c r="Q90" s="9"/>
      <c r="R90" s="9"/>
      <c r="S90" s="9"/>
      <c r="T90" s="9"/>
      <c r="U90" s="9"/>
    </row>
    <row r="91" spans="1:21" ht="15" customHeight="1" x14ac:dyDescent="0.25">
      <c r="A91" s="194"/>
      <c r="B91" s="98" t="s">
        <v>21</v>
      </c>
      <c r="C91" s="9">
        <v>98</v>
      </c>
      <c r="D91" s="9" t="s">
        <v>146</v>
      </c>
      <c r="E91" s="9">
        <v>8</v>
      </c>
      <c r="F91" s="9" t="s">
        <v>146</v>
      </c>
      <c r="G91" s="9">
        <v>3</v>
      </c>
      <c r="H91" s="9">
        <v>1</v>
      </c>
      <c r="I91" s="9">
        <v>4</v>
      </c>
      <c r="J91" s="9">
        <v>15</v>
      </c>
      <c r="K91" s="9">
        <v>129</v>
      </c>
      <c r="L91" s="9"/>
      <c r="M91" s="9"/>
      <c r="N91" s="9"/>
      <c r="O91" s="9"/>
      <c r="P91" s="9"/>
      <c r="Q91" s="9"/>
      <c r="R91" s="9"/>
      <c r="S91" s="9"/>
      <c r="T91" s="9"/>
      <c r="U91" s="9"/>
    </row>
    <row r="92" spans="1:21" ht="15" customHeight="1" x14ac:dyDescent="0.25">
      <c r="A92" s="194"/>
      <c r="B92" s="104" t="s">
        <v>12</v>
      </c>
      <c r="C92" s="102">
        <v>2273</v>
      </c>
      <c r="D92" s="102">
        <v>561</v>
      </c>
      <c r="E92" s="102">
        <v>2069</v>
      </c>
      <c r="F92" s="102">
        <v>1395</v>
      </c>
      <c r="G92" s="102">
        <v>548</v>
      </c>
      <c r="H92" s="102">
        <v>187</v>
      </c>
      <c r="I92" s="102">
        <v>159</v>
      </c>
      <c r="J92" s="102">
        <v>533</v>
      </c>
      <c r="K92" s="102">
        <v>7725</v>
      </c>
      <c r="L92" s="36"/>
      <c r="M92" s="9"/>
      <c r="N92" s="9"/>
      <c r="O92" s="9"/>
      <c r="P92" s="9"/>
      <c r="Q92" s="9"/>
      <c r="R92" s="9"/>
      <c r="S92" s="9"/>
      <c r="T92" s="9"/>
      <c r="U92" s="9"/>
    </row>
    <row r="93" spans="1:21" ht="15" customHeight="1" x14ac:dyDescent="0.25">
      <c r="A93" s="194" t="s">
        <v>357</v>
      </c>
      <c r="B93" s="98" t="s">
        <v>19</v>
      </c>
      <c r="C93" s="9">
        <v>1168</v>
      </c>
      <c r="D93" s="9">
        <v>117</v>
      </c>
      <c r="E93" s="9">
        <v>1351</v>
      </c>
      <c r="F93" s="9">
        <v>808</v>
      </c>
      <c r="G93" s="9">
        <v>291</v>
      </c>
      <c r="H93" s="9">
        <v>80</v>
      </c>
      <c r="I93" s="9">
        <v>48</v>
      </c>
      <c r="J93" s="9">
        <v>610</v>
      </c>
      <c r="K93" s="9">
        <v>4473</v>
      </c>
      <c r="L93" s="9"/>
      <c r="M93" s="9"/>
      <c r="N93" s="9"/>
      <c r="O93" s="9"/>
      <c r="P93" s="9"/>
      <c r="Q93" s="9"/>
      <c r="R93" s="9"/>
      <c r="S93" s="9"/>
      <c r="T93" s="9"/>
      <c r="U93" s="9"/>
    </row>
    <row r="94" spans="1:21" ht="15" customHeight="1" x14ac:dyDescent="0.25">
      <c r="A94" s="194"/>
      <c r="B94" s="98" t="s">
        <v>20</v>
      </c>
      <c r="C94" s="9">
        <v>1028</v>
      </c>
      <c r="D94" s="9">
        <v>514</v>
      </c>
      <c r="E94" s="9">
        <v>696</v>
      </c>
      <c r="F94" s="9">
        <v>533</v>
      </c>
      <c r="G94" s="9">
        <v>241</v>
      </c>
      <c r="H94" s="9">
        <v>131</v>
      </c>
      <c r="I94" s="9">
        <v>104</v>
      </c>
      <c r="J94" s="9">
        <v>26</v>
      </c>
      <c r="K94" s="9">
        <v>3273</v>
      </c>
      <c r="L94" s="9"/>
      <c r="M94" s="9"/>
      <c r="N94" s="9"/>
      <c r="O94" s="9"/>
      <c r="P94" s="9"/>
      <c r="Q94" s="9"/>
      <c r="R94" s="9"/>
      <c r="S94" s="9"/>
      <c r="T94" s="9"/>
      <c r="U94" s="9"/>
    </row>
    <row r="95" spans="1:21" ht="15" customHeight="1" x14ac:dyDescent="0.25">
      <c r="A95" s="194"/>
      <c r="B95" s="98" t="s">
        <v>21</v>
      </c>
      <c r="C95" s="9">
        <v>113</v>
      </c>
      <c r="D95" s="9">
        <v>4</v>
      </c>
      <c r="E95" s="9">
        <v>14</v>
      </c>
      <c r="F95" s="9" t="s">
        <v>146</v>
      </c>
      <c r="G95" s="9">
        <v>9</v>
      </c>
      <c r="H95" s="9">
        <v>5</v>
      </c>
      <c r="I95" s="9" t="s">
        <v>146</v>
      </c>
      <c r="J95" s="9">
        <v>17</v>
      </c>
      <c r="K95" s="9">
        <v>162</v>
      </c>
      <c r="L95" s="9"/>
      <c r="M95" s="9"/>
      <c r="N95" s="9"/>
      <c r="O95" s="9"/>
      <c r="P95" s="9"/>
      <c r="Q95" s="9"/>
      <c r="R95" s="9"/>
      <c r="S95" s="9"/>
      <c r="T95" s="9"/>
      <c r="U95" s="9"/>
    </row>
    <row r="96" spans="1:21" ht="15" customHeight="1" x14ac:dyDescent="0.25">
      <c r="A96" s="194"/>
      <c r="B96" s="104" t="s">
        <v>12</v>
      </c>
      <c r="C96" s="102">
        <v>2309</v>
      </c>
      <c r="D96" s="102">
        <v>635</v>
      </c>
      <c r="E96" s="102">
        <v>2061</v>
      </c>
      <c r="F96" s="102">
        <v>1341</v>
      </c>
      <c r="G96" s="102">
        <v>541</v>
      </c>
      <c r="H96" s="102">
        <v>216</v>
      </c>
      <c r="I96" s="102">
        <v>152</v>
      </c>
      <c r="J96" s="102">
        <v>653</v>
      </c>
      <c r="K96" s="102">
        <v>7908</v>
      </c>
      <c r="L96" s="36"/>
      <c r="M96" s="9"/>
      <c r="N96" s="9"/>
      <c r="O96" s="9"/>
      <c r="P96" s="9"/>
      <c r="Q96" s="9"/>
      <c r="R96" s="9"/>
      <c r="S96" s="9"/>
      <c r="T96" s="9"/>
      <c r="U96" s="9"/>
    </row>
    <row r="97" spans="1:14" ht="2.25" customHeight="1" x14ac:dyDescent="0.25">
      <c r="A97" s="51"/>
      <c r="B97" s="51"/>
      <c r="C97" s="54"/>
      <c r="D97" s="54"/>
      <c r="E97" s="54"/>
      <c r="F97" s="54"/>
      <c r="G97" s="54"/>
      <c r="H97" s="54"/>
      <c r="I97" s="54"/>
      <c r="J97" s="54"/>
      <c r="K97" s="54"/>
      <c r="N97" s="123"/>
    </row>
    <row r="98" spans="1:14" ht="15" customHeight="1" x14ac:dyDescent="0.25">
      <c r="A98" s="7" t="s">
        <v>23</v>
      </c>
      <c r="B98" s="7"/>
      <c r="C98" s="7"/>
      <c r="D98" s="7"/>
      <c r="E98" s="7"/>
      <c r="F98" s="7"/>
      <c r="G98" s="7"/>
      <c r="H98" s="7"/>
      <c r="I98" s="7"/>
      <c r="J98" s="7"/>
      <c r="K98" s="7"/>
      <c r="L98" s="7"/>
      <c r="M98" s="7"/>
      <c r="N98" s="7"/>
    </row>
    <row r="99" spans="1:14" s="7" customFormat="1" ht="15" customHeight="1" x14ac:dyDescent="0.15">
      <c r="A99" s="7" t="s">
        <v>39</v>
      </c>
    </row>
    <row r="100" spans="1:14" s="7" customFormat="1" ht="15" customHeight="1" x14ac:dyDescent="0.15">
      <c r="A100" s="7" t="s">
        <v>29</v>
      </c>
    </row>
    <row r="101" spans="1:14" s="7" customFormat="1" ht="6" customHeight="1" x14ac:dyDescent="0.15">
      <c r="A101" s="7" t="s">
        <v>15</v>
      </c>
    </row>
    <row r="102" spans="1:14" s="7" customFormat="1" ht="15" customHeight="1" x14ac:dyDescent="0.15">
      <c r="A102" s="7" t="s">
        <v>347</v>
      </c>
    </row>
    <row r="103" spans="1:14" ht="15" customHeight="1" x14ac:dyDescent="0.25">
      <c r="A103" s="2"/>
    </row>
  </sheetData>
  <mergeCells count="25">
    <mergeCell ref="A40:A43"/>
    <mergeCell ref="A1:L1"/>
    <mergeCell ref="A4:A7"/>
    <mergeCell ref="A8:A11"/>
    <mergeCell ref="A12:A15"/>
    <mergeCell ref="A16:A19"/>
    <mergeCell ref="A20:A23"/>
    <mergeCell ref="A24:A27"/>
    <mergeCell ref="A28:A31"/>
    <mergeCell ref="A32:A35"/>
    <mergeCell ref="A36:A39"/>
    <mergeCell ref="A93:A96"/>
    <mergeCell ref="A45:L45"/>
    <mergeCell ref="A54:N54"/>
    <mergeCell ref="A57:A60"/>
    <mergeCell ref="A61:A64"/>
    <mergeCell ref="A65:A68"/>
    <mergeCell ref="A69:A72"/>
    <mergeCell ref="A73:A76"/>
    <mergeCell ref="A49:L49"/>
    <mergeCell ref="A77:A80"/>
    <mergeCell ref="A81:A84"/>
    <mergeCell ref="A85:A88"/>
    <mergeCell ref="A89:A92"/>
    <mergeCell ref="A50:L50"/>
  </mergeCells>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Y101"/>
  <sheetViews>
    <sheetView zoomScaleNormal="100" workbookViewId="0">
      <selection activeCell="M35" sqref="M35"/>
    </sheetView>
  </sheetViews>
  <sheetFormatPr defaultColWidth="9.140625" defaultRowHeight="15" x14ac:dyDescent="0.25"/>
  <cols>
    <col min="1" max="1" width="11.42578125" style="1" bestFit="1" customWidth="1"/>
    <col min="2" max="2" width="15.5703125" style="1" customWidth="1"/>
    <col min="3" max="10" width="11.42578125" style="1" bestFit="1" customWidth="1"/>
    <col min="11" max="11" width="11" style="1" customWidth="1"/>
    <col min="12" max="14" width="11.42578125" style="1" bestFit="1" customWidth="1"/>
    <col min="15" max="16384" width="9.140625" style="1"/>
  </cols>
  <sheetData>
    <row r="1" spans="1:25" ht="24" customHeight="1" x14ac:dyDescent="0.25">
      <c r="A1" s="190" t="s">
        <v>363</v>
      </c>
      <c r="B1" s="190"/>
      <c r="C1" s="190"/>
      <c r="D1" s="190"/>
      <c r="E1" s="190"/>
      <c r="F1" s="190"/>
      <c r="G1" s="190"/>
      <c r="H1" s="190"/>
      <c r="I1" s="190"/>
      <c r="J1" s="190"/>
      <c r="K1" s="190"/>
      <c r="L1" s="190"/>
    </row>
    <row r="2" spans="1:25" ht="0.75" customHeight="1" x14ac:dyDescent="0.25">
      <c r="A2" s="2"/>
    </row>
    <row r="3" spans="1:25" ht="23.25" x14ac:dyDescent="0.25">
      <c r="A3" s="35" t="s">
        <v>160</v>
      </c>
      <c r="B3" s="35" t="s">
        <v>158</v>
      </c>
      <c r="C3" s="3" t="s">
        <v>1</v>
      </c>
      <c r="D3" s="3" t="s">
        <v>2</v>
      </c>
      <c r="E3" s="3" t="s">
        <v>3</v>
      </c>
      <c r="F3" s="3" t="s">
        <v>4</v>
      </c>
      <c r="G3" s="3" t="s">
        <v>5</v>
      </c>
      <c r="H3" s="3" t="s">
        <v>6</v>
      </c>
      <c r="I3" s="3" t="s">
        <v>7</v>
      </c>
      <c r="J3" s="3" t="s">
        <v>8</v>
      </c>
      <c r="K3" s="3" t="s">
        <v>220</v>
      </c>
      <c r="L3" s="3" t="s">
        <v>9</v>
      </c>
    </row>
    <row r="4" spans="1:25" ht="15" customHeight="1" x14ac:dyDescent="0.25">
      <c r="A4" s="194" t="s">
        <v>211</v>
      </c>
      <c r="B4" s="4" t="s">
        <v>19</v>
      </c>
      <c r="C4" s="5">
        <v>704.5</v>
      </c>
      <c r="D4" s="5">
        <v>184.2</v>
      </c>
      <c r="E4" s="5">
        <v>819.1</v>
      </c>
      <c r="F4" s="5">
        <v>506.5</v>
      </c>
      <c r="G4" s="5">
        <v>158.1</v>
      </c>
      <c r="H4" s="5">
        <v>32.799999999999997</v>
      </c>
      <c r="I4" s="5">
        <v>20.5</v>
      </c>
      <c r="J4" s="5">
        <v>179.2</v>
      </c>
      <c r="K4" s="5">
        <v>2425.6999999999998</v>
      </c>
      <c r="L4" s="5">
        <v>2604.9</v>
      </c>
      <c r="N4" s="5"/>
      <c r="O4" s="5"/>
      <c r="P4" s="5"/>
      <c r="Q4" s="5"/>
      <c r="R4" s="5"/>
      <c r="S4" s="5"/>
      <c r="T4" s="5"/>
      <c r="U4" s="5"/>
      <c r="V4" s="5"/>
      <c r="W4" s="5"/>
      <c r="Y4" s="129"/>
    </row>
    <row r="5" spans="1:25" ht="15" customHeight="1" x14ac:dyDescent="0.25">
      <c r="A5" s="194"/>
      <c r="B5" s="4" t="s">
        <v>20</v>
      </c>
      <c r="C5" s="5">
        <v>744.1</v>
      </c>
      <c r="D5" s="5">
        <v>902.8</v>
      </c>
      <c r="E5" s="5">
        <v>638.1</v>
      </c>
      <c r="F5" s="5">
        <v>270.10000000000002</v>
      </c>
      <c r="G5" s="5">
        <v>157.5</v>
      </c>
      <c r="H5" s="5">
        <v>106.4</v>
      </c>
      <c r="I5" s="5">
        <v>52.5</v>
      </c>
      <c r="J5" s="5">
        <v>12.5</v>
      </c>
      <c r="K5" s="5">
        <v>2871.4</v>
      </c>
      <c r="L5" s="5">
        <v>2884</v>
      </c>
      <c r="N5" s="5"/>
      <c r="O5" s="5"/>
      <c r="P5" s="5"/>
      <c r="Q5" s="5"/>
      <c r="R5" s="5"/>
      <c r="S5" s="5"/>
      <c r="T5" s="5"/>
      <c r="U5" s="5"/>
      <c r="V5" s="5"/>
      <c r="W5" s="5"/>
    </row>
    <row r="6" spans="1:25" ht="15" customHeight="1" x14ac:dyDescent="0.25">
      <c r="A6" s="194"/>
      <c r="B6" s="4" t="s">
        <v>21</v>
      </c>
      <c r="C6" s="5">
        <v>51.3</v>
      </c>
      <c r="D6" s="5">
        <v>1.4</v>
      </c>
      <c r="E6" s="5">
        <v>9.1999999999999993</v>
      </c>
      <c r="F6" s="5" t="s">
        <v>146</v>
      </c>
      <c r="G6" s="5">
        <v>0.6</v>
      </c>
      <c r="H6" s="5">
        <v>1.9</v>
      </c>
      <c r="I6" s="5" t="s">
        <v>146</v>
      </c>
      <c r="J6" s="5">
        <v>14.3</v>
      </c>
      <c r="K6" s="5">
        <v>64.400000000000006</v>
      </c>
      <c r="L6" s="5">
        <v>78.8</v>
      </c>
      <c r="N6" s="5"/>
      <c r="O6" s="5"/>
      <c r="P6" s="5"/>
      <c r="Q6" s="5"/>
      <c r="R6" s="5"/>
      <c r="S6" s="5"/>
      <c r="T6" s="5"/>
      <c r="U6" s="5"/>
      <c r="V6" s="5"/>
      <c r="W6" s="5"/>
    </row>
    <row r="7" spans="1:25" ht="15" customHeight="1" x14ac:dyDescent="0.25">
      <c r="A7" s="194"/>
      <c r="B7" s="100" t="s">
        <v>12</v>
      </c>
      <c r="C7" s="101">
        <v>1499.9</v>
      </c>
      <c r="D7" s="101">
        <v>1088.4000000000001</v>
      </c>
      <c r="E7" s="101">
        <v>1466.4</v>
      </c>
      <c r="F7" s="101">
        <v>776.6</v>
      </c>
      <c r="G7" s="101">
        <v>316.2</v>
      </c>
      <c r="H7" s="101">
        <v>141.19999999999999</v>
      </c>
      <c r="I7" s="101">
        <v>73</v>
      </c>
      <c r="J7" s="101">
        <v>206</v>
      </c>
      <c r="K7" s="101">
        <v>5361.6</v>
      </c>
      <c r="L7" s="101">
        <v>5567.6</v>
      </c>
      <c r="N7" s="5"/>
      <c r="O7" s="5"/>
      <c r="P7" s="5"/>
      <c r="Q7" s="5"/>
      <c r="R7" s="5"/>
      <c r="S7" s="5"/>
      <c r="T7" s="5"/>
      <c r="U7" s="5"/>
      <c r="V7" s="5"/>
      <c r="W7" s="5"/>
    </row>
    <row r="8" spans="1:25" ht="15" customHeight="1" x14ac:dyDescent="0.25">
      <c r="A8" s="194" t="s">
        <v>212</v>
      </c>
      <c r="B8" s="4" t="s">
        <v>19</v>
      </c>
      <c r="C8" s="5">
        <v>651.29999999999995</v>
      </c>
      <c r="D8" s="5">
        <v>178.7</v>
      </c>
      <c r="E8" s="5">
        <v>801.6</v>
      </c>
      <c r="F8" s="5">
        <v>517</v>
      </c>
      <c r="G8" s="5">
        <v>169.8</v>
      </c>
      <c r="H8" s="5">
        <v>28.5</v>
      </c>
      <c r="I8" s="5">
        <v>16.8</v>
      </c>
      <c r="J8" s="5">
        <v>184.8</v>
      </c>
      <c r="K8" s="5">
        <v>2363.6999999999998</v>
      </c>
      <c r="L8" s="5">
        <v>2548.5</v>
      </c>
      <c r="N8" s="5"/>
      <c r="O8" s="5"/>
      <c r="P8" s="5"/>
      <c r="Q8" s="5"/>
      <c r="R8" s="5"/>
      <c r="S8" s="5"/>
      <c r="T8" s="5"/>
      <c r="U8" s="5"/>
      <c r="V8" s="5"/>
      <c r="W8" s="5"/>
    </row>
    <row r="9" spans="1:25" ht="15" customHeight="1" x14ac:dyDescent="0.25">
      <c r="A9" s="194"/>
      <c r="B9" s="4" t="s">
        <v>20</v>
      </c>
      <c r="C9" s="5">
        <v>683.4</v>
      </c>
      <c r="D9" s="5">
        <v>857.3</v>
      </c>
      <c r="E9" s="5">
        <v>607</v>
      </c>
      <c r="F9" s="5">
        <v>263.7</v>
      </c>
      <c r="G9" s="5">
        <v>147.80000000000001</v>
      </c>
      <c r="H9" s="5">
        <v>100.1</v>
      </c>
      <c r="I9" s="5">
        <v>60.1</v>
      </c>
      <c r="J9" s="5">
        <v>10.1</v>
      </c>
      <c r="K9" s="5">
        <v>2719.4</v>
      </c>
      <c r="L9" s="5">
        <v>2729.6</v>
      </c>
      <c r="N9" s="5"/>
      <c r="O9" s="5"/>
      <c r="P9" s="5"/>
      <c r="Q9" s="5"/>
      <c r="R9" s="5"/>
      <c r="S9" s="5"/>
      <c r="T9" s="5"/>
      <c r="U9" s="5"/>
      <c r="V9" s="5"/>
      <c r="W9" s="5"/>
    </row>
    <row r="10" spans="1:25" ht="15" customHeight="1" x14ac:dyDescent="0.25">
      <c r="A10" s="194"/>
      <c r="B10" s="4" t="s">
        <v>21</v>
      </c>
      <c r="C10" s="5">
        <v>46.6</v>
      </c>
      <c r="D10" s="5">
        <v>1.6</v>
      </c>
      <c r="E10" s="5">
        <v>6.3</v>
      </c>
      <c r="F10" s="5" t="s">
        <v>146</v>
      </c>
      <c r="G10" s="5">
        <v>1.3</v>
      </c>
      <c r="H10" s="5">
        <v>4.9000000000000004</v>
      </c>
      <c r="I10" s="5" t="s">
        <v>146</v>
      </c>
      <c r="J10" s="5">
        <v>14.5</v>
      </c>
      <c r="K10" s="5">
        <v>60.6</v>
      </c>
      <c r="L10" s="5">
        <v>75.099999999999994</v>
      </c>
      <c r="N10" s="5"/>
      <c r="O10" s="5"/>
      <c r="P10" s="5"/>
      <c r="Q10" s="5"/>
      <c r="R10" s="5"/>
      <c r="S10" s="5"/>
      <c r="T10" s="5"/>
      <c r="U10" s="5"/>
      <c r="V10" s="5"/>
      <c r="W10" s="5"/>
    </row>
    <row r="11" spans="1:25" ht="15" customHeight="1" x14ac:dyDescent="0.25">
      <c r="A11" s="194"/>
      <c r="B11" s="100" t="s">
        <v>12</v>
      </c>
      <c r="C11" s="101">
        <v>1381.4</v>
      </c>
      <c r="D11" s="101">
        <v>1037.5999999999999</v>
      </c>
      <c r="E11" s="101">
        <v>1414.9</v>
      </c>
      <c r="F11" s="101">
        <v>780.7</v>
      </c>
      <c r="G11" s="101">
        <v>318.89999999999998</v>
      </c>
      <c r="H11" s="101">
        <v>133.5</v>
      </c>
      <c r="I11" s="101">
        <v>76.900000000000006</v>
      </c>
      <c r="J11" s="101">
        <v>209.4</v>
      </c>
      <c r="K11" s="101">
        <v>5143.8</v>
      </c>
      <c r="L11" s="101">
        <v>5353.2</v>
      </c>
      <c r="N11" s="5"/>
      <c r="O11" s="5"/>
      <c r="P11" s="5"/>
      <c r="Q11" s="5"/>
      <c r="R11" s="5"/>
      <c r="S11" s="5"/>
      <c r="T11" s="5"/>
      <c r="U11" s="5"/>
      <c r="V11" s="5"/>
      <c r="W11" s="5"/>
    </row>
    <row r="12" spans="1:25" ht="15" customHeight="1" x14ac:dyDescent="0.25">
      <c r="A12" s="194" t="s">
        <v>213</v>
      </c>
      <c r="B12" s="4" t="s">
        <v>19</v>
      </c>
      <c r="C12" s="5">
        <v>626.9</v>
      </c>
      <c r="D12" s="5">
        <v>165</v>
      </c>
      <c r="E12" s="5">
        <v>933.1</v>
      </c>
      <c r="F12" s="5">
        <v>514</v>
      </c>
      <c r="G12" s="5">
        <v>140.6</v>
      </c>
      <c r="H12" s="5">
        <v>37.1</v>
      </c>
      <c r="I12" s="5">
        <v>26.6</v>
      </c>
      <c r="J12" s="5">
        <v>179.1</v>
      </c>
      <c r="K12" s="5">
        <v>2443.1999999999998</v>
      </c>
      <c r="L12" s="5">
        <v>2622.3</v>
      </c>
      <c r="N12" s="5"/>
      <c r="O12" s="5"/>
      <c r="P12" s="5"/>
      <c r="Q12" s="5"/>
      <c r="R12" s="5"/>
      <c r="S12" s="5"/>
      <c r="T12" s="5"/>
      <c r="U12" s="5"/>
      <c r="V12" s="5"/>
      <c r="W12" s="5"/>
    </row>
    <row r="13" spans="1:25" ht="15" customHeight="1" x14ac:dyDescent="0.25">
      <c r="A13" s="194"/>
      <c r="B13" s="4" t="s">
        <v>20</v>
      </c>
      <c r="C13" s="5">
        <v>687.4</v>
      </c>
      <c r="D13" s="5">
        <v>868.3</v>
      </c>
      <c r="E13" s="5">
        <v>679.4</v>
      </c>
      <c r="F13" s="5">
        <v>271.89999999999998</v>
      </c>
      <c r="G13" s="5">
        <v>138.69999999999999</v>
      </c>
      <c r="H13" s="5">
        <v>92.2</v>
      </c>
      <c r="I13" s="5">
        <v>75.900000000000006</v>
      </c>
      <c r="J13" s="5">
        <v>10.199999999999999</v>
      </c>
      <c r="K13" s="5">
        <v>2813.9</v>
      </c>
      <c r="L13" s="5">
        <v>2824.1</v>
      </c>
      <c r="N13" s="5"/>
      <c r="O13" s="5"/>
      <c r="P13" s="5"/>
      <c r="Q13" s="5"/>
      <c r="R13" s="5"/>
      <c r="S13" s="5"/>
      <c r="T13" s="5"/>
      <c r="U13" s="5"/>
      <c r="V13" s="5"/>
      <c r="W13" s="5"/>
    </row>
    <row r="14" spans="1:25" ht="15" customHeight="1" x14ac:dyDescent="0.25">
      <c r="A14" s="194"/>
      <c r="B14" s="4" t="s">
        <v>21</v>
      </c>
      <c r="C14" s="5">
        <v>61.7</v>
      </c>
      <c r="D14" s="5">
        <v>1.4</v>
      </c>
      <c r="E14" s="5">
        <v>8.6999999999999993</v>
      </c>
      <c r="F14" s="5" t="s">
        <v>146</v>
      </c>
      <c r="G14" s="5">
        <v>1.6</v>
      </c>
      <c r="H14" s="5">
        <v>5.5</v>
      </c>
      <c r="I14" s="5" t="s">
        <v>146</v>
      </c>
      <c r="J14" s="5">
        <v>9.8000000000000007</v>
      </c>
      <c r="K14" s="5">
        <v>78.900000000000006</v>
      </c>
      <c r="L14" s="5">
        <v>88.7</v>
      </c>
      <c r="N14" s="5"/>
      <c r="O14" s="5"/>
      <c r="P14" s="5"/>
      <c r="Q14" s="5"/>
      <c r="R14" s="5"/>
      <c r="S14" s="5"/>
      <c r="T14" s="5"/>
      <c r="U14" s="5"/>
      <c r="V14" s="5"/>
      <c r="W14" s="5"/>
    </row>
    <row r="15" spans="1:25" ht="15" customHeight="1" x14ac:dyDescent="0.25">
      <c r="A15" s="194"/>
      <c r="B15" s="100" t="s">
        <v>12</v>
      </c>
      <c r="C15" s="101">
        <v>1376</v>
      </c>
      <c r="D15" s="101">
        <v>1034.7</v>
      </c>
      <c r="E15" s="101">
        <v>1621.2</v>
      </c>
      <c r="F15" s="101">
        <v>785.9</v>
      </c>
      <c r="G15" s="101">
        <v>280.89999999999998</v>
      </c>
      <c r="H15" s="101">
        <v>134.80000000000001</v>
      </c>
      <c r="I15" s="101">
        <v>102.5</v>
      </c>
      <c r="J15" s="101">
        <v>199.1</v>
      </c>
      <c r="K15" s="101">
        <v>5336</v>
      </c>
      <c r="L15" s="101">
        <v>5535.1</v>
      </c>
      <c r="N15" s="5"/>
      <c r="O15" s="5"/>
      <c r="P15" s="5"/>
      <c r="Q15" s="5"/>
      <c r="R15" s="5"/>
      <c r="S15" s="5"/>
      <c r="T15" s="5"/>
      <c r="U15" s="5"/>
      <c r="V15" s="5"/>
      <c r="W15" s="5"/>
    </row>
    <row r="16" spans="1:25" ht="15" customHeight="1" x14ac:dyDescent="0.25">
      <c r="A16" s="194" t="s">
        <v>214</v>
      </c>
      <c r="B16" s="4" t="s">
        <v>19</v>
      </c>
      <c r="C16" s="5">
        <v>610.4</v>
      </c>
      <c r="D16" s="5">
        <v>151.69999999999999</v>
      </c>
      <c r="E16" s="5">
        <v>1146.5</v>
      </c>
      <c r="F16" s="5">
        <v>472</v>
      </c>
      <c r="G16" s="5">
        <v>117.5</v>
      </c>
      <c r="H16" s="5">
        <v>42.8</v>
      </c>
      <c r="I16" s="5">
        <v>18.399999999999999</v>
      </c>
      <c r="J16" s="5">
        <v>197.6</v>
      </c>
      <c r="K16" s="5">
        <v>2559.3000000000002</v>
      </c>
      <c r="L16" s="5">
        <v>2756.9</v>
      </c>
      <c r="N16" s="5"/>
      <c r="O16" s="5"/>
      <c r="P16" s="5"/>
      <c r="Q16" s="5"/>
      <c r="R16" s="5"/>
      <c r="S16" s="5"/>
      <c r="T16" s="5"/>
      <c r="U16" s="5"/>
      <c r="V16" s="5"/>
      <c r="W16" s="5"/>
    </row>
    <row r="17" spans="1:23" ht="15" customHeight="1" x14ac:dyDescent="0.25">
      <c r="A17" s="194"/>
      <c r="B17" s="4" t="s">
        <v>20</v>
      </c>
      <c r="C17" s="5">
        <v>713.3</v>
      </c>
      <c r="D17" s="5">
        <v>801.6</v>
      </c>
      <c r="E17" s="5">
        <v>778.6</v>
      </c>
      <c r="F17" s="5">
        <v>300.39999999999998</v>
      </c>
      <c r="G17" s="5">
        <v>121.2</v>
      </c>
      <c r="H17" s="5">
        <v>99.8</v>
      </c>
      <c r="I17" s="5">
        <v>60.1</v>
      </c>
      <c r="J17" s="5">
        <v>9.6999999999999993</v>
      </c>
      <c r="K17" s="5">
        <v>2875</v>
      </c>
      <c r="L17" s="5">
        <v>2884.7</v>
      </c>
      <c r="N17" s="5"/>
      <c r="O17" s="5"/>
      <c r="P17" s="5"/>
      <c r="Q17" s="5"/>
      <c r="R17" s="5"/>
      <c r="S17" s="5"/>
      <c r="T17" s="5"/>
      <c r="U17" s="5"/>
      <c r="V17" s="5"/>
      <c r="W17" s="5"/>
    </row>
    <row r="18" spans="1:23" ht="15" customHeight="1" x14ac:dyDescent="0.25">
      <c r="A18" s="194"/>
      <c r="B18" s="4" t="s">
        <v>21</v>
      </c>
      <c r="C18" s="5">
        <v>43.8</v>
      </c>
      <c r="D18" s="5">
        <v>0.1</v>
      </c>
      <c r="E18" s="5">
        <v>7.8</v>
      </c>
      <c r="F18" s="5" t="s">
        <v>146</v>
      </c>
      <c r="G18" s="5">
        <v>1</v>
      </c>
      <c r="H18" s="5">
        <v>12.3</v>
      </c>
      <c r="I18" s="5" t="s">
        <v>146</v>
      </c>
      <c r="J18" s="5">
        <v>9.6999999999999993</v>
      </c>
      <c r="K18" s="5">
        <v>65</v>
      </c>
      <c r="L18" s="5">
        <v>74.7</v>
      </c>
      <c r="N18" s="5"/>
      <c r="O18" s="5"/>
      <c r="P18" s="5"/>
      <c r="Q18" s="5"/>
      <c r="R18" s="5"/>
      <c r="S18" s="5"/>
      <c r="T18" s="5"/>
      <c r="U18" s="5"/>
      <c r="V18" s="5"/>
      <c r="W18" s="5"/>
    </row>
    <row r="19" spans="1:23" ht="15" customHeight="1" x14ac:dyDescent="0.25">
      <c r="A19" s="194"/>
      <c r="B19" s="100" t="s">
        <v>12</v>
      </c>
      <c r="C19" s="101">
        <v>1367.5</v>
      </c>
      <c r="D19" s="101">
        <v>953.4</v>
      </c>
      <c r="E19" s="101">
        <v>1933</v>
      </c>
      <c r="F19" s="101">
        <v>772.4</v>
      </c>
      <c r="G19" s="101">
        <v>239.7</v>
      </c>
      <c r="H19" s="101">
        <v>154.80000000000001</v>
      </c>
      <c r="I19" s="101">
        <v>78.5</v>
      </c>
      <c r="J19" s="101">
        <v>216.9</v>
      </c>
      <c r="K19" s="101">
        <v>5499.3</v>
      </c>
      <c r="L19" s="101">
        <v>5716.2</v>
      </c>
      <c r="N19" s="5"/>
      <c r="O19" s="5"/>
      <c r="P19" s="5"/>
      <c r="Q19" s="5"/>
      <c r="R19" s="5"/>
      <c r="S19" s="5"/>
      <c r="T19" s="5"/>
      <c r="U19" s="5"/>
      <c r="V19" s="5"/>
      <c r="W19" s="5"/>
    </row>
    <row r="20" spans="1:23" ht="15" customHeight="1" x14ac:dyDescent="0.25">
      <c r="A20" s="194" t="s">
        <v>215</v>
      </c>
      <c r="B20" s="4" t="s">
        <v>19</v>
      </c>
      <c r="C20" s="5">
        <v>586.5</v>
      </c>
      <c r="D20" s="5">
        <v>132.1</v>
      </c>
      <c r="E20" s="5">
        <v>1057</v>
      </c>
      <c r="F20" s="5">
        <v>407.5</v>
      </c>
      <c r="G20" s="5">
        <v>122.2</v>
      </c>
      <c r="H20" s="5">
        <v>46.7</v>
      </c>
      <c r="I20" s="5">
        <v>16.399999999999999</v>
      </c>
      <c r="J20" s="5">
        <v>201</v>
      </c>
      <c r="K20" s="5">
        <v>2368.4</v>
      </c>
      <c r="L20" s="5">
        <v>2569.4</v>
      </c>
      <c r="N20" s="5"/>
      <c r="O20" s="5"/>
      <c r="P20" s="5"/>
      <c r="Q20" s="5"/>
      <c r="R20" s="5"/>
      <c r="S20" s="5"/>
      <c r="T20" s="5"/>
      <c r="U20" s="5"/>
      <c r="V20" s="5"/>
      <c r="W20" s="5"/>
    </row>
    <row r="21" spans="1:23" ht="15" customHeight="1" x14ac:dyDescent="0.25">
      <c r="A21" s="194"/>
      <c r="B21" s="4" t="s">
        <v>20</v>
      </c>
      <c r="C21" s="5">
        <v>669.5</v>
      </c>
      <c r="D21" s="5">
        <v>794.9</v>
      </c>
      <c r="E21" s="5">
        <v>708.5</v>
      </c>
      <c r="F21" s="5">
        <v>276.5</v>
      </c>
      <c r="G21" s="5">
        <v>131.30000000000001</v>
      </c>
      <c r="H21" s="5">
        <v>88.3</v>
      </c>
      <c r="I21" s="5">
        <v>54.8</v>
      </c>
      <c r="J21" s="5">
        <v>11.9</v>
      </c>
      <c r="K21" s="5">
        <v>2723.8</v>
      </c>
      <c r="L21" s="5">
        <v>2735.7</v>
      </c>
      <c r="N21" s="5"/>
      <c r="O21" s="5"/>
      <c r="P21" s="5"/>
      <c r="Q21" s="5"/>
      <c r="R21" s="5"/>
      <c r="S21" s="5"/>
      <c r="T21" s="5"/>
      <c r="U21" s="5"/>
      <c r="V21" s="5"/>
      <c r="W21" s="5"/>
    </row>
    <row r="22" spans="1:23" ht="15" customHeight="1" x14ac:dyDescent="0.25">
      <c r="A22" s="194"/>
      <c r="B22" s="4" t="s">
        <v>21</v>
      </c>
      <c r="C22" s="5">
        <v>45.2</v>
      </c>
      <c r="D22" s="5" t="s">
        <v>146</v>
      </c>
      <c r="E22" s="5">
        <v>6.9</v>
      </c>
      <c r="F22" s="5" t="s">
        <v>146</v>
      </c>
      <c r="G22" s="5">
        <v>1.6</v>
      </c>
      <c r="H22" s="5">
        <v>10.7</v>
      </c>
      <c r="I22" s="5" t="s">
        <v>146</v>
      </c>
      <c r="J22" s="5">
        <v>6</v>
      </c>
      <c r="K22" s="5">
        <v>64.5</v>
      </c>
      <c r="L22" s="5">
        <v>70.400000000000006</v>
      </c>
      <c r="N22" s="5"/>
      <c r="O22" s="5"/>
      <c r="P22" s="5"/>
      <c r="Q22" s="5"/>
      <c r="R22" s="5"/>
      <c r="S22" s="5"/>
      <c r="T22" s="5"/>
      <c r="U22" s="5"/>
      <c r="V22" s="5"/>
      <c r="W22" s="5"/>
    </row>
    <row r="23" spans="1:23" ht="15" customHeight="1" x14ac:dyDescent="0.25">
      <c r="A23" s="194"/>
      <c r="B23" s="100" t="s">
        <v>12</v>
      </c>
      <c r="C23" s="101">
        <v>1301.3</v>
      </c>
      <c r="D23" s="101">
        <v>926.9</v>
      </c>
      <c r="E23" s="101">
        <v>1772.4</v>
      </c>
      <c r="F23" s="101">
        <v>684.1</v>
      </c>
      <c r="G23" s="101">
        <v>255.1</v>
      </c>
      <c r="H23" s="101">
        <v>145.69999999999999</v>
      </c>
      <c r="I23" s="101">
        <v>71.2</v>
      </c>
      <c r="J23" s="101">
        <v>218.9</v>
      </c>
      <c r="K23" s="101">
        <v>5156.6000000000004</v>
      </c>
      <c r="L23" s="101">
        <v>5375.5</v>
      </c>
      <c r="N23" s="5"/>
      <c r="O23" s="5"/>
      <c r="P23" s="5"/>
      <c r="Q23" s="5"/>
      <c r="R23" s="5"/>
      <c r="S23" s="5"/>
      <c r="T23" s="5"/>
      <c r="U23" s="5"/>
      <c r="V23" s="5"/>
      <c r="W23" s="5"/>
    </row>
    <row r="24" spans="1:23" ht="15" customHeight="1" x14ac:dyDescent="0.25">
      <c r="A24" s="194" t="s">
        <v>216</v>
      </c>
      <c r="B24" s="4" t="s">
        <v>19</v>
      </c>
      <c r="C24" s="5">
        <v>508.1</v>
      </c>
      <c r="D24" s="5">
        <v>124.3</v>
      </c>
      <c r="E24" s="5">
        <v>967.5</v>
      </c>
      <c r="F24" s="5">
        <v>329.4</v>
      </c>
      <c r="G24" s="5">
        <v>99.4</v>
      </c>
      <c r="H24" s="5">
        <v>40.200000000000003</v>
      </c>
      <c r="I24" s="5">
        <v>12.3</v>
      </c>
      <c r="J24" s="5">
        <v>166.4</v>
      </c>
      <c r="K24" s="5">
        <v>2081.3000000000002</v>
      </c>
      <c r="L24" s="5">
        <v>2247.6</v>
      </c>
      <c r="N24" s="5"/>
      <c r="O24" s="5"/>
      <c r="P24" s="5"/>
      <c r="Q24" s="5"/>
      <c r="R24" s="5"/>
      <c r="S24" s="5"/>
      <c r="T24" s="5"/>
      <c r="U24" s="5"/>
      <c r="V24" s="5"/>
      <c r="W24" s="5"/>
    </row>
    <row r="25" spans="1:23" ht="15" customHeight="1" x14ac:dyDescent="0.25">
      <c r="A25" s="194"/>
      <c r="B25" s="4" t="s">
        <v>20</v>
      </c>
      <c r="C25" s="5">
        <v>633.9</v>
      </c>
      <c r="D25" s="5">
        <v>721.4</v>
      </c>
      <c r="E25" s="5">
        <v>631.9</v>
      </c>
      <c r="F25" s="5">
        <v>219.7</v>
      </c>
      <c r="G25" s="5">
        <v>116.7</v>
      </c>
      <c r="H25" s="5">
        <v>73.5</v>
      </c>
      <c r="I25" s="5">
        <v>56.4</v>
      </c>
      <c r="J25" s="5">
        <v>10.5</v>
      </c>
      <c r="K25" s="5">
        <v>2453.6</v>
      </c>
      <c r="L25" s="5">
        <v>2464</v>
      </c>
      <c r="N25" s="5"/>
      <c r="O25" s="5"/>
      <c r="P25" s="5"/>
      <c r="Q25" s="5"/>
      <c r="R25" s="5"/>
      <c r="S25" s="5"/>
      <c r="T25" s="5"/>
      <c r="U25" s="5"/>
      <c r="V25" s="5"/>
      <c r="W25" s="5"/>
    </row>
    <row r="26" spans="1:23" ht="15" customHeight="1" x14ac:dyDescent="0.25">
      <c r="A26" s="194"/>
      <c r="B26" s="4" t="s">
        <v>21</v>
      </c>
      <c r="C26" s="5">
        <v>42.5</v>
      </c>
      <c r="D26" s="5">
        <v>0.1</v>
      </c>
      <c r="E26" s="5">
        <v>6.9</v>
      </c>
      <c r="F26" s="5" t="s">
        <v>146</v>
      </c>
      <c r="G26" s="5">
        <v>1.3</v>
      </c>
      <c r="H26" s="5">
        <v>4.8</v>
      </c>
      <c r="I26" s="5" t="s">
        <v>146</v>
      </c>
      <c r="J26" s="5">
        <v>5.7</v>
      </c>
      <c r="K26" s="5">
        <v>55.6</v>
      </c>
      <c r="L26" s="5">
        <v>61.3</v>
      </c>
      <c r="N26" s="5"/>
      <c r="O26" s="5"/>
      <c r="P26" s="5"/>
      <c r="Q26" s="5"/>
      <c r="R26" s="5"/>
      <c r="S26" s="5"/>
      <c r="T26" s="5"/>
      <c r="U26" s="5"/>
      <c r="V26" s="5"/>
      <c r="W26" s="5"/>
    </row>
    <row r="27" spans="1:23" ht="15" customHeight="1" x14ac:dyDescent="0.25">
      <c r="A27" s="194"/>
      <c r="B27" s="100" t="s">
        <v>12</v>
      </c>
      <c r="C27" s="101">
        <v>1184.5999999999999</v>
      </c>
      <c r="D27" s="101">
        <v>845.8</v>
      </c>
      <c r="E27" s="101">
        <v>1606.4</v>
      </c>
      <c r="F27" s="101">
        <v>549.1</v>
      </c>
      <c r="G27" s="101">
        <v>217.4</v>
      </c>
      <c r="H27" s="101">
        <v>118.4</v>
      </c>
      <c r="I27" s="101">
        <v>68.7</v>
      </c>
      <c r="J27" s="101">
        <v>182.5</v>
      </c>
      <c r="K27" s="101">
        <v>4590.3999999999996</v>
      </c>
      <c r="L27" s="101">
        <v>4772.8999999999996</v>
      </c>
      <c r="N27" s="5"/>
      <c r="O27" s="5"/>
      <c r="P27" s="5"/>
      <c r="Q27" s="5"/>
      <c r="R27" s="5"/>
      <c r="S27" s="5"/>
      <c r="T27" s="5"/>
      <c r="U27" s="5"/>
      <c r="V27" s="5"/>
      <c r="W27" s="5"/>
    </row>
    <row r="28" spans="1:23" ht="15" customHeight="1" x14ac:dyDescent="0.25">
      <c r="A28" s="194" t="s">
        <v>217</v>
      </c>
      <c r="B28" s="4" t="s">
        <v>19</v>
      </c>
      <c r="C28" s="5">
        <v>489.4</v>
      </c>
      <c r="D28" s="5">
        <v>107.9</v>
      </c>
      <c r="E28" s="5">
        <v>988.7</v>
      </c>
      <c r="F28" s="5">
        <v>356.7</v>
      </c>
      <c r="G28" s="5">
        <v>103.1</v>
      </c>
      <c r="H28" s="5">
        <v>36.200000000000003</v>
      </c>
      <c r="I28" s="5">
        <v>12.6</v>
      </c>
      <c r="J28" s="5">
        <v>224.2</v>
      </c>
      <c r="K28" s="5">
        <v>2094.6999999999998</v>
      </c>
      <c r="L28" s="5">
        <v>2318.9</v>
      </c>
      <c r="N28" s="5"/>
      <c r="O28" s="5"/>
      <c r="P28" s="5"/>
      <c r="Q28" s="5"/>
      <c r="R28" s="5"/>
      <c r="S28" s="5"/>
      <c r="T28" s="5"/>
      <c r="U28" s="5"/>
      <c r="V28" s="5"/>
      <c r="W28" s="5"/>
    </row>
    <row r="29" spans="1:23" ht="15" customHeight="1" x14ac:dyDescent="0.25">
      <c r="A29" s="194"/>
      <c r="B29" s="4" t="s">
        <v>20</v>
      </c>
      <c r="C29" s="5">
        <v>563.1</v>
      </c>
      <c r="D29" s="5">
        <v>620.70000000000005</v>
      </c>
      <c r="E29" s="5">
        <v>628.29999999999995</v>
      </c>
      <c r="F29" s="5">
        <v>210.6</v>
      </c>
      <c r="G29" s="5">
        <v>127.3</v>
      </c>
      <c r="H29" s="5">
        <v>60.4</v>
      </c>
      <c r="I29" s="5">
        <v>52.2</v>
      </c>
      <c r="J29" s="5">
        <v>13.6</v>
      </c>
      <c r="K29" s="5">
        <v>2262.5</v>
      </c>
      <c r="L29" s="5">
        <v>2276.1999999999998</v>
      </c>
      <c r="N29" s="5"/>
      <c r="O29" s="5"/>
      <c r="P29" s="5"/>
      <c r="Q29" s="5"/>
      <c r="R29" s="5"/>
      <c r="S29" s="5"/>
      <c r="T29" s="5"/>
      <c r="U29" s="5"/>
      <c r="V29" s="5"/>
      <c r="W29" s="5"/>
    </row>
    <row r="30" spans="1:23" ht="15" customHeight="1" x14ac:dyDescent="0.25">
      <c r="A30" s="194"/>
      <c r="B30" s="4" t="s">
        <v>21</v>
      </c>
      <c r="C30" s="5">
        <v>35.6</v>
      </c>
      <c r="D30" s="5" t="s">
        <v>146</v>
      </c>
      <c r="E30" s="5">
        <v>4.8</v>
      </c>
      <c r="F30" s="5" t="s">
        <v>146</v>
      </c>
      <c r="G30" s="5">
        <v>1.6</v>
      </c>
      <c r="H30" s="5">
        <v>0.3</v>
      </c>
      <c r="I30" s="5" t="s">
        <v>146</v>
      </c>
      <c r="J30" s="5">
        <v>7.3</v>
      </c>
      <c r="K30" s="5">
        <v>42.3</v>
      </c>
      <c r="L30" s="5">
        <v>49.7</v>
      </c>
      <c r="N30" s="5"/>
      <c r="O30" s="5"/>
      <c r="P30" s="5"/>
      <c r="Q30" s="5"/>
      <c r="R30" s="5"/>
      <c r="S30" s="5"/>
      <c r="T30" s="5"/>
      <c r="U30" s="5"/>
      <c r="V30" s="5"/>
      <c r="W30" s="5"/>
    </row>
    <row r="31" spans="1:23" ht="15" customHeight="1" x14ac:dyDescent="0.25">
      <c r="A31" s="194"/>
      <c r="B31" s="100" t="s">
        <v>12</v>
      </c>
      <c r="C31" s="101">
        <v>1088.2</v>
      </c>
      <c r="D31" s="101">
        <v>728.6</v>
      </c>
      <c r="E31" s="101">
        <v>1621.9</v>
      </c>
      <c r="F31" s="101">
        <v>567.29999999999995</v>
      </c>
      <c r="G31" s="101">
        <v>232</v>
      </c>
      <c r="H31" s="101">
        <v>96.9</v>
      </c>
      <c r="I31" s="101">
        <v>64.8</v>
      </c>
      <c r="J31" s="101">
        <v>245.2</v>
      </c>
      <c r="K31" s="101">
        <v>4399.6000000000004</v>
      </c>
      <c r="L31" s="101">
        <v>4644.7</v>
      </c>
      <c r="N31" s="5"/>
      <c r="O31" s="5"/>
      <c r="P31" s="5"/>
      <c r="Q31" s="5"/>
      <c r="R31" s="5"/>
      <c r="S31" s="5"/>
      <c r="T31" s="5"/>
      <c r="U31" s="5"/>
      <c r="V31" s="5"/>
      <c r="W31" s="5"/>
    </row>
    <row r="32" spans="1:23" ht="15" customHeight="1" x14ac:dyDescent="0.25">
      <c r="A32" s="194" t="s">
        <v>218</v>
      </c>
      <c r="B32" s="4" t="s">
        <v>19</v>
      </c>
      <c r="C32" s="5">
        <v>520</v>
      </c>
      <c r="D32" s="5">
        <v>100.3</v>
      </c>
      <c r="E32" s="5">
        <v>991.4</v>
      </c>
      <c r="F32" s="5">
        <v>401.1</v>
      </c>
      <c r="G32" s="5">
        <v>118.1</v>
      </c>
      <c r="H32" s="5">
        <v>33.700000000000003</v>
      </c>
      <c r="I32" s="5">
        <v>14.5</v>
      </c>
      <c r="J32" s="5">
        <v>318.60000000000002</v>
      </c>
      <c r="K32" s="5">
        <v>2179.1</v>
      </c>
      <c r="L32" s="5">
        <v>2497.6999999999998</v>
      </c>
      <c r="N32" s="5"/>
      <c r="O32" s="5"/>
      <c r="P32" s="5"/>
      <c r="Q32" s="5"/>
      <c r="R32" s="5"/>
      <c r="S32" s="5"/>
      <c r="T32" s="5"/>
      <c r="U32" s="5"/>
      <c r="V32" s="5"/>
      <c r="W32" s="5"/>
    </row>
    <row r="33" spans="1:23" ht="15" customHeight="1" x14ac:dyDescent="0.25">
      <c r="A33" s="194"/>
      <c r="B33" s="4" t="s">
        <v>20</v>
      </c>
      <c r="C33" s="5">
        <v>449.9</v>
      </c>
      <c r="D33" s="5">
        <v>495.1</v>
      </c>
      <c r="E33" s="5">
        <v>594.70000000000005</v>
      </c>
      <c r="F33" s="5">
        <v>219.8</v>
      </c>
      <c r="G33" s="5">
        <v>138.6</v>
      </c>
      <c r="H33" s="5">
        <v>74.400000000000006</v>
      </c>
      <c r="I33" s="5">
        <v>56.7</v>
      </c>
      <c r="J33" s="5">
        <v>14.9</v>
      </c>
      <c r="K33" s="5">
        <v>2029.3</v>
      </c>
      <c r="L33" s="5">
        <v>2044.2</v>
      </c>
      <c r="N33" s="5"/>
      <c r="O33" s="5"/>
      <c r="P33" s="5"/>
      <c r="Q33" s="5"/>
      <c r="R33" s="5"/>
      <c r="S33" s="5"/>
      <c r="T33" s="5"/>
      <c r="U33" s="5"/>
      <c r="V33" s="5"/>
      <c r="W33" s="5"/>
    </row>
    <row r="34" spans="1:23" ht="15" customHeight="1" x14ac:dyDescent="0.25">
      <c r="A34" s="194"/>
      <c r="B34" s="4" t="s">
        <v>21</v>
      </c>
      <c r="C34" s="5">
        <v>32.799999999999997</v>
      </c>
      <c r="D34" s="5" t="s">
        <v>146</v>
      </c>
      <c r="E34" s="5">
        <v>2.9</v>
      </c>
      <c r="F34" s="5" t="s">
        <v>146</v>
      </c>
      <c r="G34" s="5">
        <v>1.6</v>
      </c>
      <c r="H34" s="5">
        <v>0.6</v>
      </c>
      <c r="I34" s="5">
        <v>1.4</v>
      </c>
      <c r="J34" s="5">
        <v>12.5</v>
      </c>
      <c r="K34" s="5">
        <v>39.299999999999997</v>
      </c>
      <c r="L34" s="5">
        <v>51.8</v>
      </c>
      <c r="N34" s="5"/>
      <c r="O34" s="5"/>
      <c r="P34" s="5"/>
      <c r="Q34" s="5"/>
      <c r="R34" s="5"/>
      <c r="S34" s="5"/>
      <c r="T34" s="5"/>
      <c r="U34" s="5"/>
      <c r="V34" s="5"/>
      <c r="W34" s="5"/>
    </row>
    <row r="35" spans="1:23" ht="15" customHeight="1" x14ac:dyDescent="0.25">
      <c r="A35" s="194"/>
      <c r="B35" s="100" t="s">
        <v>12</v>
      </c>
      <c r="C35" s="101">
        <v>1002.6</v>
      </c>
      <c r="D35" s="101">
        <v>595.4</v>
      </c>
      <c r="E35" s="101">
        <v>1589</v>
      </c>
      <c r="F35" s="101">
        <v>621</v>
      </c>
      <c r="G35" s="101">
        <v>258.3</v>
      </c>
      <c r="H35" s="101">
        <v>108.8</v>
      </c>
      <c r="I35" s="101">
        <v>72.599999999999994</v>
      </c>
      <c r="J35" s="101">
        <v>346</v>
      </c>
      <c r="K35" s="101">
        <v>4247.7</v>
      </c>
      <c r="L35" s="101">
        <v>4593.7</v>
      </c>
      <c r="N35" s="5"/>
      <c r="O35" s="5"/>
      <c r="P35" s="5"/>
      <c r="Q35" s="5"/>
      <c r="R35" s="5"/>
      <c r="S35" s="5"/>
      <c r="T35" s="5"/>
      <c r="U35" s="5"/>
      <c r="V35" s="5"/>
      <c r="W35" s="5"/>
    </row>
    <row r="36" spans="1:23" ht="15" customHeight="1" x14ac:dyDescent="0.25">
      <c r="A36" s="194" t="s">
        <v>219</v>
      </c>
      <c r="B36" s="4" t="s">
        <v>19</v>
      </c>
      <c r="C36" s="5">
        <v>555.9</v>
      </c>
      <c r="D36" s="5">
        <v>83.7</v>
      </c>
      <c r="E36" s="5">
        <v>1010.2</v>
      </c>
      <c r="F36" s="5">
        <v>369.7</v>
      </c>
      <c r="G36" s="5">
        <v>153.1</v>
      </c>
      <c r="H36" s="5">
        <v>42.8</v>
      </c>
      <c r="I36" s="5">
        <v>22.1</v>
      </c>
      <c r="J36" s="5" t="s">
        <v>151</v>
      </c>
      <c r="K36" s="5">
        <v>2237.6</v>
      </c>
      <c r="L36" s="5" t="s">
        <v>151</v>
      </c>
      <c r="N36" s="5"/>
      <c r="O36" s="5"/>
      <c r="P36" s="5"/>
      <c r="Q36" s="5"/>
      <c r="R36" s="5"/>
      <c r="S36" s="5"/>
      <c r="T36" s="5"/>
      <c r="U36" s="5"/>
      <c r="V36" s="5"/>
      <c r="W36" s="5"/>
    </row>
    <row r="37" spans="1:23" ht="15" customHeight="1" x14ac:dyDescent="0.25">
      <c r="A37" s="194"/>
      <c r="B37" s="4" t="s">
        <v>20</v>
      </c>
      <c r="C37" s="5">
        <v>424.1</v>
      </c>
      <c r="D37" s="5">
        <v>430.6</v>
      </c>
      <c r="E37" s="5">
        <v>580.20000000000005</v>
      </c>
      <c r="F37" s="5">
        <v>228.5</v>
      </c>
      <c r="G37" s="5">
        <v>140.30000000000001</v>
      </c>
      <c r="H37" s="5">
        <v>79.7</v>
      </c>
      <c r="I37" s="5">
        <v>64.900000000000006</v>
      </c>
      <c r="J37" s="5" t="s">
        <v>151</v>
      </c>
      <c r="K37" s="5">
        <v>1948.4</v>
      </c>
      <c r="L37" s="5" t="s">
        <v>151</v>
      </c>
      <c r="N37" s="5"/>
      <c r="O37" s="5"/>
      <c r="P37" s="5"/>
      <c r="Q37" s="5"/>
      <c r="R37" s="5"/>
      <c r="S37" s="5"/>
      <c r="T37" s="5"/>
      <c r="U37" s="5"/>
      <c r="V37" s="5"/>
      <c r="W37" s="5"/>
    </row>
    <row r="38" spans="1:23" ht="15" customHeight="1" x14ac:dyDescent="0.25">
      <c r="A38" s="194"/>
      <c r="B38" s="4" t="s">
        <v>21</v>
      </c>
      <c r="C38" s="5">
        <v>28.3</v>
      </c>
      <c r="D38" s="5" t="s">
        <v>146</v>
      </c>
      <c r="E38" s="5">
        <v>2.5</v>
      </c>
      <c r="F38" s="5" t="s">
        <v>146</v>
      </c>
      <c r="G38" s="5">
        <v>0.6</v>
      </c>
      <c r="H38" s="5">
        <v>0.4</v>
      </c>
      <c r="I38" s="5">
        <v>0.4</v>
      </c>
      <c r="J38" s="5" t="s">
        <v>151</v>
      </c>
      <c r="K38" s="5">
        <v>32.200000000000003</v>
      </c>
      <c r="L38" s="5" t="s">
        <v>151</v>
      </c>
      <c r="N38" s="5"/>
      <c r="O38" s="5"/>
      <c r="P38" s="5"/>
      <c r="Q38" s="5"/>
      <c r="R38" s="5"/>
      <c r="S38" s="5"/>
      <c r="T38" s="5"/>
      <c r="U38" s="5"/>
      <c r="V38" s="5"/>
      <c r="W38" s="5"/>
    </row>
    <row r="39" spans="1:23" ht="15" customHeight="1" x14ac:dyDescent="0.25">
      <c r="A39" s="194"/>
      <c r="B39" s="100" t="s">
        <v>12</v>
      </c>
      <c r="C39" s="101">
        <v>1008.3</v>
      </c>
      <c r="D39" s="101">
        <v>514.4</v>
      </c>
      <c r="E39" s="101">
        <v>1592.9</v>
      </c>
      <c r="F39" s="101">
        <v>598.20000000000005</v>
      </c>
      <c r="G39" s="101">
        <v>294.10000000000002</v>
      </c>
      <c r="H39" s="101">
        <v>122.9</v>
      </c>
      <c r="I39" s="101">
        <v>87.4</v>
      </c>
      <c r="J39" s="101" t="s">
        <v>151</v>
      </c>
      <c r="K39" s="101">
        <v>4218.2</v>
      </c>
      <c r="L39" s="101" t="s">
        <v>151</v>
      </c>
      <c r="N39" s="5"/>
      <c r="O39" s="5"/>
      <c r="P39" s="5"/>
      <c r="Q39" s="5"/>
      <c r="R39" s="5"/>
      <c r="S39" s="5"/>
      <c r="T39" s="5"/>
      <c r="U39" s="5"/>
      <c r="V39" s="5"/>
      <c r="W39" s="5"/>
    </row>
    <row r="40" spans="1:23" ht="15" customHeight="1" x14ac:dyDescent="0.25">
      <c r="A40" s="194" t="s">
        <v>357</v>
      </c>
      <c r="B40" s="4" t="s">
        <v>19</v>
      </c>
      <c r="C40" s="5">
        <v>568.29999999999995</v>
      </c>
      <c r="D40" s="5">
        <v>97.1</v>
      </c>
      <c r="E40" s="5">
        <v>994.6</v>
      </c>
      <c r="F40" s="5">
        <v>303.7</v>
      </c>
      <c r="G40" s="5">
        <v>132.4</v>
      </c>
      <c r="H40" s="5">
        <v>59.3</v>
      </c>
      <c r="I40" s="5">
        <v>27.4</v>
      </c>
      <c r="J40" s="5" t="s">
        <v>151</v>
      </c>
      <c r="K40" s="5">
        <v>2182.8000000000002</v>
      </c>
      <c r="L40" s="5" t="s">
        <v>151</v>
      </c>
      <c r="N40" s="5"/>
      <c r="O40" s="5"/>
      <c r="P40" s="5"/>
      <c r="Q40" s="5"/>
      <c r="R40" s="5"/>
      <c r="S40" s="5"/>
      <c r="T40" s="5"/>
      <c r="U40" s="5"/>
      <c r="V40" s="5"/>
      <c r="W40" s="5"/>
    </row>
    <row r="41" spans="1:23" ht="15" customHeight="1" x14ac:dyDescent="0.25">
      <c r="A41" s="194"/>
      <c r="B41" s="4" t="s">
        <v>20</v>
      </c>
      <c r="C41" s="5">
        <v>438.1</v>
      </c>
      <c r="D41" s="5">
        <v>447.3</v>
      </c>
      <c r="E41" s="5">
        <v>557.5</v>
      </c>
      <c r="F41" s="5">
        <v>212.4</v>
      </c>
      <c r="G41" s="5">
        <v>107.3</v>
      </c>
      <c r="H41" s="5">
        <v>102.5</v>
      </c>
      <c r="I41" s="5">
        <v>61.9</v>
      </c>
      <c r="J41" s="5" t="s">
        <v>151</v>
      </c>
      <c r="K41" s="5">
        <v>1927</v>
      </c>
      <c r="L41" s="5" t="s">
        <v>151</v>
      </c>
      <c r="N41" s="5"/>
      <c r="O41" s="5"/>
      <c r="P41" s="5"/>
      <c r="Q41" s="5"/>
      <c r="R41" s="5"/>
      <c r="S41" s="5"/>
      <c r="T41" s="5"/>
      <c r="U41" s="5"/>
      <c r="V41" s="5"/>
      <c r="W41" s="5"/>
    </row>
    <row r="42" spans="1:23" ht="15" customHeight="1" x14ac:dyDescent="0.25">
      <c r="A42" s="194"/>
      <c r="B42" s="4" t="s">
        <v>21</v>
      </c>
      <c r="C42" s="5">
        <v>28.2</v>
      </c>
      <c r="D42" s="5">
        <v>0.6</v>
      </c>
      <c r="E42" s="5">
        <v>4.5</v>
      </c>
      <c r="F42" s="5" t="s">
        <v>146</v>
      </c>
      <c r="G42" s="5">
        <v>3.5</v>
      </c>
      <c r="H42" s="5">
        <v>0.7</v>
      </c>
      <c r="I42" s="5" t="s">
        <v>146</v>
      </c>
      <c r="J42" s="5" t="s">
        <v>151</v>
      </c>
      <c r="K42" s="5">
        <v>37.5</v>
      </c>
      <c r="L42" s="5" t="s">
        <v>151</v>
      </c>
      <c r="N42" s="5"/>
      <c r="O42" s="5"/>
      <c r="P42" s="5"/>
      <c r="Q42" s="5"/>
      <c r="R42" s="5"/>
      <c r="S42" s="5"/>
      <c r="T42" s="5"/>
      <c r="U42" s="5"/>
      <c r="V42" s="5"/>
      <c r="W42" s="5"/>
    </row>
    <row r="43" spans="1:23" ht="15" customHeight="1" x14ac:dyDescent="0.25">
      <c r="A43" s="194"/>
      <c r="B43" s="100" t="s">
        <v>12</v>
      </c>
      <c r="C43" s="101">
        <v>1034.5</v>
      </c>
      <c r="D43" s="101">
        <v>545</v>
      </c>
      <c r="E43" s="101">
        <v>1556.6</v>
      </c>
      <c r="F43" s="101">
        <v>516.20000000000005</v>
      </c>
      <c r="G43" s="101">
        <v>243.1</v>
      </c>
      <c r="H43" s="101">
        <v>162.5</v>
      </c>
      <c r="I43" s="101">
        <v>89.3</v>
      </c>
      <c r="J43" s="101" t="s">
        <v>151</v>
      </c>
      <c r="K43" s="101">
        <v>4147.3</v>
      </c>
      <c r="L43" s="101" t="s">
        <v>151</v>
      </c>
      <c r="N43" s="5"/>
      <c r="O43" s="5"/>
      <c r="P43" s="5"/>
      <c r="Q43" s="5"/>
      <c r="R43" s="5"/>
      <c r="S43" s="5"/>
      <c r="T43" s="5"/>
      <c r="U43" s="5"/>
      <c r="V43" s="5"/>
      <c r="W43" s="5"/>
    </row>
    <row r="44" spans="1:23" ht="3.75" customHeight="1" x14ac:dyDescent="0.25">
      <c r="A44" s="2"/>
      <c r="N44" s="131"/>
    </row>
    <row r="45" spans="1:23" ht="11.1" customHeight="1" x14ac:dyDescent="0.25">
      <c r="A45" s="191" t="s">
        <v>13</v>
      </c>
      <c r="B45" s="191"/>
      <c r="C45" s="191"/>
      <c r="D45" s="191"/>
      <c r="E45" s="191"/>
      <c r="F45" s="191"/>
      <c r="G45" s="191"/>
      <c r="H45" s="191"/>
      <c r="I45" s="191"/>
      <c r="J45" s="191"/>
      <c r="K45" s="205"/>
      <c r="L45" s="191"/>
    </row>
    <row r="46" spans="1:23" s="7" customFormat="1" ht="11.1" customHeight="1" x14ac:dyDescent="0.15">
      <c r="A46" s="7" t="s">
        <v>14</v>
      </c>
    </row>
    <row r="47" spans="1:23" s="12" customFormat="1" ht="15" customHeight="1" x14ac:dyDescent="0.2">
      <c r="A47" s="7" t="s">
        <v>224</v>
      </c>
    </row>
    <row r="48" spans="1:23" s="12" customFormat="1" ht="9" customHeight="1" x14ac:dyDescent="0.2">
      <c r="A48" s="7" t="s">
        <v>39</v>
      </c>
    </row>
    <row r="49" spans="1:23" s="12" customFormat="1" ht="10.5" customHeight="1" x14ac:dyDescent="0.2">
      <c r="A49" s="7" t="s">
        <v>362</v>
      </c>
    </row>
    <row r="50" spans="1:23" s="7" customFormat="1" ht="11.1" customHeight="1" x14ac:dyDescent="0.15">
      <c r="A50" s="7" t="s">
        <v>15</v>
      </c>
    </row>
    <row r="51" spans="1:23" s="7" customFormat="1" ht="11.1" customHeight="1" x14ac:dyDescent="0.15">
      <c r="A51" s="7" t="s">
        <v>347</v>
      </c>
    </row>
    <row r="52" spans="1:23" ht="12" customHeight="1" x14ac:dyDescent="0.25">
      <c r="A52" s="2"/>
    </row>
    <row r="53" spans="1:23" ht="27.95" customHeight="1" x14ac:dyDescent="0.25">
      <c r="A53" s="192" t="s">
        <v>336</v>
      </c>
      <c r="B53" s="192"/>
      <c r="C53" s="192"/>
      <c r="D53" s="192"/>
      <c r="E53" s="192"/>
      <c r="F53" s="192"/>
      <c r="G53" s="192"/>
      <c r="H53" s="192"/>
      <c r="I53" s="192"/>
      <c r="J53" s="192"/>
      <c r="K53" s="192"/>
      <c r="L53" s="192"/>
      <c r="M53" s="192"/>
      <c r="N53" s="192"/>
    </row>
    <row r="54" spans="1:23" ht="3" customHeight="1" x14ac:dyDescent="0.25">
      <c r="A54" s="2"/>
    </row>
    <row r="55" spans="1:23" x14ac:dyDescent="0.25">
      <c r="A55" s="35" t="s">
        <v>160</v>
      </c>
      <c r="B55" s="35" t="s">
        <v>158</v>
      </c>
      <c r="C55" s="3" t="s">
        <v>1</v>
      </c>
      <c r="D55" s="3" t="s">
        <v>2</v>
      </c>
      <c r="E55" s="3" t="s">
        <v>3</v>
      </c>
      <c r="F55" s="3" t="s">
        <v>4</v>
      </c>
      <c r="G55" s="3" t="s">
        <v>5</v>
      </c>
      <c r="H55" s="3" t="s">
        <v>6</v>
      </c>
      <c r="I55" s="3" t="s">
        <v>7</v>
      </c>
      <c r="J55" s="3" t="s">
        <v>8</v>
      </c>
      <c r="K55" s="3" t="s">
        <v>9</v>
      </c>
    </row>
    <row r="56" spans="1:23" ht="15" customHeight="1" x14ac:dyDescent="0.25">
      <c r="A56" s="194" t="s">
        <v>211</v>
      </c>
      <c r="B56" s="4" t="s">
        <v>19</v>
      </c>
      <c r="C56" s="9">
        <v>1264</v>
      </c>
      <c r="D56" s="9">
        <v>338</v>
      </c>
      <c r="E56" s="9">
        <v>1448</v>
      </c>
      <c r="F56" s="9">
        <v>1079</v>
      </c>
      <c r="G56" s="9">
        <v>352</v>
      </c>
      <c r="H56" s="9">
        <v>49</v>
      </c>
      <c r="I56" s="9">
        <v>48</v>
      </c>
      <c r="J56" s="9">
        <v>405</v>
      </c>
      <c r="K56" s="9">
        <v>4983</v>
      </c>
      <c r="L56" s="9"/>
      <c r="M56" s="9"/>
      <c r="N56" s="9"/>
      <c r="O56" s="9"/>
      <c r="P56" s="9"/>
      <c r="Q56" s="9"/>
      <c r="R56" s="9"/>
      <c r="S56" s="9"/>
      <c r="T56" s="9"/>
      <c r="U56" s="9"/>
      <c r="W56" s="123"/>
    </row>
    <row r="57" spans="1:23" ht="15" customHeight="1" x14ac:dyDescent="0.25">
      <c r="A57" s="194"/>
      <c r="B57" s="4" t="s">
        <v>20</v>
      </c>
      <c r="C57" s="9">
        <v>1551</v>
      </c>
      <c r="D57" s="9">
        <v>1749</v>
      </c>
      <c r="E57" s="9">
        <v>1177</v>
      </c>
      <c r="F57" s="9">
        <v>701</v>
      </c>
      <c r="G57" s="9">
        <v>399</v>
      </c>
      <c r="H57" s="9">
        <v>179</v>
      </c>
      <c r="I57" s="9">
        <v>112</v>
      </c>
      <c r="J57" s="9">
        <v>27</v>
      </c>
      <c r="K57" s="9">
        <v>5895</v>
      </c>
      <c r="L57" s="9"/>
      <c r="M57" s="9"/>
      <c r="N57" s="9"/>
      <c r="O57" s="9"/>
      <c r="P57" s="9"/>
      <c r="Q57" s="9"/>
      <c r="R57" s="9"/>
      <c r="S57" s="9"/>
      <c r="T57" s="9"/>
      <c r="U57" s="9"/>
    </row>
    <row r="58" spans="1:23" ht="15" customHeight="1" x14ac:dyDescent="0.25">
      <c r="A58" s="194"/>
      <c r="B58" s="4" t="s">
        <v>21</v>
      </c>
      <c r="C58" s="9">
        <v>158</v>
      </c>
      <c r="D58" s="9">
        <v>3</v>
      </c>
      <c r="E58" s="9">
        <v>24</v>
      </c>
      <c r="F58" s="9" t="s">
        <v>146</v>
      </c>
      <c r="G58" s="9">
        <v>5</v>
      </c>
      <c r="H58" s="9">
        <v>6</v>
      </c>
      <c r="I58" s="9" t="s">
        <v>146</v>
      </c>
      <c r="J58" s="9">
        <v>25</v>
      </c>
      <c r="K58" s="9">
        <v>221</v>
      </c>
      <c r="L58" s="9"/>
      <c r="M58" s="9"/>
      <c r="N58" s="9"/>
      <c r="O58" s="9"/>
      <c r="P58" s="9"/>
      <c r="Q58" s="9"/>
      <c r="R58" s="9"/>
      <c r="S58" s="9"/>
      <c r="T58" s="9"/>
      <c r="U58" s="9"/>
    </row>
    <row r="59" spans="1:23" ht="15" customHeight="1" x14ac:dyDescent="0.25">
      <c r="A59" s="194"/>
      <c r="B59" s="100" t="s">
        <v>12</v>
      </c>
      <c r="C59" s="102">
        <v>2973</v>
      </c>
      <c r="D59" s="102">
        <v>2090</v>
      </c>
      <c r="E59" s="102">
        <v>2649</v>
      </c>
      <c r="F59" s="102">
        <v>1780</v>
      </c>
      <c r="G59" s="102">
        <v>756</v>
      </c>
      <c r="H59" s="102">
        <v>234</v>
      </c>
      <c r="I59" s="102">
        <v>160</v>
      </c>
      <c r="J59" s="102">
        <v>457</v>
      </c>
      <c r="K59" s="102">
        <v>11099</v>
      </c>
      <c r="L59" s="36"/>
      <c r="M59" s="9"/>
      <c r="N59" s="9"/>
      <c r="O59" s="9"/>
      <c r="P59" s="9"/>
      <c r="Q59" s="9"/>
      <c r="R59" s="9"/>
      <c r="S59" s="9"/>
      <c r="T59" s="9"/>
      <c r="U59" s="9"/>
    </row>
    <row r="60" spans="1:23" ht="15" customHeight="1" x14ac:dyDescent="0.25">
      <c r="A60" s="194" t="s">
        <v>212</v>
      </c>
      <c r="B60" s="4" t="s">
        <v>19</v>
      </c>
      <c r="C60" s="9">
        <v>1211</v>
      </c>
      <c r="D60" s="9">
        <v>325</v>
      </c>
      <c r="E60" s="9">
        <v>1420</v>
      </c>
      <c r="F60" s="9">
        <v>1064</v>
      </c>
      <c r="G60" s="9">
        <v>343</v>
      </c>
      <c r="H60" s="9" t="s">
        <v>153</v>
      </c>
      <c r="I60" s="9" t="s">
        <v>153</v>
      </c>
      <c r="J60" s="9">
        <v>395</v>
      </c>
      <c r="K60" s="9">
        <v>4858</v>
      </c>
      <c r="L60" s="9"/>
      <c r="M60" s="9"/>
      <c r="N60" s="9"/>
      <c r="O60" s="9"/>
      <c r="P60" s="9"/>
      <c r="Q60" s="9"/>
      <c r="R60" s="9"/>
      <c r="S60" s="9"/>
      <c r="T60" s="9"/>
      <c r="U60" s="9"/>
    </row>
    <row r="61" spans="1:23" ht="15" customHeight="1" x14ac:dyDescent="0.25">
      <c r="A61" s="194"/>
      <c r="B61" s="4" t="s">
        <v>20</v>
      </c>
      <c r="C61" s="9">
        <v>1402</v>
      </c>
      <c r="D61" s="9">
        <v>1611</v>
      </c>
      <c r="E61" s="9">
        <v>1147</v>
      </c>
      <c r="F61" s="9">
        <v>677</v>
      </c>
      <c r="G61" s="9">
        <v>376</v>
      </c>
      <c r="H61" s="9" t="s">
        <v>153</v>
      </c>
      <c r="I61" s="9" t="s">
        <v>153</v>
      </c>
      <c r="J61" s="9">
        <v>20</v>
      </c>
      <c r="K61" s="9">
        <v>5525</v>
      </c>
      <c r="L61" s="9"/>
      <c r="M61" s="9"/>
      <c r="N61" s="9"/>
      <c r="O61" s="9"/>
      <c r="P61" s="9"/>
      <c r="Q61" s="9"/>
      <c r="R61" s="9"/>
      <c r="S61" s="9"/>
      <c r="T61" s="9"/>
      <c r="U61" s="9"/>
    </row>
    <row r="62" spans="1:23" ht="15" customHeight="1" x14ac:dyDescent="0.25">
      <c r="A62" s="194"/>
      <c r="B62" s="4" t="s">
        <v>21</v>
      </c>
      <c r="C62" s="9">
        <v>140</v>
      </c>
      <c r="D62" s="9">
        <v>2</v>
      </c>
      <c r="E62" s="9">
        <v>18</v>
      </c>
      <c r="F62" s="9" t="s">
        <v>146</v>
      </c>
      <c r="G62" s="9">
        <v>5</v>
      </c>
      <c r="H62" s="9">
        <v>10</v>
      </c>
      <c r="I62" s="9" t="s">
        <v>146</v>
      </c>
      <c r="J62" s="9">
        <v>24</v>
      </c>
      <c r="K62" s="9">
        <v>199</v>
      </c>
      <c r="L62" s="9"/>
      <c r="M62" s="9"/>
      <c r="N62" s="9"/>
      <c r="O62" s="9"/>
      <c r="P62" s="9"/>
      <c r="Q62" s="9"/>
      <c r="R62" s="9"/>
      <c r="S62" s="9"/>
      <c r="T62" s="9"/>
      <c r="U62" s="9"/>
    </row>
    <row r="63" spans="1:23" ht="15" customHeight="1" x14ac:dyDescent="0.25">
      <c r="A63" s="194"/>
      <c r="B63" s="100" t="s">
        <v>12</v>
      </c>
      <c r="C63" s="102">
        <v>2753</v>
      </c>
      <c r="D63" s="102">
        <v>1938</v>
      </c>
      <c r="E63" s="102">
        <v>2585</v>
      </c>
      <c r="F63" s="102">
        <v>1741</v>
      </c>
      <c r="G63" s="102">
        <v>724</v>
      </c>
      <c r="H63" s="102">
        <v>241</v>
      </c>
      <c r="I63" s="102">
        <v>161</v>
      </c>
      <c r="J63" s="102">
        <v>439</v>
      </c>
      <c r="K63" s="102">
        <v>10582</v>
      </c>
      <c r="L63" s="36"/>
      <c r="M63" s="9"/>
      <c r="N63" s="9"/>
      <c r="O63" s="9"/>
      <c r="P63" s="9"/>
      <c r="Q63" s="9"/>
      <c r="R63" s="9"/>
      <c r="S63" s="9"/>
      <c r="T63" s="9"/>
      <c r="U63" s="9"/>
    </row>
    <row r="64" spans="1:23" ht="15" customHeight="1" x14ac:dyDescent="0.25">
      <c r="A64" s="194" t="s">
        <v>213</v>
      </c>
      <c r="B64" s="4" t="s">
        <v>19</v>
      </c>
      <c r="C64" s="9">
        <v>1223</v>
      </c>
      <c r="D64" s="9">
        <v>288</v>
      </c>
      <c r="E64" s="9">
        <v>1588</v>
      </c>
      <c r="F64" s="9">
        <v>1046</v>
      </c>
      <c r="G64" s="9">
        <v>302</v>
      </c>
      <c r="H64" s="9" t="s">
        <v>153</v>
      </c>
      <c r="I64" s="9" t="s">
        <v>153</v>
      </c>
      <c r="J64" s="9">
        <v>336</v>
      </c>
      <c r="K64" s="9">
        <v>4891</v>
      </c>
      <c r="L64" s="9"/>
      <c r="M64" s="9"/>
      <c r="N64" s="9"/>
      <c r="O64" s="9"/>
      <c r="P64" s="9"/>
      <c r="Q64" s="9"/>
      <c r="R64" s="9"/>
      <c r="S64" s="9"/>
      <c r="T64" s="9"/>
      <c r="U64" s="9"/>
    </row>
    <row r="65" spans="1:21" ht="15" customHeight="1" x14ac:dyDescent="0.25">
      <c r="A65" s="194"/>
      <c r="B65" s="4" t="s">
        <v>20</v>
      </c>
      <c r="C65" s="9">
        <v>1433</v>
      </c>
      <c r="D65" s="9">
        <v>1564</v>
      </c>
      <c r="E65" s="9">
        <v>1217</v>
      </c>
      <c r="F65" s="9">
        <v>708</v>
      </c>
      <c r="G65" s="9">
        <v>337</v>
      </c>
      <c r="H65" s="9" t="s">
        <v>153</v>
      </c>
      <c r="I65" s="9" t="s">
        <v>153</v>
      </c>
      <c r="J65" s="9">
        <v>18</v>
      </c>
      <c r="K65" s="9">
        <v>5569</v>
      </c>
      <c r="L65" s="9"/>
      <c r="M65" s="9"/>
      <c r="N65" s="9"/>
      <c r="O65" s="9"/>
      <c r="P65" s="9"/>
      <c r="Q65" s="9"/>
      <c r="R65" s="9"/>
      <c r="S65" s="9"/>
      <c r="T65" s="9"/>
      <c r="U65" s="9"/>
    </row>
    <row r="66" spans="1:21" ht="15" customHeight="1" x14ac:dyDescent="0.25">
      <c r="A66" s="194"/>
      <c r="B66" s="4" t="s">
        <v>21</v>
      </c>
      <c r="C66" s="9">
        <v>143</v>
      </c>
      <c r="D66" s="9">
        <v>3</v>
      </c>
      <c r="E66" s="9">
        <v>24</v>
      </c>
      <c r="F66" s="9" t="s">
        <v>146</v>
      </c>
      <c r="G66" s="9">
        <v>6</v>
      </c>
      <c r="H66" s="9">
        <v>16</v>
      </c>
      <c r="I66" s="9" t="s">
        <v>146</v>
      </c>
      <c r="J66" s="9">
        <v>16</v>
      </c>
      <c r="K66" s="9">
        <v>208</v>
      </c>
      <c r="L66" s="9"/>
      <c r="M66" s="9"/>
      <c r="N66" s="9"/>
      <c r="O66" s="9"/>
      <c r="P66" s="9"/>
      <c r="Q66" s="9"/>
      <c r="R66" s="9"/>
      <c r="S66" s="9"/>
      <c r="T66" s="9"/>
      <c r="U66" s="9"/>
    </row>
    <row r="67" spans="1:21" ht="15" customHeight="1" x14ac:dyDescent="0.25">
      <c r="A67" s="194"/>
      <c r="B67" s="100" t="s">
        <v>12</v>
      </c>
      <c r="C67" s="102">
        <v>2799</v>
      </c>
      <c r="D67" s="102">
        <v>1855</v>
      </c>
      <c r="E67" s="102">
        <v>2829</v>
      </c>
      <c r="F67" s="102">
        <v>1754</v>
      </c>
      <c r="G67" s="102">
        <v>645</v>
      </c>
      <c r="H67" s="102">
        <v>239</v>
      </c>
      <c r="I67" s="102">
        <v>177</v>
      </c>
      <c r="J67" s="102">
        <v>370</v>
      </c>
      <c r="K67" s="102">
        <v>10668</v>
      </c>
      <c r="L67" s="36"/>
      <c r="M67" s="9"/>
      <c r="N67" s="9"/>
      <c r="O67" s="9"/>
      <c r="P67" s="9"/>
      <c r="Q67" s="9"/>
      <c r="R67" s="9"/>
      <c r="S67" s="9"/>
      <c r="T67" s="9"/>
      <c r="U67" s="9"/>
    </row>
    <row r="68" spans="1:21" ht="15" customHeight="1" x14ac:dyDescent="0.25">
      <c r="A68" s="194" t="s">
        <v>214</v>
      </c>
      <c r="B68" s="4" t="s">
        <v>19</v>
      </c>
      <c r="C68" s="9">
        <v>1199</v>
      </c>
      <c r="D68" s="9">
        <v>267</v>
      </c>
      <c r="E68" s="9">
        <v>1807</v>
      </c>
      <c r="F68" s="9">
        <v>969</v>
      </c>
      <c r="G68" s="9">
        <v>261</v>
      </c>
      <c r="H68" s="9">
        <v>70</v>
      </c>
      <c r="I68" s="9">
        <v>42</v>
      </c>
      <c r="J68" s="9">
        <v>354</v>
      </c>
      <c r="K68" s="9">
        <v>4969</v>
      </c>
      <c r="L68" s="9"/>
      <c r="M68" s="9"/>
      <c r="N68" s="9"/>
      <c r="O68" s="9"/>
      <c r="P68" s="9"/>
      <c r="Q68" s="9"/>
      <c r="R68" s="9"/>
      <c r="S68" s="9"/>
      <c r="T68" s="9"/>
      <c r="U68" s="9"/>
    </row>
    <row r="69" spans="1:21" ht="15" customHeight="1" x14ac:dyDescent="0.25">
      <c r="A69" s="194"/>
      <c r="B69" s="4" t="s">
        <v>20</v>
      </c>
      <c r="C69" s="9">
        <v>1502</v>
      </c>
      <c r="D69" s="9">
        <v>1496</v>
      </c>
      <c r="E69" s="9">
        <v>1332</v>
      </c>
      <c r="F69" s="9">
        <v>753</v>
      </c>
      <c r="G69" s="9">
        <v>306</v>
      </c>
      <c r="H69" s="9">
        <v>162</v>
      </c>
      <c r="I69" s="9">
        <v>133</v>
      </c>
      <c r="J69" s="9">
        <v>17</v>
      </c>
      <c r="K69" s="9">
        <v>5701</v>
      </c>
      <c r="L69" s="9"/>
      <c r="M69" s="9"/>
      <c r="N69" s="9"/>
      <c r="O69" s="9"/>
      <c r="P69" s="9"/>
      <c r="Q69" s="9"/>
      <c r="R69" s="9"/>
      <c r="S69" s="9"/>
      <c r="T69" s="9"/>
      <c r="U69" s="9"/>
    </row>
    <row r="70" spans="1:21" ht="15" customHeight="1" x14ac:dyDescent="0.25">
      <c r="A70" s="194"/>
      <c r="B70" s="4" t="s">
        <v>21</v>
      </c>
      <c r="C70" s="9">
        <v>127</v>
      </c>
      <c r="D70" s="9">
        <v>1</v>
      </c>
      <c r="E70" s="9">
        <v>23</v>
      </c>
      <c r="F70" s="9" t="s">
        <v>146</v>
      </c>
      <c r="G70" s="9">
        <v>2</v>
      </c>
      <c r="H70" s="9">
        <v>23</v>
      </c>
      <c r="I70" s="9" t="s">
        <v>146</v>
      </c>
      <c r="J70" s="9">
        <v>17</v>
      </c>
      <c r="K70" s="9">
        <v>193</v>
      </c>
      <c r="L70" s="9"/>
      <c r="M70" s="9"/>
      <c r="N70" s="9"/>
      <c r="O70" s="9"/>
      <c r="P70" s="9"/>
      <c r="Q70" s="9"/>
      <c r="R70" s="9"/>
      <c r="S70" s="9"/>
      <c r="T70" s="9"/>
      <c r="U70" s="9"/>
    </row>
    <row r="71" spans="1:21" ht="15" customHeight="1" x14ac:dyDescent="0.25">
      <c r="A71" s="194"/>
      <c r="B71" s="100" t="s">
        <v>12</v>
      </c>
      <c r="C71" s="102">
        <v>2828</v>
      </c>
      <c r="D71" s="102">
        <v>1764</v>
      </c>
      <c r="E71" s="102">
        <v>3162</v>
      </c>
      <c r="F71" s="102">
        <v>1722</v>
      </c>
      <c r="G71" s="102">
        <v>569</v>
      </c>
      <c r="H71" s="102">
        <v>255</v>
      </c>
      <c r="I71" s="102">
        <v>175</v>
      </c>
      <c r="J71" s="102">
        <v>388</v>
      </c>
      <c r="K71" s="102">
        <v>10863</v>
      </c>
      <c r="L71" s="36"/>
      <c r="M71" s="9"/>
      <c r="N71" s="9"/>
      <c r="O71" s="9"/>
      <c r="P71" s="9"/>
      <c r="Q71" s="9"/>
      <c r="R71" s="9"/>
      <c r="S71" s="9"/>
      <c r="T71" s="9"/>
      <c r="U71" s="9"/>
    </row>
    <row r="72" spans="1:21" ht="15" customHeight="1" x14ac:dyDescent="0.25">
      <c r="A72" s="194" t="s">
        <v>215</v>
      </c>
      <c r="B72" s="4" t="s">
        <v>19</v>
      </c>
      <c r="C72" s="9">
        <v>1140</v>
      </c>
      <c r="D72" s="9">
        <v>235</v>
      </c>
      <c r="E72" s="9">
        <v>1669</v>
      </c>
      <c r="F72" s="9">
        <v>862</v>
      </c>
      <c r="G72" s="9">
        <v>254</v>
      </c>
      <c r="H72" s="9" t="s">
        <v>153</v>
      </c>
      <c r="I72" s="9" t="s">
        <v>153</v>
      </c>
      <c r="J72" s="9">
        <v>341</v>
      </c>
      <c r="K72" s="9">
        <v>4613</v>
      </c>
      <c r="L72" s="9"/>
      <c r="M72" s="9"/>
      <c r="N72" s="9"/>
      <c r="O72" s="9"/>
      <c r="P72" s="9"/>
      <c r="Q72" s="9"/>
      <c r="R72" s="9"/>
      <c r="S72" s="9"/>
      <c r="T72" s="9"/>
      <c r="U72" s="9"/>
    </row>
    <row r="73" spans="1:21" ht="15" customHeight="1" x14ac:dyDescent="0.25">
      <c r="A73" s="194"/>
      <c r="B73" s="4" t="s">
        <v>20</v>
      </c>
      <c r="C73" s="9">
        <v>1498</v>
      </c>
      <c r="D73" s="9">
        <v>1480</v>
      </c>
      <c r="E73" s="9">
        <v>1218</v>
      </c>
      <c r="F73" s="9">
        <v>692</v>
      </c>
      <c r="G73" s="9">
        <v>310</v>
      </c>
      <c r="H73" s="9" t="s">
        <v>153</v>
      </c>
      <c r="I73" s="9" t="s">
        <v>153</v>
      </c>
      <c r="J73" s="9">
        <v>20</v>
      </c>
      <c r="K73" s="9">
        <v>5475</v>
      </c>
      <c r="L73" s="9"/>
      <c r="M73" s="9"/>
      <c r="N73" s="9"/>
      <c r="O73" s="9"/>
      <c r="P73" s="9"/>
      <c r="Q73" s="9"/>
      <c r="R73" s="9"/>
      <c r="S73" s="9"/>
      <c r="T73" s="9"/>
      <c r="U73" s="9"/>
    </row>
    <row r="74" spans="1:21" ht="15" customHeight="1" x14ac:dyDescent="0.25">
      <c r="A74" s="194"/>
      <c r="B74" s="4" t="s">
        <v>21</v>
      </c>
      <c r="C74" s="9">
        <v>127</v>
      </c>
      <c r="D74" s="9" t="s">
        <v>146</v>
      </c>
      <c r="E74" s="9">
        <v>16</v>
      </c>
      <c r="F74" s="9" t="s">
        <v>146</v>
      </c>
      <c r="G74" s="9">
        <v>4</v>
      </c>
      <c r="H74" s="9">
        <v>21</v>
      </c>
      <c r="I74" s="9">
        <v>1</v>
      </c>
      <c r="J74" s="9">
        <v>12</v>
      </c>
      <c r="K74" s="9">
        <v>181</v>
      </c>
      <c r="L74" s="9"/>
      <c r="M74" s="9"/>
      <c r="N74" s="9"/>
      <c r="O74" s="9"/>
      <c r="P74" s="9"/>
      <c r="Q74" s="9"/>
      <c r="R74" s="9"/>
      <c r="S74" s="9"/>
      <c r="T74" s="9"/>
      <c r="U74" s="9"/>
    </row>
    <row r="75" spans="1:21" ht="15" customHeight="1" x14ac:dyDescent="0.25">
      <c r="A75" s="194"/>
      <c r="B75" s="100" t="s">
        <v>12</v>
      </c>
      <c r="C75" s="102">
        <v>2765</v>
      </c>
      <c r="D75" s="102">
        <v>1715</v>
      </c>
      <c r="E75" s="102">
        <v>2903</v>
      </c>
      <c r="F75" s="102">
        <v>1554</v>
      </c>
      <c r="G75" s="102">
        <v>568</v>
      </c>
      <c r="H75" s="102">
        <v>242</v>
      </c>
      <c r="I75" s="102">
        <v>149</v>
      </c>
      <c r="J75" s="102">
        <v>373</v>
      </c>
      <c r="K75" s="102">
        <v>10269</v>
      </c>
      <c r="L75" s="36"/>
      <c r="M75" s="9"/>
      <c r="N75" s="9"/>
      <c r="O75" s="9"/>
      <c r="P75" s="9"/>
      <c r="Q75" s="9"/>
      <c r="R75" s="9"/>
      <c r="S75" s="9"/>
      <c r="T75" s="9"/>
      <c r="U75" s="9"/>
    </row>
    <row r="76" spans="1:21" ht="15" customHeight="1" x14ac:dyDescent="0.25">
      <c r="A76" s="194" t="s">
        <v>216</v>
      </c>
      <c r="B76" s="4" t="s">
        <v>19</v>
      </c>
      <c r="C76" s="9">
        <v>1060</v>
      </c>
      <c r="D76" s="9">
        <v>223</v>
      </c>
      <c r="E76" s="9">
        <v>1554</v>
      </c>
      <c r="F76" s="9">
        <v>742</v>
      </c>
      <c r="G76" s="9">
        <v>225</v>
      </c>
      <c r="H76" s="9">
        <v>78</v>
      </c>
      <c r="I76" s="9">
        <v>32</v>
      </c>
      <c r="J76" s="9">
        <v>343</v>
      </c>
      <c r="K76" s="9">
        <v>4257</v>
      </c>
      <c r="L76" s="9"/>
      <c r="M76" s="9"/>
      <c r="N76" s="9"/>
      <c r="O76" s="9"/>
      <c r="P76" s="9"/>
      <c r="Q76" s="9"/>
      <c r="R76" s="9"/>
      <c r="S76" s="9"/>
      <c r="T76" s="9"/>
      <c r="U76" s="9"/>
    </row>
    <row r="77" spans="1:21" ht="15" customHeight="1" x14ac:dyDescent="0.25">
      <c r="A77" s="194"/>
      <c r="B77" s="4" t="s">
        <v>20</v>
      </c>
      <c r="C77" s="9">
        <v>1438</v>
      </c>
      <c r="D77" s="9">
        <v>1315</v>
      </c>
      <c r="E77" s="9">
        <v>1139</v>
      </c>
      <c r="F77" s="9">
        <v>546</v>
      </c>
      <c r="G77" s="9">
        <v>290</v>
      </c>
      <c r="H77" s="9">
        <v>138</v>
      </c>
      <c r="I77" s="9">
        <v>101</v>
      </c>
      <c r="J77" s="9">
        <v>22</v>
      </c>
      <c r="K77" s="9">
        <v>4989</v>
      </c>
      <c r="L77" s="9"/>
      <c r="M77" s="9"/>
      <c r="N77" s="9"/>
      <c r="O77" s="9"/>
      <c r="P77" s="9"/>
      <c r="Q77" s="9"/>
      <c r="R77" s="9"/>
      <c r="S77" s="9"/>
      <c r="T77" s="9"/>
      <c r="U77" s="9"/>
    </row>
    <row r="78" spans="1:21" ht="15" customHeight="1" x14ac:dyDescent="0.25">
      <c r="A78" s="194"/>
      <c r="B78" s="4" t="s">
        <v>21</v>
      </c>
      <c r="C78" s="9">
        <v>139</v>
      </c>
      <c r="D78" s="9">
        <v>1</v>
      </c>
      <c r="E78" s="9">
        <v>20</v>
      </c>
      <c r="F78" s="9" t="s">
        <v>146</v>
      </c>
      <c r="G78" s="9">
        <v>5</v>
      </c>
      <c r="H78" s="9">
        <v>13</v>
      </c>
      <c r="I78" s="9">
        <v>2</v>
      </c>
      <c r="J78" s="9">
        <v>11</v>
      </c>
      <c r="K78" s="9">
        <v>191</v>
      </c>
      <c r="L78" s="9"/>
      <c r="M78" s="9"/>
      <c r="N78" s="9"/>
      <c r="O78" s="9"/>
      <c r="P78" s="9"/>
      <c r="Q78" s="9"/>
      <c r="R78" s="9"/>
      <c r="S78" s="9"/>
      <c r="T78" s="9"/>
      <c r="U78" s="9"/>
    </row>
    <row r="79" spans="1:21" ht="15" customHeight="1" x14ac:dyDescent="0.25">
      <c r="A79" s="194"/>
      <c r="B79" s="100" t="s">
        <v>12</v>
      </c>
      <c r="C79" s="102">
        <v>2637</v>
      </c>
      <c r="D79" s="102">
        <v>1539</v>
      </c>
      <c r="E79" s="102">
        <v>2713</v>
      </c>
      <c r="F79" s="102">
        <v>1288</v>
      </c>
      <c r="G79" s="102">
        <v>520</v>
      </c>
      <c r="H79" s="102">
        <v>229</v>
      </c>
      <c r="I79" s="102">
        <v>135</v>
      </c>
      <c r="J79" s="102">
        <v>376</v>
      </c>
      <c r="K79" s="102">
        <v>9437</v>
      </c>
      <c r="L79" s="36"/>
      <c r="M79" s="9"/>
      <c r="N79" s="9"/>
      <c r="O79" s="9"/>
      <c r="P79" s="9"/>
      <c r="Q79" s="9"/>
      <c r="R79" s="9"/>
      <c r="S79" s="9"/>
      <c r="T79" s="9"/>
      <c r="U79" s="9"/>
    </row>
    <row r="80" spans="1:21" ht="15" customHeight="1" x14ac:dyDescent="0.25">
      <c r="A80" s="194" t="s">
        <v>217</v>
      </c>
      <c r="B80" s="4" t="s">
        <v>19</v>
      </c>
      <c r="C80" s="9">
        <v>1076</v>
      </c>
      <c r="D80" s="9">
        <v>194</v>
      </c>
      <c r="E80" s="9">
        <v>1553</v>
      </c>
      <c r="F80" s="9">
        <v>826</v>
      </c>
      <c r="G80" s="9">
        <v>230</v>
      </c>
      <c r="H80" s="9" t="s">
        <v>153</v>
      </c>
      <c r="I80" s="9" t="s">
        <v>153</v>
      </c>
      <c r="J80" s="9">
        <v>419</v>
      </c>
      <c r="K80" s="9">
        <v>4388</v>
      </c>
      <c r="L80" s="9"/>
      <c r="M80" s="9"/>
      <c r="N80" s="9"/>
      <c r="O80" s="9"/>
      <c r="P80" s="9"/>
      <c r="Q80" s="9"/>
      <c r="R80" s="9"/>
      <c r="S80" s="9"/>
      <c r="T80" s="9"/>
      <c r="U80" s="9"/>
    </row>
    <row r="81" spans="1:21" ht="15" customHeight="1" x14ac:dyDescent="0.25">
      <c r="A81" s="194"/>
      <c r="B81" s="4" t="s">
        <v>20</v>
      </c>
      <c r="C81" s="9">
        <v>1227</v>
      </c>
      <c r="D81" s="9">
        <v>1154</v>
      </c>
      <c r="E81" s="9">
        <v>1041</v>
      </c>
      <c r="F81" s="9">
        <v>564</v>
      </c>
      <c r="G81" s="9">
        <v>286</v>
      </c>
      <c r="H81" s="9" t="s">
        <v>153</v>
      </c>
      <c r="I81" s="9" t="s">
        <v>153</v>
      </c>
      <c r="J81" s="9">
        <v>23</v>
      </c>
      <c r="K81" s="9">
        <v>4521</v>
      </c>
      <c r="L81" s="9"/>
      <c r="M81" s="9"/>
      <c r="N81" s="9"/>
      <c r="O81" s="9"/>
      <c r="P81" s="9"/>
      <c r="Q81" s="9"/>
      <c r="R81" s="9"/>
      <c r="S81" s="9"/>
      <c r="T81" s="9"/>
      <c r="U81" s="9"/>
    </row>
    <row r="82" spans="1:21" ht="15" customHeight="1" x14ac:dyDescent="0.25">
      <c r="A82" s="194"/>
      <c r="B82" s="4" t="s">
        <v>21</v>
      </c>
      <c r="C82" s="9">
        <v>107</v>
      </c>
      <c r="D82" s="9" t="s">
        <v>146</v>
      </c>
      <c r="E82" s="9">
        <v>12</v>
      </c>
      <c r="F82" s="9" t="s">
        <v>146</v>
      </c>
      <c r="G82" s="9">
        <v>4</v>
      </c>
      <c r="H82" s="9">
        <v>4</v>
      </c>
      <c r="I82" s="9">
        <v>1</v>
      </c>
      <c r="J82" s="9">
        <v>11</v>
      </c>
      <c r="K82" s="9">
        <v>139</v>
      </c>
      <c r="L82" s="9"/>
      <c r="M82" s="9"/>
      <c r="N82" s="9"/>
      <c r="O82" s="9"/>
      <c r="P82" s="9"/>
      <c r="Q82" s="9"/>
      <c r="R82" s="9"/>
      <c r="S82" s="9"/>
      <c r="T82" s="9"/>
      <c r="U82" s="9"/>
    </row>
    <row r="83" spans="1:21" ht="15" customHeight="1" x14ac:dyDescent="0.25">
      <c r="A83" s="194"/>
      <c r="B83" s="100" t="s">
        <v>12</v>
      </c>
      <c r="C83" s="102">
        <v>2410</v>
      </c>
      <c r="D83" s="102">
        <v>1348</v>
      </c>
      <c r="E83" s="102">
        <v>2606</v>
      </c>
      <c r="F83" s="102">
        <v>1390</v>
      </c>
      <c r="G83" s="102">
        <v>520</v>
      </c>
      <c r="H83" s="102">
        <v>191</v>
      </c>
      <c r="I83" s="102">
        <v>130</v>
      </c>
      <c r="J83" s="102">
        <v>453</v>
      </c>
      <c r="K83" s="102">
        <v>9048</v>
      </c>
      <c r="L83" s="36"/>
      <c r="M83" s="9"/>
      <c r="N83" s="9"/>
      <c r="O83" s="9"/>
      <c r="P83" s="9"/>
      <c r="Q83" s="9"/>
      <c r="R83" s="9"/>
      <c r="S83" s="9"/>
      <c r="T83" s="9"/>
      <c r="U83" s="9"/>
    </row>
    <row r="84" spans="1:21" ht="15" customHeight="1" x14ac:dyDescent="0.25">
      <c r="A84" s="194" t="s">
        <v>218</v>
      </c>
      <c r="B84" s="4" t="s">
        <v>19</v>
      </c>
      <c r="C84" s="9">
        <v>1196</v>
      </c>
      <c r="D84" s="9">
        <v>190</v>
      </c>
      <c r="E84" s="9">
        <v>1572</v>
      </c>
      <c r="F84" s="9">
        <v>892</v>
      </c>
      <c r="G84" s="9">
        <v>280</v>
      </c>
      <c r="H84" s="9" t="s">
        <v>153</v>
      </c>
      <c r="I84" s="9" t="s">
        <v>153</v>
      </c>
      <c r="J84" s="9">
        <v>509</v>
      </c>
      <c r="K84" s="9">
        <v>4747</v>
      </c>
      <c r="L84" s="9"/>
      <c r="M84" s="9"/>
      <c r="N84" s="9"/>
      <c r="O84" s="9"/>
      <c r="P84" s="9"/>
      <c r="Q84" s="9"/>
      <c r="R84" s="9"/>
      <c r="S84" s="9"/>
      <c r="T84" s="9"/>
      <c r="U84" s="9"/>
    </row>
    <row r="85" spans="1:21" ht="15" customHeight="1" x14ac:dyDescent="0.25">
      <c r="A85" s="194"/>
      <c r="B85" s="4" t="s">
        <v>20</v>
      </c>
      <c r="C85" s="9">
        <v>1147</v>
      </c>
      <c r="D85" s="9">
        <v>964</v>
      </c>
      <c r="E85" s="9">
        <v>977</v>
      </c>
      <c r="F85" s="9">
        <v>618</v>
      </c>
      <c r="G85" s="9">
        <v>324</v>
      </c>
      <c r="H85" s="9" t="s">
        <v>153</v>
      </c>
      <c r="I85" s="9" t="s">
        <v>153</v>
      </c>
      <c r="J85" s="9">
        <v>19</v>
      </c>
      <c r="K85" s="9">
        <v>4293</v>
      </c>
      <c r="L85" s="9"/>
      <c r="M85" s="9"/>
      <c r="N85" s="9"/>
      <c r="O85" s="9"/>
      <c r="P85" s="9"/>
      <c r="Q85" s="9"/>
      <c r="R85" s="9"/>
      <c r="S85" s="9"/>
      <c r="T85" s="9"/>
      <c r="U85" s="9"/>
    </row>
    <row r="86" spans="1:21" ht="15" customHeight="1" x14ac:dyDescent="0.25">
      <c r="A86" s="194"/>
      <c r="B86" s="4" t="s">
        <v>21</v>
      </c>
      <c r="C86" s="9">
        <v>105</v>
      </c>
      <c r="D86" s="9" t="s">
        <v>146</v>
      </c>
      <c r="E86" s="9">
        <v>12</v>
      </c>
      <c r="F86" s="9" t="s">
        <v>146</v>
      </c>
      <c r="G86" s="9">
        <v>4</v>
      </c>
      <c r="H86" s="9">
        <v>2</v>
      </c>
      <c r="I86" s="9">
        <v>10</v>
      </c>
      <c r="J86" s="9">
        <v>25</v>
      </c>
      <c r="K86" s="9">
        <v>158</v>
      </c>
      <c r="L86" s="9"/>
      <c r="M86" s="9"/>
      <c r="N86" s="9"/>
      <c r="O86" s="9"/>
      <c r="P86" s="9"/>
      <c r="Q86" s="9"/>
      <c r="R86" s="9"/>
      <c r="S86" s="9"/>
      <c r="T86" s="9"/>
      <c r="U86" s="9"/>
    </row>
    <row r="87" spans="1:21" ht="15" customHeight="1" x14ac:dyDescent="0.25">
      <c r="A87" s="194"/>
      <c r="B87" s="100" t="s">
        <v>12</v>
      </c>
      <c r="C87" s="102">
        <v>2448</v>
      </c>
      <c r="D87" s="102">
        <v>1154</v>
      </c>
      <c r="E87" s="102">
        <v>2561</v>
      </c>
      <c r="F87" s="102">
        <v>1510</v>
      </c>
      <c r="G87" s="102">
        <v>608</v>
      </c>
      <c r="H87" s="102">
        <v>199</v>
      </c>
      <c r="I87" s="102">
        <v>165</v>
      </c>
      <c r="J87" s="102">
        <v>553</v>
      </c>
      <c r="K87" s="102">
        <v>9198</v>
      </c>
      <c r="L87" s="36"/>
      <c r="M87" s="9"/>
      <c r="N87" s="9"/>
      <c r="O87" s="9"/>
      <c r="P87" s="9"/>
      <c r="Q87" s="9"/>
      <c r="R87" s="9"/>
      <c r="S87" s="9"/>
      <c r="T87" s="9"/>
      <c r="U87" s="9"/>
    </row>
    <row r="88" spans="1:21" ht="15" customHeight="1" x14ac:dyDescent="0.25">
      <c r="A88" s="194" t="s">
        <v>219</v>
      </c>
      <c r="B88" s="4" t="s">
        <v>19</v>
      </c>
      <c r="C88" s="9">
        <v>1237</v>
      </c>
      <c r="D88" s="9">
        <v>166</v>
      </c>
      <c r="E88" s="9">
        <v>1598</v>
      </c>
      <c r="F88" s="9">
        <v>893</v>
      </c>
      <c r="G88" s="9">
        <v>310</v>
      </c>
      <c r="H88" s="9" t="s">
        <v>153</v>
      </c>
      <c r="I88" s="9" t="s">
        <v>153</v>
      </c>
      <c r="J88" s="9">
        <v>690</v>
      </c>
      <c r="K88" s="9">
        <v>5017</v>
      </c>
      <c r="L88" s="9"/>
      <c r="M88" s="9"/>
      <c r="N88" s="9"/>
      <c r="O88" s="9"/>
      <c r="P88" s="9"/>
      <c r="Q88" s="9"/>
      <c r="R88" s="9"/>
      <c r="S88" s="9"/>
      <c r="T88" s="9"/>
      <c r="U88" s="9"/>
    </row>
    <row r="89" spans="1:21" ht="15" customHeight="1" x14ac:dyDescent="0.25">
      <c r="A89" s="194"/>
      <c r="B89" s="4" t="s">
        <v>20</v>
      </c>
      <c r="C89" s="9">
        <v>1084</v>
      </c>
      <c r="D89" s="9">
        <v>809</v>
      </c>
      <c r="E89" s="9">
        <v>957</v>
      </c>
      <c r="F89" s="9">
        <v>598</v>
      </c>
      <c r="G89" s="9">
        <v>313</v>
      </c>
      <c r="H89" s="9" t="s">
        <v>153</v>
      </c>
      <c r="I89" s="9" t="s">
        <v>153</v>
      </c>
      <c r="J89" s="9">
        <v>39</v>
      </c>
      <c r="K89" s="9">
        <v>4076</v>
      </c>
      <c r="L89" s="9"/>
      <c r="M89" s="9"/>
      <c r="N89" s="9"/>
      <c r="O89" s="9"/>
      <c r="P89" s="9"/>
      <c r="Q89" s="9"/>
      <c r="R89" s="9"/>
      <c r="S89" s="9"/>
      <c r="T89" s="9"/>
      <c r="U89" s="9"/>
    </row>
    <row r="90" spans="1:21" ht="15" customHeight="1" x14ac:dyDescent="0.25">
      <c r="A90" s="194"/>
      <c r="B90" s="4" t="s">
        <v>21</v>
      </c>
      <c r="C90" s="9">
        <v>101</v>
      </c>
      <c r="D90" s="9" t="s">
        <v>146</v>
      </c>
      <c r="E90" s="9">
        <v>10</v>
      </c>
      <c r="F90" s="9" t="s">
        <v>146</v>
      </c>
      <c r="G90" s="9">
        <v>3</v>
      </c>
      <c r="H90" s="9">
        <v>1</v>
      </c>
      <c r="I90" s="9">
        <v>5</v>
      </c>
      <c r="J90" s="9">
        <v>29</v>
      </c>
      <c r="K90" s="9">
        <v>149</v>
      </c>
      <c r="L90" s="9"/>
      <c r="M90" s="9"/>
      <c r="N90" s="9"/>
      <c r="O90" s="9"/>
      <c r="P90" s="9"/>
      <c r="Q90" s="9"/>
      <c r="R90" s="9"/>
      <c r="S90" s="9"/>
      <c r="T90" s="9"/>
      <c r="U90" s="9"/>
    </row>
    <row r="91" spans="1:21" ht="15" customHeight="1" x14ac:dyDescent="0.25">
      <c r="A91" s="194"/>
      <c r="B91" s="100" t="s">
        <v>12</v>
      </c>
      <c r="C91" s="102">
        <v>2422</v>
      </c>
      <c r="D91" s="102">
        <v>975</v>
      </c>
      <c r="E91" s="102">
        <v>2565</v>
      </c>
      <c r="F91" s="102">
        <v>1491</v>
      </c>
      <c r="G91" s="102">
        <v>626</v>
      </c>
      <c r="H91" s="102">
        <v>226</v>
      </c>
      <c r="I91" s="102">
        <v>179</v>
      </c>
      <c r="J91" s="102">
        <v>758</v>
      </c>
      <c r="K91" s="102">
        <v>9242</v>
      </c>
      <c r="L91" s="36"/>
      <c r="M91" s="9"/>
      <c r="N91" s="9"/>
      <c r="O91" s="9"/>
      <c r="P91" s="9"/>
      <c r="Q91" s="9"/>
      <c r="R91" s="9"/>
      <c r="S91" s="9"/>
      <c r="T91" s="9"/>
      <c r="U91" s="9"/>
    </row>
    <row r="92" spans="1:21" ht="15" customHeight="1" x14ac:dyDescent="0.25">
      <c r="A92" s="194" t="s">
        <v>357</v>
      </c>
      <c r="B92" s="4" t="s">
        <v>19</v>
      </c>
      <c r="C92" s="9">
        <v>1239</v>
      </c>
      <c r="D92" s="9">
        <v>198</v>
      </c>
      <c r="E92" s="9">
        <v>1604</v>
      </c>
      <c r="F92" s="9">
        <v>867</v>
      </c>
      <c r="G92" s="9">
        <v>319</v>
      </c>
      <c r="H92" s="9">
        <v>95</v>
      </c>
      <c r="I92" s="9">
        <v>54</v>
      </c>
      <c r="J92" s="9">
        <v>934</v>
      </c>
      <c r="K92" s="9">
        <v>5310</v>
      </c>
      <c r="L92" s="9"/>
      <c r="M92" s="9"/>
      <c r="N92" s="9"/>
      <c r="O92" s="9"/>
      <c r="P92" s="9"/>
      <c r="Q92" s="9"/>
      <c r="R92" s="9"/>
      <c r="S92" s="9"/>
      <c r="T92" s="9"/>
      <c r="U92" s="9"/>
    </row>
    <row r="93" spans="1:21" ht="15" customHeight="1" x14ac:dyDescent="0.25">
      <c r="A93" s="194"/>
      <c r="B93" s="4" t="s">
        <v>20</v>
      </c>
      <c r="C93" s="9">
        <v>1101</v>
      </c>
      <c r="D93" s="9">
        <v>852</v>
      </c>
      <c r="E93" s="9">
        <v>944</v>
      </c>
      <c r="F93" s="9">
        <v>574</v>
      </c>
      <c r="G93" s="9">
        <v>281</v>
      </c>
      <c r="H93" s="9">
        <v>165</v>
      </c>
      <c r="I93" s="9">
        <v>122</v>
      </c>
      <c r="J93" s="9">
        <v>45</v>
      </c>
      <c r="K93" s="9">
        <v>4084</v>
      </c>
      <c r="L93" s="9"/>
      <c r="M93" s="9"/>
      <c r="N93" s="9"/>
      <c r="O93" s="9"/>
      <c r="P93" s="9"/>
      <c r="Q93" s="9"/>
      <c r="R93" s="9"/>
      <c r="S93" s="9"/>
      <c r="T93" s="9"/>
      <c r="U93" s="9"/>
    </row>
    <row r="94" spans="1:21" ht="15" customHeight="1" x14ac:dyDescent="0.25">
      <c r="A94" s="194"/>
      <c r="B94" s="4" t="s">
        <v>21</v>
      </c>
      <c r="C94" s="9">
        <v>116</v>
      </c>
      <c r="D94" s="9">
        <v>4</v>
      </c>
      <c r="E94" s="9">
        <v>15</v>
      </c>
      <c r="F94" s="9" t="s">
        <v>146</v>
      </c>
      <c r="G94" s="9">
        <v>9</v>
      </c>
      <c r="H94" s="9">
        <v>6</v>
      </c>
      <c r="I94" s="9" t="s">
        <v>146</v>
      </c>
      <c r="J94" s="9">
        <v>35</v>
      </c>
      <c r="K94" s="9">
        <v>185</v>
      </c>
      <c r="L94" s="9"/>
      <c r="M94" s="9"/>
      <c r="N94" s="9"/>
      <c r="O94" s="9"/>
      <c r="P94" s="9"/>
      <c r="Q94" s="9"/>
      <c r="R94" s="9"/>
      <c r="S94" s="9"/>
      <c r="T94" s="9"/>
      <c r="U94" s="9"/>
    </row>
    <row r="95" spans="1:21" ht="15" customHeight="1" x14ac:dyDescent="0.25">
      <c r="A95" s="194"/>
      <c r="B95" s="100" t="s">
        <v>12</v>
      </c>
      <c r="C95" s="102">
        <v>2456</v>
      </c>
      <c r="D95" s="102">
        <v>1054</v>
      </c>
      <c r="E95" s="102">
        <v>2563</v>
      </c>
      <c r="F95" s="102">
        <v>1441</v>
      </c>
      <c r="G95" s="102">
        <v>609</v>
      </c>
      <c r="H95" s="102">
        <v>266</v>
      </c>
      <c r="I95" s="102">
        <v>176</v>
      </c>
      <c r="J95" s="102">
        <v>1014</v>
      </c>
      <c r="K95" s="102">
        <v>9579</v>
      </c>
      <c r="M95" s="9"/>
      <c r="N95" s="9"/>
      <c r="O95" s="9"/>
      <c r="P95" s="9"/>
      <c r="Q95" s="9"/>
      <c r="R95" s="9"/>
      <c r="S95" s="9"/>
      <c r="T95" s="9"/>
      <c r="U95" s="9"/>
    </row>
    <row r="96" spans="1:21" ht="1.5" customHeight="1" x14ac:dyDescent="0.25">
      <c r="A96" s="41"/>
      <c r="B96" s="55"/>
      <c r="C96" s="56"/>
      <c r="D96" s="56"/>
      <c r="E96" s="56"/>
      <c r="F96" s="56"/>
      <c r="G96" s="56"/>
      <c r="H96" s="56"/>
      <c r="I96" s="56"/>
      <c r="J96" s="56"/>
      <c r="K96" s="56"/>
    </row>
    <row r="97" spans="1:14" ht="11.1" customHeight="1" x14ac:dyDescent="0.25">
      <c r="A97" s="7" t="s">
        <v>252</v>
      </c>
      <c r="B97" s="7"/>
      <c r="C97" s="7"/>
      <c r="D97" s="7"/>
      <c r="E97" s="7"/>
      <c r="F97" s="7"/>
      <c r="G97" s="7"/>
      <c r="H97" s="7"/>
      <c r="I97" s="7"/>
      <c r="J97" s="7"/>
      <c r="K97" s="7"/>
      <c r="L97" s="7"/>
    </row>
    <row r="98" spans="1:14" ht="11.1" customHeight="1" x14ac:dyDescent="0.25">
      <c r="A98" s="7" t="s">
        <v>40</v>
      </c>
      <c r="B98" s="7"/>
      <c r="C98" s="7"/>
      <c r="D98" s="7"/>
      <c r="E98" s="7"/>
      <c r="F98" s="7"/>
      <c r="G98" s="7"/>
      <c r="H98" s="7"/>
      <c r="I98" s="7"/>
      <c r="J98" s="7"/>
      <c r="K98" s="7"/>
      <c r="L98" s="7"/>
      <c r="M98" s="7"/>
      <c r="N98" s="7"/>
    </row>
    <row r="99" spans="1:14" s="7" customFormat="1" ht="11.1" customHeight="1" x14ac:dyDescent="0.15"/>
    <row r="100" spans="1:14" s="7" customFormat="1" ht="11.1" customHeight="1" x14ac:dyDescent="0.15">
      <c r="A100" s="7" t="s">
        <v>347</v>
      </c>
    </row>
    <row r="101" spans="1:14" ht="12" customHeight="1" x14ac:dyDescent="0.25">
      <c r="A101" s="2"/>
    </row>
  </sheetData>
  <mergeCells count="23">
    <mergeCell ref="A1:L1"/>
    <mergeCell ref="A4:A7"/>
    <mergeCell ref="A8:A11"/>
    <mergeCell ref="A12:A15"/>
    <mergeCell ref="A16:A19"/>
    <mergeCell ref="A68:A71"/>
    <mergeCell ref="A72:A75"/>
    <mergeCell ref="A20:A23"/>
    <mergeCell ref="A24:A27"/>
    <mergeCell ref="A28:A31"/>
    <mergeCell ref="A32:A35"/>
    <mergeCell ref="A36:A39"/>
    <mergeCell ref="A40:A43"/>
    <mergeCell ref="A45:L45"/>
    <mergeCell ref="A53:N53"/>
    <mergeCell ref="A56:A59"/>
    <mergeCell ref="A60:A63"/>
    <mergeCell ref="A64:A67"/>
    <mergeCell ref="A76:A79"/>
    <mergeCell ref="A80:A83"/>
    <mergeCell ref="A84:A87"/>
    <mergeCell ref="A88:A91"/>
    <mergeCell ref="A92:A95"/>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H127"/>
  <sheetViews>
    <sheetView zoomScaleNormal="100" workbookViewId="0">
      <selection sqref="A1:L1"/>
    </sheetView>
  </sheetViews>
  <sheetFormatPr defaultColWidth="9.140625" defaultRowHeight="15" x14ac:dyDescent="0.25"/>
  <cols>
    <col min="1" max="1" width="11.42578125" style="1" bestFit="1" customWidth="1"/>
    <col min="2" max="2" width="15" style="1" customWidth="1"/>
    <col min="3" max="10" width="11.42578125" style="1" bestFit="1" customWidth="1"/>
    <col min="11" max="11" width="11" style="1" customWidth="1"/>
    <col min="12" max="12" width="11.42578125" style="1" bestFit="1" customWidth="1"/>
    <col min="13" max="16384" width="9.140625" style="1"/>
  </cols>
  <sheetData>
    <row r="1" spans="1:34" ht="27.95" customHeight="1" x14ac:dyDescent="0.25">
      <c r="A1" s="198" t="s">
        <v>367</v>
      </c>
      <c r="B1" s="198"/>
      <c r="C1" s="198"/>
      <c r="D1" s="198"/>
      <c r="E1" s="198"/>
      <c r="F1" s="198"/>
      <c r="G1" s="198"/>
      <c r="H1" s="198"/>
      <c r="I1" s="198"/>
      <c r="J1" s="198"/>
      <c r="K1" s="198"/>
      <c r="L1" s="198"/>
    </row>
    <row r="2" spans="1:34" ht="3" customHeight="1" x14ac:dyDescent="0.25">
      <c r="A2" s="2"/>
    </row>
    <row r="3" spans="1:34" ht="23.25" x14ac:dyDescent="0.25">
      <c r="A3" s="35" t="s">
        <v>160</v>
      </c>
      <c r="B3" s="35" t="s">
        <v>158</v>
      </c>
      <c r="C3" s="3" t="s">
        <v>1</v>
      </c>
      <c r="D3" s="3" t="s">
        <v>2</v>
      </c>
      <c r="E3" s="3" t="s">
        <v>3</v>
      </c>
      <c r="F3" s="3" t="s">
        <v>4</v>
      </c>
      <c r="G3" s="3" t="s">
        <v>5</v>
      </c>
      <c r="H3" s="3" t="s">
        <v>6</v>
      </c>
      <c r="I3" s="3" t="s">
        <v>7</v>
      </c>
      <c r="J3" s="3" t="s">
        <v>8</v>
      </c>
      <c r="K3" s="3" t="s">
        <v>220</v>
      </c>
      <c r="L3" s="3" t="s">
        <v>9</v>
      </c>
    </row>
    <row r="4" spans="1:34" ht="15" customHeight="1" x14ac:dyDescent="0.25">
      <c r="A4" s="194" t="s">
        <v>261</v>
      </c>
      <c r="B4" s="98" t="s">
        <v>19</v>
      </c>
      <c r="C4" s="5">
        <v>107.63500000000001</v>
      </c>
      <c r="D4" s="5">
        <v>106.492</v>
      </c>
      <c r="E4" s="5">
        <v>180.23699999999999</v>
      </c>
      <c r="F4" s="5">
        <v>251.55699999999999</v>
      </c>
      <c r="G4" s="5">
        <v>189.61799999999999</v>
      </c>
      <c r="H4" s="5">
        <v>41.573999999999998</v>
      </c>
      <c r="I4" s="5">
        <v>113.395</v>
      </c>
      <c r="J4" s="5">
        <v>115.107</v>
      </c>
      <c r="K4" s="152">
        <v>147.29499999999999</v>
      </c>
      <c r="L4" s="5">
        <v>150.07300000000001</v>
      </c>
      <c r="N4" s="152"/>
      <c r="O4" s="152"/>
      <c r="P4" s="152"/>
      <c r="Q4" s="152"/>
      <c r="R4" s="152"/>
      <c r="S4" s="152"/>
      <c r="T4" s="152"/>
      <c r="U4" s="152"/>
      <c r="V4" s="152"/>
      <c r="W4" s="152"/>
      <c r="Y4" s="129"/>
      <c r="Z4" s="129"/>
      <c r="AA4" s="129"/>
      <c r="AB4" s="129"/>
      <c r="AC4" s="129"/>
      <c r="AD4" s="129"/>
      <c r="AE4" s="129"/>
      <c r="AF4" s="129"/>
      <c r="AG4" s="129"/>
      <c r="AH4" s="129"/>
    </row>
    <row r="5" spans="1:34" ht="15" customHeight="1" x14ac:dyDescent="0.25">
      <c r="A5" s="194"/>
      <c r="B5" s="98" t="s">
        <v>20</v>
      </c>
      <c r="C5" s="5">
        <v>8.5190000000000001</v>
      </c>
      <c r="D5" s="5">
        <v>9.1270000000000007</v>
      </c>
      <c r="E5" s="5">
        <v>11.286</v>
      </c>
      <c r="F5" s="5">
        <v>9.7219999999999995</v>
      </c>
      <c r="G5" s="5">
        <v>7.55</v>
      </c>
      <c r="H5" s="5">
        <v>13.363</v>
      </c>
      <c r="I5" s="5">
        <v>13.401999999999999</v>
      </c>
      <c r="J5" s="5">
        <v>4.2460000000000004</v>
      </c>
      <c r="K5" s="152">
        <v>9.4670000000000005</v>
      </c>
      <c r="L5" s="5">
        <v>9.4990000000000006</v>
      </c>
      <c r="N5" s="152"/>
      <c r="O5" s="152"/>
      <c r="P5" s="152"/>
      <c r="Q5" s="152"/>
      <c r="R5" s="152"/>
      <c r="S5" s="152"/>
      <c r="T5" s="152"/>
      <c r="U5" s="152"/>
      <c r="V5" s="152"/>
      <c r="W5" s="152"/>
      <c r="Y5" s="129"/>
      <c r="Z5" s="129"/>
      <c r="AA5" s="129"/>
      <c r="AB5" s="129"/>
      <c r="AC5" s="129"/>
      <c r="AD5" s="129"/>
      <c r="AE5" s="129"/>
      <c r="AF5" s="129"/>
      <c r="AG5" s="129"/>
      <c r="AH5" s="129"/>
    </row>
    <row r="6" spans="1:34" ht="15" customHeight="1" x14ac:dyDescent="0.25">
      <c r="A6" s="194"/>
      <c r="B6" s="100" t="s">
        <v>12</v>
      </c>
      <c r="C6" s="101">
        <v>16.314</v>
      </c>
      <c r="D6" s="101">
        <v>11.087</v>
      </c>
      <c r="E6" s="101">
        <v>25.721</v>
      </c>
      <c r="F6" s="101">
        <v>27.27</v>
      </c>
      <c r="G6" s="101">
        <v>16.41</v>
      </c>
      <c r="H6" s="101">
        <v>17.071000000000002</v>
      </c>
      <c r="I6" s="102">
        <v>17.268999999999998</v>
      </c>
      <c r="J6" s="101">
        <v>60.313000000000002</v>
      </c>
      <c r="K6" s="152">
        <v>18.72</v>
      </c>
      <c r="L6" s="101">
        <v>18.262</v>
      </c>
      <c r="N6" s="152"/>
      <c r="O6" s="152"/>
      <c r="P6" s="152"/>
      <c r="Q6" s="152"/>
      <c r="R6" s="152"/>
      <c r="S6" s="152"/>
      <c r="T6" s="152"/>
      <c r="U6" s="152"/>
      <c r="V6" s="152"/>
      <c r="W6" s="152"/>
      <c r="Y6" s="129"/>
      <c r="Z6" s="129"/>
      <c r="AA6" s="129"/>
      <c r="AB6" s="129"/>
      <c r="AC6" s="129"/>
      <c r="AD6" s="129"/>
      <c r="AE6" s="129"/>
      <c r="AF6" s="129"/>
      <c r="AG6" s="129"/>
      <c r="AH6" s="129"/>
    </row>
    <row r="7" spans="1:34" ht="15" customHeight="1" x14ac:dyDescent="0.25">
      <c r="A7" s="194" t="s">
        <v>262</v>
      </c>
      <c r="B7" s="98" t="s">
        <v>19</v>
      </c>
      <c r="C7" s="5">
        <v>100.002</v>
      </c>
      <c r="D7" s="5">
        <v>92.594999999999999</v>
      </c>
      <c r="E7" s="5">
        <v>196.79</v>
      </c>
      <c r="F7" s="5">
        <v>244.57499999999999</v>
      </c>
      <c r="G7" s="5">
        <v>144.74100000000001</v>
      </c>
      <c r="H7" s="5">
        <v>56.500999999999998</v>
      </c>
      <c r="I7" s="9">
        <v>167.29400000000001</v>
      </c>
      <c r="J7" s="5">
        <v>108.649</v>
      </c>
      <c r="K7" s="152">
        <v>145.70500000000001</v>
      </c>
      <c r="L7" s="5">
        <v>148.80199999999999</v>
      </c>
      <c r="N7" s="152"/>
      <c r="O7" s="152"/>
      <c r="P7" s="152"/>
      <c r="Q7" s="152"/>
      <c r="R7" s="152"/>
      <c r="S7" s="152"/>
      <c r="T7" s="152"/>
      <c r="U7" s="152"/>
      <c r="V7" s="152"/>
      <c r="W7" s="152"/>
      <c r="Y7" s="129"/>
      <c r="Z7" s="129"/>
      <c r="AA7" s="129"/>
      <c r="AB7" s="129"/>
      <c r="AC7" s="129"/>
      <c r="AD7" s="129"/>
      <c r="AE7" s="129"/>
      <c r="AF7" s="129"/>
      <c r="AG7" s="129"/>
      <c r="AH7" s="129"/>
    </row>
    <row r="8" spans="1:34" ht="15" customHeight="1" x14ac:dyDescent="0.25">
      <c r="A8" s="194"/>
      <c r="B8" s="98" t="s">
        <v>20</v>
      </c>
      <c r="C8" s="5">
        <v>8.31</v>
      </c>
      <c r="D8" s="5">
        <v>8.9789999999999992</v>
      </c>
      <c r="E8" s="5">
        <v>12.284000000000001</v>
      </c>
      <c r="F8" s="5">
        <v>9.6880000000000006</v>
      </c>
      <c r="G8" s="5">
        <v>6.9649999999999999</v>
      </c>
      <c r="H8" s="5">
        <v>15.058999999999999</v>
      </c>
      <c r="I8" s="5">
        <v>17.341000000000001</v>
      </c>
      <c r="J8" s="5">
        <v>2.9980000000000002</v>
      </c>
      <c r="K8" s="152">
        <v>9.6229999999999993</v>
      </c>
      <c r="L8" s="5">
        <v>9.6630000000000003</v>
      </c>
      <c r="N8" s="152"/>
      <c r="O8" s="152"/>
      <c r="P8" s="152"/>
      <c r="Q8" s="152"/>
      <c r="R8" s="152"/>
      <c r="S8" s="152"/>
      <c r="T8" s="152"/>
      <c r="U8" s="152"/>
      <c r="V8" s="152"/>
      <c r="W8" s="152"/>
      <c r="Y8" s="129"/>
      <c r="Z8" s="129"/>
      <c r="AA8" s="129"/>
      <c r="AB8" s="129"/>
      <c r="AC8" s="129"/>
      <c r="AD8" s="129"/>
      <c r="AE8" s="129"/>
      <c r="AF8" s="129"/>
      <c r="AG8" s="129"/>
      <c r="AH8" s="129"/>
    </row>
    <row r="9" spans="1:34" ht="15" customHeight="1" x14ac:dyDescent="0.25">
      <c r="A9" s="194"/>
      <c r="B9" s="100" t="s">
        <v>12</v>
      </c>
      <c r="C9" s="101">
        <v>15.797000000000001</v>
      </c>
      <c r="D9" s="101">
        <v>10.695</v>
      </c>
      <c r="E9" s="101">
        <v>28.396999999999998</v>
      </c>
      <c r="F9" s="101">
        <v>26.884</v>
      </c>
      <c r="G9" s="101">
        <v>13.894</v>
      </c>
      <c r="H9" s="101">
        <v>20.507999999999999</v>
      </c>
      <c r="I9" s="101">
        <v>23.015999999999998</v>
      </c>
      <c r="J9" s="101">
        <v>54.49</v>
      </c>
      <c r="K9" s="152">
        <v>18.923999999999999</v>
      </c>
      <c r="L9" s="101">
        <v>18.535</v>
      </c>
      <c r="N9" s="152"/>
      <c r="O9" s="152"/>
      <c r="P9" s="152"/>
      <c r="Q9" s="152"/>
      <c r="R9" s="152"/>
      <c r="S9" s="152"/>
      <c r="T9" s="152"/>
      <c r="U9" s="152"/>
      <c r="V9" s="152"/>
      <c r="W9" s="152"/>
      <c r="Y9" s="129"/>
      <c r="Z9" s="129"/>
      <c r="AA9" s="129"/>
      <c r="AB9" s="129"/>
      <c r="AC9" s="129"/>
      <c r="AD9" s="129"/>
      <c r="AE9" s="129"/>
      <c r="AF9" s="129"/>
      <c r="AG9" s="129"/>
      <c r="AH9" s="129"/>
    </row>
    <row r="10" spans="1:34" ht="15" customHeight="1" x14ac:dyDescent="0.25">
      <c r="A10" s="194" t="s">
        <v>263</v>
      </c>
      <c r="B10" s="98" t="s">
        <v>19</v>
      </c>
      <c r="C10" s="5">
        <v>94.677999999999997</v>
      </c>
      <c r="D10" s="5">
        <v>84.093999999999994</v>
      </c>
      <c r="E10" s="5">
        <v>210.66900000000001</v>
      </c>
      <c r="F10" s="5">
        <v>219.86699999999999</v>
      </c>
      <c r="G10" s="5">
        <v>116.306</v>
      </c>
      <c r="H10" s="5">
        <v>63.554000000000002</v>
      </c>
      <c r="I10" s="5">
        <v>101.556</v>
      </c>
      <c r="J10" s="5">
        <v>112.312</v>
      </c>
      <c r="K10" s="152">
        <v>142.85400000000001</v>
      </c>
      <c r="L10" s="5">
        <v>145.32400000000001</v>
      </c>
      <c r="N10" s="152"/>
      <c r="O10" s="152"/>
      <c r="P10" s="152"/>
      <c r="Q10" s="152"/>
      <c r="R10" s="152"/>
      <c r="S10" s="152"/>
      <c r="T10" s="152"/>
      <c r="U10" s="152"/>
      <c r="V10" s="152"/>
      <c r="W10" s="152"/>
      <c r="Y10" s="129"/>
      <c r="Z10" s="129"/>
      <c r="AA10" s="129"/>
      <c r="AB10" s="129"/>
      <c r="AC10" s="129"/>
      <c r="AD10" s="129"/>
      <c r="AE10" s="129"/>
      <c r="AF10" s="129"/>
      <c r="AG10" s="129"/>
      <c r="AH10" s="129"/>
    </row>
    <row r="11" spans="1:34" ht="15" customHeight="1" x14ac:dyDescent="0.25">
      <c r="A11" s="194"/>
      <c r="B11" s="98" t="s">
        <v>20</v>
      </c>
      <c r="C11" s="5">
        <v>8.6379999999999999</v>
      </c>
      <c r="D11" s="5">
        <v>8.3249999999999993</v>
      </c>
      <c r="E11" s="5">
        <v>11.281000000000001</v>
      </c>
      <c r="F11" s="5">
        <v>10.429</v>
      </c>
      <c r="G11" s="5">
        <v>6.1719999999999997</v>
      </c>
      <c r="H11" s="5">
        <v>16.507000000000001</v>
      </c>
      <c r="I11" s="5">
        <v>12.728</v>
      </c>
      <c r="J11" s="5">
        <v>3.7280000000000002</v>
      </c>
      <c r="K11" s="152">
        <v>9.33</v>
      </c>
      <c r="L11" s="5">
        <v>9.3650000000000002</v>
      </c>
      <c r="N11" s="152"/>
      <c r="O11" s="152"/>
      <c r="P11" s="152"/>
      <c r="Q11" s="152"/>
      <c r="R11" s="152"/>
      <c r="S11" s="152"/>
      <c r="T11" s="152"/>
      <c r="U11" s="152"/>
      <c r="V11" s="152"/>
      <c r="W11" s="152"/>
      <c r="Y11" s="129"/>
      <c r="Z11" s="129"/>
      <c r="AA11" s="129"/>
      <c r="AB11" s="129"/>
      <c r="AC11" s="129"/>
      <c r="AD11" s="129"/>
      <c r="AE11" s="129"/>
      <c r="AF11" s="129"/>
      <c r="AG11" s="129"/>
      <c r="AH11" s="129"/>
    </row>
    <row r="12" spans="1:34" ht="15" customHeight="1" x14ac:dyDescent="0.25">
      <c r="A12" s="194"/>
      <c r="B12" s="100" t="s">
        <v>12</v>
      </c>
      <c r="C12" s="101">
        <v>15.548</v>
      </c>
      <c r="D12" s="101">
        <v>9.8810000000000002</v>
      </c>
      <c r="E12" s="101">
        <v>28.901</v>
      </c>
      <c r="F12" s="101">
        <v>25.890999999999998</v>
      </c>
      <c r="G12" s="101">
        <v>11.86</v>
      </c>
      <c r="H12" s="101">
        <v>23.395</v>
      </c>
      <c r="I12" s="101">
        <v>16.036999999999999</v>
      </c>
      <c r="J12" s="102">
        <v>55.01</v>
      </c>
      <c r="K12" s="152">
        <v>18.47</v>
      </c>
      <c r="L12" s="101">
        <v>18.073</v>
      </c>
      <c r="N12" s="152"/>
      <c r="O12" s="152"/>
      <c r="P12" s="152"/>
      <c r="Q12" s="152"/>
      <c r="R12" s="152"/>
      <c r="S12" s="152"/>
      <c r="T12" s="152"/>
      <c r="U12" s="152"/>
      <c r="V12" s="152"/>
      <c r="W12" s="152"/>
      <c r="Y12" s="129"/>
      <c r="Z12" s="129"/>
      <c r="AA12" s="129"/>
      <c r="AB12" s="129"/>
      <c r="AC12" s="129"/>
      <c r="AD12" s="129"/>
      <c r="AE12" s="129"/>
      <c r="AF12" s="129"/>
      <c r="AG12" s="129"/>
      <c r="AH12" s="129"/>
    </row>
    <row r="13" spans="1:34" ht="15" customHeight="1" x14ac:dyDescent="0.25">
      <c r="A13" s="194" t="s">
        <v>264</v>
      </c>
      <c r="B13" s="98" t="s">
        <v>19</v>
      </c>
      <c r="C13" s="5">
        <v>89.078999999999994</v>
      </c>
      <c r="D13" s="5">
        <v>68.265000000000001</v>
      </c>
      <c r="E13" s="5">
        <v>176.78899999999999</v>
      </c>
      <c r="F13" s="5">
        <v>184.18100000000001</v>
      </c>
      <c r="G13" s="5">
        <v>114.44499999999999</v>
      </c>
      <c r="H13" s="5">
        <v>67.108999999999995</v>
      </c>
      <c r="I13" s="5">
        <v>103.855</v>
      </c>
      <c r="J13" s="5">
        <v>103.099</v>
      </c>
      <c r="K13" s="152">
        <v>125.41</v>
      </c>
      <c r="L13" s="5">
        <v>127.157</v>
      </c>
      <c r="N13" s="152"/>
      <c r="O13" s="152"/>
      <c r="P13" s="152"/>
      <c r="Q13" s="152"/>
      <c r="R13" s="152"/>
      <c r="S13" s="152"/>
      <c r="T13" s="152"/>
      <c r="U13" s="152"/>
      <c r="V13" s="152"/>
      <c r="W13" s="152"/>
      <c r="Y13" s="129"/>
      <c r="Z13" s="129"/>
      <c r="AA13" s="129"/>
      <c r="AB13" s="129"/>
      <c r="AC13" s="129"/>
      <c r="AD13" s="129"/>
      <c r="AE13" s="129"/>
      <c r="AF13" s="129"/>
      <c r="AG13" s="129"/>
      <c r="AH13" s="129"/>
    </row>
    <row r="14" spans="1:34" ht="15" customHeight="1" x14ac:dyDescent="0.25">
      <c r="A14" s="194"/>
      <c r="B14" s="98" t="s">
        <v>20</v>
      </c>
      <c r="C14" s="5">
        <v>8.0259999999999998</v>
      </c>
      <c r="D14" s="5">
        <v>7.827</v>
      </c>
      <c r="E14" s="5">
        <v>9.0449999999999999</v>
      </c>
      <c r="F14" s="5">
        <v>9.7089999999999996</v>
      </c>
      <c r="G14" s="5">
        <v>6.48</v>
      </c>
      <c r="H14" s="5">
        <v>14.61</v>
      </c>
      <c r="I14" s="5">
        <v>12.593999999999999</v>
      </c>
      <c r="J14" s="5">
        <v>4.3239999999999998</v>
      </c>
      <c r="K14" s="152">
        <v>8.4499999999999993</v>
      </c>
      <c r="L14" s="5">
        <v>8.4749999999999996</v>
      </c>
      <c r="N14" s="152"/>
      <c r="O14" s="152"/>
      <c r="P14" s="152"/>
      <c r="Q14" s="152"/>
      <c r="R14" s="152"/>
      <c r="S14" s="152"/>
      <c r="T14" s="152"/>
      <c r="U14" s="152"/>
      <c r="V14" s="152"/>
      <c r="W14" s="152"/>
      <c r="Y14" s="129"/>
      <c r="Z14" s="129"/>
      <c r="AA14" s="129"/>
      <c r="AB14" s="129"/>
      <c r="AC14" s="129"/>
      <c r="AD14" s="129"/>
      <c r="AE14" s="129"/>
      <c r="AF14" s="129"/>
      <c r="AG14" s="129"/>
      <c r="AH14" s="129"/>
    </row>
    <row r="15" spans="1:34" ht="15" customHeight="1" x14ac:dyDescent="0.25">
      <c r="A15" s="194"/>
      <c r="B15" s="100" t="s">
        <v>12</v>
      </c>
      <c r="C15" s="101">
        <v>14.654</v>
      </c>
      <c r="D15" s="101">
        <v>9.0739999999999998</v>
      </c>
      <c r="E15" s="101">
        <v>23.995999999999999</v>
      </c>
      <c r="F15" s="101">
        <v>22.606999999999999</v>
      </c>
      <c r="G15" s="101">
        <v>12.21</v>
      </c>
      <c r="H15" s="101">
        <v>21.969000000000001</v>
      </c>
      <c r="I15" s="101">
        <v>15.916</v>
      </c>
      <c r="J15" s="101">
        <v>50.183</v>
      </c>
      <c r="K15" s="152">
        <v>16.526</v>
      </c>
      <c r="L15" s="101">
        <v>16.166</v>
      </c>
      <c r="N15" s="152"/>
      <c r="O15" s="152"/>
      <c r="P15" s="152"/>
      <c r="Q15" s="152"/>
      <c r="R15" s="152"/>
      <c r="S15" s="152"/>
      <c r="T15" s="152"/>
      <c r="U15" s="152"/>
      <c r="V15" s="152"/>
      <c r="W15" s="152"/>
      <c r="Y15" s="129"/>
      <c r="Z15" s="129"/>
      <c r="AA15" s="129"/>
      <c r="AB15" s="129"/>
      <c r="AC15" s="129"/>
      <c r="AD15" s="129"/>
      <c r="AE15" s="129"/>
      <c r="AF15" s="129"/>
      <c r="AG15" s="129"/>
      <c r="AH15" s="129"/>
    </row>
    <row r="16" spans="1:34" ht="15" customHeight="1" x14ac:dyDescent="0.25">
      <c r="A16" s="194" t="s">
        <v>265</v>
      </c>
      <c r="B16" s="98" t="s">
        <v>19</v>
      </c>
      <c r="C16" s="5">
        <v>76.2</v>
      </c>
      <c r="D16" s="5">
        <v>58.381999999999998</v>
      </c>
      <c r="E16" s="5">
        <v>153.142</v>
      </c>
      <c r="F16" s="5">
        <v>139.471</v>
      </c>
      <c r="G16" s="5">
        <v>86.313999999999993</v>
      </c>
      <c r="H16" s="5">
        <v>45.054000000000002</v>
      </c>
      <c r="I16" s="5">
        <v>62.715000000000003</v>
      </c>
      <c r="J16" s="5">
        <v>80.501000000000005</v>
      </c>
      <c r="K16" s="152">
        <v>103.983</v>
      </c>
      <c r="L16" s="5">
        <v>105.765</v>
      </c>
      <c r="N16" s="152"/>
      <c r="O16" s="152"/>
      <c r="P16" s="152"/>
      <c r="Q16" s="152"/>
      <c r="R16" s="152"/>
      <c r="S16" s="152"/>
      <c r="T16" s="152"/>
      <c r="U16" s="152"/>
      <c r="V16" s="152"/>
      <c r="W16" s="152"/>
      <c r="Y16" s="129"/>
      <c r="Z16" s="129"/>
      <c r="AA16" s="129"/>
      <c r="AB16" s="129"/>
      <c r="AC16" s="129"/>
      <c r="AD16" s="129"/>
      <c r="AE16" s="129"/>
      <c r="AF16" s="129"/>
      <c r="AG16" s="129"/>
      <c r="AH16" s="129"/>
    </row>
    <row r="17" spans="1:34" ht="15" customHeight="1" x14ac:dyDescent="0.25">
      <c r="A17" s="194"/>
      <c r="B17" s="98" t="s">
        <v>20</v>
      </c>
      <c r="C17" s="5">
        <v>7.649</v>
      </c>
      <c r="D17" s="5">
        <v>6.2279999999999998</v>
      </c>
      <c r="E17" s="5">
        <v>7.9459999999999997</v>
      </c>
      <c r="F17" s="5">
        <v>6.867</v>
      </c>
      <c r="G17" s="5">
        <v>5.319</v>
      </c>
      <c r="H17" s="5">
        <v>10.955</v>
      </c>
      <c r="I17" s="5">
        <v>11.848000000000001</v>
      </c>
      <c r="J17" s="5">
        <v>3.5720000000000001</v>
      </c>
      <c r="K17" s="152">
        <v>7.2130000000000001</v>
      </c>
      <c r="L17" s="5">
        <v>7.2359999999999998</v>
      </c>
      <c r="N17" s="152"/>
      <c r="O17" s="152"/>
      <c r="P17" s="152"/>
      <c r="Q17" s="152"/>
      <c r="R17" s="152"/>
      <c r="S17" s="152"/>
      <c r="T17" s="152"/>
      <c r="U17" s="152"/>
      <c r="V17" s="152"/>
      <c r="W17" s="152"/>
      <c r="Y17" s="129"/>
      <c r="Z17" s="129"/>
      <c r="AA17" s="129"/>
      <c r="AB17" s="129"/>
      <c r="AC17" s="129"/>
      <c r="AD17" s="129"/>
      <c r="AE17" s="129"/>
      <c r="AF17" s="129"/>
      <c r="AG17" s="129"/>
      <c r="AH17" s="129"/>
    </row>
    <row r="18" spans="1:34" ht="15" customHeight="1" x14ac:dyDescent="0.25">
      <c r="A18" s="194"/>
      <c r="B18" s="100" t="s">
        <v>12</v>
      </c>
      <c r="C18" s="101">
        <v>13.340999999999999</v>
      </c>
      <c r="D18" s="101">
        <v>7.3209999999999997</v>
      </c>
      <c r="E18" s="101">
        <v>20.997</v>
      </c>
      <c r="F18" s="101">
        <v>16.63</v>
      </c>
      <c r="G18" s="101">
        <v>9.6639999999999997</v>
      </c>
      <c r="H18" s="101">
        <v>15.173</v>
      </c>
      <c r="I18" s="101">
        <v>13.634</v>
      </c>
      <c r="J18" s="101">
        <v>38.732999999999997</v>
      </c>
      <c r="K18" s="152">
        <v>13.933999999999999</v>
      </c>
      <c r="L18" s="101">
        <v>13.669</v>
      </c>
      <c r="N18" s="152"/>
      <c r="O18" s="152"/>
      <c r="P18" s="152"/>
      <c r="Q18" s="152"/>
      <c r="R18" s="152"/>
      <c r="S18" s="152"/>
      <c r="T18" s="152"/>
      <c r="U18" s="152"/>
      <c r="V18" s="152"/>
      <c r="W18" s="152"/>
      <c r="Y18" s="129"/>
      <c r="Z18" s="129"/>
      <c r="AA18" s="129"/>
      <c r="AB18" s="129"/>
      <c r="AC18" s="129"/>
      <c r="AD18" s="129"/>
      <c r="AE18" s="129"/>
      <c r="AF18" s="129"/>
      <c r="AG18" s="129"/>
      <c r="AH18" s="129"/>
    </row>
    <row r="19" spans="1:34" ht="15" customHeight="1" x14ac:dyDescent="0.25">
      <c r="A19" s="194" t="s">
        <v>266</v>
      </c>
      <c r="B19" s="98" t="s">
        <v>19</v>
      </c>
      <c r="C19" s="5">
        <v>73.430000000000007</v>
      </c>
      <c r="D19" s="5">
        <v>46.561999999999998</v>
      </c>
      <c r="E19" s="5">
        <v>156.01599999999999</v>
      </c>
      <c r="F19" s="5">
        <v>154.12200000000001</v>
      </c>
      <c r="G19" s="5">
        <v>92.503</v>
      </c>
      <c r="H19" s="5">
        <v>38.75</v>
      </c>
      <c r="I19" s="5">
        <v>52.343000000000004</v>
      </c>
      <c r="J19" s="5">
        <v>120.2</v>
      </c>
      <c r="K19" s="152">
        <v>107.539</v>
      </c>
      <c r="L19" s="5">
        <v>106.60899999999999</v>
      </c>
      <c r="N19" s="152"/>
      <c r="O19" s="152"/>
      <c r="P19" s="152"/>
      <c r="Q19" s="152"/>
      <c r="R19" s="152"/>
      <c r="S19" s="152"/>
      <c r="T19" s="152"/>
      <c r="U19" s="152"/>
      <c r="V19" s="152"/>
      <c r="W19" s="152"/>
      <c r="Y19" s="129"/>
      <c r="Z19" s="129"/>
      <c r="AA19" s="129"/>
      <c r="AB19" s="129"/>
      <c r="AC19" s="129"/>
      <c r="AD19" s="129"/>
      <c r="AE19" s="129"/>
      <c r="AF19" s="129"/>
      <c r="AG19" s="129"/>
      <c r="AH19" s="129"/>
    </row>
    <row r="20" spans="1:34" ht="15" customHeight="1" x14ac:dyDescent="0.25">
      <c r="A20" s="194"/>
      <c r="B20" s="98" t="s">
        <v>20</v>
      </c>
      <c r="C20" s="5">
        <v>6.577</v>
      </c>
      <c r="D20" s="5">
        <v>4.952</v>
      </c>
      <c r="E20" s="5">
        <v>8.0020000000000007</v>
      </c>
      <c r="F20" s="5">
        <v>6.5810000000000004</v>
      </c>
      <c r="G20" s="5">
        <v>5.8360000000000003</v>
      </c>
      <c r="H20" s="5">
        <v>8.7870000000000008</v>
      </c>
      <c r="I20" s="5">
        <v>9.9779999999999998</v>
      </c>
      <c r="J20" s="5">
        <v>5.125</v>
      </c>
      <c r="K20" s="152">
        <v>6.5039999999999996</v>
      </c>
      <c r="L20" s="5">
        <v>6.5119999999999996</v>
      </c>
      <c r="N20" s="152"/>
      <c r="O20" s="152"/>
      <c r="P20" s="152"/>
      <c r="Q20" s="152"/>
      <c r="R20" s="152"/>
      <c r="S20" s="152"/>
      <c r="T20" s="152"/>
      <c r="U20" s="152"/>
      <c r="V20" s="152"/>
      <c r="W20" s="152"/>
      <c r="Y20" s="129"/>
      <c r="Z20" s="129"/>
      <c r="AA20" s="129"/>
      <c r="AB20" s="129"/>
      <c r="AC20" s="129"/>
      <c r="AD20" s="129"/>
      <c r="AE20" s="129"/>
      <c r="AF20" s="129"/>
      <c r="AG20" s="129"/>
      <c r="AH20" s="129"/>
    </row>
    <row r="21" spans="1:34" ht="15" customHeight="1" x14ac:dyDescent="0.25">
      <c r="A21" s="194"/>
      <c r="B21" s="100" t="s">
        <v>12</v>
      </c>
      <c r="C21" s="101">
        <v>12.05</v>
      </c>
      <c r="D21" s="101">
        <v>5.8319999999999999</v>
      </c>
      <c r="E21" s="101">
        <v>21.341000000000001</v>
      </c>
      <c r="F21" s="101">
        <v>17.407</v>
      </c>
      <c r="G21" s="101">
        <v>10.538</v>
      </c>
      <c r="H21" s="101">
        <v>12.252000000000001</v>
      </c>
      <c r="I21" s="101">
        <v>11.42</v>
      </c>
      <c r="J21" s="101">
        <v>57.500999999999998</v>
      </c>
      <c r="K21" s="152">
        <v>13.492000000000001</v>
      </c>
      <c r="L21" s="101">
        <v>13.029</v>
      </c>
      <c r="N21" s="152"/>
      <c r="O21" s="152"/>
      <c r="P21" s="152"/>
      <c r="Q21" s="152"/>
      <c r="R21" s="152"/>
      <c r="S21" s="152"/>
      <c r="T21" s="152"/>
      <c r="U21" s="152"/>
      <c r="V21" s="152"/>
      <c r="W21" s="152"/>
      <c r="Y21" s="129"/>
      <c r="Z21" s="129"/>
      <c r="AA21" s="129"/>
      <c r="AB21" s="129"/>
      <c r="AC21" s="129"/>
      <c r="AD21" s="129"/>
      <c r="AE21" s="129"/>
      <c r="AF21" s="129"/>
      <c r="AG21" s="129"/>
      <c r="AH21" s="129"/>
    </row>
    <row r="22" spans="1:34" ht="15" customHeight="1" x14ac:dyDescent="0.25">
      <c r="A22" s="194" t="s">
        <v>267</v>
      </c>
      <c r="B22" s="98" t="s">
        <v>19</v>
      </c>
      <c r="C22" s="5">
        <v>77.614000000000004</v>
      </c>
      <c r="D22" s="5">
        <v>34.813000000000002</v>
      </c>
      <c r="E22" s="5">
        <v>155.167</v>
      </c>
      <c r="F22" s="5">
        <v>167.65700000000001</v>
      </c>
      <c r="G22" s="5">
        <v>109.827</v>
      </c>
      <c r="H22" s="5">
        <v>39.533999999999999</v>
      </c>
      <c r="I22" s="5">
        <v>78.646000000000001</v>
      </c>
      <c r="J22" s="5">
        <v>176.054</v>
      </c>
      <c r="K22" s="152">
        <v>114.315</v>
      </c>
      <c r="L22" s="5">
        <v>109.91200000000001</v>
      </c>
      <c r="N22" s="152"/>
      <c r="O22" s="152"/>
      <c r="P22" s="152"/>
      <c r="Q22" s="152"/>
      <c r="R22" s="152"/>
      <c r="S22" s="152"/>
      <c r="T22" s="152"/>
      <c r="U22" s="152"/>
      <c r="V22" s="152"/>
      <c r="W22" s="152"/>
      <c r="Y22" s="129"/>
      <c r="Z22" s="129"/>
      <c r="AA22" s="129"/>
      <c r="AB22" s="129"/>
      <c r="AC22" s="129"/>
      <c r="AD22" s="129"/>
      <c r="AE22" s="129"/>
      <c r="AF22" s="129"/>
      <c r="AG22" s="129"/>
      <c r="AH22" s="129"/>
    </row>
    <row r="23" spans="1:34" ht="15" customHeight="1" x14ac:dyDescent="0.25">
      <c r="A23" s="194"/>
      <c r="B23" s="98" t="s">
        <v>20</v>
      </c>
      <c r="C23" s="5">
        <v>5.1449999999999996</v>
      </c>
      <c r="D23" s="5">
        <v>4.101</v>
      </c>
      <c r="E23" s="5">
        <v>7.3540000000000001</v>
      </c>
      <c r="F23" s="5">
        <v>6.9409999999999998</v>
      </c>
      <c r="G23" s="5">
        <v>6.6749999999999998</v>
      </c>
      <c r="H23" s="5">
        <v>11.355</v>
      </c>
      <c r="I23" s="5">
        <v>10.19</v>
      </c>
      <c r="J23" s="5">
        <v>4.25</v>
      </c>
      <c r="K23" s="152">
        <v>5.8470000000000004</v>
      </c>
      <c r="L23" s="5">
        <v>5.8579999999999997</v>
      </c>
      <c r="N23" s="152"/>
      <c r="O23" s="152"/>
      <c r="P23" s="152"/>
      <c r="Q23" s="152"/>
      <c r="R23" s="152"/>
      <c r="S23" s="152"/>
      <c r="T23" s="152"/>
      <c r="U23" s="152"/>
      <c r="V23" s="152"/>
      <c r="W23" s="152"/>
      <c r="Y23" s="129"/>
      <c r="Z23" s="129"/>
      <c r="AA23" s="129"/>
      <c r="AB23" s="129"/>
      <c r="AC23" s="129"/>
      <c r="AD23" s="129"/>
      <c r="AE23" s="129"/>
      <c r="AF23" s="129"/>
      <c r="AG23" s="129"/>
      <c r="AH23" s="129"/>
    </row>
    <row r="24" spans="1:34" ht="15" customHeight="1" x14ac:dyDescent="0.25">
      <c r="A24" s="194"/>
      <c r="B24" s="100" t="s">
        <v>12</v>
      </c>
      <c r="C24" s="101">
        <v>10.981999999999999</v>
      </c>
      <c r="D24" s="101">
        <v>4.7519999999999998</v>
      </c>
      <c r="E24" s="101">
        <v>20.640999999999998</v>
      </c>
      <c r="F24" s="101">
        <v>18.547000000000001</v>
      </c>
      <c r="G24" s="101">
        <v>12.348000000000001</v>
      </c>
      <c r="H24" s="101">
        <v>14.7</v>
      </c>
      <c r="I24" s="102">
        <v>12.59</v>
      </c>
      <c r="J24" s="102">
        <v>80.67</v>
      </c>
      <c r="K24" s="152">
        <v>13.292999999999999</v>
      </c>
      <c r="L24" s="101">
        <v>12.589</v>
      </c>
      <c r="N24" s="152"/>
      <c r="O24" s="152"/>
      <c r="P24" s="152"/>
      <c r="Q24" s="152"/>
      <c r="R24" s="152"/>
      <c r="S24" s="152"/>
      <c r="T24" s="152"/>
      <c r="U24" s="152"/>
      <c r="V24" s="152"/>
      <c r="W24" s="152"/>
      <c r="Y24" s="129"/>
      <c r="Z24" s="129"/>
      <c r="AA24" s="129"/>
      <c r="AB24" s="129"/>
      <c r="AC24" s="129"/>
      <c r="AD24" s="129"/>
      <c r="AE24" s="129"/>
      <c r="AF24" s="129"/>
      <c r="AG24" s="129"/>
      <c r="AH24" s="129"/>
    </row>
    <row r="25" spans="1:34" ht="15" customHeight="1" x14ac:dyDescent="0.25">
      <c r="A25" s="194" t="s">
        <v>268</v>
      </c>
      <c r="B25" s="98" t="s">
        <v>19</v>
      </c>
      <c r="C25" s="5">
        <v>80.677000000000007</v>
      </c>
      <c r="D25" s="5">
        <v>34.505000000000003</v>
      </c>
      <c r="E25" s="5">
        <v>159.458</v>
      </c>
      <c r="F25" s="5">
        <v>151.67699999999999</v>
      </c>
      <c r="G25" s="5">
        <v>140.12299999999999</v>
      </c>
      <c r="H25" s="5">
        <v>54.393000000000001</v>
      </c>
      <c r="I25" s="5">
        <v>159.57599999999999</v>
      </c>
      <c r="J25" s="5" t="s">
        <v>151</v>
      </c>
      <c r="K25" s="152">
        <v>107.54</v>
      </c>
      <c r="L25" s="5">
        <v>113.178</v>
      </c>
      <c r="N25" s="152"/>
      <c r="O25" s="152"/>
      <c r="P25" s="152"/>
      <c r="Q25" s="152"/>
      <c r="R25" s="152"/>
      <c r="S25" s="152"/>
      <c r="T25" s="152"/>
      <c r="U25" s="152"/>
      <c r="V25" s="152"/>
      <c r="W25" s="152"/>
      <c r="Y25" s="129"/>
      <c r="Z25" s="129"/>
      <c r="AA25" s="129"/>
      <c r="AB25" s="129"/>
      <c r="AC25" s="129"/>
      <c r="AD25" s="129"/>
      <c r="AE25" s="129"/>
      <c r="AF25" s="129"/>
      <c r="AG25" s="129"/>
      <c r="AH25" s="129"/>
    </row>
    <row r="26" spans="1:34" ht="15" customHeight="1" x14ac:dyDescent="0.25">
      <c r="A26" s="194"/>
      <c r="B26" s="98" t="s">
        <v>20</v>
      </c>
      <c r="C26" s="5">
        <v>4.8369999999999997</v>
      </c>
      <c r="D26" s="5">
        <v>3.431</v>
      </c>
      <c r="E26" s="5">
        <v>6.992</v>
      </c>
      <c r="F26" s="5">
        <v>7.1239999999999997</v>
      </c>
      <c r="G26" s="5">
        <v>6.5720000000000001</v>
      </c>
      <c r="H26" s="5">
        <v>12.478</v>
      </c>
      <c r="I26" s="5">
        <v>15.406000000000001</v>
      </c>
      <c r="J26" s="5" t="s">
        <v>151</v>
      </c>
      <c r="K26" s="152">
        <v>5.5650000000000004</v>
      </c>
      <c r="L26" s="5">
        <v>5.59</v>
      </c>
      <c r="N26" s="152"/>
      <c r="O26" s="152"/>
      <c r="P26" s="152"/>
      <c r="Q26" s="152"/>
      <c r="R26" s="152"/>
      <c r="S26" s="152"/>
      <c r="T26" s="152"/>
      <c r="U26" s="152"/>
      <c r="V26" s="152"/>
      <c r="W26" s="152"/>
      <c r="Y26" s="129"/>
      <c r="Z26" s="129"/>
      <c r="AA26" s="129"/>
      <c r="AB26" s="129"/>
      <c r="AC26" s="129"/>
      <c r="AD26" s="129"/>
      <c r="AE26" s="129"/>
      <c r="AF26" s="129"/>
      <c r="AG26" s="129"/>
      <c r="AH26" s="129"/>
    </row>
    <row r="27" spans="1:34" ht="15" customHeight="1" x14ac:dyDescent="0.25">
      <c r="A27" s="194"/>
      <c r="B27" s="100" t="s">
        <v>12</v>
      </c>
      <c r="C27" s="101">
        <v>10.847</v>
      </c>
      <c r="D27" s="101">
        <v>4.0880000000000001</v>
      </c>
      <c r="E27" s="101">
        <v>20.547000000000001</v>
      </c>
      <c r="F27" s="101">
        <v>17.317</v>
      </c>
      <c r="G27" s="101">
        <v>13.794</v>
      </c>
      <c r="H27" s="101">
        <v>17.318999999999999</v>
      </c>
      <c r="I27" s="101">
        <v>20.207999999999998</v>
      </c>
      <c r="J27" s="101" t="s">
        <v>151</v>
      </c>
      <c r="K27" s="152">
        <v>12.369</v>
      </c>
      <c r="L27" s="5">
        <v>12.462999999999999</v>
      </c>
      <c r="N27" s="152"/>
      <c r="O27" s="152"/>
      <c r="P27" s="152"/>
      <c r="Q27" s="152"/>
      <c r="R27" s="152"/>
      <c r="S27" s="152"/>
      <c r="T27" s="152"/>
      <c r="U27" s="152"/>
      <c r="V27" s="152"/>
      <c r="W27" s="152"/>
      <c r="Y27" s="129"/>
      <c r="Z27" s="129"/>
      <c r="AA27" s="129"/>
      <c r="AB27" s="129"/>
      <c r="AC27" s="129"/>
      <c r="AD27" s="129"/>
      <c r="AE27" s="129"/>
      <c r="AF27" s="129"/>
      <c r="AG27" s="129"/>
      <c r="AH27" s="129"/>
    </row>
    <row r="28" spans="1:34" ht="15" customHeight="1" x14ac:dyDescent="0.25">
      <c r="A28" s="100" t="s">
        <v>364</v>
      </c>
      <c r="B28" s="98" t="s">
        <v>19</v>
      </c>
      <c r="C28" s="5">
        <v>82.316000000000003</v>
      </c>
      <c r="D28" s="5">
        <v>38.006</v>
      </c>
      <c r="E28" s="5">
        <v>154.58699999999999</v>
      </c>
      <c r="F28" s="5">
        <v>124.672</v>
      </c>
      <c r="G28" s="5">
        <v>121.593</v>
      </c>
      <c r="H28" s="5">
        <v>70.117000000000004</v>
      </c>
      <c r="I28" s="5">
        <v>193.56299999999999</v>
      </c>
      <c r="J28" s="5" t="s">
        <v>151</v>
      </c>
      <c r="K28" s="152">
        <v>101.866</v>
      </c>
      <c r="L28" s="5">
        <v>108.911</v>
      </c>
      <c r="N28" s="152"/>
      <c r="O28" s="152"/>
      <c r="P28" s="152"/>
      <c r="Q28" s="152"/>
      <c r="R28" s="152"/>
      <c r="S28" s="152"/>
      <c r="T28" s="152"/>
      <c r="U28" s="152"/>
      <c r="V28" s="152"/>
      <c r="W28" s="152"/>
      <c r="Y28" s="129"/>
      <c r="Z28" s="129"/>
      <c r="AA28" s="129"/>
      <c r="AB28" s="129"/>
      <c r="AC28" s="129"/>
      <c r="AD28" s="129"/>
      <c r="AE28" s="129"/>
      <c r="AF28" s="129"/>
      <c r="AG28" s="129"/>
      <c r="AH28" s="129"/>
    </row>
    <row r="29" spans="1:34" ht="15" customHeight="1" x14ac:dyDescent="0.25">
      <c r="B29" s="98" t="s">
        <v>20</v>
      </c>
      <c r="C29" s="5">
        <v>4.9589999999999996</v>
      </c>
      <c r="D29" s="5">
        <v>3.7679999999999998</v>
      </c>
      <c r="E29" s="5">
        <v>6.5679999999999996</v>
      </c>
      <c r="F29" s="5">
        <v>6.38</v>
      </c>
      <c r="G29" s="5">
        <v>5.1130000000000004</v>
      </c>
      <c r="H29" s="5">
        <v>13.996</v>
      </c>
      <c r="I29" s="5">
        <v>12.977</v>
      </c>
      <c r="J29" s="5" t="s">
        <v>151</v>
      </c>
      <c r="K29" s="152">
        <v>5.4050000000000002</v>
      </c>
      <c r="L29" s="5">
        <v>5.44</v>
      </c>
      <c r="N29" s="152"/>
      <c r="O29" s="152"/>
      <c r="P29" s="152"/>
      <c r="Q29" s="152"/>
      <c r="R29" s="152"/>
      <c r="S29" s="152"/>
      <c r="T29" s="152"/>
      <c r="U29" s="152"/>
      <c r="V29" s="152"/>
      <c r="W29" s="152"/>
      <c r="X29" s="145"/>
      <c r="Y29" s="149"/>
      <c r="Z29" s="129"/>
      <c r="AA29" s="129"/>
      <c r="AB29" s="129"/>
      <c r="AC29" s="129"/>
      <c r="AD29" s="129"/>
      <c r="AE29" s="129"/>
      <c r="AF29" s="129"/>
      <c r="AG29" s="129"/>
      <c r="AH29" s="129"/>
    </row>
    <row r="30" spans="1:34" ht="15" customHeight="1" x14ac:dyDescent="0.25">
      <c r="B30" s="100" t="s">
        <v>12</v>
      </c>
      <c r="C30" s="101">
        <v>11.041</v>
      </c>
      <c r="D30" s="101">
        <v>4.4930000000000003</v>
      </c>
      <c r="E30" s="101">
        <v>19.643999999999998</v>
      </c>
      <c r="F30" s="101">
        <v>14.571999999999999</v>
      </c>
      <c r="G30" s="101">
        <v>11.513999999999999</v>
      </c>
      <c r="H30" s="101">
        <v>20.398</v>
      </c>
      <c r="I30" s="101">
        <v>18.815999999999999</v>
      </c>
      <c r="J30" s="102" t="s">
        <v>151</v>
      </c>
      <c r="K30" s="152">
        <v>11.879</v>
      </c>
      <c r="L30" s="101">
        <v>12.002000000000001</v>
      </c>
      <c r="N30" s="152"/>
      <c r="O30" s="152"/>
      <c r="P30" s="152"/>
      <c r="Q30" s="152"/>
      <c r="R30" s="152"/>
      <c r="S30" s="152"/>
      <c r="T30" s="152"/>
      <c r="U30" s="152"/>
      <c r="V30" s="152"/>
      <c r="W30" s="152"/>
      <c r="X30" s="144"/>
      <c r="Y30" s="150"/>
      <c r="Z30" s="129"/>
      <c r="AA30" s="129"/>
      <c r="AB30" s="129"/>
      <c r="AC30" s="129"/>
      <c r="AD30" s="129"/>
      <c r="AE30" s="129"/>
      <c r="AF30" s="129"/>
      <c r="AG30" s="129"/>
      <c r="AH30" s="129"/>
    </row>
    <row r="31" spans="1:34" ht="1.5" customHeight="1" x14ac:dyDescent="0.25">
      <c r="A31" s="41"/>
      <c r="B31" s="55"/>
      <c r="C31" s="56"/>
      <c r="D31" s="56"/>
      <c r="E31" s="56"/>
      <c r="F31" s="56"/>
      <c r="G31" s="56"/>
      <c r="H31" s="56"/>
      <c r="I31" s="56"/>
      <c r="J31" s="56"/>
      <c r="K31" s="56"/>
      <c r="L31" s="56"/>
      <c r="N31" s="145"/>
      <c r="O31" s="145"/>
      <c r="P31" s="145"/>
      <c r="Q31" s="145"/>
      <c r="R31" s="145"/>
      <c r="S31" s="145"/>
      <c r="T31" s="145"/>
      <c r="U31" s="145"/>
      <c r="V31" s="152"/>
      <c r="W31" s="152"/>
      <c r="X31" s="145"/>
      <c r="Y31" s="145"/>
    </row>
    <row r="32" spans="1:34" ht="11.1" customHeight="1" x14ac:dyDescent="0.25">
      <c r="A32" s="7" t="s">
        <v>23</v>
      </c>
      <c r="B32" s="7"/>
      <c r="C32" s="7"/>
      <c r="D32" s="7"/>
      <c r="E32" s="7"/>
      <c r="F32" s="7"/>
      <c r="G32" s="7"/>
      <c r="H32" s="7"/>
      <c r="I32" s="7"/>
      <c r="J32" s="7"/>
      <c r="K32" s="7"/>
      <c r="L32" s="7"/>
      <c r="N32" s="144"/>
      <c r="O32" s="144"/>
      <c r="P32" s="144"/>
      <c r="Q32" s="144"/>
      <c r="R32" s="144"/>
      <c r="S32" s="144"/>
      <c r="T32" s="144"/>
      <c r="U32" s="144"/>
      <c r="V32" s="152"/>
      <c r="W32" s="152"/>
      <c r="X32" s="144"/>
      <c r="Y32" s="144"/>
    </row>
    <row r="33" spans="1:34" s="7" customFormat="1" ht="11.1" customHeight="1" x14ac:dyDescent="0.25">
      <c r="A33" s="7" t="s">
        <v>39</v>
      </c>
      <c r="N33" s="145"/>
      <c r="O33" s="145"/>
      <c r="P33" s="145"/>
      <c r="Q33" s="145"/>
      <c r="R33" s="145"/>
      <c r="S33" s="145"/>
      <c r="T33" s="145"/>
      <c r="U33" s="145"/>
      <c r="V33" s="152"/>
      <c r="W33" s="152"/>
      <c r="X33" s="145"/>
      <c r="Y33" s="145"/>
      <c r="Z33" s="1"/>
      <c r="AA33" s="1"/>
      <c r="AB33" s="1"/>
      <c r="AC33" s="1"/>
      <c r="AD33" s="1"/>
      <c r="AE33" s="1"/>
      <c r="AF33" s="1"/>
      <c r="AG33" s="1"/>
      <c r="AH33" s="1"/>
    </row>
    <row r="34" spans="1:34" s="7" customFormat="1" ht="11.1" customHeight="1" x14ac:dyDescent="0.25">
      <c r="A34" s="7" t="s">
        <v>35</v>
      </c>
      <c r="N34" s="144"/>
      <c r="O34" s="144"/>
      <c r="P34" s="144"/>
      <c r="Q34" s="144"/>
      <c r="R34" s="144"/>
      <c r="S34" s="144"/>
      <c r="T34" s="144"/>
      <c r="U34" s="144"/>
      <c r="V34" s="144"/>
      <c r="W34" s="144"/>
      <c r="X34" s="144"/>
      <c r="Y34" s="144"/>
      <c r="Z34" s="1"/>
      <c r="AA34" s="1"/>
      <c r="AB34" s="1"/>
      <c r="AC34" s="1"/>
      <c r="AD34" s="1"/>
      <c r="AE34" s="1"/>
      <c r="AF34" s="1"/>
      <c r="AG34" s="1"/>
      <c r="AH34" s="1"/>
    </row>
    <row r="35" spans="1:34" s="7" customFormat="1" ht="11.1" customHeight="1" x14ac:dyDescent="0.25">
      <c r="A35" s="7" t="s">
        <v>233</v>
      </c>
      <c r="N35" s="145"/>
      <c r="O35" s="145"/>
      <c r="P35" s="145"/>
      <c r="Q35" s="145"/>
      <c r="R35" s="145"/>
      <c r="S35" s="145"/>
      <c r="T35" s="145"/>
      <c r="U35" s="145"/>
      <c r="V35" s="145"/>
      <c r="W35" s="145"/>
      <c r="X35" s="145"/>
      <c r="Y35" s="145"/>
      <c r="Z35" s="1"/>
      <c r="AA35" s="1"/>
      <c r="AB35" s="1"/>
      <c r="AC35" s="1"/>
      <c r="AD35" s="1"/>
      <c r="AE35" s="1"/>
      <c r="AF35" s="1"/>
      <c r="AG35" s="1"/>
      <c r="AH35" s="1"/>
    </row>
    <row r="36" spans="1:34" s="7" customFormat="1" ht="11.1" customHeight="1" x14ac:dyDescent="0.25">
      <c r="A36" s="7" t="s">
        <v>365</v>
      </c>
      <c r="Y36" s="1"/>
      <c r="Z36" s="1"/>
      <c r="AA36" s="1"/>
      <c r="AB36" s="1"/>
      <c r="AC36" s="1"/>
      <c r="AD36" s="1"/>
      <c r="AE36" s="1"/>
      <c r="AF36" s="1"/>
      <c r="AG36" s="1"/>
      <c r="AH36" s="1"/>
    </row>
    <row r="37" spans="1:34" s="7" customFormat="1" ht="11.1" customHeight="1" x14ac:dyDescent="0.25">
      <c r="Y37" s="1"/>
      <c r="Z37" s="1"/>
      <c r="AA37" s="1"/>
      <c r="AB37" s="1"/>
      <c r="AC37" s="1"/>
      <c r="AD37" s="1"/>
      <c r="AE37" s="1"/>
      <c r="AF37" s="1"/>
      <c r="AG37" s="1"/>
      <c r="AH37" s="1"/>
    </row>
    <row r="38" spans="1:34" s="7" customFormat="1" ht="11.1" customHeight="1" x14ac:dyDescent="0.25">
      <c r="A38" s="7" t="s">
        <v>242</v>
      </c>
      <c r="Y38" s="1"/>
      <c r="Z38" s="1"/>
      <c r="AA38" s="1"/>
      <c r="AB38" s="1"/>
      <c r="AC38" s="1"/>
      <c r="AD38" s="1"/>
      <c r="AE38" s="1"/>
      <c r="AF38" s="1"/>
      <c r="AG38" s="1"/>
      <c r="AH38" s="1"/>
    </row>
    <row r="39" spans="1:34" ht="12" customHeight="1" x14ac:dyDescent="0.25">
      <c r="A39" s="2"/>
    </row>
    <row r="40" spans="1:34" ht="27.95" customHeight="1" x14ac:dyDescent="0.25">
      <c r="A40" s="192" t="s">
        <v>368</v>
      </c>
      <c r="B40" s="192"/>
      <c r="C40" s="192"/>
      <c r="D40" s="192"/>
      <c r="E40" s="192"/>
      <c r="F40" s="192"/>
      <c r="G40" s="192"/>
      <c r="H40" s="192"/>
      <c r="I40" s="192"/>
      <c r="J40" s="192"/>
      <c r="K40" s="192"/>
      <c r="L40" s="192"/>
      <c r="Y40" s="5"/>
      <c r="Z40" s="5"/>
      <c r="AA40" s="5"/>
      <c r="AB40" s="5"/>
      <c r="AC40" s="5"/>
      <c r="AD40" s="5"/>
      <c r="AE40" s="5"/>
      <c r="AF40" s="5"/>
      <c r="AG40" s="5"/>
      <c r="AH40" s="5"/>
    </row>
    <row r="41" spans="1:34" ht="5.25" customHeight="1" x14ac:dyDescent="0.25">
      <c r="A41" s="2"/>
      <c r="Y41" s="5"/>
      <c r="Z41" s="5"/>
      <c r="AA41" s="5"/>
      <c r="AB41" s="5"/>
      <c r="AC41" s="5"/>
      <c r="AD41" s="5"/>
      <c r="AE41" s="5"/>
      <c r="AF41" s="5"/>
      <c r="AG41" s="5"/>
      <c r="AH41" s="5"/>
    </row>
    <row r="42" spans="1:34" ht="23.25" x14ac:dyDescent="0.25">
      <c r="A42" s="35" t="s">
        <v>160</v>
      </c>
      <c r="B42" s="35" t="s">
        <v>158</v>
      </c>
      <c r="C42" s="3" t="s">
        <v>1</v>
      </c>
      <c r="D42" s="3" t="s">
        <v>2</v>
      </c>
      <c r="E42" s="3" t="s">
        <v>3</v>
      </c>
      <c r="F42" s="3" t="s">
        <v>4</v>
      </c>
      <c r="G42" s="3" t="s">
        <v>5</v>
      </c>
      <c r="H42" s="3" t="s">
        <v>6</v>
      </c>
      <c r="I42" s="3" t="s">
        <v>7</v>
      </c>
      <c r="J42" s="3" t="s">
        <v>8</v>
      </c>
      <c r="K42" s="3" t="s">
        <v>9</v>
      </c>
      <c r="Y42" s="5"/>
      <c r="Z42" s="5"/>
      <c r="AA42" s="5"/>
      <c r="AB42" s="5"/>
      <c r="AC42" s="5"/>
      <c r="AD42" s="5"/>
      <c r="AE42" s="5"/>
      <c r="AF42" s="5"/>
      <c r="AG42" s="5"/>
      <c r="AH42" s="5"/>
    </row>
    <row r="43" spans="1:34" ht="15" customHeight="1" x14ac:dyDescent="0.25">
      <c r="A43" s="194" t="s">
        <v>212</v>
      </c>
      <c r="B43" s="4" t="s">
        <v>19</v>
      </c>
      <c r="C43" s="5">
        <v>211.483</v>
      </c>
      <c r="D43" s="5">
        <v>206.95099999999999</v>
      </c>
      <c r="E43" s="5">
        <v>325.72399999999999</v>
      </c>
      <c r="F43" s="5">
        <v>557.28800000000001</v>
      </c>
      <c r="G43" s="5">
        <v>390.45299999999997</v>
      </c>
      <c r="H43" s="9" t="s">
        <v>153</v>
      </c>
      <c r="I43" s="9" t="s">
        <v>153</v>
      </c>
      <c r="J43" s="5">
        <v>273.07400000000001</v>
      </c>
      <c r="K43" s="5">
        <v>294.63</v>
      </c>
      <c r="M43" s="5"/>
      <c r="N43" s="5"/>
      <c r="O43" s="5"/>
      <c r="P43" s="5"/>
      <c r="Q43" s="5"/>
      <c r="R43" s="5"/>
      <c r="S43" s="5"/>
      <c r="T43" s="5"/>
      <c r="U43" s="5"/>
      <c r="W43" s="129"/>
      <c r="X43" s="129"/>
      <c r="Y43" s="151"/>
      <c r="Z43" s="151"/>
      <c r="AA43" s="151"/>
      <c r="AB43" s="151"/>
      <c r="AC43" s="151"/>
      <c r="AD43" s="151"/>
      <c r="AE43" s="151"/>
      <c r="AF43" s="101"/>
      <c r="AG43" s="101"/>
      <c r="AH43" s="101"/>
    </row>
    <row r="44" spans="1:34" ht="15" customHeight="1" x14ac:dyDescent="0.25">
      <c r="A44" s="194"/>
      <c r="B44" s="4" t="s">
        <v>20</v>
      </c>
      <c r="C44" s="5">
        <v>18.866</v>
      </c>
      <c r="D44" s="5">
        <v>18.623999999999999</v>
      </c>
      <c r="E44" s="5">
        <v>22.855</v>
      </c>
      <c r="F44" s="5">
        <v>27.529</v>
      </c>
      <c r="G44" s="5">
        <v>21.266999999999999</v>
      </c>
      <c r="H44" s="9" t="s">
        <v>153</v>
      </c>
      <c r="I44" s="9" t="s">
        <v>153</v>
      </c>
      <c r="J44" s="5">
        <v>11.358000000000001</v>
      </c>
      <c r="K44" s="5">
        <v>21.015000000000001</v>
      </c>
      <c r="M44" s="5"/>
      <c r="N44" s="5"/>
      <c r="O44" s="5"/>
      <c r="P44" s="5"/>
      <c r="Q44" s="5"/>
      <c r="R44" s="5"/>
      <c r="S44" s="5"/>
      <c r="T44" s="5"/>
      <c r="U44" s="5"/>
      <c r="W44" s="129"/>
      <c r="X44" s="129"/>
      <c r="Y44" s="129"/>
      <c r="Z44" s="129"/>
      <c r="AA44" s="129"/>
      <c r="AB44" s="129"/>
      <c r="AC44" s="129"/>
      <c r="AD44" s="129"/>
      <c r="AE44" s="129"/>
    </row>
    <row r="45" spans="1:34" ht="15" customHeight="1" x14ac:dyDescent="0.25">
      <c r="A45" s="194"/>
      <c r="B45" s="100" t="s">
        <v>12</v>
      </c>
      <c r="C45" s="101">
        <v>34.741</v>
      </c>
      <c r="D45" s="101">
        <v>22.411999999999999</v>
      </c>
      <c r="E45" s="101">
        <v>48.948</v>
      </c>
      <c r="F45" s="101">
        <v>65.968999999999994</v>
      </c>
      <c r="G45" s="101">
        <v>39.404000000000003</v>
      </c>
      <c r="H45" s="101">
        <v>36.484000000000002</v>
      </c>
      <c r="I45" s="101">
        <v>39.395000000000003</v>
      </c>
      <c r="J45" s="101">
        <v>142.94200000000001</v>
      </c>
      <c r="K45" s="101">
        <v>39.674999999999997</v>
      </c>
      <c r="M45" s="101"/>
      <c r="N45" s="101"/>
      <c r="O45" s="101"/>
      <c r="P45" s="101"/>
      <c r="Q45" s="101"/>
      <c r="R45" s="101"/>
      <c r="S45" s="101"/>
      <c r="T45" s="101"/>
      <c r="U45" s="101"/>
      <c r="W45" s="129"/>
      <c r="X45" s="129"/>
      <c r="Y45" s="129"/>
      <c r="Z45" s="129"/>
      <c r="AA45" s="129"/>
      <c r="AB45" s="129"/>
      <c r="AC45" s="129"/>
      <c r="AD45" s="129"/>
      <c r="AE45" s="129"/>
    </row>
    <row r="46" spans="1:34" ht="15" customHeight="1" x14ac:dyDescent="0.25">
      <c r="A46" s="194" t="s">
        <v>213</v>
      </c>
      <c r="B46" s="4" t="s">
        <v>19</v>
      </c>
      <c r="C46" s="5">
        <v>204.536</v>
      </c>
      <c r="D46" s="5">
        <v>178.77500000000001</v>
      </c>
      <c r="E46" s="5">
        <v>348.19499999999999</v>
      </c>
      <c r="F46" s="5">
        <v>522.78399999999999</v>
      </c>
      <c r="G46" s="5">
        <v>337.05</v>
      </c>
      <c r="H46" s="9" t="s">
        <v>153</v>
      </c>
      <c r="I46" s="9" t="s">
        <v>153</v>
      </c>
      <c r="J46" s="5">
        <v>225.595</v>
      </c>
      <c r="K46" s="5">
        <v>285.93099999999998</v>
      </c>
      <c r="M46" s="5"/>
      <c r="N46" s="5"/>
      <c r="O46" s="5"/>
      <c r="P46" s="5"/>
      <c r="Q46" s="5"/>
      <c r="R46" s="5"/>
      <c r="S46" s="5"/>
      <c r="T46" s="5"/>
      <c r="U46" s="5"/>
      <c r="W46" s="129"/>
      <c r="X46" s="129"/>
      <c r="Y46" s="129"/>
      <c r="Z46" s="129"/>
      <c r="AA46" s="129"/>
      <c r="AB46" s="129"/>
      <c r="AC46" s="129"/>
      <c r="AD46" s="129"/>
      <c r="AE46" s="129"/>
    </row>
    <row r="47" spans="1:34" ht="15" customHeight="1" x14ac:dyDescent="0.25">
      <c r="A47" s="194"/>
      <c r="B47" s="4" t="s">
        <v>20</v>
      </c>
      <c r="C47" s="5">
        <v>18.702999999999999</v>
      </c>
      <c r="D47" s="5">
        <v>17.571000000000002</v>
      </c>
      <c r="E47" s="5">
        <v>23.722999999999999</v>
      </c>
      <c r="F47" s="5">
        <v>28.428000000000001</v>
      </c>
      <c r="G47" s="5">
        <v>18.873999999999999</v>
      </c>
      <c r="H47" s="9" t="s">
        <v>153</v>
      </c>
      <c r="I47" s="9" t="s">
        <v>153</v>
      </c>
      <c r="J47" s="5">
        <v>8.1449999999999996</v>
      </c>
      <c r="K47" s="5">
        <v>20.847999999999999</v>
      </c>
      <c r="M47" s="5"/>
      <c r="N47" s="5"/>
      <c r="O47" s="5"/>
      <c r="P47" s="5"/>
      <c r="Q47" s="5"/>
      <c r="R47" s="5"/>
      <c r="S47" s="5"/>
      <c r="T47" s="5"/>
      <c r="U47" s="5"/>
      <c r="W47" s="129"/>
      <c r="X47" s="129"/>
      <c r="Y47" s="129"/>
      <c r="Z47" s="129"/>
      <c r="AA47" s="129"/>
      <c r="AB47" s="129"/>
      <c r="AC47" s="129"/>
      <c r="AD47" s="129"/>
      <c r="AE47" s="129"/>
    </row>
    <row r="48" spans="1:34" ht="15" customHeight="1" x14ac:dyDescent="0.25">
      <c r="A48" s="194"/>
      <c r="B48" s="100" t="s">
        <v>12</v>
      </c>
      <c r="C48" s="101">
        <v>34.231000000000002</v>
      </c>
      <c r="D48" s="101">
        <v>20.88</v>
      </c>
      <c r="E48" s="101">
        <v>52.231000000000002</v>
      </c>
      <c r="F48" s="101">
        <v>64.619</v>
      </c>
      <c r="G48" s="101">
        <v>35</v>
      </c>
      <c r="H48" s="101">
        <v>37.802</v>
      </c>
      <c r="I48" s="101">
        <v>42.587000000000003</v>
      </c>
      <c r="J48" s="101">
        <v>114.623</v>
      </c>
      <c r="K48" s="101">
        <v>39.164999999999999</v>
      </c>
      <c r="M48" s="101"/>
      <c r="N48" s="101"/>
      <c r="O48" s="101"/>
      <c r="P48" s="101"/>
      <c r="Q48" s="101"/>
      <c r="R48" s="101"/>
      <c r="S48" s="101"/>
      <c r="T48" s="101"/>
      <c r="U48" s="101"/>
      <c r="W48" s="129"/>
      <c r="X48" s="129"/>
      <c r="Y48" s="129"/>
      <c r="Z48" s="129"/>
      <c r="AA48" s="129"/>
      <c r="AB48" s="129"/>
      <c r="AC48" s="129"/>
      <c r="AD48" s="129"/>
      <c r="AE48" s="129"/>
    </row>
    <row r="49" spans="1:31" ht="15" customHeight="1" x14ac:dyDescent="0.25">
      <c r="A49" s="194" t="s">
        <v>214</v>
      </c>
      <c r="B49" s="4" t="s">
        <v>19</v>
      </c>
      <c r="C49" s="5">
        <v>195.61500000000001</v>
      </c>
      <c r="D49" s="5">
        <v>152.75899999999999</v>
      </c>
      <c r="E49" s="5">
        <v>357.92200000000003</v>
      </c>
      <c r="F49" s="5">
        <v>472.94099999999997</v>
      </c>
      <c r="G49" s="5">
        <v>278.19600000000003</v>
      </c>
      <c r="H49" s="5">
        <v>109.155</v>
      </c>
      <c r="I49" s="5">
        <v>242.215</v>
      </c>
      <c r="J49" s="5">
        <v>231.137</v>
      </c>
      <c r="K49" s="5">
        <v>275.32499999999999</v>
      </c>
      <c r="M49" s="5"/>
      <c r="N49" s="5"/>
      <c r="O49" s="5"/>
      <c r="P49" s="5"/>
      <c r="Q49" s="5"/>
      <c r="R49" s="5"/>
      <c r="S49" s="5"/>
      <c r="T49" s="5"/>
      <c r="U49" s="5"/>
      <c r="W49" s="129"/>
      <c r="X49" s="129"/>
      <c r="Y49" s="129"/>
      <c r="Z49" s="129"/>
      <c r="AA49" s="129"/>
      <c r="AB49" s="129"/>
      <c r="AC49" s="129"/>
      <c r="AD49" s="129"/>
      <c r="AE49" s="129"/>
    </row>
    <row r="50" spans="1:31" ht="15" customHeight="1" x14ac:dyDescent="0.25">
      <c r="A50" s="194"/>
      <c r="B50" s="4" t="s">
        <v>20</v>
      </c>
      <c r="C50" s="5">
        <v>19.474</v>
      </c>
      <c r="D50" s="5">
        <v>16.718</v>
      </c>
      <c r="E50" s="5">
        <v>22.774999999999999</v>
      </c>
      <c r="F50" s="5">
        <v>29.54</v>
      </c>
      <c r="G50" s="5">
        <v>16.727</v>
      </c>
      <c r="H50" s="5">
        <v>29.42</v>
      </c>
      <c r="I50" s="5">
        <v>29.992999999999999</v>
      </c>
      <c r="J50" s="5">
        <v>8.6630000000000003</v>
      </c>
      <c r="K50" s="5">
        <v>20.643000000000001</v>
      </c>
      <c r="M50" s="5"/>
      <c r="N50" s="5"/>
      <c r="O50" s="5"/>
      <c r="P50" s="5"/>
      <c r="Q50" s="5"/>
      <c r="R50" s="5"/>
      <c r="S50" s="5"/>
      <c r="T50" s="5"/>
      <c r="U50" s="5"/>
      <c r="W50" s="129"/>
      <c r="X50" s="129"/>
      <c r="Y50" s="129"/>
      <c r="Z50" s="129"/>
      <c r="AA50" s="129"/>
      <c r="AB50" s="129"/>
      <c r="AC50" s="129"/>
      <c r="AD50" s="129"/>
      <c r="AE50" s="129"/>
    </row>
    <row r="51" spans="1:31" ht="15" customHeight="1" x14ac:dyDescent="0.25">
      <c r="A51" s="194"/>
      <c r="B51" s="100" t="s">
        <v>12</v>
      </c>
      <c r="C51" s="101">
        <v>34.131</v>
      </c>
      <c r="D51" s="101">
        <v>19.512</v>
      </c>
      <c r="E51" s="101">
        <v>52.600999999999999</v>
      </c>
      <c r="F51" s="101">
        <v>62.274000000000001</v>
      </c>
      <c r="G51" s="101">
        <v>30.207000000000001</v>
      </c>
      <c r="H51" s="101">
        <v>42.164000000000001</v>
      </c>
      <c r="I51" s="101">
        <v>37.899000000000001</v>
      </c>
      <c r="J51" s="101">
        <v>114.76</v>
      </c>
      <c r="K51" s="101">
        <v>38.326999999999998</v>
      </c>
      <c r="M51" s="101"/>
      <c r="N51" s="101"/>
      <c r="O51" s="101"/>
      <c r="P51" s="101"/>
      <c r="Q51" s="101"/>
      <c r="R51" s="101"/>
      <c r="S51" s="101"/>
      <c r="T51" s="101"/>
      <c r="U51" s="101"/>
      <c r="W51" s="129"/>
      <c r="X51" s="129"/>
      <c r="Y51" s="129"/>
      <c r="Z51" s="129"/>
      <c r="AA51" s="129"/>
      <c r="AB51" s="129"/>
      <c r="AC51" s="129"/>
      <c r="AD51" s="129"/>
      <c r="AE51" s="129"/>
    </row>
    <row r="52" spans="1:31" ht="15" customHeight="1" x14ac:dyDescent="0.25">
      <c r="A52" s="194" t="s">
        <v>215</v>
      </c>
      <c r="B52" s="4" t="s">
        <v>19</v>
      </c>
      <c r="C52" s="5">
        <v>179.52600000000001</v>
      </c>
      <c r="D52" s="5">
        <v>133.73699999999999</v>
      </c>
      <c r="E52" s="5">
        <v>297.97899999999998</v>
      </c>
      <c r="F52" s="5">
        <v>414.44400000000002</v>
      </c>
      <c r="G52" s="5">
        <v>254.821</v>
      </c>
      <c r="H52" s="9" t="s">
        <v>153</v>
      </c>
      <c r="I52" s="9" t="s">
        <v>153</v>
      </c>
      <c r="J52" s="5">
        <v>212.02</v>
      </c>
      <c r="K52" s="5">
        <v>242.17699999999999</v>
      </c>
      <c r="M52" s="5"/>
      <c r="N52" s="5"/>
      <c r="O52" s="5"/>
      <c r="P52" s="5"/>
      <c r="Q52" s="5"/>
      <c r="R52" s="5"/>
      <c r="S52" s="5"/>
      <c r="T52" s="5"/>
      <c r="U52" s="5"/>
      <c r="W52" s="129"/>
      <c r="X52" s="129"/>
      <c r="Y52" s="129"/>
      <c r="Z52" s="129"/>
      <c r="AA52" s="129"/>
      <c r="AB52" s="129"/>
      <c r="AC52" s="129"/>
      <c r="AD52" s="129"/>
      <c r="AE52" s="129"/>
    </row>
    <row r="53" spans="1:31" ht="15" customHeight="1" x14ac:dyDescent="0.25">
      <c r="A53" s="194"/>
      <c r="B53" s="4" t="s">
        <v>20</v>
      </c>
      <c r="C53" s="5">
        <v>19.100999999999999</v>
      </c>
      <c r="D53" s="5">
        <v>15.951000000000001</v>
      </c>
      <c r="E53" s="5">
        <v>18.533000000000001</v>
      </c>
      <c r="F53" s="5">
        <v>26.116</v>
      </c>
      <c r="G53" s="5">
        <v>16.795000000000002</v>
      </c>
      <c r="H53" s="9" t="s">
        <v>153</v>
      </c>
      <c r="I53" s="9" t="s">
        <v>153</v>
      </c>
      <c r="J53" s="5">
        <v>9.9819999999999993</v>
      </c>
      <c r="K53" s="5">
        <v>18.954999999999998</v>
      </c>
      <c r="M53" s="5"/>
      <c r="N53" s="5"/>
      <c r="O53" s="5"/>
      <c r="P53" s="5"/>
      <c r="Q53" s="5"/>
      <c r="R53" s="5"/>
      <c r="S53" s="5"/>
      <c r="T53" s="5"/>
      <c r="U53" s="5"/>
      <c r="W53" s="129"/>
      <c r="X53" s="129"/>
      <c r="Y53" s="129"/>
      <c r="Z53" s="129"/>
      <c r="AA53" s="129"/>
      <c r="AB53" s="129"/>
      <c r="AC53" s="129"/>
      <c r="AD53" s="129"/>
      <c r="AE53" s="129"/>
    </row>
    <row r="54" spans="1:31" ht="15" customHeight="1" x14ac:dyDescent="0.25">
      <c r="A54" s="194"/>
      <c r="B54" s="100" t="s">
        <v>12</v>
      </c>
      <c r="C54" s="101">
        <v>32.68</v>
      </c>
      <c r="D54" s="101">
        <v>18.381</v>
      </c>
      <c r="E54" s="101">
        <v>43.545000000000002</v>
      </c>
      <c r="F54" s="101">
        <v>54.823</v>
      </c>
      <c r="G54" s="101">
        <v>29.475000000000001</v>
      </c>
      <c r="H54" s="101">
        <v>39.381</v>
      </c>
      <c r="I54" s="101">
        <v>34.091000000000001</v>
      </c>
      <c r="J54" s="101">
        <v>104.98</v>
      </c>
      <c r="K54" s="101">
        <v>34.576999999999998</v>
      </c>
      <c r="M54" s="101"/>
      <c r="N54" s="101"/>
      <c r="O54" s="101"/>
      <c r="P54" s="101"/>
      <c r="Q54" s="101"/>
      <c r="R54" s="101"/>
      <c r="S54" s="101"/>
      <c r="T54" s="101"/>
      <c r="U54" s="101"/>
      <c r="W54" s="129"/>
      <c r="X54" s="129"/>
      <c r="Y54" s="129"/>
      <c r="Z54" s="129"/>
      <c r="AA54" s="129"/>
      <c r="AB54" s="129"/>
      <c r="AC54" s="129"/>
      <c r="AD54" s="129"/>
      <c r="AE54" s="129"/>
    </row>
    <row r="55" spans="1:31" ht="15" customHeight="1" x14ac:dyDescent="0.25">
      <c r="A55" s="194" t="s">
        <v>216</v>
      </c>
      <c r="B55" s="4" t="s">
        <v>19</v>
      </c>
      <c r="C55" s="5">
        <v>165.16200000000001</v>
      </c>
      <c r="D55" s="5">
        <v>115.58</v>
      </c>
      <c r="E55" s="5">
        <v>264.31099999999998</v>
      </c>
      <c r="F55" s="5">
        <v>341.63299999999998</v>
      </c>
      <c r="G55" s="5">
        <v>217.53800000000001</v>
      </c>
      <c r="H55" s="9" t="s">
        <v>153</v>
      </c>
      <c r="I55" s="9" t="s">
        <v>153</v>
      </c>
      <c r="J55" s="5">
        <v>209.10300000000001</v>
      </c>
      <c r="K55" s="5">
        <v>214.625</v>
      </c>
      <c r="M55" s="5"/>
      <c r="N55" s="5"/>
      <c r="O55" s="5"/>
      <c r="P55" s="5"/>
      <c r="Q55" s="5"/>
      <c r="R55" s="5"/>
      <c r="S55" s="5"/>
      <c r="T55" s="5"/>
      <c r="U55" s="5"/>
      <c r="W55" s="129"/>
      <c r="X55" s="129"/>
      <c r="Y55" s="129"/>
      <c r="Z55" s="129"/>
      <c r="AA55" s="129"/>
      <c r="AB55" s="129"/>
      <c r="AC55" s="129"/>
      <c r="AD55" s="129"/>
      <c r="AE55" s="129"/>
    </row>
    <row r="56" spans="1:31" ht="15" customHeight="1" x14ac:dyDescent="0.25">
      <c r="A56" s="194"/>
      <c r="B56" s="4" t="s">
        <v>20</v>
      </c>
      <c r="C56" s="5">
        <v>18.481999999999999</v>
      </c>
      <c r="D56" s="5">
        <v>12.616</v>
      </c>
      <c r="E56" s="5">
        <v>16.507000000000001</v>
      </c>
      <c r="F56" s="5">
        <v>20.265000000000001</v>
      </c>
      <c r="G56" s="5">
        <v>15.064</v>
      </c>
      <c r="H56" s="9" t="s">
        <v>153</v>
      </c>
      <c r="I56" s="9" t="s">
        <v>153</v>
      </c>
      <c r="J56" s="5">
        <v>10.381</v>
      </c>
      <c r="K56" s="5">
        <v>16.643000000000001</v>
      </c>
      <c r="M56" s="5"/>
      <c r="N56" s="5"/>
      <c r="O56" s="5"/>
      <c r="P56" s="5"/>
      <c r="Q56" s="5"/>
      <c r="R56" s="5"/>
      <c r="S56" s="5"/>
      <c r="T56" s="5"/>
      <c r="U56" s="5"/>
      <c r="W56" s="129"/>
      <c r="X56" s="129"/>
      <c r="Y56" s="129"/>
      <c r="Z56" s="129"/>
      <c r="AA56" s="129"/>
      <c r="AB56" s="129"/>
      <c r="AC56" s="129"/>
      <c r="AD56" s="129"/>
      <c r="AE56" s="129"/>
    </row>
    <row r="57" spans="1:31" ht="15" customHeight="1" x14ac:dyDescent="0.25">
      <c r="A57" s="194"/>
      <c r="B57" s="100" t="s">
        <v>12</v>
      </c>
      <c r="C57" s="101">
        <v>31.263999999999999</v>
      </c>
      <c r="D57" s="101">
        <v>14.787000000000001</v>
      </c>
      <c r="E57" s="101">
        <v>38.936999999999998</v>
      </c>
      <c r="F57" s="101">
        <v>43.926000000000002</v>
      </c>
      <c r="G57" s="101">
        <v>26.018999999999998</v>
      </c>
      <c r="H57" s="101">
        <v>33.89</v>
      </c>
      <c r="I57" s="101">
        <v>30.158999999999999</v>
      </c>
      <c r="J57" s="101">
        <v>102.43600000000001</v>
      </c>
      <c r="K57" s="101">
        <v>30.677</v>
      </c>
      <c r="M57" s="101"/>
      <c r="N57" s="101"/>
      <c r="O57" s="101"/>
      <c r="P57" s="101"/>
      <c r="Q57" s="101"/>
      <c r="R57" s="101"/>
      <c r="S57" s="101"/>
      <c r="T57" s="101"/>
      <c r="U57" s="101"/>
      <c r="W57" s="129"/>
      <c r="X57" s="129"/>
      <c r="Y57" s="129"/>
      <c r="Z57" s="129"/>
      <c r="AA57" s="129"/>
      <c r="AB57" s="129"/>
      <c r="AC57" s="129"/>
      <c r="AD57" s="129"/>
      <c r="AE57" s="129"/>
    </row>
    <row r="58" spans="1:31" ht="15" customHeight="1" x14ac:dyDescent="0.25">
      <c r="A58" s="194" t="s">
        <v>217</v>
      </c>
      <c r="B58" s="4" t="s">
        <v>19</v>
      </c>
      <c r="C58" s="5">
        <v>168.517</v>
      </c>
      <c r="D58" s="5">
        <v>94.671999999999997</v>
      </c>
      <c r="E58" s="5">
        <v>262.72800000000001</v>
      </c>
      <c r="F58" s="5">
        <v>376.226</v>
      </c>
      <c r="G58" s="5">
        <v>222.68299999999999</v>
      </c>
      <c r="H58" s="5">
        <v>70.203999999999994</v>
      </c>
      <c r="I58" s="5">
        <v>152.72499999999999</v>
      </c>
      <c r="J58" s="5">
        <v>275.04199999999997</v>
      </c>
      <c r="K58" s="5">
        <v>221.21799999999999</v>
      </c>
      <c r="M58" s="5"/>
      <c r="N58" s="5"/>
      <c r="O58" s="5"/>
      <c r="P58" s="5"/>
      <c r="Q58" s="5"/>
      <c r="R58" s="5"/>
      <c r="S58" s="5"/>
      <c r="T58" s="5"/>
      <c r="U58" s="5"/>
      <c r="W58" s="129"/>
      <c r="X58" s="129"/>
      <c r="Y58" s="129"/>
      <c r="Z58" s="129"/>
      <c r="AA58" s="129"/>
      <c r="AB58" s="129"/>
      <c r="AC58" s="129"/>
      <c r="AD58" s="129"/>
      <c r="AE58" s="129"/>
    </row>
    <row r="59" spans="1:31" ht="15" customHeight="1" x14ac:dyDescent="0.25">
      <c r="A59" s="194"/>
      <c r="B59" s="4" t="s">
        <v>20</v>
      </c>
      <c r="C59" s="5">
        <v>15.284000000000001</v>
      </c>
      <c r="D59" s="5">
        <v>9.8209999999999997</v>
      </c>
      <c r="E59" s="5">
        <v>15.475</v>
      </c>
      <c r="F59" s="5">
        <v>19.937999999999999</v>
      </c>
      <c r="G59" s="5">
        <v>14.387</v>
      </c>
      <c r="H59" s="5">
        <v>19.425000000000001</v>
      </c>
      <c r="I59" s="5">
        <v>21.263000000000002</v>
      </c>
      <c r="J59" s="5">
        <v>10.89</v>
      </c>
      <c r="K59" s="5">
        <v>14.522</v>
      </c>
      <c r="M59" s="5"/>
      <c r="N59" s="5"/>
      <c r="O59" s="5"/>
      <c r="P59" s="5"/>
      <c r="Q59" s="5"/>
      <c r="R59" s="5"/>
      <c r="S59" s="5"/>
      <c r="T59" s="5"/>
      <c r="U59" s="5"/>
      <c r="W59" s="129"/>
      <c r="X59" s="129"/>
      <c r="Y59" s="129"/>
      <c r="Z59" s="129"/>
      <c r="AA59" s="129"/>
      <c r="AB59" s="129"/>
      <c r="AC59" s="129"/>
      <c r="AD59" s="129"/>
      <c r="AE59" s="129"/>
    </row>
    <row r="60" spans="1:31" ht="15" customHeight="1" x14ac:dyDescent="0.25">
      <c r="A60" s="194"/>
      <c r="B60" s="100" t="s">
        <v>12</v>
      </c>
      <c r="C60" s="101">
        <v>28.195</v>
      </c>
      <c r="D60" s="101">
        <v>11.616</v>
      </c>
      <c r="E60" s="101">
        <v>37.875</v>
      </c>
      <c r="F60" s="101">
        <v>46.081000000000003</v>
      </c>
      <c r="G60" s="101">
        <v>25.806000000000001</v>
      </c>
      <c r="H60" s="101">
        <v>25.800999999999998</v>
      </c>
      <c r="I60" s="101">
        <v>25.97</v>
      </c>
      <c r="J60" s="101">
        <v>130.70400000000001</v>
      </c>
      <c r="K60" s="101">
        <v>29.007999999999999</v>
      </c>
      <c r="M60" s="101"/>
      <c r="N60" s="101"/>
      <c r="O60" s="101"/>
      <c r="P60" s="101"/>
      <c r="Q60" s="101"/>
      <c r="R60" s="101"/>
      <c r="S60" s="101"/>
      <c r="T60" s="101"/>
      <c r="U60" s="101"/>
      <c r="W60" s="129"/>
      <c r="X60" s="129"/>
      <c r="Y60" s="129"/>
      <c r="Z60" s="129"/>
      <c r="AA60" s="129"/>
      <c r="AB60" s="129"/>
      <c r="AC60" s="129"/>
      <c r="AD60" s="129"/>
      <c r="AE60" s="129"/>
    </row>
    <row r="61" spans="1:31" ht="15" customHeight="1" x14ac:dyDescent="0.25">
      <c r="A61" s="194" t="s">
        <v>218</v>
      </c>
      <c r="B61" s="4" t="s">
        <v>19</v>
      </c>
      <c r="C61" s="5">
        <v>185.11</v>
      </c>
      <c r="D61" s="5">
        <v>79.692999999999998</v>
      </c>
      <c r="E61" s="5">
        <v>260.411</v>
      </c>
      <c r="F61" s="5">
        <v>406.34100000000001</v>
      </c>
      <c r="G61" s="5">
        <v>272.27600000000001</v>
      </c>
      <c r="H61" s="9" t="s">
        <v>153</v>
      </c>
      <c r="I61" s="9" t="s">
        <v>153</v>
      </c>
      <c r="J61" s="5">
        <v>331.53</v>
      </c>
      <c r="K61" s="5">
        <v>236.43100000000001</v>
      </c>
      <c r="M61" s="5"/>
      <c r="N61" s="5"/>
      <c r="O61" s="5"/>
      <c r="P61" s="5"/>
      <c r="Q61" s="5"/>
      <c r="R61" s="5"/>
      <c r="S61" s="5"/>
      <c r="T61" s="5"/>
      <c r="U61" s="5"/>
      <c r="W61" s="129"/>
      <c r="X61" s="129"/>
      <c r="Y61" s="129"/>
      <c r="Z61" s="129"/>
      <c r="AA61" s="129"/>
      <c r="AB61" s="129"/>
      <c r="AC61" s="129"/>
      <c r="AD61" s="129"/>
      <c r="AE61" s="129"/>
    </row>
    <row r="62" spans="1:31" ht="15" customHeight="1" x14ac:dyDescent="0.25">
      <c r="A62" s="194"/>
      <c r="B62" s="4" t="s">
        <v>20</v>
      </c>
      <c r="C62" s="5">
        <v>14.196999999999999</v>
      </c>
      <c r="D62" s="5">
        <v>8.2710000000000008</v>
      </c>
      <c r="E62" s="5">
        <v>13.999000000000001</v>
      </c>
      <c r="F62" s="5">
        <v>22.010999999999999</v>
      </c>
      <c r="G62" s="5">
        <v>16.911000000000001</v>
      </c>
      <c r="H62" s="9" t="s">
        <v>153</v>
      </c>
      <c r="I62" s="9" t="s">
        <v>153</v>
      </c>
      <c r="J62" s="5">
        <v>8.5340000000000007</v>
      </c>
      <c r="K62" s="5">
        <v>13.946</v>
      </c>
      <c r="M62" s="5"/>
      <c r="N62" s="5"/>
      <c r="O62" s="5"/>
      <c r="P62" s="5"/>
      <c r="Q62" s="5"/>
      <c r="R62" s="5"/>
      <c r="S62" s="5"/>
      <c r="T62" s="5"/>
      <c r="U62" s="5"/>
      <c r="W62" s="129"/>
      <c r="X62" s="129"/>
      <c r="Y62" s="129"/>
      <c r="Z62" s="129"/>
      <c r="AA62" s="129"/>
      <c r="AB62" s="129"/>
      <c r="AC62" s="129"/>
      <c r="AD62" s="129"/>
      <c r="AE62" s="129"/>
    </row>
    <row r="63" spans="1:31" ht="15" customHeight="1" x14ac:dyDescent="0.25">
      <c r="A63" s="194"/>
      <c r="B63" s="100" t="s">
        <v>12</v>
      </c>
      <c r="C63" s="101">
        <v>28.352</v>
      </c>
      <c r="D63" s="101">
        <v>9.7840000000000007</v>
      </c>
      <c r="E63" s="101">
        <v>36.241999999999997</v>
      </c>
      <c r="F63" s="101">
        <v>49.764000000000003</v>
      </c>
      <c r="G63" s="101">
        <v>30.952999999999999</v>
      </c>
      <c r="H63" s="101">
        <v>29.44</v>
      </c>
      <c r="I63" s="101">
        <v>33.85</v>
      </c>
      <c r="J63" s="101">
        <v>154.035</v>
      </c>
      <c r="K63" s="101">
        <v>29.443000000000001</v>
      </c>
      <c r="M63" s="101"/>
      <c r="N63" s="101"/>
      <c r="O63" s="101"/>
      <c r="P63" s="101"/>
      <c r="Q63" s="101"/>
      <c r="R63" s="101"/>
      <c r="S63" s="101"/>
      <c r="T63" s="101"/>
      <c r="U63" s="101"/>
      <c r="W63" s="129"/>
      <c r="X63" s="129"/>
      <c r="Y63" s="129"/>
      <c r="Z63" s="129"/>
      <c r="AA63" s="129"/>
      <c r="AB63" s="129"/>
      <c r="AC63" s="129"/>
      <c r="AD63" s="129"/>
      <c r="AE63" s="129"/>
    </row>
    <row r="64" spans="1:31" ht="15" customHeight="1" x14ac:dyDescent="0.25">
      <c r="A64" s="194" t="s">
        <v>219</v>
      </c>
      <c r="B64" s="4" t="s">
        <v>19</v>
      </c>
      <c r="C64" s="5">
        <v>188.85400000000001</v>
      </c>
      <c r="D64" s="5">
        <v>72.132000000000005</v>
      </c>
      <c r="E64" s="5">
        <v>268.10000000000002</v>
      </c>
      <c r="F64" s="5">
        <v>402.09699999999998</v>
      </c>
      <c r="G64" s="5">
        <v>298.17700000000002</v>
      </c>
      <c r="H64" s="9" t="s">
        <v>153</v>
      </c>
      <c r="I64" s="9" t="s">
        <v>153</v>
      </c>
      <c r="J64" s="5">
        <v>572.22400000000005</v>
      </c>
      <c r="K64" s="5">
        <v>251.85499999999999</v>
      </c>
      <c r="M64" s="5"/>
      <c r="N64" s="5"/>
      <c r="O64" s="5"/>
      <c r="P64" s="5"/>
      <c r="Q64" s="5"/>
      <c r="R64" s="5"/>
      <c r="S64" s="5"/>
      <c r="T64" s="5"/>
      <c r="U64" s="5"/>
      <c r="W64" s="129"/>
      <c r="X64" s="129"/>
      <c r="Y64" s="129"/>
      <c r="Z64" s="129"/>
      <c r="AA64" s="129"/>
      <c r="AB64" s="129"/>
      <c r="AC64" s="129"/>
      <c r="AD64" s="129"/>
      <c r="AE64" s="129"/>
    </row>
    <row r="65" spans="1:31" ht="15" customHeight="1" x14ac:dyDescent="0.25">
      <c r="A65" s="194"/>
      <c r="B65" s="4" t="s">
        <v>20</v>
      </c>
      <c r="C65" s="5">
        <v>13.18</v>
      </c>
      <c r="D65" s="5">
        <v>7.1779999999999999</v>
      </c>
      <c r="E65" s="5">
        <v>13.255000000000001</v>
      </c>
      <c r="F65" s="5">
        <v>20.396999999999998</v>
      </c>
      <c r="G65" s="5">
        <v>15.698</v>
      </c>
      <c r="H65" s="9" t="s">
        <v>153</v>
      </c>
      <c r="I65" s="9" t="s">
        <v>153</v>
      </c>
      <c r="J65" s="5">
        <v>22.004000000000001</v>
      </c>
      <c r="K65" s="5">
        <v>13.167999999999999</v>
      </c>
      <c r="M65" s="5"/>
      <c r="N65" s="5"/>
      <c r="O65" s="5"/>
      <c r="P65" s="5"/>
      <c r="Q65" s="5"/>
      <c r="R65" s="5"/>
      <c r="S65" s="5"/>
      <c r="T65" s="5"/>
      <c r="U65" s="5"/>
      <c r="W65" s="129"/>
      <c r="X65" s="129"/>
      <c r="Y65" s="129"/>
      <c r="Z65" s="129"/>
      <c r="AA65" s="129"/>
      <c r="AB65" s="129"/>
      <c r="AC65" s="129"/>
      <c r="AD65" s="129"/>
      <c r="AE65" s="129"/>
    </row>
    <row r="66" spans="1:31" ht="15" customHeight="1" x14ac:dyDescent="0.25">
      <c r="A66" s="194"/>
      <c r="B66" s="100" t="s">
        <v>12</v>
      </c>
      <c r="C66" s="101">
        <v>27.568999999999999</v>
      </c>
      <c r="D66" s="101">
        <v>8.5500000000000007</v>
      </c>
      <c r="E66" s="101">
        <v>36.009</v>
      </c>
      <c r="F66" s="101">
        <v>47.311999999999998</v>
      </c>
      <c r="G66" s="101">
        <v>31.067</v>
      </c>
      <c r="H66" s="101">
        <v>34.551000000000002</v>
      </c>
      <c r="I66" s="101">
        <v>48.253</v>
      </c>
      <c r="J66" s="101">
        <v>266.80700000000002</v>
      </c>
      <c r="K66" s="101">
        <v>29.334</v>
      </c>
      <c r="M66" s="101"/>
      <c r="N66" s="101"/>
      <c r="O66" s="101"/>
      <c r="P66" s="101"/>
      <c r="Q66" s="101"/>
      <c r="R66" s="101"/>
      <c r="S66" s="101"/>
      <c r="T66" s="101"/>
      <c r="U66" s="101"/>
      <c r="W66" s="129"/>
      <c r="X66" s="129"/>
      <c r="Y66" s="129"/>
      <c r="Z66" s="129"/>
      <c r="AA66" s="129"/>
      <c r="AB66" s="129"/>
      <c r="AC66" s="129"/>
      <c r="AD66" s="129"/>
      <c r="AE66" s="129"/>
    </row>
    <row r="67" spans="1:31" x14ac:dyDescent="0.25">
      <c r="A67" s="194" t="s">
        <v>364</v>
      </c>
      <c r="B67" s="4" t="s">
        <v>19</v>
      </c>
      <c r="C67" s="5">
        <v>188.32900000000001</v>
      </c>
      <c r="D67" s="5">
        <v>83.811000000000007</v>
      </c>
      <c r="E67" s="5">
        <v>264.38600000000002</v>
      </c>
      <c r="F67" s="5">
        <v>388.58300000000003</v>
      </c>
      <c r="G67" s="5">
        <v>304.60000000000002</v>
      </c>
      <c r="H67" s="5">
        <v>131.38399999999999</v>
      </c>
      <c r="I67" s="5">
        <v>438.55599999999998</v>
      </c>
      <c r="J67" s="5">
        <v>535.79300000000001</v>
      </c>
      <c r="K67" s="5">
        <v>254.15600000000001</v>
      </c>
      <c r="M67" s="5"/>
      <c r="N67" s="5"/>
      <c r="O67" s="5"/>
      <c r="P67" s="5"/>
      <c r="Q67" s="5"/>
      <c r="R67" s="5"/>
      <c r="S67" s="5"/>
      <c r="T67" s="5"/>
      <c r="U67" s="5"/>
      <c r="W67" s="129"/>
      <c r="X67" s="129"/>
      <c r="Y67" s="129"/>
      <c r="Z67" s="129"/>
      <c r="AA67" s="129"/>
      <c r="AB67" s="129"/>
      <c r="AC67" s="129"/>
      <c r="AD67" s="129"/>
      <c r="AE67" s="129"/>
    </row>
    <row r="68" spans="1:31" x14ac:dyDescent="0.25">
      <c r="A68" s="194"/>
      <c r="B68" s="4" t="s">
        <v>20</v>
      </c>
      <c r="C68" s="5">
        <v>13.356999999999999</v>
      </c>
      <c r="D68" s="5">
        <v>7.8639999999999999</v>
      </c>
      <c r="E68" s="5">
        <v>13.122999999999999</v>
      </c>
      <c r="F68" s="5">
        <v>19.073</v>
      </c>
      <c r="G68" s="5">
        <v>14.307</v>
      </c>
      <c r="H68" s="5">
        <v>27.317</v>
      </c>
      <c r="I68" s="5">
        <v>31.753</v>
      </c>
      <c r="J68" s="5">
        <v>16.055</v>
      </c>
      <c r="K68" s="5">
        <v>13.1</v>
      </c>
      <c r="M68" s="5"/>
      <c r="N68" s="5"/>
      <c r="O68" s="5"/>
      <c r="P68" s="5"/>
      <c r="Q68" s="5"/>
      <c r="R68" s="5"/>
      <c r="S68" s="5"/>
      <c r="T68" s="5"/>
      <c r="U68" s="5"/>
      <c r="W68" s="129"/>
      <c r="X68" s="129"/>
      <c r="Y68" s="129"/>
      <c r="Z68" s="129"/>
      <c r="AA68" s="129"/>
      <c r="AB68" s="129"/>
      <c r="AC68" s="129"/>
      <c r="AD68" s="129"/>
      <c r="AE68" s="129"/>
    </row>
    <row r="69" spans="1:31" x14ac:dyDescent="0.25">
      <c r="A69" s="194"/>
      <c r="B69" s="100" t="s">
        <v>12</v>
      </c>
      <c r="C69" s="101">
        <v>27.763999999999999</v>
      </c>
      <c r="D69" s="101">
        <v>9.5120000000000005</v>
      </c>
      <c r="E69" s="101">
        <v>35.445999999999998</v>
      </c>
      <c r="F69" s="101">
        <v>44.664000000000001</v>
      </c>
      <c r="G69" s="101">
        <v>30.391999999999999</v>
      </c>
      <c r="H69" s="101">
        <v>39.966999999999999</v>
      </c>
      <c r="I69" s="101">
        <v>44.908000000000001</v>
      </c>
      <c r="J69" s="101">
        <v>236.774</v>
      </c>
      <c r="K69" s="101">
        <v>29.568999999999999</v>
      </c>
      <c r="M69" s="101"/>
      <c r="N69" s="101"/>
      <c r="O69" s="101"/>
      <c r="P69" s="101"/>
      <c r="Q69" s="101"/>
      <c r="R69" s="101"/>
      <c r="S69" s="101"/>
      <c r="T69" s="101"/>
      <c r="U69" s="101"/>
      <c r="W69" s="129"/>
      <c r="X69" s="129"/>
      <c r="Y69" s="129"/>
      <c r="Z69" s="129"/>
      <c r="AA69" s="129"/>
      <c r="AB69" s="129"/>
      <c r="AC69" s="129"/>
      <c r="AD69" s="129"/>
      <c r="AE69" s="129"/>
    </row>
    <row r="70" spans="1:31" ht="2.25" customHeight="1" x14ac:dyDescent="0.25">
      <c r="A70" s="41"/>
      <c r="B70" s="55"/>
      <c r="C70" s="56"/>
      <c r="D70" s="56"/>
      <c r="E70" s="56"/>
      <c r="F70" s="56"/>
      <c r="G70" s="56"/>
      <c r="H70" s="56"/>
      <c r="I70" s="56"/>
      <c r="J70" s="56"/>
      <c r="K70" s="56"/>
    </row>
    <row r="71" spans="1:31" ht="11.1" customHeight="1" x14ac:dyDescent="0.25">
      <c r="A71" s="7" t="s">
        <v>23</v>
      </c>
      <c r="B71" s="7"/>
      <c r="C71" s="7"/>
      <c r="D71" s="7"/>
      <c r="E71" s="7"/>
      <c r="F71" s="7"/>
      <c r="G71" s="7"/>
      <c r="H71" s="7"/>
      <c r="I71" s="7"/>
      <c r="J71" s="7"/>
      <c r="K71" s="7"/>
    </row>
    <row r="72" spans="1:31" s="7" customFormat="1" ht="11.1" customHeight="1" x14ac:dyDescent="0.15">
      <c r="A72" s="7" t="s">
        <v>39</v>
      </c>
    </row>
    <row r="73" spans="1:31" s="7" customFormat="1" ht="11.1" customHeight="1" x14ac:dyDescent="0.15">
      <c r="A73" s="7" t="s">
        <v>35</v>
      </c>
    </row>
    <row r="74" spans="1:31" s="7" customFormat="1" ht="11.1" customHeight="1" x14ac:dyDescent="0.15">
      <c r="A74" s="7" t="s">
        <v>246</v>
      </c>
    </row>
    <row r="75" spans="1:31" s="7" customFormat="1" ht="11.1" customHeight="1" x14ac:dyDescent="0.15">
      <c r="A75" s="7" t="s">
        <v>247</v>
      </c>
    </row>
    <row r="76" spans="1:31" s="7" customFormat="1" ht="11.1" customHeight="1" x14ac:dyDescent="0.15">
      <c r="A76" s="7" t="s">
        <v>366</v>
      </c>
    </row>
    <row r="77" spans="1:31" s="7" customFormat="1" ht="11.1" customHeight="1" x14ac:dyDescent="0.15"/>
    <row r="78" spans="1:31" s="7" customFormat="1" ht="11.1" customHeight="1" x14ac:dyDescent="0.15">
      <c r="A78" s="7" t="s">
        <v>243</v>
      </c>
    </row>
    <row r="79" spans="1:31" ht="12" customHeight="1" x14ac:dyDescent="0.25">
      <c r="A79" s="2"/>
    </row>
    <row r="88" spans="9:9" x14ac:dyDescent="0.25">
      <c r="I88" s="5"/>
    </row>
    <row r="89" spans="9:9" x14ac:dyDescent="0.25">
      <c r="I89" s="5"/>
    </row>
    <row r="90" spans="9:9" x14ac:dyDescent="0.25">
      <c r="I90" s="5"/>
    </row>
    <row r="91" spans="9:9" x14ac:dyDescent="0.25">
      <c r="I91" s="5"/>
    </row>
    <row r="92" spans="9:9" x14ac:dyDescent="0.25">
      <c r="I92" s="5"/>
    </row>
    <row r="93" spans="9:9" x14ac:dyDescent="0.25">
      <c r="I93" s="5"/>
    </row>
    <row r="121" spans="9:9" x14ac:dyDescent="0.25">
      <c r="I121" s="1" t="s">
        <v>39</v>
      </c>
    </row>
    <row r="123" spans="9:9" x14ac:dyDescent="0.25">
      <c r="I123" s="1" t="s">
        <v>35</v>
      </c>
    </row>
    <row r="125" spans="9:9" x14ac:dyDescent="0.25">
      <c r="I125" s="1" t="s">
        <v>36</v>
      </c>
    </row>
    <row r="127" spans="9:9" x14ac:dyDescent="0.25">
      <c r="I127" s="1" t="s">
        <v>242</v>
      </c>
    </row>
  </sheetData>
  <mergeCells count="19">
    <mergeCell ref="A1:L1"/>
    <mergeCell ref="A4:A6"/>
    <mergeCell ref="A7:A9"/>
    <mergeCell ref="A40:L40"/>
    <mergeCell ref="A10:A12"/>
    <mergeCell ref="A13:A15"/>
    <mergeCell ref="A16:A18"/>
    <mergeCell ref="A19:A21"/>
    <mergeCell ref="A22:A24"/>
    <mergeCell ref="A25:A27"/>
    <mergeCell ref="A67:A69"/>
    <mergeCell ref="A58:A60"/>
    <mergeCell ref="A61:A63"/>
    <mergeCell ref="A64:A66"/>
    <mergeCell ref="A43:A45"/>
    <mergeCell ref="A46:A48"/>
    <mergeCell ref="A49:A51"/>
    <mergeCell ref="A52:A54"/>
    <mergeCell ref="A55:A57"/>
  </mergeCells>
  <pageMargins left="0.08" right="0.08" top="1" bottom="1" header="0.5" footer="0.5"/>
  <pageSetup orientation="landscape" blackAndWhite="1"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105"/>
  <sheetViews>
    <sheetView zoomScaleNormal="100" workbookViewId="0">
      <selection sqref="A1:L1"/>
    </sheetView>
  </sheetViews>
  <sheetFormatPr defaultColWidth="9.140625" defaultRowHeight="15" x14ac:dyDescent="0.25"/>
  <cols>
    <col min="1" max="10" width="11.42578125" style="1" bestFit="1" customWidth="1"/>
    <col min="11" max="11" width="10.140625" style="1" customWidth="1"/>
    <col min="12" max="12" width="11" style="1" customWidth="1"/>
    <col min="13" max="14" width="11.42578125" style="1" bestFit="1" customWidth="1"/>
    <col min="15" max="15" width="18.85546875" style="1" bestFit="1" customWidth="1"/>
    <col min="16" max="16384" width="9.140625" style="1"/>
  </cols>
  <sheetData>
    <row r="1" spans="1:25" ht="24.75" customHeight="1" x14ac:dyDescent="0.25">
      <c r="A1" s="190" t="s">
        <v>369</v>
      </c>
      <c r="B1" s="190"/>
      <c r="C1" s="190"/>
      <c r="D1" s="190"/>
      <c r="E1" s="190"/>
      <c r="F1" s="190"/>
      <c r="G1" s="190"/>
      <c r="H1" s="190"/>
      <c r="I1" s="190"/>
      <c r="J1" s="190"/>
      <c r="K1" s="190"/>
      <c r="L1" s="190"/>
    </row>
    <row r="2" spans="1:25" ht="2.25" customHeight="1" x14ac:dyDescent="0.25">
      <c r="A2" s="2"/>
    </row>
    <row r="3" spans="1:25" ht="23.25" x14ac:dyDescent="0.25">
      <c r="A3" s="35" t="s">
        <v>160</v>
      </c>
      <c r="B3" s="35" t="s">
        <v>157</v>
      </c>
      <c r="C3" s="3" t="s">
        <v>1</v>
      </c>
      <c r="D3" s="3" t="s">
        <v>2</v>
      </c>
      <c r="E3" s="3" t="s">
        <v>3</v>
      </c>
      <c r="F3" s="3" t="s">
        <v>4</v>
      </c>
      <c r="G3" s="3" t="s">
        <v>5</v>
      </c>
      <c r="H3" s="3" t="s">
        <v>6</v>
      </c>
      <c r="I3" s="3" t="s">
        <v>7</v>
      </c>
      <c r="J3" s="3" t="s">
        <v>8</v>
      </c>
      <c r="K3" s="3" t="s">
        <v>220</v>
      </c>
      <c r="L3" s="3" t="s">
        <v>9</v>
      </c>
    </row>
    <row r="4" spans="1:25" x14ac:dyDescent="0.25">
      <c r="A4" s="194" t="s">
        <v>211</v>
      </c>
      <c r="B4" s="4" t="s">
        <v>18</v>
      </c>
      <c r="C4" s="5">
        <v>1067.5999999999999</v>
      </c>
      <c r="D4" s="5">
        <v>565.70000000000005</v>
      </c>
      <c r="E4" s="5">
        <v>1006.8</v>
      </c>
      <c r="F4" s="5">
        <v>578.4</v>
      </c>
      <c r="G4" s="5">
        <v>212.7</v>
      </c>
      <c r="H4" s="5">
        <v>69.5</v>
      </c>
      <c r="I4" s="5">
        <v>46.1</v>
      </c>
      <c r="J4" s="5">
        <v>124.3</v>
      </c>
      <c r="K4" s="5">
        <v>3546.7</v>
      </c>
      <c r="L4" s="5">
        <v>3671</v>
      </c>
      <c r="M4" s="5"/>
      <c r="N4" s="5"/>
      <c r="O4" s="5"/>
      <c r="P4" s="5"/>
      <c r="Q4" s="5"/>
      <c r="R4" s="5"/>
      <c r="S4" s="5"/>
      <c r="T4" s="5"/>
      <c r="U4" s="5"/>
      <c r="V4" s="5"/>
      <c r="W4" s="5"/>
      <c r="Y4" s="129"/>
    </row>
    <row r="5" spans="1:25" x14ac:dyDescent="0.25">
      <c r="A5" s="194"/>
      <c r="B5" s="4" t="s">
        <v>22</v>
      </c>
      <c r="C5" s="5">
        <v>243.6</v>
      </c>
      <c r="D5" s="5">
        <v>110.8</v>
      </c>
      <c r="E5" s="5">
        <v>292.5</v>
      </c>
      <c r="F5" s="5">
        <v>101.3</v>
      </c>
      <c r="G5" s="5">
        <v>45.7</v>
      </c>
      <c r="H5" s="5">
        <v>14.3</v>
      </c>
      <c r="I5" s="5">
        <v>15.8</v>
      </c>
      <c r="J5" s="5">
        <v>27.8</v>
      </c>
      <c r="K5" s="5">
        <v>824</v>
      </c>
      <c r="L5" s="5">
        <v>851.9</v>
      </c>
      <c r="M5" s="5"/>
      <c r="N5" s="5"/>
      <c r="O5" s="5"/>
      <c r="P5" s="5"/>
      <c r="Q5" s="5"/>
      <c r="R5" s="5"/>
      <c r="S5" s="5"/>
      <c r="T5" s="5"/>
      <c r="U5" s="5"/>
      <c r="V5" s="5"/>
      <c r="W5" s="5"/>
    </row>
    <row r="6" spans="1:25" x14ac:dyDescent="0.25">
      <c r="A6" s="194"/>
      <c r="B6" s="4" t="s">
        <v>21</v>
      </c>
      <c r="C6" s="5" t="s">
        <v>146</v>
      </c>
      <c r="D6" s="5" t="s">
        <v>146</v>
      </c>
      <c r="E6" s="5">
        <v>1</v>
      </c>
      <c r="F6" s="5">
        <v>0.1</v>
      </c>
      <c r="G6" s="5" t="s">
        <v>146</v>
      </c>
      <c r="H6" s="5" t="s">
        <v>146</v>
      </c>
      <c r="I6" s="5" t="s">
        <v>146</v>
      </c>
      <c r="J6" s="5" t="s">
        <v>146</v>
      </c>
      <c r="K6" s="5">
        <v>1</v>
      </c>
      <c r="L6" s="5">
        <v>1</v>
      </c>
      <c r="M6" s="5"/>
      <c r="N6" s="5"/>
      <c r="O6" s="5"/>
      <c r="P6" s="5"/>
      <c r="Q6" s="5"/>
      <c r="R6" s="5"/>
      <c r="S6" s="5"/>
      <c r="T6" s="5"/>
      <c r="U6" s="5"/>
      <c r="V6" s="5"/>
      <c r="W6" s="5"/>
    </row>
    <row r="7" spans="1:25" x14ac:dyDescent="0.25">
      <c r="A7" s="194"/>
      <c r="B7" s="100" t="s">
        <v>12</v>
      </c>
      <c r="C7" s="101">
        <v>1311.2</v>
      </c>
      <c r="D7" s="101">
        <v>676.5</v>
      </c>
      <c r="E7" s="101">
        <v>1300.3</v>
      </c>
      <c r="F7" s="101">
        <v>679.8</v>
      </c>
      <c r="G7" s="101">
        <v>258.39999999999998</v>
      </c>
      <c r="H7" s="101">
        <v>83.8</v>
      </c>
      <c r="I7" s="101">
        <v>61.8</v>
      </c>
      <c r="J7" s="101">
        <v>152.1</v>
      </c>
      <c r="K7" s="101">
        <v>4371.8</v>
      </c>
      <c r="L7" s="101">
        <v>4523.8999999999996</v>
      </c>
      <c r="M7" s="5"/>
      <c r="N7" s="101"/>
      <c r="O7" s="101"/>
      <c r="P7" s="101"/>
      <c r="Q7" s="101"/>
      <c r="R7" s="101"/>
      <c r="S7" s="101"/>
      <c r="T7" s="101"/>
      <c r="U7" s="101"/>
      <c r="V7" s="101"/>
      <c r="W7" s="101"/>
    </row>
    <row r="8" spans="1:25" x14ac:dyDescent="0.25">
      <c r="A8" s="194" t="s">
        <v>212</v>
      </c>
      <c r="B8" s="4" t="s">
        <v>18</v>
      </c>
      <c r="C8" s="5">
        <v>965.9</v>
      </c>
      <c r="D8" s="5">
        <v>522.9</v>
      </c>
      <c r="E8" s="5">
        <v>966.6</v>
      </c>
      <c r="F8" s="5">
        <v>575.70000000000005</v>
      </c>
      <c r="G8" s="5">
        <v>207.6</v>
      </c>
      <c r="H8" s="5">
        <v>65.599999999999994</v>
      </c>
      <c r="I8" s="5">
        <v>48.4</v>
      </c>
      <c r="J8" s="5">
        <v>122.3</v>
      </c>
      <c r="K8" s="5">
        <v>3352.8</v>
      </c>
      <c r="L8" s="5">
        <v>3475.1</v>
      </c>
      <c r="M8" s="5"/>
      <c r="N8" s="5"/>
      <c r="O8" s="5"/>
      <c r="P8" s="5"/>
      <c r="Q8" s="5"/>
      <c r="R8" s="5"/>
      <c r="S8" s="5"/>
      <c r="T8" s="5"/>
      <c r="U8" s="5"/>
      <c r="V8" s="5"/>
      <c r="W8" s="5"/>
    </row>
    <row r="9" spans="1:25" x14ac:dyDescent="0.25">
      <c r="A9" s="194"/>
      <c r="B9" s="4" t="s">
        <v>22</v>
      </c>
      <c r="C9" s="5">
        <v>232</v>
      </c>
      <c r="D9" s="5">
        <v>111.3</v>
      </c>
      <c r="E9" s="5">
        <v>307.60000000000002</v>
      </c>
      <c r="F9" s="5">
        <v>99.3</v>
      </c>
      <c r="G9" s="5">
        <v>53.5</v>
      </c>
      <c r="H9" s="5">
        <v>20</v>
      </c>
      <c r="I9" s="5">
        <v>14.2</v>
      </c>
      <c r="J9" s="5">
        <v>30.1</v>
      </c>
      <c r="K9" s="5">
        <v>838</v>
      </c>
      <c r="L9" s="5">
        <v>868.1</v>
      </c>
      <c r="M9" s="5"/>
      <c r="N9" s="5"/>
      <c r="O9" s="5"/>
      <c r="P9" s="5"/>
      <c r="Q9" s="5"/>
      <c r="R9" s="5"/>
      <c r="S9" s="5"/>
      <c r="T9" s="5"/>
      <c r="U9" s="5"/>
      <c r="V9" s="5"/>
      <c r="W9" s="5"/>
    </row>
    <row r="10" spans="1:25" x14ac:dyDescent="0.25">
      <c r="A10" s="194"/>
      <c r="B10" s="4" t="s">
        <v>21</v>
      </c>
      <c r="C10" s="5" t="s">
        <v>146</v>
      </c>
      <c r="D10" s="5" t="s">
        <v>146</v>
      </c>
      <c r="E10" s="5" t="s">
        <v>146</v>
      </c>
      <c r="F10" s="5" t="s">
        <v>146</v>
      </c>
      <c r="G10" s="5" t="s">
        <v>146</v>
      </c>
      <c r="H10" s="5" t="s">
        <v>146</v>
      </c>
      <c r="I10" s="5" t="s">
        <v>146</v>
      </c>
      <c r="J10" s="5" t="s">
        <v>146</v>
      </c>
      <c r="K10" s="5" t="s">
        <v>146</v>
      </c>
      <c r="L10" s="5" t="s">
        <v>146</v>
      </c>
      <c r="M10" s="5"/>
      <c r="N10" s="5"/>
      <c r="O10" s="5"/>
      <c r="P10" s="5"/>
      <c r="Q10" s="5"/>
      <c r="R10" s="5"/>
      <c r="S10" s="5"/>
      <c r="T10" s="5"/>
      <c r="U10" s="5"/>
      <c r="V10" s="5"/>
      <c r="W10" s="5"/>
    </row>
    <row r="11" spans="1:25" x14ac:dyDescent="0.25">
      <c r="A11" s="194"/>
      <c r="B11" s="100" t="s">
        <v>12</v>
      </c>
      <c r="C11" s="101">
        <v>1197.9000000000001</v>
      </c>
      <c r="D11" s="101">
        <v>634.20000000000005</v>
      </c>
      <c r="E11" s="101">
        <v>1274.3</v>
      </c>
      <c r="F11" s="101">
        <v>675</v>
      </c>
      <c r="G11" s="101">
        <v>261.10000000000002</v>
      </c>
      <c r="H11" s="101">
        <v>85.6</v>
      </c>
      <c r="I11" s="101">
        <v>62.7</v>
      </c>
      <c r="J11" s="101">
        <v>152.30000000000001</v>
      </c>
      <c r="K11" s="101">
        <v>4190.8</v>
      </c>
      <c r="L11" s="101">
        <v>4343.2</v>
      </c>
      <c r="M11" s="5"/>
      <c r="N11" s="101"/>
      <c r="O11" s="101"/>
      <c r="P11" s="101"/>
      <c r="Q11" s="101"/>
      <c r="R11" s="101"/>
      <c r="S11" s="101"/>
      <c r="T11" s="101"/>
      <c r="U11" s="101"/>
      <c r="V11" s="101"/>
      <c r="W11" s="101"/>
    </row>
    <row r="12" spans="1:25" x14ac:dyDescent="0.25">
      <c r="A12" s="194" t="s">
        <v>213</v>
      </c>
      <c r="B12" s="4" t="s">
        <v>18</v>
      </c>
      <c r="C12" s="5">
        <v>936.2</v>
      </c>
      <c r="D12" s="5">
        <v>517</v>
      </c>
      <c r="E12" s="5">
        <v>1101</v>
      </c>
      <c r="F12" s="5">
        <v>580</v>
      </c>
      <c r="G12" s="5">
        <v>186.7</v>
      </c>
      <c r="H12" s="5">
        <v>75</v>
      </c>
      <c r="I12" s="5">
        <v>62.6</v>
      </c>
      <c r="J12" s="5">
        <v>117.8</v>
      </c>
      <c r="K12" s="5">
        <v>3458.5</v>
      </c>
      <c r="L12" s="5">
        <v>3576.4</v>
      </c>
      <c r="M12" s="5"/>
      <c r="N12" s="5"/>
      <c r="O12" s="5"/>
      <c r="P12" s="5"/>
      <c r="Q12" s="5"/>
      <c r="R12" s="5"/>
      <c r="S12" s="5"/>
      <c r="T12" s="5"/>
      <c r="U12" s="5"/>
      <c r="V12" s="5"/>
      <c r="W12" s="5"/>
    </row>
    <row r="13" spans="1:25" x14ac:dyDescent="0.25">
      <c r="A13" s="194"/>
      <c r="B13" s="4" t="s">
        <v>22</v>
      </c>
      <c r="C13" s="5">
        <v>241.5</v>
      </c>
      <c r="D13" s="5">
        <v>107.4</v>
      </c>
      <c r="E13" s="5">
        <v>335.1</v>
      </c>
      <c r="F13" s="5">
        <v>98.6</v>
      </c>
      <c r="G13" s="5">
        <v>36.4</v>
      </c>
      <c r="H13" s="5">
        <v>28.6</v>
      </c>
      <c r="I13" s="5">
        <v>23.8</v>
      </c>
      <c r="J13" s="5">
        <v>21.5</v>
      </c>
      <c r="K13" s="5">
        <v>871.5</v>
      </c>
      <c r="L13" s="5">
        <v>893</v>
      </c>
      <c r="M13" s="5"/>
      <c r="N13" s="5"/>
      <c r="O13" s="5"/>
      <c r="P13" s="5"/>
      <c r="Q13" s="5"/>
      <c r="R13" s="5"/>
      <c r="S13" s="5"/>
      <c r="T13" s="5"/>
      <c r="U13" s="5"/>
      <c r="V13" s="5"/>
      <c r="W13" s="5"/>
    </row>
    <row r="14" spans="1:25" x14ac:dyDescent="0.25">
      <c r="A14" s="194"/>
      <c r="B14" s="4" t="s">
        <v>21</v>
      </c>
      <c r="C14" s="5" t="s">
        <v>146</v>
      </c>
      <c r="D14" s="5" t="s">
        <v>146</v>
      </c>
      <c r="E14" s="5">
        <v>0.2</v>
      </c>
      <c r="F14" s="5" t="s">
        <v>146</v>
      </c>
      <c r="G14" s="5" t="s">
        <v>146</v>
      </c>
      <c r="H14" s="5" t="s">
        <v>146</v>
      </c>
      <c r="I14" s="5" t="s">
        <v>146</v>
      </c>
      <c r="J14" s="5" t="s">
        <v>146</v>
      </c>
      <c r="K14" s="5">
        <v>0.2</v>
      </c>
      <c r="L14" s="5">
        <v>0.2</v>
      </c>
      <c r="M14" s="5"/>
      <c r="N14" s="5"/>
      <c r="O14" s="5"/>
      <c r="P14" s="5"/>
      <c r="Q14" s="5"/>
      <c r="R14" s="5"/>
      <c r="S14" s="5"/>
      <c r="T14" s="5"/>
      <c r="U14" s="5"/>
      <c r="V14" s="5"/>
      <c r="W14" s="5"/>
    </row>
    <row r="15" spans="1:25" x14ac:dyDescent="0.25">
      <c r="A15" s="194"/>
      <c r="B15" s="100" t="s">
        <v>12</v>
      </c>
      <c r="C15" s="101">
        <v>1177.7</v>
      </c>
      <c r="D15" s="101">
        <v>624.4</v>
      </c>
      <c r="E15" s="101">
        <v>1436.4</v>
      </c>
      <c r="F15" s="101">
        <v>678.6</v>
      </c>
      <c r="G15" s="101">
        <v>223.1</v>
      </c>
      <c r="H15" s="101">
        <v>103.6</v>
      </c>
      <c r="I15" s="101">
        <v>86.5</v>
      </c>
      <c r="J15" s="101">
        <v>139.30000000000001</v>
      </c>
      <c r="K15" s="101">
        <v>4330.3</v>
      </c>
      <c r="L15" s="101">
        <v>4469.5</v>
      </c>
      <c r="M15" s="5"/>
      <c r="N15" s="101"/>
      <c r="O15" s="101"/>
      <c r="P15" s="101"/>
      <c r="Q15" s="101"/>
      <c r="R15" s="101"/>
      <c r="S15" s="101"/>
      <c r="T15" s="101"/>
      <c r="U15" s="101"/>
      <c r="V15" s="101"/>
      <c r="W15" s="101"/>
    </row>
    <row r="16" spans="1:25" x14ac:dyDescent="0.25">
      <c r="A16" s="194" t="s">
        <v>214</v>
      </c>
      <c r="B16" s="4" t="s">
        <v>18</v>
      </c>
      <c r="C16" s="5">
        <v>911</v>
      </c>
      <c r="D16" s="5">
        <v>483.4</v>
      </c>
      <c r="E16" s="5">
        <v>1128.9000000000001</v>
      </c>
      <c r="F16" s="5">
        <v>546.1</v>
      </c>
      <c r="G16" s="5">
        <v>163.5</v>
      </c>
      <c r="H16" s="5">
        <v>90.1</v>
      </c>
      <c r="I16" s="5">
        <v>47.2</v>
      </c>
      <c r="J16" s="5">
        <v>122.4</v>
      </c>
      <c r="K16" s="5">
        <v>3370.2</v>
      </c>
      <c r="L16" s="5">
        <v>3492.6</v>
      </c>
      <c r="M16" s="5"/>
      <c r="N16" s="5"/>
      <c r="O16" s="5"/>
      <c r="P16" s="5"/>
      <c r="Q16" s="5"/>
      <c r="R16" s="5"/>
      <c r="S16" s="5"/>
      <c r="T16" s="5"/>
      <c r="U16" s="5"/>
      <c r="V16" s="5"/>
      <c r="W16" s="5"/>
    </row>
    <row r="17" spans="1:23" x14ac:dyDescent="0.25">
      <c r="A17" s="194"/>
      <c r="B17" s="4" t="s">
        <v>22</v>
      </c>
      <c r="C17" s="5">
        <v>266.2</v>
      </c>
      <c r="D17" s="5">
        <v>105.3</v>
      </c>
      <c r="E17" s="5">
        <v>363.8</v>
      </c>
      <c r="F17" s="5">
        <v>121.7</v>
      </c>
      <c r="G17" s="5">
        <v>29.3</v>
      </c>
      <c r="H17" s="5">
        <v>29.7</v>
      </c>
      <c r="I17" s="5">
        <v>15</v>
      </c>
      <c r="J17" s="5">
        <v>20</v>
      </c>
      <c r="K17" s="5">
        <v>931</v>
      </c>
      <c r="L17" s="5">
        <v>951</v>
      </c>
      <c r="M17" s="5"/>
      <c r="N17" s="5"/>
      <c r="O17" s="5"/>
      <c r="P17" s="5"/>
      <c r="Q17" s="5"/>
      <c r="R17" s="5"/>
      <c r="S17" s="5"/>
      <c r="T17" s="5"/>
      <c r="U17" s="5"/>
      <c r="V17" s="5"/>
      <c r="W17" s="5"/>
    </row>
    <row r="18" spans="1:23" x14ac:dyDescent="0.25">
      <c r="A18" s="194"/>
      <c r="B18" s="4" t="s">
        <v>21</v>
      </c>
      <c r="C18" s="5" t="s">
        <v>146</v>
      </c>
      <c r="D18" s="5">
        <v>0.3</v>
      </c>
      <c r="E18" s="5">
        <v>0.1</v>
      </c>
      <c r="F18" s="5">
        <v>0.3</v>
      </c>
      <c r="G18" s="5" t="s">
        <v>146</v>
      </c>
      <c r="H18" s="5" t="s">
        <v>146</v>
      </c>
      <c r="I18" s="5" t="s">
        <v>146</v>
      </c>
      <c r="J18" s="5" t="s">
        <v>146</v>
      </c>
      <c r="K18" s="5">
        <v>0.7</v>
      </c>
      <c r="L18" s="5">
        <v>0.7</v>
      </c>
      <c r="M18" s="5"/>
      <c r="N18" s="5"/>
      <c r="O18" s="5"/>
      <c r="P18" s="5"/>
      <c r="Q18" s="5"/>
      <c r="R18" s="5"/>
      <c r="S18" s="5"/>
      <c r="T18" s="5"/>
      <c r="U18" s="5"/>
      <c r="V18" s="5"/>
      <c r="W18" s="5"/>
    </row>
    <row r="19" spans="1:23" x14ac:dyDescent="0.25">
      <c r="A19" s="194"/>
      <c r="B19" s="100" t="s">
        <v>12</v>
      </c>
      <c r="C19" s="101">
        <v>1177.0999999999999</v>
      </c>
      <c r="D19" s="101">
        <v>589</v>
      </c>
      <c r="E19" s="101">
        <v>1492.8</v>
      </c>
      <c r="F19" s="101">
        <v>668.1</v>
      </c>
      <c r="G19" s="101">
        <v>192.8</v>
      </c>
      <c r="H19" s="101">
        <v>119.8</v>
      </c>
      <c r="I19" s="101">
        <v>62.2</v>
      </c>
      <c r="J19" s="101">
        <v>142.4</v>
      </c>
      <c r="K19" s="101">
        <v>4301.8999999999996</v>
      </c>
      <c r="L19" s="101">
        <v>4444.2</v>
      </c>
      <c r="M19" s="5"/>
      <c r="N19" s="101"/>
      <c r="O19" s="101"/>
      <c r="P19" s="101"/>
      <c r="Q19" s="101"/>
      <c r="R19" s="101"/>
      <c r="S19" s="101"/>
      <c r="T19" s="101"/>
      <c r="U19" s="101"/>
      <c r="V19" s="101"/>
      <c r="W19" s="101"/>
    </row>
    <row r="20" spans="1:23" x14ac:dyDescent="0.25">
      <c r="A20" s="194" t="s">
        <v>215</v>
      </c>
      <c r="B20" s="4" t="s">
        <v>18</v>
      </c>
      <c r="C20" s="5">
        <v>887.5</v>
      </c>
      <c r="D20" s="5">
        <v>444.5</v>
      </c>
      <c r="E20" s="5">
        <v>938.4</v>
      </c>
      <c r="F20" s="5">
        <v>480.4</v>
      </c>
      <c r="G20" s="5">
        <v>168.4</v>
      </c>
      <c r="H20" s="5">
        <v>85.1</v>
      </c>
      <c r="I20" s="5">
        <v>47.3</v>
      </c>
      <c r="J20" s="5">
        <v>113</v>
      </c>
      <c r="K20" s="5">
        <v>3051.5</v>
      </c>
      <c r="L20" s="5">
        <v>3164.5</v>
      </c>
      <c r="M20" s="5"/>
      <c r="N20" s="5"/>
      <c r="O20" s="5"/>
      <c r="P20" s="5"/>
      <c r="Q20" s="5"/>
      <c r="R20" s="5"/>
      <c r="S20" s="5"/>
      <c r="T20" s="5"/>
      <c r="U20" s="5"/>
      <c r="V20" s="5"/>
      <c r="W20" s="5"/>
    </row>
    <row r="21" spans="1:23" x14ac:dyDescent="0.25">
      <c r="A21" s="194"/>
      <c r="B21" s="4" t="s">
        <v>22</v>
      </c>
      <c r="C21" s="5">
        <v>241</v>
      </c>
      <c r="D21" s="5">
        <v>107.8</v>
      </c>
      <c r="E21" s="5">
        <v>328.6</v>
      </c>
      <c r="F21" s="5">
        <v>118.2</v>
      </c>
      <c r="G21" s="5">
        <v>33.299999999999997</v>
      </c>
      <c r="H21" s="5">
        <v>29.3</v>
      </c>
      <c r="I21" s="5">
        <v>16.2</v>
      </c>
      <c r="J21" s="5">
        <v>17.5</v>
      </c>
      <c r="K21" s="5">
        <v>874.5</v>
      </c>
      <c r="L21" s="5">
        <v>892</v>
      </c>
      <c r="M21" s="5"/>
      <c r="N21" s="5"/>
      <c r="O21" s="5"/>
      <c r="P21" s="5"/>
      <c r="Q21" s="5"/>
      <c r="R21" s="5"/>
      <c r="S21" s="5"/>
      <c r="T21" s="5"/>
      <c r="U21" s="5"/>
      <c r="V21" s="5"/>
      <c r="W21" s="5"/>
    </row>
    <row r="22" spans="1:23" x14ac:dyDescent="0.25">
      <c r="A22" s="194"/>
      <c r="B22" s="4" t="s">
        <v>21</v>
      </c>
      <c r="C22" s="5">
        <v>0.6</v>
      </c>
      <c r="D22" s="5">
        <v>0.1</v>
      </c>
      <c r="E22" s="5">
        <v>0.4</v>
      </c>
      <c r="F22" s="5">
        <v>0.6</v>
      </c>
      <c r="G22" s="5" t="s">
        <v>146</v>
      </c>
      <c r="H22" s="5" t="s">
        <v>146</v>
      </c>
      <c r="I22" s="5" t="s">
        <v>146</v>
      </c>
      <c r="J22" s="5" t="s">
        <v>146</v>
      </c>
      <c r="K22" s="5">
        <v>1.7</v>
      </c>
      <c r="L22" s="5">
        <v>1.7</v>
      </c>
      <c r="M22" s="5"/>
      <c r="N22" s="5"/>
      <c r="O22" s="5"/>
      <c r="P22" s="5"/>
      <c r="Q22" s="5"/>
      <c r="R22" s="5"/>
      <c r="S22" s="5"/>
      <c r="T22" s="5"/>
      <c r="U22" s="5"/>
      <c r="V22" s="5"/>
      <c r="W22" s="5"/>
    </row>
    <row r="23" spans="1:23" x14ac:dyDescent="0.25">
      <c r="A23" s="194"/>
      <c r="B23" s="100" t="s">
        <v>12</v>
      </c>
      <c r="C23" s="101">
        <v>1129.0999999999999</v>
      </c>
      <c r="D23" s="101">
        <v>552.4</v>
      </c>
      <c r="E23" s="101">
        <v>1267.4000000000001</v>
      </c>
      <c r="F23" s="101">
        <v>599.20000000000005</v>
      </c>
      <c r="G23" s="101">
        <v>201.7</v>
      </c>
      <c r="H23" s="101">
        <v>114.4</v>
      </c>
      <c r="I23" s="101">
        <v>63.5</v>
      </c>
      <c r="J23" s="101">
        <v>130.5</v>
      </c>
      <c r="K23" s="101">
        <v>3927.7</v>
      </c>
      <c r="L23" s="101">
        <v>4058.2</v>
      </c>
      <c r="M23" s="5"/>
      <c r="N23" s="101"/>
      <c r="O23" s="101"/>
      <c r="P23" s="101"/>
      <c r="Q23" s="101"/>
      <c r="R23" s="101"/>
      <c r="S23" s="101"/>
      <c r="T23" s="101"/>
      <c r="U23" s="101"/>
      <c r="V23" s="101"/>
      <c r="W23" s="101"/>
    </row>
    <row r="24" spans="1:23" x14ac:dyDescent="0.25">
      <c r="A24" s="194" t="s">
        <v>216</v>
      </c>
      <c r="B24" s="4" t="s">
        <v>18</v>
      </c>
      <c r="C24" s="5">
        <v>840.6</v>
      </c>
      <c r="D24" s="5">
        <v>377.8</v>
      </c>
      <c r="E24" s="5">
        <v>858.6</v>
      </c>
      <c r="F24" s="5">
        <v>375.8</v>
      </c>
      <c r="G24" s="5">
        <v>127.8</v>
      </c>
      <c r="H24" s="5">
        <v>59.3</v>
      </c>
      <c r="I24" s="5">
        <v>40.799999999999997</v>
      </c>
      <c r="J24" s="5">
        <v>88.9</v>
      </c>
      <c r="K24" s="5">
        <v>2680.8</v>
      </c>
      <c r="L24" s="5">
        <v>2769.7</v>
      </c>
      <c r="M24" s="5"/>
      <c r="N24" s="5"/>
      <c r="O24" s="5"/>
      <c r="P24" s="5"/>
      <c r="Q24" s="5"/>
      <c r="R24" s="5"/>
      <c r="S24" s="5"/>
      <c r="T24" s="5"/>
      <c r="U24" s="5"/>
      <c r="V24" s="5"/>
      <c r="W24" s="5"/>
    </row>
    <row r="25" spans="1:23" x14ac:dyDescent="0.25">
      <c r="A25" s="194"/>
      <c r="B25" s="4" t="s">
        <v>22</v>
      </c>
      <c r="C25" s="5">
        <v>202.6</v>
      </c>
      <c r="D25" s="5">
        <v>73.3</v>
      </c>
      <c r="E25" s="5">
        <v>274.3</v>
      </c>
      <c r="F25" s="5">
        <v>77.7</v>
      </c>
      <c r="G25" s="5">
        <v>34.1</v>
      </c>
      <c r="H25" s="5">
        <v>20.8</v>
      </c>
      <c r="I25" s="5">
        <v>15.2</v>
      </c>
      <c r="J25" s="5">
        <v>13.2</v>
      </c>
      <c r="K25" s="5">
        <v>698.1</v>
      </c>
      <c r="L25" s="5">
        <v>711.3</v>
      </c>
      <c r="M25" s="5"/>
      <c r="N25" s="5"/>
      <c r="O25" s="5"/>
      <c r="P25" s="5"/>
      <c r="Q25" s="5"/>
      <c r="R25" s="5"/>
      <c r="S25" s="5"/>
      <c r="T25" s="5"/>
      <c r="U25" s="5"/>
      <c r="V25" s="5"/>
      <c r="W25" s="5"/>
    </row>
    <row r="26" spans="1:23" x14ac:dyDescent="0.25">
      <c r="A26" s="194"/>
      <c r="B26" s="4" t="s">
        <v>21</v>
      </c>
      <c r="C26" s="5">
        <v>1</v>
      </c>
      <c r="D26" s="5" t="s">
        <v>146</v>
      </c>
      <c r="E26" s="5" t="s">
        <v>146</v>
      </c>
      <c r="F26" s="5" t="s">
        <v>146</v>
      </c>
      <c r="G26" s="5" t="s">
        <v>146</v>
      </c>
      <c r="H26" s="5" t="s">
        <v>146</v>
      </c>
      <c r="I26" s="5" t="s">
        <v>146</v>
      </c>
      <c r="J26" s="5" t="s">
        <v>146</v>
      </c>
      <c r="K26" s="5">
        <v>1</v>
      </c>
      <c r="L26" s="5">
        <v>1</v>
      </c>
      <c r="M26" s="5"/>
      <c r="N26" s="5"/>
      <c r="O26" s="5"/>
      <c r="P26" s="5"/>
      <c r="Q26" s="5"/>
      <c r="R26" s="5"/>
      <c r="S26" s="5"/>
      <c r="T26" s="5"/>
      <c r="U26" s="5"/>
      <c r="V26" s="5"/>
      <c r="W26" s="5"/>
    </row>
    <row r="27" spans="1:23" x14ac:dyDescent="0.25">
      <c r="A27" s="194"/>
      <c r="B27" s="100" t="s">
        <v>12</v>
      </c>
      <c r="C27" s="101">
        <v>1044.2</v>
      </c>
      <c r="D27" s="101">
        <v>451</v>
      </c>
      <c r="E27" s="101">
        <v>1133</v>
      </c>
      <c r="F27" s="101">
        <v>453.5</v>
      </c>
      <c r="G27" s="101">
        <v>161.9</v>
      </c>
      <c r="H27" s="101">
        <v>80.099999999999994</v>
      </c>
      <c r="I27" s="101">
        <v>56.1</v>
      </c>
      <c r="J27" s="101">
        <v>102.1</v>
      </c>
      <c r="K27" s="101">
        <v>3379.9</v>
      </c>
      <c r="L27" s="101">
        <v>3482</v>
      </c>
      <c r="M27" s="5"/>
      <c r="N27" s="101"/>
      <c r="O27" s="101"/>
      <c r="P27" s="101"/>
      <c r="Q27" s="101"/>
      <c r="R27" s="101"/>
      <c r="S27" s="101"/>
      <c r="T27" s="101"/>
      <c r="U27" s="101"/>
      <c r="V27" s="101"/>
      <c r="W27" s="101"/>
    </row>
    <row r="28" spans="1:23" x14ac:dyDescent="0.25">
      <c r="A28" s="194" t="s">
        <v>217</v>
      </c>
      <c r="B28" s="4" t="s">
        <v>18</v>
      </c>
      <c r="C28" s="5">
        <v>778.8</v>
      </c>
      <c r="D28" s="5">
        <v>304.5</v>
      </c>
      <c r="E28" s="5">
        <v>885.2</v>
      </c>
      <c r="F28" s="5">
        <v>394.6</v>
      </c>
      <c r="G28" s="5">
        <v>145.1</v>
      </c>
      <c r="H28" s="5">
        <v>44.8</v>
      </c>
      <c r="I28" s="5">
        <v>31.4</v>
      </c>
      <c r="J28" s="5">
        <v>129.19999999999999</v>
      </c>
      <c r="K28" s="5">
        <v>2584.4</v>
      </c>
      <c r="L28" s="5">
        <v>2713.6</v>
      </c>
      <c r="M28" s="5"/>
      <c r="N28" s="5"/>
      <c r="O28" s="5"/>
      <c r="P28" s="5"/>
      <c r="Q28" s="5"/>
      <c r="R28" s="5"/>
      <c r="S28" s="5"/>
      <c r="T28" s="5"/>
      <c r="U28" s="5"/>
      <c r="V28" s="5"/>
      <c r="W28" s="5"/>
    </row>
    <row r="29" spans="1:23" x14ac:dyDescent="0.25">
      <c r="A29" s="194"/>
      <c r="B29" s="4" t="s">
        <v>22</v>
      </c>
      <c r="C29" s="5">
        <v>178.8</v>
      </c>
      <c r="D29" s="5">
        <v>58.9</v>
      </c>
      <c r="E29" s="5">
        <v>289.8</v>
      </c>
      <c r="F29" s="5">
        <v>91.6</v>
      </c>
      <c r="G29" s="5">
        <v>33.799999999999997</v>
      </c>
      <c r="H29" s="5">
        <v>20.8</v>
      </c>
      <c r="I29" s="5">
        <v>16.899999999999999</v>
      </c>
      <c r="J29" s="5">
        <v>23.1</v>
      </c>
      <c r="K29" s="5">
        <v>690.7</v>
      </c>
      <c r="L29" s="5">
        <v>713.7</v>
      </c>
      <c r="M29" s="5"/>
      <c r="N29" s="5"/>
      <c r="O29" s="5"/>
      <c r="P29" s="5"/>
      <c r="Q29" s="5"/>
      <c r="R29" s="5"/>
      <c r="S29" s="5"/>
      <c r="T29" s="5"/>
      <c r="U29" s="5"/>
      <c r="V29" s="5"/>
      <c r="W29" s="5"/>
    </row>
    <row r="30" spans="1:23" x14ac:dyDescent="0.25">
      <c r="A30" s="194"/>
      <c r="B30" s="4" t="s">
        <v>21</v>
      </c>
      <c r="C30" s="5">
        <v>1.4</v>
      </c>
      <c r="D30" s="5">
        <v>0.5</v>
      </c>
      <c r="E30" s="5">
        <v>0.9</v>
      </c>
      <c r="F30" s="5" t="s">
        <v>146</v>
      </c>
      <c r="G30" s="5" t="s">
        <v>146</v>
      </c>
      <c r="H30" s="5" t="s">
        <v>146</v>
      </c>
      <c r="I30" s="5" t="s">
        <v>146</v>
      </c>
      <c r="J30" s="5" t="s">
        <v>146</v>
      </c>
      <c r="K30" s="5">
        <v>2.8</v>
      </c>
      <c r="L30" s="5">
        <v>2.8</v>
      </c>
      <c r="M30" s="5"/>
      <c r="N30" s="5"/>
      <c r="O30" s="5"/>
      <c r="P30" s="5"/>
      <c r="Q30" s="5"/>
      <c r="R30" s="5"/>
      <c r="S30" s="5"/>
      <c r="T30" s="5"/>
      <c r="U30" s="5"/>
      <c r="V30" s="5"/>
      <c r="W30" s="5"/>
    </row>
    <row r="31" spans="1:23" x14ac:dyDescent="0.25">
      <c r="A31" s="194"/>
      <c r="B31" s="100" t="s">
        <v>12</v>
      </c>
      <c r="C31" s="101">
        <v>959</v>
      </c>
      <c r="D31" s="101">
        <v>364</v>
      </c>
      <c r="E31" s="101">
        <v>1175.9000000000001</v>
      </c>
      <c r="F31" s="101">
        <v>486.2</v>
      </c>
      <c r="G31" s="101">
        <v>178.9</v>
      </c>
      <c r="H31" s="101">
        <v>65.5</v>
      </c>
      <c r="I31" s="101">
        <v>48.4</v>
      </c>
      <c r="J31" s="101">
        <v>152.19999999999999</v>
      </c>
      <c r="K31" s="101">
        <v>3277.9</v>
      </c>
      <c r="L31" s="101">
        <v>3430.1</v>
      </c>
      <c r="M31" s="5"/>
      <c r="N31" s="101"/>
      <c r="O31" s="101"/>
      <c r="P31" s="101"/>
      <c r="Q31" s="101"/>
      <c r="R31" s="101"/>
      <c r="S31" s="101"/>
      <c r="T31" s="101"/>
      <c r="U31" s="101"/>
      <c r="V31" s="101"/>
      <c r="W31" s="101"/>
    </row>
    <row r="32" spans="1:23" x14ac:dyDescent="0.25">
      <c r="A32" s="194" t="s">
        <v>218</v>
      </c>
      <c r="B32" s="4" t="s">
        <v>18</v>
      </c>
      <c r="C32" s="5">
        <v>731.5</v>
      </c>
      <c r="D32" s="5">
        <v>264.5</v>
      </c>
      <c r="E32" s="5">
        <v>888.6</v>
      </c>
      <c r="F32" s="5">
        <v>422</v>
      </c>
      <c r="G32" s="5">
        <v>160.19999999999999</v>
      </c>
      <c r="H32" s="5">
        <v>55.1</v>
      </c>
      <c r="I32" s="5">
        <v>37.4</v>
      </c>
      <c r="J32" s="5">
        <v>178.5</v>
      </c>
      <c r="K32" s="5">
        <v>2559.1999999999998</v>
      </c>
      <c r="L32" s="5">
        <v>2737.8</v>
      </c>
      <c r="M32" s="5"/>
      <c r="N32" s="5"/>
      <c r="O32" s="5"/>
      <c r="P32" s="5"/>
      <c r="Q32" s="5"/>
      <c r="R32" s="5"/>
      <c r="S32" s="5"/>
      <c r="T32" s="5"/>
      <c r="U32" s="5"/>
      <c r="V32" s="5"/>
      <c r="W32" s="5"/>
    </row>
    <row r="33" spans="1:23" x14ac:dyDescent="0.25">
      <c r="A33" s="194"/>
      <c r="B33" s="4" t="s">
        <v>22</v>
      </c>
      <c r="C33" s="5">
        <v>159.1</v>
      </c>
      <c r="D33" s="5">
        <v>39.299999999999997</v>
      </c>
      <c r="E33" s="5">
        <v>273.39999999999998</v>
      </c>
      <c r="F33" s="5">
        <v>110.2</v>
      </c>
      <c r="G33" s="5">
        <v>53.5</v>
      </c>
      <c r="H33" s="5">
        <v>24.3</v>
      </c>
      <c r="I33" s="5">
        <v>17.3</v>
      </c>
      <c r="J33" s="5">
        <v>38</v>
      </c>
      <c r="K33" s="5">
        <v>677</v>
      </c>
      <c r="L33" s="5">
        <v>714.9</v>
      </c>
      <c r="M33" s="5"/>
      <c r="N33" s="5"/>
      <c r="O33" s="5"/>
      <c r="P33" s="5"/>
      <c r="Q33" s="5"/>
      <c r="R33" s="5"/>
      <c r="S33" s="5"/>
      <c r="T33" s="5"/>
      <c r="U33" s="5"/>
      <c r="V33" s="5"/>
      <c r="W33" s="5"/>
    </row>
    <row r="34" spans="1:23" x14ac:dyDescent="0.25">
      <c r="A34" s="194"/>
      <c r="B34" s="4" t="s">
        <v>21</v>
      </c>
      <c r="C34" s="5">
        <v>0.8</v>
      </c>
      <c r="D34" s="5">
        <v>0.2</v>
      </c>
      <c r="E34" s="5">
        <v>1</v>
      </c>
      <c r="F34" s="5" t="s">
        <v>146</v>
      </c>
      <c r="G34" s="5">
        <v>0.2</v>
      </c>
      <c r="H34" s="5" t="s">
        <v>146</v>
      </c>
      <c r="I34" s="5" t="s">
        <v>146</v>
      </c>
      <c r="J34" s="5">
        <v>0.3</v>
      </c>
      <c r="K34" s="5">
        <v>2.2999999999999998</v>
      </c>
      <c r="L34" s="5">
        <v>2.6</v>
      </c>
      <c r="M34" s="5"/>
      <c r="N34" s="5"/>
      <c r="O34" s="5"/>
      <c r="P34" s="5"/>
      <c r="Q34" s="5"/>
      <c r="R34" s="5"/>
      <c r="S34" s="5"/>
      <c r="T34" s="5"/>
      <c r="U34" s="5"/>
      <c r="V34" s="5"/>
      <c r="W34" s="5"/>
    </row>
    <row r="35" spans="1:23" x14ac:dyDescent="0.25">
      <c r="A35" s="194"/>
      <c r="B35" s="100" t="s">
        <v>12</v>
      </c>
      <c r="C35" s="101">
        <v>891.3</v>
      </c>
      <c r="D35" s="101">
        <v>304</v>
      </c>
      <c r="E35" s="101">
        <v>1163</v>
      </c>
      <c r="F35" s="101">
        <v>532.20000000000005</v>
      </c>
      <c r="G35" s="101">
        <v>213.8</v>
      </c>
      <c r="H35" s="101">
        <v>79.400000000000006</v>
      </c>
      <c r="I35" s="101">
        <v>54.7</v>
      </c>
      <c r="J35" s="101">
        <v>216.8</v>
      </c>
      <c r="K35" s="101">
        <v>3238.5</v>
      </c>
      <c r="L35" s="101">
        <v>3455.3</v>
      </c>
      <c r="M35" s="5"/>
      <c r="N35" s="101"/>
      <c r="O35" s="101"/>
      <c r="P35" s="101"/>
      <c r="Q35" s="101"/>
      <c r="R35" s="101"/>
      <c r="S35" s="101"/>
      <c r="T35" s="101"/>
      <c r="U35" s="101"/>
      <c r="V35" s="101"/>
      <c r="W35" s="101"/>
    </row>
    <row r="36" spans="1:23" x14ac:dyDescent="0.25">
      <c r="A36" s="194" t="s">
        <v>219</v>
      </c>
      <c r="B36" s="4" t="s">
        <v>18</v>
      </c>
      <c r="C36" s="5">
        <v>719.6</v>
      </c>
      <c r="D36" s="5">
        <v>234.2</v>
      </c>
      <c r="E36" s="5">
        <v>892.7</v>
      </c>
      <c r="F36" s="5">
        <v>399.7</v>
      </c>
      <c r="G36" s="5">
        <v>172.6</v>
      </c>
      <c r="H36" s="5">
        <v>66.3</v>
      </c>
      <c r="I36" s="5">
        <v>45</v>
      </c>
      <c r="J36" s="5" t="s">
        <v>151</v>
      </c>
      <c r="K36" s="5">
        <v>2530</v>
      </c>
      <c r="L36" s="5" t="s">
        <v>151</v>
      </c>
      <c r="M36" s="5"/>
      <c r="N36" s="5"/>
      <c r="O36" s="5"/>
      <c r="P36" s="5"/>
      <c r="Q36" s="5"/>
      <c r="R36" s="5"/>
      <c r="S36" s="5"/>
      <c r="T36" s="5"/>
      <c r="U36" s="5"/>
      <c r="V36" s="5"/>
      <c r="W36" s="5"/>
    </row>
    <row r="37" spans="1:23" x14ac:dyDescent="0.25">
      <c r="A37" s="194"/>
      <c r="B37" s="4" t="s">
        <v>22</v>
      </c>
      <c r="C37" s="5">
        <v>174.1</v>
      </c>
      <c r="D37" s="5">
        <v>34.1</v>
      </c>
      <c r="E37" s="5">
        <v>287.39999999999998</v>
      </c>
      <c r="F37" s="5">
        <v>110.9</v>
      </c>
      <c r="G37" s="5">
        <v>70.7</v>
      </c>
      <c r="H37" s="5">
        <v>27.2</v>
      </c>
      <c r="I37" s="5">
        <v>21.6</v>
      </c>
      <c r="J37" s="5" t="s">
        <v>151</v>
      </c>
      <c r="K37" s="5">
        <v>726.1</v>
      </c>
      <c r="L37" s="5" t="s">
        <v>151</v>
      </c>
      <c r="M37" s="5"/>
      <c r="N37" s="5"/>
      <c r="O37" s="5"/>
      <c r="P37" s="5"/>
      <c r="Q37" s="5"/>
      <c r="R37" s="5"/>
      <c r="S37" s="5"/>
      <c r="T37" s="5"/>
      <c r="U37" s="5"/>
      <c r="V37" s="5"/>
      <c r="W37" s="5"/>
    </row>
    <row r="38" spans="1:23" x14ac:dyDescent="0.25">
      <c r="A38" s="194"/>
      <c r="B38" s="4" t="s">
        <v>21</v>
      </c>
      <c r="C38" s="5">
        <v>0.6</v>
      </c>
      <c r="D38" s="5" t="s">
        <v>146</v>
      </c>
      <c r="E38" s="5">
        <v>0.5</v>
      </c>
      <c r="F38" s="5" t="s">
        <v>146</v>
      </c>
      <c r="G38" s="5" t="s">
        <v>146</v>
      </c>
      <c r="H38" s="5">
        <v>0.2</v>
      </c>
      <c r="I38" s="5" t="s">
        <v>146</v>
      </c>
      <c r="J38" s="5" t="s">
        <v>151</v>
      </c>
      <c r="K38" s="5">
        <v>1.2</v>
      </c>
      <c r="L38" s="5" t="s">
        <v>151</v>
      </c>
      <c r="M38" s="5"/>
      <c r="N38" s="5"/>
      <c r="O38" s="5"/>
      <c r="P38" s="5"/>
      <c r="Q38" s="5"/>
      <c r="R38" s="5"/>
      <c r="S38" s="5"/>
      <c r="T38" s="5"/>
      <c r="U38" s="5"/>
      <c r="V38" s="5"/>
      <c r="W38" s="5"/>
    </row>
    <row r="39" spans="1:23" x14ac:dyDescent="0.25">
      <c r="A39" s="194"/>
      <c r="B39" s="100" t="s">
        <v>12</v>
      </c>
      <c r="C39" s="101">
        <v>894.3</v>
      </c>
      <c r="D39" s="101">
        <v>268.2</v>
      </c>
      <c r="E39" s="101">
        <v>1180.5999999999999</v>
      </c>
      <c r="F39" s="101">
        <v>510.6</v>
      </c>
      <c r="G39" s="101">
        <v>243.3</v>
      </c>
      <c r="H39" s="101">
        <v>93.7</v>
      </c>
      <c r="I39" s="101">
        <v>66.599999999999994</v>
      </c>
      <c r="J39" s="101" t="s">
        <v>151</v>
      </c>
      <c r="K39" s="101">
        <v>3257.3</v>
      </c>
      <c r="L39" s="101" t="s">
        <v>151</v>
      </c>
      <c r="M39" s="5"/>
      <c r="N39" s="101"/>
      <c r="O39" s="101"/>
      <c r="P39" s="101"/>
      <c r="Q39" s="101"/>
      <c r="R39" s="101"/>
      <c r="S39" s="101"/>
      <c r="T39" s="101"/>
      <c r="U39" s="101"/>
      <c r="V39" s="101"/>
      <c r="W39" s="101"/>
    </row>
    <row r="40" spans="1:23" x14ac:dyDescent="0.25">
      <c r="A40" s="194" t="s">
        <v>357</v>
      </c>
      <c r="B40" s="4" t="s">
        <v>18</v>
      </c>
      <c r="C40" s="5">
        <v>737.5</v>
      </c>
      <c r="D40" s="5">
        <v>268.89999999999998</v>
      </c>
      <c r="E40" s="5">
        <v>854.1</v>
      </c>
      <c r="F40" s="5">
        <v>351.1</v>
      </c>
      <c r="G40" s="5">
        <v>154.5</v>
      </c>
      <c r="H40" s="5">
        <v>76.900000000000006</v>
      </c>
      <c r="I40" s="5">
        <v>47.5</v>
      </c>
      <c r="J40" s="5" t="s">
        <v>151</v>
      </c>
      <c r="K40" s="5">
        <v>2490.5</v>
      </c>
      <c r="L40" s="5" t="s">
        <v>151</v>
      </c>
      <c r="M40" s="5"/>
      <c r="N40" s="5"/>
      <c r="O40" s="5"/>
      <c r="P40" s="5"/>
      <c r="Q40" s="5"/>
      <c r="R40" s="5"/>
      <c r="S40" s="5"/>
      <c r="T40" s="5"/>
      <c r="U40" s="5"/>
      <c r="V40" s="5"/>
      <c r="W40" s="5"/>
    </row>
    <row r="41" spans="1:23" x14ac:dyDescent="0.25">
      <c r="A41" s="194"/>
      <c r="B41" s="4" t="s">
        <v>22</v>
      </c>
      <c r="C41" s="5">
        <v>179.7</v>
      </c>
      <c r="D41" s="5">
        <v>31</v>
      </c>
      <c r="E41" s="5">
        <v>287.2</v>
      </c>
      <c r="F41" s="5">
        <v>86.4</v>
      </c>
      <c r="G41" s="5">
        <v>50</v>
      </c>
      <c r="H41" s="5">
        <v>32.5</v>
      </c>
      <c r="I41" s="5">
        <v>16.2</v>
      </c>
      <c r="J41" s="5" t="s">
        <v>151</v>
      </c>
      <c r="K41" s="5">
        <v>683</v>
      </c>
      <c r="L41" s="5" t="s">
        <v>151</v>
      </c>
      <c r="M41" s="5"/>
      <c r="N41" s="5"/>
      <c r="O41" s="5"/>
      <c r="P41" s="5"/>
      <c r="Q41" s="5"/>
      <c r="R41" s="5"/>
      <c r="S41" s="5"/>
      <c r="T41" s="5"/>
      <c r="U41" s="5"/>
      <c r="V41" s="5"/>
      <c r="W41" s="5"/>
    </row>
    <row r="42" spans="1:23" x14ac:dyDescent="0.25">
      <c r="A42" s="194"/>
      <c r="B42" s="4" t="s">
        <v>21</v>
      </c>
      <c r="C42" s="5">
        <v>1</v>
      </c>
      <c r="D42" s="5" t="s">
        <v>146</v>
      </c>
      <c r="E42" s="5">
        <v>0.9</v>
      </c>
      <c r="F42" s="5" t="s">
        <v>146</v>
      </c>
      <c r="G42" s="5">
        <v>0.5</v>
      </c>
      <c r="H42" s="5">
        <v>0.8</v>
      </c>
      <c r="I42" s="5" t="s">
        <v>146</v>
      </c>
      <c r="J42" s="5" t="s">
        <v>151</v>
      </c>
      <c r="K42" s="5">
        <v>3.3</v>
      </c>
      <c r="L42" s="5" t="s">
        <v>151</v>
      </c>
      <c r="M42" s="5"/>
      <c r="N42" s="5"/>
      <c r="O42" s="5"/>
      <c r="P42" s="5"/>
      <c r="Q42" s="5"/>
      <c r="R42" s="5"/>
      <c r="S42" s="5"/>
      <c r="T42" s="5"/>
      <c r="U42" s="5"/>
      <c r="V42" s="5"/>
      <c r="W42" s="5"/>
    </row>
    <row r="43" spans="1:23" x14ac:dyDescent="0.25">
      <c r="A43" s="194"/>
      <c r="B43" s="100" t="s">
        <v>12</v>
      </c>
      <c r="C43" s="101">
        <v>918.2</v>
      </c>
      <c r="D43" s="101">
        <v>299.89999999999998</v>
      </c>
      <c r="E43" s="101">
        <v>1142.2</v>
      </c>
      <c r="F43" s="101">
        <v>437.5</v>
      </c>
      <c r="G43" s="101">
        <v>205</v>
      </c>
      <c r="H43" s="101">
        <v>110.2</v>
      </c>
      <c r="I43" s="101">
        <v>63.7</v>
      </c>
      <c r="J43" s="101" t="s">
        <v>151</v>
      </c>
      <c r="K43" s="101">
        <v>3176.8</v>
      </c>
      <c r="L43" s="101" t="s">
        <v>151</v>
      </c>
      <c r="M43" s="5"/>
      <c r="N43" s="101"/>
      <c r="O43" s="101"/>
      <c r="P43" s="101"/>
      <c r="Q43" s="101"/>
      <c r="R43" s="101"/>
      <c r="S43" s="101"/>
      <c r="T43" s="101"/>
      <c r="U43" s="101"/>
      <c r="V43" s="101"/>
      <c r="W43" s="101"/>
    </row>
    <row r="44" spans="1:23" ht="2.25" customHeight="1" x14ac:dyDescent="0.25">
      <c r="A44" s="29"/>
      <c r="B44" s="4"/>
      <c r="C44" s="5"/>
      <c r="D44" s="5"/>
      <c r="E44" s="5"/>
      <c r="F44" s="5"/>
      <c r="G44" s="5"/>
      <c r="H44" s="5"/>
      <c r="I44" s="5"/>
      <c r="J44" s="5"/>
      <c r="N44" s="131"/>
    </row>
    <row r="45" spans="1:23" ht="11.1" customHeight="1" x14ac:dyDescent="0.25">
      <c r="A45" s="191" t="s">
        <v>13</v>
      </c>
      <c r="B45" s="191"/>
      <c r="C45" s="191"/>
      <c r="D45" s="191"/>
      <c r="E45" s="191"/>
      <c r="F45" s="191"/>
      <c r="G45" s="191"/>
      <c r="H45" s="191"/>
      <c r="I45" s="191"/>
      <c r="J45" s="191"/>
      <c r="K45" s="205"/>
      <c r="L45" s="191"/>
    </row>
    <row r="46" spans="1:23" s="7" customFormat="1" ht="11.1" customHeight="1" x14ac:dyDescent="0.15">
      <c r="A46" s="7" t="s">
        <v>14</v>
      </c>
    </row>
    <row r="47" spans="1:23" s="7" customFormat="1" ht="11.1" customHeight="1" x14ac:dyDescent="0.15">
      <c r="A47" s="7" t="s">
        <v>23</v>
      </c>
    </row>
    <row r="48" spans="1:23" s="7" customFormat="1" ht="11.1" customHeight="1" x14ac:dyDescent="0.15">
      <c r="A48" s="7" t="s">
        <v>39</v>
      </c>
    </row>
    <row r="49" spans="1:24" s="7" customFormat="1" ht="18.75" customHeight="1" x14ac:dyDescent="0.15">
      <c r="A49" s="188" t="s">
        <v>28</v>
      </c>
      <c r="B49" s="188"/>
      <c r="C49" s="188"/>
      <c r="D49" s="188"/>
      <c r="E49" s="188"/>
      <c r="F49" s="188"/>
      <c r="G49" s="188"/>
      <c r="H49" s="188"/>
      <c r="I49" s="188"/>
      <c r="J49" s="188"/>
      <c r="K49" s="188"/>
      <c r="L49" s="188"/>
    </row>
    <row r="50" spans="1:24" s="7" customFormat="1" ht="10.5" customHeight="1" x14ac:dyDescent="0.15">
      <c r="A50" s="188" t="s">
        <v>360</v>
      </c>
      <c r="B50" s="188"/>
      <c r="C50" s="188"/>
      <c r="D50" s="188"/>
      <c r="E50" s="188"/>
      <c r="F50" s="188"/>
      <c r="G50" s="188"/>
      <c r="H50" s="188"/>
      <c r="I50" s="188"/>
      <c r="J50" s="188"/>
      <c r="K50" s="188"/>
      <c r="L50" s="188"/>
    </row>
    <row r="51" spans="1:24" s="7" customFormat="1" ht="11.1" customHeight="1" x14ac:dyDescent="0.15">
      <c r="A51" s="7" t="s">
        <v>15</v>
      </c>
    </row>
    <row r="52" spans="1:24" s="7" customFormat="1" ht="11.1" customHeight="1" x14ac:dyDescent="0.15">
      <c r="A52" s="7" t="s">
        <v>347</v>
      </c>
    </row>
    <row r="53" spans="1:24" ht="12" customHeight="1" x14ac:dyDescent="0.25">
      <c r="A53" s="2"/>
    </row>
    <row r="54" spans="1:24" ht="27.95" customHeight="1" x14ac:dyDescent="0.25">
      <c r="A54" s="192" t="s">
        <v>370</v>
      </c>
      <c r="B54" s="192"/>
      <c r="C54" s="192"/>
      <c r="D54" s="192"/>
      <c r="E54" s="192"/>
      <c r="F54" s="192"/>
      <c r="G54" s="192"/>
      <c r="H54" s="192"/>
      <c r="I54" s="192"/>
      <c r="J54" s="192"/>
      <c r="K54" s="192"/>
      <c r="L54" s="192"/>
      <c r="M54" s="192"/>
      <c r="N54" s="192"/>
    </row>
    <row r="55" spans="1:24" ht="2.25" customHeight="1" x14ac:dyDescent="0.25">
      <c r="A55" s="2"/>
    </row>
    <row r="56" spans="1:24" x14ac:dyDescent="0.25">
      <c r="A56" s="35" t="s">
        <v>160</v>
      </c>
      <c r="B56" s="35" t="s">
        <v>157</v>
      </c>
      <c r="C56" s="3" t="s">
        <v>1</v>
      </c>
      <c r="D56" s="3" t="s">
        <v>2</v>
      </c>
      <c r="E56" s="3" t="s">
        <v>3</v>
      </c>
      <c r="F56" s="3" t="s">
        <v>4</v>
      </c>
      <c r="G56" s="3" t="s">
        <v>5</v>
      </c>
      <c r="H56" s="3" t="s">
        <v>6</v>
      </c>
      <c r="I56" s="3" t="s">
        <v>7</v>
      </c>
      <c r="J56" s="3" t="s">
        <v>8</v>
      </c>
      <c r="K56" s="3" t="s">
        <v>9</v>
      </c>
    </row>
    <row r="57" spans="1:24" x14ac:dyDescent="0.25">
      <c r="A57" s="194" t="s">
        <v>211</v>
      </c>
      <c r="B57" s="4" t="s">
        <v>18</v>
      </c>
      <c r="C57" s="9">
        <v>2169</v>
      </c>
      <c r="D57" s="9">
        <v>1133</v>
      </c>
      <c r="E57" s="9">
        <v>1871</v>
      </c>
      <c r="F57" s="9">
        <v>1367</v>
      </c>
      <c r="G57" s="9">
        <v>516</v>
      </c>
      <c r="H57" s="9">
        <v>124</v>
      </c>
      <c r="I57" s="9">
        <v>112</v>
      </c>
      <c r="J57" s="9">
        <v>304</v>
      </c>
      <c r="K57" s="9">
        <v>7596</v>
      </c>
      <c r="L57" s="9"/>
      <c r="M57" s="9"/>
      <c r="N57" s="9"/>
      <c r="O57" s="9"/>
      <c r="P57" s="9"/>
      <c r="Q57" s="9"/>
      <c r="R57" s="9"/>
      <c r="S57" s="9"/>
      <c r="T57" s="9"/>
      <c r="U57" s="9"/>
      <c r="X57" s="123"/>
    </row>
    <row r="58" spans="1:24" x14ac:dyDescent="0.25">
      <c r="A58" s="194"/>
      <c r="B58" s="4" t="s">
        <v>22</v>
      </c>
      <c r="C58" s="9">
        <v>547</v>
      </c>
      <c r="D58" s="9">
        <v>267</v>
      </c>
      <c r="E58" s="9">
        <v>591</v>
      </c>
      <c r="F58" s="9">
        <v>299</v>
      </c>
      <c r="G58" s="9">
        <v>139</v>
      </c>
      <c r="H58" s="9">
        <v>27</v>
      </c>
      <c r="I58" s="9">
        <v>34</v>
      </c>
      <c r="J58" s="9">
        <v>78</v>
      </c>
      <c r="K58" s="9">
        <v>1982</v>
      </c>
      <c r="L58" s="9"/>
      <c r="M58" s="9"/>
      <c r="N58" s="9"/>
      <c r="O58" s="9"/>
      <c r="P58" s="9"/>
      <c r="Q58" s="9"/>
      <c r="R58" s="9"/>
      <c r="S58" s="9"/>
      <c r="T58" s="9"/>
      <c r="U58" s="9"/>
    </row>
    <row r="59" spans="1:24" x14ac:dyDescent="0.25">
      <c r="A59" s="194"/>
      <c r="B59" s="4" t="s">
        <v>21</v>
      </c>
      <c r="C59" s="9" t="s">
        <v>146</v>
      </c>
      <c r="D59" s="9" t="s">
        <v>146</v>
      </c>
      <c r="E59" s="9">
        <v>1</v>
      </c>
      <c r="F59" s="9">
        <v>1</v>
      </c>
      <c r="G59" s="9" t="s">
        <v>146</v>
      </c>
      <c r="H59" s="9" t="s">
        <v>146</v>
      </c>
      <c r="I59" s="9" t="s">
        <v>146</v>
      </c>
      <c r="J59" s="9" t="s">
        <v>146</v>
      </c>
      <c r="K59" s="9">
        <v>2</v>
      </c>
      <c r="L59" s="9"/>
      <c r="M59" s="9"/>
      <c r="N59" s="9"/>
      <c r="O59" s="9"/>
      <c r="P59" s="9"/>
      <c r="Q59" s="9"/>
      <c r="R59" s="9"/>
      <c r="S59" s="9"/>
      <c r="T59" s="9"/>
      <c r="U59" s="9"/>
    </row>
    <row r="60" spans="1:24" x14ac:dyDescent="0.25">
      <c r="A60" s="194"/>
      <c r="B60" s="100" t="s">
        <v>12</v>
      </c>
      <c r="C60" s="102">
        <v>2716</v>
      </c>
      <c r="D60" s="102">
        <v>1400</v>
      </c>
      <c r="E60" s="102">
        <v>2463</v>
      </c>
      <c r="F60" s="102">
        <v>1667</v>
      </c>
      <c r="G60" s="102">
        <v>655</v>
      </c>
      <c r="H60" s="102">
        <v>151</v>
      </c>
      <c r="I60" s="102">
        <v>146</v>
      </c>
      <c r="J60" s="102">
        <v>382</v>
      </c>
      <c r="K60" s="102">
        <v>9580</v>
      </c>
      <c r="L60" s="36"/>
      <c r="M60" s="102"/>
      <c r="N60" s="102"/>
      <c r="O60" s="102"/>
      <c r="P60" s="102"/>
      <c r="Q60" s="102"/>
      <c r="R60" s="102"/>
      <c r="S60" s="102"/>
      <c r="T60" s="102"/>
      <c r="U60" s="102"/>
    </row>
    <row r="61" spans="1:24" x14ac:dyDescent="0.25">
      <c r="A61" s="194" t="s">
        <v>212</v>
      </c>
      <c r="B61" s="4" t="s">
        <v>18</v>
      </c>
      <c r="C61" s="9">
        <v>2032</v>
      </c>
      <c r="D61" s="9">
        <v>1047</v>
      </c>
      <c r="E61" s="9">
        <v>1812</v>
      </c>
      <c r="F61" s="9">
        <v>1339</v>
      </c>
      <c r="G61" s="9">
        <v>479</v>
      </c>
      <c r="H61" s="9">
        <v>140</v>
      </c>
      <c r="I61" s="9">
        <v>114</v>
      </c>
      <c r="J61" s="9">
        <v>294</v>
      </c>
      <c r="K61" s="9">
        <v>7257</v>
      </c>
      <c r="L61" s="9"/>
      <c r="M61" s="9"/>
      <c r="N61" s="9"/>
      <c r="O61" s="9"/>
      <c r="P61" s="9"/>
      <c r="Q61" s="9"/>
      <c r="R61" s="9"/>
      <c r="S61" s="9"/>
      <c r="T61" s="9"/>
      <c r="U61" s="9"/>
    </row>
    <row r="62" spans="1:24" x14ac:dyDescent="0.25">
      <c r="A62" s="194"/>
      <c r="B62" s="4" t="s">
        <v>22</v>
      </c>
      <c r="C62" s="9">
        <v>519</v>
      </c>
      <c r="D62" s="9">
        <v>235</v>
      </c>
      <c r="E62" s="9">
        <v>613</v>
      </c>
      <c r="F62" s="9">
        <v>294</v>
      </c>
      <c r="G62" s="9">
        <v>148</v>
      </c>
      <c r="H62" s="9">
        <v>43</v>
      </c>
      <c r="I62" s="9">
        <v>29</v>
      </c>
      <c r="J62" s="9">
        <v>67</v>
      </c>
      <c r="K62" s="9">
        <v>1948</v>
      </c>
      <c r="L62" s="9"/>
      <c r="M62" s="9"/>
      <c r="N62" s="9"/>
      <c r="O62" s="9"/>
      <c r="P62" s="9"/>
      <c r="Q62" s="9"/>
      <c r="R62" s="9"/>
      <c r="S62" s="9"/>
      <c r="T62" s="9"/>
      <c r="U62" s="9"/>
    </row>
    <row r="63" spans="1:24" x14ac:dyDescent="0.25">
      <c r="A63" s="194"/>
      <c r="B63" s="4" t="s">
        <v>21</v>
      </c>
      <c r="C63" s="9" t="s">
        <v>146</v>
      </c>
      <c r="D63" s="9" t="s">
        <v>146</v>
      </c>
      <c r="E63" s="9" t="s">
        <v>146</v>
      </c>
      <c r="F63" s="9" t="s">
        <v>146</v>
      </c>
      <c r="G63" s="9" t="s">
        <v>146</v>
      </c>
      <c r="H63" s="9" t="s">
        <v>146</v>
      </c>
      <c r="I63" s="9" t="s">
        <v>146</v>
      </c>
      <c r="J63" s="9" t="s">
        <v>146</v>
      </c>
      <c r="K63" s="9" t="s">
        <v>146</v>
      </c>
      <c r="L63" s="9"/>
      <c r="M63" s="9"/>
      <c r="N63" s="9"/>
      <c r="O63" s="9"/>
      <c r="P63" s="9"/>
      <c r="Q63" s="9"/>
      <c r="R63" s="9"/>
      <c r="S63" s="9"/>
      <c r="T63" s="9"/>
      <c r="U63" s="9"/>
    </row>
    <row r="64" spans="1:24" x14ac:dyDescent="0.25">
      <c r="A64" s="194"/>
      <c r="B64" s="100" t="s">
        <v>12</v>
      </c>
      <c r="C64" s="102">
        <v>2551</v>
      </c>
      <c r="D64" s="102">
        <v>1282</v>
      </c>
      <c r="E64" s="102">
        <v>2425</v>
      </c>
      <c r="F64" s="102">
        <v>1633</v>
      </c>
      <c r="G64" s="102">
        <v>627</v>
      </c>
      <c r="H64" s="102">
        <v>183</v>
      </c>
      <c r="I64" s="102">
        <v>143</v>
      </c>
      <c r="J64" s="102">
        <v>361</v>
      </c>
      <c r="K64" s="102">
        <v>9205</v>
      </c>
      <c r="L64" s="36"/>
      <c r="M64" s="102"/>
      <c r="N64" s="102"/>
      <c r="O64" s="102"/>
      <c r="P64" s="102"/>
      <c r="Q64" s="102"/>
      <c r="R64" s="102"/>
      <c r="S64" s="102"/>
      <c r="T64" s="102"/>
      <c r="U64" s="102"/>
    </row>
    <row r="65" spans="1:21" x14ac:dyDescent="0.25">
      <c r="A65" s="194" t="s">
        <v>213</v>
      </c>
      <c r="B65" s="4" t="s">
        <v>18</v>
      </c>
      <c r="C65" s="9">
        <v>1972</v>
      </c>
      <c r="D65" s="9">
        <v>992</v>
      </c>
      <c r="E65" s="9">
        <v>1989</v>
      </c>
      <c r="F65" s="9">
        <v>1310</v>
      </c>
      <c r="G65" s="9">
        <v>437</v>
      </c>
      <c r="H65" s="9">
        <v>140</v>
      </c>
      <c r="I65" s="9">
        <v>116</v>
      </c>
      <c r="J65" s="9">
        <v>250</v>
      </c>
      <c r="K65" s="9">
        <v>7206</v>
      </c>
      <c r="L65" s="9"/>
      <c r="M65" s="9"/>
      <c r="N65" s="9"/>
      <c r="O65" s="9"/>
      <c r="P65" s="9"/>
      <c r="Q65" s="9"/>
      <c r="R65" s="9"/>
      <c r="S65" s="9"/>
      <c r="T65" s="9"/>
      <c r="U65" s="9"/>
    </row>
    <row r="66" spans="1:21" x14ac:dyDescent="0.25">
      <c r="A66" s="194"/>
      <c r="B66" s="4" t="s">
        <v>22</v>
      </c>
      <c r="C66" s="9">
        <v>580</v>
      </c>
      <c r="D66" s="9">
        <v>227</v>
      </c>
      <c r="E66" s="9">
        <v>652</v>
      </c>
      <c r="F66" s="9">
        <v>321</v>
      </c>
      <c r="G66" s="9">
        <v>125</v>
      </c>
      <c r="H66" s="9">
        <v>51</v>
      </c>
      <c r="I66" s="9">
        <v>44</v>
      </c>
      <c r="J66" s="9">
        <v>43</v>
      </c>
      <c r="K66" s="9">
        <v>2043</v>
      </c>
      <c r="L66" s="9"/>
      <c r="M66" s="9"/>
      <c r="N66" s="9"/>
      <c r="O66" s="9"/>
      <c r="P66" s="9"/>
      <c r="Q66" s="9"/>
      <c r="R66" s="9"/>
      <c r="S66" s="9"/>
      <c r="T66" s="9"/>
      <c r="U66" s="9"/>
    </row>
    <row r="67" spans="1:21" x14ac:dyDescent="0.25">
      <c r="A67" s="194"/>
      <c r="B67" s="4" t="s">
        <v>21</v>
      </c>
      <c r="C67" s="9" t="s">
        <v>146</v>
      </c>
      <c r="D67" s="9" t="s">
        <v>146</v>
      </c>
      <c r="E67" s="9">
        <v>1</v>
      </c>
      <c r="F67" s="9" t="s">
        <v>146</v>
      </c>
      <c r="G67" s="9" t="s">
        <v>146</v>
      </c>
      <c r="H67" s="9" t="s">
        <v>146</v>
      </c>
      <c r="I67" s="9" t="s">
        <v>146</v>
      </c>
      <c r="J67" s="9" t="s">
        <v>146</v>
      </c>
      <c r="K67" s="9">
        <v>1</v>
      </c>
      <c r="L67" s="9"/>
      <c r="M67" s="9"/>
      <c r="N67" s="9"/>
      <c r="O67" s="9"/>
      <c r="P67" s="9"/>
      <c r="Q67" s="9"/>
      <c r="R67" s="9"/>
      <c r="S67" s="9"/>
      <c r="T67" s="9"/>
      <c r="U67" s="9"/>
    </row>
    <row r="68" spans="1:21" x14ac:dyDescent="0.25">
      <c r="A68" s="194"/>
      <c r="B68" s="100" t="s">
        <v>12</v>
      </c>
      <c r="C68" s="102">
        <v>2552</v>
      </c>
      <c r="D68" s="102">
        <v>1219</v>
      </c>
      <c r="E68" s="102">
        <v>2642</v>
      </c>
      <c r="F68" s="102">
        <v>1631</v>
      </c>
      <c r="G68" s="102">
        <v>562</v>
      </c>
      <c r="H68" s="102">
        <v>191</v>
      </c>
      <c r="I68" s="102">
        <v>160</v>
      </c>
      <c r="J68" s="102">
        <v>293</v>
      </c>
      <c r="K68" s="102">
        <v>9250</v>
      </c>
      <c r="L68" s="36"/>
      <c r="M68" s="102"/>
      <c r="N68" s="102"/>
      <c r="O68" s="102"/>
      <c r="P68" s="102"/>
      <c r="Q68" s="102"/>
      <c r="R68" s="102"/>
      <c r="S68" s="102"/>
      <c r="T68" s="102"/>
      <c r="U68" s="102"/>
    </row>
    <row r="69" spans="1:21" x14ac:dyDescent="0.25">
      <c r="A69" s="194" t="s">
        <v>214</v>
      </c>
      <c r="B69" s="4" t="s">
        <v>18</v>
      </c>
      <c r="C69" s="9">
        <v>1988</v>
      </c>
      <c r="D69" s="9">
        <v>914</v>
      </c>
      <c r="E69" s="9">
        <v>2014</v>
      </c>
      <c r="F69" s="9">
        <v>1259</v>
      </c>
      <c r="G69" s="9">
        <v>401</v>
      </c>
      <c r="H69" s="9">
        <v>160</v>
      </c>
      <c r="I69" s="9">
        <v>111</v>
      </c>
      <c r="J69" s="9">
        <v>250</v>
      </c>
      <c r="K69" s="9">
        <v>7097</v>
      </c>
      <c r="L69" s="9"/>
      <c r="M69" s="9"/>
      <c r="N69" s="9"/>
      <c r="O69" s="9"/>
      <c r="P69" s="9"/>
      <c r="Q69" s="9"/>
      <c r="R69" s="9"/>
      <c r="S69" s="9"/>
      <c r="T69" s="9"/>
      <c r="U69" s="9"/>
    </row>
    <row r="70" spans="1:21" x14ac:dyDescent="0.25">
      <c r="A70" s="194"/>
      <c r="B70" s="4" t="s">
        <v>22</v>
      </c>
      <c r="C70" s="9">
        <v>596</v>
      </c>
      <c r="D70" s="9">
        <v>248</v>
      </c>
      <c r="E70" s="9">
        <v>701</v>
      </c>
      <c r="F70" s="9">
        <v>347</v>
      </c>
      <c r="G70" s="9">
        <v>90</v>
      </c>
      <c r="H70" s="9">
        <v>56</v>
      </c>
      <c r="I70" s="9">
        <v>36</v>
      </c>
      <c r="J70" s="9">
        <v>47</v>
      </c>
      <c r="K70" s="9">
        <v>2121</v>
      </c>
      <c r="L70" s="9"/>
      <c r="M70" s="9"/>
      <c r="N70" s="9"/>
      <c r="O70" s="9"/>
      <c r="P70" s="9"/>
      <c r="Q70" s="9"/>
      <c r="R70" s="9"/>
      <c r="S70" s="9"/>
      <c r="T70" s="9"/>
      <c r="U70" s="9"/>
    </row>
    <row r="71" spans="1:21" x14ac:dyDescent="0.25">
      <c r="A71" s="194"/>
      <c r="B71" s="4" t="s">
        <v>21</v>
      </c>
      <c r="C71" s="9" t="s">
        <v>146</v>
      </c>
      <c r="D71" s="9">
        <v>1</v>
      </c>
      <c r="E71" s="9">
        <v>2</v>
      </c>
      <c r="F71" s="9">
        <v>1</v>
      </c>
      <c r="G71" s="9" t="s">
        <v>146</v>
      </c>
      <c r="H71" s="9" t="s">
        <v>146</v>
      </c>
      <c r="I71" s="9" t="s">
        <v>146</v>
      </c>
      <c r="J71" s="9" t="s">
        <v>146</v>
      </c>
      <c r="K71" s="9">
        <v>4</v>
      </c>
      <c r="L71" s="9"/>
      <c r="M71" s="9"/>
      <c r="N71" s="9"/>
      <c r="O71" s="9"/>
      <c r="P71" s="9"/>
      <c r="Q71" s="9"/>
      <c r="R71" s="9"/>
      <c r="S71" s="9"/>
      <c r="T71" s="9"/>
      <c r="U71" s="9"/>
    </row>
    <row r="72" spans="1:21" x14ac:dyDescent="0.25">
      <c r="A72" s="194"/>
      <c r="B72" s="100" t="s">
        <v>12</v>
      </c>
      <c r="C72" s="102">
        <v>2584</v>
      </c>
      <c r="D72" s="102">
        <v>1163</v>
      </c>
      <c r="E72" s="102">
        <v>2717</v>
      </c>
      <c r="F72" s="102">
        <v>1607</v>
      </c>
      <c r="G72" s="102">
        <v>491</v>
      </c>
      <c r="H72" s="102">
        <v>216</v>
      </c>
      <c r="I72" s="102">
        <v>147</v>
      </c>
      <c r="J72" s="102">
        <v>297</v>
      </c>
      <c r="K72" s="102">
        <v>9222</v>
      </c>
      <c r="L72" s="36"/>
      <c r="M72" s="102"/>
      <c r="N72" s="102"/>
      <c r="O72" s="102"/>
      <c r="P72" s="102"/>
      <c r="Q72" s="102"/>
      <c r="R72" s="102"/>
      <c r="S72" s="102"/>
      <c r="T72" s="102"/>
      <c r="U72" s="102"/>
    </row>
    <row r="73" spans="1:21" x14ac:dyDescent="0.25">
      <c r="A73" s="194" t="s">
        <v>215</v>
      </c>
      <c r="B73" s="4" t="s">
        <v>18</v>
      </c>
      <c r="C73" s="9">
        <v>1939</v>
      </c>
      <c r="D73" s="9">
        <v>877</v>
      </c>
      <c r="E73" s="9">
        <v>1673</v>
      </c>
      <c r="F73" s="9">
        <v>1138</v>
      </c>
      <c r="G73" s="9">
        <v>390</v>
      </c>
      <c r="H73" s="9">
        <v>150</v>
      </c>
      <c r="I73" s="9">
        <v>100</v>
      </c>
      <c r="J73" s="9">
        <v>232</v>
      </c>
      <c r="K73" s="9">
        <v>6499</v>
      </c>
      <c r="L73" s="9"/>
      <c r="M73" s="9"/>
      <c r="N73" s="9"/>
      <c r="O73" s="9"/>
      <c r="P73" s="9"/>
      <c r="Q73" s="9"/>
      <c r="R73" s="9"/>
      <c r="S73" s="9"/>
      <c r="T73" s="9"/>
      <c r="U73" s="9"/>
    </row>
    <row r="74" spans="1:21" x14ac:dyDescent="0.25">
      <c r="A74" s="194"/>
      <c r="B74" s="4" t="s">
        <v>22</v>
      </c>
      <c r="C74" s="9">
        <v>577</v>
      </c>
      <c r="D74" s="9">
        <v>241</v>
      </c>
      <c r="E74" s="9">
        <v>626</v>
      </c>
      <c r="F74" s="9">
        <v>314</v>
      </c>
      <c r="G74" s="9">
        <v>97</v>
      </c>
      <c r="H74" s="9">
        <v>55</v>
      </c>
      <c r="I74" s="9">
        <v>36</v>
      </c>
      <c r="J74" s="9">
        <v>41</v>
      </c>
      <c r="K74" s="9">
        <v>1987</v>
      </c>
      <c r="L74" s="9"/>
      <c r="M74" s="9"/>
      <c r="N74" s="9"/>
      <c r="O74" s="9"/>
      <c r="P74" s="9"/>
      <c r="Q74" s="9"/>
      <c r="R74" s="9"/>
      <c r="S74" s="9"/>
      <c r="T74" s="9"/>
      <c r="U74" s="9"/>
    </row>
    <row r="75" spans="1:21" x14ac:dyDescent="0.25">
      <c r="A75" s="194"/>
      <c r="B75" s="4" t="s">
        <v>21</v>
      </c>
      <c r="C75" s="9">
        <v>2</v>
      </c>
      <c r="D75" s="9">
        <v>1</v>
      </c>
      <c r="E75" s="9">
        <v>1</v>
      </c>
      <c r="F75" s="9">
        <v>1</v>
      </c>
      <c r="G75" s="9" t="s">
        <v>146</v>
      </c>
      <c r="H75" s="9" t="s">
        <v>146</v>
      </c>
      <c r="I75" s="9" t="s">
        <v>146</v>
      </c>
      <c r="J75" s="9" t="s">
        <v>146</v>
      </c>
      <c r="K75" s="9">
        <v>5</v>
      </c>
      <c r="L75" s="9"/>
      <c r="M75" s="9"/>
      <c r="N75" s="9"/>
      <c r="O75" s="9"/>
      <c r="P75" s="9"/>
      <c r="Q75" s="9"/>
      <c r="R75" s="9"/>
      <c r="S75" s="9"/>
      <c r="T75" s="9"/>
      <c r="U75" s="9"/>
    </row>
    <row r="76" spans="1:21" x14ac:dyDescent="0.25">
      <c r="A76" s="194"/>
      <c r="B76" s="100" t="s">
        <v>12</v>
      </c>
      <c r="C76" s="102">
        <v>2518</v>
      </c>
      <c r="D76" s="102">
        <v>1119</v>
      </c>
      <c r="E76" s="102">
        <v>2300</v>
      </c>
      <c r="F76" s="102">
        <v>1453</v>
      </c>
      <c r="G76" s="102">
        <v>487</v>
      </c>
      <c r="H76" s="102">
        <v>205</v>
      </c>
      <c r="I76" s="102">
        <v>136</v>
      </c>
      <c r="J76" s="102">
        <v>273</v>
      </c>
      <c r="K76" s="102">
        <v>8491</v>
      </c>
      <c r="L76" s="36"/>
      <c r="M76" s="102"/>
      <c r="N76" s="102"/>
      <c r="O76" s="102"/>
      <c r="P76" s="102"/>
      <c r="Q76" s="102"/>
      <c r="R76" s="102"/>
      <c r="S76" s="102"/>
      <c r="T76" s="102"/>
      <c r="U76" s="102"/>
    </row>
    <row r="77" spans="1:21" x14ac:dyDescent="0.25">
      <c r="A77" s="194" t="s">
        <v>216</v>
      </c>
      <c r="B77" s="4" t="s">
        <v>18</v>
      </c>
      <c r="C77" s="9">
        <v>1921</v>
      </c>
      <c r="D77" s="9">
        <v>739</v>
      </c>
      <c r="E77" s="9">
        <v>1571</v>
      </c>
      <c r="F77" s="9">
        <v>943</v>
      </c>
      <c r="G77" s="9">
        <v>342</v>
      </c>
      <c r="H77" s="9">
        <v>128</v>
      </c>
      <c r="I77" s="9">
        <v>85</v>
      </c>
      <c r="J77" s="9">
        <v>233</v>
      </c>
      <c r="K77" s="9">
        <v>5962</v>
      </c>
      <c r="L77" s="9"/>
      <c r="M77" s="9"/>
      <c r="N77" s="9"/>
      <c r="O77" s="9"/>
      <c r="P77" s="9"/>
      <c r="Q77" s="9"/>
      <c r="R77" s="9"/>
      <c r="S77" s="9"/>
      <c r="T77" s="9"/>
      <c r="U77" s="9"/>
    </row>
    <row r="78" spans="1:21" x14ac:dyDescent="0.25">
      <c r="A78" s="194"/>
      <c r="B78" s="4" t="s">
        <v>22</v>
      </c>
      <c r="C78" s="9">
        <v>525</v>
      </c>
      <c r="D78" s="9">
        <v>172</v>
      </c>
      <c r="E78" s="9">
        <v>530</v>
      </c>
      <c r="F78" s="9">
        <v>255</v>
      </c>
      <c r="G78" s="9">
        <v>94</v>
      </c>
      <c r="H78" s="9">
        <v>51</v>
      </c>
      <c r="I78" s="9">
        <v>39</v>
      </c>
      <c r="J78" s="9">
        <v>37</v>
      </c>
      <c r="K78" s="9">
        <v>1703</v>
      </c>
      <c r="L78" s="9"/>
      <c r="M78" s="9"/>
      <c r="N78" s="9"/>
      <c r="O78" s="9"/>
      <c r="P78" s="9"/>
      <c r="Q78" s="9"/>
      <c r="R78" s="9"/>
      <c r="S78" s="9"/>
      <c r="T78" s="9"/>
      <c r="U78" s="9"/>
    </row>
    <row r="79" spans="1:21" x14ac:dyDescent="0.25">
      <c r="A79" s="194"/>
      <c r="B79" s="4" t="s">
        <v>21</v>
      </c>
      <c r="C79" s="9">
        <v>1</v>
      </c>
      <c r="D79" s="9" t="s">
        <v>146</v>
      </c>
      <c r="E79" s="9" t="s">
        <v>146</v>
      </c>
      <c r="F79" s="9" t="s">
        <v>146</v>
      </c>
      <c r="G79" s="9" t="s">
        <v>146</v>
      </c>
      <c r="H79" s="9" t="s">
        <v>146</v>
      </c>
      <c r="I79" s="9" t="s">
        <v>146</v>
      </c>
      <c r="J79" s="9" t="s">
        <v>146</v>
      </c>
      <c r="K79" s="9">
        <v>1</v>
      </c>
      <c r="L79" s="9"/>
      <c r="M79" s="9"/>
      <c r="N79" s="9"/>
      <c r="O79" s="9"/>
      <c r="P79" s="9"/>
      <c r="Q79" s="9"/>
      <c r="R79" s="9"/>
      <c r="S79" s="9"/>
      <c r="T79" s="9"/>
      <c r="U79" s="9"/>
    </row>
    <row r="80" spans="1:21" x14ac:dyDescent="0.25">
      <c r="A80" s="194"/>
      <c r="B80" s="100" t="s">
        <v>12</v>
      </c>
      <c r="C80" s="102">
        <v>2447</v>
      </c>
      <c r="D80" s="102">
        <v>911</v>
      </c>
      <c r="E80" s="102">
        <v>2101</v>
      </c>
      <c r="F80" s="102">
        <v>1198</v>
      </c>
      <c r="G80" s="102">
        <v>436</v>
      </c>
      <c r="H80" s="102">
        <v>179</v>
      </c>
      <c r="I80" s="102">
        <v>124</v>
      </c>
      <c r="J80" s="102">
        <v>270</v>
      </c>
      <c r="K80" s="102">
        <v>7666</v>
      </c>
      <c r="L80" s="36"/>
      <c r="M80" s="102"/>
      <c r="N80" s="102"/>
      <c r="O80" s="102"/>
      <c r="P80" s="102"/>
      <c r="Q80" s="102"/>
      <c r="R80" s="102"/>
      <c r="S80" s="102"/>
      <c r="T80" s="102"/>
      <c r="U80" s="102"/>
    </row>
    <row r="81" spans="1:21" x14ac:dyDescent="0.25">
      <c r="A81" s="194" t="s">
        <v>217</v>
      </c>
      <c r="B81" s="4" t="s">
        <v>18</v>
      </c>
      <c r="C81" s="9">
        <v>1803</v>
      </c>
      <c r="D81" s="9">
        <v>599</v>
      </c>
      <c r="E81" s="9">
        <v>1543</v>
      </c>
      <c r="F81" s="9">
        <v>1000</v>
      </c>
      <c r="G81" s="9">
        <v>340</v>
      </c>
      <c r="H81" s="9">
        <v>98</v>
      </c>
      <c r="I81" s="9">
        <v>72</v>
      </c>
      <c r="J81" s="9">
        <v>287</v>
      </c>
      <c r="K81" s="9">
        <v>5742</v>
      </c>
      <c r="L81" s="9"/>
      <c r="M81" s="9"/>
      <c r="N81" s="9"/>
      <c r="O81" s="9"/>
      <c r="P81" s="9"/>
      <c r="Q81" s="9"/>
      <c r="R81" s="9"/>
      <c r="S81" s="9"/>
      <c r="T81" s="9"/>
      <c r="U81" s="9"/>
    </row>
    <row r="82" spans="1:21" x14ac:dyDescent="0.25">
      <c r="A82" s="194"/>
      <c r="B82" s="4" t="s">
        <v>22</v>
      </c>
      <c r="C82" s="9">
        <v>437</v>
      </c>
      <c r="D82" s="9">
        <v>125</v>
      </c>
      <c r="E82" s="9">
        <v>543</v>
      </c>
      <c r="F82" s="9">
        <v>287</v>
      </c>
      <c r="G82" s="9">
        <v>98</v>
      </c>
      <c r="H82" s="9">
        <v>40</v>
      </c>
      <c r="I82" s="9">
        <v>38</v>
      </c>
      <c r="J82" s="9">
        <v>59</v>
      </c>
      <c r="K82" s="9">
        <v>1627</v>
      </c>
      <c r="L82" s="9"/>
      <c r="M82" s="9"/>
      <c r="N82" s="9"/>
      <c r="O82" s="9"/>
      <c r="P82" s="9"/>
      <c r="Q82" s="9"/>
      <c r="R82" s="9"/>
      <c r="S82" s="9"/>
      <c r="T82" s="9"/>
      <c r="U82" s="9"/>
    </row>
    <row r="83" spans="1:21" x14ac:dyDescent="0.25">
      <c r="A83" s="194"/>
      <c r="B83" s="4" t="s">
        <v>21</v>
      </c>
      <c r="C83" s="9">
        <v>4</v>
      </c>
      <c r="D83" s="9">
        <v>1</v>
      </c>
      <c r="E83" s="9">
        <v>1</v>
      </c>
      <c r="F83" s="9" t="s">
        <v>146</v>
      </c>
      <c r="G83" s="9" t="s">
        <v>146</v>
      </c>
      <c r="H83" s="9" t="s">
        <v>146</v>
      </c>
      <c r="I83" s="9" t="s">
        <v>146</v>
      </c>
      <c r="J83" s="9" t="s">
        <v>146</v>
      </c>
      <c r="K83" s="9">
        <v>6</v>
      </c>
      <c r="L83" s="9"/>
      <c r="M83" s="9"/>
      <c r="N83" s="9"/>
      <c r="O83" s="9"/>
      <c r="P83" s="9"/>
      <c r="Q83" s="9"/>
      <c r="R83" s="9"/>
      <c r="S83" s="9"/>
      <c r="T83" s="9"/>
      <c r="U83" s="9"/>
    </row>
    <row r="84" spans="1:21" x14ac:dyDescent="0.25">
      <c r="A84" s="194"/>
      <c r="B84" s="100" t="s">
        <v>12</v>
      </c>
      <c r="C84" s="102">
        <v>2244</v>
      </c>
      <c r="D84" s="102">
        <v>725</v>
      </c>
      <c r="E84" s="102">
        <v>2087</v>
      </c>
      <c r="F84" s="102">
        <v>1287</v>
      </c>
      <c r="G84" s="102">
        <v>438</v>
      </c>
      <c r="H84" s="102">
        <v>138</v>
      </c>
      <c r="I84" s="102">
        <v>110</v>
      </c>
      <c r="J84" s="102">
        <v>346</v>
      </c>
      <c r="K84" s="102">
        <v>7375</v>
      </c>
      <c r="L84" s="36"/>
      <c r="M84" s="102"/>
      <c r="N84" s="102"/>
      <c r="O84" s="102"/>
      <c r="P84" s="102"/>
      <c r="Q84" s="102"/>
      <c r="R84" s="102"/>
      <c r="S84" s="102"/>
      <c r="T84" s="102"/>
      <c r="U84" s="102"/>
    </row>
    <row r="85" spans="1:21" x14ac:dyDescent="0.25">
      <c r="A85" s="194" t="s">
        <v>218</v>
      </c>
      <c r="B85" s="4" t="s">
        <v>18</v>
      </c>
      <c r="C85" s="9">
        <v>1810</v>
      </c>
      <c r="D85" s="9">
        <v>536</v>
      </c>
      <c r="E85" s="9">
        <v>1521</v>
      </c>
      <c r="F85" s="9">
        <v>1102</v>
      </c>
      <c r="G85" s="9">
        <v>387</v>
      </c>
      <c r="H85" s="9">
        <v>112</v>
      </c>
      <c r="I85" s="9">
        <v>99</v>
      </c>
      <c r="J85" s="9">
        <v>340</v>
      </c>
      <c r="K85" s="9">
        <v>5907</v>
      </c>
      <c r="L85" s="9"/>
      <c r="M85" s="9"/>
      <c r="N85" s="9"/>
      <c r="O85" s="9"/>
      <c r="P85" s="9"/>
      <c r="Q85" s="9"/>
      <c r="R85" s="9"/>
      <c r="S85" s="9"/>
      <c r="T85" s="9"/>
      <c r="U85" s="9"/>
    </row>
    <row r="86" spans="1:21" x14ac:dyDescent="0.25">
      <c r="A86" s="194"/>
      <c r="B86" s="4" t="s">
        <v>22</v>
      </c>
      <c r="C86" s="9">
        <v>488</v>
      </c>
      <c r="D86" s="9">
        <v>89</v>
      </c>
      <c r="E86" s="9">
        <v>519</v>
      </c>
      <c r="F86" s="9">
        <v>326</v>
      </c>
      <c r="G86" s="9">
        <v>148</v>
      </c>
      <c r="H86" s="9">
        <v>47</v>
      </c>
      <c r="I86" s="9">
        <v>48</v>
      </c>
      <c r="J86" s="9">
        <v>72</v>
      </c>
      <c r="K86" s="9">
        <v>1737</v>
      </c>
      <c r="L86" s="9"/>
      <c r="M86" s="9"/>
      <c r="N86" s="9"/>
      <c r="O86" s="9"/>
      <c r="P86" s="9"/>
      <c r="Q86" s="9"/>
      <c r="R86" s="9"/>
      <c r="S86" s="9"/>
      <c r="T86" s="9"/>
      <c r="U86" s="9"/>
    </row>
    <row r="87" spans="1:21" x14ac:dyDescent="0.25">
      <c r="A87" s="194"/>
      <c r="B87" s="4" t="s">
        <v>21</v>
      </c>
      <c r="C87" s="9">
        <v>3</v>
      </c>
      <c r="D87" s="9">
        <v>1</v>
      </c>
      <c r="E87" s="9">
        <v>2</v>
      </c>
      <c r="F87" s="9" t="s">
        <v>146</v>
      </c>
      <c r="G87" s="9">
        <v>1</v>
      </c>
      <c r="H87" s="9" t="s">
        <v>146</v>
      </c>
      <c r="I87" s="9" t="s">
        <v>146</v>
      </c>
      <c r="J87" s="9">
        <v>2</v>
      </c>
      <c r="K87" s="9">
        <v>9</v>
      </c>
      <c r="L87" s="9"/>
      <c r="M87" s="9"/>
      <c r="N87" s="9"/>
      <c r="O87" s="9"/>
      <c r="P87" s="9"/>
      <c r="Q87" s="9"/>
      <c r="R87" s="9"/>
      <c r="S87" s="9"/>
      <c r="T87" s="9"/>
      <c r="U87" s="9"/>
    </row>
    <row r="88" spans="1:21" x14ac:dyDescent="0.25">
      <c r="A88" s="194"/>
      <c r="B88" s="100" t="s">
        <v>12</v>
      </c>
      <c r="C88" s="102">
        <v>2301</v>
      </c>
      <c r="D88" s="102">
        <v>626</v>
      </c>
      <c r="E88" s="102">
        <v>2042</v>
      </c>
      <c r="F88" s="102">
        <v>1428</v>
      </c>
      <c r="G88" s="102">
        <v>536</v>
      </c>
      <c r="H88" s="102">
        <v>159</v>
      </c>
      <c r="I88" s="102">
        <v>147</v>
      </c>
      <c r="J88" s="102">
        <v>414</v>
      </c>
      <c r="K88" s="102">
        <v>7653</v>
      </c>
      <c r="L88" s="36"/>
      <c r="M88" s="102"/>
      <c r="N88" s="102"/>
      <c r="O88" s="102"/>
      <c r="P88" s="102"/>
      <c r="Q88" s="102"/>
      <c r="R88" s="102"/>
      <c r="S88" s="102"/>
      <c r="T88" s="102"/>
      <c r="U88" s="102"/>
    </row>
    <row r="89" spans="1:21" x14ac:dyDescent="0.25">
      <c r="A89" s="194" t="s">
        <v>219</v>
      </c>
      <c r="B89" s="4" t="s">
        <v>18</v>
      </c>
      <c r="C89" s="9">
        <v>1748</v>
      </c>
      <c r="D89" s="9">
        <v>480</v>
      </c>
      <c r="E89" s="9">
        <v>1534</v>
      </c>
      <c r="F89" s="9">
        <v>1045</v>
      </c>
      <c r="G89" s="9">
        <v>388</v>
      </c>
      <c r="H89" s="9">
        <v>134</v>
      </c>
      <c r="I89" s="9">
        <v>107</v>
      </c>
      <c r="J89" s="9">
        <v>431</v>
      </c>
      <c r="K89" s="9">
        <v>5867</v>
      </c>
      <c r="L89" s="9"/>
      <c r="M89" s="9"/>
      <c r="N89" s="9"/>
      <c r="O89" s="9"/>
      <c r="P89" s="9"/>
      <c r="Q89" s="9"/>
      <c r="R89" s="9"/>
      <c r="S89" s="9"/>
      <c r="T89" s="9"/>
      <c r="U89" s="9"/>
    </row>
    <row r="90" spans="1:21" x14ac:dyDescent="0.25">
      <c r="A90" s="194"/>
      <c r="B90" s="4" t="s">
        <v>22</v>
      </c>
      <c r="C90" s="9">
        <v>519</v>
      </c>
      <c r="D90" s="9">
        <v>81</v>
      </c>
      <c r="E90" s="9">
        <v>533</v>
      </c>
      <c r="F90" s="9">
        <v>350</v>
      </c>
      <c r="G90" s="9">
        <v>160</v>
      </c>
      <c r="H90" s="9">
        <v>51</v>
      </c>
      <c r="I90" s="9">
        <v>52</v>
      </c>
      <c r="J90" s="9">
        <v>101</v>
      </c>
      <c r="K90" s="9">
        <v>1847</v>
      </c>
      <c r="L90" s="9"/>
      <c r="M90" s="9"/>
      <c r="N90" s="9"/>
      <c r="O90" s="9"/>
      <c r="P90" s="9"/>
      <c r="Q90" s="9"/>
      <c r="R90" s="9"/>
      <c r="S90" s="9"/>
      <c r="T90" s="9"/>
      <c r="U90" s="9"/>
    </row>
    <row r="91" spans="1:21" x14ac:dyDescent="0.25">
      <c r="A91" s="194"/>
      <c r="B91" s="4" t="s">
        <v>21</v>
      </c>
      <c r="C91" s="9">
        <v>6</v>
      </c>
      <c r="D91" s="9" t="s">
        <v>146</v>
      </c>
      <c r="E91" s="9">
        <v>2</v>
      </c>
      <c r="F91" s="9" t="s">
        <v>146</v>
      </c>
      <c r="G91" s="9" t="s">
        <v>146</v>
      </c>
      <c r="H91" s="9">
        <v>2</v>
      </c>
      <c r="I91" s="9" t="s">
        <v>146</v>
      </c>
      <c r="J91" s="9">
        <v>1</v>
      </c>
      <c r="K91" s="9">
        <v>11</v>
      </c>
      <c r="L91" s="9"/>
      <c r="M91" s="9"/>
      <c r="N91" s="9"/>
      <c r="O91" s="9"/>
      <c r="P91" s="9"/>
      <c r="Q91" s="9"/>
      <c r="R91" s="9"/>
      <c r="S91" s="9"/>
      <c r="T91" s="9"/>
      <c r="U91" s="9"/>
    </row>
    <row r="92" spans="1:21" x14ac:dyDescent="0.25">
      <c r="A92" s="194"/>
      <c r="B92" s="100" t="s">
        <v>12</v>
      </c>
      <c r="C92" s="102">
        <v>2273</v>
      </c>
      <c r="D92" s="102">
        <v>561</v>
      </c>
      <c r="E92" s="102">
        <v>2069</v>
      </c>
      <c r="F92" s="102">
        <v>1395</v>
      </c>
      <c r="G92" s="102">
        <v>548</v>
      </c>
      <c r="H92" s="102">
        <v>187</v>
      </c>
      <c r="I92" s="102">
        <v>159</v>
      </c>
      <c r="J92" s="102">
        <v>533</v>
      </c>
      <c r="K92" s="102">
        <v>7725</v>
      </c>
      <c r="L92" s="36"/>
      <c r="M92" s="102"/>
      <c r="N92" s="102"/>
      <c r="O92" s="102"/>
      <c r="P92" s="102"/>
      <c r="Q92" s="102"/>
      <c r="R92" s="102"/>
      <c r="S92" s="102"/>
      <c r="T92" s="102"/>
      <c r="U92" s="102"/>
    </row>
    <row r="93" spans="1:21" x14ac:dyDescent="0.25">
      <c r="A93" s="194" t="s">
        <v>357</v>
      </c>
      <c r="B93" s="4" t="s">
        <v>18</v>
      </c>
      <c r="C93" s="9">
        <v>1807</v>
      </c>
      <c r="D93" s="9">
        <v>548</v>
      </c>
      <c r="E93" s="9">
        <v>1536</v>
      </c>
      <c r="F93" s="9">
        <v>1014</v>
      </c>
      <c r="G93" s="9">
        <v>381</v>
      </c>
      <c r="H93" s="9">
        <v>150</v>
      </c>
      <c r="I93" s="9">
        <v>108</v>
      </c>
      <c r="J93" s="9">
        <v>514</v>
      </c>
      <c r="K93" s="9">
        <v>6058</v>
      </c>
      <c r="L93" s="9"/>
      <c r="M93" s="9"/>
      <c r="N93" s="9"/>
      <c r="O93" s="9"/>
      <c r="P93" s="9"/>
      <c r="Q93" s="9"/>
      <c r="R93" s="9"/>
      <c r="S93" s="9"/>
      <c r="T93" s="9"/>
      <c r="U93" s="9"/>
    </row>
    <row r="94" spans="1:21" x14ac:dyDescent="0.25">
      <c r="A94" s="194"/>
      <c r="B94" s="4" t="s">
        <v>22</v>
      </c>
      <c r="C94" s="9">
        <v>500</v>
      </c>
      <c r="D94" s="9">
        <v>87</v>
      </c>
      <c r="E94" s="9">
        <v>522</v>
      </c>
      <c r="F94" s="9">
        <v>326</v>
      </c>
      <c r="G94" s="9">
        <v>159</v>
      </c>
      <c r="H94" s="9">
        <v>63</v>
      </c>
      <c r="I94" s="9">
        <v>44</v>
      </c>
      <c r="J94" s="9">
        <v>138</v>
      </c>
      <c r="K94" s="9">
        <v>1839</v>
      </c>
      <c r="L94" s="9"/>
      <c r="M94" s="9"/>
      <c r="N94" s="9"/>
      <c r="O94" s="9"/>
      <c r="P94" s="9"/>
      <c r="Q94" s="9"/>
      <c r="R94" s="9"/>
      <c r="S94" s="9"/>
      <c r="T94" s="9"/>
      <c r="U94" s="9"/>
    </row>
    <row r="95" spans="1:21" x14ac:dyDescent="0.25">
      <c r="A95" s="194"/>
      <c r="B95" s="4" t="s">
        <v>21</v>
      </c>
      <c r="C95" s="9">
        <v>2</v>
      </c>
      <c r="D95" s="9" t="s">
        <v>146</v>
      </c>
      <c r="E95" s="9">
        <v>3</v>
      </c>
      <c r="F95" s="9">
        <v>1</v>
      </c>
      <c r="G95" s="9">
        <v>1</v>
      </c>
      <c r="H95" s="9">
        <v>3</v>
      </c>
      <c r="I95" s="9" t="s">
        <v>146</v>
      </c>
      <c r="J95" s="9">
        <v>1</v>
      </c>
      <c r="K95" s="9">
        <v>11</v>
      </c>
      <c r="L95" s="9"/>
      <c r="M95" s="9"/>
      <c r="N95" s="9"/>
      <c r="O95" s="9"/>
      <c r="P95" s="9"/>
      <c r="Q95" s="9"/>
      <c r="R95" s="9"/>
      <c r="S95" s="9"/>
      <c r="T95" s="9"/>
      <c r="U95" s="9"/>
    </row>
    <row r="96" spans="1:21" x14ac:dyDescent="0.25">
      <c r="A96" s="194"/>
      <c r="B96" s="100" t="s">
        <v>12</v>
      </c>
      <c r="C96" s="102">
        <v>2309</v>
      </c>
      <c r="D96" s="102">
        <v>635</v>
      </c>
      <c r="E96" s="102">
        <v>2061</v>
      </c>
      <c r="F96" s="102">
        <v>1341</v>
      </c>
      <c r="G96" s="102">
        <v>541</v>
      </c>
      <c r="H96" s="102">
        <v>216</v>
      </c>
      <c r="I96" s="102">
        <v>152</v>
      </c>
      <c r="J96" s="102">
        <v>653</v>
      </c>
      <c r="K96" s="102">
        <v>7908</v>
      </c>
      <c r="L96" s="9"/>
      <c r="M96" s="102"/>
      <c r="N96" s="102"/>
      <c r="O96" s="102"/>
      <c r="P96" s="102"/>
      <c r="Q96" s="102"/>
      <c r="R96" s="102"/>
      <c r="S96" s="102"/>
      <c r="T96" s="102"/>
      <c r="U96" s="102"/>
    </row>
    <row r="97" spans="1:14" ht="4.5" customHeight="1" x14ac:dyDescent="0.25">
      <c r="A97" s="41"/>
      <c r="B97" s="41"/>
      <c r="C97" s="42"/>
      <c r="D97" s="42"/>
      <c r="E97" s="42"/>
      <c r="F97" s="42"/>
      <c r="G97" s="42"/>
      <c r="H97" s="42"/>
      <c r="I97" s="42"/>
      <c r="J97" s="42"/>
      <c r="K97" s="42"/>
      <c r="M97" s="123"/>
      <c r="N97" s="123"/>
    </row>
    <row r="98" spans="1:14" ht="2.25" customHeight="1" x14ac:dyDescent="0.25">
      <c r="A98" s="29"/>
      <c r="B98" s="4"/>
      <c r="C98" s="9"/>
      <c r="D98" s="9"/>
      <c r="E98" s="9"/>
      <c r="F98" s="9"/>
      <c r="G98" s="9"/>
      <c r="H98" s="9"/>
      <c r="I98" s="9"/>
      <c r="J98" s="9"/>
      <c r="K98" s="9"/>
      <c r="L98" s="9"/>
    </row>
    <row r="99" spans="1:14" ht="11.1" customHeight="1" x14ac:dyDescent="0.25">
      <c r="A99" s="7" t="s">
        <v>23</v>
      </c>
      <c r="B99" s="7"/>
      <c r="C99" s="7"/>
      <c r="D99" s="7"/>
      <c r="E99" s="7"/>
      <c r="F99" s="7"/>
      <c r="G99" s="7"/>
      <c r="H99" s="7"/>
      <c r="I99" s="7"/>
      <c r="J99" s="7"/>
      <c r="K99" s="7"/>
      <c r="L99" s="7"/>
      <c r="M99" s="7"/>
      <c r="N99" s="7"/>
    </row>
    <row r="100" spans="1:14" s="7" customFormat="1" ht="11.1" customHeight="1" x14ac:dyDescent="0.15">
      <c r="A100" s="7" t="s">
        <v>39</v>
      </c>
      <c r="N100" s="125"/>
    </row>
    <row r="101" spans="1:14" s="7" customFormat="1" ht="11.1" customHeight="1" x14ac:dyDescent="0.15">
      <c r="A101" s="7" t="s">
        <v>29</v>
      </c>
    </row>
    <row r="102" spans="1:14" s="7" customFormat="1" ht="11.1" customHeight="1" x14ac:dyDescent="0.15">
      <c r="A102" s="7" t="s">
        <v>99</v>
      </c>
    </row>
    <row r="103" spans="1:14" s="7" customFormat="1" ht="11.1" customHeight="1" x14ac:dyDescent="0.15">
      <c r="A103" s="7" t="s">
        <v>15</v>
      </c>
    </row>
    <row r="104" spans="1:14" s="7" customFormat="1" ht="11.1" customHeight="1" x14ac:dyDescent="0.15">
      <c r="A104" s="7" t="s">
        <v>347</v>
      </c>
    </row>
    <row r="105" spans="1:14" ht="12" customHeight="1" x14ac:dyDescent="0.25">
      <c r="A105" s="2"/>
      <c r="H105" s="123"/>
    </row>
  </sheetData>
  <mergeCells count="25">
    <mergeCell ref="A85:A88"/>
    <mergeCell ref="A89:A92"/>
    <mergeCell ref="A93:A96"/>
    <mergeCell ref="A40:A43"/>
    <mergeCell ref="A1:L1"/>
    <mergeCell ref="A4:A7"/>
    <mergeCell ref="A8:A11"/>
    <mergeCell ref="A12:A15"/>
    <mergeCell ref="A16:A19"/>
    <mergeCell ref="A20:A23"/>
    <mergeCell ref="A24:A27"/>
    <mergeCell ref="A28:A31"/>
    <mergeCell ref="A32:A35"/>
    <mergeCell ref="A36:A39"/>
    <mergeCell ref="A69:A72"/>
    <mergeCell ref="A73:A76"/>
    <mergeCell ref="A49:L49"/>
    <mergeCell ref="A77:A80"/>
    <mergeCell ref="A81:A84"/>
    <mergeCell ref="A45:L45"/>
    <mergeCell ref="A54:N54"/>
    <mergeCell ref="A57:A60"/>
    <mergeCell ref="A61:A64"/>
    <mergeCell ref="A65:A68"/>
    <mergeCell ref="A50:L50"/>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Y102"/>
  <sheetViews>
    <sheetView zoomScaleNormal="100" workbookViewId="0">
      <selection sqref="A1:L1"/>
    </sheetView>
  </sheetViews>
  <sheetFormatPr defaultColWidth="9.140625" defaultRowHeight="15" x14ac:dyDescent="0.25"/>
  <cols>
    <col min="1" max="10" width="11.42578125" style="1" bestFit="1" customWidth="1"/>
    <col min="11" max="11" width="11.140625" style="1" customWidth="1"/>
    <col min="12" max="14" width="11.42578125" style="1" bestFit="1" customWidth="1"/>
    <col min="15" max="16384" width="9.140625" style="1"/>
  </cols>
  <sheetData>
    <row r="1" spans="1:25" ht="23.25" customHeight="1" x14ac:dyDescent="0.25">
      <c r="A1" s="190" t="s">
        <v>371</v>
      </c>
      <c r="B1" s="190"/>
      <c r="C1" s="190"/>
      <c r="D1" s="190"/>
      <c r="E1" s="190"/>
      <c r="F1" s="190"/>
      <c r="G1" s="190"/>
      <c r="H1" s="190"/>
      <c r="I1" s="190"/>
      <c r="J1" s="190"/>
      <c r="K1" s="190"/>
      <c r="L1" s="190"/>
    </row>
    <row r="2" spans="1:25" ht="3" customHeight="1" x14ac:dyDescent="0.25">
      <c r="A2" s="2"/>
    </row>
    <row r="3" spans="1:25" ht="23.25" x14ac:dyDescent="0.25">
      <c r="A3" s="35" t="s">
        <v>160</v>
      </c>
      <c r="B3" s="35" t="s">
        <v>157</v>
      </c>
      <c r="C3" s="3" t="s">
        <v>1</v>
      </c>
      <c r="D3" s="3" t="s">
        <v>2</v>
      </c>
      <c r="E3" s="3" t="s">
        <v>3</v>
      </c>
      <c r="F3" s="3" t="s">
        <v>4</v>
      </c>
      <c r="G3" s="3" t="s">
        <v>5</v>
      </c>
      <c r="H3" s="3" t="s">
        <v>6</v>
      </c>
      <c r="I3" s="3" t="s">
        <v>7</v>
      </c>
      <c r="J3" s="3" t="s">
        <v>8</v>
      </c>
      <c r="K3" s="3" t="s">
        <v>220</v>
      </c>
      <c r="L3" s="3" t="s">
        <v>9</v>
      </c>
    </row>
    <row r="4" spans="1:25" x14ac:dyDescent="0.25">
      <c r="A4" s="194" t="s">
        <v>211</v>
      </c>
      <c r="B4" s="4" t="s">
        <v>18</v>
      </c>
      <c r="C4" s="5">
        <v>1235</v>
      </c>
      <c r="D4" s="5">
        <v>932</v>
      </c>
      <c r="E4" s="5">
        <v>1138.8</v>
      </c>
      <c r="F4" s="5">
        <v>662.4</v>
      </c>
      <c r="G4" s="5">
        <v>266.60000000000002</v>
      </c>
      <c r="H4" s="5">
        <v>122.3</v>
      </c>
      <c r="I4" s="5">
        <v>54.9</v>
      </c>
      <c r="J4" s="5">
        <v>173</v>
      </c>
      <c r="K4" s="5">
        <v>4412</v>
      </c>
      <c r="L4" s="5">
        <v>4585</v>
      </c>
      <c r="N4" s="152"/>
      <c r="O4" s="152"/>
      <c r="P4" s="152"/>
      <c r="Q4" s="152"/>
      <c r="R4" s="152"/>
      <c r="S4" s="152"/>
      <c r="T4" s="152"/>
      <c r="U4" s="152"/>
      <c r="V4" s="152"/>
      <c r="W4" s="152"/>
      <c r="Y4" s="129"/>
    </row>
    <row r="5" spans="1:25" x14ac:dyDescent="0.25">
      <c r="A5" s="194"/>
      <c r="B5" s="4" t="s">
        <v>22</v>
      </c>
      <c r="C5" s="5">
        <v>264.89999999999998</v>
      </c>
      <c r="D5" s="5">
        <v>156.4</v>
      </c>
      <c r="E5" s="5">
        <v>326.60000000000002</v>
      </c>
      <c r="F5" s="5">
        <v>114.1</v>
      </c>
      <c r="G5" s="5">
        <v>49.6</v>
      </c>
      <c r="H5" s="5">
        <v>18.8</v>
      </c>
      <c r="I5" s="5">
        <v>18</v>
      </c>
      <c r="J5" s="5">
        <v>33</v>
      </c>
      <c r="K5" s="5">
        <v>948.5</v>
      </c>
      <c r="L5" s="5">
        <v>981.5</v>
      </c>
      <c r="N5" s="152"/>
      <c r="O5" s="152"/>
      <c r="P5" s="152"/>
      <c r="Q5" s="152"/>
      <c r="R5" s="152"/>
      <c r="S5" s="152"/>
      <c r="T5" s="152"/>
      <c r="U5" s="152"/>
      <c r="V5" s="152"/>
      <c r="W5" s="152"/>
    </row>
    <row r="6" spans="1:25" x14ac:dyDescent="0.25">
      <c r="A6" s="194"/>
      <c r="B6" s="4" t="s">
        <v>21</v>
      </c>
      <c r="C6" s="126" t="s">
        <v>146</v>
      </c>
      <c r="D6" s="126" t="s">
        <v>146</v>
      </c>
      <c r="E6" s="5">
        <v>1</v>
      </c>
      <c r="F6" s="5">
        <v>0.1</v>
      </c>
      <c r="G6" s="126" t="s">
        <v>146</v>
      </c>
      <c r="H6" s="126" t="s">
        <v>146</v>
      </c>
      <c r="I6" s="126" t="s">
        <v>146</v>
      </c>
      <c r="J6" s="126" t="s">
        <v>146</v>
      </c>
      <c r="K6" s="5">
        <v>1</v>
      </c>
      <c r="L6" s="5">
        <v>1</v>
      </c>
      <c r="N6" s="152"/>
      <c r="O6" s="152"/>
      <c r="P6" s="152"/>
      <c r="Q6" s="152"/>
      <c r="R6" s="152"/>
      <c r="S6" s="152"/>
      <c r="T6" s="152"/>
      <c r="U6" s="152"/>
      <c r="V6" s="152"/>
      <c r="W6" s="152"/>
      <c r="Y6" s="129"/>
    </row>
    <row r="7" spans="1:25" x14ac:dyDescent="0.25">
      <c r="A7" s="194"/>
      <c r="B7" s="100" t="s">
        <v>12</v>
      </c>
      <c r="C7" s="101">
        <v>1499.9</v>
      </c>
      <c r="D7" s="101">
        <v>1088.4000000000001</v>
      </c>
      <c r="E7" s="101">
        <v>1466.4</v>
      </c>
      <c r="F7" s="101">
        <v>776.6</v>
      </c>
      <c r="G7" s="101">
        <v>316.2</v>
      </c>
      <c r="H7" s="101">
        <v>141.19999999999999</v>
      </c>
      <c r="I7" s="101">
        <v>73</v>
      </c>
      <c r="J7" s="101">
        <v>206</v>
      </c>
      <c r="K7" s="101">
        <v>5361.6</v>
      </c>
      <c r="L7" s="101">
        <v>5567.6</v>
      </c>
      <c r="N7" s="152"/>
      <c r="O7" s="152"/>
      <c r="P7" s="152"/>
      <c r="Q7" s="152"/>
      <c r="R7" s="152"/>
      <c r="S7" s="152"/>
      <c r="T7" s="152"/>
      <c r="U7" s="152"/>
      <c r="V7" s="152"/>
      <c r="W7" s="152"/>
    </row>
    <row r="8" spans="1:25" x14ac:dyDescent="0.25">
      <c r="A8" s="194" t="s">
        <v>212</v>
      </c>
      <c r="B8" s="4" t="s">
        <v>18</v>
      </c>
      <c r="C8" s="5">
        <v>1126.4000000000001</v>
      </c>
      <c r="D8" s="5">
        <v>887.5</v>
      </c>
      <c r="E8" s="5">
        <v>1082.2</v>
      </c>
      <c r="F8" s="5">
        <v>665.5</v>
      </c>
      <c r="G8" s="5">
        <v>260</v>
      </c>
      <c r="H8" s="5">
        <v>108.4</v>
      </c>
      <c r="I8" s="5">
        <v>59.6</v>
      </c>
      <c r="J8" s="5">
        <v>172.6</v>
      </c>
      <c r="K8" s="5">
        <v>4189.7</v>
      </c>
      <c r="L8" s="5">
        <v>4362.2</v>
      </c>
      <c r="N8" s="152"/>
      <c r="O8" s="152"/>
      <c r="P8" s="152"/>
      <c r="Q8" s="152"/>
      <c r="R8" s="152"/>
      <c r="S8" s="152"/>
      <c r="T8" s="152"/>
      <c r="U8" s="152"/>
      <c r="V8" s="152"/>
      <c r="W8" s="152"/>
    </row>
    <row r="9" spans="1:25" x14ac:dyDescent="0.25">
      <c r="A9" s="194"/>
      <c r="B9" s="4" t="s">
        <v>22</v>
      </c>
      <c r="C9" s="5">
        <v>255</v>
      </c>
      <c r="D9" s="5">
        <v>150</v>
      </c>
      <c r="E9" s="5">
        <v>331.7</v>
      </c>
      <c r="F9" s="5">
        <v>115.2</v>
      </c>
      <c r="G9" s="5">
        <v>58.9</v>
      </c>
      <c r="H9" s="5">
        <v>25</v>
      </c>
      <c r="I9" s="5">
        <v>17.2</v>
      </c>
      <c r="J9" s="5">
        <v>36.799999999999997</v>
      </c>
      <c r="K9" s="5">
        <v>953.1</v>
      </c>
      <c r="L9" s="5">
        <v>989.9</v>
      </c>
      <c r="N9" s="152"/>
      <c r="O9" s="152"/>
      <c r="P9" s="152"/>
      <c r="Q9" s="152"/>
      <c r="R9" s="152"/>
      <c r="S9" s="152"/>
      <c r="T9" s="152"/>
      <c r="U9" s="152"/>
      <c r="V9" s="152"/>
      <c r="W9" s="152"/>
    </row>
    <row r="10" spans="1:25" x14ac:dyDescent="0.25">
      <c r="A10" s="194"/>
      <c r="B10" s="4" t="s">
        <v>21</v>
      </c>
      <c r="C10" s="126" t="s">
        <v>146</v>
      </c>
      <c r="D10" s="126" t="s">
        <v>146</v>
      </c>
      <c r="E10" s="126">
        <v>1</v>
      </c>
      <c r="F10" s="5" t="s">
        <v>146</v>
      </c>
      <c r="G10" s="126" t="s">
        <v>146</v>
      </c>
      <c r="H10" s="126" t="s">
        <v>146</v>
      </c>
      <c r="I10" s="126" t="s">
        <v>146</v>
      </c>
      <c r="J10" s="126" t="s">
        <v>146</v>
      </c>
      <c r="K10" s="5">
        <v>1</v>
      </c>
      <c r="L10" s="5">
        <v>1</v>
      </c>
      <c r="N10" s="152"/>
      <c r="O10" s="152"/>
      <c r="P10" s="152"/>
      <c r="Q10" s="152"/>
      <c r="R10" s="152"/>
      <c r="S10" s="152"/>
      <c r="T10" s="152"/>
      <c r="U10" s="152"/>
      <c r="V10" s="152"/>
      <c r="W10" s="152"/>
    </row>
    <row r="11" spans="1:25" x14ac:dyDescent="0.25">
      <c r="A11" s="194"/>
      <c r="B11" s="100" t="s">
        <v>12</v>
      </c>
      <c r="C11" s="101">
        <v>1381.4</v>
      </c>
      <c r="D11" s="101">
        <v>1037.5999999999999</v>
      </c>
      <c r="E11" s="101">
        <v>1414.9</v>
      </c>
      <c r="F11" s="101">
        <v>780.7</v>
      </c>
      <c r="G11" s="101">
        <v>318.89999999999998</v>
      </c>
      <c r="H11" s="101">
        <v>133.5</v>
      </c>
      <c r="I11" s="101">
        <v>76.900000000000006</v>
      </c>
      <c r="J11" s="101">
        <v>209.4</v>
      </c>
      <c r="K11" s="101">
        <v>5143.8</v>
      </c>
      <c r="L11" s="101">
        <v>5353.2</v>
      </c>
      <c r="N11" s="152"/>
      <c r="O11" s="152"/>
      <c r="P11" s="152"/>
      <c r="Q11" s="152"/>
      <c r="R11" s="152"/>
      <c r="S11" s="152"/>
      <c r="T11" s="152"/>
      <c r="U11" s="152"/>
      <c r="V11" s="152"/>
      <c r="W11" s="152"/>
    </row>
    <row r="12" spans="1:25" x14ac:dyDescent="0.25">
      <c r="A12" s="194" t="s">
        <v>213</v>
      </c>
      <c r="B12" s="4" t="s">
        <v>18</v>
      </c>
      <c r="C12" s="5">
        <v>1108.5999999999999</v>
      </c>
      <c r="D12" s="5">
        <v>894.6</v>
      </c>
      <c r="E12" s="5">
        <v>1247.3</v>
      </c>
      <c r="F12" s="5">
        <v>678.2</v>
      </c>
      <c r="G12" s="5">
        <v>236.5</v>
      </c>
      <c r="H12" s="5">
        <v>101.2</v>
      </c>
      <c r="I12" s="5">
        <v>76</v>
      </c>
      <c r="J12" s="5">
        <v>171.8</v>
      </c>
      <c r="K12" s="5">
        <v>4342.5</v>
      </c>
      <c r="L12" s="5">
        <v>4514.3</v>
      </c>
      <c r="N12" s="152"/>
      <c r="O12" s="152"/>
      <c r="P12" s="152"/>
      <c r="Q12" s="152"/>
      <c r="R12" s="152"/>
      <c r="S12" s="152"/>
      <c r="T12" s="152"/>
      <c r="U12" s="152"/>
      <c r="V12" s="152"/>
      <c r="W12" s="152"/>
    </row>
    <row r="13" spans="1:25" x14ac:dyDescent="0.25">
      <c r="A13" s="194"/>
      <c r="B13" s="4" t="s">
        <v>22</v>
      </c>
      <c r="C13" s="5">
        <v>267.3</v>
      </c>
      <c r="D13" s="5">
        <v>140.1</v>
      </c>
      <c r="E13" s="5">
        <v>373.4</v>
      </c>
      <c r="F13" s="5">
        <v>107.7</v>
      </c>
      <c r="G13" s="5">
        <v>44.4</v>
      </c>
      <c r="H13" s="5">
        <v>33.6</v>
      </c>
      <c r="I13" s="5">
        <v>26.5</v>
      </c>
      <c r="J13" s="5">
        <v>27.3</v>
      </c>
      <c r="K13" s="5">
        <v>993.1</v>
      </c>
      <c r="L13" s="5">
        <v>1020.4</v>
      </c>
      <c r="N13" s="152"/>
      <c r="O13" s="152"/>
      <c r="P13" s="152"/>
      <c r="Q13" s="152"/>
      <c r="R13" s="152"/>
      <c r="S13" s="152"/>
      <c r="T13" s="152"/>
      <c r="U13" s="152"/>
      <c r="V13" s="152"/>
      <c r="W13" s="152"/>
    </row>
    <row r="14" spans="1:25" x14ac:dyDescent="0.25">
      <c r="A14" s="194"/>
      <c r="B14" s="4" t="s">
        <v>21</v>
      </c>
      <c r="C14" s="126" t="s">
        <v>146</v>
      </c>
      <c r="D14" s="126" t="s">
        <v>146</v>
      </c>
      <c r="E14" s="126">
        <v>0.4</v>
      </c>
      <c r="F14" s="126" t="s">
        <v>146</v>
      </c>
      <c r="G14" s="126" t="s">
        <v>146</v>
      </c>
      <c r="H14" s="126" t="s">
        <v>146</v>
      </c>
      <c r="I14" s="126" t="s">
        <v>146</v>
      </c>
      <c r="J14" s="126" t="s">
        <v>146</v>
      </c>
      <c r="K14" s="126">
        <v>0.4</v>
      </c>
      <c r="L14" s="126">
        <v>0.4</v>
      </c>
      <c r="N14" s="152"/>
      <c r="O14" s="152"/>
      <c r="P14" s="152"/>
      <c r="Q14" s="152"/>
      <c r="R14" s="152"/>
      <c r="S14" s="152"/>
      <c r="T14" s="152"/>
      <c r="U14" s="152"/>
      <c r="V14" s="152"/>
      <c r="W14" s="152"/>
    </row>
    <row r="15" spans="1:25" x14ac:dyDescent="0.25">
      <c r="A15" s="194"/>
      <c r="B15" s="100" t="s">
        <v>12</v>
      </c>
      <c r="C15" s="101">
        <v>1376</v>
      </c>
      <c r="D15" s="101">
        <v>1034.7</v>
      </c>
      <c r="E15" s="101">
        <v>1621.2</v>
      </c>
      <c r="F15" s="101">
        <v>785.9</v>
      </c>
      <c r="G15" s="101">
        <v>280.89999999999998</v>
      </c>
      <c r="H15" s="101">
        <v>134.80000000000001</v>
      </c>
      <c r="I15" s="101">
        <v>102.5</v>
      </c>
      <c r="J15" s="101">
        <v>199.1</v>
      </c>
      <c r="K15" s="101">
        <v>5336</v>
      </c>
      <c r="L15" s="101">
        <v>5535.1</v>
      </c>
      <c r="N15" s="152"/>
      <c r="O15" s="152"/>
      <c r="P15" s="152"/>
      <c r="Q15" s="152"/>
      <c r="R15" s="152"/>
      <c r="S15" s="152"/>
      <c r="T15" s="152"/>
      <c r="U15" s="152"/>
      <c r="V15" s="152"/>
      <c r="W15" s="152"/>
    </row>
    <row r="16" spans="1:25" x14ac:dyDescent="0.25">
      <c r="A16" s="194" t="s">
        <v>214</v>
      </c>
      <c r="B16" s="4" t="s">
        <v>18</v>
      </c>
      <c r="C16" s="5">
        <v>1076.5</v>
      </c>
      <c r="D16" s="5">
        <v>818.1</v>
      </c>
      <c r="E16" s="5">
        <v>1484.8</v>
      </c>
      <c r="F16" s="5">
        <v>637.6</v>
      </c>
      <c r="G16" s="5">
        <v>203.3</v>
      </c>
      <c r="H16" s="5">
        <v>117.6</v>
      </c>
      <c r="I16" s="5">
        <v>61.1</v>
      </c>
      <c r="J16" s="5">
        <v>191.7</v>
      </c>
      <c r="K16" s="5">
        <v>4399.1000000000004</v>
      </c>
      <c r="L16" s="5">
        <v>4590.8</v>
      </c>
      <c r="N16" s="152"/>
      <c r="O16" s="152"/>
      <c r="P16" s="152"/>
      <c r="Q16" s="152"/>
      <c r="R16" s="152"/>
      <c r="S16" s="152"/>
      <c r="T16" s="152"/>
      <c r="U16" s="152"/>
      <c r="V16" s="152"/>
      <c r="W16" s="152"/>
    </row>
    <row r="17" spans="1:23" x14ac:dyDescent="0.25">
      <c r="A17" s="194"/>
      <c r="B17" s="4" t="s">
        <v>22</v>
      </c>
      <c r="C17" s="5">
        <v>291</v>
      </c>
      <c r="D17" s="5">
        <v>135</v>
      </c>
      <c r="E17" s="5">
        <v>448.1</v>
      </c>
      <c r="F17" s="5">
        <v>134.5</v>
      </c>
      <c r="G17" s="5">
        <v>36.4</v>
      </c>
      <c r="H17" s="5">
        <v>37.200000000000003</v>
      </c>
      <c r="I17" s="5">
        <v>17.3</v>
      </c>
      <c r="J17" s="5">
        <v>25.2</v>
      </c>
      <c r="K17" s="5">
        <v>1099.5999999999999</v>
      </c>
      <c r="L17" s="5">
        <v>1124.7</v>
      </c>
      <c r="N17" s="152"/>
      <c r="O17" s="152"/>
      <c r="P17" s="152"/>
      <c r="Q17" s="152"/>
      <c r="R17" s="152"/>
      <c r="S17" s="152"/>
      <c r="T17" s="152"/>
      <c r="U17" s="152"/>
      <c r="V17" s="152"/>
      <c r="W17" s="152"/>
    </row>
    <row r="18" spans="1:23" x14ac:dyDescent="0.25">
      <c r="A18" s="194"/>
      <c r="B18" s="4" t="s">
        <v>21</v>
      </c>
      <c r="C18" s="126" t="s">
        <v>146</v>
      </c>
      <c r="D18" s="126">
        <v>0.3</v>
      </c>
      <c r="E18" s="5">
        <v>0.1</v>
      </c>
      <c r="F18" s="126">
        <v>0.3</v>
      </c>
      <c r="G18" s="126" t="s">
        <v>146</v>
      </c>
      <c r="H18" s="126" t="s">
        <v>146</v>
      </c>
      <c r="I18" s="126" t="s">
        <v>146</v>
      </c>
      <c r="J18" s="126" t="s">
        <v>146</v>
      </c>
      <c r="K18" s="5">
        <v>0.7</v>
      </c>
      <c r="L18" s="5">
        <v>0.7</v>
      </c>
      <c r="N18" s="152"/>
      <c r="O18" s="152"/>
      <c r="P18" s="152"/>
      <c r="Q18" s="152"/>
      <c r="R18" s="152"/>
      <c r="S18" s="152"/>
      <c r="T18" s="152"/>
      <c r="U18" s="152"/>
      <c r="V18" s="152"/>
      <c r="W18" s="152"/>
    </row>
    <row r="19" spans="1:23" x14ac:dyDescent="0.25">
      <c r="A19" s="194"/>
      <c r="B19" s="100" t="s">
        <v>12</v>
      </c>
      <c r="C19" s="101">
        <v>1367.5</v>
      </c>
      <c r="D19" s="101">
        <v>953.4</v>
      </c>
      <c r="E19" s="101">
        <v>1933</v>
      </c>
      <c r="F19" s="101">
        <v>772.4</v>
      </c>
      <c r="G19" s="101">
        <v>239.7</v>
      </c>
      <c r="H19" s="101">
        <v>154.80000000000001</v>
      </c>
      <c r="I19" s="101">
        <v>78.5</v>
      </c>
      <c r="J19" s="101">
        <v>216.9</v>
      </c>
      <c r="K19" s="101">
        <v>5499.3</v>
      </c>
      <c r="L19" s="101">
        <v>5716.2</v>
      </c>
      <c r="N19" s="152"/>
      <c r="O19" s="152"/>
      <c r="P19" s="152"/>
      <c r="Q19" s="152"/>
      <c r="R19" s="152"/>
      <c r="S19" s="152"/>
      <c r="T19" s="152"/>
      <c r="U19" s="152"/>
      <c r="V19" s="152"/>
      <c r="W19" s="152"/>
    </row>
    <row r="20" spans="1:23" x14ac:dyDescent="0.25">
      <c r="A20" s="194" t="s">
        <v>215</v>
      </c>
      <c r="B20" s="4" t="s">
        <v>18</v>
      </c>
      <c r="C20" s="5">
        <v>1040.8</v>
      </c>
      <c r="D20" s="5">
        <v>776.7</v>
      </c>
      <c r="E20" s="5">
        <v>1353.3</v>
      </c>
      <c r="F20" s="5">
        <v>554.4</v>
      </c>
      <c r="G20" s="5">
        <v>215.7</v>
      </c>
      <c r="H20" s="5">
        <v>109.6</v>
      </c>
      <c r="I20" s="5">
        <v>54</v>
      </c>
      <c r="J20" s="5">
        <v>195.8</v>
      </c>
      <c r="K20" s="5">
        <v>4104.6000000000004</v>
      </c>
      <c r="L20" s="5">
        <v>4300.3999999999996</v>
      </c>
      <c r="N20" s="152"/>
      <c r="O20" s="152"/>
      <c r="P20" s="152"/>
      <c r="Q20" s="152"/>
      <c r="R20" s="152"/>
      <c r="S20" s="152"/>
      <c r="T20" s="152"/>
      <c r="U20" s="152"/>
      <c r="V20" s="152"/>
      <c r="W20" s="152"/>
    </row>
    <row r="21" spans="1:23" x14ac:dyDescent="0.25">
      <c r="A21" s="194"/>
      <c r="B21" s="4" t="s">
        <v>22</v>
      </c>
      <c r="C21" s="5">
        <v>259.8</v>
      </c>
      <c r="D21" s="5">
        <v>149.9</v>
      </c>
      <c r="E21" s="5">
        <v>418.7</v>
      </c>
      <c r="F21" s="5">
        <v>129</v>
      </c>
      <c r="G21" s="5">
        <v>39.4</v>
      </c>
      <c r="H21" s="5">
        <v>36.1</v>
      </c>
      <c r="I21" s="5">
        <v>17.2</v>
      </c>
      <c r="J21" s="5">
        <v>23.1</v>
      </c>
      <c r="K21" s="5">
        <v>1050.0999999999999</v>
      </c>
      <c r="L21" s="5">
        <v>1073.2</v>
      </c>
      <c r="N21" s="152"/>
      <c r="O21" s="152"/>
      <c r="P21" s="152"/>
      <c r="Q21" s="152"/>
      <c r="R21" s="152"/>
      <c r="S21" s="152"/>
      <c r="T21" s="152"/>
      <c r="U21" s="152"/>
      <c r="V21" s="152"/>
      <c r="W21" s="152"/>
    </row>
    <row r="22" spans="1:23" x14ac:dyDescent="0.25">
      <c r="A22" s="194"/>
      <c r="B22" s="4" t="s">
        <v>21</v>
      </c>
      <c r="C22" s="126">
        <v>0.6</v>
      </c>
      <c r="D22" s="5">
        <v>0.3</v>
      </c>
      <c r="E22" s="5">
        <v>0.4</v>
      </c>
      <c r="F22" s="5">
        <v>0.6</v>
      </c>
      <c r="G22" s="126" t="s">
        <v>146</v>
      </c>
      <c r="H22" s="126" t="s">
        <v>146</v>
      </c>
      <c r="I22" s="126" t="s">
        <v>146</v>
      </c>
      <c r="J22" s="126" t="s">
        <v>146</v>
      </c>
      <c r="K22" s="5">
        <v>1.9</v>
      </c>
      <c r="L22" s="5">
        <v>1.9</v>
      </c>
      <c r="N22" s="152"/>
      <c r="O22" s="152"/>
      <c r="P22" s="152"/>
      <c r="Q22" s="152"/>
      <c r="R22" s="152"/>
      <c r="S22" s="152"/>
      <c r="T22" s="152"/>
      <c r="U22" s="152"/>
      <c r="V22" s="152"/>
      <c r="W22" s="152"/>
    </row>
    <row r="23" spans="1:23" x14ac:dyDescent="0.25">
      <c r="A23" s="194"/>
      <c r="B23" s="100" t="s">
        <v>12</v>
      </c>
      <c r="C23" s="101">
        <v>1301.3</v>
      </c>
      <c r="D23" s="101">
        <v>926.9</v>
      </c>
      <c r="E23" s="101">
        <v>1772.4</v>
      </c>
      <c r="F23" s="101">
        <v>684.1</v>
      </c>
      <c r="G23" s="101">
        <v>255.1</v>
      </c>
      <c r="H23" s="101">
        <v>145.69999999999999</v>
      </c>
      <c r="I23" s="101">
        <v>71.2</v>
      </c>
      <c r="J23" s="101">
        <v>218.9</v>
      </c>
      <c r="K23" s="101">
        <v>5156.6000000000004</v>
      </c>
      <c r="L23" s="101">
        <v>5375.5</v>
      </c>
      <c r="N23" s="152"/>
      <c r="O23" s="152"/>
      <c r="P23" s="152"/>
      <c r="Q23" s="152"/>
      <c r="R23" s="152"/>
      <c r="S23" s="152"/>
      <c r="T23" s="152"/>
      <c r="U23" s="152"/>
      <c r="V23" s="152"/>
      <c r="W23" s="152"/>
    </row>
    <row r="24" spans="1:23" x14ac:dyDescent="0.25">
      <c r="A24" s="194" t="s">
        <v>216</v>
      </c>
      <c r="B24" s="4" t="s">
        <v>18</v>
      </c>
      <c r="C24" s="5">
        <v>964.2</v>
      </c>
      <c r="D24" s="5">
        <v>719.2</v>
      </c>
      <c r="E24" s="5">
        <v>1249.4000000000001</v>
      </c>
      <c r="F24" s="5">
        <v>462.3</v>
      </c>
      <c r="G24" s="5">
        <v>176.2</v>
      </c>
      <c r="H24" s="5">
        <v>91.4</v>
      </c>
      <c r="I24" s="5">
        <v>52.3</v>
      </c>
      <c r="J24" s="5">
        <v>163.1</v>
      </c>
      <c r="K24" s="5">
        <v>3715</v>
      </c>
      <c r="L24" s="5">
        <v>3878.1</v>
      </c>
      <c r="N24" s="152"/>
      <c r="O24" s="152"/>
      <c r="P24" s="152"/>
      <c r="Q24" s="152"/>
      <c r="R24" s="152"/>
      <c r="S24" s="152"/>
      <c r="T24" s="152"/>
      <c r="U24" s="152"/>
      <c r="V24" s="152"/>
      <c r="W24" s="152"/>
    </row>
    <row r="25" spans="1:23" x14ac:dyDescent="0.25">
      <c r="A25" s="194"/>
      <c r="B25" s="4" t="s">
        <v>22</v>
      </c>
      <c r="C25" s="5">
        <v>219.4</v>
      </c>
      <c r="D25" s="5">
        <v>126.6</v>
      </c>
      <c r="E25" s="5">
        <v>357</v>
      </c>
      <c r="F25" s="5">
        <v>86.8</v>
      </c>
      <c r="G25" s="5">
        <v>41.2</v>
      </c>
      <c r="H25" s="5">
        <v>27</v>
      </c>
      <c r="I25" s="5">
        <v>16.5</v>
      </c>
      <c r="J25" s="5">
        <v>19.399999999999999</v>
      </c>
      <c r="K25" s="5">
        <v>874.5</v>
      </c>
      <c r="L25" s="5">
        <v>893.9</v>
      </c>
      <c r="N25" s="152"/>
      <c r="O25" s="152"/>
      <c r="P25" s="152"/>
      <c r="Q25" s="152"/>
      <c r="R25" s="152"/>
      <c r="S25" s="152"/>
      <c r="T25" s="152"/>
      <c r="U25" s="152"/>
      <c r="V25" s="152"/>
      <c r="W25" s="152"/>
    </row>
    <row r="26" spans="1:23" x14ac:dyDescent="0.25">
      <c r="A26" s="194"/>
      <c r="B26" s="4" t="s">
        <v>21</v>
      </c>
      <c r="C26" s="5">
        <v>1</v>
      </c>
      <c r="D26" s="5" t="s">
        <v>146</v>
      </c>
      <c r="E26" s="5" t="s">
        <v>146</v>
      </c>
      <c r="F26" s="5" t="s">
        <v>146</v>
      </c>
      <c r="G26" s="126" t="s">
        <v>146</v>
      </c>
      <c r="H26" s="126" t="s">
        <v>146</v>
      </c>
      <c r="I26" s="126" t="s">
        <v>146</v>
      </c>
      <c r="J26" s="126" t="s">
        <v>146</v>
      </c>
      <c r="K26" s="5">
        <v>1</v>
      </c>
      <c r="L26" s="5">
        <v>1</v>
      </c>
      <c r="N26" s="152"/>
      <c r="O26" s="152"/>
      <c r="P26" s="152"/>
      <c r="Q26" s="152"/>
      <c r="R26" s="152"/>
      <c r="S26" s="152"/>
      <c r="T26" s="152"/>
      <c r="U26" s="152"/>
      <c r="V26" s="152"/>
      <c r="W26" s="152"/>
    </row>
    <row r="27" spans="1:23" x14ac:dyDescent="0.25">
      <c r="A27" s="194"/>
      <c r="B27" s="100" t="s">
        <v>12</v>
      </c>
      <c r="C27" s="101">
        <v>1184.5999999999999</v>
      </c>
      <c r="D27" s="101">
        <v>845.8</v>
      </c>
      <c r="E27" s="101">
        <v>1606.4</v>
      </c>
      <c r="F27" s="101">
        <v>549.1</v>
      </c>
      <c r="G27" s="101">
        <v>217.4</v>
      </c>
      <c r="H27" s="101">
        <v>118.4</v>
      </c>
      <c r="I27" s="101">
        <v>68.7</v>
      </c>
      <c r="J27" s="101">
        <v>182.5</v>
      </c>
      <c r="K27" s="101">
        <v>4590.3999999999996</v>
      </c>
      <c r="L27" s="101">
        <v>4772.8999999999996</v>
      </c>
      <c r="N27" s="152"/>
      <c r="O27" s="152"/>
      <c r="P27" s="152"/>
      <c r="Q27" s="152"/>
      <c r="R27" s="152"/>
      <c r="S27" s="152"/>
      <c r="T27" s="152"/>
      <c r="U27" s="152"/>
      <c r="V27" s="152"/>
      <c r="W27" s="152"/>
    </row>
    <row r="28" spans="1:23" x14ac:dyDescent="0.25">
      <c r="A28" s="194" t="s">
        <v>217</v>
      </c>
      <c r="B28" s="4" t="s">
        <v>18</v>
      </c>
      <c r="C28" s="5">
        <v>893.1</v>
      </c>
      <c r="D28" s="5">
        <v>624.5</v>
      </c>
      <c r="E28" s="5">
        <v>1255.8</v>
      </c>
      <c r="F28" s="5">
        <v>463.4</v>
      </c>
      <c r="G28" s="5">
        <v>187.4</v>
      </c>
      <c r="H28" s="5">
        <v>70.599999999999994</v>
      </c>
      <c r="I28" s="5">
        <v>46.4</v>
      </c>
      <c r="J28" s="5">
        <v>214</v>
      </c>
      <c r="K28" s="5">
        <v>3541.2</v>
      </c>
      <c r="L28" s="5">
        <v>3755.2</v>
      </c>
      <c r="N28" s="152"/>
      <c r="O28" s="152"/>
      <c r="P28" s="152"/>
      <c r="Q28" s="152"/>
      <c r="R28" s="152"/>
      <c r="S28" s="152"/>
      <c r="T28" s="152"/>
      <c r="U28" s="152"/>
      <c r="V28" s="152"/>
      <c r="W28" s="152"/>
    </row>
    <row r="29" spans="1:23" x14ac:dyDescent="0.25">
      <c r="A29" s="194"/>
      <c r="B29" s="4" t="s">
        <v>22</v>
      </c>
      <c r="C29" s="5">
        <v>193.6</v>
      </c>
      <c r="D29" s="5">
        <v>103.5</v>
      </c>
      <c r="E29" s="5">
        <v>365.2</v>
      </c>
      <c r="F29" s="5">
        <v>103.9</v>
      </c>
      <c r="G29" s="5">
        <v>44.6</v>
      </c>
      <c r="H29" s="5">
        <v>26.3</v>
      </c>
      <c r="I29" s="5">
        <v>18.399999999999999</v>
      </c>
      <c r="J29" s="5">
        <v>31.2</v>
      </c>
      <c r="K29" s="5">
        <v>855.6</v>
      </c>
      <c r="L29" s="5">
        <v>886.7</v>
      </c>
      <c r="N29" s="152"/>
      <c r="O29" s="152"/>
      <c r="P29" s="152"/>
      <c r="Q29" s="152"/>
      <c r="R29" s="152"/>
      <c r="S29" s="152"/>
      <c r="T29" s="152"/>
      <c r="U29" s="152"/>
      <c r="V29" s="152"/>
      <c r="W29" s="152"/>
    </row>
    <row r="30" spans="1:23" x14ac:dyDescent="0.25">
      <c r="A30" s="194"/>
      <c r="B30" s="4" t="s">
        <v>21</v>
      </c>
      <c r="C30" s="5">
        <v>1.4</v>
      </c>
      <c r="D30" s="126">
        <v>0.5</v>
      </c>
      <c r="E30" s="126">
        <v>0.9</v>
      </c>
      <c r="F30" s="126" t="s">
        <v>146</v>
      </c>
      <c r="G30" s="126" t="s">
        <v>146</v>
      </c>
      <c r="H30" s="126" t="s">
        <v>146</v>
      </c>
      <c r="I30" s="126" t="s">
        <v>146</v>
      </c>
      <c r="J30" s="126" t="s">
        <v>146</v>
      </c>
      <c r="K30" s="5">
        <v>2.8</v>
      </c>
      <c r="L30" s="5">
        <v>2.8</v>
      </c>
      <c r="N30" s="152"/>
      <c r="O30" s="152"/>
      <c r="P30" s="152"/>
      <c r="Q30" s="152"/>
      <c r="R30" s="152"/>
      <c r="S30" s="152"/>
      <c r="T30" s="152"/>
      <c r="U30" s="152"/>
      <c r="V30" s="152"/>
      <c r="W30" s="152"/>
    </row>
    <row r="31" spans="1:23" x14ac:dyDescent="0.25">
      <c r="A31" s="194"/>
      <c r="B31" s="100" t="s">
        <v>12</v>
      </c>
      <c r="C31" s="101">
        <v>1088.2</v>
      </c>
      <c r="D31" s="101">
        <v>728.6</v>
      </c>
      <c r="E31" s="101">
        <v>1621.9</v>
      </c>
      <c r="F31" s="101">
        <v>567.29999999999995</v>
      </c>
      <c r="G31" s="101">
        <v>232</v>
      </c>
      <c r="H31" s="101">
        <v>96.9</v>
      </c>
      <c r="I31" s="101">
        <v>64.8</v>
      </c>
      <c r="J31" s="101">
        <v>245.2</v>
      </c>
      <c r="K31" s="101">
        <v>4399.6000000000004</v>
      </c>
      <c r="L31" s="101">
        <v>4644.7</v>
      </c>
      <c r="N31" s="152"/>
      <c r="O31" s="152"/>
      <c r="P31" s="152"/>
      <c r="Q31" s="152"/>
      <c r="R31" s="152"/>
      <c r="S31" s="152"/>
      <c r="T31" s="152"/>
      <c r="U31" s="152"/>
      <c r="V31" s="152"/>
      <c r="W31" s="152"/>
    </row>
    <row r="32" spans="1:23" x14ac:dyDescent="0.25">
      <c r="A32" s="194" t="s">
        <v>218</v>
      </c>
      <c r="B32" s="4" t="s">
        <v>18</v>
      </c>
      <c r="C32" s="5">
        <v>831.4</v>
      </c>
      <c r="D32" s="5">
        <v>529.9</v>
      </c>
      <c r="E32" s="5">
        <v>1235.7</v>
      </c>
      <c r="F32" s="5">
        <v>498.7</v>
      </c>
      <c r="G32" s="5">
        <v>196.9</v>
      </c>
      <c r="H32" s="5">
        <v>77.599999999999994</v>
      </c>
      <c r="I32" s="5">
        <v>54.3</v>
      </c>
      <c r="J32" s="5">
        <v>295.89999999999998</v>
      </c>
      <c r="K32" s="5">
        <v>3424.4</v>
      </c>
      <c r="L32" s="5">
        <v>3720.3</v>
      </c>
      <c r="N32" s="152"/>
      <c r="O32" s="152"/>
      <c r="P32" s="152"/>
      <c r="Q32" s="152"/>
      <c r="R32" s="152"/>
      <c r="S32" s="152"/>
      <c r="T32" s="152"/>
      <c r="U32" s="152"/>
      <c r="V32" s="152"/>
      <c r="W32" s="152"/>
    </row>
    <row r="33" spans="1:23" x14ac:dyDescent="0.25">
      <c r="A33" s="194"/>
      <c r="B33" s="4" t="s">
        <v>22</v>
      </c>
      <c r="C33" s="5">
        <v>170.4</v>
      </c>
      <c r="D33" s="5">
        <v>65.3</v>
      </c>
      <c r="E33" s="5">
        <v>352.3</v>
      </c>
      <c r="F33" s="5">
        <v>122.3</v>
      </c>
      <c r="G33" s="5">
        <v>61.2</v>
      </c>
      <c r="H33" s="5">
        <v>30.5</v>
      </c>
      <c r="I33" s="5">
        <v>18.3</v>
      </c>
      <c r="J33" s="5">
        <v>49.7</v>
      </c>
      <c r="K33" s="5">
        <v>820.3</v>
      </c>
      <c r="L33" s="5">
        <v>870</v>
      </c>
      <c r="N33" s="152"/>
      <c r="O33" s="152"/>
      <c r="P33" s="152"/>
      <c r="Q33" s="152"/>
      <c r="R33" s="152"/>
      <c r="S33" s="152"/>
      <c r="T33" s="152"/>
      <c r="U33" s="152"/>
      <c r="V33" s="152"/>
      <c r="W33" s="152"/>
    </row>
    <row r="34" spans="1:23" x14ac:dyDescent="0.25">
      <c r="A34" s="194"/>
      <c r="B34" s="4" t="s">
        <v>21</v>
      </c>
      <c r="C34" s="5">
        <v>0.8</v>
      </c>
      <c r="D34" s="5">
        <v>0.2</v>
      </c>
      <c r="E34" s="5">
        <v>1</v>
      </c>
      <c r="F34" s="126" t="s">
        <v>146</v>
      </c>
      <c r="G34" s="126">
        <v>0.2</v>
      </c>
      <c r="H34" s="126">
        <v>0.7</v>
      </c>
      <c r="I34" s="126" t="s">
        <v>146</v>
      </c>
      <c r="J34" s="126">
        <v>0.3</v>
      </c>
      <c r="K34" s="5">
        <v>3</v>
      </c>
      <c r="L34" s="5">
        <v>3.3</v>
      </c>
      <c r="N34" s="152"/>
      <c r="O34" s="152"/>
      <c r="P34" s="152"/>
      <c r="Q34" s="152"/>
      <c r="R34" s="152"/>
      <c r="S34" s="152"/>
      <c r="T34" s="152"/>
      <c r="U34" s="152"/>
      <c r="V34" s="152"/>
      <c r="W34" s="152"/>
    </row>
    <row r="35" spans="1:23" x14ac:dyDescent="0.25">
      <c r="A35" s="194"/>
      <c r="B35" s="100" t="s">
        <v>12</v>
      </c>
      <c r="C35" s="101">
        <v>1002.6</v>
      </c>
      <c r="D35" s="101">
        <v>595.4</v>
      </c>
      <c r="E35" s="101">
        <v>1589</v>
      </c>
      <c r="F35" s="101">
        <v>621</v>
      </c>
      <c r="G35" s="101">
        <v>258.3</v>
      </c>
      <c r="H35" s="101">
        <v>108.8</v>
      </c>
      <c r="I35" s="101">
        <v>72.599999999999994</v>
      </c>
      <c r="J35" s="101">
        <v>346</v>
      </c>
      <c r="K35" s="101">
        <v>4247.7</v>
      </c>
      <c r="L35" s="101">
        <v>4593.7</v>
      </c>
      <c r="N35" s="152"/>
      <c r="O35" s="152"/>
      <c r="P35" s="152"/>
      <c r="Q35" s="152"/>
      <c r="R35" s="152"/>
      <c r="S35" s="152"/>
      <c r="T35" s="152"/>
      <c r="U35" s="152"/>
      <c r="V35" s="152"/>
      <c r="W35" s="152"/>
    </row>
    <row r="36" spans="1:23" x14ac:dyDescent="0.25">
      <c r="A36" s="194" t="s">
        <v>219</v>
      </c>
      <c r="B36" s="4" t="s">
        <v>18</v>
      </c>
      <c r="C36" s="5">
        <v>824.1</v>
      </c>
      <c r="D36" s="5">
        <v>455.3</v>
      </c>
      <c r="E36" s="5">
        <v>1233.5999999999999</v>
      </c>
      <c r="F36" s="5">
        <v>475.3</v>
      </c>
      <c r="G36" s="5">
        <v>214.6</v>
      </c>
      <c r="H36" s="5">
        <v>90.7</v>
      </c>
      <c r="I36" s="5">
        <v>63.8</v>
      </c>
      <c r="J36" s="5" t="s">
        <v>151</v>
      </c>
      <c r="K36" s="5">
        <v>3357.3</v>
      </c>
      <c r="L36" s="5" t="s">
        <v>151</v>
      </c>
      <c r="N36" s="152"/>
      <c r="O36" s="152"/>
      <c r="P36" s="152"/>
      <c r="Q36" s="152"/>
      <c r="R36" s="152"/>
      <c r="S36" s="152"/>
      <c r="T36" s="152"/>
      <c r="U36" s="152"/>
      <c r="V36" s="152"/>
      <c r="W36" s="152"/>
    </row>
    <row r="37" spans="1:23" x14ac:dyDescent="0.25">
      <c r="A37" s="194"/>
      <c r="B37" s="4" t="s">
        <v>22</v>
      </c>
      <c r="C37" s="5">
        <v>183.1</v>
      </c>
      <c r="D37" s="5">
        <v>59.1</v>
      </c>
      <c r="E37" s="5">
        <v>358.8</v>
      </c>
      <c r="F37" s="5">
        <v>123</v>
      </c>
      <c r="G37" s="5">
        <v>79.5</v>
      </c>
      <c r="H37" s="5">
        <v>32</v>
      </c>
      <c r="I37" s="5">
        <v>23.6</v>
      </c>
      <c r="J37" s="5" t="s">
        <v>151</v>
      </c>
      <c r="K37" s="5">
        <v>859.1</v>
      </c>
      <c r="L37" s="5" t="s">
        <v>151</v>
      </c>
      <c r="N37" s="152"/>
      <c r="O37" s="152"/>
      <c r="P37" s="152"/>
      <c r="Q37" s="152"/>
      <c r="R37" s="152"/>
      <c r="S37" s="152"/>
      <c r="T37" s="152"/>
      <c r="U37" s="152"/>
      <c r="V37" s="152"/>
      <c r="W37" s="152"/>
    </row>
    <row r="38" spans="1:23" x14ac:dyDescent="0.25">
      <c r="A38" s="194"/>
      <c r="B38" s="4" t="s">
        <v>21</v>
      </c>
      <c r="C38" s="5">
        <v>1.1000000000000001</v>
      </c>
      <c r="D38" s="5" t="s">
        <v>146</v>
      </c>
      <c r="E38" s="5">
        <v>0.5</v>
      </c>
      <c r="F38" s="126" t="s">
        <v>146</v>
      </c>
      <c r="G38" s="5" t="s">
        <v>146</v>
      </c>
      <c r="H38" s="5">
        <v>0.2</v>
      </c>
      <c r="I38" s="126" t="s">
        <v>146</v>
      </c>
      <c r="J38" s="126" t="s">
        <v>151</v>
      </c>
      <c r="K38" s="5">
        <v>1.8</v>
      </c>
      <c r="L38" s="5" t="s">
        <v>151</v>
      </c>
      <c r="N38" s="152"/>
      <c r="O38" s="152"/>
      <c r="P38" s="152"/>
      <c r="Q38" s="152"/>
      <c r="R38" s="152"/>
      <c r="S38" s="152"/>
      <c r="T38" s="152"/>
      <c r="U38" s="152"/>
      <c r="V38" s="152"/>
      <c r="W38" s="152"/>
    </row>
    <row r="39" spans="1:23" x14ac:dyDescent="0.25">
      <c r="A39" s="194"/>
      <c r="B39" s="100" t="s">
        <v>12</v>
      </c>
      <c r="C39" s="101">
        <v>1008.3</v>
      </c>
      <c r="D39" s="101">
        <v>514.4</v>
      </c>
      <c r="E39" s="101">
        <v>1592.9</v>
      </c>
      <c r="F39" s="101">
        <v>598.20000000000005</v>
      </c>
      <c r="G39" s="101">
        <v>294.10000000000002</v>
      </c>
      <c r="H39" s="101">
        <v>122.9</v>
      </c>
      <c r="I39" s="101">
        <v>87.4</v>
      </c>
      <c r="J39" s="101" t="s">
        <v>151</v>
      </c>
      <c r="K39" s="101">
        <v>4218.2</v>
      </c>
      <c r="L39" s="101" t="s">
        <v>151</v>
      </c>
      <c r="N39" s="152"/>
      <c r="O39" s="152"/>
      <c r="P39" s="152"/>
      <c r="Q39" s="152"/>
      <c r="R39" s="152"/>
      <c r="S39" s="152"/>
      <c r="T39" s="152"/>
      <c r="U39" s="152"/>
      <c r="V39" s="152"/>
      <c r="W39" s="152"/>
    </row>
    <row r="40" spans="1:23" x14ac:dyDescent="0.25">
      <c r="A40" s="194" t="s">
        <v>357</v>
      </c>
      <c r="B40" s="4" t="s">
        <v>18</v>
      </c>
      <c r="C40" s="5">
        <v>844.7</v>
      </c>
      <c r="D40" s="5">
        <v>492.5</v>
      </c>
      <c r="E40" s="5">
        <v>1191.0999999999999</v>
      </c>
      <c r="F40" s="5">
        <v>419.6</v>
      </c>
      <c r="G40" s="5">
        <v>183.8</v>
      </c>
      <c r="H40" s="5">
        <v>114.4</v>
      </c>
      <c r="I40" s="5">
        <v>66.8</v>
      </c>
      <c r="J40" s="5" t="s">
        <v>151</v>
      </c>
      <c r="K40" s="5">
        <v>3312.9</v>
      </c>
      <c r="L40" s="126" t="s">
        <v>151</v>
      </c>
      <c r="N40" s="152"/>
      <c r="O40" s="152"/>
      <c r="P40" s="152"/>
      <c r="Q40" s="152"/>
      <c r="R40" s="152"/>
      <c r="S40" s="152"/>
      <c r="T40" s="152"/>
      <c r="U40" s="152"/>
      <c r="V40" s="152"/>
      <c r="W40" s="152"/>
    </row>
    <row r="41" spans="1:23" x14ac:dyDescent="0.25">
      <c r="A41" s="194"/>
      <c r="B41" s="4" t="s">
        <v>22</v>
      </c>
      <c r="C41" s="5">
        <v>188.7</v>
      </c>
      <c r="D41" s="5">
        <v>52.6</v>
      </c>
      <c r="E41" s="5">
        <v>364.3</v>
      </c>
      <c r="F41" s="5">
        <v>96.5</v>
      </c>
      <c r="G41" s="5">
        <v>58.9</v>
      </c>
      <c r="H41" s="5">
        <v>46.1</v>
      </c>
      <c r="I41" s="5">
        <v>22.5</v>
      </c>
      <c r="J41" s="5" t="s">
        <v>151</v>
      </c>
      <c r="K41" s="5">
        <v>829.5</v>
      </c>
      <c r="L41" s="126" t="s">
        <v>151</v>
      </c>
      <c r="N41" s="152"/>
      <c r="O41" s="152"/>
      <c r="P41" s="152"/>
      <c r="Q41" s="152"/>
      <c r="R41" s="152"/>
      <c r="S41" s="152"/>
      <c r="T41" s="152"/>
      <c r="U41" s="152"/>
      <c r="V41" s="152"/>
      <c r="W41" s="152"/>
    </row>
    <row r="42" spans="1:23" x14ac:dyDescent="0.25">
      <c r="A42" s="194"/>
      <c r="B42" s="4" t="s">
        <v>21</v>
      </c>
      <c r="C42" s="5">
        <v>1.1000000000000001</v>
      </c>
      <c r="D42" s="126" t="s">
        <v>146</v>
      </c>
      <c r="E42" s="5">
        <v>1.2</v>
      </c>
      <c r="F42" s="126" t="s">
        <v>146</v>
      </c>
      <c r="G42" s="126">
        <v>0.5</v>
      </c>
      <c r="H42" s="5">
        <v>2</v>
      </c>
      <c r="I42" s="126" t="s">
        <v>146</v>
      </c>
      <c r="J42" s="126" t="s">
        <v>151</v>
      </c>
      <c r="K42" s="5">
        <v>4.9000000000000004</v>
      </c>
      <c r="L42" s="126" t="s">
        <v>151</v>
      </c>
      <c r="N42" s="152"/>
      <c r="O42" s="152"/>
      <c r="P42" s="152"/>
      <c r="Q42" s="152"/>
      <c r="R42" s="152"/>
      <c r="S42" s="152"/>
      <c r="T42" s="152"/>
      <c r="U42" s="152"/>
      <c r="V42" s="152"/>
      <c r="W42" s="152"/>
    </row>
    <row r="43" spans="1:23" x14ac:dyDescent="0.25">
      <c r="A43" s="194"/>
      <c r="B43" s="100" t="s">
        <v>12</v>
      </c>
      <c r="C43" s="101">
        <v>1034.5</v>
      </c>
      <c r="D43" s="101">
        <v>545</v>
      </c>
      <c r="E43" s="101">
        <v>1556.6</v>
      </c>
      <c r="F43" s="101">
        <v>516.20000000000005</v>
      </c>
      <c r="G43" s="101">
        <v>243.1</v>
      </c>
      <c r="H43" s="101">
        <v>162.5</v>
      </c>
      <c r="I43" s="101">
        <v>89.3</v>
      </c>
      <c r="J43" s="101" t="s">
        <v>151</v>
      </c>
      <c r="K43" s="101">
        <v>4147.3</v>
      </c>
      <c r="L43" s="127" t="s">
        <v>151</v>
      </c>
      <c r="N43" s="152"/>
      <c r="O43" s="152"/>
      <c r="P43" s="152"/>
      <c r="Q43" s="152"/>
      <c r="R43" s="152"/>
      <c r="S43" s="152"/>
      <c r="T43" s="152"/>
      <c r="U43" s="152"/>
      <c r="V43" s="152"/>
      <c r="W43" s="152"/>
    </row>
    <row r="44" spans="1:23" ht="2.25" customHeight="1" x14ac:dyDescent="0.25">
      <c r="A44" s="2"/>
    </row>
    <row r="45" spans="1:23" ht="11.1" customHeight="1" x14ac:dyDescent="0.25">
      <c r="A45" s="191" t="s">
        <v>13</v>
      </c>
      <c r="B45" s="191"/>
      <c r="C45" s="191"/>
      <c r="D45" s="191"/>
      <c r="E45" s="191"/>
      <c r="F45" s="191"/>
      <c r="G45" s="191"/>
      <c r="H45" s="191"/>
      <c r="I45" s="191"/>
      <c r="J45" s="191"/>
      <c r="K45" s="205"/>
      <c r="L45" s="191"/>
    </row>
    <row r="46" spans="1:23" s="7" customFormat="1" ht="11.1" customHeight="1" x14ac:dyDescent="0.15">
      <c r="A46" s="7" t="s">
        <v>14</v>
      </c>
    </row>
    <row r="47" spans="1:23" s="12" customFormat="1" ht="11.1" customHeight="1" x14ac:dyDescent="0.2">
      <c r="A47" s="7" t="s">
        <v>224</v>
      </c>
    </row>
    <row r="48" spans="1:23" s="12" customFormat="1" ht="11.1" customHeight="1" x14ac:dyDescent="0.2">
      <c r="A48" s="7" t="s">
        <v>39</v>
      </c>
    </row>
    <row r="49" spans="1:23" s="12" customFormat="1" ht="11.1" customHeight="1" x14ac:dyDescent="0.2">
      <c r="A49" s="7" t="s">
        <v>362</v>
      </c>
    </row>
    <row r="50" spans="1:23" s="7" customFormat="1" ht="11.1" customHeight="1" x14ac:dyDescent="0.15">
      <c r="A50" s="193" t="s">
        <v>15</v>
      </c>
      <c r="B50" s="193"/>
      <c r="C50" s="193"/>
      <c r="D50" s="193"/>
      <c r="E50" s="193"/>
      <c r="F50" s="193"/>
      <c r="G50" s="193"/>
      <c r="H50" s="193"/>
      <c r="I50" s="193"/>
      <c r="J50" s="193"/>
      <c r="K50" s="193"/>
      <c r="L50" s="193"/>
    </row>
    <row r="51" spans="1:23" s="7" customFormat="1" ht="11.1" customHeight="1" x14ac:dyDescent="0.15">
      <c r="A51" s="7" t="s">
        <v>347</v>
      </c>
    </row>
    <row r="52" spans="1:23" ht="12" customHeight="1" x14ac:dyDescent="0.25">
      <c r="A52" s="2"/>
    </row>
    <row r="53" spans="1:23" ht="27.95" customHeight="1" x14ac:dyDescent="0.25">
      <c r="A53" s="192" t="s">
        <v>372</v>
      </c>
      <c r="B53" s="192"/>
      <c r="C53" s="192"/>
      <c r="D53" s="192"/>
      <c r="E53" s="192"/>
      <c r="F53" s="192"/>
      <c r="G53" s="192"/>
      <c r="H53" s="192"/>
      <c r="I53" s="192"/>
      <c r="J53" s="192"/>
      <c r="K53" s="192"/>
      <c r="L53" s="192"/>
      <c r="M53" s="192"/>
      <c r="N53" s="192"/>
    </row>
    <row r="54" spans="1:23" ht="2.25" customHeight="1" x14ac:dyDescent="0.25">
      <c r="A54" s="2"/>
    </row>
    <row r="55" spans="1:23" x14ac:dyDescent="0.25">
      <c r="A55" s="35" t="s">
        <v>160</v>
      </c>
      <c r="B55" s="35" t="s">
        <v>157</v>
      </c>
      <c r="C55" s="3" t="s">
        <v>1</v>
      </c>
      <c r="D55" s="3" t="s">
        <v>2</v>
      </c>
      <c r="E55" s="3" t="s">
        <v>3</v>
      </c>
      <c r="F55" s="3" t="s">
        <v>4</v>
      </c>
      <c r="G55" s="3" t="s">
        <v>5</v>
      </c>
      <c r="H55" s="3" t="s">
        <v>6</v>
      </c>
      <c r="I55" s="3" t="s">
        <v>7</v>
      </c>
      <c r="J55" s="3" t="s">
        <v>8</v>
      </c>
      <c r="K55" s="3" t="s">
        <v>9</v>
      </c>
    </row>
    <row r="56" spans="1:23" x14ac:dyDescent="0.25">
      <c r="A56" s="194" t="s">
        <v>211</v>
      </c>
      <c r="B56" s="4" t="s">
        <v>18</v>
      </c>
      <c r="C56" s="9">
        <v>2402</v>
      </c>
      <c r="D56" s="9">
        <v>1731</v>
      </c>
      <c r="E56" s="9">
        <v>2015</v>
      </c>
      <c r="F56" s="9">
        <v>1470</v>
      </c>
      <c r="G56" s="9">
        <v>607</v>
      </c>
      <c r="H56" s="9" t="s">
        <v>153</v>
      </c>
      <c r="I56" s="9" t="s">
        <v>153</v>
      </c>
      <c r="J56" s="9">
        <v>372</v>
      </c>
      <c r="K56" s="9">
        <v>8916</v>
      </c>
      <c r="L56" s="9"/>
      <c r="M56" s="153"/>
      <c r="N56" s="153"/>
      <c r="O56" s="153"/>
      <c r="P56" s="153"/>
      <c r="Q56" s="153"/>
      <c r="R56" s="153"/>
      <c r="S56" s="153"/>
      <c r="T56" s="153"/>
      <c r="U56" s="153"/>
      <c r="W56" s="123"/>
    </row>
    <row r="57" spans="1:23" x14ac:dyDescent="0.25">
      <c r="A57" s="194"/>
      <c r="B57" s="4" t="s">
        <v>22</v>
      </c>
      <c r="C57" s="9">
        <v>571</v>
      </c>
      <c r="D57" s="9">
        <v>359</v>
      </c>
      <c r="E57" s="9">
        <v>633</v>
      </c>
      <c r="F57" s="9">
        <v>309</v>
      </c>
      <c r="G57" s="9">
        <v>149</v>
      </c>
      <c r="H57" s="9" t="s">
        <v>153</v>
      </c>
      <c r="I57" s="9" t="s">
        <v>153</v>
      </c>
      <c r="J57" s="9">
        <v>85</v>
      </c>
      <c r="K57" s="9">
        <v>2181</v>
      </c>
      <c r="L57" s="9"/>
      <c r="M57" s="153"/>
      <c r="N57" s="153"/>
      <c r="O57" s="153"/>
      <c r="P57" s="153"/>
      <c r="Q57" s="153"/>
      <c r="R57" s="153"/>
      <c r="S57" s="153"/>
      <c r="T57" s="153"/>
      <c r="U57" s="153"/>
    </row>
    <row r="58" spans="1:23" x14ac:dyDescent="0.25">
      <c r="A58" s="194"/>
      <c r="B58" s="4" t="s">
        <v>21</v>
      </c>
      <c r="C58" s="78" t="s">
        <v>146</v>
      </c>
      <c r="D58" s="9" t="s">
        <v>146</v>
      </c>
      <c r="E58" s="9">
        <v>1</v>
      </c>
      <c r="F58" s="9">
        <v>1</v>
      </c>
      <c r="G58" s="78" t="s">
        <v>146</v>
      </c>
      <c r="H58" s="78" t="s">
        <v>146</v>
      </c>
      <c r="I58" s="78" t="s">
        <v>146</v>
      </c>
      <c r="J58" s="78" t="s">
        <v>146</v>
      </c>
      <c r="K58" s="9">
        <v>2</v>
      </c>
      <c r="L58" s="9"/>
      <c r="M58" s="153"/>
      <c r="N58" s="153"/>
      <c r="O58" s="153"/>
      <c r="P58" s="153"/>
      <c r="Q58" s="153"/>
      <c r="R58" s="153"/>
      <c r="S58" s="153"/>
      <c r="T58" s="153"/>
      <c r="U58" s="153"/>
    </row>
    <row r="59" spans="1:23" x14ac:dyDescent="0.25">
      <c r="A59" s="194"/>
      <c r="B59" s="10" t="s">
        <v>12</v>
      </c>
      <c r="C59" s="102">
        <v>2973</v>
      </c>
      <c r="D59" s="102">
        <v>2090</v>
      </c>
      <c r="E59" s="102">
        <v>2649</v>
      </c>
      <c r="F59" s="102">
        <v>1780</v>
      </c>
      <c r="G59" s="102">
        <v>756</v>
      </c>
      <c r="H59" s="102">
        <v>234</v>
      </c>
      <c r="I59" s="102">
        <v>160</v>
      </c>
      <c r="J59" s="102">
        <v>457</v>
      </c>
      <c r="K59" s="102">
        <v>11099</v>
      </c>
      <c r="L59" s="36"/>
      <c r="M59" s="153"/>
      <c r="N59" s="153"/>
      <c r="O59" s="153"/>
      <c r="P59" s="153"/>
      <c r="Q59" s="153"/>
      <c r="R59" s="153"/>
      <c r="S59" s="153"/>
      <c r="T59" s="153"/>
      <c r="U59" s="153"/>
    </row>
    <row r="60" spans="1:23" x14ac:dyDescent="0.25">
      <c r="A60" s="194" t="s">
        <v>212</v>
      </c>
      <c r="B60" s="4" t="s">
        <v>18</v>
      </c>
      <c r="C60" s="9">
        <v>2209</v>
      </c>
      <c r="D60" s="9">
        <v>1627</v>
      </c>
      <c r="E60" s="9">
        <v>1943</v>
      </c>
      <c r="F60" s="9">
        <v>1430</v>
      </c>
      <c r="G60" s="9">
        <v>566</v>
      </c>
      <c r="H60" s="9" t="s">
        <v>153</v>
      </c>
      <c r="I60" s="9" t="s">
        <v>153</v>
      </c>
      <c r="J60" s="9">
        <v>366</v>
      </c>
      <c r="K60" s="9">
        <v>8463</v>
      </c>
      <c r="L60" s="9"/>
      <c r="M60" s="153"/>
      <c r="N60" s="153"/>
      <c r="O60" s="153"/>
      <c r="P60" s="153"/>
      <c r="Q60" s="153"/>
      <c r="R60" s="153"/>
      <c r="S60" s="153"/>
      <c r="T60" s="153"/>
      <c r="U60" s="153"/>
    </row>
    <row r="61" spans="1:23" x14ac:dyDescent="0.25">
      <c r="A61" s="194"/>
      <c r="B61" s="4" t="s">
        <v>22</v>
      </c>
      <c r="C61" s="9">
        <v>544</v>
      </c>
      <c r="D61" s="9">
        <v>311</v>
      </c>
      <c r="E61" s="9">
        <v>641</v>
      </c>
      <c r="F61" s="9">
        <v>311</v>
      </c>
      <c r="G61" s="9">
        <v>158</v>
      </c>
      <c r="H61" s="9" t="s">
        <v>153</v>
      </c>
      <c r="I61" s="9" t="s">
        <v>153</v>
      </c>
      <c r="J61" s="9">
        <v>73</v>
      </c>
      <c r="K61" s="9">
        <v>2118</v>
      </c>
      <c r="L61" s="9"/>
      <c r="M61" s="153"/>
      <c r="N61" s="153"/>
      <c r="O61" s="153"/>
      <c r="P61" s="153"/>
      <c r="Q61" s="153"/>
      <c r="R61" s="153"/>
      <c r="S61" s="153"/>
      <c r="T61" s="153"/>
      <c r="U61" s="153"/>
    </row>
    <row r="62" spans="1:23" x14ac:dyDescent="0.25">
      <c r="A62" s="194"/>
      <c r="B62" s="4" t="s">
        <v>21</v>
      </c>
      <c r="C62" s="78" t="s">
        <v>146</v>
      </c>
      <c r="D62" s="78" t="s">
        <v>146</v>
      </c>
      <c r="E62" s="78">
        <v>1</v>
      </c>
      <c r="F62" s="9" t="s">
        <v>146</v>
      </c>
      <c r="G62" s="78" t="s">
        <v>146</v>
      </c>
      <c r="H62" s="78" t="s">
        <v>146</v>
      </c>
      <c r="I62" s="78" t="s">
        <v>146</v>
      </c>
      <c r="J62" s="78" t="s">
        <v>146</v>
      </c>
      <c r="K62" s="9">
        <v>1</v>
      </c>
      <c r="L62" s="9"/>
      <c r="M62" s="153"/>
      <c r="N62" s="153"/>
      <c r="O62" s="153"/>
      <c r="P62" s="153"/>
      <c r="Q62" s="153"/>
      <c r="R62" s="153"/>
      <c r="S62" s="153"/>
      <c r="T62" s="153"/>
      <c r="U62" s="153"/>
    </row>
    <row r="63" spans="1:23" x14ac:dyDescent="0.25">
      <c r="A63" s="194"/>
      <c r="B63" s="10" t="s">
        <v>12</v>
      </c>
      <c r="C63" s="102">
        <v>2753</v>
      </c>
      <c r="D63" s="102">
        <v>1938</v>
      </c>
      <c r="E63" s="102">
        <v>2585</v>
      </c>
      <c r="F63" s="102">
        <v>1741</v>
      </c>
      <c r="G63" s="102">
        <v>724</v>
      </c>
      <c r="H63" s="102">
        <v>241</v>
      </c>
      <c r="I63" s="102">
        <v>161</v>
      </c>
      <c r="J63" s="102">
        <v>439</v>
      </c>
      <c r="K63" s="102">
        <v>10582</v>
      </c>
      <c r="L63" s="36"/>
      <c r="M63" s="153"/>
      <c r="N63" s="153"/>
      <c r="O63" s="153"/>
      <c r="P63" s="153"/>
      <c r="Q63" s="153"/>
      <c r="R63" s="153"/>
      <c r="S63" s="153"/>
      <c r="T63" s="153"/>
      <c r="U63" s="153"/>
    </row>
    <row r="64" spans="1:23" x14ac:dyDescent="0.25">
      <c r="A64" s="194" t="s">
        <v>213</v>
      </c>
      <c r="B64" s="4" t="s">
        <v>18</v>
      </c>
      <c r="C64" s="9">
        <v>2192</v>
      </c>
      <c r="D64" s="9">
        <v>1565</v>
      </c>
      <c r="E64" s="9">
        <v>2140</v>
      </c>
      <c r="F64" s="9">
        <v>1422</v>
      </c>
      <c r="G64" s="9">
        <v>510</v>
      </c>
      <c r="H64" s="9" t="s">
        <v>153</v>
      </c>
      <c r="I64" s="9" t="s">
        <v>153</v>
      </c>
      <c r="J64" s="9">
        <v>320</v>
      </c>
      <c r="K64" s="9">
        <v>8462</v>
      </c>
      <c r="L64" s="9"/>
      <c r="M64" s="153"/>
      <c r="N64" s="153"/>
      <c r="O64" s="153"/>
      <c r="P64" s="153"/>
      <c r="Q64" s="153"/>
      <c r="R64" s="153"/>
      <c r="S64" s="153"/>
      <c r="T64" s="153"/>
      <c r="U64" s="153"/>
    </row>
    <row r="65" spans="1:21" x14ac:dyDescent="0.25">
      <c r="A65" s="194"/>
      <c r="B65" s="4" t="s">
        <v>22</v>
      </c>
      <c r="C65" s="9">
        <v>607</v>
      </c>
      <c r="D65" s="9">
        <v>290</v>
      </c>
      <c r="E65" s="9">
        <v>687</v>
      </c>
      <c r="F65" s="9">
        <v>332</v>
      </c>
      <c r="G65" s="9">
        <v>135</v>
      </c>
      <c r="H65" s="9" t="s">
        <v>153</v>
      </c>
      <c r="I65" s="9" t="s">
        <v>153</v>
      </c>
      <c r="J65" s="9">
        <v>50</v>
      </c>
      <c r="K65" s="9">
        <v>2204</v>
      </c>
      <c r="L65" s="9"/>
      <c r="M65" s="153"/>
      <c r="N65" s="153"/>
      <c r="O65" s="153"/>
      <c r="P65" s="153"/>
      <c r="Q65" s="153"/>
      <c r="R65" s="153"/>
      <c r="S65" s="153"/>
      <c r="T65" s="153"/>
      <c r="U65" s="153"/>
    </row>
    <row r="66" spans="1:21" x14ac:dyDescent="0.25">
      <c r="A66" s="194"/>
      <c r="B66" s="4" t="s">
        <v>21</v>
      </c>
      <c r="C66" s="78" t="s">
        <v>146</v>
      </c>
      <c r="D66" s="78" t="s">
        <v>146</v>
      </c>
      <c r="E66" s="78">
        <v>2</v>
      </c>
      <c r="F66" s="78" t="s">
        <v>146</v>
      </c>
      <c r="G66" s="78" t="s">
        <v>146</v>
      </c>
      <c r="H66" s="78" t="s">
        <v>146</v>
      </c>
      <c r="I66" s="78" t="s">
        <v>146</v>
      </c>
      <c r="J66" s="78" t="s">
        <v>146</v>
      </c>
      <c r="K66" s="78">
        <v>2</v>
      </c>
      <c r="L66" s="9"/>
      <c r="M66" s="153"/>
      <c r="N66" s="153"/>
      <c r="O66" s="153"/>
      <c r="P66" s="153"/>
      <c r="Q66" s="153"/>
      <c r="R66" s="153"/>
      <c r="S66" s="153"/>
      <c r="T66" s="153"/>
      <c r="U66" s="153"/>
    </row>
    <row r="67" spans="1:21" x14ac:dyDescent="0.25">
      <c r="A67" s="194"/>
      <c r="B67" s="10" t="s">
        <v>12</v>
      </c>
      <c r="C67" s="102">
        <v>2799</v>
      </c>
      <c r="D67" s="102">
        <v>1855</v>
      </c>
      <c r="E67" s="102">
        <v>2829</v>
      </c>
      <c r="F67" s="102">
        <v>1754</v>
      </c>
      <c r="G67" s="102">
        <v>645</v>
      </c>
      <c r="H67" s="102">
        <v>239</v>
      </c>
      <c r="I67" s="102">
        <v>177</v>
      </c>
      <c r="J67" s="102">
        <v>370</v>
      </c>
      <c r="K67" s="102">
        <v>10668</v>
      </c>
      <c r="L67" s="36"/>
      <c r="M67" s="153"/>
      <c r="N67" s="153"/>
      <c r="O67" s="153"/>
      <c r="P67" s="153"/>
      <c r="Q67" s="153"/>
      <c r="R67" s="153"/>
      <c r="S67" s="153"/>
      <c r="T67" s="153"/>
      <c r="U67" s="153"/>
    </row>
    <row r="68" spans="1:21" x14ac:dyDescent="0.25">
      <c r="A68" s="194" t="s">
        <v>214</v>
      </c>
      <c r="B68" s="4" t="s">
        <v>18</v>
      </c>
      <c r="C68" s="9">
        <v>2194</v>
      </c>
      <c r="D68" s="9">
        <v>1457</v>
      </c>
      <c r="E68" s="9">
        <v>2373</v>
      </c>
      <c r="F68" s="9">
        <v>1363</v>
      </c>
      <c r="G68" s="9">
        <v>466</v>
      </c>
      <c r="H68" s="9">
        <v>191</v>
      </c>
      <c r="I68" s="9">
        <v>132</v>
      </c>
      <c r="J68" s="9">
        <v>335</v>
      </c>
      <c r="K68" s="9">
        <v>8511</v>
      </c>
      <c r="L68" s="9"/>
      <c r="M68" s="153"/>
      <c r="N68" s="153"/>
      <c r="O68" s="153"/>
      <c r="P68" s="153"/>
      <c r="Q68" s="153"/>
      <c r="R68" s="153"/>
      <c r="S68" s="153"/>
      <c r="T68" s="153"/>
      <c r="U68" s="153"/>
    </row>
    <row r="69" spans="1:21" x14ac:dyDescent="0.25">
      <c r="A69" s="194"/>
      <c r="B69" s="4" t="s">
        <v>22</v>
      </c>
      <c r="C69" s="9">
        <v>634</v>
      </c>
      <c r="D69" s="9">
        <v>306</v>
      </c>
      <c r="E69" s="9">
        <v>787</v>
      </c>
      <c r="F69" s="9">
        <v>358</v>
      </c>
      <c r="G69" s="9">
        <v>103</v>
      </c>
      <c r="H69" s="9">
        <v>64</v>
      </c>
      <c r="I69" s="9">
        <v>43</v>
      </c>
      <c r="J69" s="9">
        <v>53</v>
      </c>
      <c r="K69" s="9">
        <v>2348</v>
      </c>
      <c r="L69" s="9"/>
      <c r="M69" s="153"/>
      <c r="N69" s="153"/>
      <c r="O69" s="153"/>
      <c r="P69" s="153"/>
      <c r="Q69" s="153"/>
      <c r="R69" s="153"/>
      <c r="S69" s="153"/>
      <c r="T69" s="153"/>
      <c r="U69" s="153"/>
    </row>
    <row r="70" spans="1:21" x14ac:dyDescent="0.25">
      <c r="A70" s="194"/>
      <c r="B70" s="4" t="s">
        <v>21</v>
      </c>
      <c r="C70" s="78" t="s">
        <v>146</v>
      </c>
      <c r="D70" s="78">
        <v>1</v>
      </c>
      <c r="E70" s="9">
        <v>2</v>
      </c>
      <c r="F70" s="78">
        <v>1</v>
      </c>
      <c r="G70" s="78" t="s">
        <v>146</v>
      </c>
      <c r="H70" s="78" t="s">
        <v>146</v>
      </c>
      <c r="I70" s="78" t="s">
        <v>146</v>
      </c>
      <c r="J70" s="78" t="s">
        <v>146</v>
      </c>
      <c r="K70" s="9">
        <v>4</v>
      </c>
      <c r="L70" s="9"/>
      <c r="M70" s="153"/>
      <c r="N70" s="153"/>
      <c r="O70" s="153"/>
      <c r="P70" s="153"/>
      <c r="Q70" s="153"/>
      <c r="R70" s="153"/>
      <c r="S70" s="153"/>
      <c r="T70" s="153"/>
      <c r="U70" s="153"/>
    </row>
    <row r="71" spans="1:21" x14ac:dyDescent="0.25">
      <c r="A71" s="194"/>
      <c r="B71" s="10" t="s">
        <v>12</v>
      </c>
      <c r="C71" s="102">
        <v>2828</v>
      </c>
      <c r="D71" s="102">
        <v>1764</v>
      </c>
      <c r="E71" s="102">
        <v>3162</v>
      </c>
      <c r="F71" s="102">
        <v>1722</v>
      </c>
      <c r="G71" s="102">
        <v>569</v>
      </c>
      <c r="H71" s="102">
        <v>255</v>
      </c>
      <c r="I71" s="102">
        <v>175</v>
      </c>
      <c r="J71" s="102">
        <v>388</v>
      </c>
      <c r="K71" s="102">
        <v>10863</v>
      </c>
      <c r="L71" s="36"/>
      <c r="M71" s="153"/>
      <c r="N71" s="153"/>
      <c r="O71" s="153"/>
      <c r="P71" s="153"/>
      <c r="Q71" s="153"/>
      <c r="R71" s="153"/>
      <c r="S71" s="153"/>
      <c r="T71" s="153"/>
      <c r="U71" s="153"/>
    </row>
    <row r="72" spans="1:21" x14ac:dyDescent="0.25">
      <c r="A72" s="194" t="s">
        <v>215</v>
      </c>
      <c r="B72" s="4" t="s">
        <v>18</v>
      </c>
      <c r="C72" s="9">
        <v>2159</v>
      </c>
      <c r="D72" s="9">
        <v>1402</v>
      </c>
      <c r="E72" s="9">
        <v>2170</v>
      </c>
      <c r="F72" s="9">
        <v>1228</v>
      </c>
      <c r="G72" s="9">
        <v>459</v>
      </c>
      <c r="H72" s="9" t="s">
        <v>153</v>
      </c>
      <c r="I72" s="9" t="s">
        <v>153</v>
      </c>
      <c r="J72" s="9">
        <v>327</v>
      </c>
      <c r="K72" s="9">
        <v>8034</v>
      </c>
      <c r="L72" s="9"/>
      <c r="M72" s="153"/>
      <c r="N72" s="153"/>
      <c r="O72" s="153"/>
      <c r="P72" s="153"/>
      <c r="Q72" s="153"/>
      <c r="R72" s="153"/>
      <c r="S72" s="153"/>
      <c r="T72" s="153"/>
      <c r="U72" s="153"/>
    </row>
    <row r="73" spans="1:21" x14ac:dyDescent="0.25">
      <c r="A73" s="194"/>
      <c r="B73" s="4" t="s">
        <v>22</v>
      </c>
      <c r="C73" s="9">
        <v>604</v>
      </c>
      <c r="D73" s="9">
        <v>312</v>
      </c>
      <c r="E73" s="9">
        <v>732</v>
      </c>
      <c r="F73" s="9">
        <v>325</v>
      </c>
      <c r="G73" s="9">
        <v>109</v>
      </c>
      <c r="H73" s="9" t="s">
        <v>153</v>
      </c>
      <c r="I73" s="9" t="s">
        <v>153</v>
      </c>
      <c r="J73" s="9">
        <v>46</v>
      </c>
      <c r="K73" s="9">
        <v>2230</v>
      </c>
      <c r="L73" s="9"/>
      <c r="M73" s="153"/>
      <c r="N73" s="153"/>
      <c r="O73" s="153"/>
      <c r="P73" s="153"/>
      <c r="Q73" s="153"/>
      <c r="R73" s="153"/>
      <c r="S73" s="153"/>
      <c r="T73" s="153"/>
      <c r="U73" s="153"/>
    </row>
    <row r="74" spans="1:21" x14ac:dyDescent="0.25">
      <c r="A74" s="194"/>
      <c r="B74" s="4" t="s">
        <v>21</v>
      </c>
      <c r="C74" s="78">
        <v>2</v>
      </c>
      <c r="D74" s="9">
        <v>1</v>
      </c>
      <c r="E74" s="9">
        <v>1</v>
      </c>
      <c r="F74" s="9">
        <v>1</v>
      </c>
      <c r="G74" s="78" t="s">
        <v>146</v>
      </c>
      <c r="H74" s="78" t="s">
        <v>146</v>
      </c>
      <c r="I74" s="78" t="s">
        <v>146</v>
      </c>
      <c r="J74" s="78" t="s">
        <v>146</v>
      </c>
      <c r="K74" s="9">
        <v>5</v>
      </c>
      <c r="L74" s="9"/>
      <c r="M74" s="153"/>
      <c r="N74" s="153"/>
      <c r="O74" s="153"/>
      <c r="P74" s="153"/>
      <c r="Q74" s="153"/>
      <c r="R74" s="153"/>
      <c r="S74" s="153"/>
      <c r="T74" s="153"/>
      <c r="U74" s="153"/>
    </row>
    <row r="75" spans="1:21" x14ac:dyDescent="0.25">
      <c r="A75" s="194"/>
      <c r="B75" s="10" t="s">
        <v>12</v>
      </c>
      <c r="C75" s="102">
        <v>2765</v>
      </c>
      <c r="D75" s="102">
        <v>1715</v>
      </c>
      <c r="E75" s="102">
        <v>2903</v>
      </c>
      <c r="F75" s="102">
        <v>1554</v>
      </c>
      <c r="G75" s="102">
        <v>568</v>
      </c>
      <c r="H75" s="102">
        <v>242</v>
      </c>
      <c r="I75" s="102">
        <v>149</v>
      </c>
      <c r="J75" s="102">
        <v>373</v>
      </c>
      <c r="K75" s="102">
        <v>10269</v>
      </c>
      <c r="L75" s="36"/>
      <c r="M75" s="153"/>
      <c r="N75" s="153"/>
      <c r="O75" s="153"/>
      <c r="P75" s="153"/>
      <c r="Q75" s="153"/>
      <c r="R75" s="153"/>
      <c r="S75" s="153"/>
      <c r="T75" s="153"/>
      <c r="U75" s="153"/>
    </row>
    <row r="76" spans="1:21" x14ac:dyDescent="0.25">
      <c r="A76" s="194" t="s">
        <v>216</v>
      </c>
      <c r="B76" s="4" t="s">
        <v>18</v>
      </c>
      <c r="C76" s="9">
        <v>2088</v>
      </c>
      <c r="D76" s="9">
        <v>1284</v>
      </c>
      <c r="E76" s="9">
        <v>2072</v>
      </c>
      <c r="F76" s="9">
        <v>1025</v>
      </c>
      <c r="G76" s="9">
        <v>414</v>
      </c>
      <c r="H76" s="9" t="s">
        <v>153</v>
      </c>
      <c r="I76" s="9" t="s">
        <v>153</v>
      </c>
      <c r="J76" s="9">
        <v>332</v>
      </c>
      <c r="K76" s="9">
        <v>7481</v>
      </c>
      <c r="L76" s="9"/>
      <c r="M76" s="153"/>
      <c r="N76" s="153"/>
      <c r="O76" s="153"/>
      <c r="P76" s="153"/>
      <c r="Q76" s="153"/>
      <c r="R76" s="153"/>
      <c r="S76" s="153"/>
      <c r="T76" s="153"/>
      <c r="U76" s="153"/>
    </row>
    <row r="77" spans="1:21" x14ac:dyDescent="0.25">
      <c r="A77" s="194"/>
      <c r="B77" s="4" t="s">
        <v>22</v>
      </c>
      <c r="C77" s="9">
        <v>548</v>
      </c>
      <c r="D77" s="9">
        <v>255</v>
      </c>
      <c r="E77" s="9">
        <v>641</v>
      </c>
      <c r="F77" s="9">
        <v>263</v>
      </c>
      <c r="G77" s="9">
        <v>106</v>
      </c>
      <c r="H77" s="9" t="s">
        <v>153</v>
      </c>
      <c r="I77" s="9" t="s">
        <v>153</v>
      </c>
      <c r="J77" s="9">
        <v>44</v>
      </c>
      <c r="K77" s="9">
        <v>1955</v>
      </c>
      <c r="L77" s="9"/>
      <c r="M77" s="153"/>
      <c r="N77" s="153"/>
      <c r="O77" s="153"/>
      <c r="P77" s="153"/>
      <c r="Q77" s="153"/>
      <c r="R77" s="153"/>
      <c r="S77" s="153"/>
      <c r="T77" s="153"/>
      <c r="U77" s="153"/>
    </row>
    <row r="78" spans="1:21" x14ac:dyDescent="0.25">
      <c r="A78" s="194"/>
      <c r="B78" s="4" t="s">
        <v>21</v>
      </c>
      <c r="C78" s="9">
        <v>1</v>
      </c>
      <c r="D78" s="9" t="s">
        <v>146</v>
      </c>
      <c r="E78" s="9" t="s">
        <v>146</v>
      </c>
      <c r="F78" s="9" t="s">
        <v>146</v>
      </c>
      <c r="G78" s="78" t="s">
        <v>146</v>
      </c>
      <c r="H78" s="78" t="s">
        <v>146</v>
      </c>
      <c r="I78" s="78" t="s">
        <v>146</v>
      </c>
      <c r="J78" s="78" t="s">
        <v>146</v>
      </c>
      <c r="K78" s="9">
        <v>1</v>
      </c>
      <c r="L78" s="9"/>
      <c r="M78" s="153"/>
      <c r="N78" s="153"/>
      <c r="O78" s="153"/>
      <c r="P78" s="153"/>
      <c r="Q78" s="153"/>
      <c r="R78" s="153"/>
      <c r="S78" s="153"/>
      <c r="T78" s="153"/>
      <c r="U78" s="153"/>
    </row>
    <row r="79" spans="1:21" x14ac:dyDescent="0.25">
      <c r="A79" s="194"/>
      <c r="B79" s="10" t="s">
        <v>12</v>
      </c>
      <c r="C79" s="102">
        <v>2637</v>
      </c>
      <c r="D79" s="102">
        <v>1539</v>
      </c>
      <c r="E79" s="102">
        <v>2713</v>
      </c>
      <c r="F79" s="102">
        <v>1288</v>
      </c>
      <c r="G79" s="102">
        <v>520</v>
      </c>
      <c r="H79" s="102">
        <v>229</v>
      </c>
      <c r="I79" s="102">
        <v>135</v>
      </c>
      <c r="J79" s="102">
        <v>376</v>
      </c>
      <c r="K79" s="102">
        <v>9437</v>
      </c>
      <c r="L79" s="36"/>
      <c r="M79" s="153"/>
      <c r="N79" s="153"/>
      <c r="O79" s="153"/>
      <c r="P79" s="153"/>
      <c r="Q79" s="153"/>
      <c r="R79" s="153"/>
      <c r="S79" s="153"/>
      <c r="T79" s="153"/>
      <c r="U79" s="153"/>
    </row>
    <row r="80" spans="1:21" x14ac:dyDescent="0.25">
      <c r="A80" s="194" t="s">
        <v>217</v>
      </c>
      <c r="B80" s="4" t="s">
        <v>18</v>
      </c>
      <c r="C80" s="9">
        <v>1942</v>
      </c>
      <c r="D80" s="9">
        <v>1137</v>
      </c>
      <c r="E80" s="9">
        <v>1976</v>
      </c>
      <c r="F80" s="9">
        <v>1090</v>
      </c>
      <c r="G80" s="9">
        <v>408</v>
      </c>
      <c r="H80" s="9" t="s">
        <v>153</v>
      </c>
      <c r="I80" s="9" t="s">
        <v>153</v>
      </c>
      <c r="J80" s="9">
        <v>381</v>
      </c>
      <c r="K80" s="9">
        <v>7167</v>
      </c>
      <c r="L80" s="9"/>
      <c r="M80" s="153"/>
      <c r="N80" s="153"/>
      <c r="O80" s="153"/>
      <c r="P80" s="153"/>
      <c r="Q80" s="153"/>
      <c r="R80" s="153"/>
      <c r="S80" s="153"/>
      <c r="T80" s="153"/>
      <c r="U80" s="153"/>
    </row>
    <row r="81" spans="1:21" x14ac:dyDescent="0.25">
      <c r="A81" s="194"/>
      <c r="B81" s="4" t="s">
        <v>22</v>
      </c>
      <c r="C81" s="9">
        <v>464</v>
      </c>
      <c r="D81" s="9">
        <v>210</v>
      </c>
      <c r="E81" s="9">
        <v>629</v>
      </c>
      <c r="F81" s="9">
        <v>300</v>
      </c>
      <c r="G81" s="9">
        <v>112</v>
      </c>
      <c r="H81" s="9" t="s">
        <v>153</v>
      </c>
      <c r="I81" s="9" t="s">
        <v>153</v>
      </c>
      <c r="J81" s="9">
        <v>72</v>
      </c>
      <c r="K81" s="9">
        <v>1875</v>
      </c>
      <c r="L81" s="9"/>
      <c r="M81" s="153"/>
      <c r="N81" s="153"/>
      <c r="O81" s="153"/>
      <c r="P81" s="153"/>
      <c r="Q81" s="153"/>
      <c r="R81" s="153"/>
      <c r="S81" s="153"/>
      <c r="T81" s="153"/>
      <c r="U81" s="153"/>
    </row>
    <row r="82" spans="1:21" x14ac:dyDescent="0.25">
      <c r="A82" s="194"/>
      <c r="B82" s="4" t="s">
        <v>21</v>
      </c>
      <c r="C82" s="9">
        <v>4</v>
      </c>
      <c r="D82" s="78">
        <v>1</v>
      </c>
      <c r="E82" s="78">
        <v>1</v>
      </c>
      <c r="F82" s="78" t="s">
        <v>146</v>
      </c>
      <c r="G82" s="78" t="s">
        <v>146</v>
      </c>
      <c r="H82" s="78" t="s">
        <v>146</v>
      </c>
      <c r="I82" s="78" t="s">
        <v>146</v>
      </c>
      <c r="J82" s="78" t="s">
        <v>146</v>
      </c>
      <c r="K82" s="9">
        <v>6</v>
      </c>
      <c r="L82" s="9"/>
      <c r="M82" s="153"/>
      <c r="N82" s="153"/>
      <c r="O82" s="153"/>
      <c r="P82" s="153"/>
      <c r="Q82" s="153"/>
      <c r="R82" s="153"/>
      <c r="S82" s="153"/>
      <c r="T82" s="153"/>
      <c r="U82" s="153"/>
    </row>
    <row r="83" spans="1:21" x14ac:dyDescent="0.25">
      <c r="A83" s="194"/>
      <c r="B83" s="10" t="s">
        <v>12</v>
      </c>
      <c r="C83" s="102">
        <v>2410</v>
      </c>
      <c r="D83" s="102">
        <v>1348</v>
      </c>
      <c r="E83" s="102">
        <v>2606</v>
      </c>
      <c r="F83" s="102">
        <v>1390</v>
      </c>
      <c r="G83" s="102">
        <v>520</v>
      </c>
      <c r="H83" s="102">
        <v>191</v>
      </c>
      <c r="I83" s="102">
        <v>130</v>
      </c>
      <c r="J83" s="102">
        <v>453</v>
      </c>
      <c r="K83" s="102">
        <v>9048</v>
      </c>
      <c r="L83" s="36"/>
      <c r="M83" s="153"/>
      <c r="N83" s="153"/>
      <c r="O83" s="153"/>
      <c r="P83" s="153"/>
      <c r="Q83" s="153"/>
      <c r="R83" s="153"/>
      <c r="S83" s="153"/>
      <c r="T83" s="153"/>
      <c r="U83" s="153"/>
    </row>
    <row r="84" spans="1:21" x14ac:dyDescent="0.25">
      <c r="A84" s="194" t="s">
        <v>218</v>
      </c>
      <c r="B84" s="4" t="s">
        <v>18</v>
      </c>
      <c r="C84" s="9">
        <v>1943</v>
      </c>
      <c r="D84" s="9">
        <v>1005</v>
      </c>
      <c r="E84" s="9">
        <v>1941</v>
      </c>
      <c r="F84" s="9">
        <v>1173</v>
      </c>
      <c r="G84" s="9">
        <v>443</v>
      </c>
      <c r="H84" s="9" t="s">
        <v>153</v>
      </c>
      <c r="I84" s="9" t="s">
        <v>153</v>
      </c>
      <c r="J84" s="9">
        <v>467</v>
      </c>
      <c r="K84" s="9">
        <v>7232</v>
      </c>
      <c r="L84" s="9"/>
      <c r="M84" s="153"/>
      <c r="N84" s="153"/>
      <c r="O84" s="153"/>
      <c r="P84" s="153"/>
      <c r="Q84" s="153"/>
      <c r="R84" s="153"/>
      <c r="S84" s="153"/>
      <c r="T84" s="153"/>
      <c r="U84" s="153"/>
    </row>
    <row r="85" spans="1:21" x14ac:dyDescent="0.25">
      <c r="A85" s="194"/>
      <c r="B85" s="4" t="s">
        <v>22</v>
      </c>
      <c r="C85" s="9">
        <v>502</v>
      </c>
      <c r="D85" s="9">
        <v>148</v>
      </c>
      <c r="E85" s="9">
        <v>618</v>
      </c>
      <c r="F85" s="9">
        <v>337</v>
      </c>
      <c r="G85" s="9">
        <v>164</v>
      </c>
      <c r="H85" s="9" t="s">
        <v>153</v>
      </c>
      <c r="I85" s="9" t="s">
        <v>153</v>
      </c>
      <c r="J85" s="9">
        <v>84</v>
      </c>
      <c r="K85" s="9">
        <v>1956</v>
      </c>
      <c r="L85" s="9"/>
      <c r="M85" s="153"/>
      <c r="N85" s="153"/>
      <c r="O85" s="153"/>
      <c r="P85" s="153"/>
      <c r="Q85" s="153"/>
      <c r="R85" s="153"/>
      <c r="S85" s="153"/>
      <c r="T85" s="153"/>
      <c r="U85" s="153"/>
    </row>
    <row r="86" spans="1:21" x14ac:dyDescent="0.25">
      <c r="A86" s="194"/>
      <c r="B86" s="4" t="s">
        <v>21</v>
      </c>
      <c r="C86" s="9">
        <v>3</v>
      </c>
      <c r="D86" s="9">
        <v>1</v>
      </c>
      <c r="E86" s="9">
        <v>2</v>
      </c>
      <c r="F86" s="78" t="s">
        <v>146</v>
      </c>
      <c r="G86" s="78">
        <v>1</v>
      </c>
      <c r="H86" s="78">
        <v>1</v>
      </c>
      <c r="I86" s="78" t="s">
        <v>146</v>
      </c>
      <c r="J86" s="78">
        <v>2</v>
      </c>
      <c r="K86" s="9">
        <v>10</v>
      </c>
      <c r="L86" s="9"/>
      <c r="M86" s="153"/>
      <c r="N86" s="153"/>
      <c r="O86" s="153"/>
      <c r="P86" s="153"/>
      <c r="Q86" s="153"/>
      <c r="R86" s="153"/>
      <c r="S86" s="153"/>
      <c r="T86" s="153"/>
      <c r="U86" s="153"/>
    </row>
    <row r="87" spans="1:21" x14ac:dyDescent="0.25">
      <c r="A87" s="194"/>
      <c r="B87" s="10" t="s">
        <v>12</v>
      </c>
      <c r="C87" s="102">
        <v>2448</v>
      </c>
      <c r="D87" s="102">
        <v>1154</v>
      </c>
      <c r="E87" s="102">
        <v>2561</v>
      </c>
      <c r="F87" s="102">
        <v>1510</v>
      </c>
      <c r="G87" s="102">
        <v>608</v>
      </c>
      <c r="H87" s="102">
        <v>199</v>
      </c>
      <c r="I87" s="102">
        <v>165</v>
      </c>
      <c r="J87" s="102">
        <v>553</v>
      </c>
      <c r="K87" s="102">
        <v>9198</v>
      </c>
      <c r="L87" s="36"/>
      <c r="M87" s="153"/>
      <c r="N87" s="153"/>
      <c r="O87" s="153"/>
      <c r="P87" s="153"/>
      <c r="Q87" s="153"/>
      <c r="R87" s="153"/>
      <c r="S87" s="153"/>
      <c r="T87" s="153"/>
      <c r="U87" s="153"/>
    </row>
    <row r="88" spans="1:21" x14ac:dyDescent="0.25">
      <c r="A88" s="194" t="s">
        <v>219</v>
      </c>
      <c r="B88" s="4" t="s">
        <v>18</v>
      </c>
      <c r="C88" s="9">
        <v>1883</v>
      </c>
      <c r="D88" s="9">
        <v>855</v>
      </c>
      <c r="E88" s="9">
        <v>1930</v>
      </c>
      <c r="F88" s="9">
        <v>1124</v>
      </c>
      <c r="G88" s="9">
        <v>452</v>
      </c>
      <c r="H88" s="9" t="s">
        <v>153</v>
      </c>
      <c r="I88" s="9" t="s">
        <v>153</v>
      </c>
      <c r="J88" s="9">
        <v>627</v>
      </c>
      <c r="K88" s="9">
        <v>7160</v>
      </c>
      <c r="L88" s="9"/>
      <c r="M88" s="153"/>
      <c r="N88" s="153"/>
      <c r="O88" s="153"/>
      <c r="P88" s="153"/>
      <c r="Q88" s="153"/>
      <c r="R88" s="153"/>
      <c r="S88" s="153"/>
      <c r="T88" s="153"/>
      <c r="U88" s="153"/>
    </row>
    <row r="89" spans="1:21" x14ac:dyDescent="0.25">
      <c r="A89" s="194"/>
      <c r="B89" s="4" t="s">
        <v>22</v>
      </c>
      <c r="C89" s="9">
        <v>532</v>
      </c>
      <c r="D89" s="9">
        <v>120</v>
      </c>
      <c r="E89" s="9">
        <v>633</v>
      </c>
      <c r="F89" s="9">
        <v>367</v>
      </c>
      <c r="G89" s="9">
        <v>174</v>
      </c>
      <c r="H89" s="9" t="s">
        <v>153</v>
      </c>
      <c r="I89" s="9" t="s">
        <v>153</v>
      </c>
      <c r="J89" s="9">
        <v>130</v>
      </c>
      <c r="K89" s="9">
        <v>2070</v>
      </c>
      <c r="L89" s="9"/>
      <c r="M89" s="153"/>
      <c r="N89" s="153"/>
      <c r="O89" s="153"/>
      <c r="P89" s="153"/>
      <c r="Q89" s="153"/>
      <c r="R89" s="153"/>
      <c r="S89" s="153"/>
      <c r="T89" s="153"/>
      <c r="U89" s="153"/>
    </row>
    <row r="90" spans="1:21" x14ac:dyDescent="0.25">
      <c r="A90" s="194"/>
      <c r="B90" s="4" t="s">
        <v>21</v>
      </c>
      <c r="C90" s="9">
        <v>7</v>
      </c>
      <c r="D90" s="9" t="s">
        <v>146</v>
      </c>
      <c r="E90" s="9">
        <v>2</v>
      </c>
      <c r="F90" s="78" t="s">
        <v>146</v>
      </c>
      <c r="G90" s="9" t="s">
        <v>146</v>
      </c>
      <c r="H90" s="9">
        <v>2</v>
      </c>
      <c r="I90" s="78" t="s">
        <v>146</v>
      </c>
      <c r="J90" s="9">
        <v>1</v>
      </c>
      <c r="K90" s="9">
        <v>12</v>
      </c>
      <c r="L90" s="9"/>
      <c r="M90" s="153"/>
      <c r="N90" s="153"/>
      <c r="O90" s="153"/>
      <c r="P90" s="153"/>
      <c r="Q90" s="153"/>
      <c r="R90" s="153"/>
      <c r="S90" s="153"/>
      <c r="T90" s="153"/>
      <c r="U90" s="153"/>
    </row>
    <row r="91" spans="1:21" x14ac:dyDescent="0.25">
      <c r="A91" s="194"/>
      <c r="B91" s="10" t="s">
        <v>12</v>
      </c>
      <c r="C91" s="102">
        <v>2422</v>
      </c>
      <c r="D91" s="102">
        <v>975</v>
      </c>
      <c r="E91" s="102">
        <v>2565</v>
      </c>
      <c r="F91" s="102">
        <v>1491</v>
      </c>
      <c r="G91" s="102">
        <v>626</v>
      </c>
      <c r="H91" s="102">
        <v>226</v>
      </c>
      <c r="I91" s="102">
        <v>179</v>
      </c>
      <c r="J91" s="102">
        <v>758</v>
      </c>
      <c r="K91" s="102">
        <v>9242</v>
      </c>
      <c r="L91" s="36"/>
      <c r="M91" s="153"/>
      <c r="N91" s="153"/>
      <c r="O91" s="153"/>
      <c r="P91" s="153"/>
      <c r="Q91" s="153"/>
      <c r="R91" s="153"/>
      <c r="S91" s="153"/>
      <c r="T91" s="153"/>
      <c r="U91" s="153"/>
    </row>
    <row r="92" spans="1:21" x14ac:dyDescent="0.25">
      <c r="A92" s="194" t="s">
        <v>357</v>
      </c>
      <c r="B92" s="4" t="s">
        <v>18</v>
      </c>
      <c r="C92" s="9">
        <v>1945</v>
      </c>
      <c r="D92" s="9">
        <v>925</v>
      </c>
      <c r="E92" s="9">
        <v>1948</v>
      </c>
      <c r="F92" s="9">
        <v>1103</v>
      </c>
      <c r="G92" s="9">
        <v>438</v>
      </c>
      <c r="H92" s="9" t="s">
        <v>153</v>
      </c>
      <c r="I92" s="9" t="s">
        <v>153</v>
      </c>
      <c r="J92" s="9">
        <v>830</v>
      </c>
      <c r="K92" s="9">
        <v>7506</v>
      </c>
      <c r="L92" s="9"/>
      <c r="M92" s="153"/>
      <c r="N92" s="153"/>
      <c r="O92" s="153"/>
      <c r="P92" s="153"/>
      <c r="Q92" s="153"/>
      <c r="R92" s="153"/>
      <c r="S92" s="153"/>
      <c r="T92" s="153"/>
      <c r="U92" s="153"/>
    </row>
    <row r="93" spans="1:21" x14ac:dyDescent="0.25">
      <c r="A93" s="194"/>
      <c r="B93" s="4" t="s">
        <v>22</v>
      </c>
      <c r="C93" s="9">
        <v>508</v>
      </c>
      <c r="D93" s="9">
        <v>129</v>
      </c>
      <c r="E93" s="9">
        <v>612</v>
      </c>
      <c r="F93" s="9">
        <v>337</v>
      </c>
      <c r="G93" s="9">
        <v>170</v>
      </c>
      <c r="H93" s="9" t="s">
        <v>153</v>
      </c>
      <c r="I93" s="9" t="s">
        <v>153</v>
      </c>
      <c r="J93" s="9">
        <v>182</v>
      </c>
      <c r="K93" s="9">
        <v>2060</v>
      </c>
      <c r="L93" s="9"/>
      <c r="M93" s="153"/>
      <c r="N93" s="153"/>
      <c r="O93" s="153"/>
      <c r="P93" s="153"/>
      <c r="Q93" s="153"/>
      <c r="R93" s="153"/>
      <c r="S93" s="153"/>
      <c r="T93" s="153"/>
      <c r="U93" s="153"/>
    </row>
    <row r="94" spans="1:21" x14ac:dyDescent="0.25">
      <c r="A94" s="194"/>
      <c r="B94" s="4" t="s">
        <v>21</v>
      </c>
      <c r="C94" s="9">
        <v>3</v>
      </c>
      <c r="D94" s="78" t="s">
        <v>146</v>
      </c>
      <c r="E94" s="9">
        <v>3</v>
      </c>
      <c r="F94" s="78">
        <v>1</v>
      </c>
      <c r="G94" s="78">
        <v>1</v>
      </c>
      <c r="H94" s="9">
        <v>3</v>
      </c>
      <c r="I94" s="78" t="s">
        <v>146</v>
      </c>
      <c r="J94" s="9">
        <v>2</v>
      </c>
      <c r="K94" s="9">
        <v>13</v>
      </c>
      <c r="L94" s="9"/>
      <c r="M94" s="153"/>
      <c r="N94" s="153"/>
      <c r="O94" s="153"/>
      <c r="P94" s="153"/>
      <c r="Q94" s="153"/>
      <c r="R94" s="153"/>
      <c r="S94" s="153"/>
      <c r="T94" s="153"/>
      <c r="U94" s="153"/>
    </row>
    <row r="95" spans="1:21" x14ac:dyDescent="0.25">
      <c r="A95" s="194"/>
      <c r="B95" s="10" t="s">
        <v>12</v>
      </c>
      <c r="C95" s="102">
        <v>2456</v>
      </c>
      <c r="D95" s="102">
        <v>1054</v>
      </c>
      <c r="E95" s="102">
        <v>2563</v>
      </c>
      <c r="F95" s="102">
        <v>1441</v>
      </c>
      <c r="G95" s="102">
        <v>609</v>
      </c>
      <c r="H95" s="102">
        <v>266</v>
      </c>
      <c r="I95" s="102">
        <v>176</v>
      </c>
      <c r="J95" s="102">
        <v>1014</v>
      </c>
      <c r="K95" s="102">
        <v>9579</v>
      </c>
      <c r="L95" s="9"/>
      <c r="M95" s="153"/>
      <c r="N95" s="153"/>
      <c r="O95" s="153"/>
      <c r="P95" s="153"/>
      <c r="Q95" s="153"/>
      <c r="R95" s="153"/>
      <c r="S95" s="153"/>
      <c r="T95" s="153"/>
      <c r="U95" s="153"/>
    </row>
    <row r="96" spans="1:21" ht="7.5" customHeight="1" x14ac:dyDescent="0.25">
      <c r="A96" s="106"/>
      <c r="B96" s="41"/>
      <c r="C96" s="42"/>
      <c r="D96" s="42"/>
      <c r="E96" s="42"/>
      <c r="F96" s="42"/>
      <c r="G96" s="42"/>
      <c r="H96" s="77"/>
      <c r="I96" s="77"/>
      <c r="J96" s="42"/>
      <c r="K96" s="42"/>
    </row>
    <row r="97" spans="1:14" ht="2.25" customHeight="1" x14ac:dyDescent="0.25"/>
    <row r="98" spans="1:14" ht="9" customHeight="1" x14ac:dyDescent="0.25">
      <c r="A98" s="7" t="s">
        <v>252</v>
      </c>
    </row>
    <row r="99" spans="1:14" ht="11.1" customHeight="1" x14ac:dyDescent="0.25">
      <c r="A99" s="6" t="s">
        <v>40</v>
      </c>
      <c r="B99" s="6"/>
      <c r="C99" s="6"/>
      <c r="D99" s="6"/>
      <c r="E99" s="6"/>
      <c r="F99" s="6"/>
      <c r="G99" s="6"/>
      <c r="H99" s="6"/>
      <c r="I99" s="6"/>
      <c r="J99" s="6"/>
      <c r="K99" s="6"/>
      <c r="L99" s="6"/>
      <c r="M99" s="6"/>
      <c r="N99" s="6"/>
    </row>
    <row r="100" spans="1:14" s="7" customFormat="1" ht="5.25" customHeight="1" x14ac:dyDescent="0.15"/>
    <row r="101" spans="1:14" s="7" customFormat="1" ht="11.1" customHeight="1" x14ac:dyDescent="0.15">
      <c r="A101" s="7" t="s">
        <v>347</v>
      </c>
    </row>
    <row r="102" spans="1:14" ht="12" customHeight="1" x14ac:dyDescent="0.25">
      <c r="A102" s="2"/>
    </row>
  </sheetData>
  <mergeCells count="24">
    <mergeCell ref="A40:A43"/>
    <mergeCell ref="A1:L1"/>
    <mergeCell ref="A4:A7"/>
    <mergeCell ref="A8:A11"/>
    <mergeCell ref="A12:A15"/>
    <mergeCell ref="A16:A19"/>
    <mergeCell ref="A20:A23"/>
    <mergeCell ref="A24:A27"/>
    <mergeCell ref="A28:A31"/>
    <mergeCell ref="A32:A35"/>
    <mergeCell ref="A36:A39"/>
    <mergeCell ref="A92:A95"/>
    <mergeCell ref="A45:L45"/>
    <mergeCell ref="A53:N53"/>
    <mergeCell ref="A56:A59"/>
    <mergeCell ref="A60:A63"/>
    <mergeCell ref="A64:A67"/>
    <mergeCell ref="A50:L50"/>
    <mergeCell ref="A88:A91"/>
    <mergeCell ref="A68:A71"/>
    <mergeCell ref="A72:A75"/>
    <mergeCell ref="A76:A79"/>
    <mergeCell ref="A80:A83"/>
    <mergeCell ref="A84:A87"/>
  </mergeCells>
  <pageMargins left="0.08" right="0.08" top="1" bottom="1" header="0.5" footer="0.5"/>
  <pageSetup orientation="landscape" blackAndWhite="1"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Y111"/>
  <sheetViews>
    <sheetView zoomScaleNormal="100" workbookViewId="0">
      <selection sqref="A1:L1"/>
    </sheetView>
  </sheetViews>
  <sheetFormatPr defaultColWidth="9.140625" defaultRowHeight="15" x14ac:dyDescent="0.25"/>
  <cols>
    <col min="1" max="10" width="11.42578125" style="1" bestFit="1" customWidth="1"/>
    <col min="11" max="11" width="10.7109375" style="1" customWidth="1"/>
    <col min="12" max="12" width="11.42578125" style="1" bestFit="1" customWidth="1"/>
    <col min="13" max="22" width="9.140625" style="1"/>
    <col min="23" max="23" width="17.85546875" style="1" bestFit="1" customWidth="1"/>
    <col min="24" max="24" width="9.140625" style="1"/>
    <col min="25" max="25" width="18.5703125" style="1" bestFit="1" customWidth="1"/>
    <col min="26" max="16384" width="9.140625" style="1"/>
  </cols>
  <sheetData>
    <row r="1" spans="1:25" ht="20.25" customHeight="1" x14ac:dyDescent="0.25">
      <c r="A1" s="204" t="s">
        <v>418</v>
      </c>
      <c r="B1" s="204"/>
      <c r="C1" s="204"/>
      <c r="D1" s="204"/>
      <c r="E1" s="204"/>
      <c r="F1" s="204"/>
      <c r="G1" s="204"/>
      <c r="H1" s="204"/>
      <c r="I1" s="204"/>
      <c r="J1" s="204"/>
      <c r="K1" s="204"/>
      <c r="L1" s="204"/>
    </row>
    <row r="2" spans="1:25" ht="2.25" customHeight="1" x14ac:dyDescent="0.25">
      <c r="A2" s="2"/>
    </row>
    <row r="3" spans="1:25" ht="23.25" x14ac:dyDescent="0.25">
      <c r="A3" s="35" t="s">
        <v>160</v>
      </c>
      <c r="B3" s="35" t="s">
        <v>157</v>
      </c>
      <c r="C3" s="3" t="s">
        <v>1</v>
      </c>
      <c r="D3" s="3" t="s">
        <v>2</v>
      </c>
      <c r="E3" s="3" t="s">
        <v>3</v>
      </c>
      <c r="F3" s="3" t="s">
        <v>4</v>
      </c>
      <c r="G3" s="3" t="s">
        <v>5</v>
      </c>
      <c r="H3" s="3" t="s">
        <v>6</v>
      </c>
      <c r="I3" s="3" t="s">
        <v>7</v>
      </c>
      <c r="J3" s="3" t="s">
        <v>8</v>
      </c>
      <c r="K3" s="3" t="s">
        <v>220</v>
      </c>
      <c r="L3" s="3" t="s">
        <v>9</v>
      </c>
    </row>
    <row r="4" spans="1:25" x14ac:dyDescent="0.25">
      <c r="A4" s="194" t="s">
        <v>211</v>
      </c>
      <c r="B4" s="4" t="s">
        <v>18</v>
      </c>
      <c r="C4" s="5">
        <v>28.641999999999999</v>
      </c>
      <c r="D4" s="5">
        <v>19.675000000000001</v>
      </c>
      <c r="E4" s="5">
        <v>40.377000000000002</v>
      </c>
      <c r="F4" s="5">
        <v>46.232999999999997</v>
      </c>
      <c r="G4" s="5">
        <v>26.254000000000001</v>
      </c>
      <c r="H4" s="5">
        <v>26.902999999999999</v>
      </c>
      <c r="I4" s="5">
        <v>25.413</v>
      </c>
      <c r="J4" s="5">
        <v>95.144999999999996</v>
      </c>
      <c r="K4" s="5">
        <v>30.584</v>
      </c>
      <c r="L4" s="5">
        <v>31.303000000000001</v>
      </c>
      <c r="N4" s="152"/>
      <c r="O4" s="152"/>
      <c r="P4" s="152"/>
      <c r="Q4" s="152"/>
      <c r="R4" s="152"/>
      <c r="S4" s="152"/>
      <c r="T4" s="152"/>
      <c r="U4" s="152"/>
      <c r="V4" s="152"/>
      <c r="W4" s="152"/>
      <c r="Y4" s="141"/>
    </row>
    <row r="5" spans="1:25" x14ac:dyDescent="0.25">
      <c r="A5" s="194"/>
      <c r="B5" s="4" t="s">
        <v>22</v>
      </c>
      <c r="C5" s="5">
        <v>6.9189999999999996</v>
      </c>
      <c r="D5" s="5">
        <v>4.0529999999999999</v>
      </c>
      <c r="E5" s="5">
        <v>12.356999999999999</v>
      </c>
      <c r="F5" s="5">
        <v>8.4760000000000009</v>
      </c>
      <c r="G5" s="5">
        <v>5.9290000000000003</v>
      </c>
      <c r="H5" s="5">
        <v>5.9409999999999998</v>
      </c>
      <c r="I5" s="5">
        <v>9.0739999999999998</v>
      </c>
      <c r="J5" s="5">
        <v>23.010999999999999</v>
      </c>
      <c r="K5" s="5">
        <v>7.4889999999999999</v>
      </c>
      <c r="L5" s="5">
        <v>7.6580000000000004</v>
      </c>
      <c r="N5" s="152"/>
      <c r="O5" s="152"/>
      <c r="P5" s="152"/>
      <c r="Q5" s="152"/>
      <c r="R5" s="152"/>
      <c r="S5" s="152"/>
      <c r="T5" s="152"/>
      <c r="U5" s="152"/>
      <c r="V5" s="152"/>
      <c r="W5" s="152"/>
    </row>
    <row r="6" spans="1:25" x14ac:dyDescent="0.25">
      <c r="A6" s="194"/>
      <c r="B6" s="100" t="s">
        <v>12</v>
      </c>
      <c r="C6" s="101">
        <v>18.088999999999999</v>
      </c>
      <c r="D6" s="101">
        <v>12.061</v>
      </c>
      <c r="E6" s="101">
        <v>26.751999999999999</v>
      </c>
      <c r="F6" s="101">
        <v>27.783999999999999</v>
      </c>
      <c r="G6" s="101">
        <v>16.338999999999999</v>
      </c>
      <c r="H6" s="101">
        <v>16.783999999999999</v>
      </c>
      <c r="I6" s="101">
        <v>17.419</v>
      </c>
      <c r="J6" s="101">
        <v>60.466000000000001</v>
      </c>
      <c r="K6" s="101">
        <v>19.344000000000001</v>
      </c>
      <c r="L6" s="101">
        <v>19.797000000000001</v>
      </c>
      <c r="N6" s="152"/>
      <c r="O6" s="152"/>
      <c r="P6" s="152"/>
      <c r="Q6" s="152"/>
      <c r="R6" s="152"/>
      <c r="S6" s="152"/>
      <c r="T6" s="152"/>
      <c r="U6" s="152"/>
      <c r="V6" s="152"/>
      <c r="W6" s="152"/>
    </row>
    <row r="7" spans="1:25" x14ac:dyDescent="0.25">
      <c r="A7" s="194" t="s">
        <v>212</v>
      </c>
      <c r="B7" s="4" t="s">
        <v>18</v>
      </c>
      <c r="C7" s="5">
        <v>25.550999999999998</v>
      </c>
      <c r="D7" s="5">
        <v>17.829000000000001</v>
      </c>
      <c r="E7" s="5">
        <v>37.993000000000002</v>
      </c>
      <c r="F7" s="5">
        <v>45.459000000000003</v>
      </c>
      <c r="G7" s="5">
        <v>25.483000000000001</v>
      </c>
      <c r="H7" s="5">
        <v>25.242999999999999</v>
      </c>
      <c r="I7" s="5">
        <v>26.108000000000001</v>
      </c>
      <c r="J7" s="5">
        <v>93.379000000000005</v>
      </c>
      <c r="K7" s="5">
        <v>28.452000000000002</v>
      </c>
      <c r="L7" s="5">
        <v>29.166</v>
      </c>
      <c r="N7" s="152"/>
      <c r="O7" s="152"/>
      <c r="P7" s="152"/>
      <c r="Q7" s="152"/>
      <c r="R7" s="152"/>
      <c r="S7" s="152"/>
      <c r="T7" s="152"/>
      <c r="U7" s="152"/>
      <c r="V7" s="152"/>
      <c r="W7" s="152"/>
    </row>
    <row r="8" spans="1:25" x14ac:dyDescent="0.25">
      <c r="A8" s="194"/>
      <c r="B8" s="4" t="s">
        <v>22</v>
      </c>
      <c r="C8" s="5">
        <v>6.5119999999999996</v>
      </c>
      <c r="D8" s="5">
        <v>3.9940000000000002</v>
      </c>
      <c r="E8" s="5">
        <v>12.765000000000001</v>
      </c>
      <c r="F8" s="5">
        <v>8.2159999999999993</v>
      </c>
      <c r="G8" s="5">
        <v>6.8920000000000003</v>
      </c>
      <c r="H8" s="5">
        <v>8.2850000000000001</v>
      </c>
      <c r="I8" s="5">
        <v>8.0239999999999991</v>
      </c>
      <c r="J8" s="5">
        <v>24.715</v>
      </c>
      <c r="K8" s="5">
        <v>7.5060000000000002</v>
      </c>
      <c r="L8" s="5">
        <v>7.6920000000000002</v>
      </c>
      <c r="N8" s="152"/>
      <c r="O8" s="152"/>
      <c r="P8" s="152"/>
      <c r="Q8" s="152"/>
      <c r="R8" s="152"/>
      <c r="S8" s="152"/>
      <c r="T8" s="152"/>
      <c r="U8" s="152"/>
      <c r="V8" s="152"/>
      <c r="W8" s="152"/>
    </row>
    <row r="9" spans="1:25" x14ac:dyDescent="0.25">
      <c r="A9" s="194"/>
      <c r="B9" s="100" t="s">
        <v>12</v>
      </c>
      <c r="C9" s="101">
        <v>16.314</v>
      </c>
      <c r="D9" s="101">
        <v>11.087</v>
      </c>
      <c r="E9" s="101">
        <v>25.721</v>
      </c>
      <c r="F9" s="101">
        <v>27.27</v>
      </c>
      <c r="G9" s="101">
        <v>16.41</v>
      </c>
      <c r="H9" s="101">
        <v>17.071000000000002</v>
      </c>
      <c r="I9" s="101">
        <v>17.268999999999998</v>
      </c>
      <c r="J9" s="101">
        <v>60.313000000000002</v>
      </c>
      <c r="K9" s="101">
        <v>18.262</v>
      </c>
      <c r="L9" s="101">
        <v>18.72</v>
      </c>
      <c r="N9" s="152"/>
      <c r="O9" s="152"/>
      <c r="P9" s="152"/>
      <c r="Q9" s="152"/>
      <c r="R9" s="152"/>
      <c r="S9" s="152"/>
      <c r="T9" s="152"/>
      <c r="U9" s="152"/>
      <c r="V9" s="152"/>
      <c r="W9" s="152"/>
    </row>
    <row r="10" spans="1:25" x14ac:dyDescent="0.25">
      <c r="A10" s="194" t="s">
        <v>213</v>
      </c>
      <c r="B10" s="4" t="s">
        <v>18</v>
      </c>
      <c r="C10" s="5">
        <v>24.38</v>
      </c>
      <c r="D10" s="5">
        <v>17.245000000000001</v>
      </c>
      <c r="E10" s="5">
        <v>42.305</v>
      </c>
      <c r="F10" s="5">
        <v>44.844000000000001</v>
      </c>
      <c r="G10" s="5">
        <v>22.722999999999999</v>
      </c>
      <c r="H10" s="5">
        <v>28.678999999999998</v>
      </c>
      <c r="I10" s="5">
        <v>32.505000000000003</v>
      </c>
      <c r="J10" s="5">
        <v>89.2</v>
      </c>
      <c r="K10" s="5">
        <v>28.797999999999998</v>
      </c>
      <c r="L10" s="5">
        <v>29.454999999999998</v>
      </c>
      <c r="N10" s="152"/>
      <c r="O10" s="152"/>
      <c r="P10" s="152"/>
      <c r="Q10" s="152"/>
      <c r="R10" s="152"/>
      <c r="S10" s="152"/>
      <c r="T10" s="152"/>
      <c r="U10" s="152"/>
      <c r="V10" s="152"/>
      <c r="W10" s="152"/>
    </row>
    <row r="11" spans="1:25" x14ac:dyDescent="0.25">
      <c r="A11" s="194"/>
      <c r="B11" s="4" t="s">
        <v>22</v>
      </c>
      <c r="C11" s="5">
        <v>6.681</v>
      </c>
      <c r="D11" s="5">
        <v>3.7810000000000001</v>
      </c>
      <c r="E11" s="5">
        <v>13.648</v>
      </c>
      <c r="F11" s="5">
        <v>8.0109999999999992</v>
      </c>
      <c r="G11" s="5">
        <v>4.641</v>
      </c>
      <c r="H11" s="5">
        <v>11.746</v>
      </c>
      <c r="I11" s="5">
        <v>13.025</v>
      </c>
      <c r="J11" s="5">
        <v>17.381</v>
      </c>
      <c r="K11" s="5">
        <v>7.6769999999999996</v>
      </c>
      <c r="L11" s="5">
        <v>7.7809999999999997</v>
      </c>
      <c r="N11" s="152"/>
      <c r="O11" s="152"/>
      <c r="P11" s="152"/>
      <c r="Q11" s="152"/>
      <c r="R11" s="152"/>
      <c r="S11" s="152"/>
      <c r="T11" s="152"/>
      <c r="U11" s="152"/>
      <c r="V11" s="152"/>
      <c r="W11" s="152"/>
    </row>
    <row r="12" spans="1:25" x14ac:dyDescent="0.25">
      <c r="A12" s="194"/>
      <c r="B12" s="100" t="s">
        <v>12</v>
      </c>
      <c r="C12" s="101">
        <v>15.797000000000001</v>
      </c>
      <c r="D12" s="101">
        <v>10.695</v>
      </c>
      <c r="E12" s="101">
        <v>28.396999999999998</v>
      </c>
      <c r="F12" s="101">
        <v>26.884</v>
      </c>
      <c r="G12" s="101">
        <v>13.894</v>
      </c>
      <c r="H12" s="101">
        <v>20.507999999999999</v>
      </c>
      <c r="I12" s="101">
        <v>23.015999999999998</v>
      </c>
      <c r="J12" s="101">
        <v>54.49</v>
      </c>
      <c r="K12" s="101">
        <v>18.535</v>
      </c>
      <c r="L12" s="101">
        <v>18.923999999999999</v>
      </c>
      <c r="N12" s="152"/>
      <c r="O12" s="152"/>
      <c r="P12" s="152"/>
      <c r="Q12" s="152"/>
      <c r="R12" s="152"/>
      <c r="S12" s="152"/>
      <c r="T12" s="152"/>
      <c r="U12" s="152"/>
      <c r="V12" s="152"/>
      <c r="W12" s="152"/>
    </row>
    <row r="13" spans="1:25" x14ac:dyDescent="0.25">
      <c r="A13" s="194" t="s">
        <v>214</v>
      </c>
      <c r="B13" s="4" t="s">
        <v>18</v>
      </c>
      <c r="C13" s="5">
        <v>23.352</v>
      </c>
      <c r="D13" s="5">
        <v>15.779</v>
      </c>
      <c r="E13" s="5">
        <v>42.445</v>
      </c>
      <c r="F13" s="5">
        <v>41.225999999999999</v>
      </c>
      <c r="G13" s="5">
        <v>19.68</v>
      </c>
      <c r="H13" s="5">
        <v>34.067</v>
      </c>
      <c r="I13" s="5">
        <v>23.687999999999999</v>
      </c>
      <c r="J13" s="5">
        <v>91.915000000000006</v>
      </c>
      <c r="K13" s="5">
        <v>27.527000000000001</v>
      </c>
      <c r="L13" s="5">
        <v>28.219000000000001</v>
      </c>
      <c r="N13" s="152"/>
      <c r="O13" s="152"/>
      <c r="P13" s="152"/>
      <c r="Q13" s="152"/>
      <c r="R13" s="152"/>
      <c r="S13" s="152"/>
      <c r="T13" s="152"/>
      <c r="U13" s="152"/>
      <c r="V13" s="152"/>
      <c r="W13" s="152"/>
    </row>
    <row r="14" spans="1:25" x14ac:dyDescent="0.25">
      <c r="A14" s="194"/>
      <c r="B14" s="4" t="s">
        <v>22</v>
      </c>
      <c r="C14" s="5">
        <v>7.2530000000000001</v>
      </c>
      <c r="D14" s="5">
        <v>3.6360000000000001</v>
      </c>
      <c r="E14" s="5">
        <v>14.52</v>
      </c>
      <c r="F14" s="5">
        <v>9.6920000000000002</v>
      </c>
      <c r="G14" s="5">
        <v>3.6829999999999998</v>
      </c>
      <c r="H14" s="5">
        <v>11.996</v>
      </c>
      <c r="I14" s="5">
        <v>7.9569999999999999</v>
      </c>
      <c r="J14" s="5">
        <v>15.901999999999999</v>
      </c>
      <c r="K14" s="5">
        <v>8.0540000000000003</v>
      </c>
      <c r="L14" s="5">
        <v>8.1389999999999993</v>
      </c>
      <c r="N14" s="152"/>
      <c r="O14" s="152"/>
      <c r="P14" s="152"/>
      <c r="Q14" s="152"/>
      <c r="R14" s="152"/>
      <c r="S14" s="152"/>
      <c r="T14" s="152"/>
      <c r="U14" s="152"/>
      <c r="V14" s="152"/>
      <c r="W14" s="152"/>
    </row>
    <row r="15" spans="1:25" x14ac:dyDescent="0.25">
      <c r="A15" s="194"/>
      <c r="B15" s="100" t="s">
        <v>12</v>
      </c>
      <c r="C15" s="101">
        <v>15.548</v>
      </c>
      <c r="D15" s="101">
        <v>9.8810000000000002</v>
      </c>
      <c r="E15" s="101">
        <v>28.901</v>
      </c>
      <c r="F15" s="101">
        <v>25.890999999999998</v>
      </c>
      <c r="G15" s="101">
        <v>11.86</v>
      </c>
      <c r="H15" s="101">
        <v>23.395</v>
      </c>
      <c r="I15" s="101">
        <v>16.036999999999999</v>
      </c>
      <c r="J15" s="101">
        <v>55.01</v>
      </c>
      <c r="K15" s="101">
        <v>18.073</v>
      </c>
      <c r="L15" s="101">
        <v>18.47</v>
      </c>
      <c r="N15" s="152"/>
      <c r="O15" s="152"/>
      <c r="P15" s="152"/>
      <c r="Q15" s="152"/>
      <c r="R15" s="152"/>
      <c r="S15" s="152"/>
      <c r="T15" s="152"/>
      <c r="U15" s="152"/>
      <c r="V15" s="152"/>
      <c r="W15" s="152"/>
    </row>
    <row r="16" spans="1:25" x14ac:dyDescent="0.25">
      <c r="A16" s="194" t="s">
        <v>215</v>
      </c>
      <c r="B16" s="4" t="s">
        <v>18</v>
      </c>
      <c r="C16" s="5">
        <v>22.356000000000002</v>
      </c>
      <c r="D16" s="5">
        <v>14.207000000000001</v>
      </c>
      <c r="E16" s="5">
        <v>34.487000000000002</v>
      </c>
      <c r="F16" s="5">
        <v>35.253999999999998</v>
      </c>
      <c r="G16" s="5">
        <v>19.904</v>
      </c>
      <c r="H16" s="5">
        <v>31.623000000000001</v>
      </c>
      <c r="I16" s="5">
        <v>23.001000000000001</v>
      </c>
      <c r="J16" s="5">
        <v>84.28</v>
      </c>
      <c r="K16" s="5">
        <v>24.407</v>
      </c>
      <c r="L16" s="5">
        <v>25.042000000000002</v>
      </c>
      <c r="N16" s="152"/>
      <c r="O16" s="152"/>
      <c r="P16" s="152"/>
      <c r="Q16" s="152"/>
      <c r="R16" s="152"/>
      <c r="S16" s="152"/>
      <c r="T16" s="152"/>
      <c r="U16" s="152"/>
      <c r="V16" s="152"/>
      <c r="W16" s="152"/>
    </row>
    <row r="17" spans="1:23" x14ac:dyDescent="0.25">
      <c r="A17" s="194"/>
      <c r="B17" s="4" t="s">
        <v>22</v>
      </c>
      <c r="C17" s="5">
        <v>6.452</v>
      </c>
      <c r="D17" s="5">
        <v>3.6440000000000001</v>
      </c>
      <c r="E17" s="5">
        <v>12.832000000000001</v>
      </c>
      <c r="F17" s="5">
        <v>9.18</v>
      </c>
      <c r="G17" s="5">
        <v>4.1349999999999998</v>
      </c>
      <c r="H17" s="5">
        <v>11.638999999999999</v>
      </c>
      <c r="I17" s="5">
        <v>8.3889999999999993</v>
      </c>
      <c r="J17" s="5">
        <v>13.896000000000001</v>
      </c>
      <c r="K17" s="5">
        <v>7.415</v>
      </c>
      <c r="L17" s="5">
        <v>7.4829999999999997</v>
      </c>
      <c r="N17" s="152"/>
      <c r="O17" s="152"/>
      <c r="P17" s="152"/>
      <c r="Q17" s="152"/>
      <c r="R17" s="152"/>
      <c r="S17" s="152"/>
      <c r="T17" s="152"/>
      <c r="U17" s="152"/>
      <c r="V17" s="152"/>
      <c r="W17" s="152"/>
    </row>
    <row r="18" spans="1:23" x14ac:dyDescent="0.25">
      <c r="A18" s="194"/>
      <c r="B18" s="100" t="s">
        <v>12</v>
      </c>
      <c r="C18" s="101">
        <v>14.654</v>
      </c>
      <c r="D18" s="101">
        <v>9.0739999999999998</v>
      </c>
      <c r="E18" s="101">
        <v>23.995999999999999</v>
      </c>
      <c r="F18" s="101">
        <v>22.606999999999999</v>
      </c>
      <c r="G18" s="101">
        <v>12.21</v>
      </c>
      <c r="H18" s="101">
        <v>21.969000000000001</v>
      </c>
      <c r="I18" s="101">
        <v>15.916</v>
      </c>
      <c r="J18" s="101">
        <v>50.183</v>
      </c>
      <c r="K18" s="101">
        <v>16.166</v>
      </c>
      <c r="L18" s="101">
        <v>16.526</v>
      </c>
      <c r="N18" s="152"/>
      <c r="O18" s="152"/>
      <c r="P18" s="152"/>
      <c r="Q18" s="152"/>
      <c r="R18" s="152"/>
      <c r="S18" s="152"/>
      <c r="T18" s="152"/>
      <c r="U18" s="152"/>
      <c r="V18" s="152"/>
      <c r="W18" s="152"/>
    </row>
    <row r="19" spans="1:23" x14ac:dyDescent="0.25">
      <c r="A19" s="194" t="s">
        <v>216</v>
      </c>
      <c r="B19" s="4" t="s">
        <v>18</v>
      </c>
      <c r="C19" s="5">
        <v>20.835999999999999</v>
      </c>
      <c r="D19" s="5">
        <v>11.930999999999999</v>
      </c>
      <c r="E19" s="5">
        <v>30.885000000000002</v>
      </c>
      <c r="F19" s="5">
        <v>26.762</v>
      </c>
      <c r="G19" s="5">
        <v>14.879</v>
      </c>
      <c r="H19" s="5">
        <v>21.687999999999999</v>
      </c>
      <c r="I19" s="5">
        <v>19.303000000000001</v>
      </c>
      <c r="J19" s="5">
        <v>65.180999999999997</v>
      </c>
      <c r="K19" s="5">
        <v>21.06</v>
      </c>
      <c r="L19" s="5">
        <v>21.527000000000001</v>
      </c>
      <c r="N19" s="152"/>
      <c r="O19" s="152"/>
      <c r="P19" s="152"/>
      <c r="Q19" s="152"/>
      <c r="R19" s="152"/>
      <c r="S19" s="152"/>
      <c r="T19" s="152"/>
      <c r="U19" s="152"/>
      <c r="V19" s="152"/>
      <c r="W19" s="152"/>
    </row>
    <row r="20" spans="1:23" x14ac:dyDescent="0.25">
      <c r="A20" s="194"/>
      <c r="B20" s="4" t="s">
        <v>22</v>
      </c>
      <c r="C20" s="5">
        <v>5.3419999999999996</v>
      </c>
      <c r="D20" s="5">
        <v>2.4470000000000001</v>
      </c>
      <c r="E20" s="5">
        <v>10.488</v>
      </c>
      <c r="F20" s="5">
        <v>5.8760000000000003</v>
      </c>
      <c r="G20" s="5">
        <v>4.1760000000000002</v>
      </c>
      <c r="H20" s="5">
        <v>8.1679999999999993</v>
      </c>
      <c r="I20" s="5">
        <v>7.6210000000000004</v>
      </c>
      <c r="J20" s="5">
        <v>10.393000000000001</v>
      </c>
      <c r="K20" s="5">
        <v>5.819</v>
      </c>
      <c r="L20" s="5">
        <v>5.867</v>
      </c>
      <c r="N20" s="152"/>
      <c r="O20" s="152"/>
      <c r="P20" s="152"/>
      <c r="Q20" s="152"/>
      <c r="R20" s="152"/>
      <c r="S20" s="152"/>
      <c r="T20" s="152"/>
      <c r="U20" s="152"/>
      <c r="V20" s="152"/>
      <c r="W20" s="152"/>
    </row>
    <row r="21" spans="1:23" x14ac:dyDescent="0.25">
      <c r="A21" s="194"/>
      <c r="B21" s="100" t="s">
        <v>12</v>
      </c>
      <c r="C21" s="101">
        <v>13.340999999999999</v>
      </c>
      <c r="D21" s="101">
        <v>7.3209999999999997</v>
      </c>
      <c r="E21" s="101">
        <v>20.997</v>
      </c>
      <c r="F21" s="101">
        <v>16.63</v>
      </c>
      <c r="G21" s="101">
        <v>9.6639999999999997</v>
      </c>
      <c r="H21" s="101">
        <v>15.173</v>
      </c>
      <c r="I21" s="101">
        <v>13.634</v>
      </c>
      <c r="J21" s="101">
        <v>38.732999999999997</v>
      </c>
      <c r="K21" s="101">
        <v>13.669</v>
      </c>
      <c r="L21" s="101">
        <v>13.933999999999999</v>
      </c>
      <c r="N21" s="152"/>
      <c r="O21" s="152"/>
      <c r="P21" s="152"/>
      <c r="Q21" s="152"/>
      <c r="R21" s="152"/>
      <c r="S21" s="152"/>
      <c r="T21" s="152"/>
      <c r="U21" s="152"/>
      <c r="V21" s="152"/>
      <c r="W21" s="152"/>
    </row>
    <row r="22" spans="1:23" x14ac:dyDescent="0.25">
      <c r="A22" s="194" t="s">
        <v>217</v>
      </c>
      <c r="B22" s="4" t="s">
        <v>18</v>
      </c>
      <c r="C22" s="5">
        <v>18.98</v>
      </c>
      <c r="D22" s="5">
        <v>9.4969999999999999</v>
      </c>
      <c r="E22" s="5">
        <v>31.202000000000002</v>
      </c>
      <c r="F22" s="5">
        <v>27.427</v>
      </c>
      <c r="G22" s="5">
        <v>16.675000000000001</v>
      </c>
      <c r="H22" s="5">
        <v>16.132999999999999</v>
      </c>
      <c r="I22" s="5">
        <v>14.388999999999999</v>
      </c>
      <c r="J22" s="5">
        <v>94.253</v>
      </c>
      <c r="K22" s="5">
        <v>19.954000000000001</v>
      </c>
      <c r="L22" s="5">
        <v>20.731999999999999</v>
      </c>
      <c r="N22" s="152"/>
      <c r="O22" s="152"/>
      <c r="P22" s="152"/>
      <c r="Q22" s="152"/>
      <c r="R22" s="152"/>
      <c r="S22" s="152"/>
      <c r="T22" s="152"/>
      <c r="U22" s="152"/>
      <c r="V22" s="152"/>
      <c r="W22" s="152"/>
    </row>
    <row r="23" spans="1:23" x14ac:dyDescent="0.25">
      <c r="A23" s="194"/>
      <c r="B23" s="4" t="s">
        <v>22</v>
      </c>
      <c r="C23" s="5">
        <v>4.6379999999999999</v>
      </c>
      <c r="D23" s="5">
        <v>1.9419999999999999</v>
      </c>
      <c r="E23" s="5">
        <v>10.842000000000001</v>
      </c>
      <c r="F23" s="5">
        <v>6.7619999999999996</v>
      </c>
      <c r="G23" s="5">
        <v>4.0860000000000003</v>
      </c>
      <c r="H23" s="5">
        <v>8.0690000000000008</v>
      </c>
      <c r="I23" s="5">
        <v>8.2590000000000003</v>
      </c>
      <c r="J23" s="5">
        <v>18.059999999999999</v>
      </c>
      <c r="K23" s="5">
        <v>5.657</v>
      </c>
      <c r="L23" s="5">
        <v>5.7859999999999996</v>
      </c>
      <c r="N23" s="152"/>
      <c r="O23" s="152"/>
      <c r="P23" s="152"/>
      <c r="Q23" s="152"/>
      <c r="R23" s="152"/>
      <c r="S23" s="152"/>
      <c r="T23" s="152"/>
      <c r="U23" s="152"/>
      <c r="V23" s="152"/>
      <c r="W23" s="152"/>
    </row>
    <row r="24" spans="1:23" x14ac:dyDescent="0.25">
      <c r="A24" s="194"/>
      <c r="B24" s="100" t="s">
        <v>12</v>
      </c>
      <c r="C24" s="101">
        <v>12.05</v>
      </c>
      <c r="D24" s="101">
        <v>5.8319999999999999</v>
      </c>
      <c r="E24" s="101">
        <v>21.341000000000001</v>
      </c>
      <c r="F24" s="101">
        <v>17.407</v>
      </c>
      <c r="G24" s="101">
        <v>10.538</v>
      </c>
      <c r="H24" s="101">
        <v>12.252000000000001</v>
      </c>
      <c r="I24" s="101">
        <v>11.42</v>
      </c>
      <c r="J24" s="101">
        <v>57.500999999999998</v>
      </c>
      <c r="K24" s="101">
        <v>13.029</v>
      </c>
      <c r="L24" s="101">
        <v>13.492000000000001</v>
      </c>
      <c r="N24" s="152"/>
      <c r="O24" s="152"/>
      <c r="P24" s="152"/>
      <c r="Q24" s="152"/>
      <c r="R24" s="152"/>
      <c r="S24" s="152"/>
      <c r="T24" s="152"/>
      <c r="U24" s="152"/>
      <c r="V24" s="152"/>
      <c r="W24" s="152"/>
    </row>
    <row r="25" spans="1:23" x14ac:dyDescent="0.25">
      <c r="A25" s="194" t="s">
        <v>218</v>
      </c>
      <c r="B25" s="4" t="s">
        <v>18</v>
      </c>
      <c r="C25" s="5">
        <v>17.486000000000001</v>
      </c>
      <c r="D25" s="5">
        <v>8.0519999999999996</v>
      </c>
      <c r="E25" s="5">
        <v>30.651</v>
      </c>
      <c r="F25" s="5">
        <v>28.587</v>
      </c>
      <c r="G25" s="5">
        <v>18.053999999999998</v>
      </c>
      <c r="H25" s="5">
        <v>19.661000000000001</v>
      </c>
      <c r="I25" s="5">
        <v>16.725000000000001</v>
      </c>
      <c r="J25" s="5">
        <v>128.87299999999999</v>
      </c>
      <c r="K25" s="5">
        <v>19.338000000000001</v>
      </c>
      <c r="L25" s="5">
        <v>20.472000000000001</v>
      </c>
      <c r="N25" s="152"/>
      <c r="O25" s="152"/>
      <c r="P25" s="152"/>
      <c r="Q25" s="152"/>
      <c r="R25" s="152"/>
      <c r="S25" s="152"/>
      <c r="T25" s="152"/>
      <c r="U25" s="152"/>
      <c r="V25" s="152"/>
      <c r="W25" s="152"/>
    </row>
    <row r="26" spans="1:23" x14ac:dyDescent="0.25">
      <c r="A26" s="194"/>
      <c r="B26" s="4" t="s">
        <v>22</v>
      </c>
      <c r="C26" s="5">
        <v>4.0439999999999996</v>
      </c>
      <c r="D26" s="5">
        <v>1.2609999999999999</v>
      </c>
      <c r="E26" s="5">
        <v>9.9949999999999992</v>
      </c>
      <c r="F26" s="5">
        <v>7.907</v>
      </c>
      <c r="G26" s="5">
        <v>6.33</v>
      </c>
      <c r="H26" s="5">
        <v>9.3580000000000005</v>
      </c>
      <c r="I26" s="5">
        <v>8.2100000000000009</v>
      </c>
      <c r="J26" s="5">
        <v>29.143999999999998</v>
      </c>
      <c r="K26" s="5">
        <v>5.42</v>
      </c>
      <c r="L26" s="5">
        <v>5.665</v>
      </c>
      <c r="N26" s="152"/>
      <c r="O26" s="152"/>
      <c r="P26" s="152"/>
      <c r="Q26" s="152"/>
      <c r="R26" s="152"/>
      <c r="S26" s="152"/>
      <c r="T26" s="152"/>
      <c r="U26" s="152"/>
      <c r="V26" s="152"/>
      <c r="W26" s="152"/>
    </row>
    <row r="27" spans="1:23" x14ac:dyDescent="0.25">
      <c r="A27" s="194"/>
      <c r="B27" s="100" t="s">
        <v>12</v>
      </c>
      <c r="C27" s="101">
        <v>10.981999999999999</v>
      </c>
      <c r="D27" s="101">
        <v>4.7519999999999998</v>
      </c>
      <c r="E27" s="101">
        <v>20.640999999999998</v>
      </c>
      <c r="F27" s="101">
        <v>18.547000000000001</v>
      </c>
      <c r="G27" s="101">
        <v>12.348000000000001</v>
      </c>
      <c r="H27" s="101">
        <v>14.7</v>
      </c>
      <c r="I27" s="101">
        <v>12.59</v>
      </c>
      <c r="J27" s="101">
        <v>80.67</v>
      </c>
      <c r="K27" s="101">
        <v>12.589</v>
      </c>
      <c r="L27" s="101">
        <v>13.292999999999999</v>
      </c>
      <c r="M27" s="72"/>
      <c r="N27" s="152"/>
      <c r="O27" s="152"/>
      <c r="P27" s="152"/>
      <c r="Q27" s="152"/>
      <c r="R27" s="152"/>
      <c r="S27" s="152"/>
      <c r="T27" s="152"/>
      <c r="U27" s="152"/>
      <c r="V27" s="152"/>
      <c r="W27" s="152"/>
    </row>
    <row r="28" spans="1:23" x14ac:dyDescent="0.25">
      <c r="A28" s="194" t="s">
        <v>219</v>
      </c>
      <c r="B28" s="4" t="s">
        <v>18</v>
      </c>
      <c r="C28" s="5">
        <v>16.939</v>
      </c>
      <c r="D28" s="5">
        <v>6.952</v>
      </c>
      <c r="E28" s="5">
        <v>30.204999999999998</v>
      </c>
      <c r="F28" s="5">
        <v>26.370999999999999</v>
      </c>
      <c r="G28" s="5">
        <v>19.087</v>
      </c>
      <c r="H28" s="5">
        <v>23.672000000000001</v>
      </c>
      <c r="I28" s="5">
        <v>26.308</v>
      </c>
      <c r="J28" s="5" t="s">
        <v>151</v>
      </c>
      <c r="K28" s="5">
        <v>18.82</v>
      </c>
      <c r="L28" s="5" t="s">
        <v>151</v>
      </c>
      <c r="N28" s="152"/>
      <c r="O28" s="152"/>
      <c r="P28" s="152"/>
      <c r="Q28" s="152"/>
      <c r="R28" s="152"/>
      <c r="S28" s="152"/>
      <c r="T28" s="152"/>
      <c r="U28" s="152"/>
      <c r="V28" s="152"/>
      <c r="W28" s="152"/>
    </row>
    <row r="29" spans="1:23" x14ac:dyDescent="0.25">
      <c r="A29" s="194"/>
      <c r="B29" s="4" t="s">
        <v>22</v>
      </c>
      <c r="C29" s="5">
        <v>4.3570000000000002</v>
      </c>
      <c r="D29" s="5">
        <v>1.0660000000000001</v>
      </c>
      <c r="E29" s="5">
        <v>10.301</v>
      </c>
      <c r="F29" s="5">
        <v>7.7409999999999997</v>
      </c>
      <c r="G29" s="5">
        <v>8.2279999999999998</v>
      </c>
      <c r="H29" s="5">
        <v>10.433</v>
      </c>
      <c r="I29" s="5">
        <v>13.64</v>
      </c>
      <c r="J29" s="5" t="s">
        <v>151</v>
      </c>
      <c r="K29" s="5">
        <v>5.7210000000000001</v>
      </c>
      <c r="L29" s="5" t="s">
        <v>151</v>
      </c>
      <c r="N29" s="152"/>
      <c r="O29" s="152"/>
      <c r="P29" s="152"/>
      <c r="Q29" s="152"/>
      <c r="R29" s="152"/>
      <c r="S29" s="152"/>
      <c r="T29" s="152"/>
      <c r="U29" s="152"/>
      <c r="V29" s="152"/>
      <c r="W29" s="152"/>
    </row>
    <row r="30" spans="1:23" x14ac:dyDescent="0.25">
      <c r="A30" s="194"/>
      <c r="B30" s="100" t="s">
        <v>12</v>
      </c>
      <c r="C30" s="101">
        <v>10.847</v>
      </c>
      <c r="D30" s="101">
        <v>4.0880000000000001</v>
      </c>
      <c r="E30" s="101">
        <v>20.547000000000001</v>
      </c>
      <c r="F30" s="101">
        <v>17.317</v>
      </c>
      <c r="G30" s="101">
        <v>13.794</v>
      </c>
      <c r="H30" s="101">
        <v>17.318999999999999</v>
      </c>
      <c r="I30" s="101">
        <v>20.213999999999999</v>
      </c>
      <c r="J30" s="5" t="s">
        <v>151</v>
      </c>
      <c r="K30" s="101">
        <v>12.462999999999999</v>
      </c>
      <c r="L30" s="101" t="s">
        <v>151</v>
      </c>
      <c r="N30" s="152"/>
      <c r="O30" s="152"/>
      <c r="P30" s="152"/>
      <c r="Q30" s="152"/>
      <c r="R30" s="152"/>
      <c r="S30" s="152"/>
      <c r="T30" s="152"/>
      <c r="U30" s="152"/>
      <c r="V30" s="152"/>
      <c r="W30" s="152"/>
    </row>
    <row r="31" spans="1:23" x14ac:dyDescent="0.25">
      <c r="A31" s="194" t="s">
        <v>357</v>
      </c>
      <c r="B31" s="4" t="s">
        <v>18</v>
      </c>
      <c r="C31" s="5">
        <v>17.213000000000001</v>
      </c>
      <c r="D31" s="5">
        <v>7.851</v>
      </c>
      <c r="E31" s="5">
        <v>28.567</v>
      </c>
      <c r="F31" s="5">
        <v>22.768000000000001</v>
      </c>
      <c r="G31" s="5">
        <v>16.914999999999999</v>
      </c>
      <c r="H31" s="5">
        <v>27.526</v>
      </c>
      <c r="I31" s="5">
        <v>27.045999999999999</v>
      </c>
      <c r="J31" s="5" t="s">
        <v>151</v>
      </c>
      <c r="K31" s="5">
        <v>18.298999999999999</v>
      </c>
      <c r="L31" s="5" t="s">
        <v>151</v>
      </c>
      <c r="N31" s="152"/>
      <c r="O31" s="152"/>
      <c r="P31" s="152"/>
      <c r="Q31" s="152"/>
      <c r="R31" s="152"/>
      <c r="S31" s="152"/>
      <c r="T31" s="152"/>
      <c r="U31" s="152"/>
      <c r="V31" s="152"/>
      <c r="W31" s="152"/>
    </row>
    <row r="32" spans="1:23" x14ac:dyDescent="0.25">
      <c r="A32" s="194"/>
      <c r="B32" s="4" t="s">
        <v>22</v>
      </c>
      <c r="C32" s="5">
        <v>4.4560000000000004</v>
      </c>
      <c r="D32" s="5">
        <v>0.95399999999999996</v>
      </c>
      <c r="E32" s="5">
        <v>10.167</v>
      </c>
      <c r="F32" s="5">
        <v>5.9169999999999998</v>
      </c>
      <c r="G32" s="5">
        <v>5.7690000000000001</v>
      </c>
      <c r="H32" s="5">
        <v>12.448</v>
      </c>
      <c r="I32" s="5">
        <v>9.9120000000000008</v>
      </c>
      <c r="J32" s="5" t="s">
        <v>151</v>
      </c>
      <c r="K32" s="5">
        <v>5.3120000000000003</v>
      </c>
      <c r="L32" s="5" t="s">
        <v>151</v>
      </c>
      <c r="N32" s="152"/>
      <c r="O32" s="152"/>
      <c r="P32" s="152"/>
      <c r="Q32" s="152"/>
      <c r="R32" s="152"/>
      <c r="S32" s="152"/>
      <c r="T32" s="152"/>
      <c r="U32" s="152"/>
      <c r="V32" s="152"/>
      <c r="W32" s="152"/>
    </row>
    <row r="33" spans="1:23" x14ac:dyDescent="0.25">
      <c r="A33" s="194"/>
      <c r="B33" s="100" t="s">
        <v>12</v>
      </c>
      <c r="C33" s="101">
        <v>11.041</v>
      </c>
      <c r="D33" s="101">
        <v>4.4930000000000003</v>
      </c>
      <c r="E33" s="101">
        <v>19.643999999999998</v>
      </c>
      <c r="F33" s="101">
        <v>14.571999999999999</v>
      </c>
      <c r="G33" s="101">
        <v>11.513999999999999</v>
      </c>
      <c r="H33" s="101">
        <v>20.398</v>
      </c>
      <c r="I33" s="101">
        <v>18.774000000000001</v>
      </c>
      <c r="J33" s="5" t="s">
        <v>151</v>
      </c>
      <c r="K33" s="101">
        <v>12.002000000000001</v>
      </c>
      <c r="L33" s="101" t="s">
        <v>151</v>
      </c>
      <c r="N33" s="152"/>
      <c r="O33" s="152"/>
      <c r="P33" s="152"/>
      <c r="Q33" s="152"/>
      <c r="R33" s="152"/>
      <c r="S33" s="152"/>
      <c r="T33" s="152"/>
      <c r="U33" s="152"/>
      <c r="V33" s="152"/>
      <c r="W33" s="152"/>
    </row>
    <row r="34" spans="1:23" ht="4.5" customHeight="1" x14ac:dyDescent="0.25">
      <c r="A34" s="2"/>
      <c r="J34" s="5" t="s">
        <v>151</v>
      </c>
      <c r="K34" s="43"/>
      <c r="L34" s="43" t="s">
        <v>151</v>
      </c>
    </row>
    <row r="35" spans="1:23" ht="11.1" customHeight="1" x14ac:dyDescent="0.25">
      <c r="A35" s="191" t="s">
        <v>23</v>
      </c>
      <c r="B35" s="191"/>
      <c r="C35" s="191"/>
      <c r="D35" s="191"/>
      <c r="E35" s="191"/>
      <c r="F35" s="191"/>
      <c r="G35" s="191"/>
      <c r="H35" s="191"/>
      <c r="I35" s="191"/>
      <c r="J35" s="191"/>
      <c r="K35" s="193"/>
      <c r="L35" s="193"/>
    </row>
    <row r="36" spans="1:23" s="7" customFormat="1" ht="11.1" customHeight="1" x14ac:dyDescent="0.15">
      <c r="A36" s="7" t="s">
        <v>39</v>
      </c>
    </row>
    <row r="37" spans="1:23" s="7" customFormat="1" ht="11.1" customHeight="1" x14ac:dyDescent="0.15">
      <c r="A37" s="7" t="s">
        <v>35</v>
      </c>
    </row>
    <row r="38" spans="1:23" s="7" customFormat="1" ht="18" customHeight="1" x14ac:dyDescent="0.15">
      <c r="A38" s="188" t="s">
        <v>26</v>
      </c>
      <c r="B38" s="188"/>
      <c r="C38" s="188"/>
      <c r="D38" s="188"/>
      <c r="E38" s="188"/>
      <c r="F38" s="188"/>
      <c r="G38" s="188"/>
      <c r="H38" s="188"/>
      <c r="I38" s="188"/>
      <c r="J38" s="188"/>
      <c r="K38" s="188"/>
      <c r="L38" s="188"/>
    </row>
    <row r="39" spans="1:23" s="7" customFormat="1" ht="11.25" customHeight="1" x14ac:dyDescent="0.15">
      <c r="A39" s="188" t="s">
        <v>373</v>
      </c>
      <c r="B39" s="188"/>
      <c r="C39" s="188"/>
      <c r="D39" s="188"/>
      <c r="E39" s="188"/>
      <c r="F39" s="188"/>
      <c r="G39" s="188"/>
      <c r="H39" s="188"/>
      <c r="I39" s="188"/>
      <c r="J39" s="188"/>
      <c r="K39" s="188"/>
      <c r="L39" s="188"/>
    </row>
    <row r="40" spans="1:23" s="7" customFormat="1" ht="11.25" customHeight="1" x14ac:dyDescent="0.15">
      <c r="A40" s="7" t="s">
        <v>374</v>
      </c>
      <c r="B40" s="32"/>
      <c r="C40" s="32"/>
      <c r="D40" s="32"/>
      <c r="E40" s="32"/>
      <c r="F40" s="32"/>
      <c r="G40" s="32"/>
      <c r="H40" s="32"/>
      <c r="I40" s="32"/>
      <c r="J40" s="32"/>
      <c r="K40" s="32"/>
      <c r="L40" s="32"/>
    </row>
    <row r="41" spans="1:23" s="7" customFormat="1" ht="11.1" customHeight="1" x14ac:dyDescent="0.15"/>
    <row r="42" spans="1:23" s="7" customFormat="1" ht="11.1" customHeight="1" x14ac:dyDescent="0.15">
      <c r="A42" s="7" t="s">
        <v>248</v>
      </c>
    </row>
    <row r="43" spans="1:23" ht="12" customHeight="1" x14ac:dyDescent="0.25">
      <c r="A43" s="2"/>
    </row>
    <row r="44" spans="1:23" ht="27.95" customHeight="1" x14ac:dyDescent="0.25">
      <c r="A44" s="192" t="s">
        <v>420</v>
      </c>
      <c r="B44" s="192"/>
      <c r="C44" s="192"/>
      <c r="D44" s="192"/>
      <c r="E44" s="192"/>
      <c r="F44" s="192"/>
      <c r="G44" s="192"/>
      <c r="H44" s="192"/>
      <c r="I44" s="192"/>
      <c r="J44" s="192"/>
      <c r="K44" s="192"/>
      <c r="L44" s="192"/>
    </row>
    <row r="45" spans="1:23" ht="1.5" customHeight="1" x14ac:dyDescent="0.25">
      <c r="A45" s="2"/>
    </row>
    <row r="46" spans="1:23" x14ac:dyDescent="0.25">
      <c r="A46" s="35" t="s">
        <v>160</v>
      </c>
      <c r="B46" s="35" t="s">
        <v>157</v>
      </c>
      <c r="C46" s="3" t="s">
        <v>1</v>
      </c>
      <c r="D46" s="3" t="s">
        <v>2</v>
      </c>
      <c r="E46" s="3" t="s">
        <v>3</v>
      </c>
      <c r="F46" s="3" t="s">
        <v>4</v>
      </c>
      <c r="G46" s="3" t="s">
        <v>5</v>
      </c>
      <c r="H46" s="3" t="s">
        <v>6</v>
      </c>
      <c r="I46" s="3" t="s">
        <v>7</v>
      </c>
      <c r="J46" s="3" t="s">
        <v>8</v>
      </c>
      <c r="K46" s="3" t="s">
        <v>9</v>
      </c>
      <c r="R46" s="124"/>
    </row>
    <row r="47" spans="1:23" x14ac:dyDescent="0.25">
      <c r="A47" s="194" t="s">
        <v>211</v>
      </c>
      <c r="B47" s="4" t="s">
        <v>18</v>
      </c>
      <c r="C47" s="5">
        <v>58.19</v>
      </c>
      <c r="D47" s="5">
        <v>39.406999999999996</v>
      </c>
      <c r="E47" s="5">
        <v>75.034000000000006</v>
      </c>
      <c r="F47" s="5">
        <v>109.26600000000001</v>
      </c>
      <c r="G47" s="5">
        <v>63.695999999999998</v>
      </c>
      <c r="H47" s="5">
        <v>48.006</v>
      </c>
      <c r="I47" s="5">
        <v>61.8</v>
      </c>
      <c r="J47" s="5">
        <v>232.75399999999999</v>
      </c>
      <c r="K47" s="5">
        <v>64.772000000000006</v>
      </c>
      <c r="L47" s="5"/>
      <c r="M47" s="152"/>
      <c r="N47" s="152"/>
      <c r="O47" s="152"/>
      <c r="P47" s="152"/>
      <c r="Q47" s="152"/>
      <c r="R47" s="152"/>
      <c r="S47" s="152"/>
      <c r="T47" s="152"/>
      <c r="U47" s="152"/>
      <c r="W47" s="141"/>
    </row>
    <row r="48" spans="1:23" x14ac:dyDescent="0.25">
      <c r="A48" s="194"/>
      <c r="B48" s="4" t="s">
        <v>22</v>
      </c>
      <c r="C48" s="5">
        <v>15.535</v>
      </c>
      <c r="D48" s="5">
        <v>9.7680000000000007</v>
      </c>
      <c r="E48" s="5">
        <v>24.97</v>
      </c>
      <c r="F48" s="5">
        <v>25.007000000000001</v>
      </c>
      <c r="G48" s="5">
        <v>18.015999999999998</v>
      </c>
      <c r="H48" s="5">
        <v>11.202</v>
      </c>
      <c r="I48" s="5">
        <v>19.582999999999998</v>
      </c>
      <c r="J48" s="5">
        <v>64.5</v>
      </c>
      <c r="K48" s="5">
        <v>17.817</v>
      </c>
      <c r="L48" s="5"/>
      <c r="M48" s="152"/>
      <c r="N48" s="152"/>
      <c r="O48" s="152"/>
      <c r="P48" s="152"/>
      <c r="Q48" s="152"/>
      <c r="R48" s="152"/>
      <c r="S48" s="152"/>
      <c r="T48" s="152"/>
      <c r="U48" s="152"/>
    </row>
    <row r="49" spans="1:21" x14ac:dyDescent="0.25">
      <c r="A49" s="194"/>
      <c r="B49" s="100" t="s">
        <v>12</v>
      </c>
      <c r="C49" s="101">
        <v>37.469000000000001</v>
      </c>
      <c r="D49" s="101">
        <v>24.962</v>
      </c>
      <c r="E49" s="101">
        <v>50.674999999999997</v>
      </c>
      <c r="F49" s="101">
        <v>68.131</v>
      </c>
      <c r="G49" s="101">
        <v>41.412999999999997</v>
      </c>
      <c r="H49" s="101">
        <v>30.241</v>
      </c>
      <c r="I49" s="101">
        <v>41.143999999999998</v>
      </c>
      <c r="J49" s="101">
        <v>151.86500000000001</v>
      </c>
      <c r="K49" s="101">
        <v>41.923000000000002</v>
      </c>
      <c r="L49" s="30"/>
      <c r="M49" s="152"/>
      <c r="N49" s="152"/>
      <c r="O49" s="152"/>
      <c r="P49" s="152"/>
      <c r="Q49" s="152"/>
      <c r="R49" s="152"/>
      <c r="S49" s="152"/>
      <c r="T49" s="152"/>
      <c r="U49" s="152"/>
    </row>
    <row r="50" spans="1:21" x14ac:dyDescent="0.25">
      <c r="A50" s="194" t="s">
        <v>212</v>
      </c>
      <c r="B50" s="4" t="s">
        <v>18</v>
      </c>
      <c r="C50" s="5">
        <v>53.750999999999998</v>
      </c>
      <c r="D50" s="5">
        <v>35.701000000000001</v>
      </c>
      <c r="E50" s="5">
        <v>71.218999999999994</v>
      </c>
      <c r="F50" s="5">
        <v>105.73</v>
      </c>
      <c r="G50" s="5">
        <v>58.795999999999999</v>
      </c>
      <c r="H50" s="5">
        <v>53.872999999999998</v>
      </c>
      <c r="I50" s="5">
        <v>61.432000000000002</v>
      </c>
      <c r="J50" s="5">
        <v>224.547</v>
      </c>
      <c r="K50" s="5">
        <v>60.906999999999996</v>
      </c>
      <c r="L50" s="5"/>
      <c r="M50" s="152"/>
      <c r="N50" s="152"/>
      <c r="O50" s="152"/>
      <c r="P50" s="152"/>
      <c r="Q50" s="152"/>
      <c r="R50" s="152"/>
      <c r="S50" s="152"/>
      <c r="T50" s="152"/>
      <c r="U50" s="152"/>
    </row>
    <row r="51" spans="1:21" x14ac:dyDescent="0.25">
      <c r="A51" s="194"/>
      <c r="B51" s="4" t="s">
        <v>22</v>
      </c>
      <c r="C51" s="5">
        <v>14.568</v>
      </c>
      <c r="D51" s="5">
        <v>8.4309999999999992</v>
      </c>
      <c r="E51" s="5">
        <v>25.436</v>
      </c>
      <c r="F51" s="5">
        <v>24.318000000000001</v>
      </c>
      <c r="G51" s="5">
        <v>19.059999999999999</v>
      </c>
      <c r="H51" s="5">
        <v>17.789000000000001</v>
      </c>
      <c r="I51" s="5">
        <v>16.344999999999999</v>
      </c>
      <c r="J51" s="5">
        <v>55.09</v>
      </c>
      <c r="K51" s="5">
        <v>17.260000000000002</v>
      </c>
      <c r="L51" s="5"/>
      <c r="M51" s="152"/>
      <c r="N51" s="152"/>
      <c r="O51" s="152"/>
      <c r="P51" s="152"/>
      <c r="Q51" s="152"/>
      <c r="R51" s="152"/>
      <c r="S51" s="152"/>
      <c r="T51" s="152"/>
      <c r="U51" s="152"/>
    </row>
    <row r="52" spans="1:21" x14ac:dyDescent="0.25">
      <c r="A52" s="194"/>
      <c r="B52" s="100" t="s">
        <v>12</v>
      </c>
      <c r="C52" s="101">
        <v>34.741</v>
      </c>
      <c r="D52" s="101">
        <v>22.411999999999999</v>
      </c>
      <c r="E52" s="101">
        <v>48.948</v>
      </c>
      <c r="F52" s="101">
        <v>65.968999999999994</v>
      </c>
      <c r="G52" s="101">
        <v>39.404000000000003</v>
      </c>
      <c r="H52" s="101">
        <v>36.484000000000002</v>
      </c>
      <c r="I52" s="101">
        <v>39.395000000000003</v>
      </c>
      <c r="J52" s="101">
        <v>142.94200000000001</v>
      </c>
      <c r="K52" s="101">
        <v>39.674999999999997</v>
      </c>
      <c r="L52" s="30"/>
      <c r="M52" s="152"/>
      <c r="N52" s="152"/>
      <c r="O52" s="152"/>
      <c r="P52" s="152"/>
      <c r="Q52" s="152"/>
      <c r="R52" s="152"/>
      <c r="S52" s="152"/>
      <c r="T52" s="152"/>
      <c r="U52" s="152"/>
    </row>
    <row r="53" spans="1:21" x14ac:dyDescent="0.25">
      <c r="A53" s="194" t="s">
        <v>213</v>
      </c>
      <c r="B53" s="4" t="s">
        <v>18</v>
      </c>
      <c r="C53" s="5">
        <v>51.354999999999997</v>
      </c>
      <c r="D53" s="5">
        <v>33.088000000000001</v>
      </c>
      <c r="E53" s="5">
        <v>76.421999999999997</v>
      </c>
      <c r="F53" s="5">
        <v>101.292</v>
      </c>
      <c r="G53" s="5">
        <v>53.183999999999997</v>
      </c>
      <c r="H53" s="5">
        <v>53.55</v>
      </c>
      <c r="I53" s="5">
        <v>60.197000000000003</v>
      </c>
      <c r="J53" s="5">
        <v>189.279</v>
      </c>
      <c r="K53" s="5">
        <v>59.347999999999999</v>
      </c>
      <c r="L53" s="5"/>
      <c r="M53" s="152"/>
      <c r="N53" s="152"/>
      <c r="O53" s="152"/>
      <c r="P53" s="152"/>
      <c r="Q53" s="152"/>
      <c r="R53" s="152"/>
      <c r="S53" s="152"/>
      <c r="T53" s="152"/>
      <c r="U53" s="152"/>
    </row>
    <row r="54" spans="1:21" x14ac:dyDescent="0.25">
      <c r="A54" s="194"/>
      <c r="B54" s="4" t="s">
        <v>22</v>
      </c>
      <c r="C54" s="5">
        <v>16.042999999999999</v>
      </c>
      <c r="D54" s="5">
        <v>7.992</v>
      </c>
      <c r="E54" s="5">
        <v>26.550999999999998</v>
      </c>
      <c r="F54" s="5">
        <v>26.082000000000001</v>
      </c>
      <c r="G54" s="5">
        <v>15.943</v>
      </c>
      <c r="H54" s="5">
        <v>20.916</v>
      </c>
      <c r="I54" s="5">
        <v>24.044</v>
      </c>
      <c r="J54" s="5">
        <v>34.807000000000002</v>
      </c>
      <c r="K54" s="5">
        <v>17.802</v>
      </c>
      <c r="L54" s="5"/>
      <c r="M54" s="152"/>
      <c r="N54" s="152"/>
      <c r="O54" s="152"/>
      <c r="P54" s="152"/>
      <c r="Q54" s="152"/>
      <c r="R54" s="152"/>
      <c r="S54" s="152"/>
      <c r="T54" s="152"/>
      <c r="U54" s="152"/>
    </row>
    <row r="55" spans="1:21" x14ac:dyDescent="0.25">
      <c r="A55" s="194"/>
      <c r="B55" s="100" t="s">
        <v>12</v>
      </c>
      <c r="C55" s="101">
        <v>34.231000000000002</v>
      </c>
      <c r="D55" s="101">
        <v>20.88</v>
      </c>
      <c r="E55" s="101">
        <v>52.231000000000002</v>
      </c>
      <c r="F55" s="101">
        <v>64.619</v>
      </c>
      <c r="G55" s="101">
        <v>35</v>
      </c>
      <c r="H55" s="101">
        <v>37.802</v>
      </c>
      <c r="I55" s="101">
        <v>42.587000000000003</v>
      </c>
      <c r="J55" s="101">
        <v>114.623</v>
      </c>
      <c r="K55" s="101">
        <v>39.164999999999999</v>
      </c>
      <c r="L55" s="30"/>
      <c r="M55" s="152"/>
      <c r="N55" s="152"/>
      <c r="O55" s="152"/>
      <c r="P55" s="152"/>
      <c r="Q55" s="152"/>
      <c r="R55" s="152"/>
      <c r="S55" s="152"/>
      <c r="T55" s="152"/>
      <c r="U55" s="152"/>
    </row>
    <row r="56" spans="1:21" x14ac:dyDescent="0.25">
      <c r="A56" s="194" t="s">
        <v>214</v>
      </c>
      <c r="B56" s="4" t="s">
        <v>18</v>
      </c>
      <c r="C56" s="5">
        <v>50.960999999999999</v>
      </c>
      <c r="D56" s="5">
        <v>29.837</v>
      </c>
      <c r="E56" s="5">
        <v>75.724999999999994</v>
      </c>
      <c r="F56" s="5">
        <v>95.037000000000006</v>
      </c>
      <c r="G56" s="5">
        <v>48.262999999999998</v>
      </c>
      <c r="H56" s="5">
        <v>60.472999999999999</v>
      </c>
      <c r="I56" s="5">
        <v>55.712000000000003</v>
      </c>
      <c r="J56" s="5">
        <v>187.75800000000001</v>
      </c>
      <c r="K56" s="5">
        <v>57.343000000000004</v>
      </c>
      <c r="L56" s="5"/>
      <c r="M56" s="152"/>
      <c r="N56" s="152"/>
      <c r="O56" s="152"/>
      <c r="P56" s="152"/>
      <c r="Q56" s="152"/>
      <c r="R56" s="152"/>
      <c r="S56" s="152"/>
      <c r="T56" s="152"/>
      <c r="U56" s="152"/>
    </row>
    <row r="57" spans="1:21" x14ac:dyDescent="0.25">
      <c r="A57" s="194"/>
      <c r="B57" s="4" t="s">
        <v>22</v>
      </c>
      <c r="C57" s="5">
        <v>16.241</v>
      </c>
      <c r="D57" s="5">
        <v>8.56</v>
      </c>
      <c r="E57" s="5">
        <v>27.975999999999999</v>
      </c>
      <c r="F57" s="5">
        <v>27.632000000000001</v>
      </c>
      <c r="G57" s="5">
        <v>11.327</v>
      </c>
      <c r="H57" s="5">
        <v>22.608000000000001</v>
      </c>
      <c r="I57" s="5">
        <v>19.085000000000001</v>
      </c>
      <c r="J57" s="5">
        <v>37.405000000000001</v>
      </c>
      <c r="K57" s="5">
        <v>18.152000000000001</v>
      </c>
      <c r="L57" s="5"/>
      <c r="M57" s="152"/>
      <c r="N57" s="152"/>
      <c r="O57" s="152"/>
      <c r="P57" s="152"/>
      <c r="Q57" s="152"/>
      <c r="R57" s="152"/>
      <c r="S57" s="152"/>
      <c r="T57" s="152"/>
      <c r="U57" s="152"/>
    </row>
    <row r="58" spans="1:21" x14ac:dyDescent="0.25">
      <c r="A58" s="194"/>
      <c r="B58" s="100" t="s">
        <v>12</v>
      </c>
      <c r="C58" s="101">
        <v>34.131</v>
      </c>
      <c r="D58" s="101">
        <v>19.512</v>
      </c>
      <c r="E58" s="101">
        <v>52.600999999999999</v>
      </c>
      <c r="F58" s="101">
        <v>62.274000000000001</v>
      </c>
      <c r="G58" s="101">
        <v>30.207000000000001</v>
      </c>
      <c r="H58" s="101">
        <v>42.164000000000001</v>
      </c>
      <c r="I58" s="101">
        <v>37.899000000000001</v>
      </c>
      <c r="J58" s="101">
        <v>114.76</v>
      </c>
      <c r="K58" s="101">
        <v>38.326999999999998</v>
      </c>
      <c r="L58" s="30"/>
      <c r="M58" s="152"/>
      <c r="N58" s="152"/>
      <c r="O58" s="152"/>
      <c r="P58" s="152"/>
      <c r="Q58" s="152"/>
      <c r="R58" s="152"/>
      <c r="S58" s="152"/>
      <c r="T58" s="152"/>
      <c r="U58" s="152"/>
    </row>
    <row r="59" spans="1:21" x14ac:dyDescent="0.25">
      <c r="A59" s="194" t="s">
        <v>215</v>
      </c>
      <c r="B59" s="4" t="s">
        <v>18</v>
      </c>
      <c r="C59" s="5">
        <v>48.843000000000004</v>
      </c>
      <c r="D59" s="5">
        <v>28.032</v>
      </c>
      <c r="E59" s="5">
        <v>61.484999999999999</v>
      </c>
      <c r="F59" s="5">
        <v>83.513999999999996</v>
      </c>
      <c r="G59" s="5">
        <v>46.097999999999999</v>
      </c>
      <c r="H59" s="5">
        <v>55.746000000000002</v>
      </c>
      <c r="I59" s="5">
        <v>48.661999999999999</v>
      </c>
      <c r="J59" s="5">
        <v>173.04400000000001</v>
      </c>
      <c r="K59" s="5">
        <v>51.429000000000002</v>
      </c>
      <c r="L59" s="5"/>
      <c r="M59" s="152"/>
      <c r="N59" s="152"/>
      <c r="O59" s="152"/>
      <c r="P59" s="152"/>
      <c r="Q59" s="152"/>
      <c r="R59" s="152"/>
      <c r="S59" s="152"/>
      <c r="T59" s="152"/>
      <c r="U59" s="152"/>
    </row>
    <row r="60" spans="1:21" x14ac:dyDescent="0.25">
      <c r="A60" s="194"/>
      <c r="B60" s="4" t="s">
        <v>22</v>
      </c>
      <c r="C60" s="5">
        <v>15.448</v>
      </c>
      <c r="D60" s="5">
        <v>8.1440000000000001</v>
      </c>
      <c r="E60" s="5">
        <v>24.443999999999999</v>
      </c>
      <c r="F60" s="5">
        <v>24.384</v>
      </c>
      <c r="G60" s="5">
        <v>12.031000000000001</v>
      </c>
      <c r="H60" s="5">
        <v>21.870999999999999</v>
      </c>
      <c r="I60" s="5">
        <v>18.611000000000001</v>
      </c>
      <c r="J60" s="5">
        <v>32.545000000000002</v>
      </c>
      <c r="K60" s="5">
        <v>16.669</v>
      </c>
      <c r="L60" s="5"/>
      <c r="M60" s="152"/>
      <c r="N60" s="152"/>
      <c r="O60" s="152"/>
      <c r="P60" s="152"/>
      <c r="Q60" s="152"/>
      <c r="R60" s="152"/>
      <c r="S60" s="152"/>
      <c r="T60" s="152"/>
      <c r="U60" s="152"/>
    </row>
    <row r="61" spans="1:21" x14ac:dyDescent="0.25">
      <c r="A61" s="194"/>
      <c r="B61" s="100" t="s">
        <v>12</v>
      </c>
      <c r="C61" s="101">
        <v>32.68</v>
      </c>
      <c r="D61" s="101">
        <v>18.381</v>
      </c>
      <c r="E61" s="101">
        <v>43.545000000000002</v>
      </c>
      <c r="F61" s="101">
        <v>54.823</v>
      </c>
      <c r="G61" s="101">
        <v>29.475000000000001</v>
      </c>
      <c r="H61" s="101">
        <v>39.381</v>
      </c>
      <c r="I61" s="101">
        <v>34.091000000000001</v>
      </c>
      <c r="J61" s="101">
        <v>104.98</v>
      </c>
      <c r="K61" s="101">
        <v>34.576999999999998</v>
      </c>
      <c r="L61" s="30"/>
      <c r="M61" s="152"/>
      <c r="N61" s="152"/>
      <c r="O61" s="152"/>
      <c r="P61" s="152"/>
      <c r="Q61" s="152"/>
      <c r="R61" s="152"/>
      <c r="S61" s="152"/>
      <c r="T61" s="152"/>
      <c r="U61" s="152"/>
    </row>
    <row r="62" spans="1:21" x14ac:dyDescent="0.25">
      <c r="A62" s="194" t="s">
        <v>216</v>
      </c>
      <c r="B62" s="4" t="s">
        <v>18</v>
      </c>
      <c r="C62" s="5">
        <v>47.616</v>
      </c>
      <c r="D62" s="5">
        <v>23.34</v>
      </c>
      <c r="E62" s="5">
        <v>56.51</v>
      </c>
      <c r="F62" s="5">
        <v>67.153999999999996</v>
      </c>
      <c r="G62" s="5">
        <v>39.804000000000002</v>
      </c>
      <c r="H62" s="5">
        <v>46.774999999999999</v>
      </c>
      <c r="I62" s="5">
        <v>40.165999999999997</v>
      </c>
      <c r="J62" s="5">
        <v>170.89599999999999</v>
      </c>
      <c r="K62" s="5">
        <v>46.34</v>
      </c>
      <c r="L62" s="5"/>
      <c r="M62" s="152"/>
      <c r="N62" s="152"/>
      <c r="O62" s="152"/>
      <c r="P62" s="152"/>
      <c r="Q62" s="152"/>
      <c r="R62" s="152"/>
      <c r="S62" s="152"/>
      <c r="T62" s="152"/>
      <c r="U62" s="152"/>
    </row>
    <row r="63" spans="1:21" x14ac:dyDescent="0.25">
      <c r="A63" s="194"/>
      <c r="B63" s="4" t="s">
        <v>22</v>
      </c>
      <c r="C63" s="5">
        <v>13.843</v>
      </c>
      <c r="D63" s="5">
        <v>5.7439999999999998</v>
      </c>
      <c r="E63" s="5">
        <v>20.260999999999999</v>
      </c>
      <c r="F63" s="5">
        <v>19.273</v>
      </c>
      <c r="G63" s="5">
        <v>11.512</v>
      </c>
      <c r="H63" s="5">
        <v>20.036999999999999</v>
      </c>
      <c r="I63" s="5">
        <v>19.545999999999999</v>
      </c>
      <c r="J63" s="5">
        <v>29.079000000000001</v>
      </c>
      <c r="K63" s="5">
        <v>14.045999999999999</v>
      </c>
      <c r="L63" s="5"/>
      <c r="M63" s="152"/>
      <c r="N63" s="152"/>
      <c r="O63" s="152"/>
      <c r="P63" s="152"/>
      <c r="Q63" s="152"/>
      <c r="R63" s="152"/>
      <c r="S63" s="152"/>
      <c r="T63" s="152"/>
      <c r="U63" s="152"/>
    </row>
    <row r="64" spans="1:21" x14ac:dyDescent="0.25">
      <c r="A64" s="194"/>
      <c r="B64" s="100" t="s">
        <v>12</v>
      </c>
      <c r="C64" s="101">
        <v>31.263999999999999</v>
      </c>
      <c r="D64" s="101">
        <v>14.787000000000001</v>
      </c>
      <c r="E64" s="101">
        <v>38.936999999999998</v>
      </c>
      <c r="F64" s="101">
        <v>43.926000000000002</v>
      </c>
      <c r="G64" s="101">
        <v>26.018999999999998</v>
      </c>
      <c r="H64" s="101">
        <v>33.89</v>
      </c>
      <c r="I64" s="101">
        <v>30.158999999999999</v>
      </c>
      <c r="J64" s="101">
        <v>102.43600000000001</v>
      </c>
      <c r="K64" s="101">
        <v>30.677</v>
      </c>
      <c r="L64" s="30"/>
      <c r="M64" s="152"/>
      <c r="N64" s="152"/>
      <c r="O64" s="152"/>
      <c r="P64" s="152"/>
      <c r="Q64" s="152"/>
      <c r="R64" s="152"/>
      <c r="S64" s="152"/>
      <c r="T64" s="152"/>
      <c r="U64" s="152"/>
    </row>
    <row r="65" spans="1:21" x14ac:dyDescent="0.25">
      <c r="A65" s="194" t="s">
        <v>217</v>
      </c>
      <c r="B65" s="4" t="s">
        <v>18</v>
      </c>
      <c r="C65" s="5">
        <v>43.941000000000003</v>
      </c>
      <c r="D65" s="5">
        <v>18.678999999999998</v>
      </c>
      <c r="E65" s="5">
        <v>54.384999999999998</v>
      </c>
      <c r="F65" s="5">
        <v>69.507000000000005</v>
      </c>
      <c r="G65" s="5">
        <v>39.085999999999999</v>
      </c>
      <c r="H65" s="5">
        <v>35.323999999999998</v>
      </c>
      <c r="I65" s="5">
        <v>32.97</v>
      </c>
      <c r="J65" s="5">
        <v>209.44300000000001</v>
      </c>
      <c r="K65" s="5">
        <v>43.87</v>
      </c>
      <c r="L65" s="5"/>
      <c r="M65" s="152"/>
      <c r="N65" s="152"/>
      <c r="O65" s="152"/>
      <c r="P65" s="152"/>
      <c r="Q65" s="152"/>
      <c r="R65" s="152"/>
      <c r="S65" s="152"/>
      <c r="T65" s="152"/>
      <c r="U65" s="152"/>
    </row>
    <row r="66" spans="1:21" x14ac:dyDescent="0.25">
      <c r="A66" s="194"/>
      <c r="B66" s="4" t="s">
        <v>22</v>
      </c>
      <c r="C66" s="5">
        <v>11.334</v>
      </c>
      <c r="D66" s="5">
        <v>4.1189999999999998</v>
      </c>
      <c r="E66" s="5">
        <v>20.314</v>
      </c>
      <c r="F66" s="5">
        <v>21.193000000000001</v>
      </c>
      <c r="G66" s="5">
        <v>11.845000000000001</v>
      </c>
      <c r="H66" s="5">
        <v>15.538</v>
      </c>
      <c r="I66" s="5">
        <v>18.518999999999998</v>
      </c>
      <c r="J66" s="5">
        <v>46.206000000000003</v>
      </c>
      <c r="K66" s="5">
        <v>13.19</v>
      </c>
      <c r="L66" s="5"/>
      <c r="M66" s="152"/>
      <c r="N66" s="152"/>
      <c r="O66" s="152"/>
      <c r="P66" s="152"/>
      <c r="Q66" s="152"/>
      <c r="R66" s="152"/>
      <c r="S66" s="152"/>
      <c r="T66" s="152"/>
      <c r="U66" s="152"/>
    </row>
    <row r="67" spans="1:21" x14ac:dyDescent="0.25">
      <c r="A67" s="194"/>
      <c r="B67" s="100" t="s">
        <v>12</v>
      </c>
      <c r="C67" s="101">
        <v>28.195</v>
      </c>
      <c r="D67" s="101">
        <v>11.616</v>
      </c>
      <c r="E67" s="101">
        <v>37.875</v>
      </c>
      <c r="F67" s="101">
        <v>46.081000000000003</v>
      </c>
      <c r="G67" s="101">
        <v>25.806000000000001</v>
      </c>
      <c r="H67" s="101">
        <v>25.800999999999998</v>
      </c>
      <c r="I67" s="101">
        <v>25.97</v>
      </c>
      <c r="J67" s="101">
        <v>130.70400000000001</v>
      </c>
      <c r="K67" s="101">
        <v>29.007999999999999</v>
      </c>
      <c r="L67" s="30"/>
      <c r="M67" s="152"/>
      <c r="N67" s="152"/>
      <c r="O67" s="152"/>
      <c r="P67" s="152"/>
      <c r="Q67" s="152"/>
      <c r="R67" s="152"/>
      <c r="S67" s="152"/>
      <c r="T67" s="152"/>
      <c r="U67" s="152"/>
    </row>
    <row r="68" spans="1:21" x14ac:dyDescent="0.25">
      <c r="A68" s="194" t="s">
        <v>218</v>
      </c>
      <c r="B68" s="4" t="s">
        <v>18</v>
      </c>
      <c r="C68" s="5">
        <v>43.268999999999998</v>
      </c>
      <c r="D68" s="5">
        <v>16.315000000000001</v>
      </c>
      <c r="E68" s="5">
        <v>52.463999999999999</v>
      </c>
      <c r="F68" s="5">
        <v>74.641999999999996</v>
      </c>
      <c r="G68" s="5">
        <v>43.624000000000002</v>
      </c>
      <c r="H68" s="5">
        <v>39.994</v>
      </c>
      <c r="I68" s="5">
        <v>44.314999999999998</v>
      </c>
      <c r="J68" s="5">
        <v>245.416</v>
      </c>
      <c r="K68" s="5">
        <v>44.170999999999999</v>
      </c>
      <c r="L68" s="5"/>
      <c r="M68" s="152"/>
      <c r="N68" s="152"/>
      <c r="O68" s="152"/>
      <c r="P68" s="152"/>
      <c r="Q68" s="152"/>
      <c r="R68" s="152"/>
      <c r="S68" s="152"/>
      <c r="T68" s="152"/>
      <c r="U68" s="152"/>
    </row>
    <row r="69" spans="1:21" x14ac:dyDescent="0.25">
      <c r="A69" s="194"/>
      <c r="B69" s="4" t="s">
        <v>22</v>
      </c>
      <c r="C69" s="5">
        <v>12.407999999999999</v>
      </c>
      <c r="D69" s="5">
        <v>2.859</v>
      </c>
      <c r="E69" s="5">
        <v>18.974</v>
      </c>
      <c r="F69" s="5">
        <v>23.4</v>
      </c>
      <c r="G69" s="5">
        <v>17.524999999999999</v>
      </c>
      <c r="H69" s="5">
        <v>18.074000000000002</v>
      </c>
      <c r="I69" s="5">
        <v>22.763000000000002</v>
      </c>
      <c r="J69" s="5">
        <v>55.286999999999999</v>
      </c>
      <c r="K69" s="5">
        <v>13.763999999999999</v>
      </c>
      <c r="L69" s="5"/>
      <c r="M69" s="152"/>
      <c r="N69" s="152"/>
      <c r="O69" s="152"/>
      <c r="P69" s="152"/>
      <c r="Q69" s="152"/>
      <c r="R69" s="152"/>
      <c r="S69" s="152"/>
      <c r="T69" s="152"/>
      <c r="U69" s="152"/>
    </row>
    <row r="70" spans="1:21" x14ac:dyDescent="0.25">
      <c r="A70" s="194"/>
      <c r="B70" s="100" t="s">
        <v>12</v>
      </c>
      <c r="C70" s="101">
        <v>28.352</v>
      </c>
      <c r="D70" s="101">
        <v>9.7840000000000007</v>
      </c>
      <c r="E70" s="101">
        <v>36.241999999999997</v>
      </c>
      <c r="F70" s="101">
        <v>49.764000000000003</v>
      </c>
      <c r="G70" s="101">
        <v>30.952999999999999</v>
      </c>
      <c r="H70" s="101">
        <v>29.44</v>
      </c>
      <c r="I70" s="101">
        <v>33.85</v>
      </c>
      <c r="J70" s="101">
        <v>154.035</v>
      </c>
      <c r="K70" s="101">
        <v>29.443000000000001</v>
      </c>
      <c r="L70" s="30"/>
      <c r="M70" s="152"/>
      <c r="N70" s="152"/>
      <c r="O70" s="152"/>
      <c r="P70" s="152"/>
      <c r="Q70" s="152"/>
      <c r="R70" s="152"/>
      <c r="S70" s="152"/>
      <c r="T70" s="152"/>
      <c r="U70" s="152"/>
    </row>
    <row r="71" spans="1:21" x14ac:dyDescent="0.25">
      <c r="A71" s="194" t="s">
        <v>219</v>
      </c>
      <c r="B71" s="4" t="s">
        <v>18</v>
      </c>
      <c r="C71" s="5">
        <v>41.145000000000003</v>
      </c>
      <c r="D71" s="5">
        <v>14.25</v>
      </c>
      <c r="E71" s="5">
        <v>51.904000000000003</v>
      </c>
      <c r="F71" s="5">
        <v>68.953000000000003</v>
      </c>
      <c r="G71" s="5">
        <v>42.911999999999999</v>
      </c>
      <c r="H71" s="5">
        <v>47.84</v>
      </c>
      <c r="I71" s="5">
        <v>63.033999999999999</v>
      </c>
      <c r="J71" s="5">
        <v>416.50599999999997</v>
      </c>
      <c r="K71" s="5">
        <v>43.314</v>
      </c>
      <c r="L71" s="5"/>
      <c r="M71" s="152"/>
      <c r="N71" s="152"/>
      <c r="O71" s="152"/>
      <c r="P71" s="152"/>
      <c r="Q71" s="152"/>
      <c r="R71" s="152"/>
      <c r="S71" s="152"/>
      <c r="T71" s="152"/>
      <c r="U71" s="152"/>
    </row>
    <row r="72" spans="1:21" x14ac:dyDescent="0.25">
      <c r="A72" s="194"/>
      <c r="B72" s="4" t="s">
        <v>22</v>
      </c>
      <c r="C72" s="5">
        <v>12.986000000000001</v>
      </c>
      <c r="D72" s="5">
        <v>2.5369999999999999</v>
      </c>
      <c r="E72" s="5">
        <v>19.102</v>
      </c>
      <c r="F72" s="5">
        <v>24.425000000000001</v>
      </c>
      <c r="G72" s="5">
        <v>18.61</v>
      </c>
      <c r="H72" s="5">
        <v>19.530999999999999</v>
      </c>
      <c r="I72" s="5">
        <v>32.548999999999999</v>
      </c>
      <c r="J72" s="5">
        <v>104.89100000000001</v>
      </c>
      <c r="K72" s="5">
        <v>14.441000000000001</v>
      </c>
      <c r="L72" s="5"/>
      <c r="M72" s="152"/>
      <c r="N72" s="152"/>
      <c r="O72" s="152"/>
      <c r="P72" s="152"/>
      <c r="Q72" s="152"/>
      <c r="R72" s="152"/>
      <c r="S72" s="152"/>
      <c r="T72" s="152"/>
      <c r="U72" s="152"/>
    </row>
    <row r="73" spans="1:21" x14ac:dyDescent="0.25">
      <c r="A73" s="194"/>
      <c r="B73" s="100" t="s">
        <v>12</v>
      </c>
      <c r="C73" s="101">
        <v>27.568999999999999</v>
      </c>
      <c r="D73" s="101">
        <v>8.5500000000000007</v>
      </c>
      <c r="E73" s="101">
        <v>36.009</v>
      </c>
      <c r="F73" s="101">
        <v>47.311999999999998</v>
      </c>
      <c r="G73" s="101">
        <v>31.067</v>
      </c>
      <c r="H73" s="101">
        <v>34.551000000000002</v>
      </c>
      <c r="I73" s="101">
        <v>48.253</v>
      </c>
      <c r="J73" s="101">
        <v>266.80700000000002</v>
      </c>
      <c r="K73" s="101">
        <v>29.334</v>
      </c>
      <c r="L73" s="30"/>
      <c r="M73" s="152"/>
      <c r="N73" s="152"/>
      <c r="O73" s="152"/>
      <c r="P73" s="152"/>
      <c r="Q73" s="152"/>
      <c r="R73" s="152"/>
      <c r="S73" s="152"/>
      <c r="T73" s="152"/>
      <c r="U73" s="152"/>
    </row>
    <row r="74" spans="1:21" x14ac:dyDescent="0.25">
      <c r="A74" s="194" t="s">
        <v>357</v>
      </c>
      <c r="B74" s="4" t="s">
        <v>18</v>
      </c>
      <c r="C74" s="5">
        <v>42.173999999999999</v>
      </c>
      <c r="D74" s="5">
        <v>15.997999999999999</v>
      </c>
      <c r="E74" s="5">
        <v>51.371000000000002</v>
      </c>
      <c r="F74" s="5">
        <v>65.760000000000005</v>
      </c>
      <c r="G74" s="5">
        <v>41.725999999999999</v>
      </c>
      <c r="H74" s="5">
        <v>53.704000000000001</v>
      </c>
      <c r="I74" s="5">
        <v>62.311999999999998</v>
      </c>
      <c r="J74" s="5">
        <v>359.59100000000001</v>
      </c>
      <c r="K74" s="5">
        <v>44.055999999999997</v>
      </c>
      <c r="L74" s="5"/>
      <c r="M74" s="152"/>
      <c r="N74" s="152"/>
      <c r="O74" s="152"/>
      <c r="P74" s="152"/>
      <c r="Q74" s="152"/>
      <c r="R74" s="152"/>
      <c r="S74" s="152"/>
      <c r="T74" s="152"/>
      <c r="U74" s="152"/>
    </row>
    <row r="75" spans="1:21" x14ac:dyDescent="0.25">
      <c r="A75" s="194"/>
      <c r="B75" s="4" t="s">
        <v>22</v>
      </c>
      <c r="C75" s="5">
        <v>12.401</v>
      </c>
      <c r="D75" s="5">
        <v>2.677</v>
      </c>
      <c r="E75" s="5">
        <v>18.481000000000002</v>
      </c>
      <c r="F75" s="5">
        <v>22.321999999999999</v>
      </c>
      <c r="G75" s="5">
        <v>18.34</v>
      </c>
      <c r="H75" s="5">
        <v>24.126000000000001</v>
      </c>
      <c r="I75" s="5">
        <v>26.641999999999999</v>
      </c>
      <c r="J75" s="5">
        <v>103.877</v>
      </c>
      <c r="K75" s="5">
        <v>14.154</v>
      </c>
      <c r="M75" s="152"/>
      <c r="N75" s="152"/>
      <c r="O75" s="152"/>
      <c r="P75" s="152"/>
      <c r="Q75" s="152"/>
      <c r="R75" s="152"/>
      <c r="S75" s="152"/>
      <c r="T75" s="152"/>
      <c r="U75" s="152"/>
    </row>
    <row r="76" spans="1:21" ht="12" customHeight="1" x14ac:dyDescent="0.25">
      <c r="A76" s="194"/>
      <c r="B76" s="100" t="s">
        <v>12</v>
      </c>
      <c r="C76" s="101">
        <v>27.763999999999999</v>
      </c>
      <c r="D76" s="101">
        <v>9.5120000000000005</v>
      </c>
      <c r="E76" s="101">
        <v>35.445999999999998</v>
      </c>
      <c r="F76" s="101">
        <v>44.664000000000001</v>
      </c>
      <c r="G76" s="101">
        <v>30.391999999999999</v>
      </c>
      <c r="H76" s="101">
        <v>39.966999999999999</v>
      </c>
      <c r="I76" s="101">
        <v>44.908000000000001</v>
      </c>
      <c r="J76" s="101">
        <v>236.774</v>
      </c>
      <c r="K76" s="101">
        <v>29.568999999999999</v>
      </c>
      <c r="M76" s="152"/>
      <c r="N76" s="152"/>
      <c r="O76" s="152"/>
      <c r="P76" s="152"/>
      <c r="Q76" s="152"/>
      <c r="R76" s="152"/>
      <c r="S76" s="152"/>
      <c r="T76" s="152"/>
      <c r="U76" s="152"/>
    </row>
    <row r="77" spans="1:21" ht="5.25" customHeight="1" x14ac:dyDescent="0.25">
      <c r="A77" s="2"/>
    </row>
    <row r="78" spans="1:21" ht="11.1" customHeight="1" x14ac:dyDescent="0.25">
      <c r="A78" s="107" t="s">
        <v>23</v>
      </c>
      <c r="B78" s="107"/>
      <c r="C78" s="107"/>
      <c r="D78" s="107"/>
      <c r="E78" s="107"/>
      <c r="F78" s="107"/>
      <c r="G78" s="107"/>
      <c r="H78" s="107"/>
      <c r="I78" s="107"/>
      <c r="J78" s="107"/>
      <c r="K78" s="108"/>
    </row>
    <row r="79" spans="1:21" s="7" customFormat="1" ht="11.1" customHeight="1" x14ac:dyDescent="0.15">
      <c r="A79" s="7" t="s">
        <v>39</v>
      </c>
    </row>
    <row r="80" spans="1:21" s="7" customFormat="1" ht="11.1" customHeight="1" x14ac:dyDescent="0.15">
      <c r="A80" s="7" t="s">
        <v>35</v>
      </c>
    </row>
    <row r="81" spans="1:23" s="7" customFormat="1" ht="11.1" customHeight="1" x14ac:dyDescent="0.15">
      <c r="A81" s="7" t="s">
        <v>36</v>
      </c>
    </row>
    <row r="82" spans="1:23" s="7" customFormat="1" ht="11.1" customHeight="1" x14ac:dyDescent="0.15">
      <c r="A82" s="7" t="s">
        <v>41</v>
      </c>
    </row>
    <row r="83" spans="1:23" s="7" customFormat="1" ht="11.1" customHeight="1" x14ac:dyDescent="0.25">
      <c r="A83" s="7" t="s">
        <v>244</v>
      </c>
      <c r="M83" s="124"/>
      <c r="N83" s="1"/>
      <c r="O83" s="124"/>
      <c r="P83" s="124"/>
      <c r="Q83" s="124"/>
      <c r="R83" s="124"/>
      <c r="S83" s="124"/>
      <c r="T83" s="124"/>
      <c r="U83" s="124"/>
      <c r="V83" s="124"/>
      <c r="W83" s="124"/>
    </row>
    <row r="84" spans="1:23" s="7" customFormat="1" ht="11.1" customHeight="1" x14ac:dyDescent="0.25">
      <c r="A84" s="7" t="s">
        <v>245</v>
      </c>
      <c r="N84" s="1"/>
      <c r="O84" s="124"/>
      <c r="P84" s="124"/>
      <c r="Q84" s="124"/>
      <c r="R84" s="124"/>
      <c r="S84" s="124"/>
      <c r="T84" s="124"/>
      <c r="U84" s="124"/>
      <c r="V84" s="124"/>
      <c r="W84" s="124"/>
    </row>
    <row r="85" spans="1:23" s="7" customFormat="1" ht="11.1" customHeight="1" x14ac:dyDescent="0.25">
      <c r="A85" s="7" t="s">
        <v>419</v>
      </c>
      <c r="N85" s="1"/>
      <c r="O85" s="124"/>
      <c r="P85" s="124"/>
      <c r="Q85" s="124"/>
      <c r="R85" s="124"/>
      <c r="S85" s="124"/>
      <c r="T85" s="124"/>
      <c r="U85" s="124"/>
      <c r="V85" s="124"/>
      <c r="W85" s="124"/>
    </row>
    <row r="86" spans="1:23" s="7" customFormat="1" ht="11.1" customHeight="1" x14ac:dyDescent="0.25">
      <c r="N86" s="1"/>
      <c r="O86" s="124"/>
      <c r="P86" s="124"/>
      <c r="Q86" s="124"/>
      <c r="R86" s="124"/>
      <c r="S86" s="124"/>
      <c r="T86" s="124"/>
      <c r="U86" s="124"/>
      <c r="V86" s="124"/>
      <c r="W86" s="124"/>
    </row>
    <row r="87" spans="1:23" s="7" customFormat="1" ht="11.1" customHeight="1" x14ac:dyDescent="0.25">
      <c r="A87" s="7" t="s">
        <v>249</v>
      </c>
      <c r="N87" s="1"/>
      <c r="O87" s="124"/>
      <c r="P87" s="124"/>
      <c r="Q87" s="124"/>
      <c r="R87" s="124"/>
      <c r="S87" s="124"/>
      <c r="T87" s="124"/>
      <c r="U87" s="124"/>
      <c r="V87" s="124"/>
      <c r="W87" s="124"/>
    </row>
    <row r="88" spans="1:23" ht="12" customHeight="1" x14ac:dyDescent="0.25">
      <c r="A88" s="2"/>
      <c r="O88" s="124"/>
      <c r="P88" s="124"/>
      <c r="Q88" s="124"/>
      <c r="R88" s="124"/>
      <c r="S88" s="124"/>
      <c r="T88" s="124"/>
      <c r="U88" s="124"/>
      <c r="V88" s="124"/>
      <c r="W88" s="124"/>
    </row>
    <row r="89" spans="1:23" x14ac:dyDescent="0.25">
      <c r="O89" s="124"/>
      <c r="P89" s="124"/>
      <c r="Q89" s="124"/>
      <c r="R89" s="124"/>
      <c r="S89" s="124"/>
      <c r="T89" s="124"/>
      <c r="U89" s="124"/>
      <c r="V89" s="124"/>
      <c r="W89" s="124"/>
    </row>
    <row r="90" spans="1:23" x14ac:dyDescent="0.25">
      <c r="O90" s="124"/>
      <c r="P90" s="124"/>
      <c r="Q90" s="124"/>
      <c r="R90" s="124"/>
      <c r="S90" s="124"/>
      <c r="T90" s="124"/>
      <c r="U90" s="124"/>
      <c r="V90" s="124"/>
      <c r="W90" s="124"/>
    </row>
    <row r="91" spans="1:23" x14ac:dyDescent="0.25">
      <c r="O91" s="124"/>
      <c r="P91" s="124"/>
      <c r="Q91" s="124"/>
      <c r="R91" s="124"/>
      <c r="S91" s="124"/>
      <c r="T91" s="124"/>
      <c r="U91" s="124"/>
      <c r="V91" s="124"/>
      <c r="W91" s="124"/>
    </row>
    <row r="92" spans="1:23" x14ac:dyDescent="0.25">
      <c r="O92" s="124"/>
      <c r="P92" s="124"/>
      <c r="Q92" s="124"/>
      <c r="R92" s="124"/>
      <c r="S92" s="124"/>
      <c r="T92" s="124"/>
      <c r="U92" s="124"/>
      <c r="V92" s="124"/>
      <c r="W92" s="124"/>
    </row>
    <row r="93" spans="1:23" x14ac:dyDescent="0.25">
      <c r="O93" s="124"/>
      <c r="P93" s="124"/>
      <c r="Q93" s="124"/>
      <c r="R93" s="124"/>
      <c r="S93" s="124"/>
      <c r="T93" s="124"/>
      <c r="U93" s="124"/>
      <c r="V93" s="124"/>
      <c r="W93" s="124"/>
    </row>
    <row r="94" spans="1:23" x14ac:dyDescent="0.25">
      <c r="O94" s="124"/>
      <c r="P94" s="124"/>
      <c r="Q94" s="124"/>
      <c r="R94" s="124"/>
      <c r="S94" s="124"/>
      <c r="T94" s="124"/>
      <c r="U94" s="124"/>
      <c r="V94" s="124"/>
      <c r="W94" s="124"/>
    </row>
    <row r="95" spans="1:23" x14ac:dyDescent="0.25">
      <c r="O95" s="124"/>
      <c r="P95" s="124"/>
      <c r="Q95" s="124"/>
      <c r="R95" s="124"/>
      <c r="S95" s="124"/>
      <c r="T95" s="124"/>
      <c r="U95" s="124"/>
      <c r="V95" s="124"/>
      <c r="W95" s="124"/>
    </row>
    <row r="96" spans="1:23" x14ac:dyDescent="0.25">
      <c r="O96" s="124"/>
      <c r="P96" s="124"/>
      <c r="Q96" s="124"/>
      <c r="R96" s="124"/>
      <c r="S96" s="124"/>
      <c r="T96" s="124"/>
      <c r="U96" s="124"/>
      <c r="V96" s="124"/>
      <c r="W96" s="124"/>
    </row>
    <row r="97" spans="15:23" x14ac:dyDescent="0.25">
      <c r="O97" s="124"/>
      <c r="P97" s="124"/>
      <c r="Q97" s="124"/>
      <c r="R97" s="124"/>
      <c r="S97" s="124"/>
      <c r="T97" s="124"/>
      <c r="U97" s="124"/>
      <c r="V97" s="124"/>
      <c r="W97" s="124"/>
    </row>
    <row r="98" spans="15:23" x14ac:dyDescent="0.25">
      <c r="O98" s="124"/>
      <c r="P98" s="124"/>
      <c r="Q98" s="124"/>
      <c r="R98" s="124"/>
      <c r="S98" s="124"/>
      <c r="T98" s="124"/>
      <c r="U98" s="124"/>
      <c r="V98" s="124"/>
      <c r="W98" s="124"/>
    </row>
    <row r="99" spans="15:23" x14ac:dyDescent="0.25">
      <c r="O99" s="124"/>
      <c r="P99" s="124"/>
      <c r="Q99" s="124"/>
      <c r="R99" s="124"/>
      <c r="S99" s="124"/>
      <c r="T99" s="124"/>
      <c r="U99" s="124"/>
      <c r="V99" s="124"/>
      <c r="W99" s="124"/>
    </row>
    <row r="100" spans="15:23" x14ac:dyDescent="0.25">
      <c r="O100" s="124"/>
      <c r="P100" s="124"/>
      <c r="Q100" s="124"/>
      <c r="R100" s="124"/>
      <c r="S100" s="124"/>
      <c r="T100" s="124"/>
      <c r="U100" s="124"/>
      <c r="V100" s="124"/>
      <c r="W100" s="124"/>
    </row>
    <row r="101" spans="15:23" x14ac:dyDescent="0.25">
      <c r="O101" s="124"/>
      <c r="P101" s="124"/>
      <c r="Q101" s="124"/>
      <c r="R101" s="124"/>
      <c r="S101" s="124"/>
      <c r="T101" s="124"/>
      <c r="U101" s="124"/>
      <c r="V101" s="124"/>
      <c r="W101" s="124"/>
    </row>
    <row r="102" spans="15:23" x14ac:dyDescent="0.25">
      <c r="O102" s="124"/>
      <c r="P102" s="124"/>
      <c r="Q102" s="124"/>
      <c r="R102" s="124"/>
      <c r="S102" s="124"/>
      <c r="T102" s="124"/>
      <c r="U102" s="124"/>
      <c r="V102" s="124"/>
      <c r="W102" s="124"/>
    </row>
    <row r="103" spans="15:23" x14ac:dyDescent="0.25">
      <c r="O103" s="124"/>
      <c r="P103" s="124"/>
      <c r="Q103" s="124"/>
      <c r="R103" s="124"/>
      <c r="S103" s="124"/>
      <c r="T103" s="124"/>
      <c r="U103" s="124"/>
      <c r="V103" s="124"/>
      <c r="W103" s="124"/>
    </row>
    <row r="104" spans="15:23" x14ac:dyDescent="0.25">
      <c r="O104" s="124"/>
      <c r="P104" s="124"/>
      <c r="Q104" s="124"/>
      <c r="R104" s="124"/>
      <c r="S104" s="124"/>
      <c r="T104" s="124"/>
      <c r="U104" s="124"/>
      <c r="V104" s="124"/>
      <c r="W104" s="124"/>
    </row>
    <row r="105" spans="15:23" x14ac:dyDescent="0.25">
      <c r="O105" s="124"/>
      <c r="P105" s="124"/>
      <c r="Q105" s="124"/>
      <c r="R105" s="124"/>
      <c r="S105" s="124"/>
      <c r="T105" s="124"/>
      <c r="U105" s="124"/>
      <c r="V105" s="124"/>
      <c r="W105" s="124"/>
    </row>
    <row r="106" spans="15:23" x14ac:dyDescent="0.25">
      <c r="O106" s="124"/>
      <c r="P106" s="124"/>
      <c r="Q106" s="124"/>
      <c r="R106" s="124"/>
      <c r="S106" s="124"/>
      <c r="T106" s="124"/>
      <c r="U106" s="124"/>
      <c r="V106" s="124"/>
      <c r="W106" s="124"/>
    </row>
    <row r="107" spans="15:23" x14ac:dyDescent="0.25">
      <c r="O107" s="124"/>
      <c r="P107" s="124"/>
      <c r="Q107" s="124"/>
      <c r="R107" s="124"/>
      <c r="S107" s="124"/>
      <c r="T107" s="124"/>
      <c r="U107" s="124"/>
      <c r="V107" s="124"/>
      <c r="W107" s="124"/>
    </row>
    <row r="108" spans="15:23" x14ac:dyDescent="0.25">
      <c r="O108" s="124"/>
      <c r="P108" s="124"/>
      <c r="Q108" s="124"/>
      <c r="R108" s="124"/>
      <c r="S108" s="124"/>
      <c r="T108" s="124"/>
      <c r="U108" s="124"/>
      <c r="V108" s="124"/>
      <c r="W108" s="124"/>
    </row>
    <row r="109" spans="15:23" x14ac:dyDescent="0.25">
      <c r="O109" s="124"/>
      <c r="P109" s="124"/>
      <c r="Q109" s="124"/>
      <c r="R109" s="124"/>
      <c r="S109" s="124"/>
      <c r="T109" s="124"/>
      <c r="U109" s="124"/>
      <c r="V109" s="124"/>
      <c r="W109" s="124"/>
    </row>
    <row r="110" spans="15:23" x14ac:dyDescent="0.25">
      <c r="O110" s="124"/>
      <c r="P110" s="124"/>
      <c r="Q110" s="124"/>
      <c r="R110" s="124"/>
      <c r="S110" s="124"/>
      <c r="T110" s="124"/>
      <c r="U110" s="124"/>
      <c r="V110" s="124"/>
      <c r="W110" s="124"/>
    </row>
    <row r="111" spans="15:23" x14ac:dyDescent="0.25">
      <c r="O111" s="124"/>
      <c r="P111" s="124"/>
      <c r="Q111" s="124"/>
      <c r="R111" s="124"/>
      <c r="S111" s="124"/>
      <c r="T111" s="124"/>
      <c r="U111" s="124"/>
      <c r="V111" s="124"/>
      <c r="W111" s="124"/>
    </row>
  </sheetData>
  <mergeCells count="25">
    <mergeCell ref="A35:L35"/>
    <mergeCell ref="A38:L38"/>
    <mergeCell ref="A56:A58"/>
    <mergeCell ref="A74:A76"/>
    <mergeCell ref="A31:A33"/>
    <mergeCell ref="A68:A70"/>
    <mergeCell ref="A71:A73"/>
    <mergeCell ref="A59:A61"/>
    <mergeCell ref="A62:A64"/>
    <mergeCell ref="A65:A67"/>
    <mergeCell ref="A39:L39"/>
    <mergeCell ref="A44:L44"/>
    <mergeCell ref="A47:A49"/>
    <mergeCell ref="A50:A52"/>
    <mergeCell ref="A53:A55"/>
    <mergeCell ref="A1:L1"/>
    <mergeCell ref="A4:A6"/>
    <mergeCell ref="A7:A9"/>
    <mergeCell ref="A10:A12"/>
    <mergeCell ref="A13:A15"/>
    <mergeCell ref="A16:A18"/>
    <mergeCell ref="A19:A21"/>
    <mergeCell ref="A22:A24"/>
    <mergeCell ref="A25:A27"/>
    <mergeCell ref="A28:A30"/>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W28"/>
  <sheetViews>
    <sheetView zoomScaleNormal="100" workbookViewId="0">
      <selection sqref="A1:M1"/>
    </sheetView>
  </sheetViews>
  <sheetFormatPr defaultColWidth="9.140625" defaultRowHeight="15" x14ac:dyDescent="0.25"/>
  <cols>
    <col min="1" max="1" width="11.42578125" style="1" bestFit="1" customWidth="1"/>
    <col min="2" max="2" width="19.140625" style="1" customWidth="1"/>
    <col min="3" max="13" width="11.42578125" style="1" bestFit="1" customWidth="1"/>
    <col min="14" max="16384" width="9.140625" style="1"/>
  </cols>
  <sheetData>
    <row r="1" spans="1:23" x14ac:dyDescent="0.25">
      <c r="A1" s="192" t="s">
        <v>328</v>
      </c>
      <c r="B1" s="192"/>
      <c r="C1" s="192"/>
      <c r="D1" s="192"/>
      <c r="E1" s="192"/>
      <c r="F1" s="192"/>
      <c r="G1" s="192"/>
      <c r="H1" s="192"/>
      <c r="I1" s="192"/>
      <c r="J1" s="192"/>
      <c r="K1" s="192"/>
      <c r="L1" s="192"/>
      <c r="M1" s="192"/>
    </row>
    <row r="2" spans="1:23" ht="3.75" customHeight="1" x14ac:dyDescent="0.25">
      <c r="A2" s="2"/>
    </row>
    <row r="3" spans="1:23" x14ac:dyDescent="0.25">
      <c r="A3" s="35" t="s">
        <v>160</v>
      </c>
      <c r="B3" s="35" t="s">
        <v>161</v>
      </c>
      <c r="C3" s="3" t="s">
        <v>1</v>
      </c>
      <c r="D3" s="3" t="s">
        <v>2</v>
      </c>
      <c r="E3" s="3" t="s">
        <v>3</v>
      </c>
      <c r="F3" s="3" t="s">
        <v>4</v>
      </c>
      <c r="G3" s="3" t="s">
        <v>5</v>
      </c>
      <c r="H3" s="3" t="s">
        <v>6</v>
      </c>
      <c r="I3" s="3" t="s">
        <v>7</v>
      </c>
      <c r="J3" s="3" t="s">
        <v>8</v>
      </c>
      <c r="K3" s="3" t="s">
        <v>9</v>
      </c>
    </row>
    <row r="4" spans="1:23" x14ac:dyDescent="0.25">
      <c r="A4" s="194" t="s">
        <v>216</v>
      </c>
      <c r="B4" s="4" t="s">
        <v>42</v>
      </c>
      <c r="C4" s="9">
        <v>1061</v>
      </c>
      <c r="D4" s="9">
        <v>430</v>
      </c>
      <c r="E4" s="9">
        <v>780</v>
      </c>
      <c r="F4" s="9">
        <v>392</v>
      </c>
      <c r="G4" s="9">
        <v>200</v>
      </c>
      <c r="H4" s="9">
        <v>71</v>
      </c>
      <c r="I4" s="9">
        <v>53</v>
      </c>
      <c r="J4" s="9">
        <v>116</v>
      </c>
      <c r="K4" s="9">
        <v>3103</v>
      </c>
      <c r="M4" s="153"/>
      <c r="N4" s="153"/>
      <c r="O4" s="153"/>
      <c r="P4" s="153"/>
      <c r="Q4" s="153"/>
      <c r="R4" s="153"/>
      <c r="S4" s="153"/>
      <c r="T4" s="153"/>
      <c r="U4" s="153"/>
      <c r="W4" s="123"/>
    </row>
    <row r="5" spans="1:23" x14ac:dyDescent="0.25">
      <c r="A5" s="194"/>
      <c r="B5" s="4" t="s">
        <v>43</v>
      </c>
      <c r="C5" s="9">
        <v>1576</v>
      </c>
      <c r="D5" s="9">
        <v>1109</v>
      </c>
      <c r="E5" s="9">
        <v>1933</v>
      </c>
      <c r="F5" s="9">
        <v>896</v>
      </c>
      <c r="G5" s="9">
        <v>320</v>
      </c>
      <c r="H5" s="9">
        <v>158</v>
      </c>
      <c r="I5" s="9">
        <v>82</v>
      </c>
      <c r="J5" s="9">
        <v>260</v>
      </c>
      <c r="K5" s="9">
        <v>6334</v>
      </c>
      <c r="M5" s="153"/>
      <c r="N5" s="153"/>
      <c r="O5" s="153"/>
      <c r="P5" s="153"/>
      <c r="Q5" s="153"/>
      <c r="R5" s="153"/>
      <c r="S5" s="153"/>
      <c r="T5" s="153"/>
      <c r="U5" s="153"/>
    </row>
    <row r="6" spans="1:23" x14ac:dyDescent="0.25">
      <c r="A6" s="194"/>
      <c r="B6" s="10" t="s">
        <v>12</v>
      </c>
      <c r="C6" s="102">
        <v>2637</v>
      </c>
      <c r="D6" s="102">
        <v>1539</v>
      </c>
      <c r="E6" s="102">
        <v>2713</v>
      </c>
      <c r="F6" s="102">
        <v>1288</v>
      </c>
      <c r="G6" s="102">
        <v>520</v>
      </c>
      <c r="H6" s="102">
        <v>229</v>
      </c>
      <c r="I6" s="102">
        <v>135</v>
      </c>
      <c r="J6" s="102">
        <v>376</v>
      </c>
      <c r="K6" s="102">
        <v>9437</v>
      </c>
      <c r="M6" s="153"/>
      <c r="N6" s="153"/>
      <c r="O6" s="153"/>
      <c r="P6" s="153"/>
      <c r="Q6" s="153"/>
      <c r="R6" s="153"/>
      <c r="S6" s="153"/>
      <c r="T6" s="153"/>
      <c r="U6" s="153"/>
    </row>
    <row r="7" spans="1:23" x14ac:dyDescent="0.25">
      <c r="A7" s="194" t="s">
        <v>217</v>
      </c>
      <c r="B7" s="4" t="s">
        <v>42</v>
      </c>
      <c r="C7" s="9">
        <v>890</v>
      </c>
      <c r="D7" s="9">
        <v>374</v>
      </c>
      <c r="E7" s="9">
        <v>701</v>
      </c>
      <c r="F7" s="9">
        <v>591</v>
      </c>
      <c r="G7" s="9">
        <v>220</v>
      </c>
      <c r="H7" s="9">
        <v>61</v>
      </c>
      <c r="I7" s="9">
        <v>46</v>
      </c>
      <c r="J7" s="9">
        <v>168</v>
      </c>
      <c r="K7" s="9">
        <v>3051</v>
      </c>
      <c r="M7" s="153"/>
      <c r="N7" s="153"/>
      <c r="O7" s="153"/>
      <c r="P7" s="153"/>
      <c r="Q7" s="153"/>
      <c r="R7" s="153"/>
      <c r="S7" s="153"/>
      <c r="T7" s="153"/>
      <c r="U7" s="153"/>
    </row>
    <row r="8" spans="1:23" x14ac:dyDescent="0.25">
      <c r="A8" s="194"/>
      <c r="B8" s="4" t="s">
        <v>43</v>
      </c>
      <c r="C8" s="9">
        <v>1520</v>
      </c>
      <c r="D8" s="9">
        <v>974</v>
      </c>
      <c r="E8" s="9">
        <v>1905</v>
      </c>
      <c r="F8" s="9">
        <v>799</v>
      </c>
      <c r="G8" s="9">
        <v>300</v>
      </c>
      <c r="H8" s="9">
        <v>130</v>
      </c>
      <c r="I8" s="9">
        <v>84</v>
      </c>
      <c r="J8" s="9">
        <v>285</v>
      </c>
      <c r="K8" s="9">
        <v>5997</v>
      </c>
      <c r="M8" s="153"/>
      <c r="N8" s="153"/>
      <c r="O8" s="153"/>
      <c r="P8" s="153"/>
      <c r="Q8" s="153"/>
      <c r="R8" s="153"/>
      <c r="S8" s="153"/>
      <c r="T8" s="153"/>
      <c r="U8" s="153"/>
    </row>
    <row r="9" spans="1:23" x14ac:dyDescent="0.25">
      <c r="A9" s="194"/>
      <c r="B9" s="10" t="s">
        <v>12</v>
      </c>
      <c r="C9" s="102">
        <v>2410</v>
      </c>
      <c r="D9" s="102">
        <v>1348</v>
      </c>
      <c r="E9" s="102">
        <v>2606</v>
      </c>
      <c r="F9" s="102">
        <v>1390</v>
      </c>
      <c r="G9" s="102">
        <v>520</v>
      </c>
      <c r="H9" s="102">
        <v>191</v>
      </c>
      <c r="I9" s="102">
        <v>130</v>
      </c>
      <c r="J9" s="102">
        <v>453</v>
      </c>
      <c r="K9" s="102">
        <v>9048</v>
      </c>
      <c r="M9" s="153"/>
      <c r="N9" s="153"/>
      <c r="O9" s="153"/>
      <c r="P9" s="153"/>
      <c r="Q9" s="153"/>
      <c r="R9" s="153"/>
      <c r="S9" s="153"/>
      <c r="T9" s="153"/>
      <c r="U9" s="153"/>
    </row>
    <row r="10" spans="1:23" x14ac:dyDescent="0.25">
      <c r="A10" s="194" t="s">
        <v>218</v>
      </c>
      <c r="B10" s="4" t="s">
        <v>42</v>
      </c>
      <c r="C10" s="9">
        <v>1036</v>
      </c>
      <c r="D10" s="9">
        <v>388</v>
      </c>
      <c r="E10" s="9">
        <v>755</v>
      </c>
      <c r="F10" s="9">
        <v>658</v>
      </c>
      <c r="G10" s="9">
        <v>281</v>
      </c>
      <c r="H10" s="9">
        <v>72</v>
      </c>
      <c r="I10" s="9">
        <v>84</v>
      </c>
      <c r="J10" s="9">
        <v>179</v>
      </c>
      <c r="K10" s="9">
        <v>3453</v>
      </c>
      <c r="M10" s="153"/>
      <c r="N10" s="153"/>
      <c r="O10" s="153"/>
      <c r="P10" s="153"/>
      <c r="Q10" s="153"/>
      <c r="R10" s="153"/>
      <c r="S10" s="153"/>
      <c r="T10" s="153"/>
      <c r="U10" s="153"/>
    </row>
    <row r="11" spans="1:23" x14ac:dyDescent="0.25">
      <c r="A11" s="194"/>
      <c r="B11" s="4" t="s">
        <v>43</v>
      </c>
      <c r="C11" s="9">
        <v>1412</v>
      </c>
      <c r="D11" s="9">
        <v>766</v>
      </c>
      <c r="E11" s="9">
        <v>1806</v>
      </c>
      <c r="F11" s="9">
        <v>852</v>
      </c>
      <c r="G11" s="9">
        <v>327</v>
      </c>
      <c r="H11" s="9">
        <v>127</v>
      </c>
      <c r="I11" s="9">
        <v>81</v>
      </c>
      <c r="J11" s="9">
        <v>374</v>
      </c>
      <c r="K11" s="9">
        <v>5745</v>
      </c>
      <c r="M11" s="153"/>
      <c r="N11" s="153"/>
      <c r="O11" s="153"/>
      <c r="P11" s="153"/>
      <c r="Q11" s="153"/>
      <c r="R11" s="153"/>
      <c r="S11" s="153"/>
      <c r="T11" s="153"/>
      <c r="U11" s="153"/>
    </row>
    <row r="12" spans="1:23" x14ac:dyDescent="0.25">
      <c r="A12" s="194"/>
      <c r="B12" s="10" t="s">
        <v>12</v>
      </c>
      <c r="C12" s="102">
        <v>2448</v>
      </c>
      <c r="D12" s="102">
        <v>1154</v>
      </c>
      <c r="E12" s="102">
        <v>2561</v>
      </c>
      <c r="F12" s="102">
        <v>1510</v>
      </c>
      <c r="G12" s="102">
        <v>608</v>
      </c>
      <c r="H12" s="102">
        <v>199</v>
      </c>
      <c r="I12" s="102">
        <v>165</v>
      </c>
      <c r="J12" s="102">
        <v>553</v>
      </c>
      <c r="K12" s="102">
        <v>9198</v>
      </c>
      <c r="M12" s="153"/>
      <c r="N12" s="153"/>
      <c r="O12" s="153"/>
      <c r="P12" s="153"/>
      <c r="Q12" s="153"/>
      <c r="R12" s="153"/>
      <c r="S12" s="153"/>
      <c r="T12" s="153"/>
      <c r="U12" s="153"/>
    </row>
    <row r="13" spans="1:23" x14ac:dyDescent="0.25">
      <c r="A13" s="194" t="s">
        <v>219</v>
      </c>
      <c r="B13" s="4" t="s">
        <v>42</v>
      </c>
      <c r="C13" s="9">
        <v>1011</v>
      </c>
      <c r="D13" s="9">
        <v>322</v>
      </c>
      <c r="E13" s="9">
        <v>764</v>
      </c>
      <c r="F13" s="9">
        <v>589</v>
      </c>
      <c r="G13" s="9">
        <v>219</v>
      </c>
      <c r="H13" s="9">
        <v>92</v>
      </c>
      <c r="I13" s="9">
        <v>78</v>
      </c>
      <c r="J13" s="9">
        <v>251</v>
      </c>
      <c r="K13" s="9">
        <v>3326</v>
      </c>
      <c r="M13" s="153"/>
      <c r="N13" s="153"/>
      <c r="O13" s="153"/>
      <c r="P13" s="153"/>
      <c r="Q13" s="153"/>
      <c r="R13" s="153"/>
      <c r="S13" s="153"/>
      <c r="T13" s="153"/>
      <c r="U13" s="153"/>
    </row>
    <row r="14" spans="1:23" x14ac:dyDescent="0.25">
      <c r="A14" s="194"/>
      <c r="B14" s="4" t="s">
        <v>43</v>
      </c>
      <c r="C14" s="9">
        <v>1411</v>
      </c>
      <c r="D14" s="9">
        <v>653</v>
      </c>
      <c r="E14" s="9">
        <v>1801</v>
      </c>
      <c r="F14" s="9">
        <v>902</v>
      </c>
      <c r="G14" s="9">
        <v>407</v>
      </c>
      <c r="H14" s="9">
        <v>134</v>
      </c>
      <c r="I14" s="9">
        <v>101</v>
      </c>
      <c r="J14" s="9">
        <v>507</v>
      </c>
      <c r="K14" s="9">
        <v>5916</v>
      </c>
      <c r="M14" s="153"/>
      <c r="N14" s="153"/>
      <c r="O14" s="153"/>
      <c r="P14" s="153"/>
      <c r="Q14" s="153"/>
      <c r="R14" s="153"/>
      <c r="S14" s="153"/>
      <c r="T14" s="153"/>
      <c r="U14" s="153"/>
    </row>
    <row r="15" spans="1:23" x14ac:dyDescent="0.25">
      <c r="A15" s="194"/>
      <c r="B15" s="10" t="s">
        <v>12</v>
      </c>
      <c r="C15" s="102">
        <v>2422</v>
      </c>
      <c r="D15" s="102">
        <v>975</v>
      </c>
      <c r="E15" s="102">
        <v>2565</v>
      </c>
      <c r="F15" s="102">
        <v>1491</v>
      </c>
      <c r="G15" s="102">
        <v>626</v>
      </c>
      <c r="H15" s="102">
        <v>226</v>
      </c>
      <c r="I15" s="102">
        <v>179</v>
      </c>
      <c r="J15" s="102">
        <v>758</v>
      </c>
      <c r="K15" s="102">
        <v>9242</v>
      </c>
      <c r="M15" s="153"/>
      <c r="N15" s="153"/>
      <c r="O15" s="153"/>
      <c r="P15" s="153"/>
      <c r="Q15" s="153"/>
      <c r="R15" s="153"/>
      <c r="S15" s="153"/>
      <c r="T15" s="153"/>
      <c r="U15" s="153"/>
    </row>
    <row r="16" spans="1:23" x14ac:dyDescent="0.25">
      <c r="A16" s="194" t="s">
        <v>357</v>
      </c>
      <c r="B16" s="4" t="s">
        <v>42</v>
      </c>
      <c r="C16" s="9">
        <v>1014</v>
      </c>
      <c r="D16" s="9">
        <v>452</v>
      </c>
      <c r="E16" s="9">
        <v>784</v>
      </c>
      <c r="F16" s="9">
        <v>568</v>
      </c>
      <c r="G16" s="9">
        <v>255</v>
      </c>
      <c r="H16" s="9">
        <v>99</v>
      </c>
      <c r="I16" s="9">
        <v>58</v>
      </c>
      <c r="J16" s="9">
        <v>251</v>
      </c>
      <c r="K16" s="9">
        <v>3481</v>
      </c>
      <c r="M16" s="153"/>
      <c r="N16" s="153"/>
      <c r="O16" s="153"/>
      <c r="P16" s="153"/>
      <c r="Q16" s="153"/>
      <c r="R16" s="153"/>
      <c r="S16" s="153"/>
      <c r="T16" s="153"/>
      <c r="U16" s="153"/>
    </row>
    <row r="17" spans="1:21" x14ac:dyDescent="0.25">
      <c r="A17" s="194"/>
      <c r="B17" s="4" t="s">
        <v>43</v>
      </c>
      <c r="C17" s="9">
        <v>1442</v>
      </c>
      <c r="D17" s="9">
        <v>602</v>
      </c>
      <c r="E17" s="9">
        <v>1779</v>
      </c>
      <c r="F17" s="9">
        <v>873</v>
      </c>
      <c r="G17" s="9">
        <v>354</v>
      </c>
      <c r="H17" s="9">
        <v>167</v>
      </c>
      <c r="I17" s="9">
        <v>118</v>
      </c>
      <c r="J17" s="9">
        <v>763</v>
      </c>
      <c r="K17" s="9">
        <v>6098</v>
      </c>
      <c r="M17" s="153"/>
      <c r="N17" s="153"/>
      <c r="O17" s="153"/>
      <c r="P17" s="153"/>
      <c r="Q17" s="153"/>
      <c r="R17" s="153"/>
      <c r="S17" s="153"/>
      <c r="T17" s="153"/>
      <c r="U17" s="153"/>
    </row>
    <row r="18" spans="1:21" x14ac:dyDescent="0.25">
      <c r="A18" s="194"/>
      <c r="B18" s="10" t="s">
        <v>12</v>
      </c>
      <c r="C18" s="102">
        <v>2456</v>
      </c>
      <c r="D18" s="102">
        <v>1054</v>
      </c>
      <c r="E18" s="102">
        <v>2563</v>
      </c>
      <c r="F18" s="102">
        <v>1441</v>
      </c>
      <c r="G18" s="102">
        <v>609</v>
      </c>
      <c r="H18" s="102">
        <v>266</v>
      </c>
      <c r="I18" s="102">
        <v>176</v>
      </c>
      <c r="J18" s="102">
        <v>1014</v>
      </c>
      <c r="K18" s="102">
        <v>9579</v>
      </c>
      <c r="M18" s="153"/>
      <c r="N18" s="153"/>
      <c r="O18" s="153"/>
      <c r="P18" s="153"/>
      <c r="Q18" s="153"/>
      <c r="R18" s="153"/>
      <c r="S18" s="153"/>
      <c r="T18" s="153"/>
      <c r="U18" s="153"/>
    </row>
    <row r="19" spans="1:21" ht="2.25" customHeight="1" x14ac:dyDescent="0.25"/>
    <row r="20" spans="1:21" x14ac:dyDescent="0.25">
      <c r="A20" s="191" t="s">
        <v>44</v>
      </c>
      <c r="B20" s="191"/>
      <c r="C20" s="191"/>
      <c r="D20" s="191"/>
      <c r="E20" s="191"/>
      <c r="F20" s="191"/>
      <c r="G20" s="191"/>
      <c r="H20" s="191"/>
      <c r="I20" s="191"/>
      <c r="J20" s="191"/>
      <c r="K20" s="191"/>
      <c r="L20" s="193"/>
      <c r="M20" s="193"/>
    </row>
    <row r="21" spans="1:21" s="7" customFormat="1" ht="9" x14ac:dyDescent="0.15">
      <c r="A21" s="7" t="s">
        <v>15</v>
      </c>
    </row>
    <row r="22" spans="1:21" s="7" customFormat="1" ht="9" x14ac:dyDescent="0.15">
      <c r="A22" s="7" t="s">
        <v>347</v>
      </c>
    </row>
    <row r="23" spans="1:21" x14ac:dyDescent="0.25">
      <c r="A23" s="2"/>
    </row>
    <row r="28" spans="1:21" x14ac:dyDescent="0.25">
      <c r="F28" s="123"/>
    </row>
  </sheetData>
  <mergeCells count="7">
    <mergeCell ref="A20:M20"/>
    <mergeCell ref="A1:M1"/>
    <mergeCell ref="A4:A6"/>
    <mergeCell ref="A7:A9"/>
    <mergeCell ref="A10:A12"/>
    <mergeCell ref="A13:A15"/>
    <mergeCell ref="A16:A18"/>
  </mergeCells>
  <pageMargins left="0.08" right="0.08" top="1" bottom="1" header="0.5" footer="0.5"/>
  <pageSetup orientation="landscape" blackAndWhite="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23"/>
  <sheetViews>
    <sheetView zoomScaleNormal="100" workbookViewId="0">
      <selection sqref="A1:F1"/>
    </sheetView>
  </sheetViews>
  <sheetFormatPr defaultColWidth="9.140625" defaultRowHeight="15" x14ac:dyDescent="0.25"/>
  <cols>
    <col min="1" max="1" width="11.42578125" style="1" bestFit="1" customWidth="1"/>
    <col min="2" max="2" width="22.42578125" style="1" customWidth="1"/>
    <col min="3" max="6" width="17.42578125" style="1" customWidth="1"/>
    <col min="7" max="8" width="11.42578125" style="1" bestFit="1" customWidth="1"/>
    <col min="9" max="16384" width="9.140625" style="1"/>
  </cols>
  <sheetData>
    <row r="1" spans="1:14" ht="30.75" customHeight="1" x14ac:dyDescent="0.25">
      <c r="A1" s="198" t="s">
        <v>375</v>
      </c>
      <c r="B1" s="198"/>
      <c r="C1" s="198"/>
      <c r="D1" s="198"/>
      <c r="E1" s="198"/>
      <c r="F1" s="198"/>
      <c r="G1" s="57"/>
      <c r="H1" s="57"/>
    </row>
    <row r="2" spans="1:14" hidden="1" x14ac:dyDescent="0.25">
      <c r="A2" s="2"/>
    </row>
    <row r="3" spans="1:14" x14ac:dyDescent="0.25">
      <c r="A3" s="35" t="s">
        <v>160</v>
      </c>
      <c r="B3" s="35" t="s">
        <v>161</v>
      </c>
      <c r="C3" s="3" t="s">
        <v>19</v>
      </c>
      <c r="D3" s="3" t="s">
        <v>20</v>
      </c>
      <c r="E3" s="3" t="s">
        <v>21</v>
      </c>
      <c r="F3" s="11" t="s">
        <v>12</v>
      </c>
    </row>
    <row r="4" spans="1:14" x14ac:dyDescent="0.25">
      <c r="A4" s="194" t="s">
        <v>216</v>
      </c>
      <c r="B4" s="4" t="s">
        <v>42</v>
      </c>
      <c r="C4" s="9">
        <v>1213</v>
      </c>
      <c r="D4" s="9">
        <v>1772</v>
      </c>
      <c r="E4" s="9">
        <v>118</v>
      </c>
      <c r="F4" s="9">
        <v>3103</v>
      </c>
      <c r="H4" s="153"/>
      <c r="I4" s="153"/>
      <c r="J4" s="153"/>
      <c r="K4" s="153"/>
      <c r="M4" s="123"/>
      <c r="N4" s="123"/>
    </row>
    <row r="5" spans="1:14" x14ac:dyDescent="0.25">
      <c r="A5" s="194"/>
      <c r="B5" s="4" t="s">
        <v>43</v>
      </c>
      <c r="C5" s="9">
        <v>3044</v>
      </c>
      <c r="D5" s="9">
        <v>3217</v>
      </c>
      <c r="E5" s="9">
        <v>73</v>
      </c>
      <c r="F5" s="9">
        <v>6334</v>
      </c>
      <c r="H5" s="153"/>
      <c r="I5" s="153"/>
      <c r="J5" s="153"/>
      <c r="K5" s="153"/>
    </row>
    <row r="6" spans="1:14" x14ac:dyDescent="0.25">
      <c r="A6" s="194"/>
      <c r="B6" s="10" t="s">
        <v>12</v>
      </c>
      <c r="C6" s="102">
        <v>4257</v>
      </c>
      <c r="D6" s="102">
        <v>4989</v>
      </c>
      <c r="E6" s="102">
        <v>191</v>
      </c>
      <c r="F6" s="102">
        <v>9437</v>
      </c>
      <c r="H6" s="153"/>
      <c r="I6" s="153"/>
      <c r="J6" s="153"/>
      <c r="K6" s="153"/>
    </row>
    <row r="7" spans="1:14" x14ac:dyDescent="0.25">
      <c r="A7" s="194" t="s">
        <v>217</v>
      </c>
      <c r="B7" s="4" t="s">
        <v>42</v>
      </c>
      <c r="C7" s="9">
        <v>1445</v>
      </c>
      <c r="D7" s="9">
        <v>1538</v>
      </c>
      <c r="E7" s="9">
        <v>68</v>
      </c>
      <c r="F7" s="9">
        <v>3051</v>
      </c>
      <c r="H7" s="153"/>
      <c r="I7" s="153"/>
      <c r="J7" s="153"/>
      <c r="K7" s="153"/>
    </row>
    <row r="8" spans="1:14" x14ac:dyDescent="0.25">
      <c r="A8" s="194"/>
      <c r="B8" s="4" t="s">
        <v>43</v>
      </c>
      <c r="C8" s="9">
        <v>2943</v>
      </c>
      <c r="D8" s="9">
        <v>2983</v>
      </c>
      <c r="E8" s="9">
        <v>71</v>
      </c>
      <c r="F8" s="9">
        <v>5997</v>
      </c>
      <c r="H8" s="153"/>
      <c r="I8" s="153"/>
      <c r="J8" s="153"/>
      <c r="K8" s="153"/>
    </row>
    <row r="9" spans="1:14" x14ac:dyDescent="0.25">
      <c r="A9" s="194"/>
      <c r="B9" s="10" t="s">
        <v>12</v>
      </c>
      <c r="C9" s="102">
        <v>4388</v>
      </c>
      <c r="D9" s="102">
        <v>4521</v>
      </c>
      <c r="E9" s="102">
        <v>139</v>
      </c>
      <c r="F9" s="102">
        <v>9048</v>
      </c>
      <c r="H9" s="153"/>
      <c r="I9" s="153"/>
      <c r="J9" s="153"/>
      <c r="K9" s="153"/>
    </row>
    <row r="10" spans="1:14" x14ac:dyDescent="0.25">
      <c r="A10" s="194" t="s">
        <v>218</v>
      </c>
      <c r="B10" s="4" t="s">
        <v>42</v>
      </c>
      <c r="C10" s="9">
        <v>1648</v>
      </c>
      <c r="D10" s="9">
        <v>1694</v>
      </c>
      <c r="E10" s="9">
        <v>111</v>
      </c>
      <c r="F10" s="9">
        <v>3453</v>
      </c>
      <c r="H10" s="153"/>
      <c r="I10" s="153"/>
      <c r="J10" s="153"/>
      <c r="K10" s="153"/>
    </row>
    <row r="11" spans="1:14" x14ac:dyDescent="0.25">
      <c r="A11" s="194"/>
      <c r="B11" s="4" t="s">
        <v>43</v>
      </c>
      <c r="C11" s="9">
        <v>3099</v>
      </c>
      <c r="D11" s="9">
        <v>2599</v>
      </c>
      <c r="E11" s="9">
        <v>47</v>
      </c>
      <c r="F11" s="9">
        <v>5745</v>
      </c>
      <c r="H11" s="153"/>
      <c r="I11" s="153"/>
      <c r="J11" s="153"/>
      <c r="K11" s="153"/>
    </row>
    <row r="12" spans="1:14" x14ac:dyDescent="0.25">
      <c r="A12" s="194"/>
      <c r="B12" s="10" t="s">
        <v>12</v>
      </c>
      <c r="C12" s="102">
        <v>4747</v>
      </c>
      <c r="D12" s="102">
        <v>4293</v>
      </c>
      <c r="E12" s="102">
        <v>158</v>
      </c>
      <c r="F12" s="102">
        <v>9198</v>
      </c>
      <c r="H12" s="153"/>
      <c r="I12" s="153"/>
      <c r="J12" s="153"/>
      <c r="K12" s="153"/>
    </row>
    <row r="13" spans="1:14" x14ac:dyDescent="0.25">
      <c r="A13" s="194" t="s">
        <v>219</v>
      </c>
      <c r="B13" s="4" t="s">
        <v>42</v>
      </c>
      <c r="C13" s="9">
        <v>1646</v>
      </c>
      <c r="D13" s="9">
        <v>1596</v>
      </c>
      <c r="E13" s="9">
        <v>84</v>
      </c>
      <c r="F13" s="9">
        <v>3326</v>
      </c>
      <c r="H13" s="153"/>
      <c r="I13" s="153"/>
      <c r="J13" s="153"/>
      <c r="K13" s="153"/>
    </row>
    <row r="14" spans="1:14" x14ac:dyDescent="0.25">
      <c r="A14" s="194"/>
      <c r="B14" s="4" t="s">
        <v>43</v>
      </c>
      <c r="C14" s="9">
        <v>3371</v>
      </c>
      <c r="D14" s="9">
        <v>2480</v>
      </c>
      <c r="E14" s="9">
        <v>65</v>
      </c>
      <c r="F14" s="9">
        <v>5916</v>
      </c>
      <c r="H14" s="153"/>
      <c r="I14" s="153"/>
      <c r="J14" s="153"/>
      <c r="K14" s="153"/>
    </row>
    <row r="15" spans="1:14" x14ac:dyDescent="0.25">
      <c r="A15" s="194"/>
      <c r="B15" s="10" t="s">
        <v>12</v>
      </c>
      <c r="C15" s="102">
        <v>5017</v>
      </c>
      <c r="D15" s="102">
        <v>4076</v>
      </c>
      <c r="E15" s="102">
        <v>149</v>
      </c>
      <c r="F15" s="102">
        <v>9242</v>
      </c>
      <c r="H15" s="153"/>
      <c r="I15" s="153"/>
      <c r="J15" s="153"/>
      <c r="K15" s="153"/>
    </row>
    <row r="16" spans="1:14" x14ac:dyDescent="0.25">
      <c r="A16" s="194" t="s">
        <v>357</v>
      </c>
      <c r="B16" s="4" t="s">
        <v>42</v>
      </c>
      <c r="C16" s="9">
        <v>1652</v>
      </c>
      <c r="D16" s="9">
        <v>1704</v>
      </c>
      <c r="E16" s="9">
        <v>125</v>
      </c>
      <c r="F16" s="9">
        <v>3481</v>
      </c>
      <c r="H16" s="153"/>
      <c r="I16" s="153"/>
      <c r="J16" s="153"/>
      <c r="K16" s="153"/>
    </row>
    <row r="17" spans="1:11" x14ac:dyDescent="0.25">
      <c r="A17" s="194"/>
      <c r="B17" s="4" t="s">
        <v>43</v>
      </c>
      <c r="C17" s="9">
        <v>3658</v>
      </c>
      <c r="D17" s="9">
        <v>2380</v>
      </c>
      <c r="E17" s="9">
        <v>60</v>
      </c>
      <c r="F17" s="9">
        <v>6098</v>
      </c>
      <c r="H17" s="156"/>
      <c r="I17" s="153"/>
      <c r="J17" s="153"/>
      <c r="K17" s="153"/>
    </row>
    <row r="18" spans="1:11" x14ac:dyDescent="0.25">
      <c r="A18" s="194"/>
      <c r="B18" s="10" t="s">
        <v>12</v>
      </c>
      <c r="C18" s="102">
        <v>5310</v>
      </c>
      <c r="D18" s="102">
        <v>4084</v>
      </c>
      <c r="E18" s="102">
        <v>185</v>
      </c>
      <c r="F18" s="102">
        <v>9579</v>
      </c>
      <c r="H18" s="156"/>
      <c r="I18" s="153"/>
      <c r="J18" s="153"/>
      <c r="K18" s="153"/>
    </row>
    <row r="19" spans="1:11" ht="2.25" customHeight="1" x14ac:dyDescent="0.25"/>
    <row r="20" spans="1:11" x14ac:dyDescent="0.25">
      <c r="A20" s="191" t="s">
        <v>45</v>
      </c>
      <c r="B20" s="191"/>
      <c r="C20" s="191"/>
      <c r="D20" s="191"/>
      <c r="E20" s="191"/>
      <c r="F20" s="191"/>
      <c r="G20" s="193"/>
      <c r="H20" s="193"/>
    </row>
    <row r="21" spans="1:11" s="7" customFormat="1" ht="9" x14ac:dyDescent="0.15">
      <c r="A21" s="7" t="s">
        <v>15</v>
      </c>
    </row>
    <row r="22" spans="1:11" s="7" customFormat="1" ht="9" x14ac:dyDescent="0.15">
      <c r="A22" s="7" t="s">
        <v>347</v>
      </c>
    </row>
    <row r="23" spans="1:11" x14ac:dyDescent="0.25">
      <c r="A23" s="2"/>
    </row>
  </sheetData>
  <mergeCells count="7">
    <mergeCell ref="A20:H20"/>
    <mergeCell ref="A1:F1"/>
    <mergeCell ref="A4:A6"/>
    <mergeCell ref="A7:A9"/>
    <mergeCell ref="A10:A12"/>
    <mergeCell ref="A13:A15"/>
    <mergeCell ref="A16:A18"/>
  </mergeCells>
  <pageMargins left="0.08" right="0.08" top="1" bottom="1" header="0.5" footer="0.5"/>
  <pageSetup orientation="landscape" blackAndWhite="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Y44"/>
  <sheetViews>
    <sheetView zoomScaleNormal="100" workbookViewId="0">
      <selection sqref="A1:O1"/>
    </sheetView>
  </sheetViews>
  <sheetFormatPr defaultColWidth="9.140625" defaultRowHeight="15" x14ac:dyDescent="0.25"/>
  <cols>
    <col min="1" max="1" width="11.42578125" style="1" bestFit="1" customWidth="1"/>
    <col min="2" max="2" width="15.28515625" style="1" customWidth="1"/>
    <col min="3" max="15" width="11.42578125" style="1" bestFit="1" customWidth="1"/>
    <col min="16" max="16384" width="9.140625" style="1"/>
  </cols>
  <sheetData>
    <row r="1" spans="1:25" ht="20.25" customHeight="1" x14ac:dyDescent="0.25">
      <c r="A1" s="192" t="s">
        <v>376</v>
      </c>
      <c r="B1" s="192"/>
      <c r="C1" s="192"/>
      <c r="D1" s="192"/>
      <c r="E1" s="192"/>
      <c r="F1" s="192"/>
      <c r="G1" s="192"/>
      <c r="H1" s="192"/>
      <c r="I1" s="192"/>
      <c r="J1" s="192"/>
      <c r="K1" s="192"/>
      <c r="L1" s="192"/>
      <c r="M1" s="192"/>
      <c r="N1" s="192"/>
      <c r="O1" s="192"/>
    </row>
    <row r="2" spans="1:25" ht="0.75" customHeight="1" x14ac:dyDescent="0.25">
      <c r="A2" s="2"/>
    </row>
    <row r="3" spans="1:25" ht="23.25" x14ac:dyDescent="0.25">
      <c r="A3" s="35" t="s">
        <v>157</v>
      </c>
      <c r="B3" s="35" t="s">
        <v>158</v>
      </c>
      <c r="C3" s="3">
        <v>10</v>
      </c>
      <c r="D3" s="3">
        <v>11</v>
      </c>
      <c r="E3" s="3">
        <v>12</v>
      </c>
      <c r="F3" s="3">
        <v>13</v>
      </c>
      <c r="G3" s="3">
        <v>14</v>
      </c>
      <c r="H3" s="3">
        <v>15</v>
      </c>
      <c r="I3" s="3">
        <v>16</v>
      </c>
      <c r="J3" s="3">
        <v>17</v>
      </c>
      <c r="K3" s="49" t="s">
        <v>10</v>
      </c>
      <c r="L3" s="3" t="s">
        <v>11</v>
      </c>
      <c r="M3" s="58" t="s">
        <v>12</v>
      </c>
    </row>
    <row r="4" spans="1:25" ht="15" customHeight="1" x14ac:dyDescent="0.25">
      <c r="A4" s="197" t="s">
        <v>18</v>
      </c>
      <c r="B4" s="37" t="s">
        <v>19</v>
      </c>
      <c r="C4" s="9">
        <v>55</v>
      </c>
      <c r="D4" s="9">
        <v>158</v>
      </c>
      <c r="E4" s="9">
        <v>356</v>
      </c>
      <c r="F4" s="9">
        <v>647</v>
      </c>
      <c r="G4" s="9">
        <v>829</v>
      </c>
      <c r="H4" s="9">
        <v>804</v>
      </c>
      <c r="I4" s="9">
        <v>620</v>
      </c>
      <c r="J4" s="9">
        <v>445</v>
      </c>
      <c r="K4" s="115">
        <v>3914</v>
      </c>
      <c r="L4" s="9">
        <v>131</v>
      </c>
      <c r="M4" s="9">
        <v>4046</v>
      </c>
      <c r="O4" s="153"/>
      <c r="P4" s="153"/>
      <c r="Q4" s="153"/>
      <c r="R4" s="153"/>
      <c r="S4" s="153"/>
      <c r="T4" s="153"/>
      <c r="U4" s="153"/>
      <c r="V4" s="153"/>
      <c r="W4" s="153"/>
      <c r="X4" s="153"/>
      <c r="Y4" s="153"/>
    </row>
    <row r="5" spans="1:25" ht="15" customHeight="1" x14ac:dyDescent="0.25">
      <c r="A5" s="197"/>
      <c r="B5" s="37" t="s">
        <v>20</v>
      </c>
      <c r="C5" s="9">
        <v>7</v>
      </c>
      <c r="D5" s="9">
        <v>23</v>
      </c>
      <c r="E5" s="9">
        <v>93</v>
      </c>
      <c r="F5" s="9">
        <v>281</v>
      </c>
      <c r="G5" s="9">
        <v>571</v>
      </c>
      <c r="H5" s="9">
        <v>777</v>
      </c>
      <c r="I5" s="9">
        <v>684</v>
      </c>
      <c r="J5" s="9">
        <v>606</v>
      </c>
      <c r="K5" s="115">
        <v>3042</v>
      </c>
      <c r="L5" s="9">
        <v>267</v>
      </c>
      <c r="M5" s="9">
        <v>3309</v>
      </c>
      <c r="O5" s="153"/>
      <c r="P5" s="153"/>
      <c r="Q5" s="153"/>
      <c r="R5" s="153"/>
      <c r="S5" s="153"/>
      <c r="T5" s="153"/>
      <c r="U5" s="153"/>
      <c r="V5" s="153"/>
      <c r="W5" s="153"/>
      <c r="X5" s="153"/>
      <c r="Y5" s="153"/>
    </row>
    <row r="6" spans="1:25" ht="15" customHeight="1" x14ac:dyDescent="0.25">
      <c r="A6" s="197"/>
      <c r="B6" s="37" t="s">
        <v>21</v>
      </c>
      <c r="C6" s="39" t="s">
        <v>146</v>
      </c>
      <c r="D6" s="9">
        <v>1</v>
      </c>
      <c r="E6" s="9">
        <v>2</v>
      </c>
      <c r="F6" s="9">
        <v>4</v>
      </c>
      <c r="G6" s="9">
        <v>21</v>
      </c>
      <c r="H6" s="9">
        <v>34</v>
      </c>
      <c r="I6" s="9">
        <v>32</v>
      </c>
      <c r="J6" s="9">
        <v>48</v>
      </c>
      <c r="K6" s="115">
        <v>142</v>
      </c>
      <c r="L6" s="9">
        <v>9</v>
      </c>
      <c r="M6" s="9">
        <v>151</v>
      </c>
      <c r="O6" s="153"/>
      <c r="P6" s="153"/>
      <c r="Q6" s="153"/>
      <c r="R6" s="153"/>
      <c r="S6" s="153"/>
      <c r="T6" s="153"/>
      <c r="U6" s="153"/>
      <c r="V6" s="153"/>
      <c r="W6" s="153"/>
      <c r="X6" s="153"/>
      <c r="Y6" s="153"/>
    </row>
    <row r="7" spans="1:25" ht="15" customHeight="1" x14ac:dyDescent="0.25">
      <c r="A7" s="197"/>
      <c r="B7" s="34" t="s">
        <v>12</v>
      </c>
      <c r="C7" s="102">
        <v>62</v>
      </c>
      <c r="D7" s="102">
        <v>182</v>
      </c>
      <c r="E7" s="102">
        <v>451</v>
      </c>
      <c r="F7" s="102">
        <v>932</v>
      </c>
      <c r="G7" s="102">
        <v>1421</v>
      </c>
      <c r="H7" s="102">
        <v>1615</v>
      </c>
      <c r="I7" s="102">
        <v>1336</v>
      </c>
      <c r="J7" s="102">
        <v>1099</v>
      </c>
      <c r="K7" s="119">
        <v>7098</v>
      </c>
      <c r="L7" s="102">
        <v>407</v>
      </c>
      <c r="M7" s="102">
        <v>7506</v>
      </c>
      <c r="O7" s="153"/>
      <c r="P7" s="153"/>
      <c r="Q7" s="153"/>
      <c r="R7" s="153"/>
      <c r="S7" s="153"/>
      <c r="T7" s="153"/>
      <c r="U7" s="153"/>
      <c r="V7" s="153"/>
      <c r="W7" s="153"/>
      <c r="X7" s="153"/>
      <c r="Y7" s="153"/>
    </row>
    <row r="8" spans="1:25" ht="15" customHeight="1" x14ac:dyDescent="0.25">
      <c r="A8" s="197" t="s">
        <v>22</v>
      </c>
      <c r="B8" s="37" t="s">
        <v>19</v>
      </c>
      <c r="C8" s="9">
        <v>7</v>
      </c>
      <c r="D8" s="9">
        <v>25</v>
      </c>
      <c r="E8" s="9">
        <v>119</v>
      </c>
      <c r="F8" s="9">
        <v>216</v>
      </c>
      <c r="G8" s="9">
        <v>316</v>
      </c>
      <c r="H8" s="9">
        <v>256</v>
      </c>
      <c r="I8" s="9">
        <v>188</v>
      </c>
      <c r="J8" s="9">
        <v>106</v>
      </c>
      <c r="K8" s="115">
        <v>1233</v>
      </c>
      <c r="L8" s="9">
        <v>28</v>
      </c>
      <c r="M8" s="9">
        <v>1261</v>
      </c>
      <c r="O8" s="153"/>
      <c r="P8" s="153"/>
      <c r="Q8" s="153"/>
      <c r="R8" s="153"/>
      <c r="S8" s="153"/>
      <c r="T8" s="153"/>
      <c r="U8" s="153"/>
      <c r="V8" s="153"/>
      <c r="W8" s="153"/>
      <c r="X8" s="153"/>
      <c r="Y8" s="153"/>
    </row>
    <row r="9" spans="1:25" ht="15" customHeight="1" x14ac:dyDescent="0.25">
      <c r="A9" s="197"/>
      <c r="B9" s="37" t="s">
        <v>20</v>
      </c>
      <c r="C9" s="9">
        <v>1</v>
      </c>
      <c r="D9" s="9">
        <v>3</v>
      </c>
      <c r="E9" s="9">
        <v>34</v>
      </c>
      <c r="F9" s="9">
        <v>96</v>
      </c>
      <c r="G9" s="9">
        <v>167</v>
      </c>
      <c r="H9" s="9">
        <v>205</v>
      </c>
      <c r="I9" s="9">
        <v>113</v>
      </c>
      <c r="J9" s="9">
        <v>123</v>
      </c>
      <c r="K9" s="115">
        <v>742</v>
      </c>
      <c r="L9" s="9">
        <v>27</v>
      </c>
      <c r="M9" s="9">
        <v>769</v>
      </c>
      <c r="O9" s="153"/>
      <c r="P9" s="153"/>
      <c r="Q9" s="153"/>
      <c r="R9" s="153"/>
      <c r="S9" s="153"/>
      <c r="T9" s="153"/>
      <c r="U9" s="153"/>
      <c r="V9" s="153"/>
      <c r="W9" s="153"/>
      <c r="X9" s="153"/>
      <c r="Y9" s="153"/>
    </row>
    <row r="10" spans="1:25" ht="15" customHeight="1" x14ac:dyDescent="0.25">
      <c r="A10" s="197"/>
      <c r="B10" s="37" t="s">
        <v>21</v>
      </c>
      <c r="C10" s="39" t="s">
        <v>146</v>
      </c>
      <c r="D10" s="39" t="s">
        <v>146</v>
      </c>
      <c r="E10" s="9">
        <v>4</v>
      </c>
      <c r="F10" s="9">
        <v>3</v>
      </c>
      <c r="G10" s="9">
        <v>5</v>
      </c>
      <c r="H10" s="9">
        <v>5</v>
      </c>
      <c r="I10" s="9">
        <v>10</v>
      </c>
      <c r="J10" s="9">
        <v>2</v>
      </c>
      <c r="K10" s="115">
        <v>29</v>
      </c>
      <c r="L10" s="9">
        <v>1</v>
      </c>
      <c r="M10" s="9">
        <v>30</v>
      </c>
      <c r="O10" s="153"/>
      <c r="P10" s="153"/>
      <c r="Q10" s="153"/>
      <c r="R10" s="153"/>
      <c r="S10" s="153"/>
      <c r="T10" s="153"/>
      <c r="U10" s="153"/>
      <c r="V10" s="153"/>
      <c r="W10" s="153"/>
      <c r="X10" s="153"/>
      <c r="Y10" s="153"/>
    </row>
    <row r="11" spans="1:25" ht="15" customHeight="1" x14ac:dyDescent="0.25">
      <c r="A11" s="197"/>
      <c r="B11" s="34" t="s">
        <v>12</v>
      </c>
      <c r="C11" s="102">
        <v>8</v>
      </c>
      <c r="D11" s="102">
        <v>28</v>
      </c>
      <c r="E11" s="102">
        <v>157</v>
      </c>
      <c r="F11" s="102">
        <v>315</v>
      </c>
      <c r="G11" s="102">
        <v>488</v>
      </c>
      <c r="H11" s="102">
        <v>466</v>
      </c>
      <c r="I11" s="102">
        <v>311</v>
      </c>
      <c r="J11" s="102">
        <v>231</v>
      </c>
      <c r="K11" s="119">
        <v>2004</v>
      </c>
      <c r="L11" s="102">
        <v>56</v>
      </c>
      <c r="M11" s="102">
        <v>2060</v>
      </c>
      <c r="O11" s="153"/>
      <c r="P11" s="153"/>
      <c r="Q11" s="153"/>
      <c r="R11" s="153"/>
      <c r="S11" s="153"/>
      <c r="T11" s="153"/>
      <c r="U11" s="153"/>
      <c r="V11" s="153"/>
      <c r="W11" s="153"/>
      <c r="X11" s="153"/>
      <c r="Y11" s="153"/>
    </row>
    <row r="12" spans="1:25" ht="15" customHeight="1" x14ac:dyDescent="0.25">
      <c r="A12" s="202" t="s">
        <v>21</v>
      </c>
      <c r="B12" s="37" t="s">
        <v>19</v>
      </c>
      <c r="C12" s="39" t="s">
        <v>146</v>
      </c>
      <c r="D12" s="39" t="s">
        <v>146</v>
      </c>
      <c r="E12" s="39" t="s">
        <v>146</v>
      </c>
      <c r="F12" s="39" t="s">
        <v>146</v>
      </c>
      <c r="G12" s="39" t="s">
        <v>146</v>
      </c>
      <c r="H12" s="39">
        <v>1</v>
      </c>
      <c r="I12" s="9">
        <v>2</v>
      </c>
      <c r="J12" s="39" t="s">
        <v>146</v>
      </c>
      <c r="K12" s="115">
        <v>3</v>
      </c>
      <c r="L12" s="39" t="s">
        <v>146</v>
      </c>
      <c r="M12" s="9">
        <v>3</v>
      </c>
      <c r="O12" s="153"/>
      <c r="P12" s="153"/>
      <c r="Q12" s="153"/>
      <c r="R12" s="153"/>
      <c r="S12" s="153"/>
      <c r="T12" s="153"/>
      <c r="U12" s="153"/>
      <c r="V12" s="153"/>
      <c r="W12" s="153"/>
      <c r="X12" s="153"/>
      <c r="Y12" s="153"/>
    </row>
    <row r="13" spans="1:25" ht="15" customHeight="1" x14ac:dyDescent="0.25">
      <c r="A13" s="202"/>
      <c r="B13" s="37" t="s">
        <v>20</v>
      </c>
      <c r="C13" s="39" t="s">
        <v>146</v>
      </c>
      <c r="D13" s="39" t="s">
        <v>146</v>
      </c>
      <c r="E13" s="39" t="s">
        <v>146</v>
      </c>
      <c r="F13" s="9">
        <v>1</v>
      </c>
      <c r="G13" s="39" t="s">
        <v>146</v>
      </c>
      <c r="H13" s="39" t="s">
        <v>146</v>
      </c>
      <c r="I13" s="39">
        <v>1</v>
      </c>
      <c r="J13" s="9">
        <v>4</v>
      </c>
      <c r="K13" s="115">
        <v>6</v>
      </c>
      <c r="L13" s="39" t="s">
        <v>146</v>
      </c>
      <c r="M13" s="9">
        <v>6</v>
      </c>
      <c r="O13" s="153"/>
      <c r="P13" s="153"/>
      <c r="Q13" s="153"/>
      <c r="R13" s="153"/>
      <c r="S13" s="153"/>
      <c r="T13" s="153"/>
      <c r="U13" s="153"/>
      <c r="V13" s="153"/>
      <c r="W13" s="153"/>
      <c r="X13" s="153"/>
      <c r="Y13" s="153"/>
    </row>
    <row r="14" spans="1:25" ht="15" customHeight="1" x14ac:dyDescent="0.25">
      <c r="A14" s="202"/>
      <c r="B14" s="37" t="s">
        <v>21</v>
      </c>
      <c r="C14" s="39" t="s">
        <v>146</v>
      </c>
      <c r="D14" s="39">
        <v>1</v>
      </c>
      <c r="E14" s="39" t="s">
        <v>146</v>
      </c>
      <c r="F14" s="39" t="s">
        <v>146</v>
      </c>
      <c r="G14" s="39" t="s">
        <v>146</v>
      </c>
      <c r="H14" s="39">
        <v>1</v>
      </c>
      <c r="I14" s="9">
        <v>1</v>
      </c>
      <c r="J14" s="9">
        <v>1</v>
      </c>
      <c r="K14" s="115">
        <v>4</v>
      </c>
      <c r="L14" s="39" t="s">
        <v>146</v>
      </c>
      <c r="M14" s="9">
        <v>4</v>
      </c>
      <c r="O14" s="153"/>
      <c r="P14" s="153"/>
      <c r="Q14" s="153"/>
      <c r="R14" s="153"/>
      <c r="S14" s="153"/>
      <c r="T14" s="153"/>
      <c r="U14" s="153"/>
      <c r="V14" s="153"/>
      <c r="W14" s="153"/>
      <c r="X14" s="153"/>
      <c r="Y14" s="153"/>
    </row>
    <row r="15" spans="1:25" ht="15" customHeight="1" x14ac:dyDescent="0.25">
      <c r="A15" s="202"/>
      <c r="B15" s="34" t="s">
        <v>12</v>
      </c>
      <c r="C15" s="102" t="s">
        <v>146</v>
      </c>
      <c r="D15" s="102">
        <v>1</v>
      </c>
      <c r="E15" s="39" t="s">
        <v>146</v>
      </c>
      <c r="F15" s="102">
        <v>1</v>
      </c>
      <c r="G15" s="39" t="s">
        <v>146</v>
      </c>
      <c r="H15" s="102">
        <v>2</v>
      </c>
      <c r="I15" s="102">
        <v>4</v>
      </c>
      <c r="J15" s="102">
        <v>5</v>
      </c>
      <c r="K15" s="119">
        <v>13</v>
      </c>
      <c r="L15" s="39" t="s">
        <v>146</v>
      </c>
      <c r="M15" s="102">
        <v>13</v>
      </c>
      <c r="O15" s="153"/>
      <c r="P15" s="153"/>
      <c r="Q15" s="153"/>
      <c r="R15" s="153"/>
      <c r="S15" s="153"/>
      <c r="T15" s="153"/>
      <c r="U15" s="153"/>
      <c r="V15" s="153"/>
      <c r="W15" s="153"/>
      <c r="X15" s="153"/>
      <c r="Y15" s="153"/>
    </row>
    <row r="16" spans="1:25" ht="15" customHeight="1" x14ac:dyDescent="0.25">
      <c r="A16" s="202" t="s">
        <v>12</v>
      </c>
      <c r="B16" s="37" t="s">
        <v>19</v>
      </c>
      <c r="C16" s="9">
        <v>62</v>
      </c>
      <c r="D16" s="9">
        <v>183</v>
      </c>
      <c r="E16" s="9">
        <v>475</v>
      </c>
      <c r="F16" s="9">
        <v>863</v>
      </c>
      <c r="G16" s="9">
        <v>1145</v>
      </c>
      <c r="H16" s="9">
        <v>1061</v>
      </c>
      <c r="I16" s="9">
        <v>810</v>
      </c>
      <c r="J16" s="9">
        <v>551</v>
      </c>
      <c r="K16" s="115">
        <v>5150</v>
      </c>
      <c r="L16" s="9">
        <v>159</v>
      </c>
      <c r="M16" s="9">
        <v>5310</v>
      </c>
      <c r="O16" s="153"/>
      <c r="P16" s="153"/>
      <c r="Q16" s="153"/>
      <c r="R16" s="153"/>
      <c r="S16" s="153"/>
      <c r="T16" s="153"/>
      <c r="U16" s="153"/>
      <c r="V16" s="153"/>
      <c r="W16" s="153"/>
      <c r="X16" s="153"/>
      <c r="Y16" s="153"/>
    </row>
    <row r="17" spans="1:25" ht="15" customHeight="1" x14ac:dyDescent="0.25">
      <c r="A17" s="202"/>
      <c r="B17" s="37" t="s">
        <v>20</v>
      </c>
      <c r="C17" s="9">
        <v>8</v>
      </c>
      <c r="D17" s="9">
        <v>26</v>
      </c>
      <c r="E17" s="9">
        <v>127</v>
      </c>
      <c r="F17" s="9">
        <v>378</v>
      </c>
      <c r="G17" s="9">
        <v>738</v>
      </c>
      <c r="H17" s="9">
        <v>982</v>
      </c>
      <c r="I17" s="9">
        <v>798</v>
      </c>
      <c r="J17" s="9">
        <v>733</v>
      </c>
      <c r="K17" s="115">
        <v>3790</v>
      </c>
      <c r="L17" s="9">
        <v>294</v>
      </c>
      <c r="M17" s="9">
        <v>4084</v>
      </c>
      <c r="O17" s="153"/>
      <c r="P17" s="153"/>
      <c r="Q17" s="153"/>
      <c r="R17" s="153"/>
      <c r="S17" s="153"/>
      <c r="T17" s="153"/>
      <c r="U17" s="153"/>
      <c r="V17" s="153"/>
      <c r="W17" s="153"/>
      <c r="X17" s="153"/>
      <c r="Y17" s="153"/>
    </row>
    <row r="18" spans="1:25" ht="15" customHeight="1" x14ac:dyDescent="0.25">
      <c r="A18" s="202"/>
      <c r="B18" s="37" t="s">
        <v>21</v>
      </c>
      <c r="C18" s="39" t="s">
        <v>146</v>
      </c>
      <c r="D18" s="9">
        <v>2</v>
      </c>
      <c r="E18" s="9">
        <v>6</v>
      </c>
      <c r="F18" s="9">
        <v>7</v>
      </c>
      <c r="G18" s="9">
        <v>26</v>
      </c>
      <c r="H18" s="9">
        <v>40</v>
      </c>
      <c r="I18" s="9">
        <v>43</v>
      </c>
      <c r="J18" s="9">
        <v>51</v>
      </c>
      <c r="K18" s="115">
        <v>175</v>
      </c>
      <c r="L18" s="9">
        <v>10</v>
      </c>
      <c r="M18" s="9">
        <v>185</v>
      </c>
      <c r="O18" s="153"/>
      <c r="P18" s="153"/>
      <c r="Q18" s="153"/>
      <c r="R18" s="153"/>
      <c r="S18" s="153"/>
      <c r="T18" s="153"/>
      <c r="U18" s="153"/>
      <c r="V18" s="153"/>
      <c r="W18" s="153"/>
      <c r="X18" s="153"/>
      <c r="Y18" s="153"/>
    </row>
    <row r="19" spans="1:25" ht="15" customHeight="1" x14ac:dyDescent="0.25">
      <c r="A19" s="202"/>
      <c r="B19" s="34" t="s">
        <v>12</v>
      </c>
      <c r="C19" s="102">
        <v>70</v>
      </c>
      <c r="D19" s="102">
        <v>211</v>
      </c>
      <c r="E19" s="102">
        <v>608</v>
      </c>
      <c r="F19" s="102">
        <v>1248</v>
      </c>
      <c r="G19" s="102">
        <v>1909</v>
      </c>
      <c r="H19" s="102">
        <v>2083</v>
      </c>
      <c r="I19" s="102">
        <v>1651</v>
      </c>
      <c r="J19" s="102">
        <v>1335</v>
      </c>
      <c r="K19" s="119">
        <v>9115</v>
      </c>
      <c r="L19" s="102">
        <v>463</v>
      </c>
      <c r="M19" s="102">
        <v>9579</v>
      </c>
      <c r="O19" s="153"/>
      <c r="P19" s="153"/>
      <c r="Q19" s="153"/>
      <c r="R19" s="153"/>
      <c r="S19" s="153"/>
      <c r="T19" s="153"/>
      <c r="U19" s="153"/>
      <c r="V19" s="153"/>
      <c r="W19" s="153"/>
      <c r="X19" s="153"/>
      <c r="Y19" s="153"/>
    </row>
    <row r="20" spans="1:25" ht="1.5" customHeight="1" x14ac:dyDescent="0.25">
      <c r="A20" s="51"/>
      <c r="B20" s="51"/>
      <c r="C20" s="54" t="s">
        <v>349</v>
      </c>
      <c r="D20" s="54" t="s">
        <v>349</v>
      </c>
      <c r="E20" s="54" t="s">
        <v>349</v>
      </c>
      <c r="F20" s="54" t="s">
        <v>349</v>
      </c>
      <c r="G20" s="54" t="s">
        <v>349</v>
      </c>
      <c r="H20" s="54" t="s">
        <v>349</v>
      </c>
      <c r="I20" s="54" t="s">
        <v>349</v>
      </c>
      <c r="J20" s="54" t="s">
        <v>349</v>
      </c>
      <c r="K20" s="53" t="s">
        <v>349</v>
      </c>
      <c r="L20" s="54" t="s">
        <v>349</v>
      </c>
      <c r="M20" s="59" t="s">
        <v>349</v>
      </c>
    </row>
    <row r="21" spans="1:25" ht="11.1" customHeight="1" x14ac:dyDescent="0.25">
      <c r="A21" s="193" t="s">
        <v>23</v>
      </c>
      <c r="B21" s="193"/>
      <c r="C21" s="193"/>
      <c r="D21" s="193"/>
      <c r="E21" s="193"/>
      <c r="F21" s="193"/>
      <c r="G21" s="193"/>
      <c r="H21" s="193"/>
      <c r="I21" s="193"/>
      <c r="J21" s="193"/>
      <c r="K21" s="193"/>
      <c r="L21" s="193"/>
      <c r="M21" s="193"/>
      <c r="N21" s="193"/>
      <c r="O21" s="193"/>
    </row>
    <row r="22" spans="1:25" s="7" customFormat="1" ht="11.1" customHeight="1" x14ac:dyDescent="0.15">
      <c r="A22" s="7" t="s">
        <v>46</v>
      </c>
    </row>
    <row r="23" spans="1:25" s="7" customFormat="1" ht="11.1" customHeight="1" x14ac:dyDescent="0.15">
      <c r="A23" s="7" t="s">
        <v>47</v>
      </c>
    </row>
    <row r="24" spans="1:25" s="7" customFormat="1" ht="11.1" customHeight="1" x14ac:dyDescent="0.15">
      <c r="A24" s="7" t="s">
        <v>15</v>
      </c>
    </row>
    <row r="25" spans="1:25" s="7" customFormat="1" ht="11.1" customHeight="1" x14ac:dyDescent="0.15">
      <c r="A25" s="7" t="s">
        <v>347</v>
      </c>
    </row>
    <row r="26" spans="1:25" ht="12" customHeight="1" x14ac:dyDescent="0.25">
      <c r="A26" s="2"/>
      <c r="O26" s="123"/>
      <c r="P26" s="123"/>
    </row>
    <row r="27" spans="1:25" x14ac:dyDescent="0.25">
      <c r="C27" s="123"/>
      <c r="O27" s="123"/>
      <c r="P27" s="123"/>
    </row>
    <row r="28" spans="1:25" x14ac:dyDescent="0.25">
      <c r="C28" s="122"/>
      <c r="O28" s="123"/>
      <c r="P28" s="123"/>
    </row>
    <row r="29" spans="1:25" x14ac:dyDescent="0.25">
      <c r="O29" s="123"/>
      <c r="P29" s="123"/>
    </row>
    <row r="30" spans="1:25" x14ac:dyDescent="0.25">
      <c r="C30" s="123"/>
      <c r="O30" s="123"/>
      <c r="P30" s="123"/>
    </row>
    <row r="31" spans="1:25" x14ac:dyDescent="0.25">
      <c r="C31" s="122"/>
      <c r="H31" s="39"/>
      <c r="J31" s="123"/>
      <c r="O31" s="123"/>
      <c r="P31" s="123"/>
    </row>
    <row r="32" spans="1:25" x14ac:dyDescent="0.25">
      <c r="O32" s="123"/>
      <c r="P32" s="123"/>
    </row>
    <row r="33" spans="15:16" x14ac:dyDescent="0.25">
      <c r="O33" s="123"/>
      <c r="P33" s="123"/>
    </row>
    <row r="34" spans="15:16" x14ac:dyDescent="0.25">
      <c r="O34" s="123"/>
      <c r="P34" s="123"/>
    </row>
    <row r="35" spans="15:16" x14ac:dyDescent="0.25">
      <c r="O35" s="123"/>
      <c r="P35" s="123"/>
    </row>
    <row r="36" spans="15:16" x14ac:dyDescent="0.25">
      <c r="O36" s="123"/>
      <c r="P36" s="123"/>
    </row>
    <row r="37" spans="15:16" x14ac:dyDescent="0.25">
      <c r="O37" s="123"/>
      <c r="P37" s="123"/>
    </row>
    <row r="38" spans="15:16" x14ac:dyDescent="0.25">
      <c r="O38" s="123"/>
      <c r="P38" s="123"/>
    </row>
    <row r="39" spans="15:16" x14ac:dyDescent="0.25">
      <c r="O39" s="123"/>
      <c r="P39" s="123"/>
    </row>
    <row r="40" spans="15:16" x14ac:dyDescent="0.25">
      <c r="O40" s="123"/>
      <c r="P40" s="123"/>
    </row>
    <row r="41" spans="15:16" x14ac:dyDescent="0.25">
      <c r="O41" s="123"/>
      <c r="P41" s="123"/>
    </row>
    <row r="42" spans="15:16" x14ac:dyDescent="0.25">
      <c r="O42" s="123"/>
      <c r="P42" s="123"/>
    </row>
    <row r="43" spans="15:16" x14ac:dyDescent="0.25">
      <c r="O43" s="123"/>
      <c r="P43" s="123"/>
    </row>
    <row r="44" spans="15:16" x14ac:dyDescent="0.25">
      <c r="O44" s="123"/>
      <c r="P44" s="123"/>
    </row>
  </sheetData>
  <mergeCells count="6">
    <mergeCell ref="A21:O21"/>
    <mergeCell ref="A1:O1"/>
    <mergeCell ref="A4:A7"/>
    <mergeCell ref="A8:A11"/>
    <mergeCell ref="A12:A15"/>
    <mergeCell ref="A16:A19"/>
  </mergeCells>
  <pageMargins left="0.08" right="0.08" top="1" bottom="1" header="0.5" footer="0.5"/>
  <pageSetup orientation="landscape" blackAndWhite="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33"/>
  <sheetViews>
    <sheetView zoomScaleNormal="100" workbookViewId="0">
      <selection sqref="A1:M1"/>
    </sheetView>
  </sheetViews>
  <sheetFormatPr defaultColWidth="9.140625" defaultRowHeight="15" x14ac:dyDescent="0.25"/>
  <cols>
    <col min="1" max="1" width="18.140625" style="1" customWidth="1"/>
    <col min="2" max="13" width="11.42578125" style="1" bestFit="1" customWidth="1"/>
    <col min="14" max="16384" width="9.140625" style="1"/>
  </cols>
  <sheetData>
    <row r="1" spans="1:21" ht="21" customHeight="1" x14ac:dyDescent="0.25">
      <c r="A1" s="192" t="s">
        <v>288</v>
      </c>
      <c r="B1" s="192"/>
      <c r="C1" s="192"/>
      <c r="D1" s="192"/>
      <c r="E1" s="192"/>
      <c r="F1" s="192"/>
      <c r="G1" s="192"/>
      <c r="H1" s="192"/>
      <c r="I1" s="192"/>
      <c r="J1" s="192"/>
      <c r="K1" s="192"/>
      <c r="L1" s="192"/>
      <c r="M1" s="192"/>
    </row>
    <row r="2" spans="1:21" ht="2.25" customHeight="1" x14ac:dyDescent="0.25">
      <c r="A2" s="2"/>
    </row>
    <row r="3" spans="1:21" ht="15.75" customHeight="1" x14ac:dyDescent="0.25">
      <c r="A3" s="35" t="s">
        <v>158</v>
      </c>
      <c r="B3" s="35" t="s">
        <v>162</v>
      </c>
      <c r="C3" s="3" t="s">
        <v>1</v>
      </c>
      <c r="D3" s="3" t="s">
        <v>2</v>
      </c>
      <c r="E3" s="3" t="s">
        <v>3</v>
      </c>
      <c r="F3" s="3" t="s">
        <v>4</v>
      </c>
      <c r="G3" s="3" t="s">
        <v>5</v>
      </c>
      <c r="H3" s="3" t="s">
        <v>6</v>
      </c>
      <c r="I3" s="3" t="s">
        <v>7</v>
      </c>
      <c r="J3" s="3" t="s">
        <v>8</v>
      </c>
      <c r="K3" s="11" t="s">
        <v>9</v>
      </c>
    </row>
    <row r="4" spans="1:21" x14ac:dyDescent="0.25">
      <c r="A4" s="197" t="s">
        <v>19</v>
      </c>
      <c r="B4" s="4" t="s">
        <v>221</v>
      </c>
      <c r="C4" s="9">
        <v>277</v>
      </c>
      <c r="D4" s="9">
        <v>25</v>
      </c>
      <c r="E4" s="9">
        <v>553</v>
      </c>
      <c r="F4" s="9" t="s">
        <v>153</v>
      </c>
      <c r="G4" s="9">
        <v>103</v>
      </c>
      <c r="H4" s="9">
        <v>16</v>
      </c>
      <c r="I4" s="9" t="s">
        <v>153</v>
      </c>
      <c r="J4" s="9">
        <v>219</v>
      </c>
      <c r="K4" s="9">
        <v>1583</v>
      </c>
      <c r="M4" s="153"/>
      <c r="N4" s="153"/>
      <c r="O4" s="153"/>
      <c r="P4" s="153"/>
      <c r="Q4" s="153"/>
      <c r="R4" s="153"/>
      <c r="S4" s="153"/>
      <c r="T4" s="153"/>
      <c r="U4" s="153"/>
    </row>
    <row r="5" spans="1:21" x14ac:dyDescent="0.25">
      <c r="A5" s="197"/>
      <c r="B5" s="4" t="s">
        <v>222</v>
      </c>
      <c r="C5" s="9">
        <v>957</v>
      </c>
      <c r="D5" s="9">
        <v>136</v>
      </c>
      <c r="E5" s="9">
        <v>1023</v>
      </c>
      <c r="F5" s="9">
        <v>491</v>
      </c>
      <c r="G5" s="9">
        <v>212</v>
      </c>
      <c r="H5" s="9">
        <v>73</v>
      </c>
      <c r="I5" s="9">
        <v>37</v>
      </c>
      <c r="J5" s="9">
        <v>638</v>
      </c>
      <c r="K5" s="9">
        <v>3567</v>
      </c>
      <c r="M5" s="153"/>
      <c r="N5" s="153"/>
      <c r="O5" s="153"/>
      <c r="P5" s="153"/>
      <c r="Q5" s="153"/>
      <c r="R5" s="153"/>
      <c r="S5" s="153"/>
      <c r="T5" s="153"/>
      <c r="U5" s="153"/>
    </row>
    <row r="6" spans="1:21" x14ac:dyDescent="0.25">
      <c r="A6" s="197"/>
      <c r="B6" s="4" t="s">
        <v>33</v>
      </c>
      <c r="C6" s="9">
        <v>5</v>
      </c>
      <c r="D6" s="9">
        <v>37</v>
      </c>
      <c r="E6" s="9">
        <v>28</v>
      </c>
      <c r="F6" s="9" t="s">
        <v>153</v>
      </c>
      <c r="G6" s="9">
        <v>4</v>
      </c>
      <c r="H6" s="9">
        <v>6</v>
      </c>
      <c r="I6" s="9" t="s">
        <v>153</v>
      </c>
      <c r="J6" s="9">
        <v>77</v>
      </c>
      <c r="K6" s="9">
        <v>159</v>
      </c>
      <c r="M6" s="153"/>
      <c r="N6" s="153"/>
      <c r="O6" s="153"/>
      <c r="P6" s="153"/>
      <c r="Q6" s="153"/>
      <c r="R6" s="153"/>
      <c r="S6" s="153"/>
      <c r="T6" s="153"/>
      <c r="U6" s="153"/>
    </row>
    <row r="7" spans="1:21" x14ac:dyDescent="0.25">
      <c r="A7" s="197"/>
      <c r="B7" s="10" t="s">
        <v>12</v>
      </c>
      <c r="C7" s="102">
        <v>1239</v>
      </c>
      <c r="D7" s="102">
        <v>198</v>
      </c>
      <c r="E7" s="102">
        <v>1604</v>
      </c>
      <c r="F7" s="102">
        <v>867</v>
      </c>
      <c r="G7" s="102">
        <v>319</v>
      </c>
      <c r="H7" s="102">
        <v>95</v>
      </c>
      <c r="I7" s="102">
        <v>54</v>
      </c>
      <c r="J7" s="102">
        <v>934</v>
      </c>
      <c r="K7" s="102">
        <v>5310</v>
      </c>
      <c r="M7" s="153"/>
      <c r="N7" s="153"/>
      <c r="O7" s="153"/>
      <c r="P7" s="153"/>
      <c r="Q7" s="153"/>
      <c r="R7" s="153"/>
      <c r="S7" s="153"/>
      <c r="T7" s="153"/>
      <c r="U7" s="153"/>
    </row>
    <row r="8" spans="1:21" x14ac:dyDescent="0.25">
      <c r="A8" s="197" t="s">
        <v>20</v>
      </c>
      <c r="B8" s="4" t="s">
        <v>221</v>
      </c>
      <c r="C8" s="9">
        <v>160</v>
      </c>
      <c r="D8" s="9">
        <v>49</v>
      </c>
      <c r="E8" s="9">
        <v>154</v>
      </c>
      <c r="F8" s="9" t="s">
        <v>153</v>
      </c>
      <c r="G8" s="9">
        <v>43</v>
      </c>
      <c r="H8" s="9">
        <v>26</v>
      </c>
      <c r="I8" s="9" t="s">
        <v>153</v>
      </c>
      <c r="J8" s="9">
        <v>4</v>
      </c>
      <c r="K8" s="9">
        <v>539</v>
      </c>
      <c r="M8" s="153"/>
      <c r="N8" s="153"/>
      <c r="O8" s="153"/>
      <c r="P8" s="153"/>
      <c r="Q8" s="153"/>
      <c r="R8" s="153"/>
      <c r="S8" s="153"/>
      <c r="T8" s="153"/>
      <c r="U8" s="153"/>
    </row>
    <row r="9" spans="1:21" x14ac:dyDescent="0.25">
      <c r="A9" s="197"/>
      <c r="B9" s="4" t="s">
        <v>222</v>
      </c>
      <c r="C9" s="9">
        <v>931</v>
      </c>
      <c r="D9" s="9">
        <v>626</v>
      </c>
      <c r="E9" s="9">
        <v>724</v>
      </c>
      <c r="F9" s="9">
        <v>490</v>
      </c>
      <c r="G9" s="9">
        <v>218</v>
      </c>
      <c r="H9" s="9">
        <v>129</v>
      </c>
      <c r="I9" s="9">
        <v>101</v>
      </c>
      <c r="J9" s="9">
        <v>32</v>
      </c>
      <c r="K9" s="9">
        <v>3251</v>
      </c>
      <c r="M9" s="153"/>
      <c r="N9" s="153"/>
      <c r="O9" s="153"/>
      <c r="P9" s="153"/>
      <c r="Q9" s="153"/>
      <c r="R9" s="153"/>
      <c r="S9" s="153"/>
      <c r="T9" s="153"/>
      <c r="U9" s="153"/>
    </row>
    <row r="10" spans="1:21" x14ac:dyDescent="0.25">
      <c r="A10" s="197"/>
      <c r="B10" s="4" t="s">
        <v>33</v>
      </c>
      <c r="C10" s="9">
        <v>10</v>
      </c>
      <c r="D10" s="9">
        <v>177</v>
      </c>
      <c r="E10" s="9">
        <v>66</v>
      </c>
      <c r="F10" s="9" t="s">
        <v>153</v>
      </c>
      <c r="G10" s="9">
        <v>20</v>
      </c>
      <c r="H10" s="9">
        <v>10</v>
      </c>
      <c r="I10" s="9" t="s">
        <v>153</v>
      </c>
      <c r="J10" s="9">
        <v>9</v>
      </c>
      <c r="K10" s="9">
        <v>294</v>
      </c>
      <c r="M10" s="153"/>
      <c r="N10" s="153"/>
      <c r="O10" s="153"/>
      <c r="P10" s="153"/>
      <c r="Q10" s="153"/>
      <c r="R10" s="153"/>
      <c r="S10" s="153"/>
      <c r="T10" s="153"/>
      <c r="U10" s="153"/>
    </row>
    <row r="11" spans="1:21" x14ac:dyDescent="0.25">
      <c r="A11" s="197"/>
      <c r="B11" s="10" t="s">
        <v>12</v>
      </c>
      <c r="C11" s="102">
        <v>1101</v>
      </c>
      <c r="D11" s="102">
        <v>852</v>
      </c>
      <c r="E11" s="102">
        <v>944</v>
      </c>
      <c r="F11" s="102">
        <v>574</v>
      </c>
      <c r="G11" s="102">
        <v>281</v>
      </c>
      <c r="H11" s="102">
        <v>165</v>
      </c>
      <c r="I11" s="102">
        <v>122</v>
      </c>
      <c r="J11" s="102">
        <v>45</v>
      </c>
      <c r="K11" s="102">
        <v>4084</v>
      </c>
      <c r="M11" s="153"/>
      <c r="N11" s="153"/>
      <c r="O11" s="153"/>
      <c r="P11" s="153"/>
      <c r="Q11" s="153"/>
      <c r="R11" s="153"/>
      <c r="S11" s="153"/>
      <c r="T11" s="153"/>
      <c r="U11" s="153"/>
    </row>
    <row r="12" spans="1:21" x14ac:dyDescent="0.25">
      <c r="A12" s="197" t="s">
        <v>21</v>
      </c>
      <c r="B12" s="4" t="s">
        <v>221</v>
      </c>
      <c r="C12" s="9">
        <v>9</v>
      </c>
      <c r="D12" s="36" t="s">
        <v>146</v>
      </c>
      <c r="E12" s="9" t="s">
        <v>146</v>
      </c>
      <c r="F12" s="36" t="s">
        <v>146</v>
      </c>
      <c r="G12" s="9" t="s">
        <v>146</v>
      </c>
      <c r="H12" s="36">
        <v>1</v>
      </c>
      <c r="I12" s="9" t="s">
        <v>146</v>
      </c>
      <c r="J12" s="9">
        <v>5</v>
      </c>
      <c r="K12" s="9">
        <v>15</v>
      </c>
      <c r="M12" s="153"/>
      <c r="N12" s="153"/>
      <c r="O12" s="153"/>
      <c r="P12" s="153"/>
      <c r="Q12" s="153"/>
      <c r="R12" s="153"/>
      <c r="S12" s="153"/>
      <c r="T12" s="153"/>
      <c r="U12" s="153"/>
    </row>
    <row r="13" spans="1:21" x14ac:dyDescent="0.25">
      <c r="A13" s="197"/>
      <c r="B13" s="4" t="s">
        <v>222</v>
      </c>
      <c r="C13" s="9">
        <v>106</v>
      </c>
      <c r="D13" s="36">
        <v>4</v>
      </c>
      <c r="E13" s="9">
        <v>14</v>
      </c>
      <c r="F13" s="36" t="s">
        <v>146</v>
      </c>
      <c r="G13" s="9">
        <v>9</v>
      </c>
      <c r="H13" s="9">
        <v>4</v>
      </c>
      <c r="I13" s="9" t="s">
        <v>146</v>
      </c>
      <c r="J13" s="9">
        <v>23</v>
      </c>
      <c r="K13" s="9">
        <v>160</v>
      </c>
      <c r="M13" s="153"/>
      <c r="N13" s="153"/>
      <c r="O13" s="153"/>
      <c r="P13" s="153"/>
      <c r="Q13" s="153"/>
      <c r="R13" s="153"/>
      <c r="S13" s="153"/>
      <c r="T13" s="153"/>
      <c r="U13" s="153"/>
    </row>
    <row r="14" spans="1:21" x14ac:dyDescent="0.25">
      <c r="A14" s="197"/>
      <c r="B14" s="4" t="s">
        <v>33</v>
      </c>
      <c r="C14" s="9">
        <v>1</v>
      </c>
      <c r="D14" s="9" t="s">
        <v>146</v>
      </c>
      <c r="E14" s="9">
        <v>1</v>
      </c>
      <c r="F14" s="36" t="s">
        <v>146</v>
      </c>
      <c r="G14" s="9" t="s">
        <v>146</v>
      </c>
      <c r="H14" s="9">
        <v>1</v>
      </c>
      <c r="I14" s="36" t="s">
        <v>146</v>
      </c>
      <c r="J14" s="9">
        <v>7</v>
      </c>
      <c r="K14" s="9">
        <v>10</v>
      </c>
      <c r="M14" s="153"/>
      <c r="N14" s="153"/>
      <c r="O14" s="153"/>
      <c r="P14" s="153"/>
      <c r="Q14" s="153"/>
      <c r="R14" s="153"/>
      <c r="S14" s="153"/>
      <c r="T14" s="153"/>
      <c r="U14" s="153"/>
    </row>
    <row r="15" spans="1:21" x14ac:dyDescent="0.25">
      <c r="A15" s="197"/>
      <c r="B15" s="10" t="s">
        <v>12</v>
      </c>
      <c r="C15" s="102">
        <v>116</v>
      </c>
      <c r="D15" s="102">
        <v>4</v>
      </c>
      <c r="E15" s="102">
        <v>15</v>
      </c>
      <c r="F15" s="36" t="s">
        <v>146</v>
      </c>
      <c r="G15" s="102">
        <v>9</v>
      </c>
      <c r="H15" s="102">
        <v>6</v>
      </c>
      <c r="I15" s="102" t="s">
        <v>146</v>
      </c>
      <c r="J15" s="102">
        <v>35</v>
      </c>
      <c r="K15" s="102">
        <v>185</v>
      </c>
      <c r="M15" s="153"/>
      <c r="N15" s="153"/>
      <c r="O15" s="153"/>
      <c r="P15" s="153"/>
      <c r="Q15" s="153"/>
      <c r="R15" s="153"/>
      <c r="S15" s="153"/>
      <c r="T15" s="153"/>
      <c r="U15" s="153"/>
    </row>
    <row r="16" spans="1:21" x14ac:dyDescent="0.25">
      <c r="A16" s="195" t="s">
        <v>12</v>
      </c>
      <c r="B16" s="4" t="s">
        <v>221</v>
      </c>
      <c r="C16" s="9">
        <v>446</v>
      </c>
      <c r="D16" s="9">
        <v>74</v>
      </c>
      <c r="E16" s="9">
        <v>707</v>
      </c>
      <c r="F16" s="9">
        <v>457</v>
      </c>
      <c r="G16" s="9">
        <v>146</v>
      </c>
      <c r="H16" s="9">
        <v>43</v>
      </c>
      <c r="I16" s="9" t="s">
        <v>153</v>
      </c>
      <c r="J16" s="9">
        <v>228</v>
      </c>
      <c r="K16" s="9">
        <v>2137</v>
      </c>
      <c r="L16" s="89"/>
      <c r="M16" s="153"/>
      <c r="N16" s="153"/>
      <c r="O16" s="153"/>
      <c r="P16" s="153"/>
      <c r="Q16" s="153"/>
      <c r="R16" s="153"/>
      <c r="S16" s="153"/>
      <c r="T16" s="153"/>
      <c r="U16" s="153"/>
    </row>
    <row r="17" spans="1:21" x14ac:dyDescent="0.25">
      <c r="A17" s="195"/>
      <c r="B17" s="4" t="s">
        <v>222</v>
      </c>
      <c r="C17" s="9">
        <v>1994</v>
      </c>
      <c r="D17" s="9">
        <v>766</v>
      </c>
      <c r="E17" s="9">
        <v>1761</v>
      </c>
      <c r="F17" s="9">
        <v>981</v>
      </c>
      <c r="G17" s="9">
        <v>439</v>
      </c>
      <c r="H17" s="9">
        <v>206</v>
      </c>
      <c r="I17" s="9">
        <v>138</v>
      </c>
      <c r="J17" s="9">
        <v>693</v>
      </c>
      <c r="K17" s="9">
        <v>6978</v>
      </c>
      <c r="L17" s="89"/>
      <c r="M17" s="153"/>
      <c r="N17" s="153"/>
      <c r="O17" s="153"/>
      <c r="P17" s="153"/>
      <c r="Q17" s="153"/>
      <c r="R17" s="153"/>
      <c r="S17" s="153"/>
      <c r="T17" s="153"/>
      <c r="U17" s="153"/>
    </row>
    <row r="18" spans="1:21" x14ac:dyDescent="0.25">
      <c r="A18" s="195"/>
      <c r="B18" s="4" t="s">
        <v>33</v>
      </c>
      <c r="C18" s="9">
        <v>16</v>
      </c>
      <c r="D18" s="9">
        <v>214</v>
      </c>
      <c r="E18" s="9">
        <v>95</v>
      </c>
      <c r="F18" s="9">
        <v>2</v>
      </c>
      <c r="G18" s="9">
        <v>24</v>
      </c>
      <c r="H18" s="9">
        <v>17</v>
      </c>
      <c r="I18" s="9" t="s">
        <v>153</v>
      </c>
      <c r="J18" s="9">
        <v>93</v>
      </c>
      <c r="K18" s="9">
        <v>463</v>
      </c>
      <c r="L18" s="89"/>
      <c r="M18" s="153"/>
      <c r="N18" s="153"/>
      <c r="O18" s="153"/>
      <c r="P18" s="153"/>
      <c r="Q18" s="153"/>
      <c r="R18" s="153"/>
      <c r="S18" s="153"/>
      <c r="T18" s="153"/>
      <c r="U18" s="153"/>
    </row>
    <row r="19" spans="1:21" x14ac:dyDescent="0.25">
      <c r="A19" s="195"/>
      <c r="B19" s="10" t="s">
        <v>12</v>
      </c>
      <c r="C19" s="102">
        <v>2456</v>
      </c>
      <c r="D19" s="102">
        <v>1054</v>
      </c>
      <c r="E19" s="102">
        <v>2563</v>
      </c>
      <c r="F19" s="102">
        <v>1441</v>
      </c>
      <c r="G19" s="102">
        <v>609</v>
      </c>
      <c r="H19" s="102">
        <v>266</v>
      </c>
      <c r="I19" s="102">
        <v>176</v>
      </c>
      <c r="J19" s="102">
        <v>1014</v>
      </c>
      <c r="K19" s="102">
        <v>9579</v>
      </c>
      <c r="M19" s="153"/>
      <c r="N19" s="153"/>
      <c r="O19" s="153"/>
      <c r="P19" s="153"/>
      <c r="Q19" s="153"/>
      <c r="R19" s="153"/>
      <c r="S19" s="153"/>
      <c r="T19" s="153"/>
      <c r="U19" s="153"/>
    </row>
    <row r="20" spans="1:21" ht="1.5" customHeight="1" x14ac:dyDescent="0.25">
      <c r="A20" s="109"/>
      <c r="B20" s="71"/>
      <c r="C20" s="42"/>
      <c r="D20" s="42"/>
      <c r="E20" s="42"/>
      <c r="F20" s="42"/>
      <c r="G20" s="42"/>
      <c r="H20" s="77"/>
      <c r="I20" s="77"/>
      <c r="J20" s="42"/>
      <c r="K20" s="42"/>
      <c r="M20" s="153"/>
      <c r="N20" s="153"/>
      <c r="O20" s="153"/>
      <c r="P20" s="153"/>
      <c r="Q20" s="153"/>
      <c r="R20" s="153"/>
      <c r="S20" s="153"/>
      <c r="T20" s="153"/>
      <c r="U20" s="153"/>
    </row>
    <row r="21" spans="1:21" ht="2.25" customHeight="1" x14ac:dyDescent="0.25">
      <c r="M21" s="153"/>
      <c r="N21" s="153"/>
      <c r="O21" s="153"/>
      <c r="P21" s="153"/>
      <c r="Q21" s="153"/>
      <c r="R21" s="153"/>
      <c r="S21" s="153"/>
      <c r="T21" s="153"/>
      <c r="U21" s="153"/>
    </row>
    <row r="22" spans="1:21" ht="10.5" customHeight="1" x14ac:dyDescent="0.25">
      <c r="A22" s="7" t="s">
        <v>252</v>
      </c>
      <c r="M22" s="153"/>
      <c r="N22" s="153"/>
      <c r="O22" s="153"/>
      <c r="P22" s="153"/>
      <c r="Q22" s="153"/>
      <c r="R22" s="153"/>
      <c r="S22" s="153"/>
      <c r="T22" s="153"/>
      <c r="U22" s="153"/>
    </row>
    <row r="23" spans="1:21" ht="11.1" customHeight="1" x14ac:dyDescent="0.25">
      <c r="A23" s="7" t="s">
        <v>23</v>
      </c>
      <c r="B23" s="7"/>
      <c r="C23" s="7"/>
      <c r="D23" s="7"/>
      <c r="E23" s="7"/>
      <c r="F23" s="7"/>
      <c r="G23" s="7"/>
      <c r="H23" s="7"/>
      <c r="I23" s="7"/>
      <c r="J23" s="7"/>
      <c r="K23" s="7"/>
      <c r="L23" s="7"/>
      <c r="M23" s="153"/>
      <c r="N23" s="153"/>
      <c r="O23" s="153"/>
      <c r="P23" s="153"/>
      <c r="Q23" s="153"/>
      <c r="R23" s="153"/>
      <c r="S23" s="153"/>
      <c r="T23" s="153"/>
      <c r="U23" s="153"/>
    </row>
    <row r="24" spans="1:21" s="7" customFormat="1" ht="11.1" customHeight="1" x14ac:dyDescent="0.15">
      <c r="A24" s="7" t="s">
        <v>46</v>
      </c>
    </row>
    <row r="25" spans="1:21" s="7" customFormat="1" ht="11.1" customHeight="1" x14ac:dyDescent="0.15">
      <c r="A25" s="7" t="s">
        <v>47</v>
      </c>
    </row>
    <row r="26" spans="1:21" s="7" customFormat="1" ht="11.1" customHeight="1" x14ac:dyDescent="0.15"/>
    <row r="27" spans="1:21" s="7" customFormat="1" ht="11.1" customHeight="1" x14ac:dyDescent="0.15">
      <c r="A27" s="7" t="s">
        <v>347</v>
      </c>
      <c r="E27" s="110"/>
    </row>
    <row r="28" spans="1:21" ht="12" customHeight="1" x14ac:dyDescent="0.25">
      <c r="A28" s="2"/>
      <c r="E28" s="72"/>
    </row>
    <row r="30" spans="1:21" x14ac:dyDescent="0.25">
      <c r="C30" s="122"/>
      <c r="D30" s="122"/>
      <c r="E30" s="122"/>
      <c r="F30" s="122"/>
      <c r="G30" s="122"/>
      <c r="H30" s="122"/>
      <c r="I30" s="122"/>
      <c r="J30" s="122"/>
      <c r="K30" s="122"/>
    </row>
    <row r="31" spans="1:21" x14ac:dyDescent="0.25">
      <c r="C31" s="122"/>
      <c r="D31" s="122"/>
      <c r="E31" s="122"/>
      <c r="F31" s="122"/>
      <c r="G31" s="122"/>
      <c r="H31" s="122"/>
      <c r="I31" s="122"/>
      <c r="J31" s="122"/>
      <c r="K31" s="122"/>
    </row>
    <row r="32" spans="1:21" x14ac:dyDescent="0.25">
      <c r="C32" s="122"/>
      <c r="D32" s="122"/>
      <c r="E32" s="122"/>
      <c r="F32" s="122"/>
      <c r="G32" s="122"/>
      <c r="H32" s="122"/>
      <c r="I32" s="122"/>
      <c r="J32" s="122"/>
      <c r="K32" s="122"/>
    </row>
    <row r="33" spans="3:11" x14ac:dyDescent="0.25">
      <c r="C33" s="121"/>
      <c r="D33" s="121"/>
      <c r="E33" s="121"/>
      <c r="F33" s="121"/>
      <c r="G33" s="121"/>
      <c r="H33" s="121"/>
      <c r="I33" s="121"/>
      <c r="J33" s="121"/>
      <c r="K33" s="121"/>
    </row>
  </sheetData>
  <mergeCells count="5">
    <mergeCell ref="A1:M1"/>
    <mergeCell ref="A4:A7"/>
    <mergeCell ref="A8:A11"/>
    <mergeCell ref="A12:A15"/>
    <mergeCell ref="A16:A19"/>
  </mergeCells>
  <pageMargins left="0.08" right="0.08" top="1" bottom="1" header="0.5" footer="0.5"/>
  <pageSetup orientation="landscape" blackAndWhite="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M26"/>
  <sheetViews>
    <sheetView zoomScaleNormal="100" workbookViewId="0">
      <selection activeCell="G6" sqref="G5:G6"/>
    </sheetView>
  </sheetViews>
  <sheetFormatPr defaultColWidth="9.140625" defaultRowHeight="15" x14ac:dyDescent="0.25"/>
  <cols>
    <col min="1" max="1" width="37.7109375" style="1" customWidth="1"/>
    <col min="2" max="5" width="14.42578125" style="1" customWidth="1"/>
    <col min="6" max="6" width="11.42578125" style="1" bestFit="1" customWidth="1"/>
    <col min="7" max="16384" width="9.140625" style="1"/>
  </cols>
  <sheetData>
    <row r="1" spans="1:13" ht="30" customHeight="1" x14ac:dyDescent="0.25">
      <c r="A1" s="198" t="s">
        <v>377</v>
      </c>
      <c r="B1" s="198"/>
      <c r="C1" s="198"/>
      <c r="D1" s="198"/>
      <c r="E1" s="198"/>
      <c r="F1" s="61"/>
    </row>
    <row r="2" spans="1:13" ht="3.75" customHeight="1" x14ac:dyDescent="0.25">
      <c r="A2" s="2"/>
    </row>
    <row r="3" spans="1:13" x14ac:dyDescent="0.25">
      <c r="A3" s="31" t="s">
        <v>180</v>
      </c>
      <c r="B3" s="3" t="s">
        <v>177</v>
      </c>
      <c r="C3" s="3" t="s">
        <v>178</v>
      </c>
      <c r="D3" s="3" t="s">
        <v>33</v>
      </c>
      <c r="E3" s="3" t="s">
        <v>12</v>
      </c>
    </row>
    <row r="4" spans="1:13" ht="15" customHeight="1" x14ac:dyDescent="0.25">
      <c r="A4" s="4" t="s">
        <v>48</v>
      </c>
      <c r="B4" s="9">
        <v>333</v>
      </c>
      <c r="C4" s="9">
        <v>1872</v>
      </c>
      <c r="D4" s="9">
        <v>139</v>
      </c>
      <c r="E4" s="9">
        <v>2344</v>
      </c>
      <c r="G4" s="157"/>
      <c r="H4" s="9"/>
      <c r="I4" s="9"/>
      <c r="J4" s="9"/>
      <c r="M4" s="123"/>
    </row>
    <row r="5" spans="1:13" ht="15" customHeight="1" x14ac:dyDescent="0.25">
      <c r="A5" s="4" t="s">
        <v>49</v>
      </c>
      <c r="B5" s="9">
        <v>835</v>
      </c>
      <c r="C5" s="9">
        <v>2635</v>
      </c>
      <c r="D5" s="9">
        <v>24</v>
      </c>
      <c r="E5" s="9">
        <v>3494</v>
      </c>
      <c r="G5" s="157"/>
      <c r="H5" s="9"/>
      <c r="I5" s="9"/>
      <c r="J5" s="9"/>
    </row>
    <row r="6" spans="1:13" ht="15" customHeight="1" x14ac:dyDescent="0.25">
      <c r="A6" s="4" t="s">
        <v>50</v>
      </c>
      <c r="B6" s="9">
        <v>508</v>
      </c>
      <c r="C6" s="9">
        <v>1060</v>
      </c>
      <c r="D6" s="9">
        <v>5</v>
      </c>
      <c r="E6" s="9">
        <v>1573</v>
      </c>
      <c r="G6" s="157"/>
      <c r="H6" s="9"/>
      <c r="I6" s="9"/>
      <c r="J6" s="9"/>
    </row>
    <row r="7" spans="1:13" ht="15" customHeight="1" x14ac:dyDescent="0.25">
      <c r="A7" s="4" t="s">
        <v>51</v>
      </c>
      <c r="B7" s="9">
        <v>1</v>
      </c>
      <c r="C7" s="9">
        <v>2</v>
      </c>
      <c r="D7" s="102" t="s">
        <v>146</v>
      </c>
      <c r="E7" s="9">
        <v>3</v>
      </c>
      <c r="G7" s="158"/>
      <c r="H7" s="9"/>
      <c r="I7" s="9"/>
      <c r="J7" s="9"/>
    </row>
    <row r="8" spans="1:13" ht="15" customHeight="1" x14ac:dyDescent="0.25">
      <c r="A8" s="4" t="s">
        <v>52</v>
      </c>
      <c r="B8" s="9">
        <v>455</v>
      </c>
      <c r="C8" s="9">
        <v>1348</v>
      </c>
      <c r="D8" s="9">
        <v>246</v>
      </c>
      <c r="E8" s="9">
        <v>2050</v>
      </c>
      <c r="G8" s="157"/>
      <c r="H8" s="9"/>
      <c r="I8" s="9"/>
      <c r="J8" s="9"/>
    </row>
    <row r="9" spans="1:13" ht="15" customHeight="1" x14ac:dyDescent="0.25">
      <c r="A9" s="4" t="s">
        <v>53</v>
      </c>
      <c r="B9" s="9">
        <v>5</v>
      </c>
      <c r="C9" s="9">
        <v>75</v>
      </c>
      <c r="D9" s="9">
        <v>17</v>
      </c>
      <c r="E9" s="9">
        <v>97</v>
      </c>
      <c r="G9" s="9"/>
      <c r="H9" s="9"/>
      <c r="I9" s="9"/>
      <c r="J9" s="9"/>
    </row>
    <row r="10" spans="1:13" ht="15" customHeight="1" x14ac:dyDescent="0.25">
      <c r="A10" s="4" t="s">
        <v>54</v>
      </c>
      <c r="B10" s="9">
        <v>3</v>
      </c>
      <c r="C10" s="9">
        <v>28</v>
      </c>
      <c r="D10" s="9">
        <v>12</v>
      </c>
      <c r="E10" s="9">
        <v>43</v>
      </c>
      <c r="F10" s="89"/>
      <c r="G10" s="9"/>
      <c r="H10" s="9"/>
      <c r="I10" s="9"/>
      <c r="J10" s="9"/>
    </row>
    <row r="11" spans="1:13" ht="15" customHeight="1" x14ac:dyDescent="0.25">
      <c r="A11" s="4" t="s">
        <v>55</v>
      </c>
      <c r="B11" s="102" t="s">
        <v>146</v>
      </c>
      <c r="C11" s="102" t="s">
        <v>146</v>
      </c>
      <c r="D11" s="9">
        <v>2</v>
      </c>
      <c r="E11" s="9">
        <v>2</v>
      </c>
      <c r="G11" s="9"/>
      <c r="H11" s="9"/>
      <c r="I11" s="9"/>
      <c r="J11" s="9"/>
    </row>
    <row r="12" spans="1:13" ht="15" customHeight="1" x14ac:dyDescent="0.25">
      <c r="A12" s="4" t="s">
        <v>56</v>
      </c>
      <c r="B12" s="9">
        <v>68</v>
      </c>
      <c r="C12" s="9">
        <v>258</v>
      </c>
      <c r="D12" s="9">
        <v>21</v>
      </c>
      <c r="E12" s="9">
        <v>347</v>
      </c>
      <c r="G12" s="9"/>
      <c r="H12" s="9"/>
      <c r="I12" s="9"/>
      <c r="J12" s="9"/>
    </row>
    <row r="13" spans="1:13" ht="15" customHeight="1" x14ac:dyDescent="0.25">
      <c r="A13" s="4" t="s">
        <v>57</v>
      </c>
      <c r="B13" s="9">
        <v>1</v>
      </c>
      <c r="C13" s="9">
        <v>41</v>
      </c>
      <c r="D13" s="9">
        <v>12</v>
      </c>
      <c r="E13" s="9">
        <v>54</v>
      </c>
      <c r="G13" s="9"/>
      <c r="H13" s="9"/>
      <c r="I13" s="9"/>
      <c r="J13" s="9"/>
    </row>
    <row r="14" spans="1:13" x14ac:dyDescent="0.25">
      <c r="A14" s="60" t="s">
        <v>60</v>
      </c>
      <c r="B14" s="102">
        <v>2137</v>
      </c>
      <c r="C14" s="102">
        <v>6978</v>
      </c>
      <c r="D14" s="102">
        <v>463</v>
      </c>
      <c r="E14" s="102">
        <v>9579</v>
      </c>
      <c r="G14" s="102"/>
      <c r="H14" s="102"/>
      <c r="I14" s="102"/>
      <c r="J14" s="102"/>
    </row>
    <row r="15" spans="1:13" x14ac:dyDescent="0.25">
      <c r="A15" s="44" t="s">
        <v>23</v>
      </c>
      <c r="B15" s="44"/>
      <c r="C15" s="44"/>
      <c r="D15" s="44"/>
      <c r="E15" s="44"/>
      <c r="F15" s="7"/>
    </row>
    <row r="16" spans="1:13" s="7" customFormat="1" ht="9" x14ac:dyDescent="0.15">
      <c r="A16" s="7" t="s">
        <v>58</v>
      </c>
    </row>
    <row r="17" spans="1:5" s="7" customFormat="1" ht="9" x14ac:dyDescent="0.15">
      <c r="A17" s="7" t="s">
        <v>59</v>
      </c>
    </row>
    <row r="18" spans="1:5" s="7" customFormat="1" ht="9" x14ac:dyDescent="0.15">
      <c r="A18" s="7" t="s">
        <v>269</v>
      </c>
    </row>
    <row r="19" spans="1:5" s="7" customFormat="1" ht="9" x14ac:dyDescent="0.15"/>
    <row r="20" spans="1:5" s="7" customFormat="1" ht="9" x14ac:dyDescent="0.15">
      <c r="A20" s="7" t="s">
        <v>347</v>
      </c>
    </row>
    <row r="21" spans="1:5" x14ac:dyDescent="0.25">
      <c r="A21" s="2"/>
    </row>
    <row r="23" spans="1:5" x14ac:dyDescent="0.25">
      <c r="B23" s="123"/>
    </row>
    <row r="26" spans="1:5" x14ac:dyDescent="0.25">
      <c r="E26" s="9"/>
    </row>
  </sheetData>
  <mergeCells count="1">
    <mergeCell ref="A1:E1"/>
  </mergeCells>
  <pageMargins left="0.08" right="0.08" top="1" bottom="1" header="0.5" footer="0.5"/>
  <pageSetup orientation="landscape" blackAndWhite="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O70"/>
  <sheetViews>
    <sheetView showGridLines="0" zoomScaleNormal="100" workbookViewId="0">
      <selection activeCell="I1" sqref="I1"/>
    </sheetView>
  </sheetViews>
  <sheetFormatPr defaultColWidth="9.140625" defaultRowHeight="15" x14ac:dyDescent="0.25"/>
  <cols>
    <col min="1" max="1" width="18" style="1" customWidth="1"/>
    <col min="2" max="2" width="21.7109375" style="1" customWidth="1"/>
    <col min="3" max="6" width="18" style="1" customWidth="1"/>
    <col min="7" max="8" width="9.140625" style="1"/>
    <col min="9" max="9" width="17.85546875" style="1" bestFit="1" customWidth="1"/>
    <col min="10" max="12" width="9.140625" style="1"/>
    <col min="13" max="13" width="18.5703125" style="1" bestFit="1" customWidth="1"/>
    <col min="14" max="16384" width="9.140625" style="1"/>
  </cols>
  <sheetData>
    <row r="1" spans="1:14" ht="34.5" customHeight="1" x14ac:dyDescent="0.25">
      <c r="A1" s="206" t="s">
        <v>378</v>
      </c>
      <c r="B1" s="206"/>
      <c r="C1" s="206"/>
      <c r="D1" s="206"/>
      <c r="E1" s="206"/>
      <c r="F1" s="206"/>
    </row>
    <row r="2" spans="1:14" ht="4.5" customHeight="1" x14ac:dyDescent="0.25">
      <c r="A2" s="2"/>
    </row>
    <row r="3" spans="1:14" x14ac:dyDescent="0.25">
      <c r="A3" s="35" t="s">
        <v>157</v>
      </c>
      <c r="B3" s="35" t="s">
        <v>204</v>
      </c>
      <c r="C3" s="3" t="s">
        <v>19</v>
      </c>
      <c r="D3" s="3" t="s">
        <v>20</v>
      </c>
      <c r="E3" s="3" t="s">
        <v>21</v>
      </c>
      <c r="F3" s="3" t="s">
        <v>12</v>
      </c>
    </row>
    <row r="4" spans="1:14" x14ac:dyDescent="0.25">
      <c r="A4" s="207" t="s">
        <v>18</v>
      </c>
      <c r="B4" s="4" t="s">
        <v>190</v>
      </c>
      <c r="C4" s="5">
        <v>630.1</v>
      </c>
      <c r="D4" s="5">
        <v>1147.3</v>
      </c>
      <c r="E4" s="5">
        <v>14.8</v>
      </c>
      <c r="F4" s="5">
        <v>1792.1</v>
      </c>
      <c r="H4" s="152"/>
      <c r="I4" s="152"/>
      <c r="J4" s="152"/>
      <c r="K4" s="152"/>
      <c r="L4" s="5"/>
      <c r="M4" s="141"/>
      <c r="N4" s="129"/>
    </row>
    <row r="5" spans="1:14" x14ac:dyDescent="0.25">
      <c r="A5" s="197"/>
      <c r="B5" s="4" t="s">
        <v>191</v>
      </c>
      <c r="C5" s="5">
        <v>357.3</v>
      </c>
      <c r="D5" s="5">
        <v>258.60000000000002</v>
      </c>
      <c r="E5" s="5">
        <v>4.3</v>
      </c>
      <c r="F5" s="5">
        <v>620.20000000000005</v>
      </c>
      <c r="H5" s="152"/>
      <c r="I5" s="152"/>
      <c r="J5" s="152"/>
      <c r="K5" s="152"/>
      <c r="L5" s="5"/>
    </row>
    <row r="6" spans="1:14" x14ac:dyDescent="0.25">
      <c r="A6" s="197"/>
      <c r="B6" s="4" t="s">
        <v>192</v>
      </c>
      <c r="C6" s="5">
        <v>399</v>
      </c>
      <c r="D6" s="5">
        <v>91.5</v>
      </c>
      <c r="E6" s="5">
        <v>1.6</v>
      </c>
      <c r="F6" s="5">
        <v>492.1</v>
      </c>
      <c r="H6" s="152"/>
      <c r="I6" s="152"/>
      <c r="J6" s="152"/>
      <c r="K6" s="152"/>
      <c r="L6" s="5"/>
    </row>
    <row r="7" spans="1:14" x14ac:dyDescent="0.25">
      <c r="A7" s="197"/>
      <c r="B7" s="4" t="s">
        <v>193</v>
      </c>
      <c r="C7" s="5">
        <v>105</v>
      </c>
      <c r="D7" s="5">
        <v>9.1999999999999993</v>
      </c>
      <c r="E7" s="5">
        <v>0.2</v>
      </c>
      <c r="F7" s="5">
        <v>114.4</v>
      </c>
      <c r="H7" s="152"/>
      <c r="I7" s="152"/>
      <c r="J7" s="152"/>
      <c r="K7" s="152"/>
      <c r="L7" s="5"/>
    </row>
    <row r="8" spans="1:14" x14ac:dyDescent="0.25">
      <c r="A8" s="197"/>
      <c r="B8" s="4" t="s">
        <v>194</v>
      </c>
      <c r="C8" s="5">
        <v>127.2</v>
      </c>
      <c r="D8" s="5">
        <v>3.1</v>
      </c>
      <c r="E8" s="36" t="s">
        <v>146</v>
      </c>
      <c r="F8" s="5">
        <v>130.30000000000001</v>
      </c>
      <c r="H8" s="152"/>
      <c r="I8" s="152"/>
      <c r="J8" s="152"/>
      <c r="K8" s="152"/>
      <c r="L8" s="5"/>
    </row>
    <row r="9" spans="1:14" x14ac:dyDescent="0.25">
      <c r="A9" s="197" t="s">
        <v>22</v>
      </c>
      <c r="B9" s="4" t="s">
        <v>190</v>
      </c>
      <c r="C9" s="5">
        <v>210.9</v>
      </c>
      <c r="D9" s="5">
        <v>221.6</v>
      </c>
      <c r="E9" s="5">
        <v>1.6</v>
      </c>
      <c r="F9" s="5">
        <v>434</v>
      </c>
      <c r="H9" s="152"/>
      <c r="I9" s="152"/>
      <c r="J9" s="152"/>
      <c r="K9" s="152"/>
      <c r="L9" s="5"/>
    </row>
    <row r="10" spans="1:14" x14ac:dyDescent="0.25">
      <c r="A10" s="197"/>
      <c r="B10" s="4" t="s">
        <v>191</v>
      </c>
      <c r="C10" s="5">
        <v>92</v>
      </c>
      <c r="D10" s="5">
        <v>60</v>
      </c>
      <c r="E10" s="5">
        <v>2.4</v>
      </c>
      <c r="F10" s="5">
        <v>154.4</v>
      </c>
      <c r="H10" s="152"/>
      <c r="I10" s="152"/>
      <c r="J10" s="152"/>
      <c r="K10" s="152"/>
      <c r="L10" s="5"/>
    </row>
    <row r="11" spans="1:14" x14ac:dyDescent="0.25">
      <c r="A11" s="197"/>
      <c r="B11" s="4" t="s">
        <v>192</v>
      </c>
      <c r="C11" s="5">
        <v>141.6</v>
      </c>
      <c r="D11" s="5">
        <v>18.8</v>
      </c>
      <c r="E11" s="5">
        <v>0.2</v>
      </c>
      <c r="F11" s="5">
        <v>160.6</v>
      </c>
      <c r="H11" s="152"/>
      <c r="I11" s="152"/>
      <c r="J11" s="152"/>
      <c r="K11" s="152"/>
      <c r="L11" s="5"/>
    </row>
    <row r="12" spans="1:14" x14ac:dyDescent="0.25">
      <c r="A12" s="197"/>
      <c r="B12" s="4" t="s">
        <v>193</v>
      </c>
      <c r="C12" s="5">
        <v>21.6</v>
      </c>
      <c r="D12" s="5">
        <v>1.3</v>
      </c>
      <c r="E12" s="36" t="s">
        <v>146</v>
      </c>
      <c r="F12" s="5">
        <v>23</v>
      </c>
      <c r="H12" s="152"/>
      <c r="I12" s="152"/>
      <c r="J12" s="152"/>
      <c r="K12" s="152"/>
      <c r="L12" s="5"/>
    </row>
    <row r="13" spans="1:14" x14ac:dyDescent="0.25">
      <c r="A13" s="197"/>
      <c r="B13" s="4" t="s">
        <v>194</v>
      </c>
      <c r="C13" s="5">
        <v>19.600000000000001</v>
      </c>
      <c r="D13" s="5">
        <v>0.6</v>
      </c>
      <c r="E13" s="36" t="s">
        <v>146</v>
      </c>
      <c r="F13" s="5">
        <v>20.100000000000001</v>
      </c>
      <c r="H13" s="152"/>
      <c r="I13" s="152"/>
      <c r="J13" s="152"/>
      <c r="K13" s="152"/>
      <c r="L13" s="5"/>
    </row>
    <row r="14" spans="1:14" x14ac:dyDescent="0.25">
      <c r="A14" s="197" t="s">
        <v>21</v>
      </c>
      <c r="B14" s="4" t="s">
        <v>190</v>
      </c>
      <c r="C14" s="5">
        <v>0.3</v>
      </c>
      <c r="D14" s="14">
        <v>0.3</v>
      </c>
      <c r="E14" s="36" t="s">
        <v>146</v>
      </c>
      <c r="F14" s="5">
        <v>0.6</v>
      </c>
      <c r="H14" s="152"/>
      <c r="I14" s="152"/>
      <c r="J14" s="152"/>
      <c r="K14" s="152"/>
      <c r="L14" s="5"/>
    </row>
    <row r="15" spans="1:14" x14ac:dyDescent="0.25">
      <c r="A15" s="197"/>
      <c r="B15" s="4" t="s">
        <v>191</v>
      </c>
      <c r="C15" s="5">
        <v>0.1</v>
      </c>
      <c r="D15" s="5">
        <v>3.1</v>
      </c>
      <c r="E15" s="36" t="s">
        <v>146</v>
      </c>
      <c r="F15" s="5">
        <v>3.2</v>
      </c>
      <c r="H15" s="152"/>
      <c r="I15" s="152"/>
      <c r="J15" s="152"/>
      <c r="K15" s="152"/>
      <c r="L15" s="5"/>
    </row>
    <row r="16" spans="1:14" x14ac:dyDescent="0.25">
      <c r="A16" s="197"/>
      <c r="B16" s="4" t="s">
        <v>192</v>
      </c>
      <c r="C16" s="36" t="s">
        <v>146</v>
      </c>
      <c r="D16" s="14">
        <v>0.3</v>
      </c>
      <c r="E16" s="14">
        <v>0.6</v>
      </c>
      <c r="F16" s="14">
        <v>0.9</v>
      </c>
      <c r="H16" s="152"/>
      <c r="I16" s="152"/>
      <c r="J16" s="152"/>
      <c r="K16" s="152"/>
      <c r="L16" s="14"/>
    </row>
    <row r="17" spans="1:12" x14ac:dyDescent="0.25">
      <c r="A17" s="197"/>
      <c r="B17" s="4" t="s">
        <v>193</v>
      </c>
      <c r="C17" s="36" t="s">
        <v>146</v>
      </c>
      <c r="D17" s="36" t="s">
        <v>146</v>
      </c>
      <c r="E17" s="36" t="s">
        <v>146</v>
      </c>
      <c r="F17" s="36" t="s">
        <v>146</v>
      </c>
      <c r="H17" s="152"/>
      <c r="I17" s="152"/>
      <c r="J17" s="152"/>
      <c r="K17" s="152"/>
      <c r="L17" s="14"/>
    </row>
    <row r="18" spans="1:12" x14ac:dyDescent="0.25">
      <c r="A18" s="197"/>
      <c r="B18" s="4" t="s">
        <v>194</v>
      </c>
      <c r="C18" s="36" t="s">
        <v>146</v>
      </c>
      <c r="D18" s="36" t="s">
        <v>146</v>
      </c>
      <c r="E18" s="36" t="s">
        <v>146</v>
      </c>
      <c r="F18" s="36" t="s">
        <v>146</v>
      </c>
      <c r="H18" s="152"/>
      <c r="I18" s="152"/>
      <c r="J18" s="152"/>
      <c r="K18" s="152"/>
      <c r="L18" s="14"/>
    </row>
    <row r="19" spans="1:12" x14ac:dyDescent="0.25">
      <c r="A19" s="197" t="s">
        <v>12</v>
      </c>
      <c r="B19" s="4" t="s">
        <v>190</v>
      </c>
      <c r="C19" s="5">
        <v>841.3</v>
      </c>
      <c r="D19" s="5">
        <v>1369.1</v>
      </c>
      <c r="E19" s="5">
        <v>16.399999999999999</v>
      </c>
      <c r="F19" s="5">
        <v>2226.6999999999998</v>
      </c>
      <c r="H19" s="152"/>
      <c r="I19" s="152"/>
      <c r="J19" s="152"/>
      <c r="K19" s="152"/>
      <c r="L19" s="5"/>
    </row>
    <row r="20" spans="1:12" x14ac:dyDescent="0.25">
      <c r="A20" s="197"/>
      <c r="B20" s="4" t="s">
        <v>191</v>
      </c>
      <c r="C20" s="5">
        <v>449.4</v>
      </c>
      <c r="D20" s="5">
        <v>321.60000000000002</v>
      </c>
      <c r="E20" s="5">
        <v>6.7</v>
      </c>
      <c r="F20" s="5">
        <v>777.8</v>
      </c>
      <c r="G20" s="122"/>
      <c r="H20" s="152"/>
      <c r="I20" s="152"/>
      <c r="J20" s="152"/>
      <c r="K20" s="152"/>
      <c r="L20" s="5"/>
    </row>
    <row r="21" spans="1:12" x14ac:dyDescent="0.25">
      <c r="A21" s="197"/>
      <c r="B21" s="4" t="s">
        <v>192</v>
      </c>
      <c r="C21" s="5">
        <v>540.70000000000005</v>
      </c>
      <c r="D21" s="5">
        <v>110.6</v>
      </c>
      <c r="E21" s="5">
        <v>2.5</v>
      </c>
      <c r="F21" s="5">
        <v>653.70000000000005</v>
      </c>
      <c r="G21" s="123"/>
      <c r="H21" s="152"/>
      <c r="I21" s="152"/>
      <c r="J21" s="152"/>
      <c r="K21" s="152"/>
      <c r="L21" s="5"/>
    </row>
    <row r="22" spans="1:12" x14ac:dyDescent="0.25">
      <c r="A22" s="197"/>
      <c r="B22" s="4" t="s">
        <v>193</v>
      </c>
      <c r="C22" s="5">
        <v>126.6</v>
      </c>
      <c r="D22" s="5">
        <v>10.6</v>
      </c>
      <c r="E22" s="5">
        <v>0.2</v>
      </c>
      <c r="F22" s="5">
        <v>137.4</v>
      </c>
      <c r="H22" s="152"/>
      <c r="I22" s="152"/>
      <c r="J22" s="152"/>
      <c r="K22" s="152"/>
      <c r="L22" s="5"/>
    </row>
    <row r="23" spans="1:12" x14ac:dyDescent="0.25">
      <c r="A23" s="197"/>
      <c r="B23" s="4" t="s">
        <v>194</v>
      </c>
      <c r="C23" s="5">
        <v>146.80000000000001</v>
      </c>
      <c r="D23" s="5">
        <v>3.6</v>
      </c>
      <c r="E23" s="36" t="s">
        <v>146</v>
      </c>
      <c r="F23" s="5">
        <v>150.4</v>
      </c>
      <c r="H23" s="152"/>
      <c r="I23" s="152"/>
      <c r="J23" s="152"/>
      <c r="K23" s="152"/>
      <c r="L23" s="5"/>
    </row>
    <row r="24" spans="1:12" x14ac:dyDescent="0.25">
      <c r="A24" s="2"/>
      <c r="B24" s="73" t="s">
        <v>61</v>
      </c>
      <c r="C24" s="101">
        <v>2182.8000000000002</v>
      </c>
      <c r="D24" s="101">
        <v>1927.04</v>
      </c>
      <c r="E24" s="101">
        <v>37.46</v>
      </c>
      <c r="F24" s="101">
        <v>4147.3</v>
      </c>
      <c r="H24" s="153"/>
      <c r="I24" s="153"/>
      <c r="J24" s="153"/>
      <c r="K24" s="153"/>
      <c r="L24" s="101"/>
    </row>
    <row r="25" spans="1:12" ht="0.75" customHeight="1" x14ac:dyDescent="0.25">
      <c r="A25" s="2"/>
      <c r="H25" s="131">
        <f t="shared" ref="H25" si="0">SUM(C25:E25)</f>
        <v>0</v>
      </c>
      <c r="I25" s="141"/>
    </row>
    <row r="26" spans="1:12" x14ac:dyDescent="0.25">
      <c r="A26" s="205" t="s">
        <v>13</v>
      </c>
      <c r="B26" s="205"/>
      <c r="C26" s="205"/>
      <c r="D26" s="205"/>
      <c r="E26" s="205"/>
      <c r="F26" s="205"/>
    </row>
    <row r="27" spans="1:12" x14ac:dyDescent="0.25">
      <c r="A27" s="113" t="s">
        <v>206</v>
      </c>
      <c r="B27" s="6"/>
      <c r="C27" s="6"/>
      <c r="D27" s="6"/>
      <c r="E27" s="6"/>
      <c r="F27" s="6"/>
    </row>
    <row r="28" spans="1:12" s="7" customFormat="1" ht="9" x14ac:dyDescent="0.15">
      <c r="A28" s="7" t="s">
        <v>14</v>
      </c>
    </row>
    <row r="29" spans="1:12" s="12" customFormat="1" ht="12.75" x14ac:dyDescent="0.2">
      <c r="A29" s="74" t="s">
        <v>23</v>
      </c>
    </row>
    <row r="30" spans="1:12" s="7" customFormat="1" ht="9" x14ac:dyDescent="0.15">
      <c r="A30" s="7" t="s">
        <v>62</v>
      </c>
    </row>
    <row r="31" spans="1:12" s="7" customFormat="1" ht="9" x14ac:dyDescent="0.15">
      <c r="A31" s="7" t="s">
        <v>63</v>
      </c>
    </row>
    <row r="32" spans="1:12" s="7" customFormat="1" ht="9" x14ac:dyDescent="0.15">
      <c r="A32" s="7" t="s">
        <v>353</v>
      </c>
    </row>
    <row r="33" spans="1:15" s="7" customFormat="1" ht="9" x14ac:dyDescent="0.15">
      <c r="A33" s="7" t="s">
        <v>15</v>
      </c>
    </row>
    <row r="34" spans="1:15" s="7" customFormat="1" ht="9" x14ac:dyDescent="0.15">
      <c r="A34" s="7" t="s">
        <v>347</v>
      </c>
    </row>
    <row r="35" spans="1:15" x14ac:dyDescent="0.25">
      <c r="A35" s="2"/>
    </row>
    <row r="36" spans="1:15" ht="30.75" customHeight="1" x14ac:dyDescent="0.25">
      <c r="A36" s="198" t="s">
        <v>379</v>
      </c>
      <c r="B36" s="198"/>
      <c r="C36" s="198"/>
      <c r="D36" s="198"/>
      <c r="E36" s="198"/>
      <c r="F36" s="198"/>
    </row>
    <row r="37" spans="1:15" ht="3.75" customHeight="1" x14ac:dyDescent="0.25">
      <c r="A37" s="2"/>
    </row>
    <row r="38" spans="1:15" x14ac:dyDescent="0.25">
      <c r="A38" s="35" t="s">
        <v>157</v>
      </c>
      <c r="B38" s="35" t="s">
        <v>204</v>
      </c>
      <c r="C38" s="3" t="s">
        <v>19</v>
      </c>
      <c r="D38" s="3" t="s">
        <v>20</v>
      </c>
      <c r="E38" s="3" t="s">
        <v>21</v>
      </c>
      <c r="F38" s="3" t="s">
        <v>12</v>
      </c>
    </row>
    <row r="39" spans="1:15" x14ac:dyDescent="0.25">
      <c r="A39" s="197" t="s">
        <v>18</v>
      </c>
      <c r="B39" s="4" t="s">
        <v>190</v>
      </c>
      <c r="C39" s="9">
        <v>1330</v>
      </c>
      <c r="D39" s="9">
        <v>2380</v>
      </c>
      <c r="E39" s="9">
        <v>55</v>
      </c>
      <c r="F39" s="9">
        <v>3766</v>
      </c>
      <c r="H39" s="154"/>
      <c r="I39" s="154"/>
      <c r="J39" s="154"/>
      <c r="K39" s="154"/>
      <c r="L39" s="9"/>
      <c r="M39" s="123"/>
      <c r="O39" s="123"/>
    </row>
    <row r="40" spans="1:15" x14ac:dyDescent="0.25">
      <c r="A40" s="197"/>
      <c r="B40" s="4" t="s">
        <v>191</v>
      </c>
      <c r="C40" s="9">
        <v>658</v>
      </c>
      <c r="D40" s="9">
        <v>489</v>
      </c>
      <c r="E40" s="9">
        <v>24</v>
      </c>
      <c r="F40" s="9">
        <v>1172</v>
      </c>
      <c r="H40" s="154"/>
      <c r="I40" s="154"/>
      <c r="J40" s="154"/>
      <c r="K40" s="154"/>
      <c r="L40" s="9"/>
    </row>
    <row r="41" spans="1:15" x14ac:dyDescent="0.25">
      <c r="A41" s="197"/>
      <c r="B41" s="4" t="s">
        <v>192</v>
      </c>
      <c r="C41" s="9">
        <v>900</v>
      </c>
      <c r="D41" s="9">
        <v>208</v>
      </c>
      <c r="E41" s="9">
        <v>18</v>
      </c>
      <c r="F41" s="9">
        <v>1127</v>
      </c>
      <c r="H41" s="154"/>
      <c r="I41" s="154"/>
      <c r="J41" s="154"/>
      <c r="K41" s="154"/>
      <c r="L41" s="9"/>
    </row>
    <row r="42" spans="1:15" x14ac:dyDescent="0.25">
      <c r="A42" s="197"/>
      <c r="B42" s="4" t="s">
        <v>193</v>
      </c>
      <c r="C42" s="9">
        <v>392</v>
      </c>
      <c r="D42" s="9">
        <v>24</v>
      </c>
      <c r="E42" s="9">
        <v>6</v>
      </c>
      <c r="F42" s="9">
        <v>423</v>
      </c>
      <c r="H42" s="154"/>
      <c r="I42" s="154"/>
      <c r="J42" s="154"/>
      <c r="K42" s="154"/>
      <c r="L42" s="9"/>
    </row>
    <row r="43" spans="1:15" x14ac:dyDescent="0.25">
      <c r="A43" s="197"/>
      <c r="B43" s="4" t="s">
        <v>194</v>
      </c>
      <c r="C43" s="9">
        <v>536</v>
      </c>
      <c r="D43" s="9">
        <v>8</v>
      </c>
      <c r="E43" s="9">
        <v>3</v>
      </c>
      <c r="F43" s="9">
        <v>547</v>
      </c>
      <c r="H43" s="154"/>
      <c r="I43" s="154"/>
      <c r="J43" s="154"/>
      <c r="K43" s="154"/>
      <c r="L43" s="9"/>
    </row>
    <row r="44" spans="1:15" x14ac:dyDescent="0.25">
      <c r="A44" s="197" t="s">
        <v>22</v>
      </c>
      <c r="B44" s="4" t="s">
        <v>190</v>
      </c>
      <c r="C44" s="9">
        <v>523</v>
      </c>
      <c r="D44" s="9">
        <v>550</v>
      </c>
      <c r="E44" s="9">
        <v>8</v>
      </c>
      <c r="F44" s="9">
        <v>1081</v>
      </c>
      <c r="H44" s="154"/>
      <c r="I44" s="154"/>
      <c r="J44" s="154"/>
      <c r="K44" s="154"/>
      <c r="L44" s="9"/>
    </row>
    <row r="45" spans="1:15" x14ac:dyDescent="0.25">
      <c r="A45" s="197"/>
      <c r="B45" s="4" t="s">
        <v>191</v>
      </c>
      <c r="C45" s="9">
        <v>182</v>
      </c>
      <c r="D45" s="9">
        <v>124</v>
      </c>
      <c r="E45" s="9">
        <v>7</v>
      </c>
      <c r="F45" s="9">
        <v>314</v>
      </c>
      <c r="H45" s="154"/>
      <c r="I45" s="154"/>
      <c r="J45" s="154"/>
      <c r="K45" s="154"/>
      <c r="L45" s="9"/>
    </row>
    <row r="46" spans="1:15" x14ac:dyDescent="0.25">
      <c r="A46" s="197"/>
      <c r="B46" s="4" t="s">
        <v>192</v>
      </c>
      <c r="C46" s="9">
        <v>305</v>
      </c>
      <c r="D46" s="9">
        <v>39</v>
      </c>
      <c r="E46" s="9">
        <v>5</v>
      </c>
      <c r="F46" s="9">
        <v>349</v>
      </c>
      <c r="H46" s="154"/>
      <c r="I46" s="154"/>
      <c r="J46" s="154"/>
      <c r="K46" s="154"/>
      <c r="L46" s="9"/>
    </row>
    <row r="47" spans="1:15" x14ac:dyDescent="0.25">
      <c r="A47" s="197"/>
      <c r="B47" s="4" t="s">
        <v>193</v>
      </c>
      <c r="C47" s="9">
        <v>112</v>
      </c>
      <c r="D47" s="9">
        <v>2</v>
      </c>
      <c r="E47" s="36" t="s">
        <v>146</v>
      </c>
      <c r="F47" s="9">
        <v>113</v>
      </c>
      <c r="H47" s="154"/>
      <c r="I47" s="154"/>
      <c r="J47" s="154"/>
      <c r="K47" s="154"/>
      <c r="L47" s="9"/>
    </row>
    <row r="48" spans="1:15" x14ac:dyDescent="0.25">
      <c r="A48" s="197"/>
      <c r="B48" s="4" t="s">
        <v>194</v>
      </c>
      <c r="C48" s="9">
        <v>82</v>
      </c>
      <c r="D48" s="9">
        <v>3</v>
      </c>
      <c r="E48" s="36" t="s">
        <v>146</v>
      </c>
      <c r="F48" s="9">
        <v>85</v>
      </c>
      <c r="H48" s="154"/>
      <c r="I48" s="154"/>
      <c r="J48" s="154"/>
      <c r="K48" s="154"/>
      <c r="L48" s="9"/>
    </row>
    <row r="49" spans="1:14" ht="13.5" customHeight="1" x14ac:dyDescent="0.25">
      <c r="A49" s="197" t="s">
        <v>21</v>
      </c>
      <c r="B49" s="4" t="s">
        <v>190</v>
      </c>
      <c r="C49" s="9">
        <v>2</v>
      </c>
      <c r="D49" s="9">
        <v>2</v>
      </c>
      <c r="E49" s="36" t="s">
        <v>146</v>
      </c>
      <c r="F49" s="9">
        <v>3</v>
      </c>
      <c r="H49" s="154"/>
      <c r="I49" s="154"/>
      <c r="J49" s="154"/>
      <c r="K49" s="154"/>
      <c r="L49" s="9"/>
    </row>
    <row r="50" spans="1:14" x14ac:dyDescent="0.25">
      <c r="A50" s="197"/>
      <c r="B50" s="4" t="s">
        <v>191</v>
      </c>
      <c r="C50" s="36" t="s">
        <v>146</v>
      </c>
      <c r="D50" s="9">
        <v>4</v>
      </c>
      <c r="E50" s="36" t="s">
        <v>146</v>
      </c>
      <c r="F50" s="9">
        <v>4</v>
      </c>
      <c r="H50" s="154"/>
      <c r="I50" s="154"/>
      <c r="J50" s="154"/>
      <c r="K50" s="154"/>
      <c r="L50" s="9"/>
    </row>
    <row r="51" spans="1:14" x14ac:dyDescent="0.25">
      <c r="A51" s="197"/>
      <c r="B51" s="4" t="s">
        <v>192</v>
      </c>
      <c r="C51" s="36" t="s">
        <v>146</v>
      </c>
      <c r="D51" s="36" t="s">
        <v>146</v>
      </c>
      <c r="E51" s="9">
        <v>3</v>
      </c>
      <c r="F51" s="9">
        <v>3</v>
      </c>
      <c r="H51" s="154"/>
      <c r="I51" s="154"/>
      <c r="J51" s="154"/>
      <c r="K51" s="154"/>
      <c r="L51" s="9"/>
    </row>
    <row r="52" spans="1:14" x14ac:dyDescent="0.25">
      <c r="A52" s="197"/>
      <c r="B52" s="4" t="s">
        <v>193</v>
      </c>
      <c r="C52" s="36" t="s">
        <v>146</v>
      </c>
      <c r="D52" s="36" t="s">
        <v>146</v>
      </c>
      <c r="E52" s="36" t="s">
        <v>146</v>
      </c>
      <c r="F52" s="36" t="s">
        <v>146</v>
      </c>
      <c r="H52" s="154"/>
      <c r="I52" s="154"/>
      <c r="J52" s="154"/>
      <c r="K52" s="154"/>
      <c r="L52" s="9"/>
    </row>
    <row r="53" spans="1:14" x14ac:dyDescent="0.25">
      <c r="A53" s="197"/>
      <c r="B53" s="4" t="s">
        <v>194</v>
      </c>
      <c r="C53" s="36" t="s">
        <v>146</v>
      </c>
      <c r="D53" s="36" t="s">
        <v>146</v>
      </c>
      <c r="E53" s="9">
        <v>1</v>
      </c>
      <c r="F53" s="9">
        <v>1</v>
      </c>
      <c r="H53" s="154"/>
      <c r="I53" s="154"/>
      <c r="J53" s="154"/>
      <c r="K53" s="154"/>
      <c r="L53" s="9"/>
    </row>
    <row r="54" spans="1:14" x14ac:dyDescent="0.25">
      <c r="A54" s="197" t="s">
        <v>12</v>
      </c>
      <c r="B54" s="4" t="s">
        <v>190</v>
      </c>
      <c r="C54" s="9">
        <v>1855</v>
      </c>
      <c r="D54" s="9">
        <v>2932</v>
      </c>
      <c r="E54" s="9">
        <v>63</v>
      </c>
      <c r="F54" s="9">
        <v>4850</v>
      </c>
      <c r="H54" s="154"/>
      <c r="I54" s="154"/>
      <c r="J54" s="154"/>
      <c r="K54" s="154"/>
      <c r="L54" s="9"/>
    </row>
    <row r="55" spans="1:14" x14ac:dyDescent="0.25">
      <c r="A55" s="197"/>
      <c r="B55" s="4" t="s">
        <v>191</v>
      </c>
      <c r="C55" s="9">
        <v>841</v>
      </c>
      <c r="D55" s="9">
        <v>618</v>
      </c>
      <c r="E55" s="9">
        <v>32</v>
      </c>
      <c r="F55" s="9">
        <v>1491</v>
      </c>
      <c r="H55" s="154"/>
      <c r="I55" s="154"/>
      <c r="J55" s="154"/>
      <c r="K55" s="154"/>
      <c r="L55" s="9"/>
    </row>
    <row r="56" spans="1:14" x14ac:dyDescent="0.25">
      <c r="A56" s="197"/>
      <c r="B56" s="4" t="s">
        <v>192</v>
      </c>
      <c r="C56" s="9">
        <v>1205</v>
      </c>
      <c r="D56" s="9">
        <v>248</v>
      </c>
      <c r="E56" s="9">
        <v>26</v>
      </c>
      <c r="F56" s="9">
        <v>1479</v>
      </c>
      <c r="H56" s="154"/>
      <c r="I56" s="154"/>
      <c r="J56" s="154"/>
      <c r="K56" s="154"/>
      <c r="L56" s="9"/>
    </row>
    <row r="57" spans="1:14" x14ac:dyDescent="0.25">
      <c r="A57" s="197"/>
      <c r="B57" s="4" t="s">
        <v>193</v>
      </c>
      <c r="C57" s="9">
        <v>504</v>
      </c>
      <c r="D57" s="9">
        <v>26</v>
      </c>
      <c r="E57" s="9">
        <v>6</v>
      </c>
      <c r="F57" s="9">
        <v>536</v>
      </c>
      <c r="H57" s="154"/>
      <c r="I57" s="154"/>
      <c r="J57" s="154"/>
      <c r="K57" s="154"/>
      <c r="L57" s="9"/>
      <c r="M57" s="9"/>
      <c r="N57" s="9"/>
    </row>
    <row r="58" spans="1:14" x14ac:dyDescent="0.25">
      <c r="A58" s="197"/>
      <c r="B58" s="4" t="s">
        <v>194</v>
      </c>
      <c r="C58" s="9">
        <v>618</v>
      </c>
      <c r="D58" s="9">
        <v>11</v>
      </c>
      <c r="E58" s="9">
        <v>4</v>
      </c>
      <c r="F58" s="9">
        <v>634</v>
      </c>
      <c r="H58" s="154"/>
      <c r="I58" s="154"/>
      <c r="J58" s="154"/>
      <c r="K58" s="154"/>
      <c r="L58" s="9"/>
      <c r="M58" s="9"/>
      <c r="N58" s="9"/>
    </row>
    <row r="59" spans="1:14" x14ac:dyDescent="0.25">
      <c r="A59" s="41"/>
      <c r="B59" s="112" t="s">
        <v>61</v>
      </c>
      <c r="C59" s="117">
        <v>5310</v>
      </c>
      <c r="D59" s="117">
        <v>4084</v>
      </c>
      <c r="E59" s="117">
        <v>185</v>
      </c>
      <c r="F59" s="117">
        <v>9579</v>
      </c>
      <c r="H59" s="153"/>
      <c r="I59" s="153"/>
      <c r="J59" s="153"/>
      <c r="K59" s="153"/>
      <c r="L59" s="9"/>
      <c r="M59" s="9"/>
      <c r="N59" s="9"/>
    </row>
    <row r="60" spans="1:14" ht="0.75" customHeight="1" x14ac:dyDescent="0.25">
      <c r="A60" s="2"/>
      <c r="I60" s="9"/>
      <c r="J60" s="9"/>
      <c r="K60" s="9"/>
      <c r="L60" s="9"/>
      <c r="M60" s="9"/>
      <c r="N60" s="9"/>
    </row>
    <row r="61" spans="1:14" ht="0.75" customHeight="1" x14ac:dyDescent="0.25">
      <c r="A61" s="2"/>
      <c r="I61" s="9"/>
      <c r="J61" s="9"/>
      <c r="K61" s="9"/>
      <c r="L61" s="9"/>
      <c r="M61" s="9"/>
      <c r="N61" s="9"/>
    </row>
    <row r="62" spans="1:14" ht="0.75" customHeight="1" x14ac:dyDescent="0.25">
      <c r="A62" s="2"/>
      <c r="I62" s="9"/>
      <c r="J62" s="9"/>
      <c r="K62" s="9"/>
      <c r="L62" s="9"/>
      <c r="M62" s="9"/>
      <c r="N62" s="9"/>
    </row>
    <row r="63" spans="1:14" x14ac:dyDescent="0.25">
      <c r="A63" s="74" t="s">
        <v>207</v>
      </c>
      <c r="B63" s="7"/>
      <c r="C63" s="7"/>
      <c r="D63" s="7"/>
      <c r="E63" s="7"/>
      <c r="F63" s="7"/>
      <c r="G63" s="7"/>
      <c r="H63" s="7"/>
      <c r="I63" s="9"/>
      <c r="J63" s="9"/>
      <c r="K63" s="9"/>
      <c r="L63" s="9"/>
      <c r="M63" s="9"/>
      <c r="N63" s="9"/>
    </row>
    <row r="64" spans="1:14" s="7" customFormat="1" ht="11.25" x14ac:dyDescent="0.2">
      <c r="A64" s="200" t="s">
        <v>23</v>
      </c>
      <c r="B64" s="200"/>
      <c r="C64" s="200"/>
      <c r="D64" s="200"/>
      <c r="E64" s="200"/>
      <c r="F64" s="200"/>
      <c r="I64" s="9"/>
      <c r="J64" s="9"/>
      <c r="K64" s="9"/>
      <c r="L64" s="9"/>
      <c r="M64" s="9"/>
      <c r="N64" s="9"/>
    </row>
    <row r="65" spans="1:14" s="7" customFormat="1" ht="11.25" x14ac:dyDescent="0.2">
      <c r="A65" s="7" t="s">
        <v>62</v>
      </c>
      <c r="I65" s="9"/>
      <c r="J65" s="9"/>
      <c r="K65" s="9"/>
      <c r="L65" s="9"/>
      <c r="M65" s="9"/>
      <c r="N65" s="9"/>
    </row>
    <row r="66" spans="1:14" s="7" customFormat="1" ht="11.25" x14ac:dyDescent="0.2">
      <c r="A66" s="7" t="s">
        <v>63</v>
      </c>
      <c r="I66" s="9"/>
      <c r="J66" s="9"/>
      <c r="K66" s="9"/>
      <c r="L66" s="9"/>
      <c r="M66" s="9"/>
      <c r="N66" s="9"/>
    </row>
    <row r="67" spans="1:14" s="7" customFormat="1" ht="11.25" x14ac:dyDescent="0.2">
      <c r="A67" s="7" t="s">
        <v>15</v>
      </c>
      <c r="I67" s="9"/>
      <c r="J67" s="9"/>
      <c r="K67" s="9"/>
      <c r="L67" s="9"/>
      <c r="M67" s="9"/>
      <c r="N67" s="9"/>
    </row>
    <row r="68" spans="1:14" x14ac:dyDescent="0.25">
      <c r="A68" s="7" t="s">
        <v>347</v>
      </c>
      <c r="B68" s="7"/>
      <c r="C68" s="7"/>
      <c r="D68" s="7"/>
      <c r="E68" s="7"/>
      <c r="F68" s="7"/>
      <c r="I68" s="9"/>
      <c r="J68" s="9"/>
      <c r="K68" s="9"/>
      <c r="L68" s="9"/>
      <c r="M68" s="9"/>
      <c r="N68" s="9"/>
    </row>
    <row r="69" spans="1:14" x14ac:dyDescent="0.25">
      <c r="I69" s="9"/>
      <c r="J69" s="9"/>
      <c r="K69" s="9"/>
      <c r="L69" s="9"/>
      <c r="M69" s="9"/>
      <c r="N69" s="9"/>
    </row>
    <row r="70" spans="1:14" x14ac:dyDescent="0.25">
      <c r="I70" s="9"/>
      <c r="J70" s="9"/>
      <c r="K70" s="9"/>
      <c r="L70" s="9"/>
      <c r="M70" s="9"/>
      <c r="N70" s="9"/>
    </row>
  </sheetData>
  <mergeCells count="12">
    <mergeCell ref="A64:F64"/>
    <mergeCell ref="A39:A43"/>
    <mergeCell ref="A44:A48"/>
    <mergeCell ref="A49:A53"/>
    <mergeCell ref="A54:A58"/>
    <mergeCell ref="A26:F26"/>
    <mergeCell ref="A36:F36"/>
    <mergeCell ref="A1:F1"/>
    <mergeCell ref="A4:A8"/>
    <mergeCell ref="A9:A13"/>
    <mergeCell ref="A14:A18"/>
    <mergeCell ref="A19:A23"/>
  </mergeCells>
  <pageMargins left="0.08" right="0.08" top="1" bottom="1" header="0.5" footer="0.5"/>
  <pageSetup orientation="landscape" blackAndWhite="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C88"/>
  <sheetViews>
    <sheetView topLeftCell="A27" zoomScaleNormal="100" workbookViewId="0">
      <selection activeCell="A55" sqref="A55"/>
    </sheetView>
  </sheetViews>
  <sheetFormatPr defaultColWidth="9.140625" defaultRowHeight="15" x14ac:dyDescent="0.25"/>
  <cols>
    <col min="1" max="1" width="20.85546875" style="1" customWidth="1"/>
    <col min="2" max="10" width="11.42578125" style="1" bestFit="1" customWidth="1"/>
    <col min="11" max="21" width="9.140625" style="1"/>
    <col min="22" max="22" width="16.7109375" style="1" bestFit="1" customWidth="1"/>
    <col min="23" max="16384" width="9.140625" style="1"/>
  </cols>
  <sheetData>
    <row r="1" spans="1:22" ht="29.25" customHeight="1" x14ac:dyDescent="0.25">
      <c r="A1" s="208" t="s">
        <v>428</v>
      </c>
      <c r="B1" s="208"/>
      <c r="C1" s="208"/>
      <c r="D1" s="208"/>
      <c r="E1" s="208"/>
      <c r="F1" s="208"/>
      <c r="G1" s="208"/>
      <c r="H1" s="208"/>
      <c r="I1" s="208"/>
      <c r="J1" s="208"/>
    </row>
    <row r="2" spans="1:22" ht="4.5" customHeight="1" x14ac:dyDescent="0.25">
      <c r="A2" s="2"/>
    </row>
    <row r="3" spans="1:22" x14ac:dyDescent="0.25">
      <c r="A3" s="31" t="s">
        <v>204</v>
      </c>
      <c r="B3" s="3" t="s">
        <v>1</v>
      </c>
      <c r="C3" s="3" t="s">
        <v>2</v>
      </c>
      <c r="D3" s="3" t="s">
        <v>3</v>
      </c>
      <c r="E3" s="3" t="s">
        <v>4</v>
      </c>
      <c r="F3" s="3" t="s">
        <v>5</v>
      </c>
      <c r="G3" s="3" t="s">
        <v>6</v>
      </c>
      <c r="H3" s="3" t="s">
        <v>7</v>
      </c>
      <c r="I3" s="3" t="s">
        <v>8</v>
      </c>
      <c r="J3" s="3" t="s">
        <v>9</v>
      </c>
    </row>
    <row r="4" spans="1:22" x14ac:dyDescent="0.25">
      <c r="A4" s="4" t="s">
        <v>225</v>
      </c>
      <c r="B4" s="5">
        <v>495.3</v>
      </c>
      <c r="C4" s="5">
        <v>208.3</v>
      </c>
      <c r="D4" s="5">
        <v>493.1</v>
      </c>
      <c r="E4" s="5">
        <v>288.60000000000002</v>
      </c>
      <c r="F4" s="5">
        <v>134.80000000000001</v>
      </c>
      <c r="G4" s="135" t="s">
        <v>146</v>
      </c>
      <c r="H4" s="5">
        <v>56.4</v>
      </c>
      <c r="I4" s="14" t="s">
        <v>151</v>
      </c>
      <c r="J4" s="5">
        <v>1676.5</v>
      </c>
      <c r="L4" s="5"/>
      <c r="M4" s="5"/>
      <c r="N4" s="5"/>
      <c r="O4" s="5"/>
      <c r="P4" s="5"/>
      <c r="Q4" s="5"/>
      <c r="R4" s="5"/>
      <c r="S4" s="14"/>
      <c r="T4" s="5"/>
      <c r="U4" s="136"/>
      <c r="V4" s="155"/>
    </row>
    <row r="5" spans="1:22" x14ac:dyDescent="0.25">
      <c r="A5" s="4" t="s">
        <v>226</v>
      </c>
      <c r="B5" s="5">
        <v>246.9</v>
      </c>
      <c r="C5" s="5">
        <v>52.6</v>
      </c>
      <c r="D5" s="5">
        <v>190.8</v>
      </c>
      <c r="E5" s="5">
        <v>16.7</v>
      </c>
      <c r="F5" s="5">
        <v>9.1</v>
      </c>
      <c r="G5" s="5">
        <v>77.099999999999994</v>
      </c>
      <c r="H5" s="5">
        <v>0.1</v>
      </c>
      <c r="I5" s="14" t="s">
        <v>151</v>
      </c>
      <c r="J5" s="5">
        <v>593.4</v>
      </c>
      <c r="L5" s="5"/>
      <c r="M5" s="5"/>
      <c r="N5" s="5"/>
      <c r="O5" s="5"/>
      <c r="P5" s="5"/>
      <c r="Q5" s="5"/>
      <c r="R5" s="5"/>
      <c r="S5" s="14"/>
      <c r="T5" s="5"/>
      <c r="U5" s="136"/>
    </row>
    <row r="6" spans="1:22" x14ac:dyDescent="0.25">
      <c r="A6" s="4" t="s">
        <v>227</v>
      </c>
      <c r="B6" s="5">
        <v>72.5</v>
      </c>
      <c r="C6" s="5">
        <v>8.5</v>
      </c>
      <c r="D6" s="5">
        <v>335.2</v>
      </c>
      <c r="E6" s="5">
        <v>41.3</v>
      </c>
      <c r="F6" s="5">
        <v>38</v>
      </c>
      <c r="G6" s="5">
        <v>30.8</v>
      </c>
      <c r="H6" s="135" t="s">
        <v>146</v>
      </c>
      <c r="I6" s="14" t="s">
        <v>151</v>
      </c>
      <c r="J6" s="5">
        <v>526.4</v>
      </c>
      <c r="L6" s="5"/>
      <c r="M6" s="5"/>
      <c r="N6" s="5"/>
      <c r="O6" s="5"/>
      <c r="P6" s="5"/>
      <c r="Q6" s="5"/>
      <c r="R6" s="5"/>
      <c r="S6" s="14"/>
      <c r="T6" s="5"/>
      <c r="U6" s="136"/>
    </row>
    <row r="7" spans="1:22" x14ac:dyDescent="0.25">
      <c r="A7" s="4" t="s">
        <v>193</v>
      </c>
      <c r="B7" s="5">
        <v>14</v>
      </c>
      <c r="C7" s="135" t="s">
        <v>146</v>
      </c>
      <c r="D7" s="5">
        <v>55.9</v>
      </c>
      <c r="E7" s="5">
        <v>30</v>
      </c>
      <c r="F7" s="5">
        <v>7.1</v>
      </c>
      <c r="G7" s="5">
        <v>0.8</v>
      </c>
      <c r="H7" s="135" t="s">
        <v>146</v>
      </c>
      <c r="I7" s="14" t="s">
        <v>151</v>
      </c>
      <c r="J7" s="5">
        <v>107.9</v>
      </c>
      <c r="L7" s="5"/>
      <c r="M7" s="14"/>
      <c r="N7" s="5"/>
      <c r="O7" s="5"/>
      <c r="P7" s="5"/>
      <c r="Q7" s="5"/>
      <c r="R7" s="5"/>
      <c r="S7" s="14"/>
      <c r="T7" s="5"/>
      <c r="U7" s="136"/>
    </row>
    <row r="8" spans="1:22" x14ac:dyDescent="0.25">
      <c r="A8" s="4" t="s">
        <v>228</v>
      </c>
      <c r="B8" s="5">
        <v>11.1</v>
      </c>
      <c r="C8" s="135" t="s">
        <v>146</v>
      </c>
      <c r="D8" s="5">
        <v>49.9</v>
      </c>
      <c r="E8" s="5">
        <v>58.6</v>
      </c>
      <c r="F8" s="5">
        <v>7.3</v>
      </c>
      <c r="G8" s="135" t="s">
        <v>146</v>
      </c>
      <c r="H8" s="135" t="s">
        <v>146</v>
      </c>
      <c r="I8" s="14" t="s">
        <v>151</v>
      </c>
      <c r="J8" s="5">
        <v>126.9</v>
      </c>
      <c r="L8" s="5"/>
      <c r="M8" s="5"/>
      <c r="N8" s="5"/>
      <c r="O8" s="5"/>
      <c r="P8" s="5"/>
      <c r="Q8" s="14"/>
      <c r="R8" s="5"/>
      <c r="S8" s="14"/>
      <c r="T8" s="5"/>
      <c r="U8" s="136"/>
    </row>
    <row r="9" spans="1:22" x14ac:dyDescent="0.25">
      <c r="A9" s="29" t="s">
        <v>61</v>
      </c>
      <c r="B9" s="101">
        <v>918.2</v>
      </c>
      <c r="C9" s="101">
        <v>299.92</v>
      </c>
      <c r="D9" s="101">
        <v>1142.23</v>
      </c>
      <c r="E9" s="101">
        <v>437.52</v>
      </c>
      <c r="F9" s="101">
        <v>204.96</v>
      </c>
      <c r="G9" s="101">
        <v>110.24</v>
      </c>
      <c r="H9" s="101">
        <v>63.69</v>
      </c>
      <c r="I9" s="14" t="s">
        <v>151</v>
      </c>
      <c r="J9" s="101">
        <v>3176.77</v>
      </c>
      <c r="L9" s="101"/>
      <c r="M9" s="101"/>
      <c r="N9" s="101"/>
      <c r="O9" s="101"/>
      <c r="P9" s="101"/>
      <c r="Q9" s="101"/>
      <c r="R9" s="101"/>
      <c r="S9" s="14"/>
      <c r="T9" s="101"/>
    </row>
    <row r="10" spans="1:22" ht="3.75" customHeight="1" x14ac:dyDescent="0.25">
      <c r="A10" s="2"/>
    </row>
    <row r="11" spans="1:22" x14ac:dyDescent="0.25">
      <c r="A11" s="205" t="s">
        <v>13</v>
      </c>
      <c r="B11" s="205"/>
      <c r="C11" s="205"/>
      <c r="D11" s="205"/>
      <c r="E11" s="205"/>
      <c r="F11" s="205"/>
      <c r="G11" s="205"/>
      <c r="H11" s="205"/>
      <c r="I11" s="205"/>
      <c r="J11" s="205"/>
      <c r="M11" s="131"/>
    </row>
    <row r="12" spans="1:22" x14ac:dyDescent="0.25">
      <c r="A12" s="113" t="s">
        <v>230</v>
      </c>
      <c r="B12" s="6"/>
      <c r="C12" s="6"/>
      <c r="D12" s="6"/>
      <c r="E12" s="6"/>
      <c r="F12" s="6"/>
      <c r="G12" s="6"/>
      <c r="H12" s="6"/>
      <c r="I12" s="6"/>
      <c r="J12" s="6"/>
    </row>
    <row r="13" spans="1:22" s="7" customFormat="1" ht="9" x14ac:dyDescent="0.15">
      <c r="A13" s="7" t="s">
        <v>14</v>
      </c>
    </row>
    <row r="14" spans="1:22" s="12" customFormat="1" ht="12.75" x14ac:dyDescent="0.2">
      <c r="A14" s="74" t="s">
        <v>23</v>
      </c>
    </row>
    <row r="15" spans="1:22" s="7" customFormat="1" ht="9" x14ac:dyDescent="0.15">
      <c r="A15" s="7" t="s">
        <v>62</v>
      </c>
    </row>
    <row r="16" spans="1:22" s="7" customFormat="1" ht="9" x14ac:dyDescent="0.15">
      <c r="A16" s="7" t="s">
        <v>63</v>
      </c>
    </row>
    <row r="17" spans="1:22" s="7" customFormat="1" ht="20.25" customHeight="1" x14ac:dyDescent="0.15">
      <c r="A17" s="188" t="s">
        <v>26</v>
      </c>
      <c r="B17" s="188"/>
      <c r="C17" s="188"/>
      <c r="D17" s="188"/>
      <c r="E17" s="188"/>
      <c r="F17" s="188"/>
      <c r="G17" s="188"/>
      <c r="H17" s="188"/>
      <c r="I17" s="188"/>
      <c r="J17" s="188"/>
    </row>
    <row r="18" spans="1:22" s="7" customFormat="1" ht="10.5" customHeight="1" x14ac:dyDescent="0.15">
      <c r="A18" s="188" t="s">
        <v>380</v>
      </c>
      <c r="B18" s="188"/>
      <c r="C18" s="188"/>
      <c r="D18" s="188"/>
      <c r="E18" s="188"/>
      <c r="F18" s="188"/>
      <c r="G18" s="188"/>
      <c r="H18" s="188"/>
      <c r="I18" s="188"/>
      <c r="J18" s="188"/>
    </row>
    <row r="19" spans="1:22" s="7" customFormat="1" ht="9" x14ac:dyDescent="0.15">
      <c r="A19" s="7" t="s">
        <v>15</v>
      </c>
    </row>
    <row r="20" spans="1:22" s="7" customFormat="1" ht="9" x14ac:dyDescent="0.15">
      <c r="A20" s="7" t="s">
        <v>347</v>
      </c>
    </row>
    <row r="21" spans="1:22" x14ac:dyDescent="0.25">
      <c r="A21" s="2"/>
    </row>
    <row r="22" spans="1:22" ht="27" customHeight="1" x14ac:dyDescent="0.25">
      <c r="A22" s="198" t="s">
        <v>429</v>
      </c>
      <c r="B22" s="198"/>
      <c r="C22" s="198"/>
      <c r="D22" s="198"/>
      <c r="E22" s="198"/>
      <c r="F22" s="198"/>
      <c r="G22" s="198"/>
      <c r="H22" s="198"/>
      <c r="I22" s="198"/>
      <c r="J22" s="198"/>
    </row>
    <row r="23" spans="1:22" ht="3" customHeight="1" x14ac:dyDescent="0.25">
      <c r="A23" s="2"/>
    </row>
    <row r="24" spans="1:22" x14ac:dyDescent="0.25">
      <c r="A24" s="31" t="s">
        <v>204</v>
      </c>
      <c r="B24" s="3" t="s">
        <v>1</v>
      </c>
      <c r="C24" s="3" t="s">
        <v>2</v>
      </c>
      <c r="D24" s="3" t="s">
        <v>3</v>
      </c>
      <c r="E24" s="3" t="s">
        <v>4</v>
      </c>
      <c r="F24" s="3" t="s">
        <v>5</v>
      </c>
      <c r="G24" s="3" t="s">
        <v>6</v>
      </c>
      <c r="H24" s="3" t="s">
        <v>7</v>
      </c>
      <c r="I24" s="3" t="s">
        <v>8</v>
      </c>
      <c r="J24" s="3" t="s">
        <v>9</v>
      </c>
    </row>
    <row r="25" spans="1:22" x14ac:dyDescent="0.25">
      <c r="A25" s="4" t="s">
        <v>190</v>
      </c>
      <c r="B25" s="120">
        <v>1310</v>
      </c>
      <c r="C25" s="120">
        <v>422</v>
      </c>
      <c r="D25" s="120">
        <v>900</v>
      </c>
      <c r="E25" s="120">
        <v>933</v>
      </c>
      <c r="F25" s="120">
        <v>360</v>
      </c>
      <c r="G25" s="120" t="s">
        <v>149</v>
      </c>
      <c r="H25" s="120">
        <v>129</v>
      </c>
      <c r="I25" s="120" t="s">
        <v>149</v>
      </c>
      <c r="J25" s="120">
        <v>4053</v>
      </c>
      <c r="L25" s="120"/>
      <c r="M25" s="120"/>
      <c r="N25" s="120"/>
      <c r="O25" s="120"/>
      <c r="P25" s="120"/>
      <c r="Q25" s="120"/>
      <c r="R25" s="120"/>
      <c r="S25" s="120"/>
      <c r="T25" s="120"/>
      <c r="V25" s="128"/>
    </row>
    <row r="26" spans="1:22" x14ac:dyDescent="0.25">
      <c r="A26" s="4" t="s">
        <v>191</v>
      </c>
      <c r="B26" s="120">
        <v>567</v>
      </c>
      <c r="C26" s="120">
        <v>104</v>
      </c>
      <c r="D26" s="120">
        <v>351</v>
      </c>
      <c r="E26" s="120">
        <v>54</v>
      </c>
      <c r="F26" s="120">
        <v>23</v>
      </c>
      <c r="G26" s="120">
        <v>146</v>
      </c>
      <c r="H26" s="120" t="s">
        <v>146</v>
      </c>
      <c r="I26" s="120" t="s">
        <v>149</v>
      </c>
      <c r="J26" s="120">
        <v>1246</v>
      </c>
      <c r="L26" s="120"/>
      <c r="M26" s="120"/>
      <c r="N26" s="120"/>
      <c r="O26" s="120"/>
      <c r="P26" s="120"/>
      <c r="Q26" s="120"/>
      <c r="R26" s="120"/>
      <c r="S26" s="120"/>
      <c r="T26" s="120"/>
    </row>
    <row r="27" spans="1:22" x14ac:dyDescent="0.25">
      <c r="A27" s="4" t="s">
        <v>192</v>
      </c>
      <c r="B27" s="120">
        <v>149</v>
      </c>
      <c r="C27" s="120">
        <v>23</v>
      </c>
      <c r="D27" s="120">
        <v>565</v>
      </c>
      <c r="E27" s="120">
        <v>101</v>
      </c>
      <c r="F27" s="120">
        <v>83</v>
      </c>
      <c r="G27" s="120">
        <v>56</v>
      </c>
      <c r="H27" s="120" t="s">
        <v>149</v>
      </c>
      <c r="I27" s="120">
        <v>241</v>
      </c>
      <c r="J27" s="120">
        <v>1219</v>
      </c>
      <c r="L27" s="120"/>
      <c r="M27" s="120"/>
      <c r="N27" s="120"/>
      <c r="O27" s="120"/>
      <c r="P27" s="120"/>
      <c r="Q27" s="120"/>
      <c r="R27" s="120"/>
      <c r="S27" s="120"/>
      <c r="T27" s="120"/>
    </row>
    <row r="28" spans="1:22" x14ac:dyDescent="0.25">
      <c r="A28" s="4" t="s">
        <v>193</v>
      </c>
      <c r="B28" s="120">
        <v>30</v>
      </c>
      <c r="C28" s="135" t="s">
        <v>146</v>
      </c>
      <c r="D28" s="120">
        <v>103</v>
      </c>
      <c r="E28" s="120">
        <v>77</v>
      </c>
      <c r="F28" s="5" t="s">
        <v>153</v>
      </c>
      <c r="G28" s="5" t="s">
        <v>153</v>
      </c>
      <c r="H28" s="120" t="s">
        <v>149</v>
      </c>
      <c r="I28" s="120">
        <v>185</v>
      </c>
      <c r="J28" s="120">
        <v>421</v>
      </c>
      <c r="L28" s="120"/>
      <c r="M28" s="120"/>
      <c r="N28" s="120"/>
      <c r="O28" s="120"/>
      <c r="P28" s="120"/>
      <c r="Q28" s="120"/>
      <c r="R28" s="120"/>
      <c r="S28" s="120"/>
      <c r="T28" s="120"/>
    </row>
    <row r="29" spans="1:22" x14ac:dyDescent="0.25">
      <c r="A29" s="4" t="s">
        <v>194</v>
      </c>
      <c r="B29" s="120">
        <v>25</v>
      </c>
      <c r="C29" s="120" t="s">
        <v>149</v>
      </c>
      <c r="D29" s="120">
        <v>85</v>
      </c>
      <c r="E29" s="120">
        <v>164</v>
      </c>
      <c r="F29" s="120">
        <v>18</v>
      </c>
      <c r="G29" s="120" t="s">
        <v>146</v>
      </c>
      <c r="H29" s="120" t="s">
        <v>149</v>
      </c>
      <c r="I29" s="120">
        <v>192</v>
      </c>
      <c r="J29" s="120">
        <v>484</v>
      </c>
      <c r="L29" s="120"/>
      <c r="M29" s="120"/>
      <c r="N29" s="120"/>
      <c r="O29" s="120"/>
      <c r="P29" s="120"/>
      <c r="Q29" s="120"/>
      <c r="R29" s="120"/>
      <c r="S29" s="120"/>
      <c r="T29" s="120"/>
    </row>
    <row r="30" spans="1:22" x14ac:dyDescent="0.25">
      <c r="A30" s="100" t="s">
        <v>61</v>
      </c>
      <c r="B30" s="121">
        <v>2309</v>
      </c>
      <c r="C30" s="121">
        <v>635</v>
      </c>
      <c r="D30" s="121">
        <v>2061</v>
      </c>
      <c r="E30" s="121">
        <v>1341</v>
      </c>
      <c r="F30" s="121">
        <v>541</v>
      </c>
      <c r="G30" s="121">
        <v>216</v>
      </c>
      <c r="H30" s="121">
        <v>152</v>
      </c>
      <c r="I30" s="121">
        <v>653</v>
      </c>
      <c r="J30" s="121">
        <v>7908</v>
      </c>
      <c r="L30" s="121"/>
      <c r="M30" s="121"/>
      <c r="N30" s="121"/>
      <c r="O30" s="121"/>
      <c r="P30" s="121"/>
      <c r="Q30" s="121"/>
      <c r="R30" s="121"/>
      <c r="S30" s="121"/>
      <c r="T30" s="121"/>
    </row>
    <row r="31" spans="1:22" ht="3.75" customHeight="1" x14ac:dyDescent="0.25">
      <c r="A31" s="112"/>
      <c r="B31" s="42"/>
      <c r="C31" s="42"/>
      <c r="D31" s="42"/>
      <c r="E31" s="42"/>
      <c r="F31" s="42"/>
      <c r="G31" s="42"/>
      <c r="H31" s="42"/>
      <c r="I31" s="42"/>
      <c r="J31" s="42"/>
    </row>
    <row r="32" spans="1:22" ht="3" customHeight="1" x14ac:dyDescent="0.25">
      <c r="A32" s="2"/>
    </row>
    <row r="33" spans="1:29" ht="9.75" customHeight="1" x14ac:dyDescent="0.25">
      <c r="A33" s="200" t="s">
        <v>252</v>
      </c>
      <c r="B33" s="200"/>
      <c r="C33" s="200"/>
      <c r="D33" s="200"/>
      <c r="E33" s="200"/>
      <c r="F33" s="200"/>
      <c r="G33" s="200"/>
      <c r="H33" s="200"/>
      <c r="I33" s="200"/>
      <c r="J33" s="200"/>
    </row>
    <row r="34" spans="1:29" ht="12" customHeight="1" x14ac:dyDescent="0.25">
      <c r="A34" s="74" t="s">
        <v>229</v>
      </c>
      <c r="B34" s="7"/>
      <c r="C34" s="7"/>
      <c r="D34" s="7"/>
      <c r="E34" s="7"/>
      <c r="F34" s="7"/>
      <c r="G34" s="7"/>
      <c r="H34" s="7"/>
      <c r="I34" s="7"/>
      <c r="J34" s="7"/>
      <c r="K34" s="7"/>
      <c r="L34" s="7"/>
    </row>
    <row r="35" spans="1:29" x14ac:dyDescent="0.25">
      <c r="A35" s="200" t="s">
        <v>23</v>
      </c>
      <c r="B35" s="200"/>
      <c r="C35" s="200"/>
      <c r="D35" s="200"/>
      <c r="E35" s="200"/>
      <c r="F35" s="200"/>
      <c r="G35" s="200"/>
      <c r="H35" s="200"/>
      <c r="I35" s="200"/>
      <c r="J35" s="200"/>
    </row>
    <row r="36" spans="1:29" s="7" customFormat="1" ht="9" x14ac:dyDescent="0.15">
      <c r="A36" s="7" t="s">
        <v>62</v>
      </c>
    </row>
    <row r="37" spans="1:29" s="7" customFormat="1" ht="9" x14ac:dyDescent="0.15">
      <c r="A37" s="7" t="s">
        <v>63</v>
      </c>
    </row>
    <row r="38" spans="1:29" s="7" customFormat="1" ht="9" x14ac:dyDescent="0.15">
      <c r="A38" s="7" t="s">
        <v>64</v>
      </c>
    </row>
    <row r="39" spans="1:29" s="7" customFormat="1" ht="9" x14ac:dyDescent="0.15"/>
    <row r="40" spans="1:29" s="7" customFormat="1" ht="9" x14ac:dyDescent="0.15">
      <c r="A40" s="7" t="s">
        <v>347</v>
      </c>
    </row>
    <row r="41" spans="1:29" x14ac:dyDescent="0.25">
      <c r="A41" s="2"/>
    </row>
    <row r="42" spans="1:29" ht="27.75" customHeight="1" x14ac:dyDescent="0.25">
      <c r="A42" s="198" t="s">
        <v>426</v>
      </c>
      <c r="B42" s="198"/>
      <c r="C42" s="198"/>
      <c r="D42" s="198"/>
      <c r="E42" s="198"/>
      <c r="F42" s="198"/>
      <c r="G42" s="198"/>
      <c r="H42" s="198"/>
      <c r="I42" s="198"/>
      <c r="J42" s="198"/>
    </row>
    <row r="43" spans="1:29" ht="2.25" customHeight="1" x14ac:dyDescent="0.25">
      <c r="A43" s="2"/>
    </row>
    <row r="44" spans="1:29" x14ac:dyDescent="0.25">
      <c r="A44" s="31" t="s">
        <v>204</v>
      </c>
      <c r="B44" s="3" t="s">
        <v>1</v>
      </c>
      <c r="C44" s="3" t="s">
        <v>2</v>
      </c>
      <c r="D44" s="3" t="s">
        <v>3</v>
      </c>
      <c r="E44" s="3" t="s">
        <v>4</v>
      </c>
      <c r="F44" s="3" t="s">
        <v>5</v>
      </c>
      <c r="G44" s="3" t="s">
        <v>6</v>
      </c>
      <c r="H44" s="3" t="s">
        <v>7</v>
      </c>
      <c r="I44" s="3" t="s">
        <v>8</v>
      </c>
      <c r="J44" s="3" t="s">
        <v>9</v>
      </c>
    </row>
    <row r="45" spans="1:29" x14ac:dyDescent="0.25">
      <c r="A45" s="4" t="s">
        <v>190</v>
      </c>
      <c r="B45" s="5">
        <v>8.0489999999999995</v>
      </c>
      <c r="C45" s="5">
        <v>4.0819999999999999</v>
      </c>
      <c r="D45" s="5">
        <v>13.166</v>
      </c>
      <c r="E45" s="5">
        <v>12.331</v>
      </c>
      <c r="F45" s="5">
        <v>10.134</v>
      </c>
      <c r="G45" s="5" t="s">
        <v>149</v>
      </c>
      <c r="H45" s="5">
        <v>17.071999999999999</v>
      </c>
      <c r="I45" s="5" t="s">
        <v>151</v>
      </c>
      <c r="J45" s="5">
        <v>8.8089999999999993</v>
      </c>
      <c r="L45" s="5"/>
      <c r="M45" s="5"/>
      <c r="N45" s="5"/>
      <c r="O45" s="5"/>
      <c r="P45" s="5"/>
      <c r="Q45" s="5"/>
      <c r="R45" s="5"/>
      <c r="S45" s="5"/>
      <c r="T45" s="5"/>
      <c r="U45" s="138"/>
      <c r="V45" s="138"/>
      <c r="W45" s="138"/>
      <c r="X45" s="138"/>
      <c r="Y45" s="138"/>
      <c r="Z45" s="138"/>
      <c r="AA45" s="138"/>
      <c r="AB45" s="138"/>
      <c r="AC45" s="138"/>
    </row>
    <row r="46" spans="1:29" x14ac:dyDescent="0.25">
      <c r="A46" s="4" t="s">
        <v>191</v>
      </c>
      <c r="B46" s="5">
        <v>14.866</v>
      </c>
      <c r="C46" s="5">
        <v>4.1289999999999996</v>
      </c>
      <c r="D46" s="5">
        <v>16.532</v>
      </c>
      <c r="E46" s="5">
        <v>6.0940000000000003</v>
      </c>
      <c r="F46" s="5">
        <v>5.0359999999999996</v>
      </c>
      <c r="G46" s="5">
        <v>23.03</v>
      </c>
      <c r="H46" s="5" t="s">
        <v>146</v>
      </c>
      <c r="I46" s="5" t="s">
        <v>151</v>
      </c>
      <c r="J46" s="5">
        <v>12.18</v>
      </c>
      <c r="L46" s="5"/>
      <c r="M46" s="5"/>
      <c r="N46" s="5"/>
      <c r="O46" s="5"/>
      <c r="P46" s="5"/>
      <c r="Q46" s="5"/>
      <c r="R46" s="5"/>
      <c r="S46" s="5"/>
      <c r="T46" s="5"/>
      <c r="U46" s="138"/>
      <c r="V46" s="138"/>
      <c r="W46" s="138"/>
      <c r="X46" s="138"/>
      <c r="Y46" s="138"/>
      <c r="Z46" s="138"/>
      <c r="AA46" s="138"/>
      <c r="AB46" s="138"/>
      <c r="AC46" s="138"/>
    </row>
    <row r="47" spans="1:29" x14ac:dyDescent="0.25">
      <c r="A47" s="4" t="s">
        <v>192</v>
      </c>
      <c r="B47" s="5">
        <v>18.015999999999998</v>
      </c>
      <c r="C47" s="5">
        <v>3.47</v>
      </c>
      <c r="D47" s="5">
        <v>42.825000000000003</v>
      </c>
      <c r="E47" s="5">
        <v>20.024000000000001</v>
      </c>
      <c r="F47" s="5">
        <v>18.648</v>
      </c>
      <c r="G47" s="5">
        <v>15.529</v>
      </c>
      <c r="H47" s="5" t="s">
        <v>149</v>
      </c>
      <c r="I47" s="5" t="s">
        <v>151</v>
      </c>
      <c r="J47" s="5">
        <v>25.806000000000001</v>
      </c>
      <c r="L47" s="5"/>
      <c r="M47" s="5"/>
      <c r="N47" s="5"/>
      <c r="O47" s="5"/>
      <c r="P47" s="5"/>
      <c r="Q47" s="5"/>
      <c r="R47" s="5"/>
      <c r="S47" s="5"/>
      <c r="T47" s="5"/>
      <c r="U47" s="138"/>
      <c r="V47" s="138"/>
      <c r="W47" s="138"/>
      <c r="X47" s="138"/>
      <c r="Y47" s="138"/>
      <c r="Z47" s="138"/>
      <c r="AA47" s="138"/>
      <c r="AB47" s="138"/>
      <c r="AC47" s="138"/>
    </row>
    <row r="48" spans="1:29" x14ac:dyDescent="0.25">
      <c r="A48" s="4" t="s">
        <v>193</v>
      </c>
      <c r="B48" s="5">
        <v>50.353999999999999</v>
      </c>
      <c r="C48" s="5" t="s">
        <v>146</v>
      </c>
      <c r="D48" s="5">
        <v>75.308999999999997</v>
      </c>
      <c r="E48" s="5">
        <v>29.206</v>
      </c>
      <c r="F48" s="5">
        <v>15.68</v>
      </c>
      <c r="G48" s="5">
        <v>14.326000000000001</v>
      </c>
      <c r="H48" s="5" t="s">
        <v>149</v>
      </c>
      <c r="I48" s="5" t="s">
        <v>151</v>
      </c>
      <c r="J48" s="5">
        <v>41.694000000000003</v>
      </c>
      <c r="L48" s="5"/>
      <c r="M48" s="5"/>
      <c r="N48" s="5"/>
      <c r="O48" s="5"/>
      <c r="P48" s="5"/>
      <c r="Q48" s="5"/>
      <c r="R48" s="5"/>
      <c r="S48" s="5"/>
      <c r="T48" s="5"/>
      <c r="U48" s="138"/>
      <c r="V48" s="138"/>
      <c r="W48" s="138"/>
      <c r="X48" s="138"/>
      <c r="Y48" s="138"/>
      <c r="Z48" s="138"/>
      <c r="AA48" s="138"/>
      <c r="AB48" s="138"/>
      <c r="AC48" s="138"/>
    </row>
    <row r="49" spans="1:29" x14ac:dyDescent="0.25">
      <c r="A49" s="4" t="s">
        <v>194</v>
      </c>
      <c r="B49" s="5">
        <v>149.20699999999999</v>
      </c>
      <c r="C49" s="5" t="s">
        <v>149</v>
      </c>
      <c r="D49" s="5">
        <v>85.531000000000006</v>
      </c>
      <c r="E49" s="5">
        <v>94.632999999999996</v>
      </c>
      <c r="F49" s="5">
        <v>51.418999999999997</v>
      </c>
      <c r="G49" s="5" t="s">
        <v>146</v>
      </c>
      <c r="H49" s="5" t="s">
        <v>149</v>
      </c>
      <c r="I49" s="5" t="s">
        <v>151</v>
      </c>
      <c r="J49" s="5">
        <v>87.986000000000004</v>
      </c>
      <c r="L49" s="5"/>
      <c r="M49" s="5"/>
      <c r="N49" s="5"/>
      <c r="O49" s="5"/>
      <c r="P49" s="5"/>
      <c r="Q49" s="5"/>
      <c r="R49" s="5"/>
      <c r="S49" s="5"/>
      <c r="T49" s="5"/>
      <c r="U49" s="138"/>
      <c r="V49" s="138"/>
      <c r="W49" s="138"/>
      <c r="X49" s="138"/>
      <c r="Y49" s="138"/>
      <c r="Z49" s="138"/>
      <c r="AA49" s="138"/>
      <c r="AB49" s="138"/>
      <c r="AC49" s="138"/>
    </row>
    <row r="50" spans="1:29" x14ac:dyDescent="0.25">
      <c r="A50" s="205" t="s">
        <v>13</v>
      </c>
      <c r="B50" s="205"/>
      <c r="C50" s="205"/>
      <c r="D50" s="205"/>
      <c r="E50" s="205"/>
      <c r="F50" s="205"/>
      <c r="G50" s="205"/>
      <c r="H50" s="205"/>
      <c r="I50" s="205"/>
      <c r="J50" s="205"/>
    </row>
    <row r="51" spans="1:29" x14ac:dyDescent="0.25">
      <c r="A51" s="74" t="s">
        <v>230</v>
      </c>
      <c r="B51" s="6"/>
      <c r="C51" s="6"/>
      <c r="D51" s="6"/>
      <c r="E51" s="6"/>
      <c r="F51" s="6"/>
      <c r="G51" s="6"/>
      <c r="H51" s="6"/>
      <c r="I51" s="6"/>
      <c r="J51" s="6"/>
    </row>
    <row r="52" spans="1:29" s="7" customFormat="1" ht="9" x14ac:dyDescent="0.15">
      <c r="A52" s="7" t="s">
        <v>14</v>
      </c>
    </row>
    <row r="53" spans="1:29" s="12" customFormat="1" ht="12.75" x14ac:dyDescent="0.2">
      <c r="A53" s="74" t="s">
        <v>23</v>
      </c>
    </row>
    <row r="54" spans="1:29" s="7" customFormat="1" ht="9" x14ac:dyDescent="0.15">
      <c r="A54" s="7" t="s">
        <v>62</v>
      </c>
    </row>
    <row r="55" spans="1:29" s="7" customFormat="1" ht="9" x14ac:dyDescent="0.15">
      <c r="A55" s="7" t="s">
        <v>63</v>
      </c>
    </row>
    <row r="56" spans="1:29" s="7" customFormat="1" ht="18.75" customHeight="1" x14ac:dyDescent="0.15">
      <c r="A56" s="188" t="s">
        <v>26</v>
      </c>
      <c r="B56" s="188"/>
      <c r="C56" s="188"/>
      <c r="D56" s="188"/>
      <c r="E56" s="188"/>
      <c r="F56" s="188"/>
      <c r="G56" s="188"/>
      <c r="H56" s="188"/>
      <c r="I56" s="188"/>
      <c r="J56" s="188"/>
    </row>
    <row r="57" spans="1:29" s="7" customFormat="1" ht="9" x14ac:dyDescent="0.15">
      <c r="A57" s="7" t="s">
        <v>195</v>
      </c>
    </row>
    <row r="58" spans="1:29" s="7" customFormat="1" ht="9" x14ac:dyDescent="0.15">
      <c r="A58" s="7" t="s">
        <v>427</v>
      </c>
    </row>
    <row r="59" spans="1:29" s="7" customFormat="1" ht="10.5" customHeight="1" x14ac:dyDescent="0.15">
      <c r="A59" s="7" t="s">
        <v>413</v>
      </c>
    </row>
    <row r="60" spans="1:29" s="7" customFormat="1" ht="9" x14ac:dyDescent="0.15">
      <c r="A60" s="7" t="s">
        <v>15</v>
      </c>
    </row>
    <row r="61" spans="1:29" s="7" customFormat="1" ht="9" x14ac:dyDescent="0.15">
      <c r="A61" s="7" t="s">
        <v>250</v>
      </c>
    </row>
    <row r="62" spans="1:29" x14ac:dyDescent="0.25">
      <c r="A62" s="2"/>
    </row>
    <row r="63" spans="1:29" ht="29.25" customHeight="1" x14ac:dyDescent="0.25">
      <c r="A63" s="198" t="s">
        <v>425</v>
      </c>
      <c r="B63" s="198"/>
      <c r="C63" s="198"/>
      <c r="D63" s="198"/>
      <c r="E63" s="198"/>
      <c r="F63" s="198"/>
      <c r="G63" s="198"/>
      <c r="H63" s="198"/>
      <c r="I63" s="198"/>
      <c r="J63" s="198"/>
    </row>
    <row r="64" spans="1:29" ht="2.25" customHeight="1" x14ac:dyDescent="0.25">
      <c r="A64" s="2"/>
    </row>
    <row r="65" spans="1:22" x14ac:dyDescent="0.25">
      <c r="A65" s="31" t="s">
        <v>204</v>
      </c>
      <c r="B65" s="3" t="s">
        <v>1</v>
      </c>
      <c r="C65" s="3" t="s">
        <v>2</v>
      </c>
      <c r="D65" s="3" t="s">
        <v>3</v>
      </c>
      <c r="E65" s="3" t="s">
        <v>4</v>
      </c>
      <c r="F65" s="3" t="s">
        <v>5</v>
      </c>
      <c r="G65" s="3" t="s">
        <v>6</v>
      </c>
      <c r="H65" s="3" t="s">
        <v>7</v>
      </c>
      <c r="I65" s="3" t="s">
        <v>8</v>
      </c>
      <c r="J65" s="3" t="s">
        <v>9</v>
      </c>
    </row>
    <row r="66" spans="1:22" x14ac:dyDescent="0.25">
      <c r="A66" s="4" t="s">
        <v>190</v>
      </c>
      <c r="B66" s="5">
        <v>21.181000000000001</v>
      </c>
      <c r="C66" s="5">
        <v>8.27</v>
      </c>
      <c r="D66" s="5">
        <v>24.035</v>
      </c>
      <c r="E66" s="5">
        <v>39.841000000000001</v>
      </c>
      <c r="F66" s="5">
        <v>27.033000000000001</v>
      </c>
      <c r="G66" s="5" t="s">
        <v>149</v>
      </c>
      <c r="H66" s="5">
        <v>38.941000000000003</v>
      </c>
      <c r="I66" s="5" t="s">
        <v>149</v>
      </c>
      <c r="J66" s="5">
        <v>21.292999999999999</v>
      </c>
      <c r="L66" s="5"/>
      <c r="M66" s="5"/>
      <c r="N66" s="5"/>
      <c r="O66" s="5"/>
      <c r="P66" s="5"/>
      <c r="Q66" s="5"/>
      <c r="R66" s="5"/>
      <c r="S66" s="5"/>
      <c r="T66" s="5"/>
      <c r="U66" s="140"/>
      <c r="V66" s="140"/>
    </row>
    <row r="67" spans="1:22" x14ac:dyDescent="0.25">
      <c r="A67" s="4" t="s">
        <v>191</v>
      </c>
      <c r="B67" s="5">
        <v>34.302</v>
      </c>
      <c r="C67" s="5">
        <v>8.1370000000000005</v>
      </c>
      <c r="D67" s="5">
        <v>30.451000000000001</v>
      </c>
      <c r="E67" s="5">
        <v>19.757999999999999</v>
      </c>
      <c r="F67" s="5">
        <v>12.849</v>
      </c>
      <c r="G67" s="5">
        <v>43.695</v>
      </c>
      <c r="H67" s="5" t="s">
        <v>146</v>
      </c>
      <c r="I67" s="5" t="s">
        <v>149</v>
      </c>
      <c r="J67" s="5">
        <v>25.576000000000001</v>
      </c>
      <c r="L67" s="5"/>
      <c r="M67" s="5"/>
      <c r="N67" s="5"/>
      <c r="O67" s="5"/>
      <c r="P67" s="5"/>
      <c r="Q67" s="5"/>
      <c r="R67" s="5"/>
      <c r="S67" s="5"/>
      <c r="T67" s="5"/>
      <c r="U67" s="140"/>
      <c r="V67" s="140"/>
    </row>
    <row r="68" spans="1:22" x14ac:dyDescent="0.25">
      <c r="A68" s="4" t="s">
        <v>192</v>
      </c>
      <c r="B68" s="5">
        <v>37.07</v>
      </c>
      <c r="C68" s="5">
        <v>9.4329999999999998</v>
      </c>
      <c r="D68" s="5">
        <v>72.161000000000001</v>
      </c>
      <c r="E68" s="5">
        <v>49.158999999999999</v>
      </c>
      <c r="F68" s="5">
        <v>40.661999999999999</v>
      </c>
      <c r="G68" s="5">
        <v>28.341000000000001</v>
      </c>
      <c r="H68" s="5" t="s">
        <v>149</v>
      </c>
      <c r="I68" s="5">
        <v>158.09700000000001</v>
      </c>
      <c r="J68" s="5">
        <v>55.59</v>
      </c>
      <c r="L68" s="5"/>
      <c r="M68" s="5"/>
      <c r="N68" s="5"/>
      <c r="O68" s="5"/>
      <c r="P68" s="5"/>
      <c r="Q68" s="5"/>
      <c r="R68" s="5"/>
      <c r="S68" s="5"/>
      <c r="T68" s="5"/>
      <c r="U68" s="140"/>
      <c r="V68" s="140"/>
    </row>
    <row r="69" spans="1:22" x14ac:dyDescent="0.25">
      <c r="A69" s="4" t="s">
        <v>193</v>
      </c>
      <c r="B69" s="5">
        <v>108.55800000000001</v>
      </c>
      <c r="C69" s="5" t="s">
        <v>146</v>
      </c>
      <c r="D69" s="5">
        <v>138.85300000000001</v>
      </c>
      <c r="E69" s="5">
        <v>75.09</v>
      </c>
      <c r="F69" s="5" t="s">
        <v>153</v>
      </c>
      <c r="G69" s="5" t="s">
        <v>153</v>
      </c>
      <c r="H69" s="5" t="s">
        <v>149</v>
      </c>
      <c r="I69" s="5">
        <v>327.74900000000002</v>
      </c>
      <c r="J69" s="5">
        <v>133.70699999999999</v>
      </c>
      <c r="L69" s="5"/>
      <c r="M69" s="5"/>
      <c r="N69" s="5"/>
      <c r="O69" s="5"/>
      <c r="P69" s="120"/>
      <c r="Q69" s="120"/>
      <c r="R69" s="5"/>
      <c r="S69" s="5"/>
      <c r="T69" s="5"/>
      <c r="U69" s="140"/>
      <c r="V69" s="140"/>
    </row>
    <row r="70" spans="1:22" x14ac:dyDescent="0.25">
      <c r="A70" s="4" t="s">
        <v>194</v>
      </c>
      <c r="B70" s="5">
        <v>338.74200000000002</v>
      </c>
      <c r="C70" s="5" t="s">
        <v>149</v>
      </c>
      <c r="D70" s="5">
        <v>146.381</v>
      </c>
      <c r="E70" s="5">
        <v>264.55500000000001</v>
      </c>
      <c r="F70" s="5">
        <v>122.92400000000001</v>
      </c>
      <c r="G70" s="5" t="s">
        <v>146</v>
      </c>
      <c r="H70" s="5" t="s">
        <v>149</v>
      </c>
      <c r="I70" s="5">
        <v>304.38299999999998</v>
      </c>
      <c r="J70" s="5">
        <v>233.44200000000001</v>
      </c>
      <c r="L70" s="5"/>
      <c r="M70" s="5"/>
      <c r="N70" s="5"/>
      <c r="O70" s="5"/>
      <c r="P70" s="5"/>
      <c r="Q70" s="5"/>
      <c r="R70" s="5"/>
      <c r="S70" s="5"/>
      <c r="T70" s="5"/>
      <c r="U70" s="140"/>
      <c r="V70" s="140"/>
    </row>
    <row r="71" spans="1:22" ht="2.25" customHeight="1" x14ac:dyDescent="0.25">
      <c r="A71" s="55"/>
      <c r="B71" s="56"/>
      <c r="C71" s="56"/>
      <c r="D71" s="56"/>
      <c r="E71" s="56"/>
      <c r="F71" s="56"/>
      <c r="G71" s="56"/>
      <c r="H71" s="56"/>
      <c r="I71" s="56"/>
      <c r="J71" s="56"/>
    </row>
    <row r="72" spans="1:22" ht="2.25" customHeight="1" x14ac:dyDescent="0.25">
      <c r="A72" s="2"/>
    </row>
    <row r="73" spans="1:22" ht="12" customHeight="1" x14ac:dyDescent="0.25">
      <c r="A73" s="7" t="s">
        <v>252</v>
      </c>
    </row>
    <row r="74" spans="1:22" ht="11.25" customHeight="1" x14ac:dyDescent="0.25">
      <c r="A74" s="74" t="s">
        <v>231</v>
      </c>
      <c r="B74" s="7"/>
      <c r="C74" s="7"/>
      <c r="D74" s="7"/>
      <c r="E74" s="7"/>
      <c r="F74" s="7"/>
      <c r="G74" s="7"/>
      <c r="H74" s="7"/>
      <c r="I74" s="7"/>
      <c r="J74" s="7"/>
      <c r="K74" s="7"/>
      <c r="L74" s="7"/>
    </row>
    <row r="75" spans="1:22" x14ac:dyDescent="0.25">
      <c r="A75" s="200" t="s">
        <v>23</v>
      </c>
      <c r="B75" s="200"/>
      <c r="C75" s="200"/>
      <c r="D75" s="200"/>
      <c r="E75" s="200"/>
      <c r="F75" s="200"/>
      <c r="G75" s="200"/>
      <c r="H75" s="200"/>
      <c r="I75" s="200"/>
      <c r="J75" s="200"/>
    </row>
    <row r="76" spans="1:22" s="7" customFormat="1" ht="9" x14ac:dyDescent="0.15">
      <c r="A76" s="7" t="s">
        <v>62</v>
      </c>
    </row>
    <row r="77" spans="1:22" s="7" customFormat="1" ht="9" x14ac:dyDescent="0.15">
      <c r="A77" s="7" t="s">
        <v>63</v>
      </c>
    </row>
    <row r="78" spans="1:22" s="7" customFormat="1" ht="9" x14ac:dyDescent="0.15">
      <c r="A78" s="7" t="s">
        <v>195</v>
      </c>
    </row>
    <row r="79" spans="1:22" s="7" customFormat="1" ht="9" x14ac:dyDescent="0.15">
      <c r="A79" s="7" t="s">
        <v>196</v>
      </c>
    </row>
    <row r="80" spans="1:22" s="7" customFormat="1" ht="9" x14ac:dyDescent="0.15">
      <c r="A80" s="7" t="s">
        <v>413</v>
      </c>
    </row>
    <row r="81" spans="1:22" s="7" customFormat="1" ht="9" x14ac:dyDescent="0.15">
      <c r="A81" s="7" t="s">
        <v>15</v>
      </c>
    </row>
    <row r="82" spans="1:22" s="7" customFormat="1" ht="9" x14ac:dyDescent="0.15">
      <c r="A82" s="7" t="s">
        <v>251</v>
      </c>
    </row>
    <row r="83" spans="1:22" x14ac:dyDescent="0.25">
      <c r="A83" s="2"/>
    </row>
    <row r="84" spans="1:22" x14ac:dyDescent="0.25">
      <c r="M84" s="138"/>
      <c r="N84" s="138"/>
      <c r="O84" s="138"/>
      <c r="P84" s="138"/>
      <c r="Q84" s="138"/>
      <c r="R84" s="138"/>
      <c r="S84" s="138"/>
      <c r="T84" s="138"/>
      <c r="U84" s="138"/>
      <c r="V84" s="138"/>
    </row>
    <row r="85" spans="1:22" x14ac:dyDescent="0.25">
      <c r="B85" s="1" t="s">
        <v>208</v>
      </c>
      <c r="M85" s="138"/>
      <c r="N85" s="138"/>
      <c r="O85" s="138"/>
      <c r="P85" s="138"/>
      <c r="Q85" s="138"/>
      <c r="R85" s="138"/>
      <c r="S85" s="138"/>
      <c r="T85" s="138"/>
      <c r="U85" s="138"/>
      <c r="V85" s="138"/>
    </row>
    <row r="86" spans="1:22" x14ac:dyDescent="0.25">
      <c r="M86" s="138"/>
      <c r="N86" s="138"/>
      <c r="O86" s="138"/>
      <c r="P86" s="138"/>
      <c r="Q86" s="138"/>
      <c r="R86" s="138"/>
      <c r="S86" s="138"/>
      <c r="T86" s="138"/>
      <c r="U86" s="138"/>
      <c r="V86" s="138"/>
    </row>
    <row r="87" spans="1:22" x14ac:dyDescent="0.25">
      <c r="M87" s="138"/>
      <c r="N87" s="138"/>
      <c r="O87" s="138"/>
      <c r="P87" s="138"/>
      <c r="Q87" s="138"/>
      <c r="R87" s="138"/>
      <c r="S87" s="138"/>
      <c r="T87" s="138"/>
      <c r="U87" s="138"/>
      <c r="V87" s="138"/>
    </row>
    <row r="88" spans="1:22" x14ac:dyDescent="0.25">
      <c r="M88" s="138"/>
      <c r="N88" s="138"/>
      <c r="O88" s="138"/>
      <c r="P88" s="138"/>
      <c r="Q88" s="138"/>
      <c r="R88" s="138"/>
      <c r="S88" s="138"/>
      <c r="T88" s="138"/>
      <c r="U88" s="138"/>
      <c r="V88" s="89"/>
    </row>
  </sheetData>
  <mergeCells count="12">
    <mergeCell ref="A11:J11"/>
    <mergeCell ref="A22:J22"/>
    <mergeCell ref="A1:J1"/>
    <mergeCell ref="A75:J75"/>
    <mergeCell ref="A17:J17"/>
    <mergeCell ref="A56:J56"/>
    <mergeCell ref="A35:J35"/>
    <mergeCell ref="A42:J42"/>
    <mergeCell ref="A50:J50"/>
    <mergeCell ref="A63:J63"/>
    <mergeCell ref="A18:J18"/>
    <mergeCell ref="A33:J33"/>
  </mergeCells>
  <pageMargins left="0.08" right="0.08" top="1" bottom="1" header="0.5" footer="0.5"/>
  <pageSetup orientation="landscape" blackAndWhite="1"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64"/>
  <sheetViews>
    <sheetView zoomScaleNormal="100" workbookViewId="0">
      <selection activeCell="I1" sqref="I1"/>
    </sheetView>
  </sheetViews>
  <sheetFormatPr defaultColWidth="9.140625" defaultRowHeight="15" x14ac:dyDescent="0.25"/>
  <cols>
    <col min="1" max="1" width="12.85546875" style="1" customWidth="1"/>
    <col min="2" max="2" width="21.140625" style="1" customWidth="1"/>
    <col min="3" max="8" width="11.42578125" style="1" bestFit="1" customWidth="1"/>
    <col min="9" max="9" width="9.140625" style="1"/>
    <col min="10" max="10" width="17.85546875" style="1" bestFit="1" customWidth="1"/>
    <col min="11" max="12" width="9.140625" style="1"/>
    <col min="13" max="13" width="16.7109375" style="1" bestFit="1" customWidth="1"/>
    <col min="14" max="16384" width="9.140625" style="1"/>
  </cols>
  <sheetData>
    <row r="1" spans="1:14" ht="30.75" customHeight="1" x14ac:dyDescent="0.25">
      <c r="A1" s="206" t="s">
        <v>437</v>
      </c>
      <c r="B1" s="206"/>
      <c r="C1" s="206"/>
      <c r="D1" s="206"/>
      <c r="E1" s="206"/>
      <c r="F1" s="206"/>
    </row>
    <row r="2" spans="1:14" ht="3" customHeight="1" x14ac:dyDescent="0.25">
      <c r="A2" s="2"/>
    </row>
    <row r="3" spans="1:14" ht="23.25" x14ac:dyDescent="0.25">
      <c r="A3" s="75" t="s">
        <v>157</v>
      </c>
      <c r="B3" s="75" t="s">
        <v>205</v>
      </c>
      <c r="C3" s="3" t="s">
        <v>19</v>
      </c>
      <c r="D3" s="3" t="s">
        <v>20</v>
      </c>
      <c r="E3" s="3" t="s">
        <v>21</v>
      </c>
      <c r="F3" s="3" t="s">
        <v>12</v>
      </c>
    </row>
    <row r="4" spans="1:14" x14ac:dyDescent="0.25">
      <c r="A4" s="203" t="s">
        <v>18</v>
      </c>
      <c r="B4" s="4" t="s">
        <v>197</v>
      </c>
      <c r="C4" s="5">
        <v>754.3</v>
      </c>
      <c r="D4" s="5">
        <v>504.6</v>
      </c>
      <c r="E4" s="5">
        <v>7.3</v>
      </c>
      <c r="F4" s="5">
        <v>1266.0999999999999</v>
      </c>
      <c r="H4" s="152"/>
      <c r="I4" s="152"/>
      <c r="J4" s="152"/>
      <c r="K4" s="152"/>
      <c r="L4" s="5"/>
      <c r="M4" s="155"/>
      <c r="N4" s="129"/>
    </row>
    <row r="5" spans="1:14" x14ac:dyDescent="0.25">
      <c r="A5" s="203"/>
      <c r="B5" s="4">
        <v>2</v>
      </c>
      <c r="C5" s="5">
        <v>507.9</v>
      </c>
      <c r="D5" s="5">
        <v>337</v>
      </c>
      <c r="E5" s="5">
        <v>7.1</v>
      </c>
      <c r="F5" s="5">
        <v>852.1</v>
      </c>
      <c r="H5" s="152"/>
      <c r="I5" s="152"/>
      <c r="J5" s="152"/>
      <c r="K5" s="152"/>
      <c r="L5" s="5"/>
    </row>
    <row r="6" spans="1:14" x14ac:dyDescent="0.25">
      <c r="A6" s="203"/>
      <c r="B6" s="4">
        <v>3</v>
      </c>
      <c r="C6" s="5">
        <v>208.1</v>
      </c>
      <c r="D6" s="5">
        <v>332.4</v>
      </c>
      <c r="E6" s="5">
        <v>3.2</v>
      </c>
      <c r="F6" s="5">
        <v>543.70000000000005</v>
      </c>
      <c r="H6" s="152"/>
      <c r="I6" s="152"/>
      <c r="J6" s="152"/>
      <c r="K6" s="152"/>
      <c r="L6" s="5"/>
    </row>
    <row r="7" spans="1:14" x14ac:dyDescent="0.25">
      <c r="A7" s="203"/>
      <c r="B7" s="4">
        <v>4</v>
      </c>
      <c r="C7" s="5">
        <v>100.2</v>
      </c>
      <c r="D7" s="5">
        <v>215.1</v>
      </c>
      <c r="E7" s="5">
        <v>2.5</v>
      </c>
      <c r="F7" s="5">
        <v>317.8</v>
      </c>
      <c r="H7" s="152"/>
      <c r="I7" s="152"/>
      <c r="J7" s="152"/>
      <c r="K7" s="152"/>
      <c r="L7" s="5"/>
    </row>
    <row r="8" spans="1:14" x14ac:dyDescent="0.25">
      <c r="A8" s="203"/>
      <c r="B8" s="4" t="s">
        <v>198</v>
      </c>
      <c r="C8" s="5">
        <v>61</v>
      </c>
      <c r="D8" s="5">
        <v>135.9</v>
      </c>
      <c r="E8" s="5">
        <v>1.9</v>
      </c>
      <c r="F8" s="5">
        <v>198.7</v>
      </c>
      <c r="H8" s="152"/>
      <c r="I8" s="152"/>
      <c r="J8" s="152"/>
      <c r="K8" s="152"/>
      <c r="L8" s="5"/>
    </row>
    <row r="9" spans="1:14" x14ac:dyDescent="0.25">
      <c r="A9" s="203" t="s">
        <v>22</v>
      </c>
      <c r="B9" s="4" t="s">
        <v>197</v>
      </c>
      <c r="C9" s="5">
        <v>216.9</v>
      </c>
      <c r="D9" s="5">
        <v>102.3</v>
      </c>
      <c r="E9" s="5">
        <v>0.7</v>
      </c>
      <c r="F9" s="5">
        <v>319.89999999999998</v>
      </c>
      <c r="H9" s="152"/>
      <c r="I9" s="152"/>
      <c r="J9" s="152"/>
      <c r="K9" s="152"/>
      <c r="L9" s="5"/>
    </row>
    <row r="10" spans="1:14" x14ac:dyDescent="0.25">
      <c r="A10" s="203"/>
      <c r="B10" s="4">
        <v>2</v>
      </c>
      <c r="C10" s="5">
        <v>141.80000000000001</v>
      </c>
      <c r="D10" s="5">
        <v>68.5</v>
      </c>
      <c r="E10" s="5">
        <v>2.2999999999999998</v>
      </c>
      <c r="F10" s="5">
        <v>212.6</v>
      </c>
      <c r="H10" s="152"/>
      <c r="I10" s="152"/>
      <c r="J10" s="152"/>
      <c r="K10" s="152"/>
      <c r="L10" s="5"/>
    </row>
    <row r="11" spans="1:14" x14ac:dyDescent="0.25">
      <c r="A11" s="203"/>
      <c r="B11" s="4">
        <v>3</v>
      </c>
      <c r="C11" s="5">
        <v>81.599999999999994</v>
      </c>
      <c r="D11" s="5">
        <v>59.3</v>
      </c>
      <c r="E11" s="5">
        <v>1</v>
      </c>
      <c r="F11" s="5">
        <v>141.9</v>
      </c>
      <c r="H11" s="152"/>
      <c r="I11" s="152"/>
      <c r="J11" s="152"/>
      <c r="K11" s="152"/>
      <c r="L11" s="5"/>
    </row>
    <row r="12" spans="1:14" x14ac:dyDescent="0.25">
      <c r="A12" s="203"/>
      <c r="B12" s="4">
        <v>4</v>
      </c>
      <c r="C12" s="5">
        <v>30.5</v>
      </c>
      <c r="D12" s="5">
        <v>46.2</v>
      </c>
      <c r="E12" s="5">
        <v>0.2</v>
      </c>
      <c r="F12" s="5">
        <v>76.900000000000006</v>
      </c>
      <c r="H12" s="152"/>
      <c r="I12" s="152"/>
      <c r="J12" s="152"/>
      <c r="K12" s="152"/>
      <c r="L12" s="5"/>
    </row>
    <row r="13" spans="1:14" x14ac:dyDescent="0.25">
      <c r="A13" s="203"/>
      <c r="B13" s="4" t="s">
        <v>198</v>
      </c>
      <c r="C13" s="5">
        <v>16.7</v>
      </c>
      <c r="D13" s="5">
        <v>31.6</v>
      </c>
      <c r="E13" s="5" t="s">
        <v>146</v>
      </c>
      <c r="F13" s="5">
        <v>48.3</v>
      </c>
      <c r="H13" s="152"/>
      <c r="I13" s="152"/>
      <c r="J13" s="152"/>
      <c r="K13" s="152"/>
      <c r="L13" s="5"/>
    </row>
    <row r="14" spans="1:14" x14ac:dyDescent="0.25">
      <c r="A14" s="203" t="s">
        <v>21</v>
      </c>
      <c r="B14" s="4" t="s">
        <v>197</v>
      </c>
      <c r="C14" s="5" t="s">
        <v>146</v>
      </c>
      <c r="D14" s="5">
        <v>1.5</v>
      </c>
      <c r="E14" s="5" t="s">
        <v>146</v>
      </c>
      <c r="F14" s="5">
        <v>1.5</v>
      </c>
      <c r="H14" s="152"/>
      <c r="I14" s="152"/>
      <c r="J14" s="152"/>
      <c r="K14" s="152"/>
      <c r="L14" s="5"/>
    </row>
    <row r="15" spans="1:14" x14ac:dyDescent="0.25">
      <c r="A15" s="203"/>
      <c r="B15" s="4">
        <v>2</v>
      </c>
      <c r="C15" s="5">
        <v>0.1</v>
      </c>
      <c r="D15" s="5">
        <v>0.7</v>
      </c>
      <c r="E15" s="5">
        <v>0.1</v>
      </c>
      <c r="F15" s="5">
        <v>1</v>
      </c>
      <c r="H15" s="152"/>
      <c r="I15" s="152"/>
      <c r="J15" s="152"/>
      <c r="K15" s="152"/>
      <c r="L15" s="5"/>
    </row>
    <row r="16" spans="1:14" x14ac:dyDescent="0.25">
      <c r="A16" s="203"/>
      <c r="B16" s="4">
        <v>3</v>
      </c>
      <c r="C16" s="5">
        <v>0.3</v>
      </c>
      <c r="D16" s="5">
        <v>1.4</v>
      </c>
      <c r="E16" s="5">
        <v>0.5</v>
      </c>
      <c r="F16" s="5">
        <v>2.2000000000000002</v>
      </c>
      <c r="H16" s="152"/>
      <c r="I16" s="152"/>
      <c r="J16" s="152"/>
      <c r="K16" s="152"/>
      <c r="L16" s="5"/>
    </row>
    <row r="17" spans="1:12" x14ac:dyDescent="0.25">
      <c r="A17" s="203"/>
      <c r="B17" s="4">
        <v>4</v>
      </c>
      <c r="C17" s="5" t="s">
        <v>146</v>
      </c>
      <c r="D17" s="5" t="s">
        <v>146</v>
      </c>
      <c r="E17" s="5" t="s">
        <v>146</v>
      </c>
      <c r="F17" s="5" t="s">
        <v>146</v>
      </c>
      <c r="H17" s="152"/>
      <c r="I17" s="152"/>
      <c r="J17" s="152"/>
      <c r="K17" s="152"/>
      <c r="L17" s="9"/>
    </row>
    <row r="18" spans="1:12" x14ac:dyDescent="0.25">
      <c r="A18" s="203"/>
      <c r="B18" s="4" t="s">
        <v>198</v>
      </c>
      <c r="C18" s="5" t="s">
        <v>146</v>
      </c>
      <c r="D18" s="5" t="s">
        <v>146</v>
      </c>
      <c r="E18" s="5" t="s">
        <v>146</v>
      </c>
      <c r="F18" s="5" t="s">
        <v>146</v>
      </c>
      <c r="H18" s="152"/>
      <c r="I18" s="152"/>
      <c r="J18" s="152"/>
      <c r="K18" s="152"/>
      <c r="L18" s="9"/>
    </row>
    <row r="19" spans="1:12" x14ac:dyDescent="0.25">
      <c r="A19" s="203" t="s">
        <v>12</v>
      </c>
      <c r="B19" s="4" t="s">
        <v>197</v>
      </c>
      <c r="C19" s="5">
        <v>971.1</v>
      </c>
      <c r="D19" s="5">
        <v>608.4</v>
      </c>
      <c r="E19" s="5">
        <v>7.9</v>
      </c>
      <c r="F19" s="5">
        <v>1587.5</v>
      </c>
      <c r="H19" s="152"/>
      <c r="I19" s="152"/>
      <c r="J19" s="152"/>
      <c r="K19" s="152"/>
      <c r="L19" s="5"/>
    </row>
    <row r="20" spans="1:12" x14ac:dyDescent="0.25">
      <c r="A20" s="203"/>
      <c r="B20" s="4">
        <v>2</v>
      </c>
      <c r="C20" s="5">
        <v>649.9</v>
      </c>
      <c r="D20" s="5">
        <v>406.2</v>
      </c>
      <c r="E20" s="5">
        <v>9.6</v>
      </c>
      <c r="F20" s="5">
        <v>1065.7</v>
      </c>
      <c r="H20" s="152"/>
      <c r="I20" s="152"/>
      <c r="J20" s="152"/>
      <c r="K20" s="152"/>
      <c r="L20" s="5"/>
    </row>
    <row r="21" spans="1:12" x14ac:dyDescent="0.25">
      <c r="A21" s="203"/>
      <c r="B21" s="4">
        <v>3</v>
      </c>
      <c r="C21" s="5">
        <v>289.89999999999998</v>
      </c>
      <c r="D21" s="5">
        <v>393.2</v>
      </c>
      <c r="E21" s="5">
        <v>4.7</v>
      </c>
      <c r="F21" s="5">
        <v>687.8</v>
      </c>
      <c r="H21" s="152"/>
      <c r="I21" s="152"/>
      <c r="J21" s="152"/>
      <c r="K21" s="152"/>
      <c r="L21" s="5"/>
    </row>
    <row r="22" spans="1:12" x14ac:dyDescent="0.25">
      <c r="A22" s="203"/>
      <c r="B22" s="4">
        <v>4</v>
      </c>
      <c r="C22" s="5">
        <v>130.69999999999999</v>
      </c>
      <c r="D22" s="5">
        <v>261.3</v>
      </c>
      <c r="E22" s="5">
        <v>2.7</v>
      </c>
      <c r="F22" s="5">
        <v>394.7</v>
      </c>
      <c r="H22" s="152"/>
      <c r="I22" s="152"/>
      <c r="J22" s="152"/>
      <c r="K22" s="152"/>
      <c r="L22" s="5"/>
    </row>
    <row r="23" spans="1:12" x14ac:dyDescent="0.25">
      <c r="A23" s="203"/>
      <c r="B23" s="4" t="s">
        <v>198</v>
      </c>
      <c r="C23" s="5">
        <v>77.7</v>
      </c>
      <c r="D23" s="5">
        <v>167.4</v>
      </c>
      <c r="E23" s="5">
        <v>1.9</v>
      </c>
      <c r="F23" s="5">
        <v>247.1</v>
      </c>
      <c r="H23" s="152"/>
      <c r="I23" s="152"/>
      <c r="J23" s="152"/>
      <c r="K23" s="152"/>
      <c r="L23" s="5"/>
    </row>
    <row r="24" spans="1:12" ht="15" customHeight="1" x14ac:dyDescent="0.25">
      <c r="B24" s="73" t="s">
        <v>61</v>
      </c>
      <c r="C24" s="101">
        <v>2182.8000000000002</v>
      </c>
      <c r="D24" s="101">
        <v>1927.04</v>
      </c>
      <c r="E24" s="101">
        <v>37.46</v>
      </c>
      <c r="F24" s="101">
        <v>4147.3</v>
      </c>
      <c r="H24" s="153"/>
      <c r="I24" s="153"/>
      <c r="J24" s="153"/>
      <c r="K24" s="153"/>
      <c r="L24" s="101"/>
    </row>
    <row r="25" spans="1:12" ht="0.75" customHeight="1" x14ac:dyDescent="0.25">
      <c r="A25" s="2"/>
    </row>
    <row r="26" spans="1:12" x14ac:dyDescent="0.25">
      <c r="A26" s="205" t="s">
        <v>13</v>
      </c>
      <c r="B26" s="205"/>
      <c r="C26" s="205"/>
      <c r="D26" s="205"/>
      <c r="E26" s="205"/>
      <c r="F26" s="205"/>
    </row>
    <row r="27" spans="1:12" x14ac:dyDescent="0.25">
      <c r="A27" s="113" t="s">
        <v>206</v>
      </c>
      <c r="B27" s="6"/>
      <c r="C27" s="6"/>
      <c r="D27" s="6"/>
      <c r="E27" s="6"/>
      <c r="F27" s="6"/>
    </row>
    <row r="28" spans="1:12" s="7" customFormat="1" ht="9" x14ac:dyDescent="0.15">
      <c r="A28" s="7" t="s">
        <v>14</v>
      </c>
    </row>
    <row r="29" spans="1:12" s="12" customFormat="1" ht="12.75" x14ac:dyDescent="0.2">
      <c r="A29" s="74" t="s">
        <v>224</v>
      </c>
    </row>
    <row r="30" spans="1:12" s="12" customFormat="1" ht="11.25" customHeight="1" x14ac:dyDescent="0.2">
      <c r="A30" s="74" t="s">
        <v>66</v>
      </c>
    </row>
    <row r="31" spans="1:12" s="12" customFormat="1" ht="10.5" customHeight="1" x14ac:dyDescent="0.2">
      <c r="A31" s="74" t="s">
        <v>348</v>
      </c>
    </row>
    <row r="32" spans="1:12" s="7" customFormat="1" ht="9" x14ac:dyDescent="0.15">
      <c r="A32" s="7" t="s">
        <v>15</v>
      </c>
    </row>
    <row r="33" spans="1:16" s="7" customFormat="1" ht="9" x14ac:dyDescent="0.15">
      <c r="A33" s="7" t="s">
        <v>347</v>
      </c>
    </row>
    <row r="34" spans="1:16" x14ac:dyDescent="0.25">
      <c r="A34" s="2"/>
    </row>
    <row r="35" spans="1:16" ht="28.5" customHeight="1" x14ac:dyDescent="0.25">
      <c r="A35" s="206" t="s">
        <v>438</v>
      </c>
      <c r="B35" s="206"/>
      <c r="C35" s="206"/>
      <c r="D35" s="206"/>
      <c r="E35" s="206"/>
      <c r="F35" s="206"/>
      <c r="G35" s="57"/>
      <c r="H35" s="57"/>
    </row>
    <row r="36" spans="1:16" ht="1.5" customHeight="1" x14ac:dyDescent="0.25">
      <c r="A36" s="2"/>
    </row>
    <row r="37" spans="1:16" ht="23.25" x14ac:dyDescent="0.25">
      <c r="A37" s="75" t="s">
        <v>157</v>
      </c>
      <c r="B37" s="75" t="s">
        <v>205</v>
      </c>
      <c r="C37" s="3" t="s">
        <v>19</v>
      </c>
      <c r="D37" s="3" t="s">
        <v>20</v>
      </c>
      <c r="E37" s="3" t="s">
        <v>21</v>
      </c>
      <c r="F37" s="11" t="s">
        <v>12</v>
      </c>
    </row>
    <row r="38" spans="1:16" x14ac:dyDescent="0.25">
      <c r="A38" s="203" t="s">
        <v>18</v>
      </c>
      <c r="B38" s="4" t="s">
        <v>197</v>
      </c>
      <c r="C38" s="9">
        <v>1759</v>
      </c>
      <c r="D38" s="9">
        <v>1010</v>
      </c>
      <c r="E38" s="9">
        <v>38</v>
      </c>
      <c r="F38" s="9">
        <v>2807</v>
      </c>
      <c r="H38" s="153"/>
      <c r="I38" s="153"/>
      <c r="J38" s="153"/>
      <c r="K38" s="153"/>
      <c r="L38" s="9"/>
      <c r="M38" s="123"/>
      <c r="P38" s="123"/>
    </row>
    <row r="39" spans="1:16" x14ac:dyDescent="0.25">
      <c r="A39" s="203"/>
      <c r="B39" s="4">
        <v>2</v>
      </c>
      <c r="C39" s="9">
        <v>1146</v>
      </c>
      <c r="D39" s="9">
        <v>728</v>
      </c>
      <c r="E39" s="9">
        <v>35</v>
      </c>
      <c r="F39" s="9">
        <v>1909</v>
      </c>
      <c r="H39" s="153"/>
      <c r="I39" s="153"/>
      <c r="J39" s="153"/>
      <c r="K39" s="153"/>
      <c r="L39" s="9"/>
    </row>
    <row r="40" spans="1:16" x14ac:dyDescent="0.25">
      <c r="A40" s="203"/>
      <c r="B40" s="4">
        <v>3</v>
      </c>
      <c r="C40" s="9">
        <v>536</v>
      </c>
      <c r="D40" s="9">
        <v>645</v>
      </c>
      <c r="E40" s="9">
        <v>15</v>
      </c>
      <c r="F40" s="9">
        <v>1196</v>
      </c>
      <c r="H40" s="153"/>
      <c r="I40" s="153"/>
      <c r="J40" s="153"/>
      <c r="K40" s="153"/>
      <c r="L40" s="9"/>
    </row>
    <row r="41" spans="1:16" x14ac:dyDescent="0.25">
      <c r="A41" s="203"/>
      <c r="B41" s="4">
        <v>4</v>
      </c>
      <c r="C41" s="9">
        <v>275</v>
      </c>
      <c r="D41" s="9">
        <v>473</v>
      </c>
      <c r="E41" s="9">
        <v>16</v>
      </c>
      <c r="F41" s="9">
        <v>764</v>
      </c>
      <c r="H41" s="153"/>
      <c r="I41" s="153"/>
      <c r="J41" s="153"/>
      <c r="K41" s="153"/>
      <c r="L41" s="9"/>
    </row>
    <row r="42" spans="1:16" x14ac:dyDescent="0.25">
      <c r="A42" s="203"/>
      <c r="B42" s="4" t="s">
        <v>198</v>
      </c>
      <c r="C42" s="9">
        <v>135</v>
      </c>
      <c r="D42" s="9">
        <v>285</v>
      </c>
      <c r="E42" s="9">
        <v>6</v>
      </c>
      <c r="F42" s="9">
        <v>426</v>
      </c>
      <c r="H42" s="153"/>
      <c r="I42" s="153"/>
      <c r="J42" s="153"/>
      <c r="K42" s="153"/>
      <c r="L42" s="9"/>
    </row>
    <row r="43" spans="1:16" x14ac:dyDescent="0.25">
      <c r="A43" s="203" t="s">
        <v>22</v>
      </c>
      <c r="B43" s="4" t="s">
        <v>197</v>
      </c>
      <c r="C43" s="9">
        <v>496</v>
      </c>
      <c r="D43" s="9">
        <v>226</v>
      </c>
      <c r="E43" s="9">
        <v>4</v>
      </c>
      <c r="F43" s="9">
        <v>726</v>
      </c>
      <c r="H43" s="153"/>
      <c r="I43" s="153"/>
      <c r="J43" s="153"/>
      <c r="K43" s="153"/>
      <c r="L43" s="9"/>
    </row>
    <row r="44" spans="1:16" x14ac:dyDescent="0.25">
      <c r="A44" s="203"/>
      <c r="B44" s="4">
        <v>2</v>
      </c>
      <c r="C44" s="9">
        <v>365</v>
      </c>
      <c r="D44" s="9">
        <v>176</v>
      </c>
      <c r="E44" s="9">
        <v>9</v>
      </c>
      <c r="F44" s="9">
        <v>550</v>
      </c>
      <c r="H44" s="153"/>
      <c r="I44" s="153"/>
      <c r="J44" s="153"/>
      <c r="K44" s="153"/>
      <c r="L44" s="9"/>
    </row>
    <row r="45" spans="1:16" x14ac:dyDescent="0.25">
      <c r="A45" s="203"/>
      <c r="B45" s="4">
        <v>3</v>
      </c>
      <c r="C45" s="9">
        <v>206</v>
      </c>
      <c r="D45" s="9">
        <v>138</v>
      </c>
      <c r="E45" s="9">
        <v>6</v>
      </c>
      <c r="F45" s="9">
        <v>350</v>
      </c>
      <c r="H45" s="153"/>
      <c r="I45" s="153"/>
      <c r="J45" s="153"/>
      <c r="K45" s="153"/>
      <c r="L45" s="9"/>
    </row>
    <row r="46" spans="1:16" x14ac:dyDescent="0.25">
      <c r="A46" s="203"/>
      <c r="B46" s="4">
        <v>4</v>
      </c>
      <c r="C46" s="9">
        <v>108</v>
      </c>
      <c r="D46" s="9">
        <v>106</v>
      </c>
      <c r="E46" s="9">
        <v>2</v>
      </c>
      <c r="F46" s="9">
        <v>216</v>
      </c>
      <c r="H46" s="153"/>
      <c r="I46" s="153"/>
      <c r="J46" s="153"/>
      <c r="K46" s="153"/>
      <c r="L46" s="9"/>
    </row>
    <row r="47" spans="1:16" x14ac:dyDescent="0.25">
      <c r="A47" s="203"/>
      <c r="B47" s="4" t="s">
        <v>198</v>
      </c>
      <c r="C47" s="9">
        <v>40</v>
      </c>
      <c r="D47" s="9">
        <v>84</v>
      </c>
      <c r="E47" s="5" t="s">
        <v>146</v>
      </c>
      <c r="F47" s="9">
        <v>124</v>
      </c>
      <c r="H47" s="153"/>
      <c r="I47" s="153"/>
      <c r="J47" s="153"/>
      <c r="K47" s="153"/>
      <c r="L47" s="9"/>
    </row>
    <row r="48" spans="1:16" x14ac:dyDescent="0.25">
      <c r="A48" s="203" t="s">
        <v>199</v>
      </c>
      <c r="B48" s="4" t="s">
        <v>197</v>
      </c>
      <c r="C48" s="5" t="s">
        <v>146</v>
      </c>
      <c r="D48" s="9">
        <v>2</v>
      </c>
      <c r="E48" s="9">
        <v>1</v>
      </c>
      <c r="F48" s="9">
        <v>3</v>
      </c>
      <c r="H48" s="153"/>
      <c r="I48" s="153"/>
      <c r="J48" s="153"/>
      <c r="K48" s="153"/>
      <c r="L48" s="9"/>
    </row>
    <row r="49" spans="1:12" x14ac:dyDescent="0.25">
      <c r="A49" s="203"/>
      <c r="B49" s="4">
        <v>2</v>
      </c>
      <c r="C49" s="9">
        <v>1</v>
      </c>
      <c r="D49" s="9">
        <v>1</v>
      </c>
      <c r="E49" s="9">
        <v>1</v>
      </c>
      <c r="F49" s="9">
        <v>3</v>
      </c>
      <c r="H49" s="153"/>
      <c r="I49" s="153"/>
      <c r="J49" s="153"/>
      <c r="K49" s="153"/>
      <c r="L49" s="9"/>
    </row>
    <row r="50" spans="1:12" x14ac:dyDescent="0.25">
      <c r="A50" s="203"/>
      <c r="B50" s="4">
        <v>3</v>
      </c>
      <c r="C50" s="9">
        <v>1</v>
      </c>
      <c r="D50" s="9">
        <v>3</v>
      </c>
      <c r="E50" s="9">
        <v>2</v>
      </c>
      <c r="F50" s="9">
        <v>6</v>
      </c>
      <c r="H50" s="153"/>
      <c r="I50" s="153"/>
      <c r="J50" s="153"/>
      <c r="K50" s="153"/>
      <c r="L50" s="9"/>
    </row>
    <row r="51" spans="1:12" x14ac:dyDescent="0.25">
      <c r="A51" s="203"/>
      <c r="B51" s="4">
        <v>4</v>
      </c>
      <c r="C51" s="5" t="s">
        <v>146</v>
      </c>
      <c r="D51" s="5" t="s">
        <v>146</v>
      </c>
      <c r="E51" s="5" t="s">
        <v>146</v>
      </c>
      <c r="F51" s="5" t="s">
        <v>146</v>
      </c>
      <c r="H51" s="153"/>
      <c r="I51" s="153"/>
      <c r="J51" s="153"/>
      <c r="K51" s="153"/>
      <c r="L51" s="9"/>
    </row>
    <row r="52" spans="1:12" x14ac:dyDescent="0.25">
      <c r="A52" s="203"/>
      <c r="B52" s="4" t="s">
        <v>198</v>
      </c>
      <c r="C52" s="5" t="s">
        <v>146</v>
      </c>
      <c r="D52" s="5" t="s">
        <v>146</v>
      </c>
      <c r="E52" s="5" t="s">
        <v>146</v>
      </c>
      <c r="F52" s="5" t="s">
        <v>146</v>
      </c>
      <c r="H52" s="153"/>
      <c r="I52" s="153"/>
      <c r="J52" s="153"/>
      <c r="K52" s="153"/>
      <c r="L52" s="9"/>
    </row>
    <row r="53" spans="1:12" x14ac:dyDescent="0.25">
      <c r="A53" s="195" t="s">
        <v>12</v>
      </c>
      <c r="B53" s="4" t="s">
        <v>197</v>
      </c>
      <c r="C53" s="9">
        <v>2255</v>
      </c>
      <c r="D53" s="9">
        <v>1238</v>
      </c>
      <c r="E53" s="9">
        <v>43</v>
      </c>
      <c r="F53" s="9">
        <v>3536</v>
      </c>
      <c r="H53" s="153"/>
      <c r="I53" s="153"/>
      <c r="J53" s="153"/>
      <c r="K53" s="153"/>
      <c r="L53" s="9"/>
    </row>
    <row r="54" spans="1:12" x14ac:dyDescent="0.25">
      <c r="A54" s="195"/>
      <c r="B54" s="4">
        <v>2</v>
      </c>
      <c r="C54" s="9">
        <v>1512</v>
      </c>
      <c r="D54" s="9">
        <v>905</v>
      </c>
      <c r="E54" s="9">
        <v>45</v>
      </c>
      <c r="F54" s="9">
        <v>2462</v>
      </c>
      <c r="H54" s="153"/>
      <c r="I54" s="153"/>
      <c r="J54" s="153"/>
      <c r="K54" s="153"/>
      <c r="L54" s="9"/>
    </row>
    <row r="55" spans="1:12" x14ac:dyDescent="0.25">
      <c r="A55" s="195"/>
      <c r="B55" s="4">
        <v>3</v>
      </c>
      <c r="C55" s="9">
        <v>743</v>
      </c>
      <c r="D55" s="9">
        <v>786</v>
      </c>
      <c r="E55" s="9">
        <v>23</v>
      </c>
      <c r="F55" s="9">
        <v>1552</v>
      </c>
      <c r="H55" s="153"/>
      <c r="I55" s="153"/>
      <c r="J55" s="153"/>
      <c r="K55" s="153"/>
      <c r="L55" s="9"/>
    </row>
    <row r="56" spans="1:12" x14ac:dyDescent="0.25">
      <c r="A56" s="195"/>
      <c r="B56" s="4">
        <v>4</v>
      </c>
      <c r="C56" s="9">
        <v>383</v>
      </c>
      <c r="D56" s="9">
        <v>579</v>
      </c>
      <c r="E56" s="9">
        <v>18</v>
      </c>
      <c r="F56" s="9">
        <v>980</v>
      </c>
      <c r="H56" s="153"/>
      <c r="I56" s="153"/>
      <c r="J56" s="153"/>
      <c r="K56" s="153"/>
      <c r="L56" s="9"/>
    </row>
    <row r="57" spans="1:12" x14ac:dyDescent="0.25">
      <c r="A57" s="195"/>
      <c r="B57" s="4" t="s">
        <v>198</v>
      </c>
      <c r="C57" s="9">
        <v>175</v>
      </c>
      <c r="D57" s="9">
        <v>369</v>
      </c>
      <c r="E57" s="9">
        <v>6</v>
      </c>
      <c r="F57" s="9">
        <v>550</v>
      </c>
      <c r="H57" s="153"/>
      <c r="I57" s="153"/>
      <c r="J57" s="153"/>
      <c r="K57" s="153"/>
      <c r="L57" s="9"/>
    </row>
    <row r="58" spans="1:12" x14ac:dyDescent="0.25">
      <c r="A58" s="10"/>
      <c r="B58" s="100" t="s">
        <v>61</v>
      </c>
      <c r="C58" s="102">
        <v>5310</v>
      </c>
      <c r="D58" s="102">
        <v>4084</v>
      </c>
      <c r="E58" s="102">
        <v>185</v>
      </c>
      <c r="F58" s="102">
        <v>9579</v>
      </c>
      <c r="H58" s="153"/>
      <c r="I58" s="153"/>
      <c r="J58" s="153"/>
      <c r="K58" s="153"/>
      <c r="L58" s="102"/>
    </row>
    <row r="59" spans="1:12" ht="2.25" customHeight="1" x14ac:dyDescent="0.25">
      <c r="A59" s="43"/>
      <c r="B59" s="95"/>
      <c r="C59" s="42"/>
      <c r="D59" s="42"/>
      <c r="E59" s="42"/>
      <c r="F59" s="42"/>
      <c r="H59" s="123"/>
      <c r="J59" s="123"/>
    </row>
    <row r="60" spans="1:12" ht="3.75" customHeight="1" x14ac:dyDescent="0.25">
      <c r="A60" s="2"/>
      <c r="H60" s="123"/>
      <c r="J60" s="123"/>
    </row>
    <row r="61" spans="1:12" x14ac:dyDescent="0.25">
      <c r="A61" s="74" t="s">
        <v>207</v>
      </c>
      <c r="B61" s="7"/>
      <c r="C61" s="7"/>
      <c r="D61" s="7"/>
      <c r="E61" s="7"/>
      <c r="F61" s="7"/>
      <c r="G61" s="7"/>
      <c r="H61" s="7"/>
      <c r="I61" s="7"/>
      <c r="J61" s="7"/>
      <c r="K61" s="7"/>
      <c r="L61" s="7"/>
    </row>
    <row r="62" spans="1:12" s="7" customFormat="1" ht="9" x14ac:dyDescent="0.15">
      <c r="A62" s="200" t="s">
        <v>65</v>
      </c>
      <c r="B62" s="200"/>
      <c r="C62" s="200"/>
      <c r="D62" s="200"/>
      <c r="E62" s="200"/>
      <c r="F62" s="200"/>
      <c r="G62" s="200"/>
      <c r="H62" s="200"/>
    </row>
    <row r="63" spans="1:12" s="7" customFormat="1" ht="9" x14ac:dyDescent="0.15">
      <c r="A63" s="7" t="s">
        <v>15</v>
      </c>
    </row>
    <row r="64" spans="1:12" x14ac:dyDescent="0.25">
      <c r="A64" s="7" t="s">
        <v>347</v>
      </c>
      <c r="B64" s="7"/>
      <c r="C64" s="7"/>
      <c r="D64" s="7"/>
      <c r="E64" s="7"/>
      <c r="F64" s="7"/>
      <c r="G64" s="7"/>
      <c r="H64" s="7"/>
    </row>
  </sheetData>
  <mergeCells count="12">
    <mergeCell ref="A62:H62"/>
    <mergeCell ref="A35:F35"/>
    <mergeCell ref="A38:A42"/>
    <mergeCell ref="A43:A47"/>
    <mergeCell ref="A48:A52"/>
    <mergeCell ref="A53:A57"/>
    <mergeCell ref="A19:A23"/>
    <mergeCell ref="A26:F26"/>
    <mergeCell ref="A1:F1"/>
    <mergeCell ref="A4:A8"/>
    <mergeCell ref="A9:A13"/>
    <mergeCell ref="A14:A18"/>
  </mergeCells>
  <pageMargins left="0.08" right="0.08" top="1" bottom="1" header="0.5" footer="0.5"/>
  <pageSetup orientation="landscape" blackAndWhite="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D101"/>
  <sheetViews>
    <sheetView zoomScaleNormal="100" workbookViewId="0">
      <selection activeCell="A36" sqref="A36"/>
    </sheetView>
  </sheetViews>
  <sheetFormatPr defaultColWidth="9.140625" defaultRowHeight="15" x14ac:dyDescent="0.25"/>
  <cols>
    <col min="1" max="1" width="21.5703125" style="1" customWidth="1"/>
    <col min="2" max="12" width="11.42578125" style="1" bestFit="1" customWidth="1"/>
    <col min="13" max="13" width="18.85546875" style="1" bestFit="1" customWidth="1"/>
    <col min="14" max="16384" width="9.140625" style="1"/>
  </cols>
  <sheetData>
    <row r="1" spans="1:23" ht="30.75" customHeight="1" x14ac:dyDescent="0.25">
      <c r="A1" s="206" t="s">
        <v>381</v>
      </c>
      <c r="B1" s="206"/>
      <c r="C1" s="206"/>
      <c r="D1" s="206"/>
      <c r="E1" s="206"/>
      <c r="F1" s="206"/>
      <c r="G1" s="206"/>
      <c r="H1" s="206"/>
      <c r="I1" s="206"/>
      <c r="J1" s="206"/>
    </row>
    <row r="2" spans="1:23" ht="3" customHeight="1" x14ac:dyDescent="0.25">
      <c r="A2" s="2"/>
    </row>
    <row r="3" spans="1:23" x14ac:dyDescent="0.25">
      <c r="A3" s="31" t="s">
        <v>205</v>
      </c>
      <c r="B3" s="3" t="s">
        <v>1</v>
      </c>
      <c r="C3" s="3" t="s">
        <v>2</v>
      </c>
      <c r="D3" s="3" t="s">
        <v>3</v>
      </c>
      <c r="E3" s="3" t="s">
        <v>4</v>
      </c>
      <c r="F3" s="3" t="s">
        <v>5</v>
      </c>
      <c r="G3" s="3" t="s">
        <v>6</v>
      </c>
      <c r="H3" s="3" t="s">
        <v>7</v>
      </c>
      <c r="I3" s="3" t="s">
        <v>8</v>
      </c>
      <c r="J3" s="3" t="s">
        <v>9</v>
      </c>
    </row>
    <row r="4" spans="1:23" x14ac:dyDescent="0.25">
      <c r="A4" s="4" t="s">
        <v>197</v>
      </c>
      <c r="B4" s="5">
        <v>293.2</v>
      </c>
      <c r="C4" s="5">
        <v>83.5</v>
      </c>
      <c r="D4" s="5">
        <v>522.4</v>
      </c>
      <c r="E4" s="5">
        <v>121.7</v>
      </c>
      <c r="F4" s="5">
        <v>120.9</v>
      </c>
      <c r="G4" s="5">
        <v>77.5</v>
      </c>
      <c r="H4" s="9" t="s">
        <v>146</v>
      </c>
      <c r="I4" s="9" t="s">
        <v>151</v>
      </c>
      <c r="J4" s="5">
        <v>1219.3</v>
      </c>
      <c r="L4" s="5"/>
      <c r="M4" s="5"/>
      <c r="N4" s="5"/>
      <c r="O4" s="5"/>
      <c r="P4" s="5"/>
      <c r="Q4" s="5"/>
      <c r="R4" s="9"/>
      <c r="S4" s="9"/>
      <c r="T4" s="5"/>
      <c r="U4" s="136"/>
      <c r="V4" s="129"/>
    </row>
    <row r="5" spans="1:23" x14ac:dyDescent="0.25">
      <c r="A5" s="4">
        <v>2</v>
      </c>
      <c r="B5" s="5">
        <v>262.5</v>
      </c>
      <c r="C5" s="5">
        <v>49.3</v>
      </c>
      <c r="D5" s="5">
        <v>318.2</v>
      </c>
      <c r="E5" s="5">
        <v>154.9</v>
      </c>
      <c r="F5" s="5">
        <v>36.4</v>
      </c>
      <c r="G5" s="5">
        <v>20</v>
      </c>
      <c r="H5" s="9" t="s">
        <v>149</v>
      </c>
      <c r="I5" s="9" t="s">
        <v>151</v>
      </c>
      <c r="J5" s="5">
        <v>841.3</v>
      </c>
      <c r="L5" s="5"/>
      <c r="M5" s="5"/>
      <c r="N5" s="5"/>
      <c r="O5" s="5"/>
      <c r="P5" s="5"/>
      <c r="Q5" s="5"/>
      <c r="R5" s="9"/>
      <c r="S5" s="9"/>
      <c r="T5" s="5"/>
      <c r="U5" s="136"/>
    </row>
    <row r="6" spans="1:23" x14ac:dyDescent="0.25">
      <c r="A6" s="4">
        <v>3</v>
      </c>
      <c r="B6" s="5">
        <v>119.8</v>
      </c>
      <c r="C6" s="5">
        <v>81.3</v>
      </c>
      <c r="D6" s="5">
        <v>199.8</v>
      </c>
      <c r="E6" s="5">
        <v>78.5</v>
      </c>
      <c r="F6" s="5">
        <v>31.1</v>
      </c>
      <c r="G6" s="5">
        <v>9.3000000000000007</v>
      </c>
      <c r="H6" s="5">
        <v>0.3</v>
      </c>
      <c r="I6" s="9" t="s">
        <v>151</v>
      </c>
      <c r="J6" s="5">
        <v>520.1</v>
      </c>
      <c r="L6" s="5"/>
      <c r="M6" s="5"/>
      <c r="N6" s="5"/>
      <c r="O6" s="5"/>
      <c r="P6" s="5"/>
      <c r="Q6" s="5"/>
      <c r="R6" s="5"/>
      <c r="S6" s="9"/>
      <c r="T6" s="5"/>
      <c r="U6" s="136"/>
    </row>
    <row r="7" spans="1:23" x14ac:dyDescent="0.25">
      <c r="A7" s="4">
        <v>4</v>
      </c>
      <c r="B7" s="5">
        <v>78.900000000000006</v>
      </c>
      <c r="C7" s="5">
        <v>36.1</v>
      </c>
      <c r="D7" s="5">
        <v>70.8</v>
      </c>
      <c r="E7" s="5">
        <v>62.8</v>
      </c>
      <c r="F7" s="5">
        <v>11</v>
      </c>
      <c r="G7" s="5">
        <v>3.5</v>
      </c>
      <c r="H7" s="5">
        <v>23</v>
      </c>
      <c r="I7" s="9" t="s">
        <v>151</v>
      </c>
      <c r="J7" s="5">
        <v>286.10000000000002</v>
      </c>
      <c r="L7" s="5"/>
      <c r="M7" s="5"/>
      <c r="N7" s="5"/>
      <c r="O7" s="5"/>
      <c r="P7" s="5"/>
      <c r="Q7" s="5"/>
      <c r="R7" s="5"/>
      <c r="S7" s="9"/>
      <c r="T7" s="5"/>
      <c r="U7" s="136"/>
      <c r="V7" s="136"/>
      <c r="W7" s="136"/>
    </row>
    <row r="8" spans="1:23" x14ac:dyDescent="0.25">
      <c r="A8" s="4" t="s">
        <v>198</v>
      </c>
      <c r="B8" s="5">
        <v>86.8</v>
      </c>
      <c r="C8" s="5">
        <v>22.1</v>
      </c>
      <c r="D8" s="5">
        <v>23.4</v>
      </c>
      <c r="E8" s="5">
        <v>19.600000000000001</v>
      </c>
      <c r="F8" s="5">
        <v>0.7</v>
      </c>
      <c r="G8" s="5">
        <v>0.3</v>
      </c>
      <c r="H8" s="5">
        <v>34.799999999999997</v>
      </c>
      <c r="I8" s="9" t="s">
        <v>151</v>
      </c>
      <c r="J8" s="5">
        <v>187.6</v>
      </c>
      <c r="L8" s="5"/>
      <c r="M8" s="5"/>
      <c r="N8" s="5"/>
      <c r="O8" s="5"/>
      <c r="P8" s="5"/>
      <c r="Q8" s="5"/>
      <c r="R8" s="5"/>
      <c r="S8" s="9"/>
      <c r="T8" s="5"/>
      <c r="U8" s="136"/>
      <c r="V8" s="136"/>
      <c r="W8" s="136"/>
    </row>
    <row r="9" spans="1:23" x14ac:dyDescent="0.25">
      <c r="A9" s="73" t="s">
        <v>61</v>
      </c>
      <c r="B9" s="101">
        <v>918.2</v>
      </c>
      <c r="C9" s="101">
        <v>299.92</v>
      </c>
      <c r="D9" s="101">
        <v>1142.23</v>
      </c>
      <c r="E9" s="101">
        <v>437.52</v>
      </c>
      <c r="F9" s="101">
        <v>204.96</v>
      </c>
      <c r="G9" s="101">
        <v>110.24</v>
      </c>
      <c r="H9" s="101">
        <v>63.69</v>
      </c>
      <c r="I9" s="9" t="s">
        <v>151</v>
      </c>
      <c r="J9" s="101">
        <v>3176.77</v>
      </c>
      <c r="L9" s="101"/>
      <c r="M9" s="101"/>
      <c r="N9" s="101"/>
      <c r="O9" s="101"/>
      <c r="P9" s="101"/>
      <c r="Q9" s="101"/>
      <c r="R9" s="101"/>
      <c r="S9" s="9"/>
      <c r="T9" s="101"/>
      <c r="U9" s="136"/>
      <c r="V9" s="136"/>
      <c r="W9" s="136"/>
    </row>
    <row r="10" spans="1:23" ht="3.75" customHeight="1" x14ac:dyDescent="0.25">
      <c r="A10" s="2"/>
      <c r="L10" s="136"/>
      <c r="M10" s="136"/>
      <c r="N10" s="136"/>
      <c r="O10" s="136"/>
      <c r="P10" s="136"/>
      <c r="Q10" s="136"/>
      <c r="R10" s="136"/>
      <c r="S10" s="136"/>
      <c r="T10" s="136"/>
      <c r="U10" s="136"/>
      <c r="V10" s="136"/>
      <c r="W10" s="136"/>
    </row>
    <row r="11" spans="1:23" ht="11.1" customHeight="1" x14ac:dyDescent="0.25">
      <c r="A11" s="205" t="s">
        <v>13</v>
      </c>
      <c r="B11" s="205"/>
      <c r="C11" s="205"/>
      <c r="D11" s="205"/>
      <c r="E11" s="205"/>
      <c r="F11" s="205"/>
      <c r="G11" s="205"/>
      <c r="H11" s="205"/>
      <c r="I11" s="205"/>
      <c r="J11" s="205"/>
      <c r="K11" s="193"/>
      <c r="L11" s="136"/>
      <c r="M11" s="136"/>
      <c r="N11" s="136"/>
      <c r="O11" s="136"/>
      <c r="P11" s="136"/>
      <c r="Q11" s="136"/>
      <c r="R11" s="136"/>
      <c r="S11" s="136"/>
      <c r="T11" s="136"/>
      <c r="U11" s="136"/>
      <c r="V11" s="136"/>
      <c r="W11" s="136"/>
    </row>
    <row r="12" spans="1:23" ht="11.1" customHeight="1" x14ac:dyDescent="0.25">
      <c r="A12" s="113" t="s">
        <v>230</v>
      </c>
      <c r="B12" s="6"/>
      <c r="C12" s="6"/>
      <c r="D12" s="6"/>
      <c r="E12" s="6"/>
      <c r="F12" s="6"/>
      <c r="G12" s="6"/>
      <c r="H12" s="6"/>
      <c r="I12" s="6"/>
      <c r="J12" s="6"/>
      <c r="K12" s="6"/>
    </row>
    <row r="13" spans="1:23" s="7" customFormat="1" ht="11.1" customHeight="1" x14ac:dyDescent="0.2">
      <c r="A13" s="7" t="s">
        <v>14</v>
      </c>
      <c r="L13" s="101"/>
      <c r="M13" s="101"/>
      <c r="N13" s="101"/>
      <c r="O13" s="101"/>
      <c r="P13" s="101"/>
      <c r="Q13" s="101"/>
      <c r="R13" s="101"/>
      <c r="S13" s="14"/>
      <c r="T13" s="101"/>
    </row>
    <row r="14" spans="1:23" s="12" customFormat="1" ht="11.1" customHeight="1" x14ac:dyDescent="0.2">
      <c r="A14" s="74" t="s">
        <v>23</v>
      </c>
    </row>
    <row r="15" spans="1:23" s="7" customFormat="1" ht="11.1" customHeight="1" x14ac:dyDescent="0.15">
      <c r="A15" s="7" t="s">
        <v>66</v>
      </c>
      <c r="L15" s="124"/>
    </row>
    <row r="16" spans="1:23" s="7" customFormat="1" ht="20.25" customHeight="1" x14ac:dyDescent="0.15">
      <c r="A16" s="188" t="s">
        <v>67</v>
      </c>
      <c r="B16" s="188"/>
      <c r="C16" s="188"/>
      <c r="D16" s="188"/>
      <c r="E16" s="188"/>
      <c r="F16" s="188"/>
      <c r="G16" s="188"/>
      <c r="H16" s="188"/>
      <c r="I16" s="188"/>
      <c r="J16" s="188"/>
    </row>
    <row r="17" spans="1:22" s="7" customFormat="1" ht="11.1" customHeight="1" x14ac:dyDescent="0.15">
      <c r="A17" s="7" t="s">
        <v>68</v>
      </c>
    </row>
    <row r="18" spans="1:22" s="7" customFormat="1" ht="11.1" customHeight="1" x14ac:dyDescent="0.15">
      <c r="A18" s="7" t="s">
        <v>380</v>
      </c>
    </row>
    <row r="19" spans="1:22" s="7" customFormat="1" ht="11.1" customHeight="1" x14ac:dyDescent="0.15">
      <c r="A19" s="7" t="s">
        <v>15</v>
      </c>
    </row>
    <row r="20" spans="1:22" s="7" customFormat="1" ht="11.1" customHeight="1" x14ac:dyDescent="0.15">
      <c r="A20" s="7" t="s">
        <v>347</v>
      </c>
    </row>
    <row r="21" spans="1:22" ht="12" customHeight="1" x14ac:dyDescent="0.25">
      <c r="A21" s="2"/>
    </row>
    <row r="22" spans="1:22" ht="27.95" customHeight="1" x14ac:dyDescent="0.25">
      <c r="A22" s="198" t="s">
        <v>439</v>
      </c>
      <c r="B22" s="198"/>
      <c r="C22" s="198"/>
      <c r="D22" s="198"/>
      <c r="E22" s="198"/>
      <c r="F22" s="198"/>
      <c r="G22" s="198"/>
      <c r="H22" s="198"/>
      <c r="I22" s="198"/>
      <c r="J22" s="198"/>
      <c r="K22" s="61"/>
      <c r="L22" s="61"/>
    </row>
    <row r="23" spans="1:22" ht="2.25" customHeight="1" x14ac:dyDescent="0.25">
      <c r="A23" s="2"/>
    </row>
    <row r="24" spans="1:22" x14ac:dyDescent="0.25">
      <c r="A24" s="31" t="s">
        <v>205</v>
      </c>
      <c r="B24" s="3" t="s">
        <v>1</v>
      </c>
      <c r="C24" s="3" t="s">
        <v>2</v>
      </c>
      <c r="D24" s="3" t="s">
        <v>3</v>
      </c>
      <c r="E24" s="3" t="s">
        <v>4</v>
      </c>
      <c r="F24" s="3" t="s">
        <v>5</v>
      </c>
      <c r="G24" s="3" t="s">
        <v>6</v>
      </c>
      <c r="H24" s="3" t="s">
        <v>7</v>
      </c>
      <c r="I24" s="3" t="s">
        <v>8</v>
      </c>
      <c r="J24" s="11" t="s">
        <v>9</v>
      </c>
    </row>
    <row r="25" spans="1:22" x14ac:dyDescent="0.25">
      <c r="A25" s="4" t="s">
        <v>197</v>
      </c>
      <c r="B25" s="9">
        <v>676</v>
      </c>
      <c r="C25" s="9">
        <v>177</v>
      </c>
      <c r="D25" s="9">
        <v>926</v>
      </c>
      <c r="E25" s="9">
        <v>360</v>
      </c>
      <c r="F25" s="9">
        <v>320</v>
      </c>
      <c r="G25" s="9">
        <v>146</v>
      </c>
      <c r="H25" s="9" t="s">
        <v>146</v>
      </c>
      <c r="I25" s="9">
        <v>250</v>
      </c>
      <c r="J25" s="9">
        <v>2855</v>
      </c>
      <c r="L25" s="9"/>
      <c r="M25" s="9"/>
      <c r="N25" s="9"/>
      <c r="O25" s="9"/>
      <c r="P25" s="9"/>
      <c r="Q25" s="9"/>
      <c r="R25" s="9"/>
      <c r="S25" s="9"/>
      <c r="T25" s="9"/>
      <c r="V25" s="123"/>
    </row>
    <row r="26" spans="1:22" x14ac:dyDescent="0.25">
      <c r="A26" s="4">
        <v>2</v>
      </c>
      <c r="B26" s="9">
        <v>673</v>
      </c>
      <c r="C26" s="9">
        <v>99</v>
      </c>
      <c r="D26" s="9">
        <v>578</v>
      </c>
      <c r="E26" s="9">
        <v>467</v>
      </c>
      <c r="F26" s="9">
        <v>84</v>
      </c>
      <c r="G26" s="9">
        <v>36</v>
      </c>
      <c r="H26" s="9" t="s">
        <v>146</v>
      </c>
      <c r="I26" s="9">
        <v>150</v>
      </c>
      <c r="J26" s="9">
        <v>2087</v>
      </c>
      <c r="L26" s="9"/>
      <c r="M26" s="9"/>
      <c r="N26" s="9"/>
      <c r="O26" s="9"/>
      <c r="P26" s="9"/>
      <c r="Q26" s="9"/>
      <c r="R26" s="9"/>
      <c r="S26" s="9"/>
      <c r="T26" s="9"/>
    </row>
    <row r="27" spans="1:22" x14ac:dyDescent="0.25">
      <c r="A27" s="4">
        <v>3</v>
      </c>
      <c r="B27" s="9">
        <v>283</v>
      </c>
      <c r="C27" s="9">
        <v>154</v>
      </c>
      <c r="D27" s="9">
        <v>342</v>
      </c>
      <c r="E27" s="9">
        <v>263</v>
      </c>
      <c r="F27" s="9">
        <v>76</v>
      </c>
      <c r="G27" s="9">
        <v>17</v>
      </c>
      <c r="H27" s="5">
        <v>2</v>
      </c>
      <c r="I27" s="9">
        <v>134</v>
      </c>
      <c r="J27" s="9">
        <v>1271</v>
      </c>
      <c r="L27" s="9"/>
      <c r="M27" s="9"/>
      <c r="N27" s="9"/>
      <c r="O27" s="9"/>
      <c r="P27" s="9"/>
      <c r="Q27" s="9"/>
      <c r="R27" s="5"/>
      <c r="S27" s="9"/>
      <c r="T27" s="9"/>
    </row>
    <row r="28" spans="1:22" x14ac:dyDescent="0.25">
      <c r="A28" s="4">
        <v>4</v>
      </c>
      <c r="B28" s="9">
        <v>223</v>
      </c>
      <c r="C28" s="9">
        <v>77</v>
      </c>
      <c r="D28" s="9">
        <v>135</v>
      </c>
      <c r="E28" s="9">
        <v>188</v>
      </c>
      <c r="F28" s="9">
        <v>36</v>
      </c>
      <c r="G28" s="9">
        <v>8</v>
      </c>
      <c r="H28" s="9">
        <v>56</v>
      </c>
      <c r="I28" s="9">
        <v>91</v>
      </c>
      <c r="J28" s="9">
        <v>814</v>
      </c>
      <c r="L28" s="9"/>
      <c r="M28" s="9"/>
      <c r="N28" s="9"/>
      <c r="O28" s="9"/>
      <c r="P28" s="9"/>
      <c r="Q28" s="9"/>
      <c r="R28" s="9"/>
      <c r="S28" s="9"/>
      <c r="T28" s="9"/>
    </row>
    <row r="29" spans="1:22" x14ac:dyDescent="0.25">
      <c r="A29" s="4" t="s">
        <v>198</v>
      </c>
      <c r="B29" s="9">
        <v>234</v>
      </c>
      <c r="C29" s="9">
        <v>47</v>
      </c>
      <c r="D29" s="9">
        <v>44</v>
      </c>
      <c r="E29" s="9">
        <v>59</v>
      </c>
      <c r="F29" s="99" t="s">
        <v>153</v>
      </c>
      <c r="G29" s="99" t="s">
        <v>153</v>
      </c>
      <c r="H29" s="9">
        <v>76</v>
      </c>
      <c r="I29" s="9">
        <v>3</v>
      </c>
      <c r="J29" s="9">
        <v>468</v>
      </c>
      <c r="L29" s="9"/>
      <c r="M29" s="9"/>
      <c r="N29" s="9"/>
      <c r="O29" s="9"/>
      <c r="P29" s="9"/>
      <c r="Q29" s="9"/>
      <c r="R29" s="9"/>
      <c r="S29" s="9"/>
      <c r="T29" s="9"/>
    </row>
    <row r="30" spans="1:22" ht="13.5" customHeight="1" x14ac:dyDescent="0.25">
      <c r="A30" s="95" t="s">
        <v>61</v>
      </c>
      <c r="B30" s="102">
        <v>2309</v>
      </c>
      <c r="C30" s="102">
        <v>635</v>
      </c>
      <c r="D30" s="102">
        <v>2061</v>
      </c>
      <c r="E30" s="102">
        <v>1341</v>
      </c>
      <c r="F30" s="102">
        <v>541</v>
      </c>
      <c r="G30" s="102">
        <v>216</v>
      </c>
      <c r="H30" s="102">
        <v>152</v>
      </c>
      <c r="I30" s="102">
        <v>653</v>
      </c>
      <c r="J30" s="102">
        <v>7908</v>
      </c>
      <c r="L30" s="102"/>
      <c r="M30" s="102"/>
      <c r="N30" s="102"/>
      <c r="O30" s="102"/>
      <c r="P30" s="102"/>
      <c r="Q30" s="102"/>
      <c r="R30" s="102"/>
      <c r="S30" s="102"/>
      <c r="T30" s="102"/>
    </row>
    <row r="31" spans="1:22" ht="13.5" hidden="1" customHeight="1" x14ac:dyDescent="0.25">
      <c r="A31" s="73"/>
      <c r="B31" s="102"/>
      <c r="C31" s="102"/>
      <c r="D31" s="102"/>
      <c r="E31" s="102"/>
      <c r="F31" s="102"/>
      <c r="G31" s="102"/>
      <c r="H31" s="102"/>
      <c r="I31" s="102"/>
      <c r="J31" s="102"/>
    </row>
    <row r="32" spans="1:22" ht="2.25" hidden="1" customHeight="1" x14ac:dyDescent="0.25">
      <c r="A32" s="73"/>
      <c r="B32" s="102"/>
      <c r="C32" s="102"/>
      <c r="D32" s="102"/>
      <c r="E32" s="102"/>
      <c r="F32" s="102"/>
      <c r="G32" s="102"/>
      <c r="H32" s="102"/>
      <c r="I32" s="102"/>
      <c r="J32" s="102"/>
    </row>
    <row r="33" spans="1:30" ht="12.75" customHeight="1" x14ac:dyDescent="0.25">
      <c r="A33" s="209" t="s">
        <v>252</v>
      </c>
      <c r="B33" s="209"/>
      <c r="C33" s="209"/>
      <c r="D33" s="209"/>
      <c r="E33" s="209"/>
      <c r="F33" s="209"/>
      <c r="G33" s="209"/>
      <c r="H33" s="209"/>
      <c r="I33" s="209"/>
      <c r="J33" s="209"/>
      <c r="K33" s="200"/>
      <c r="L33" s="200"/>
    </row>
    <row r="34" spans="1:30" ht="12.75" customHeight="1" x14ac:dyDescent="0.25">
      <c r="A34" s="113" t="s">
        <v>229</v>
      </c>
      <c r="B34" s="113"/>
      <c r="C34" s="113"/>
      <c r="D34" s="113"/>
      <c r="E34" s="113"/>
      <c r="F34" s="113"/>
      <c r="G34" s="113"/>
      <c r="H34" s="113"/>
      <c r="I34" s="113"/>
      <c r="J34" s="113"/>
      <c r="K34" s="113"/>
      <c r="L34" s="113"/>
      <c r="M34" s="128"/>
    </row>
    <row r="35" spans="1:30" s="7" customFormat="1" ht="11.1" customHeight="1" x14ac:dyDescent="0.15">
      <c r="A35" s="7" t="s">
        <v>23</v>
      </c>
    </row>
    <row r="36" spans="1:30" s="7" customFormat="1" ht="11.1" customHeight="1" x14ac:dyDescent="0.15">
      <c r="A36" s="7" t="s">
        <v>66</v>
      </c>
    </row>
    <row r="37" spans="1:30" s="7" customFormat="1" ht="11.1" customHeight="1" x14ac:dyDescent="0.15">
      <c r="A37" s="7" t="s">
        <v>29</v>
      </c>
    </row>
    <row r="38" spans="1:30" s="7" customFormat="1" ht="19.5" customHeight="1" x14ac:dyDescent="0.15">
      <c r="A38" s="188" t="s">
        <v>69</v>
      </c>
      <c r="B38" s="188"/>
      <c r="C38" s="188"/>
      <c r="D38" s="188"/>
      <c r="E38" s="188"/>
      <c r="F38" s="188"/>
      <c r="G38" s="188"/>
      <c r="H38" s="188"/>
      <c r="I38" s="188"/>
      <c r="J38" s="188"/>
    </row>
    <row r="39" spans="1:30" s="7" customFormat="1" ht="11.1" customHeight="1" x14ac:dyDescent="0.15">
      <c r="A39" s="7" t="s">
        <v>70</v>
      </c>
    </row>
    <row r="40" spans="1:30" ht="11.1" customHeight="1" x14ac:dyDescent="0.25">
      <c r="A40" s="200"/>
      <c r="B40" s="200"/>
      <c r="C40" s="200"/>
      <c r="D40" s="200"/>
      <c r="E40" s="200"/>
      <c r="F40" s="200"/>
      <c r="G40" s="200"/>
      <c r="H40" s="200"/>
      <c r="I40" s="200"/>
      <c r="J40" s="200"/>
      <c r="K40" s="200"/>
      <c r="L40" s="200"/>
    </row>
    <row r="41" spans="1:30" s="7" customFormat="1" ht="11.1" customHeight="1" x14ac:dyDescent="0.15">
      <c r="A41" s="7" t="s">
        <v>347</v>
      </c>
    </row>
    <row r="42" spans="1:30" s="7" customFormat="1" ht="11.1" customHeight="1" x14ac:dyDescent="0.15"/>
    <row r="43" spans="1:30" ht="27.95" customHeight="1" x14ac:dyDescent="0.25">
      <c r="A43" s="198" t="s">
        <v>406</v>
      </c>
      <c r="B43" s="198"/>
      <c r="C43" s="198"/>
      <c r="D43" s="198"/>
      <c r="E43" s="198"/>
      <c r="F43" s="198"/>
      <c r="G43" s="198"/>
      <c r="H43" s="198"/>
      <c r="I43" s="198"/>
      <c r="J43" s="198"/>
      <c r="K43" s="57"/>
      <c r="L43" s="57"/>
    </row>
    <row r="44" spans="1:30" ht="0.75" customHeight="1" x14ac:dyDescent="0.25">
      <c r="A44" s="2"/>
    </row>
    <row r="45" spans="1:30" x14ac:dyDescent="0.25">
      <c r="A45" s="31" t="s">
        <v>205</v>
      </c>
      <c r="B45" s="3" t="s">
        <v>1</v>
      </c>
      <c r="C45" s="3" t="s">
        <v>2</v>
      </c>
      <c r="D45" s="3" t="s">
        <v>3</v>
      </c>
      <c r="E45" s="3" t="s">
        <v>4</v>
      </c>
      <c r="F45" s="3" t="s">
        <v>5</v>
      </c>
      <c r="G45" s="3" t="s">
        <v>6</v>
      </c>
      <c r="H45" s="3" t="s">
        <v>7</v>
      </c>
      <c r="I45" s="3" t="s">
        <v>8</v>
      </c>
      <c r="J45" s="3" t="s">
        <v>9</v>
      </c>
    </row>
    <row r="46" spans="1:30" x14ac:dyDescent="0.25">
      <c r="A46" s="4" t="s">
        <v>197</v>
      </c>
      <c r="B46" s="5">
        <v>19.640999999999998</v>
      </c>
      <c r="C46" s="5">
        <v>8.3490000000000002</v>
      </c>
      <c r="D46" s="5">
        <v>33.229999999999997</v>
      </c>
      <c r="E46" s="5">
        <v>29.3</v>
      </c>
      <c r="F46" s="5">
        <v>19.199000000000002</v>
      </c>
      <c r="G46" s="5">
        <v>28.376999999999999</v>
      </c>
      <c r="H46" s="9" t="s">
        <v>146</v>
      </c>
      <c r="I46" s="9" t="s">
        <v>151</v>
      </c>
      <c r="J46" s="5">
        <v>22.649000000000001</v>
      </c>
      <c r="L46" s="5"/>
      <c r="M46" s="5"/>
      <c r="N46" s="5"/>
      <c r="O46" s="5"/>
      <c r="P46" s="5"/>
      <c r="Q46" s="5"/>
      <c r="R46" s="5"/>
      <c r="S46" s="9"/>
      <c r="T46" s="5"/>
      <c r="V46" s="138"/>
      <c r="W46" s="138"/>
      <c r="X46" s="138"/>
      <c r="Y46" s="138"/>
      <c r="Z46" s="138"/>
      <c r="AA46" s="138"/>
      <c r="AB46" s="138"/>
      <c r="AC46" s="138"/>
      <c r="AD46" s="138"/>
    </row>
    <row r="47" spans="1:30" x14ac:dyDescent="0.25">
      <c r="A47" s="4">
        <v>2</v>
      </c>
      <c r="B47" s="5">
        <v>13.583</v>
      </c>
      <c r="C47" s="5">
        <v>4.2549999999999999</v>
      </c>
      <c r="D47" s="5">
        <v>25.882000000000001</v>
      </c>
      <c r="E47" s="5">
        <v>19.291</v>
      </c>
      <c r="F47" s="5">
        <v>11.692</v>
      </c>
      <c r="G47" s="5">
        <v>16.838000000000001</v>
      </c>
      <c r="H47" s="9" t="s">
        <v>149</v>
      </c>
      <c r="I47" s="9" t="s">
        <v>151</v>
      </c>
      <c r="J47" s="5">
        <v>15.1</v>
      </c>
      <c r="L47" s="5"/>
      <c r="M47" s="5"/>
      <c r="N47" s="5"/>
      <c r="O47" s="5"/>
      <c r="P47" s="5"/>
      <c r="Q47" s="5"/>
      <c r="R47" s="5"/>
      <c r="S47" s="9"/>
      <c r="T47" s="5"/>
      <c r="V47" s="138"/>
      <c r="W47" s="138"/>
      <c r="X47" s="138"/>
      <c r="Y47" s="138"/>
      <c r="Z47" s="138"/>
      <c r="AA47" s="138"/>
      <c r="AB47" s="138"/>
      <c r="AC47" s="138"/>
      <c r="AD47" s="138"/>
    </row>
    <row r="48" spans="1:30" x14ac:dyDescent="0.25">
      <c r="A48" s="4">
        <v>3</v>
      </c>
      <c r="B48" s="5">
        <v>10.656000000000001</v>
      </c>
      <c r="C48" s="5">
        <v>4.6630000000000003</v>
      </c>
      <c r="D48" s="5">
        <v>14.109</v>
      </c>
      <c r="E48" s="5">
        <v>12.91</v>
      </c>
      <c r="F48" s="5">
        <v>7.4119999999999999</v>
      </c>
      <c r="G48" s="5">
        <v>13.877000000000001</v>
      </c>
      <c r="H48" s="9" t="s">
        <v>146</v>
      </c>
      <c r="I48" s="9" t="s">
        <v>151</v>
      </c>
      <c r="J48" s="5">
        <v>9.6709999999999994</v>
      </c>
      <c r="L48" s="5"/>
      <c r="M48" s="5"/>
      <c r="N48" s="5"/>
      <c r="O48" s="5"/>
      <c r="P48" s="5"/>
      <c r="Q48" s="5"/>
      <c r="R48" s="5"/>
      <c r="S48" s="9"/>
      <c r="T48" s="5"/>
      <c r="V48" s="138"/>
      <c r="W48" s="138"/>
      <c r="X48" s="138"/>
      <c r="Y48" s="138"/>
      <c r="Z48" s="138"/>
      <c r="AA48" s="138"/>
      <c r="AB48" s="138"/>
      <c r="AC48" s="138"/>
      <c r="AD48" s="138"/>
    </row>
    <row r="49" spans="1:30" x14ac:dyDescent="0.25">
      <c r="A49" s="4">
        <v>4</v>
      </c>
      <c r="B49" s="5">
        <v>5.4880000000000004</v>
      </c>
      <c r="C49" s="5">
        <v>2.3639999999999999</v>
      </c>
      <c r="D49" s="5">
        <v>7.6390000000000002</v>
      </c>
      <c r="E49" s="5">
        <v>8.1999999999999993</v>
      </c>
      <c r="F49" s="5">
        <v>4.0309999999999997</v>
      </c>
      <c r="G49" s="5">
        <v>5.0789999999999997</v>
      </c>
      <c r="H49" s="5">
        <v>22.437000000000001</v>
      </c>
      <c r="I49" s="9" t="s">
        <v>151</v>
      </c>
      <c r="J49" s="5">
        <v>5.59</v>
      </c>
      <c r="L49" s="5"/>
      <c r="M49" s="5"/>
      <c r="N49" s="5"/>
      <c r="O49" s="5"/>
      <c r="P49" s="5"/>
      <c r="Q49" s="5"/>
      <c r="R49" s="5"/>
      <c r="S49" s="9"/>
      <c r="T49" s="5"/>
      <c r="V49" s="138"/>
      <c r="W49" s="138"/>
      <c r="X49" s="138"/>
      <c r="Y49" s="138"/>
      <c r="Z49" s="138"/>
      <c r="AA49" s="138"/>
      <c r="AB49" s="138"/>
      <c r="AC49" s="138"/>
      <c r="AD49" s="138"/>
    </row>
    <row r="50" spans="1:30" x14ac:dyDescent="0.25">
      <c r="A50" s="4" t="s">
        <v>198</v>
      </c>
      <c r="B50" s="5">
        <v>3.7959999999999998</v>
      </c>
      <c r="C50" s="5">
        <v>1.845</v>
      </c>
      <c r="D50" s="5">
        <v>3.5870000000000002</v>
      </c>
      <c r="E50" s="5">
        <v>5</v>
      </c>
      <c r="F50" s="5">
        <v>0.47699999999999998</v>
      </c>
      <c r="G50" s="5">
        <v>2.2949999999999999</v>
      </c>
      <c r="H50" s="5">
        <v>15.266999999999999</v>
      </c>
      <c r="I50" s="9" t="s">
        <v>151</v>
      </c>
      <c r="J50" s="5">
        <v>3.794</v>
      </c>
      <c r="L50" s="5"/>
      <c r="M50" s="5"/>
      <c r="N50" s="5"/>
      <c r="O50" s="5"/>
      <c r="P50" s="5"/>
      <c r="Q50" s="5"/>
      <c r="R50" s="5"/>
      <c r="S50" s="9"/>
      <c r="T50" s="5"/>
      <c r="V50" s="138"/>
      <c r="W50" s="138"/>
      <c r="X50" s="138"/>
      <c r="Y50" s="138"/>
      <c r="Z50" s="138"/>
      <c r="AA50" s="138"/>
      <c r="AB50" s="138"/>
      <c r="AC50" s="138"/>
      <c r="AD50" s="138"/>
    </row>
    <row r="51" spans="1:30" ht="3.75" customHeight="1" x14ac:dyDescent="0.25">
      <c r="A51" s="55"/>
      <c r="B51" s="56"/>
      <c r="C51" s="56"/>
      <c r="D51" s="56"/>
      <c r="E51" s="56"/>
      <c r="F51" s="56"/>
      <c r="G51" s="56"/>
      <c r="H51" s="56"/>
      <c r="I51" s="56"/>
      <c r="J51" s="56"/>
    </row>
    <row r="52" spans="1:30" ht="12" hidden="1" customHeight="1" x14ac:dyDescent="0.25">
      <c r="A52" s="2"/>
    </row>
    <row r="53" spans="1:30" s="7" customFormat="1" ht="11.1" customHeight="1" x14ac:dyDescent="0.15">
      <c r="A53" s="74" t="s">
        <v>229</v>
      </c>
    </row>
    <row r="54" spans="1:30" s="7" customFormat="1" ht="11.1" customHeight="1" x14ac:dyDescent="0.15">
      <c r="A54" s="7" t="s">
        <v>23</v>
      </c>
    </row>
    <row r="55" spans="1:30" s="7" customFormat="1" ht="11.1" customHeight="1" x14ac:dyDescent="0.15">
      <c r="A55" s="7" t="s">
        <v>66</v>
      </c>
    </row>
    <row r="56" spans="1:30" s="7" customFormat="1" ht="11.1" customHeight="1" x14ac:dyDescent="0.15">
      <c r="A56" s="7" t="s">
        <v>35</v>
      </c>
    </row>
    <row r="57" spans="1:30" s="7" customFormat="1" ht="11.1" customHeight="1" x14ac:dyDescent="0.15">
      <c r="A57" s="7" t="s">
        <v>257</v>
      </c>
    </row>
    <row r="58" spans="1:30" s="7" customFormat="1" ht="11.1" customHeight="1" x14ac:dyDescent="0.15">
      <c r="A58" s="7" t="s">
        <v>258</v>
      </c>
    </row>
    <row r="59" spans="1:30" s="7" customFormat="1" ht="11.1" customHeight="1" x14ac:dyDescent="0.15">
      <c r="A59" s="7" t="s">
        <v>259</v>
      </c>
    </row>
    <row r="60" spans="1:30" s="7" customFormat="1" ht="11.1" customHeight="1" x14ac:dyDescent="0.15">
      <c r="A60" s="7" t="s">
        <v>260</v>
      </c>
    </row>
    <row r="61" spans="1:30" s="7" customFormat="1" ht="11.1" customHeight="1" x14ac:dyDescent="0.15">
      <c r="A61" s="7" t="s">
        <v>383</v>
      </c>
    </row>
    <row r="62" spans="1:30" s="7" customFormat="1" ht="11.1" customHeight="1" x14ac:dyDescent="0.15">
      <c r="A62" s="7" t="s">
        <v>382</v>
      </c>
    </row>
    <row r="63" spans="1:30" s="7" customFormat="1" ht="11.1" customHeight="1" x14ac:dyDescent="0.15"/>
    <row r="64" spans="1:30" s="7" customFormat="1" ht="11.1" customHeight="1" x14ac:dyDescent="0.15">
      <c r="A64" s="7" t="s">
        <v>442</v>
      </c>
    </row>
    <row r="65" spans="1:22" s="7" customFormat="1" ht="11.1" customHeight="1" x14ac:dyDescent="0.15"/>
    <row r="66" spans="1:22" ht="27.95" customHeight="1" x14ac:dyDescent="0.25">
      <c r="A66" s="198" t="s">
        <v>407</v>
      </c>
      <c r="B66" s="198"/>
      <c r="C66" s="198"/>
      <c r="D66" s="198"/>
      <c r="E66" s="198"/>
      <c r="F66" s="198"/>
      <c r="G66" s="198"/>
      <c r="H66" s="198"/>
      <c r="I66" s="198"/>
      <c r="J66" s="198"/>
      <c r="K66" s="57"/>
      <c r="L66" s="57"/>
    </row>
    <row r="67" spans="1:22" ht="2.25" customHeight="1" x14ac:dyDescent="0.25">
      <c r="A67" s="2"/>
    </row>
    <row r="68" spans="1:22" x14ac:dyDescent="0.25">
      <c r="A68" s="31" t="s">
        <v>205</v>
      </c>
      <c r="B68" s="3" t="s">
        <v>1</v>
      </c>
      <c r="C68" s="3" t="s">
        <v>2</v>
      </c>
      <c r="D68" s="3" t="s">
        <v>3</v>
      </c>
      <c r="E68" s="3" t="s">
        <v>4</v>
      </c>
      <c r="F68" s="3" t="s">
        <v>5</v>
      </c>
      <c r="G68" s="3" t="s">
        <v>6</v>
      </c>
      <c r="H68" s="3" t="s">
        <v>7</v>
      </c>
      <c r="I68" s="3" t="s">
        <v>8</v>
      </c>
      <c r="J68" s="3" t="s">
        <v>9</v>
      </c>
    </row>
    <row r="69" spans="1:22" x14ac:dyDescent="0.25">
      <c r="A69" s="4" t="s">
        <v>197</v>
      </c>
      <c r="B69" s="99">
        <v>45.212000000000003</v>
      </c>
      <c r="C69" s="99">
        <v>17.696000000000002</v>
      </c>
      <c r="D69" s="99">
        <v>58.881999999999998</v>
      </c>
      <c r="E69" s="99">
        <v>86.783000000000001</v>
      </c>
      <c r="F69" s="99">
        <v>50.801000000000002</v>
      </c>
      <c r="G69" s="99">
        <v>53.481999999999999</v>
      </c>
      <c r="H69" s="99" t="s">
        <v>146</v>
      </c>
      <c r="I69" s="99">
        <v>334.35899999999998</v>
      </c>
      <c r="J69" s="99">
        <v>52.274000000000001</v>
      </c>
      <c r="L69" s="5"/>
      <c r="M69" s="5"/>
      <c r="N69" s="5"/>
      <c r="O69" s="5"/>
      <c r="P69" s="5"/>
      <c r="Q69" s="5"/>
      <c r="R69" s="5"/>
      <c r="S69" s="5"/>
      <c r="T69" s="5"/>
      <c r="U69" s="140"/>
      <c r="V69" s="148"/>
    </row>
    <row r="70" spans="1:22" x14ac:dyDescent="0.25">
      <c r="A70" s="4">
        <v>2</v>
      </c>
      <c r="B70" s="99">
        <v>34.893999999999998</v>
      </c>
      <c r="C70" s="99">
        <v>8.5440000000000005</v>
      </c>
      <c r="D70" s="99">
        <v>46.319000000000003</v>
      </c>
      <c r="E70" s="99">
        <v>58.146999999999998</v>
      </c>
      <c r="F70" s="99">
        <v>26.962</v>
      </c>
      <c r="G70" s="99">
        <v>30.346</v>
      </c>
      <c r="H70" s="99" t="s">
        <v>149</v>
      </c>
      <c r="I70" s="99">
        <v>303.89</v>
      </c>
      <c r="J70" s="99">
        <v>37.121000000000002</v>
      </c>
      <c r="L70" s="5"/>
      <c r="M70" s="5"/>
      <c r="N70" s="5"/>
      <c r="O70" s="5"/>
      <c r="P70" s="5"/>
      <c r="Q70" s="5"/>
      <c r="R70" s="5"/>
      <c r="S70" s="5"/>
      <c r="T70" s="5"/>
      <c r="U70" s="140"/>
    </row>
    <row r="71" spans="1:22" x14ac:dyDescent="0.25">
      <c r="A71" s="4">
        <v>3</v>
      </c>
      <c r="B71" s="99">
        <v>25.161999999999999</v>
      </c>
      <c r="C71" s="99">
        <v>8.8369999999999997</v>
      </c>
      <c r="D71" s="99">
        <v>24.146000000000001</v>
      </c>
      <c r="E71" s="99">
        <v>43.277000000000001</v>
      </c>
      <c r="F71" s="99">
        <v>18.129000000000001</v>
      </c>
      <c r="G71" s="99">
        <v>25.305</v>
      </c>
      <c r="H71" s="99" t="s">
        <v>146</v>
      </c>
      <c r="I71" s="99">
        <v>271.86</v>
      </c>
      <c r="J71" s="99">
        <v>23.419</v>
      </c>
      <c r="L71" s="5"/>
      <c r="M71" s="5"/>
      <c r="N71" s="5"/>
      <c r="O71" s="5"/>
      <c r="P71" s="5"/>
      <c r="Q71" s="5"/>
      <c r="R71" s="5"/>
      <c r="S71" s="5"/>
      <c r="T71" s="5"/>
      <c r="U71" s="140"/>
    </row>
    <row r="72" spans="1:22" x14ac:dyDescent="0.25">
      <c r="A72" s="4">
        <v>4</v>
      </c>
      <c r="B72" s="99">
        <v>15.512</v>
      </c>
      <c r="C72" s="99">
        <v>5.0359999999999996</v>
      </c>
      <c r="D72" s="99">
        <v>14.568</v>
      </c>
      <c r="E72" s="99">
        <v>24.521999999999998</v>
      </c>
      <c r="F72" s="99">
        <v>13.247999999999999</v>
      </c>
      <c r="G72" s="99">
        <v>11.768000000000001</v>
      </c>
      <c r="H72" s="99">
        <v>54.548999999999999</v>
      </c>
      <c r="I72" s="99">
        <v>96.305999999999997</v>
      </c>
      <c r="J72" s="99">
        <v>15.664</v>
      </c>
      <c r="L72" s="5"/>
      <c r="M72" s="5"/>
      <c r="N72" s="5"/>
      <c r="O72" s="5"/>
      <c r="P72" s="5"/>
      <c r="Q72" s="5"/>
      <c r="R72" s="5"/>
      <c r="S72" s="5"/>
      <c r="T72" s="5"/>
      <c r="U72" s="140"/>
    </row>
    <row r="73" spans="1:22" x14ac:dyDescent="0.25">
      <c r="A73" s="4" t="s">
        <v>198</v>
      </c>
      <c r="B73" s="99">
        <v>10.234</v>
      </c>
      <c r="C73" s="99">
        <v>3.9289999999999998</v>
      </c>
      <c r="D73" s="99">
        <v>6.7549999999999999</v>
      </c>
      <c r="E73" s="99">
        <v>15.013999999999999</v>
      </c>
      <c r="F73" s="99" t="s">
        <v>153</v>
      </c>
      <c r="G73" s="99" t="s">
        <v>153</v>
      </c>
      <c r="H73" s="99">
        <v>33.353999999999999</v>
      </c>
      <c r="I73" s="99" t="s">
        <v>146</v>
      </c>
      <c r="J73" s="99">
        <v>9.52</v>
      </c>
      <c r="L73" s="5"/>
      <c r="M73" s="5"/>
      <c r="N73" s="5"/>
      <c r="O73" s="5"/>
      <c r="P73" s="9"/>
      <c r="Q73" s="9"/>
      <c r="R73" s="5"/>
      <c r="S73" s="5"/>
      <c r="T73" s="5"/>
      <c r="U73" s="140"/>
    </row>
    <row r="74" spans="1:22" ht="7.5" customHeight="1" x14ac:dyDescent="0.25">
      <c r="A74" s="55"/>
      <c r="B74" s="56"/>
      <c r="C74" s="56"/>
      <c r="D74" s="56"/>
      <c r="E74" s="56"/>
      <c r="F74" s="56"/>
      <c r="G74" s="56"/>
      <c r="H74" s="56"/>
      <c r="I74" s="56"/>
      <c r="J74" s="56"/>
    </row>
    <row r="75" spans="1:22" ht="1.5" customHeight="1" x14ac:dyDescent="0.25">
      <c r="A75" s="2"/>
    </row>
    <row r="76" spans="1:22" ht="10.5" customHeight="1" x14ac:dyDescent="0.25">
      <c r="A76" s="7" t="s">
        <v>252</v>
      </c>
    </row>
    <row r="77" spans="1:22" ht="11.25" customHeight="1" x14ac:dyDescent="0.25">
      <c r="A77" s="74" t="s">
        <v>229</v>
      </c>
      <c r="B77" s="7"/>
      <c r="C77" s="7"/>
      <c r="D77" s="7"/>
      <c r="E77" s="7"/>
      <c r="F77" s="7"/>
      <c r="G77" s="7"/>
      <c r="H77" s="7"/>
      <c r="I77" s="7"/>
      <c r="J77" s="7"/>
      <c r="K77" s="7"/>
      <c r="L77" s="7"/>
    </row>
    <row r="78" spans="1:22" s="7" customFormat="1" ht="11.1" customHeight="1" x14ac:dyDescent="0.15">
      <c r="A78" s="7" t="s">
        <v>23</v>
      </c>
    </row>
    <row r="79" spans="1:22" s="7" customFormat="1" ht="11.1" customHeight="1" x14ac:dyDescent="0.15">
      <c r="A79" s="7" t="s">
        <v>66</v>
      </c>
    </row>
    <row r="80" spans="1:22" s="7" customFormat="1" ht="11.1" customHeight="1" x14ac:dyDescent="0.15">
      <c r="A80" s="7" t="s">
        <v>35</v>
      </c>
    </row>
    <row r="81" spans="1:21" s="7" customFormat="1" ht="11.1" customHeight="1" x14ac:dyDescent="0.15">
      <c r="A81" s="7" t="s">
        <v>36</v>
      </c>
    </row>
    <row r="82" spans="1:21" s="7" customFormat="1" ht="11.1" customHeight="1" x14ac:dyDescent="0.15">
      <c r="A82" s="7" t="s">
        <v>200</v>
      </c>
    </row>
    <row r="83" spans="1:21" s="7" customFormat="1" ht="11.1" customHeight="1" x14ac:dyDescent="0.15">
      <c r="A83" s="7" t="s">
        <v>201</v>
      </c>
    </row>
    <row r="84" spans="1:21" s="7" customFormat="1" ht="11.1" customHeight="1" x14ac:dyDescent="0.15">
      <c r="A84" s="7" t="s">
        <v>202</v>
      </c>
    </row>
    <row r="85" spans="1:21" s="7" customFormat="1" ht="11.1" customHeight="1" x14ac:dyDescent="0.15">
      <c r="A85" s="7" t="s">
        <v>203</v>
      </c>
    </row>
    <row r="86" spans="1:21" s="7" customFormat="1" ht="11.1" customHeight="1" x14ac:dyDescent="0.15">
      <c r="A86" s="7" t="s">
        <v>382</v>
      </c>
    </row>
    <row r="88" spans="1:21" s="7" customFormat="1" ht="11.1" customHeight="1" x14ac:dyDescent="0.15">
      <c r="A88" s="7" t="s">
        <v>442</v>
      </c>
    </row>
    <row r="89" spans="1:21" ht="11.1" customHeight="1" x14ac:dyDescent="0.25"/>
    <row r="90" spans="1:21" s="7" customFormat="1" ht="11.1" customHeight="1" x14ac:dyDescent="0.15"/>
    <row r="91" spans="1:21" s="7" customFormat="1" ht="11.1" customHeight="1" x14ac:dyDescent="0.15"/>
    <row r="92" spans="1:21" s="7" customFormat="1" ht="11.1" customHeight="1" x14ac:dyDescent="0.15"/>
    <row r="93" spans="1:21" s="7" customFormat="1" ht="11.1" customHeight="1" x14ac:dyDescent="0.15">
      <c r="M93" s="146"/>
      <c r="N93" s="146"/>
      <c r="O93" s="146"/>
      <c r="P93" s="146"/>
      <c r="Q93" s="146"/>
      <c r="R93" s="146"/>
      <c r="S93" s="146"/>
      <c r="T93" s="146"/>
      <c r="U93" s="146"/>
    </row>
    <row r="94" spans="1:21" s="7" customFormat="1" ht="20.25" customHeight="1" x14ac:dyDescent="0.15">
      <c r="M94" s="146"/>
      <c r="N94" s="146"/>
      <c r="O94" s="146"/>
      <c r="P94" s="146"/>
      <c r="Q94" s="146"/>
      <c r="R94" s="146"/>
      <c r="S94" s="146"/>
      <c r="T94" s="146"/>
      <c r="U94" s="146"/>
    </row>
    <row r="95" spans="1:21" s="7" customFormat="1" ht="11.1" customHeight="1" x14ac:dyDescent="0.15">
      <c r="M95" s="146"/>
      <c r="N95" s="146"/>
      <c r="O95" s="146"/>
      <c r="P95" s="146"/>
      <c r="Q95" s="146"/>
      <c r="R95" s="146"/>
      <c r="S95" s="146"/>
      <c r="T95" s="146"/>
      <c r="U95" s="146"/>
    </row>
    <row r="96" spans="1:21" s="7" customFormat="1" ht="19.5" customHeight="1" x14ac:dyDescent="0.15">
      <c r="M96" s="146"/>
      <c r="N96" s="146"/>
      <c r="O96" s="146"/>
      <c r="P96" s="146"/>
      <c r="Q96" s="146"/>
      <c r="R96" s="146"/>
      <c r="S96" s="146"/>
      <c r="T96" s="146"/>
      <c r="U96" s="146"/>
    </row>
    <row r="97" spans="13:21" s="7" customFormat="1" ht="11.1" customHeight="1" x14ac:dyDescent="0.15">
      <c r="M97" s="146"/>
      <c r="N97" s="146"/>
      <c r="O97" s="146"/>
      <c r="P97" s="146"/>
      <c r="Q97" s="146"/>
      <c r="R97" s="146"/>
      <c r="S97" s="146"/>
      <c r="T97" s="146"/>
      <c r="U97" s="146"/>
    </row>
    <row r="98" spans="13:21" s="7" customFormat="1" ht="11.1" customHeight="1" x14ac:dyDescent="0.15"/>
    <row r="99" spans="13:21" s="7" customFormat="1" ht="11.1" customHeight="1" x14ac:dyDescent="0.15"/>
    <row r="100" spans="13:21" s="7" customFormat="1" ht="9.75" customHeight="1" x14ac:dyDescent="0.15"/>
    <row r="101" spans="13:21" s="7" customFormat="1" ht="11.1" customHeight="1" x14ac:dyDescent="0.15"/>
  </sheetData>
  <mergeCells count="9">
    <mergeCell ref="A66:J66"/>
    <mergeCell ref="A33:L33"/>
    <mergeCell ref="A40:L40"/>
    <mergeCell ref="A11:K11"/>
    <mergeCell ref="A1:J1"/>
    <mergeCell ref="A16:J16"/>
    <mergeCell ref="A38:J38"/>
    <mergeCell ref="A22:J22"/>
    <mergeCell ref="A43:J43"/>
  </mergeCells>
  <pageMargins left="0.08" right="0.08" top="1" bottom="1" header="0.5" footer="0.5"/>
  <pageSetup orientation="landscape" blackAndWhite="1"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Y233"/>
  <sheetViews>
    <sheetView zoomScaleNormal="100" workbookViewId="0">
      <selection activeCell="Q14" sqref="Q14"/>
    </sheetView>
  </sheetViews>
  <sheetFormatPr defaultColWidth="9.140625" defaultRowHeight="15" x14ac:dyDescent="0.25"/>
  <cols>
    <col min="1" max="1" width="11.42578125" style="1" bestFit="1" customWidth="1"/>
    <col min="2" max="2" width="57.85546875" style="1" customWidth="1"/>
    <col min="3" max="10" width="11.42578125" style="1" bestFit="1" customWidth="1"/>
    <col min="11" max="11" width="11.42578125" style="1" customWidth="1"/>
    <col min="12" max="14" width="11.42578125" style="1" bestFit="1" customWidth="1"/>
    <col min="15" max="16384" width="9.140625" style="1"/>
  </cols>
  <sheetData>
    <row r="1" spans="1:25" x14ac:dyDescent="0.25">
      <c r="A1" s="192" t="s">
        <v>330</v>
      </c>
      <c r="B1" s="192"/>
      <c r="C1" s="192"/>
      <c r="D1" s="192"/>
      <c r="E1" s="192"/>
      <c r="F1" s="192"/>
      <c r="G1" s="192"/>
      <c r="H1" s="192"/>
      <c r="I1" s="192"/>
      <c r="J1" s="192"/>
      <c r="K1" s="192"/>
      <c r="L1" s="192"/>
      <c r="M1" s="192"/>
      <c r="N1" s="192"/>
    </row>
    <row r="2" spans="1:25" ht="2.25" customHeight="1" x14ac:dyDescent="0.25">
      <c r="A2" s="2"/>
    </row>
    <row r="3" spans="1:25" ht="23.25" x14ac:dyDescent="0.25">
      <c r="A3" s="35" t="s">
        <v>160</v>
      </c>
      <c r="B3" s="35" t="s">
        <v>181</v>
      </c>
      <c r="C3" s="3" t="s">
        <v>1</v>
      </c>
      <c r="D3" s="3" t="s">
        <v>2</v>
      </c>
      <c r="E3" s="3" t="s">
        <v>3</v>
      </c>
      <c r="F3" s="3" t="s">
        <v>4</v>
      </c>
      <c r="G3" s="3" t="s">
        <v>5</v>
      </c>
      <c r="H3" s="3" t="s">
        <v>6</v>
      </c>
      <c r="I3" s="3" t="s">
        <v>7</v>
      </c>
      <c r="J3" s="3" t="s">
        <v>8</v>
      </c>
      <c r="K3" s="3" t="s">
        <v>220</v>
      </c>
      <c r="L3" s="3" t="s">
        <v>9</v>
      </c>
    </row>
    <row r="4" spans="1:25" x14ac:dyDescent="0.25">
      <c r="A4" s="194" t="s">
        <v>216</v>
      </c>
      <c r="B4" s="4" t="s">
        <v>71</v>
      </c>
      <c r="C4" s="9" t="s">
        <v>146</v>
      </c>
      <c r="D4" s="9" t="s">
        <v>146</v>
      </c>
      <c r="E4" s="9" t="s">
        <v>146</v>
      </c>
      <c r="F4" s="9" t="s">
        <v>146</v>
      </c>
      <c r="G4" s="103" t="s">
        <v>146</v>
      </c>
      <c r="H4" s="9" t="s">
        <v>146</v>
      </c>
      <c r="I4" s="9" t="s">
        <v>146</v>
      </c>
      <c r="J4" s="9" t="s">
        <v>146</v>
      </c>
      <c r="K4" s="103" t="s">
        <v>146</v>
      </c>
      <c r="L4" s="103" t="s">
        <v>146</v>
      </c>
      <c r="N4" s="9"/>
      <c r="O4" s="9"/>
      <c r="P4" s="9"/>
      <c r="Q4" s="9"/>
      <c r="R4" s="9"/>
      <c r="S4" s="9"/>
      <c r="T4" s="9"/>
      <c r="U4" s="9"/>
      <c r="V4" s="9"/>
      <c r="W4" s="9"/>
      <c r="Y4" s="123"/>
    </row>
    <row r="5" spans="1:25" x14ac:dyDescent="0.25">
      <c r="A5" s="194"/>
      <c r="B5" s="4" t="s">
        <v>72</v>
      </c>
      <c r="C5" s="103">
        <v>655</v>
      </c>
      <c r="D5" s="103">
        <v>2256</v>
      </c>
      <c r="E5" s="103">
        <v>936</v>
      </c>
      <c r="F5" s="103">
        <v>665</v>
      </c>
      <c r="G5" s="103">
        <v>666</v>
      </c>
      <c r="H5" s="103">
        <v>51</v>
      </c>
      <c r="I5" s="103">
        <v>170</v>
      </c>
      <c r="J5" s="103">
        <v>628</v>
      </c>
      <c r="K5" s="103">
        <v>5399</v>
      </c>
      <c r="L5" s="103">
        <v>6027</v>
      </c>
      <c r="M5" s="123"/>
      <c r="N5" s="9"/>
      <c r="O5" s="9"/>
      <c r="P5" s="9"/>
      <c r="Q5" s="9"/>
      <c r="R5" s="9"/>
      <c r="S5" s="9"/>
      <c r="T5" s="9"/>
      <c r="U5" s="9"/>
      <c r="V5" s="9"/>
      <c r="W5" s="9"/>
    </row>
    <row r="6" spans="1:25" ht="22.5" x14ac:dyDescent="0.25">
      <c r="A6" s="194"/>
      <c r="B6" s="4" t="s">
        <v>73</v>
      </c>
      <c r="C6" s="103">
        <v>3</v>
      </c>
      <c r="D6" s="103">
        <v>577</v>
      </c>
      <c r="E6" s="9" t="s">
        <v>146</v>
      </c>
      <c r="F6" s="9" t="s">
        <v>146</v>
      </c>
      <c r="G6" s="9" t="s">
        <v>146</v>
      </c>
      <c r="H6" s="103">
        <v>4</v>
      </c>
      <c r="I6" s="9" t="s">
        <v>146</v>
      </c>
      <c r="J6" s="9" t="s">
        <v>146</v>
      </c>
      <c r="K6" s="103">
        <v>584</v>
      </c>
      <c r="L6" s="103">
        <v>584</v>
      </c>
      <c r="N6" s="9"/>
      <c r="O6" s="9"/>
      <c r="P6" s="9"/>
      <c r="Q6" s="9"/>
      <c r="R6" s="9"/>
      <c r="S6" s="9"/>
      <c r="T6" s="9"/>
      <c r="U6" s="9"/>
      <c r="V6" s="9"/>
      <c r="W6" s="9"/>
    </row>
    <row r="7" spans="1:25" x14ac:dyDescent="0.25">
      <c r="A7" s="194"/>
      <c r="B7" s="4" t="s">
        <v>74</v>
      </c>
      <c r="C7" s="103">
        <v>658</v>
      </c>
      <c r="D7" s="103">
        <v>2833</v>
      </c>
      <c r="E7" s="103">
        <v>936</v>
      </c>
      <c r="F7" s="103">
        <v>665</v>
      </c>
      <c r="G7" s="103">
        <v>666</v>
      </c>
      <c r="H7" s="103">
        <v>55</v>
      </c>
      <c r="I7" s="103">
        <v>170</v>
      </c>
      <c r="J7" s="103">
        <v>628</v>
      </c>
      <c r="K7" s="103">
        <v>5983</v>
      </c>
      <c r="L7" s="103">
        <v>6611</v>
      </c>
      <c r="N7" s="9"/>
      <c r="O7" s="9"/>
      <c r="P7" s="9"/>
      <c r="Q7" s="9"/>
      <c r="R7" s="9"/>
      <c r="S7" s="9"/>
      <c r="T7" s="9"/>
      <c r="U7" s="9"/>
      <c r="V7" s="9"/>
      <c r="W7" s="9"/>
    </row>
    <row r="8" spans="1:25" x14ac:dyDescent="0.25">
      <c r="A8" s="194"/>
      <c r="B8" s="4" t="s">
        <v>75</v>
      </c>
      <c r="C8" s="103">
        <v>7678</v>
      </c>
      <c r="D8" s="103">
        <v>1180</v>
      </c>
      <c r="E8" s="103">
        <v>3927</v>
      </c>
      <c r="F8" s="103">
        <v>1185</v>
      </c>
      <c r="G8" s="99" t="s">
        <v>153</v>
      </c>
      <c r="H8" s="103">
        <v>185</v>
      </c>
      <c r="I8" s="99" t="s">
        <v>153</v>
      </c>
      <c r="J8" s="103">
        <v>179</v>
      </c>
      <c r="K8" s="103">
        <v>14409</v>
      </c>
      <c r="L8" s="103">
        <v>14588</v>
      </c>
      <c r="N8" s="9"/>
      <c r="O8" s="9"/>
      <c r="P8" s="9"/>
      <c r="Q8" s="9"/>
      <c r="R8" s="9"/>
      <c r="S8" s="9"/>
      <c r="T8" s="9"/>
      <c r="U8" s="9"/>
      <c r="V8" s="9"/>
      <c r="W8" s="9"/>
    </row>
    <row r="9" spans="1:25" x14ac:dyDescent="0.25">
      <c r="A9" s="194"/>
      <c r="B9" s="4" t="s">
        <v>76</v>
      </c>
      <c r="C9" s="103">
        <v>212</v>
      </c>
      <c r="D9" s="9" t="s">
        <v>146</v>
      </c>
      <c r="E9" s="103">
        <v>453</v>
      </c>
      <c r="F9" s="103">
        <v>298</v>
      </c>
      <c r="G9" s="99" t="s">
        <v>153</v>
      </c>
      <c r="H9" s="103">
        <v>40</v>
      </c>
      <c r="I9" s="99" t="s">
        <v>153</v>
      </c>
      <c r="J9" s="103">
        <v>251</v>
      </c>
      <c r="K9" s="103">
        <v>1087</v>
      </c>
      <c r="L9" s="103">
        <v>1338</v>
      </c>
      <c r="N9" s="9"/>
      <c r="O9" s="9"/>
      <c r="P9" s="9"/>
      <c r="Q9" s="9"/>
      <c r="R9" s="9"/>
      <c r="S9" s="9"/>
      <c r="T9" s="9"/>
      <c r="U9" s="9"/>
      <c r="V9" s="9"/>
      <c r="W9" s="9"/>
    </row>
    <row r="10" spans="1:25" x14ac:dyDescent="0.25">
      <c r="A10" s="194"/>
      <c r="B10" s="4" t="s">
        <v>77</v>
      </c>
      <c r="C10" s="9" t="s">
        <v>146</v>
      </c>
      <c r="D10" s="9" t="s">
        <v>146</v>
      </c>
      <c r="E10" s="9" t="s">
        <v>146</v>
      </c>
      <c r="F10" s="9" t="s">
        <v>146</v>
      </c>
      <c r="G10" s="103">
        <v>3</v>
      </c>
      <c r="H10" s="9" t="s">
        <v>146</v>
      </c>
      <c r="I10" s="9" t="s">
        <v>146</v>
      </c>
      <c r="J10" s="9" t="s">
        <v>146</v>
      </c>
      <c r="K10" s="103">
        <v>3</v>
      </c>
      <c r="L10" s="103">
        <v>3</v>
      </c>
      <c r="N10" s="9"/>
      <c r="O10" s="9"/>
      <c r="P10" s="9"/>
      <c r="Q10" s="9"/>
      <c r="R10" s="9"/>
      <c r="S10" s="9"/>
      <c r="T10" s="9"/>
      <c r="U10" s="9"/>
      <c r="V10" s="9"/>
      <c r="W10" s="9"/>
    </row>
    <row r="11" spans="1:25" x14ac:dyDescent="0.25">
      <c r="A11" s="194"/>
      <c r="B11" s="4" t="s">
        <v>78</v>
      </c>
      <c r="C11" s="103">
        <v>402</v>
      </c>
      <c r="D11" s="103">
        <v>215</v>
      </c>
      <c r="E11" s="103">
        <v>328</v>
      </c>
      <c r="F11" s="103">
        <v>130</v>
      </c>
      <c r="G11" s="103">
        <v>2</v>
      </c>
      <c r="H11" s="103">
        <v>17</v>
      </c>
      <c r="I11" s="9" t="s">
        <v>146</v>
      </c>
      <c r="J11" s="103">
        <v>17</v>
      </c>
      <c r="K11" s="103">
        <v>1094</v>
      </c>
      <c r="L11" s="103">
        <v>1111</v>
      </c>
      <c r="N11" s="9"/>
      <c r="O11" s="9"/>
      <c r="P11" s="9"/>
      <c r="Q11" s="9"/>
      <c r="R11" s="9"/>
      <c r="S11" s="9"/>
      <c r="T11" s="9"/>
      <c r="U11" s="9"/>
      <c r="V11" s="9"/>
      <c r="W11" s="9"/>
    </row>
    <row r="12" spans="1:25" x14ac:dyDescent="0.25">
      <c r="A12" s="194"/>
      <c r="B12" s="4" t="s">
        <v>79</v>
      </c>
      <c r="C12" s="9" t="s">
        <v>146</v>
      </c>
      <c r="D12" s="9" t="s">
        <v>146</v>
      </c>
      <c r="E12" s="9" t="s">
        <v>146</v>
      </c>
      <c r="F12" s="103">
        <v>5</v>
      </c>
      <c r="G12" s="103">
        <v>10</v>
      </c>
      <c r="H12" s="9" t="s">
        <v>146</v>
      </c>
      <c r="I12" s="9" t="s">
        <v>146</v>
      </c>
      <c r="J12" s="9" t="s">
        <v>146</v>
      </c>
      <c r="K12" s="103">
        <v>15</v>
      </c>
      <c r="L12" s="103">
        <v>15</v>
      </c>
      <c r="N12" s="9"/>
      <c r="O12" s="9"/>
      <c r="P12" s="9"/>
      <c r="Q12" s="9"/>
      <c r="R12" s="9"/>
      <c r="S12" s="9"/>
      <c r="T12" s="9"/>
      <c r="U12" s="9"/>
      <c r="V12" s="9"/>
      <c r="W12" s="9"/>
    </row>
    <row r="13" spans="1:25" x14ac:dyDescent="0.25">
      <c r="A13" s="194"/>
      <c r="B13" s="4" t="s">
        <v>80</v>
      </c>
      <c r="C13" s="103">
        <v>198</v>
      </c>
      <c r="D13" s="9" t="s">
        <v>146</v>
      </c>
      <c r="E13" s="103">
        <v>1096</v>
      </c>
      <c r="F13" s="103">
        <v>23</v>
      </c>
      <c r="G13" s="103">
        <v>180</v>
      </c>
      <c r="H13" s="103">
        <v>115</v>
      </c>
      <c r="I13" s="9" t="s">
        <v>146</v>
      </c>
      <c r="J13" s="103">
        <v>49</v>
      </c>
      <c r="K13" s="103">
        <v>1612</v>
      </c>
      <c r="L13" s="103">
        <v>1661</v>
      </c>
      <c r="N13" s="9"/>
      <c r="O13" s="9"/>
      <c r="P13" s="9"/>
      <c r="Q13" s="9"/>
      <c r="R13" s="9"/>
      <c r="S13" s="9"/>
      <c r="T13" s="9"/>
      <c r="U13" s="9"/>
      <c r="V13" s="9"/>
      <c r="W13" s="9"/>
    </row>
    <row r="14" spans="1:25" x14ac:dyDescent="0.25">
      <c r="A14" s="194"/>
      <c r="B14" s="4" t="s">
        <v>81</v>
      </c>
      <c r="C14" s="103">
        <v>8490</v>
      </c>
      <c r="D14" s="103">
        <v>1395</v>
      </c>
      <c r="E14" s="103">
        <v>5804</v>
      </c>
      <c r="F14" s="103">
        <v>1641</v>
      </c>
      <c r="G14" s="103">
        <v>385</v>
      </c>
      <c r="H14" s="103">
        <v>357</v>
      </c>
      <c r="I14" s="103">
        <v>148</v>
      </c>
      <c r="J14" s="103">
        <v>496</v>
      </c>
      <c r="K14" s="103">
        <v>18220</v>
      </c>
      <c r="L14" s="103">
        <v>18716</v>
      </c>
      <c r="N14" s="9"/>
      <c r="O14" s="9"/>
      <c r="P14" s="9"/>
      <c r="Q14" s="9"/>
      <c r="R14" s="9"/>
      <c r="S14" s="9"/>
      <c r="T14" s="9"/>
      <c r="U14" s="9"/>
      <c r="V14" s="9"/>
      <c r="W14" s="9"/>
    </row>
    <row r="15" spans="1:25" x14ac:dyDescent="0.25">
      <c r="A15" s="194"/>
      <c r="B15" s="4" t="s">
        <v>82</v>
      </c>
      <c r="C15" s="103">
        <v>32</v>
      </c>
      <c r="D15" s="9" t="s">
        <v>146</v>
      </c>
      <c r="E15" s="9" t="s">
        <v>146</v>
      </c>
      <c r="F15" s="9" t="s">
        <v>146</v>
      </c>
      <c r="G15" s="99" t="s">
        <v>153</v>
      </c>
      <c r="H15" s="9" t="s">
        <v>146</v>
      </c>
      <c r="I15" s="99" t="s">
        <v>153</v>
      </c>
      <c r="J15" s="103">
        <v>171</v>
      </c>
      <c r="K15" s="103">
        <v>39</v>
      </c>
      <c r="L15" s="103">
        <v>210</v>
      </c>
      <c r="N15" s="9"/>
      <c r="O15" s="9"/>
      <c r="P15" s="9"/>
      <c r="Q15" s="9"/>
      <c r="R15" s="9"/>
      <c r="S15" s="9"/>
      <c r="T15" s="9"/>
      <c r="U15" s="9"/>
      <c r="V15" s="9"/>
      <c r="W15" s="9"/>
    </row>
    <row r="16" spans="1:25" x14ac:dyDescent="0.25">
      <c r="A16" s="194"/>
      <c r="B16" s="4" t="s">
        <v>83</v>
      </c>
      <c r="C16" s="103">
        <v>9180</v>
      </c>
      <c r="D16" s="103">
        <v>4228</v>
      </c>
      <c r="E16" s="103">
        <v>6740</v>
      </c>
      <c r="F16" s="103">
        <v>2306</v>
      </c>
      <c r="G16" s="103">
        <v>1057</v>
      </c>
      <c r="H16" s="103">
        <v>412</v>
      </c>
      <c r="I16" s="103">
        <v>319</v>
      </c>
      <c r="J16" s="103">
        <v>1295</v>
      </c>
      <c r="K16" s="103">
        <v>24242</v>
      </c>
      <c r="L16" s="103">
        <v>25537</v>
      </c>
      <c r="N16" s="9"/>
      <c r="O16" s="9"/>
      <c r="P16" s="9"/>
      <c r="Q16" s="9"/>
      <c r="R16" s="9"/>
      <c r="S16" s="9"/>
      <c r="T16" s="9"/>
      <c r="U16" s="9"/>
      <c r="V16" s="9"/>
      <c r="W16" s="9"/>
    </row>
    <row r="17" spans="1:23" x14ac:dyDescent="0.25">
      <c r="A17" s="194"/>
      <c r="B17" s="4" t="s">
        <v>84</v>
      </c>
      <c r="C17" s="103">
        <v>2613</v>
      </c>
      <c r="D17" s="9" t="s">
        <v>146</v>
      </c>
      <c r="E17" s="103">
        <v>983</v>
      </c>
      <c r="F17" s="103">
        <v>715</v>
      </c>
      <c r="G17" s="9">
        <v>422</v>
      </c>
      <c r="H17" s="9" t="s">
        <v>146</v>
      </c>
      <c r="I17" s="9">
        <v>149</v>
      </c>
      <c r="J17" s="9" t="s">
        <v>146</v>
      </c>
      <c r="K17" s="103">
        <v>4882</v>
      </c>
      <c r="L17" s="103">
        <v>4882</v>
      </c>
      <c r="N17" s="9"/>
      <c r="O17" s="9"/>
      <c r="P17" s="9"/>
      <c r="Q17" s="9"/>
      <c r="R17" s="9"/>
      <c r="S17" s="9"/>
      <c r="T17" s="9"/>
      <c r="U17" s="9"/>
      <c r="V17" s="9"/>
      <c r="W17" s="9"/>
    </row>
    <row r="18" spans="1:23" x14ac:dyDescent="0.25">
      <c r="A18" s="194"/>
      <c r="B18" s="4" t="s">
        <v>85</v>
      </c>
      <c r="C18" s="103">
        <v>10348</v>
      </c>
      <c r="D18" s="103">
        <v>3386</v>
      </c>
      <c r="E18" s="103">
        <v>6246</v>
      </c>
      <c r="F18" s="103">
        <v>968</v>
      </c>
      <c r="G18" s="9">
        <v>480</v>
      </c>
      <c r="H18" s="103">
        <v>215</v>
      </c>
      <c r="I18" s="9">
        <v>181</v>
      </c>
      <c r="J18" s="103">
        <v>5587</v>
      </c>
      <c r="K18" s="103">
        <v>21824</v>
      </c>
      <c r="L18" s="103">
        <v>27411</v>
      </c>
      <c r="N18" s="9"/>
      <c r="O18" s="9"/>
      <c r="P18" s="9"/>
      <c r="Q18" s="9"/>
      <c r="R18" s="9"/>
      <c r="S18" s="9"/>
      <c r="T18" s="9"/>
      <c r="U18" s="9"/>
      <c r="V18" s="9"/>
      <c r="W18" s="9"/>
    </row>
    <row r="19" spans="1:23" x14ac:dyDescent="0.25">
      <c r="A19" s="194"/>
      <c r="B19" s="4" t="s">
        <v>86</v>
      </c>
      <c r="C19" s="103">
        <v>12961</v>
      </c>
      <c r="D19" s="103">
        <v>3386</v>
      </c>
      <c r="E19" s="103">
        <v>7229</v>
      </c>
      <c r="F19" s="103">
        <v>1683</v>
      </c>
      <c r="G19" s="103">
        <v>902</v>
      </c>
      <c r="H19" s="103">
        <v>215</v>
      </c>
      <c r="I19" s="103">
        <v>330</v>
      </c>
      <c r="J19" s="103">
        <v>5587</v>
      </c>
      <c r="K19" s="103">
        <v>26706</v>
      </c>
      <c r="L19" s="103">
        <v>32293</v>
      </c>
      <c r="N19" s="9"/>
      <c r="O19" s="9"/>
      <c r="P19" s="9"/>
      <c r="Q19" s="9"/>
      <c r="R19" s="9"/>
      <c r="S19" s="9"/>
      <c r="T19" s="9"/>
      <c r="U19" s="9"/>
      <c r="V19" s="9"/>
      <c r="W19" s="9"/>
    </row>
    <row r="20" spans="1:23" x14ac:dyDescent="0.25">
      <c r="A20" s="194"/>
      <c r="B20" s="4" t="s">
        <v>87</v>
      </c>
      <c r="C20" s="103">
        <v>1229</v>
      </c>
      <c r="D20" s="103">
        <v>491</v>
      </c>
      <c r="E20" s="103">
        <v>723</v>
      </c>
      <c r="F20" s="103">
        <v>216</v>
      </c>
      <c r="G20" s="103">
        <v>48</v>
      </c>
      <c r="H20" s="103">
        <v>28</v>
      </c>
      <c r="I20" s="103">
        <v>60</v>
      </c>
      <c r="J20" s="103">
        <v>870</v>
      </c>
      <c r="K20" s="103">
        <v>2795</v>
      </c>
      <c r="L20" s="103">
        <v>3665</v>
      </c>
      <c r="N20" s="9"/>
      <c r="O20" s="9"/>
      <c r="P20" s="9"/>
      <c r="Q20" s="9"/>
      <c r="R20" s="9"/>
      <c r="S20" s="9"/>
      <c r="T20" s="9"/>
      <c r="U20" s="9"/>
      <c r="V20" s="9"/>
      <c r="W20" s="9"/>
    </row>
    <row r="21" spans="1:23" x14ac:dyDescent="0.25">
      <c r="A21" s="194"/>
      <c r="B21" s="4" t="s">
        <v>88</v>
      </c>
      <c r="C21" s="103">
        <v>14190</v>
      </c>
      <c r="D21" s="103">
        <v>3877</v>
      </c>
      <c r="E21" s="103">
        <v>7952</v>
      </c>
      <c r="F21" s="103">
        <v>1899</v>
      </c>
      <c r="G21" s="103">
        <v>950</v>
      </c>
      <c r="H21" s="103">
        <v>243</v>
      </c>
      <c r="I21" s="103">
        <v>390</v>
      </c>
      <c r="J21" s="103">
        <v>6457</v>
      </c>
      <c r="K21" s="103">
        <v>29501</v>
      </c>
      <c r="L21" s="103">
        <v>35958</v>
      </c>
      <c r="N21" s="9"/>
      <c r="O21" s="9"/>
      <c r="P21" s="9"/>
      <c r="Q21" s="9"/>
      <c r="R21" s="9"/>
      <c r="S21" s="9"/>
      <c r="T21" s="9"/>
      <c r="U21" s="9"/>
      <c r="V21" s="9"/>
      <c r="W21" s="9"/>
    </row>
    <row r="22" spans="1:23" x14ac:dyDescent="0.25">
      <c r="A22" s="194"/>
      <c r="B22" s="10" t="s">
        <v>89</v>
      </c>
      <c r="C22" s="102">
        <v>23370</v>
      </c>
      <c r="D22" s="102">
        <v>8105</v>
      </c>
      <c r="E22" s="102">
        <v>14692</v>
      </c>
      <c r="F22" s="102">
        <v>4205</v>
      </c>
      <c r="G22" s="102">
        <v>2007</v>
      </c>
      <c r="H22" s="102">
        <v>655</v>
      </c>
      <c r="I22" s="102">
        <v>709</v>
      </c>
      <c r="J22" s="102">
        <v>7752</v>
      </c>
      <c r="K22" s="102">
        <v>53743</v>
      </c>
      <c r="L22" s="102">
        <v>61495</v>
      </c>
      <c r="N22" s="9"/>
      <c r="O22" s="9"/>
      <c r="P22" s="9"/>
      <c r="Q22" s="9"/>
      <c r="R22" s="9"/>
      <c r="S22" s="9"/>
      <c r="T22" s="9"/>
      <c r="U22" s="9"/>
      <c r="V22" s="9"/>
      <c r="W22" s="9"/>
    </row>
    <row r="23" spans="1:23" x14ac:dyDescent="0.25">
      <c r="A23" s="194" t="s">
        <v>217</v>
      </c>
      <c r="B23" s="4" t="s">
        <v>71</v>
      </c>
      <c r="C23" s="9" t="s">
        <v>146</v>
      </c>
      <c r="D23" s="9" t="s">
        <v>146</v>
      </c>
      <c r="E23" s="9" t="s">
        <v>146</v>
      </c>
      <c r="F23" s="9" t="s">
        <v>146</v>
      </c>
      <c r="G23" s="9" t="s">
        <v>146</v>
      </c>
      <c r="H23" s="9" t="s">
        <v>146</v>
      </c>
      <c r="I23" s="9" t="s">
        <v>146</v>
      </c>
      <c r="J23" s="9" t="s">
        <v>146</v>
      </c>
      <c r="K23" s="9" t="s">
        <v>146</v>
      </c>
      <c r="L23" s="9" t="s">
        <v>146</v>
      </c>
      <c r="N23" s="9"/>
      <c r="O23" s="9"/>
      <c r="P23" s="9"/>
      <c r="Q23" s="9"/>
      <c r="R23" s="9"/>
      <c r="S23" s="9"/>
      <c r="T23" s="9"/>
      <c r="U23" s="9"/>
      <c r="V23" s="9"/>
      <c r="W23" s="9"/>
    </row>
    <row r="24" spans="1:23" x14ac:dyDescent="0.25">
      <c r="A24" s="194"/>
      <c r="B24" s="4" t="s">
        <v>72</v>
      </c>
      <c r="C24" s="99" t="s">
        <v>153</v>
      </c>
      <c r="D24" s="103">
        <v>2037</v>
      </c>
      <c r="E24" s="103">
        <v>1012</v>
      </c>
      <c r="F24" s="103">
        <v>810</v>
      </c>
      <c r="G24" s="103">
        <v>889</v>
      </c>
      <c r="H24" s="99" t="s">
        <v>153</v>
      </c>
      <c r="I24" s="103">
        <v>217</v>
      </c>
      <c r="J24" s="103">
        <v>1149</v>
      </c>
      <c r="K24" s="103">
        <v>5541</v>
      </c>
      <c r="L24" s="103">
        <v>6690</v>
      </c>
      <c r="N24" s="9"/>
      <c r="O24" s="9"/>
      <c r="P24" s="9"/>
      <c r="Q24" s="9"/>
      <c r="R24" s="9"/>
      <c r="S24" s="9"/>
      <c r="T24" s="9"/>
      <c r="U24" s="9"/>
      <c r="V24" s="9"/>
      <c r="W24" s="9"/>
    </row>
    <row r="25" spans="1:23" ht="22.5" x14ac:dyDescent="0.25">
      <c r="A25" s="194"/>
      <c r="B25" s="4" t="s">
        <v>73</v>
      </c>
      <c r="C25" s="99" t="s">
        <v>153</v>
      </c>
      <c r="D25" s="103">
        <v>454</v>
      </c>
      <c r="E25" s="9" t="s">
        <v>146</v>
      </c>
      <c r="F25" s="9" t="s">
        <v>146</v>
      </c>
      <c r="G25" s="9" t="s">
        <v>146</v>
      </c>
      <c r="H25" s="99" t="s">
        <v>153</v>
      </c>
      <c r="I25" s="9" t="s">
        <v>146</v>
      </c>
      <c r="J25" s="9" t="s">
        <v>146</v>
      </c>
      <c r="K25" s="103">
        <v>459</v>
      </c>
      <c r="L25" s="103">
        <v>459</v>
      </c>
      <c r="N25" s="9"/>
      <c r="O25" s="9"/>
      <c r="P25" s="9"/>
      <c r="Q25" s="9"/>
      <c r="R25" s="9"/>
      <c r="S25" s="9"/>
      <c r="T25" s="9"/>
      <c r="U25" s="9"/>
      <c r="V25" s="9"/>
      <c r="W25" s="9"/>
    </row>
    <row r="26" spans="1:23" x14ac:dyDescent="0.25">
      <c r="A26" s="194"/>
      <c r="B26" s="4" t="s">
        <v>74</v>
      </c>
      <c r="C26" s="103">
        <v>527</v>
      </c>
      <c r="D26" s="103">
        <v>2491</v>
      </c>
      <c r="E26" s="103">
        <v>1012</v>
      </c>
      <c r="F26" s="103">
        <v>810</v>
      </c>
      <c r="G26" s="103">
        <v>889</v>
      </c>
      <c r="H26" s="103">
        <v>54</v>
      </c>
      <c r="I26" s="103">
        <v>217</v>
      </c>
      <c r="J26" s="103">
        <v>1149</v>
      </c>
      <c r="K26" s="103">
        <v>6000</v>
      </c>
      <c r="L26" s="103">
        <v>7149</v>
      </c>
      <c r="N26" s="9"/>
      <c r="O26" s="9"/>
      <c r="P26" s="9"/>
      <c r="Q26" s="9"/>
      <c r="R26" s="9"/>
      <c r="S26" s="9"/>
      <c r="T26" s="9"/>
      <c r="U26" s="9"/>
      <c r="V26" s="9"/>
      <c r="W26" s="9"/>
    </row>
    <row r="27" spans="1:23" x14ac:dyDescent="0.25">
      <c r="A27" s="194"/>
      <c r="B27" s="4" t="s">
        <v>75</v>
      </c>
      <c r="C27" s="103">
        <v>6496</v>
      </c>
      <c r="D27" s="103">
        <v>927</v>
      </c>
      <c r="E27" s="103">
        <v>3990</v>
      </c>
      <c r="F27" s="103">
        <v>1266</v>
      </c>
      <c r="G27" s="103">
        <v>143</v>
      </c>
      <c r="H27" s="103">
        <v>135</v>
      </c>
      <c r="I27" s="103">
        <v>82</v>
      </c>
      <c r="J27" s="103">
        <v>365</v>
      </c>
      <c r="K27" s="103">
        <v>13039</v>
      </c>
      <c r="L27" s="103">
        <v>13404</v>
      </c>
      <c r="N27" s="9"/>
      <c r="O27" s="9"/>
      <c r="P27" s="9"/>
      <c r="Q27" s="9"/>
      <c r="R27" s="9"/>
      <c r="S27" s="9"/>
      <c r="T27" s="9"/>
      <c r="U27" s="9"/>
      <c r="V27" s="9"/>
      <c r="W27" s="9"/>
    </row>
    <row r="28" spans="1:23" x14ac:dyDescent="0.25">
      <c r="A28" s="194"/>
      <c r="B28" s="4" t="s">
        <v>76</v>
      </c>
      <c r="C28" s="103">
        <v>183</v>
      </c>
      <c r="D28" s="9" t="s">
        <v>146</v>
      </c>
      <c r="E28" s="103">
        <v>510</v>
      </c>
      <c r="F28" s="103">
        <v>283</v>
      </c>
      <c r="G28" s="103">
        <v>61</v>
      </c>
      <c r="H28" s="103">
        <v>49</v>
      </c>
      <c r="I28" s="103">
        <v>32</v>
      </c>
      <c r="J28" s="103">
        <v>381</v>
      </c>
      <c r="K28" s="103">
        <v>1118</v>
      </c>
      <c r="L28" s="103">
        <v>1499</v>
      </c>
      <c r="N28" s="9"/>
      <c r="O28" s="9"/>
      <c r="P28" s="9"/>
      <c r="Q28" s="9"/>
      <c r="R28" s="9"/>
      <c r="S28" s="9"/>
      <c r="T28" s="9"/>
      <c r="U28" s="9"/>
      <c r="V28" s="9"/>
      <c r="W28" s="9"/>
    </row>
    <row r="29" spans="1:23" x14ac:dyDescent="0.25">
      <c r="A29" s="194"/>
      <c r="B29" s="4" t="s">
        <v>77</v>
      </c>
      <c r="C29" s="9" t="s">
        <v>146</v>
      </c>
      <c r="D29" s="9" t="s">
        <v>146</v>
      </c>
      <c r="E29" s="9" t="s">
        <v>146</v>
      </c>
      <c r="F29" s="9" t="s">
        <v>146</v>
      </c>
      <c r="G29" s="103" t="s">
        <v>146</v>
      </c>
      <c r="H29" s="9" t="s">
        <v>146</v>
      </c>
      <c r="I29" s="9" t="s">
        <v>146</v>
      </c>
      <c r="J29" s="9">
        <v>1</v>
      </c>
      <c r="K29" s="9" t="s">
        <v>146</v>
      </c>
      <c r="L29" s="103">
        <v>1</v>
      </c>
      <c r="N29" s="9"/>
      <c r="O29" s="9"/>
      <c r="P29" s="9"/>
      <c r="Q29" s="9"/>
      <c r="R29" s="9"/>
      <c r="S29" s="9"/>
      <c r="T29" s="9"/>
      <c r="U29" s="9"/>
      <c r="V29" s="9"/>
      <c r="W29" s="9"/>
    </row>
    <row r="30" spans="1:23" x14ac:dyDescent="0.25">
      <c r="A30" s="194"/>
      <c r="B30" s="4" t="s">
        <v>78</v>
      </c>
      <c r="C30" s="103">
        <v>270</v>
      </c>
      <c r="D30" s="103">
        <v>148</v>
      </c>
      <c r="E30" s="103">
        <v>386</v>
      </c>
      <c r="F30" s="103">
        <v>172</v>
      </c>
      <c r="G30" s="103">
        <v>4</v>
      </c>
      <c r="H30" s="103">
        <v>10</v>
      </c>
      <c r="I30" s="9" t="s">
        <v>146</v>
      </c>
      <c r="J30" s="103">
        <v>2</v>
      </c>
      <c r="K30" s="103">
        <v>990</v>
      </c>
      <c r="L30" s="103">
        <v>992</v>
      </c>
      <c r="N30" s="9"/>
      <c r="O30" s="9"/>
      <c r="P30" s="9"/>
      <c r="Q30" s="9"/>
      <c r="R30" s="9"/>
      <c r="S30" s="9"/>
      <c r="T30" s="9"/>
      <c r="U30" s="9"/>
      <c r="V30" s="9"/>
      <c r="W30" s="9"/>
    </row>
    <row r="31" spans="1:23" x14ac:dyDescent="0.25">
      <c r="A31" s="194"/>
      <c r="B31" s="4" t="s">
        <v>79</v>
      </c>
      <c r="C31" s="9" t="s">
        <v>146</v>
      </c>
      <c r="D31" s="9" t="s">
        <v>146</v>
      </c>
      <c r="E31" s="9" t="s">
        <v>146</v>
      </c>
      <c r="F31" s="103">
        <v>7</v>
      </c>
      <c r="G31" s="103">
        <v>23</v>
      </c>
      <c r="H31" s="9" t="s">
        <v>146</v>
      </c>
      <c r="I31" s="9" t="s">
        <v>146</v>
      </c>
      <c r="J31" s="9" t="s">
        <v>146</v>
      </c>
      <c r="K31" s="103">
        <v>30</v>
      </c>
      <c r="L31" s="103">
        <v>30</v>
      </c>
      <c r="N31" s="9"/>
      <c r="O31" s="9"/>
      <c r="P31" s="9"/>
      <c r="Q31" s="9"/>
      <c r="R31" s="9"/>
      <c r="S31" s="9"/>
      <c r="T31" s="9"/>
      <c r="U31" s="9"/>
      <c r="V31" s="9"/>
      <c r="W31" s="9"/>
    </row>
    <row r="32" spans="1:23" x14ac:dyDescent="0.25">
      <c r="A32" s="194"/>
      <c r="B32" s="4" t="s">
        <v>80</v>
      </c>
      <c r="C32" s="103">
        <v>141</v>
      </c>
      <c r="D32" s="9" t="s">
        <v>146</v>
      </c>
      <c r="E32" s="103">
        <v>1002</v>
      </c>
      <c r="F32" s="103">
        <v>19</v>
      </c>
      <c r="G32" s="103">
        <v>195</v>
      </c>
      <c r="H32" s="103">
        <v>100</v>
      </c>
      <c r="I32" s="9" t="s">
        <v>146</v>
      </c>
      <c r="J32" s="103">
        <v>95</v>
      </c>
      <c r="K32" s="103">
        <v>1457</v>
      </c>
      <c r="L32" s="103">
        <v>1552</v>
      </c>
      <c r="N32" s="9"/>
      <c r="O32" s="9"/>
      <c r="P32" s="9"/>
      <c r="Q32" s="9"/>
      <c r="R32" s="9"/>
      <c r="S32" s="9"/>
      <c r="T32" s="9"/>
      <c r="U32" s="9"/>
      <c r="V32" s="9"/>
      <c r="W32" s="9"/>
    </row>
    <row r="33" spans="1:23" x14ac:dyDescent="0.25">
      <c r="A33" s="194"/>
      <c r="B33" s="4" t="s">
        <v>81</v>
      </c>
      <c r="C33" s="103">
        <v>7090</v>
      </c>
      <c r="D33" s="103">
        <v>1075</v>
      </c>
      <c r="E33" s="103">
        <v>5888</v>
      </c>
      <c r="F33" s="103">
        <v>1747</v>
      </c>
      <c r="G33" s="103">
        <v>426</v>
      </c>
      <c r="H33" s="103">
        <v>294</v>
      </c>
      <c r="I33" s="103">
        <v>114</v>
      </c>
      <c r="J33" s="103">
        <v>844</v>
      </c>
      <c r="K33" s="103">
        <v>16634</v>
      </c>
      <c r="L33" s="103">
        <v>17478</v>
      </c>
      <c r="N33" s="9"/>
      <c r="O33" s="9"/>
      <c r="P33" s="9"/>
      <c r="Q33" s="9"/>
      <c r="R33" s="9"/>
      <c r="S33" s="9"/>
      <c r="T33" s="9"/>
      <c r="U33" s="9"/>
      <c r="V33" s="9"/>
      <c r="W33" s="9"/>
    </row>
    <row r="34" spans="1:23" x14ac:dyDescent="0.25">
      <c r="A34" s="194"/>
      <c r="B34" s="4" t="s">
        <v>82</v>
      </c>
      <c r="C34" s="103">
        <v>33</v>
      </c>
      <c r="D34" s="9" t="s">
        <v>146</v>
      </c>
      <c r="E34" s="9" t="s">
        <v>146</v>
      </c>
      <c r="F34" s="9" t="s">
        <v>146</v>
      </c>
      <c r="G34" s="103">
        <v>6</v>
      </c>
      <c r="H34" s="9" t="s">
        <v>146</v>
      </c>
      <c r="I34" s="9">
        <v>4</v>
      </c>
      <c r="J34" s="103">
        <v>228</v>
      </c>
      <c r="K34" s="103">
        <v>43</v>
      </c>
      <c r="L34" s="103">
        <v>271</v>
      </c>
      <c r="N34" s="9"/>
      <c r="O34" s="9"/>
      <c r="P34" s="9"/>
      <c r="Q34" s="9"/>
      <c r="R34" s="9"/>
      <c r="S34" s="9"/>
      <c r="T34" s="9"/>
      <c r="U34" s="9"/>
      <c r="V34" s="9"/>
      <c r="W34" s="9"/>
    </row>
    <row r="35" spans="1:23" x14ac:dyDescent="0.25">
      <c r="A35" s="194"/>
      <c r="B35" s="4" t="s">
        <v>83</v>
      </c>
      <c r="C35" s="103">
        <v>7650</v>
      </c>
      <c r="D35" s="103">
        <v>3566</v>
      </c>
      <c r="E35" s="103">
        <v>6900</v>
      </c>
      <c r="F35" s="103">
        <v>2557</v>
      </c>
      <c r="G35" s="103">
        <v>1321</v>
      </c>
      <c r="H35" s="103">
        <v>348</v>
      </c>
      <c r="I35" s="103">
        <v>335</v>
      </c>
      <c r="J35" s="103">
        <v>2221</v>
      </c>
      <c r="K35" s="103">
        <v>22677</v>
      </c>
      <c r="L35" s="103">
        <v>24898</v>
      </c>
      <c r="N35" s="9"/>
      <c r="O35" s="9"/>
      <c r="P35" s="9"/>
      <c r="Q35" s="9"/>
      <c r="R35" s="9"/>
      <c r="S35" s="9"/>
      <c r="T35" s="9"/>
      <c r="U35" s="9"/>
      <c r="V35" s="9"/>
      <c r="W35" s="9"/>
    </row>
    <row r="36" spans="1:23" x14ac:dyDescent="0.25">
      <c r="A36" s="194"/>
      <c r="B36" s="4" t="s">
        <v>84</v>
      </c>
      <c r="C36" s="103">
        <v>2144</v>
      </c>
      <c r="D36" s="9" t="s">
        <v>146</v>
      </c>
      <c r="E36" s="103">
        <v>520</v>
      </c>
      <c r="F36" s="103">
        <v>915</v>
      </c>
      <c r="G36" s="103">
        <v>527</v>
      </c>
      <c r="H36" s="9" t="s">
        <v>146</v>
      </c>
      <c r="I36" s="103">
        <v>141</v>
      </c>
      <c r="J36" s="9" t="s">
        <v>146</v>
      </c>
      <c r="K36" s="103">
        <v>4247</v>
      </c>
      <c r="L36" s="103">
        <v>4247</v>
      </c>
      <c r="N36" s="9"/>
      <c r="O36" s="9"/>
      <c r="P36" s="9"/>
      <c r="Q36" s="9"/>
      <c r="R36" s="9"/>
      <c r="S36" s="9"/>
      <c r="T36" s="9"/>
      <c r="U36" s="9"/>
      <c r="V36" s="9"/>
      <c r="W36" s="9"/>
    </row>
    <row r="37" spans="1:23" x14ac:dyDescent="0.25">
      <c r="A37" s="194"/>
      <c r="B37" s="4" t="s">
        <v>85</v>
      </c>
      <c r="C37" s="103">
        <v>10577</v>
      </c>
      <c r="D37" s="103">
        <v>2714</v>
      </c>
      <c r="E37" s="103">
        <v>7094</v>
      </c>
      <c r="F37" s="103">
        <v>1252</v>
      </c>
      <c r="G37" s="103">
        <v>654</v>
      </c>
      <c r="H37" s="103">
        <v>251</v>
      </c>
      <c r="I37" s="103">
        <v>248</v>
      </c>
      <c r="J37" s="103">
        <v>8842</v>
      </c>
      <c r="K37" s="103">
        <v>22790</v>
      </c>
      <c r="L37" s="103">
        <v>31632</v>
      </c>
      <c r="N37" s="9"/>
      <c r="O37" s="9"/>
      <c r="P37" s="9"/>
      <c r="Q37" s="9"/>
      <c r="R37" s="9"/>
      <c r="S37" s="9"/>
      <c r="T37" s="9"/>
      <c r="U37" s="9"/>
      <c r="V37" s="9"/>
      <c r="W37" s="9"/>
    </row>
    <row r="38" spans="1:23" x14ac:dyDescent="0.25">
      <c r="A38" s="194"/>
      <c r="B38" s="4" t="s">
        <v>86</v>
      </c>
      <c r="C38" s="103">
        <v>12721</v>
      </c>
      <c r="D38" s="103">
        <v>2714</v>
      </c>
      <c r="E38" s="103">
        <v>7614</v>
      </c>
      <c r="F38" s="103">
        <v>2167</v>
      </c>
      <c r="G38" s="103">
        <v>1181</v>
      </c>
      <c r="H38" s="103">
        <v>251</v>
      </c>
      <c r="I38" s="103">
        <v>389</v>
      </c>
      <c r="J38" s="103">
        <v>8842</v>
      </c>
      <c r="K38" s="103">
        <v>27037</v>
      </c>
      <c r="L38" s="103">
        <v>35879</v>
      </c>
      <c r="N38" s="9"/>
      <c r="O38" s="9"/>
      <c r="P38" s="9"/>
      <c r="Q38" s="9"/>
      <c r="R38" s="9"/>
      <c r="S38" s="9"/>
      <c r="T38" s="9"/>
      <c r="U38" s="9"/>
      <c r="V38" s="9"/>
      <c r="W38" s="9"/>
    </row>
    <row r="39" spans="1:23" x14ac:dyDescent="0.25">
      <c r="A39" s="194"/>
      <c r="B39" s="4" t="s">
        <v>87</v>
      </c>
      <c r="C39" s="103">
        <v>1060</v>
      </c>
      <c r="D39" s="103">
        <v>338</v>
      </c>
      <c r="E39" s="103">
        <v>842</v>
      </c>
      <c r="F39" s="103">
        <v>264</v>
      </c>
      <c r="G39" s="103">
        <v>67</v>
      </c>
      <c r="H39" s="103">
        <v>36</v>
      </c>
      <c r="I39" s="103">
        <v>55</v>
      </c>
      <c r="J39" s="103">
        <v>1170</v>
      </c>
      <c r="K39" s="103">
        <v>2662</v>
      </c>
      <c r="L39" s="103">
        <v>3832</v>
      </c>
      <c r="N39" s="9"/>
      <c r="O39" s="9"/>
      <c r="P39" s="9"/>
      <c r="Q39" s="9"/>
      <c r="R39" s="9"/>
      <c r="S39" s="9"/>
      <c r="T39" s="9"/>
      <c r="U39" s="9"/>
      <c r="V39" s="9"/>
      <c r="W39" s="9"/>
    </row>
    <row r="40" spans="1:23" x14ac:dyDescent="0.25">
      <c r="A40" s="194"/>
      <c r="B40" s="4" t="s">
        <v>88</v>
      </c>
      <c r="C40" s="103">
        <v>13781</v>
      </c>
      <c r="D40" s="103">
        <v>3052</v>
      </c>
      <c r="E40" s="103">
        <v>8456</v>
      </c>
      <c r="F40" s="103">
        <v>2431</v>
      </c>
      <c r="G40" s="103">
        <v>1248</v>
      </c>
      <c r="H40" s="103">
        <v>287</v>
      </c>
      <c r="I40" s="103">
        <v>444</v>
      </c>
      <c r="J40" s="103">
        <v>10012</v>
      </c>
      <c r="K40" s="103">
        <v>29699</v>
      </c>
      <c r="L40" s="103">
        <v>39711</v>
      </c>
      <c r="N40" s="9"/>
      <c r="O40" s="9"/>
      <c r="P40" s="9"/>
      <c r="Q40" s="9"/>
      <c r="R40" s="9"/>
      <c r="S40" s="9"/>
      <c r="T40" s="9"/>
      <c r="U40" s="9"/>
      <c r="V40" s="9"/>
      <c r="W40" s="9"/>
    </row>
    <row r="41" spans="1:23" x14ac:dyDescent="0.25">
      <c r="A41" s="194"/>
      <c r="B41" s="10" t="s">
        <v>89</v>
      </c>
      <c r="C41" s="102">
        <v>21431</v>
      </c>
      <c r="D41" s="102">
        <v>6618</v>
      </c>
      <c r="E41" s="102">
        <v>15356</v>
      </c>
      <c r="F41" s="102">
        <v>4988</v>
      </c>
      <c r="G41" s="102">
        <v>2569</v>
      </c>
      <c r="H41" s="102">
        <v>635</v>
      </c>
      <c r="I41" s="102">
        <v>779</v>
      </c>
      <c r="J41" s="102">
        <v>12233</v>
      </c>
      <c r="K41" s="102">
        <v>52376</v>
      </c>
      <c r="L41" s="102">
        <v>64609</v>
      </c>
      <c r="N41" s="9"/>
      <c r="O41" s="9"/>
      <c r="P41" s="9"/>
      <c r="Q41" s="9"/>
      <c r="R41" s="9"/>
      <c r="S41" s="9"/>
      <c r="T41" s="9"/>
      <c r="U41" s="9"/>
      <c r="V41" s="9"/>
      <c r="W41" s="9"/>
    </row>
    <row r="42" spans="1:23" x14ac:dyDescent="0.25">
      <c r="A42" s="194" t="s">
        <v>218</v>
      </c>
      <c r="B42" s="4" t="s">
        <v>71</v>
      </c>
      <c r="C42" s="9" t="s">
        <v>146</v>
      </c>
      <c r="D42" s="9" t="s">
        <v>146</v>
      </c>
      <c r="E42" s="9" t="s">
        <v>146</v>
      </c>
      <c r="F42" s="9" t="s">
        <v>146</v>
      </c>
      <c r="G42" s="9" t="s">
        <v>146</v>
      </c>
      <c r="H42" s="9" t="s">
        <v>146</v>
      </c>
      <c r="I42" s="9" t="s">
        <v>146</v>
      </c>
      <c r="J42" s="9" t="s">
        <v>146</v>
      </c>
      <c r="K42" s="9" t="s">
        <v>146</v>
      </c>
      <c r="L42" s="9" t="s">
        <v>146</v>
      </c>
      <c r="N42" s="9"/>
      <c r="O42" s="9"/>
      <c r="P42" s="9"/>
      <c r="Q42" s="9"/>
      <c r="R42" s="9"/>
      <c r="S42" s="9"/>
      <c r="T42" s="9"/>
      <c r="U42" s="9"/>
      <c r="V42" s="9"/>
      <c r="W42" s="9"/>
    </row>
    <row r="43" spans="1:23" x14ac:dyDescent="0.25">
      <c r="A43" s="194"/>
      <c r="B43" s="4" t="s">
        <v>72</v>
      </c>
      <c r="C43" s="103">
        <v>498</v>
      </c>
      <c r="D43" s="9">
        <v>1830</v>
      </c>
      <c r="E43" s="103">
        <v>1277</v>
      </c>
      <c r="F43" s="103">
        <v>826</v>
      </c>
      <c r="G43" s="103">
        <v>1000</v>
      </c>
      <c r="H43" s="99" t="s">
        <v>153</v>
      </c>
      <c r="I43" s="99" t="s">
        <v>153</v>
      </c>
      <c r="J43" s="103">
        <v>4906</v>
      </c>
      <c r="K43" s="103">
        <v>5696</v>
      </c>
      <c r="L43" s="103">
        <v>10602</v>
      </c>
      <c r="N43" s="9"/>
      <c r="O43" s="9"/>
      <c r="P43" s="9"/>
      <c r="Q43" s="9"/>
      <c r="R43" s="9"/>
      <c r="S43" s="9"/>
      <c r="T43" s="9"/>
      <c r="U43" s="9"/>
      <c r="V43" s="9"/>
      <c r="W43" s="9"/>
    </row>
    <row r="44" spans="1:23" ht="22.5" x14ac:dyDescent="0.25">
      <c r="A44" s="194"/>
      <c r="B44" s="4" t="s">
        <v>73</v>
      </c>
      <c r="C44" s="103">
        <v>2</v>
      </c>
      <c r="D44" s="9">
        <v>346</v>
      </c>
      <c r="E44" s="9" t="s">
        <v>146</v>
      </c>
      <c r="F44" s="9" t="s">
        <v>146</v>
      </c>
      <c r="G44" s="9" t="s">
        <v>146</v>
      </c>
      <c r="H44" s="99" t="s">
        <v>153</v>
      </c>
      <c r="I44" s="99" t="s">
        <v>153</v>
      </c>
      <c r="J44" s="9" t="s">
        <v>146</v>
      </c>
      <c r="K44" s="103">
        <v>353</v>
      </c>
      <c r="L44" s="103">
        <v>353</v>
      </c>
      <c r="N44" s="9"/>
      <c r="O44" s="9"/>
      <c r="P44" s="9"/>
      <c r="Q44" s="9"/>
      <c r="R44" s="9"/>
      <c r="S44" s="9"/>
      <c r="T44" s="9"/>
      <c r="U44" s="9"/>
      <c r="V44" s="9"/>
      <c r="W44" s="9"/>
    </row>
    <row r="45" spans="1:23" x14ac:dyDescent="0.25">
      <c r="A45" s="194"/>
      <c r="B45" s="4" t="s">
        <v>74</v>
      </c>
      <c r="C45" s="103">
        <v>500</v>
      </c>
      <c r="D45" s="103">
        <v>2176</v>
      </c>
      <c r="E45" s="103">
        <v>1277</v>
      </c>
      <c r="F45" s="103">
        <v>826</v>
      </c>
      <c r="G45" s="103">
        <v>1000</v>
      </c>
      <c r="H45" s="103">
        <v>59</v>
      </c>
      <c r="I45" s="103">
        <v>211</v>
      </c>
      <c r="J45" s="103">
        <v>4906</v>
      </c>
      <c r="K45" s="103">
        <v>6049</v>
      </c>
      <c r="L45" s="103">
        <v>10955</v>
      </c>
      <c r="N45" s="9"/>
      <c r="O45" s="9"/>
      <c r="P45" s="9"/>
      <c r="Q45" s="9"/>
      <c r="R45" s="9"/>
      <c r="S45" s="9"/>
      <c r="T45" s="9"/>
      <c r="U45" s="9"/>
      <c r="V45" s="9"/>
      <c r="W45" s="9"/>
    </row>
    <row r="46" spans="1:23" x14ac:dyDescent="0.25">
      <c r="A46" s="194"/>
      <c r="B46" s="4" t="s">
        <v>75</v>
      </c>
      <c r="C46" s="103">
        <v>5539</v>
      </c>
      <c r="D46" s="103">
        <v>704</v>
      </c>
      <c r="E46" s="103">
        <v>3756</v>
      </c>
      <c r="F46" s="103">
        <v>1417</v>
      </c>
      <c r="G46" s="103">
        <v>148</v>
      </c>
      <c r="H46" s="103">
        <v>130</v>
      </c>
      <c r="I46" s="103">
        <v>116</v>
      </c>
      <c r="J46" s="103">
        <v>705</v>
      </c>
      <c r="K46" s="103">
        <v>11810</v>
      </c>
      <c r="L46" s="103">
        <v>12515</v>
      </c>
      <c r="N46" s="9"/>
      <c r="O46" s="9"/>
      <c r="P46" s="9"/>
      <c r="Q46" s="9"/>
      <c r="R46" s="9"/>
      <c r="S46" s="9"/>
      <c r="T46" s="9"/>
      <c r="U46" s="9"/>
      <c r="V46" s="9"/>
      <c r="W46" s="9"/>
    </row>
    <row r="47" spans="1:23" x14ac:dyDescent="0.25">
      <c r="A47" s="194"/>
      <c r="B47" s="4" t="s">
        <v>76</v>
      </c>
      <c r="C47" s="103">
        <v>150</v>
      </c>
      <c r="D47" s="9" t="s">
        <v>146</v>
      </c>
      <c r="E47" s="103">
        <v>503</v>
      </c>
      <c r="F47" s="103">
        <v>304</v>
      </c>
      <c r="G47" s="103">
        <v>77</v>
      </c>
      <c r="H47" s="103">
        <v>56</v>
      </c>
      <c r="I47" s="103">
        <v>23</v>
      </c>
      <c r="J47" s="103">
        <v>516</v>
      </c>
      <c r="K47" s="103">
        <v>1113</v>
      </c>
      <c r="L47" s="103">
        <v>1629</v>
      </c>
      <c r="N47" s="9"/>
      <c r="O47" s="9"/>
      <c r="P47" s="9"/>
      <c r="Q47" s="9"/>
      <c r="R47" s="9"/>
      <c r="S47" s="9"/>
      <c r="T47" s="9"/>
      <c r="U47" s="9"/>
      <c r="V47" s="9"/>
      <c r="W47" s="9"/>
    </row>
    <row r="48" spans="1:23" x14ac:dyDescent="0.25">
      <c r="A48" s="194"/>
      <c r="B48" s="4" t="s">
        <v>77</v>
      </c>
      <c r="C48" s="9" t="s">
        <v>146</v>
      </c>
      <c r="D48" s="9" t="s">
        <v>146</v>
      </c>
      <c r="E48" s="9" t="s">
        <v>146</v>
      </c>
      <c r="F48" s="9" t="s">
        <v>146</v>
      </c>
      <c r="G48" s="9">
        <v>2</v>
      </c>
      <c r="H48" s="9" t="s">
        <v>146</v>
      </c>
      <c r="I48" s="9" t="s">
        <v>146</v>
      </c>
      <c r="J48" s="103" t="s">
        <v>146</v>
      </c>
      <c r="K48" s="103">
        <v>2</v>
      </c>
      <c r="L48" s="103">
        <v>2</v>
      </c>
      <c r="N48" s="9"/>
      <c r="O48" s="9"/>
      <c r="P48" s="9"/>
      <c r="Q48" s="9"/>
      <c r="R48" s="9"/>
      <c r="S48" s="9"/>
      <c r="T48" s="9"/>
      <c r="U48" s="9"/>
      <c r="V48" s="9"/>
      <c r="W48" s="9"/>
    </row>
    <row r="49" spans="1:23" x14ac:dyDescent="0.25">
      <c r="A49" s="194"/>
      <c r="B49" s="4" t="s">
        <v>78</v>
      </c>
      <c r="C49" s="103">
        <v>255</v>
      </c>
      <c r="D49" s="103">
        <v>116</v>
      </c>
      <c r="E49" s="103">
        <v>427</v>
      </c>
      <c r="F49" s="103">
        <v>132</v>
      </c>
      <c r="G49" s="103">
        <v>4</v>
      </c>
      <c r="H49" s="103">
        <v>10</v>
      </c>
      <c r="I49" s="9" t="s">
        <v>146</v>
      </c>
      <c r="J49" s="103" t="s">
        <v>146</v>
      </c>
      <c r="K49" s="103">
        <v>944</v>
      </c>
      <c r="L49" s="103">
        <v>944</v>
      </c>
      <c r="N49" s="9"/>
      <c r="O49" s="9"/>
      <c r="P49" s="9"/>
      <c r="Q49" s="9"/>
      <c r="R49" s="9"/>
      <c r="S49" s="9"/>
      <c r="T49" s="9"/>
      <c r="U49" s="9"/>
      <c r="V49" s="9"/>
      <c r="W49" s="9"/>
    </row>
    <row r="50" spans="1:23" x14ac:dyDescent="0.25">
      <c r="A50" s="194"/>
      <c r="B50" s="4" t="s">
        <v>79</v>
      </c>
      <c r="C50" s="9" t="s">
        <v>146</v>
      </c>
      <c r="D50" s="9" t="s">
        <v>146</v>
      </c>
      <c r="E50" s="9" t="s">
        <v>146</v>
      </c>
      <c r="F50" s="103">
        <v>5</v>
      </c>
      <c r="G50" s="103">
        <v>22</v>
      </c>
      <c r="H50" s="9" t="s">
        <v>146</v>
      </c>
      <c r="I50" s="9" t="s">
        <v>146</v>
      </c>
      <c r="J50" s="9" t="s">
        <v>146</v>
      </c>
      <c r="K50" s="103">
        <v>27</v>
      </c>
      <c r="L50" s="103">
        <v>27</v>
      </c>
      <c r="N50" s="9"/>
      <c r="O50" s="9"/>
      <c r="P50" s="9"/>
      <c r="Q50" s="9"/>
      <c r="R50" s="9"/>
      <c r="S50" s="9"/>
      <c r="T50" s="9"/>
      <c r="U50" s="9"/>
      <c r="V50" s="9"/>
      <c r="W50" s="9"/>
    </row>
    <row r="51" spans="1:23" x14ac:dyDescent="0.25">
      <c r="A51" s="194"/>
      <c r="B51" s="4" t="s">
        <v>80</v>
      </c>
      <c r="C51" s="103">
        <v>121</v>
      </c>
      <c r="D51" s="9" t="s">
        <v>146</v>
      </c>
      <c r="E51" s="103">
        <v>949</v>
      </c>
      <c r="F51" s="103">
        <v>5</v>
      </c>
      <c r="G51" s="103">
        <v>241</v>
      </c>
      <c r="H51" s="103">
        <v>113</v>
      </c>
      <c r="I51" s="9" t="s">
        <v>146</v>
      </c>
      <c r="J51" s="103">
        <v>81</v>
      </c>
      <c r="K51" s="103">
        <v>1429</v>
      </c>
      <c r="L51" s="103">
        <v>1510</v>
      </c>
      <c r="N51" s="9"/>
      <c r="O51" s="9"/>
      <c r="P51" s="9"/>
      <c r="Q51" s="9"/>
      <c r="R51" s="9"/>
      <c r="S51" s="9"/>
      <c r="T51" s="9"/>
      <c r="U51" s="9"/>
      <c r="V51" s="9"/>
      <c r="W51" s="9"/>
    </row>
    <row r="52" spans="1:23" x14ac:dyDescent="0.25">
      <c r="A52" s="194"/>
      <c r="B52" s="4" t="s">
        <v>81</v>
      </c>
      <c r="C52" s="103">
        <v>6065</v>
      </c>
      <c r="D52" s="103">
        <v>820</v>
      </c>
      <c r="E52" s="103">
        <v>5635</v>
      </c>
      <c r="F52" s="103">
        <v>1863</v>
      </c>
      <c r="G52" s="103">
        <v>494</v>
      </c>
      <c r="H52" s="103">
        <v>309</v>
      </c>
      <c r="I52" s="103">
        <v>139</v>
      </c>
      <c r="J52" s="103">
        <v>1302</v>
      </c>
      <c r="K52" s="103">
        <v>15325</v>
      </c>
      <c r="L52" s="103">
        <v>16627</v>
      </c>
      <c r="N52" s="9"/>
      <c r="O52" s="9"/>
      <c r="P52" s="9"/>
      <c r="Q52" s="9"/>
      <c r="R52" s="9"/>
      <c r="S52" s="9"/>
      <c r="T52" s="9"/>
      <c r="U52" s="9"/>
      <c r="V52" s="9"/>
      <c r="W52" s="9"/>
    </row>
    <row r="53" spans="1:23" x14ac:dyDescent="0.25">
      <c r="A53" s="194"/>
      <c r="B53" s="4" t="s">
        <v>82</v>
      </c>
      <c r="C53" s="103">
        <v>21</v>
      </c>
      <c r="D53" s="9" t="s">
        <v>146</v>
      </c>
      <c r="E53" s="9" t="s">
        <v>146</v>
      </c>
      <c r="F53" s="9" t="s">
        <v>146</v>
      </c>
      <c r="G53" s="103">
        <v>6</v>
      </c>
      <c r="H53" s="9" t="s">
        <v>146</v>
      </c>
      <c r="I53" s="103">
        <v>10</v>
      </c>
      <c r="J53" s="103">
        <v>434</v>
      </c>
      <c r="K53" s="103">
        <v>37</v>
      </c>
      <c r="L53" s="103">
        <v>471</v>
      </c>
      <c r="N53" s="9"/>
      <c r="O53" s="9"/>
      <c r="P53" s="9"/>
      <c r="Q53" s="9"/>
      <c r="R53" s="9"/>
      <c r="S53" s="9"/>
      <c r="T53" s="9"/>
      <c r="U53" s="9"/>
      <c r="V53" s="9"/>
      <c r="W53" s="9"/>
    </row>
    <row r="54" spans="1:23" x14ac:dyDescent="0.25">
      <c r="A54" s="194"/>
      <c r="B54" s="4" t="s">
        <v>83</v>
      </c>
      <c r="C54" s="103">
        <v>6586</v>
      </c>
      <c r="D54" s="103">
        <v>2996</v>
      </c>
      <c r="E54" s="103">
        <v>6912</v>
      </c>
      <c r="F54" s="103">
        <v>2689</v>
      </c>
      <c r="G54" s="103">
        <v>1500</v>
      </c>
      <c r="H54" s="103">
        <v>368</v>
      </c>
      <c r="I54" s="103">
        <v>360</v>
      </c>
      <c r="J54" s="103">
        <v>6642</v>
      </c>
      <c r="K54" s="103">
        <v>21411</v>
      </c>
      <c r="L54" s="103">
        <v>28053</v>
      </c>
      <c r="N54" s="9"/>
      <c r="O54" s="9"/>
      <c r="P54" s="9"/>
      <c r="Q54" s="9"/>
      <c r="R54" s="9"/>
      <c r="S54" s="9"/>
      <c r="T54" s="9"/>
      <c r="U54" s="9"/>
      <c r="V54" s="9"/>
      <c r="W54" s="9"/>
    </row>
    <row r="55" spans="1:23" x14ac:dyDescent="0.25">
      <c r="A55" s="194"/>
      <c r="B55" s="4" t="s">
        <v>84</v>
      </c>
      <c r="C55" s="103">
        <v>2303</v>
      </c>
      <c r="D55" s="9" t="s">
        <v>146</v>
      </c>
      <c r="E55" s="103">
        <v>328</v>
      </c>
      <c r="F55" s="103">
        <v>1135</v>
      </c>
      <c r="G55" s="103">
        <v>492</v>
      </c>
      <c r="H55" s="9" t="s">
        <v>146</v>
      </c>
      <c r="I55" s="103">
        <v>200</v>
      </c>
      <c r="J55" s="9" t="s">
        <v>146</v>
      </c>
      <c r="K55" s="103">
        <v>4458</v>
      </c>
      <c r="L55" s="103">
        <v>4458</v>
      </c>
      <c r="N55" s="9"/>
      <c r="O55" s="9"/>
      <c r="P55" s="9"/>
      <c r="Q55" s="9"/>
      <c r="R55" s="9"/>
      <c r="S55" s="9"/>
      <c r="T55" s="9"/>
      <c r="U55" s="9"/>
      <c r="V55" s="9"/>
      <c r="W55" s="9"/>
    </row>
    <row r="56" spans="1:23" x14ac:dyDescent="0.25">
      <c r="A56" s="194"/>
      <c r="B56" s="4" t="s">
        <v>85</v>
      </c>
      <c r="C56" s="103">
        <v>10867</v>
      </c>
      <c r="D56" s="103">
        <v>2711</v>
      </c>
      <c r="E56" s="103">
        <v>7988</v>
      </c>
      <c r="F56" s="103">
        <v>1230</v>
      </c>
      <c r="G56" s="103">
        <v>679</v>
      </c>
      <c r="H56" s="103">
        <v>368</v>
      </c>
      <c r="I56" s="103">
        <v>313</v>
      </c>
      <c r="J56" s="103">
        <v>8068</v>
      </c>
      <c r="K56" s="103">
        <v>24156</v>
      </c>
      <c r="L56" s="103">
        <v>32224</v>
      </c>
      <c r="N56" s="9"/>
      <c r="O56" s="9"/>
      <c r="P56" s="9"/>
      <c r="Q56" s="9"/>
      <c r="R56" s="9"/>
      <c r="S56" s="9"/>
      <c r="T56" s="9"/>
      <c r="U56" s="9"/>
      <c r="V56" s="9"/>
      <c r="W56" s="9"/>
    </row>
    <row r="57" spans="1:23" x14ac:dyDescent="0.25">
      <c r="A57" s="194"/>
      <c r="B57" s="4" t="s">
        <v>86</v>
      </c>
      <c r="C57" s="103">
        <v>13170</v>
      </c>
      <c r="D57" s="103">
        <v>2711</v>
      </c>
      <c r="E57" s="103">
        <v>8316</v>
      </c>
      <c r="F57" s="103">
        <v>2365</v>
      </c>
      <c r="G57" s="103">
        <v>1171</v>
      </c>
      <c r="H57" s="103">
        <v>368</v>
      </c>
      <c r="I57" s="103">
        <v>513</v>
      </c>
      <c r="J57" s="103">
        <v>8068</v>
      </c>
      <c r="K57" s="103">
        <v>28614</v>
      </c>
      <c r="L57" s="103">
        <v>36682</v>
      </c>
      <c r="N57" s="9"/>
      <c r="O57" s="9"/>
      <c r="P57" s="9"/>
      <c r="Q57" s="9"/>
      <c r="R57" s="9"/>
      <c r="S57" s="9"/>
      <c r="T57" s="9"/>
      <c r="U57" s="9"/>
      <c r="V57" s="9"/>
      <c r="W57" s="9"/>
    </row>
    <row r="58" spans="1:23" x14ac:dyDescent="0.25">
      <c r="A58" s="194"/>
      <c r="B58" s="4" t="s">
        <v>87</v>
      </c>
      <c r="C58" s="103">
        <v>928</v>
      </c>
      <c r="D58" s="103">
        <v>239</v>
      </c>
      <c r="E58" s="103">
        <v>969</v>
      </c>
      <c r="F58" s="103">
        <v>284</v>
      </c>
      <c r="G58" s="103">
        <v>62</v>
      </c>
      <c r="H58" s="103">
        <v>48</v>
      </c>
      <c r="I58" s="103">
        <v>57</v>
      </c>
      <c r="J58" s="103">
        <v>1077</v>
      </c>
      <c r="K58" s="103">
        <v>2587</v>
      </c>
      <c r="L58" s="103">
        <v>3664</v>
      </c>
      <c r="N58" s="9"/>
      <c r="O58" s="9"/>
      <c r="P58" s="9"/>
      <c r="Q58" s="9"/>
      <c r="R58" s="9"/>
      <c r="S58" s="9"/>
      <c r="T58" s="9"/>
      <c r="U58" s="9"/>
      <c r="V58" s="9"/>
      <c r="W58" s="9"/>
    </row>
    <row r="59" spans="1:23" x14ac:dyDescent="0.25">
      <c r="A59" s="194"/>
      <c r="B59" s="4" t="s">
        <v>88</v>
      </c>
      <c r="C59" s="103">
        <v>14098</v>
      </c>
      <c r="D59" s="103">
        <v>2950</v>
      </c>
      <c r="E59" s="103">
        <v>9285</v>
      </c>
      <c r="F59" s="103">
        <v>2649</v>
      </c>
      <c r="G59" s="103">
        <v>1233</v>
      </c>
      <c r="H59" s="103">
        <v>416</v>
      </c>
      <c r="I59" s="103">
        <v>570</v>
      </c>
      <c r="J59" s="103">
        <v>9145</v>
      </c>
      <c r="K59" s="103">
        <v>31201</v>
      </c>
      <c r="L59" s="103">
        <v>40346</v>
      </c>
      <c r="N59" s="9"/>
      <c r="O59" s="9"/>
      <c r="P59" s="9"/>
      <c r="Q59" s="9"/>
      <c r="R59" s="9"/>
      <c r="S59" s="9"/>
      <c r="T59" s="9"/>
      <c r="U59" s="9"/>
      <c r="V59" s="9"/>
      <c r="W59" s="9"/>
    </row>
    <row r="60" spans="1:23" x14ac:dyDescent="0.25">
      <c r="A60" s="194"/>
      <c r="B60" s="10" t="s">
        <v>89</v>
      </c>
      <c r="C60" s="102">
        <v>20684</v>
      </c>
      <c r="D60" s="102">
        <v>5946</v>
      </c>
      <c r="E60" s="102">
        <v>16197</v>
      </c>
      <c r="F60" s="102">
        <v>5338</v>
      </c>
      <c r="G60" s="102">
        <v>2733</v>
      </c>
      <c r="H60" s="102">
        <v>784</v>
      </c>
      <c r="I60" s="102">
        <v>930</v>
      </c>
      <c r="J60" s="102">
        <v>15787</v>
      </c>
      <c r="K60" s="102">
        <v>52612</v>
      </c>
      <c r="L60" s="102">
        <v>68399</v>
      </c>
      <c r="N60" s="9"/>
      <c r="O60" s="9"/>
      <c r="P60" s="9"/>
      <c r="Q60" s="9"/>
      <c r="R60" s="9"/>
      <c r="S60" s="9"/>
      <c r="T60" s="9"/>
      <c r="U60" s="9"/>
      <c r="V60" s="9"/>
      <c r="W60" s="9"/>
    </row>
    <row r="61" spans="1:23" x14ac:dyDescent="0.25">
      <c r="A61" s="194" t="s">
        <v>219</v>
      </c>
      <c r="B61" s="4" t="s">
        <v>71</v>
      </c>
      <c r="C61" s="9" t="s">
        <v>146</v>
      </c>
      <c r="D61" s="9" t="s">
        <v>146</v>
      </c>
      <c r="E61" s="9" t="s">
        <v>146</v>
      </c>
      <c r="F61" s="9" t="s">
        <v>146</v>
      </c>
      <c r="G61" s="9" t="s">
        <v>146</v>
      </c>
      <c r="H61" s="9" t="s">
        <v>146</v>
      </c>
      <c r="I61" s="9" t="s">
        <v>146</v>
      </c>
      <c r="J61" s="9" t="s">
        <v>151</v>
      </c>
      <c r="K61" s="9" t="s">
        <v>146</v>
      </c>
      <c r="L61" s="103" t="s">
        <v>151</v>
      </c>
      <c r="N61" s="9"/>
      <c r="O61" s="9"/>
      <c r="P61" s="9"/>
      <c r="Q61" s="9"/>
      <c r="R61" s="9"/>
      <c r="S61" s="9"/>
      <c r="T61" s="9"/>
      <c r="U61" s="9"/>
      <c r="V61" s="9"/>
      <c r="W61" s="9"/>
    </row>
    <row r="62" spans="1:23" x14ac:dyDescent="0.25">
      <c r="A62" s="194"/>
      <c r="B62" s="4" t="s">
        <v>72</v>
      </c>
      <c r="C62" s="103">
        <v>501</v>
      </c>
      <c r="D62" s="103">
        <v>1336</v>
      </c>
      <c r="E62" s="103">
        <v>1191</v>
      </c>
      <c r="F62" s="103">
        <v>903</v>
      </c>
      <c r="G62" s="103">
        <v>964</v>
      </c>
      <c r="H62" s="9">
        <v>51</v>
      </c>
      <c r="I62" s="9">
        <v>206</v>
      </c>
      <c r="J62" s="9" t="s">
        <v>151</v>
      </c>
      <c r="K62" s="103">
        <v>5152</v>
      </c>
      <c r="L62" s="103" t="s">
        <v>151</v>
      </c>
      <c r="N62" s="9"/>
      <c r="O62" s="9"/>
      <c r="P62" s="9"/>
      <c r="Q62" s="9"/>
      <c r="R62" s="9"/>
      <c r="S62" s="9"/>
      <c r="T62" s="9"/>
      <c r="U62" s="9"/>
      <c r="V62" s="9"/>
      <c r="W62" s="9"/>
    </row>
    <row r="63" spans="1:23" ht="22.5" x14ac:dyDescent="0.25">
      <c r="A63" s="194"/>
      <c r="B63" s="4" t="s">
        <v>73</v>
      </c>
      <c r="C63" s="103">
        <v>1</v>
      </c>
      <c r="D63" s="103">
        <v>357</v>
      </c>
      <c r="E63" s="9" t="s">
        <v>146</v>
      </c>
      <c r="F63" s="9" t="s">
        <v>146</v>
      </c>
      <c r="G63" s="9" t="s">
        <v>146</v>
      </c>
      <c r="H63" s="9">
        <v>4</v>
      </c>
      <c r="I63" s="9" t="s">
        <v>146</v>
      </c>
      <c r="J63" s="9" t="s">
        <v>151</v>
      </c>
      <c r="K63" s="103">
        <v>362</v>
      </c>
      <c r="L63" s="103" t="s">
        <v>151</v>
      </c>
      <c r="N63" s="9"/>
      <c r="O63" s="9"/>
      <c r="P63" s="9"/>
      <c r="Q63" s="9"/>
      <c r="R63" s="9"/>
      <c r="S63" s="9"/>
      <c r="T63" s="9"/>
      <c r="U63" s="9"/>
      <c r="V63" s="9"/>
      <c r="W63" s="9"/>
    </row>
    <row r="64" spans="1:23" x14ac:dyDescent="0.25">
      <c r="A64" s="194"/>
      <c r="B64" s="4" t="s">
        <v>74</v>
      </c>
      <c r="C64" s="103">
        <v>502</v>
      </c>
      <c r="D64" s="103">
        <v>1693</v>
      </c>
      <c r="E64" s="103">
        <v>1191</v>
      </c>
      <c r="F64" s="103">
        <v>903</v>
      </c>
      <c r="G64" s="103">
        <v>964</v>
      </c>
      <c r="H64" s="103">
        <v>55</v>
      </c>
      <c r="I64" s="103">
        <v>206</v>
      </c>
      <c r="J64" s="103" t="s">
        <v>151</v>
      </c>
      <c r="K64" s="103">
        <v>5514</v>
      </c>
      <c r="L64" s="103" t="s">
        <v>151</v>
      </c>
      <c r="N64" s="9"/>
      <c r="O64" s="9"/>
      <c r="P64" s="9"/>
      <c r="Q64" s="9"/>
      <c r="R64" s="9"/>
      <c r="S64" s="9"/>
      <c r="T64" s="9"/>
      <c r="U64" s="9"/>
      <c r="V64" s="9"/>
      <c r="W64" s="9"/>
    </row>
    <row r="65" spans="1:23" x14ac:dyDescent="0.25">
      <c r="A65" s="194"/>
      <c r="B65" s="4" t="s">
        <v>75</v>
      </c>
      <c r="C65" s="103">
        <v>5696</v>
      </c>
      <c r="D65" s="103">
        <v>652</v>
      </c>
      <c r="E65" s="103">
        <v>3726</v>
      </c>
      <c r="F65" s="103">
        <v>1329</v>
      </c>
      <c r="G65" s="103">
        <v>197</v>
      </c>
      <c r="H65" s="103">
        <v>180</v>
      </c>
      <c r="I65" s="99" t="s">
        <v>153</v>
      </c>
      <c r="J65" s="103" t="s">
        <v>151</v>
      </c>
      <c r="K65" s="103">
        <v>11886</v>
      </c>
      <c r="L65" s="103" t="s">
        <v>151</v>
      </c>
      <c r="N65" s="9"/>
      <c r="O65" s="9"/>
      <c r="P65" s="9"/>
      <c r="Q65" s="9"/>
      <c r="R65" s="9"/>
      <c r="S65" s="9"/>
      <c r="T65" s="9"/>
      <c r="U65" s="9"/>
      <c r="V65" s="9"/>
      <c r="W65" s="9"/>
    </row>
    <row r="66" spans="1:23" x14ac:dyDescent="0.25">
      <c r="A66" s="194"/>
      <c r="B66" s="4" t="s">
        <v>76</v>
      </c>
      <c r="C66" s="103">
        <v>128</v>
      </c>
      <c r="D66" s="9" t="s">
        <v>146</v>
      </c>
      <c r="E66" s="103">
        <v>516</v>
      </c>
      <c r="F66" s="103">
        <v>316</v>
      </c>
      <c r="G66" s="103">
        <v>93</v>
      </c>
      <c r="H66" s="103">
        <v>67</v>
      </c>
      <c r="I66" s="99" t="s">
        <v>153</v>
      </c>
      <c r="J66" s="103" t="s">
        <v>151</v>
      </c>
      <c r="K66" s="103">
        <v>1127</v>
      </c>
      <c r="L66" s="103" t="s">
        <v>151</v>
      </c>
      <c r="N66" s="9"/>
      <c r="O66" s="9"/>
      <c r="P66" s="9"/>
      <c r="Q66" s="9"/>
      <c r="R66" s="9"/>
      <c r="S66" s="9"/>
      <c r="T66" s="9"/>
      <c r="U66" s="9"/>
      <c r="V66" s="9"/>
      <c r="W66" s="9"/>
    </row>
    <row r="67" spans="1:23" x14ac:dyDescent="0.25">
      <c r="A67" s="194"/>
      <c r="B67" s="4" t="s">
        <v>77</v>
      </c>
      <c r="C67" s="9" t="s">
        <v>146</v>
      </c>
      <c r="D67" s="9" t="s">
        <v>146</v>
      </c>
      <c r="E67" s="9" t="s">
        <v>146</v>
      </c>
      <c r="F67" s="9" t="s">
        <v>146</v>
      </c>
      <c r="G67" s="103">
        <v>5</v>
      </c>
      <c r="H67" s="9" t="s">
        <v>146</v>
      </c>
      <c r="I67" s="9" t="s">
        <v>146</v>
      </c>
      <c r="J67" s="9" t="s">
        <v>151</v>
      </c>
      <c r="K67" s="103">
        <v>5</v>
      </c>
      <c r="L67" s="103" t="s">
        <v>151</v>
      </c>
      <c r="N67" s="9"/>
      <c r="O67" s="9"/>
      <c r="P67" s="9"/>
      <c r="Q67" s="9"/>
      <c r="R67" s="9"/>
      <c r="S67" s="9"/>
      <c r="T67" s="9"/>
      <c r="U67" s="9"/>
      <c r="V67" s="9"/>
      <c r="W67" s="9"/>
    </row>
    <row r="68" spans="1:23" x14ac:dyDescent="0.25">
      <c r="A68" s="194"/>
      <c r="B68" s="4" t="s">
        <v>78</v>
      </c>
      <c r="C68" s="103">
        <v>283</v>
      </c>
      <c r="D68" s="103">
        <v>78</v>
      </c>
      <c r="E68" s="103">
        <v>534</v>
      </c>
      <c r="F68" s="103">
        <v>143</v>
      </c>
      <c r="G68" s="103">
        <v>1</v>
      </c>
      <c r="H68" s="103">
        <v>17</v>
      </c>
      <c r="I68" s="9" t="s">
        <v>146</v>
      </c>
      <c r="J68" s="9" t="s">
        <v>151</v>
      </c>
      <c r="K68" s="103">
        <v>1056</v>
      </c>
      <c r="L68" s="103" t="s">
        <v>151</v>
      </c>
      <c r="N68" s="9"/>
      <c r="O68" s="9"/>
      <c r="P68" s="9"/>
      <c r="Q68" s="9"/>
      <c r="R68" s="9"/>
      <c r="S68" s="9"/>
      <c r="T68" s="9"/>
      <c r="U68" s="9"/>
      <c r="V68" s="9"/>
      <c r="W68" s="9"/>
    </row>
    <row r="69" spans="1:23" x14ac:dyDescent="0.25">
      <c r="A69" s="194"/>
      <c r="B69" s="4" t="s">
        <v>79</v>
      </c>
      <c r="C69" s="9" t="s">
        <v>146</v>
      </c>
      <c r="D69" s="9" t="s">
        <v>146</v>
      </c>
      <c r="E69" s="9" t="s">
        <v>146</v>
      </c>
      <c r="F69" s="103">
        <v>6</v>
      </c>
      <c r="G69" s="103">
        <v>14</v>
      </c>
      <c r="H69" s="9" t="s">
        <v>146</v>
      </c>
      <c r="I69" s="9" t="s">
        <v>146</v>
      </c>
      <c r="J69" s="9" t="s">
        <v>151</v>
      </c>
      <c r="K69" s="103">
        <v>20</v>
      </c>
      <c r="L69" s="103" t="s">
        <v>151</v>
      </c>
      <c r="N69" s="9"/>
      <c r="O69" s="9"/>
      <c r="P69" s="9"/>
      <c r="Q69" s="9"/>
      <c r="R69" s="9"/>
      <c r="S69" s="9"/>
      <c r="T69" s="9"/>
      <c r="U69" s="9"/>
      <c r="V69" s="9"/>
      <c r="W69" s="9"/>
    </row>
    <row r="70" spans="1:23" x14ac:dyDescent="0.25">
      <c r="A70" s="194"/>
      <c r="B70" s="4" t="s">
        <v>80</v>
      </c>
      <c r="C70" s="103">
        <v>136</v>
      </c>
      <c r="D70" s="9" t="s">
        <v>146</v>
      </c>
      <c r="E70" s="103">
        <v>848</v>
      </c>
      <c r="F70" s="103">
        <v>6</v>
      </c>
      <c r="G70" s="103">
        <v>231</v>
      </c>
      <c r="H70" s="103">
        <v>162</v>
      </c>
      <c r="I70" s="9" t="s">
        <v>146</v>
      </c>
      <c r="J70" s="9" t="s">
        <v>151</v>
      </c>
      <c r="K70" s="103">
        <v>1383</v>
      </c>
      <c r="L70" s="103" t="s">
        <v>151</v>
      </c>
      <c r="N70" s="9"/>
      <c r="O70" s="9"/>
      <c r="P70" s="9"/>
      <c r="Q70" s="9"/>
      <c r="R70" s="9"/>
      <c r="S70" s="9"/>
      <c r="T70" s="9"/>
      <c r="U70" s="9"/>
      <c r="V70" s="9"/>
      <c r="W70" s="9"/>
    </row>
    <row r="71" spans="1:23" x14ac:dyDescent="0.25">
      <c r="A71" s="194"/>
      <c r="B71" s="4" t="s">
        <v>81</v>
      </c>
      <c r="C71" s="103">
        <v>6243</v>
      </c>
      <c r="D71" s="103">
        <v>730</v>
      </c>
      <c r="E71" s="103">
        <v>5624</v>
      </c>
      <c r="F71" s="103">
        <v>1800</v>
      </c>
      <c r="G71" s="103">
        <v>541</v>
      </c>
      <c r="H71" s="103">
        <v>426</v>
      </c>
      <c r="I71" s="103">
        <v>113</v>
      </c>
      <c r="J71" s="103" t="s">
        <v>151</v>
      </c>
      <c r="K71" s="103">
        <v>15477</v>
      </c>
      <c r="L71" s="103" t="s">
        <v>151</v>
      </c>
      <c r="N71" s="9"/>
      <c r="O71" s="9"/>
      <c r="P71" s="9"/>
      <c r="Q71" s="9"/>
      <c r="R71" s="9"/>
      <c r="S71" s="9"/>
      <c r="T71" s="9"/>
      <c r="U71" s="9"/>
      <c r="V71" s="9"/>
      <c r="W71" s="9"/>
    </row>
    <row r="72" spans="1:23" x14ac:dyDescent="0.25">
      <c r="A72" s="194"/>
      <c r="B72" s="4" t="s">
        <v>82</v>
      </c>
      <c r="C72" s="103">
        <v>16</v>
      </c>
      <c r="D72" s="9" t="s">
        <v>146</v>
      </c>
      <c r="E72" s="9" t="s">
        <v>146</v>
      </c>
      <c r="F72" s="9" t="s">
        <v>146</v>
      </c>
      <c r="G72" s="103">
        <v>10</v>
      </c>
      <c r="H72" s="9" t="s">
        <v>146</v>
      </c>
      <c r="I72" s="99" t="s">
        <v>153</v>
      </c>
      <c r="J72" s="103" t="s">
        <v>151</v>
      </c>
      <c r="K72" s="103">
        <v>28</v>
      </c>
      <c r="L72" s="103" t="s">
        <v>151</v>
      </c>
      <c r="N72" s="9"/>
      <c r="O72" s="9"/>
      <c r="P72" s="9"/>
      <c r="Q72" s="9"/>
      <c r="R72" s="9"/>
      <c r="S72" s="9"/>
      <c r="T72" s="9"/>
      <c r="U72" s="9"/>
      <c r="V72" s="9"/>
      <c r="W72" s="9"/>
    </row>
    <row r="73" spans="1:23" x14ac:dyDescent="0.25">
      <c r="A73" s="194"/>
      <c r="B73" s="4" t="s">
        <v>83</v>
      </c>
      <c r="C73" s="103">
        <v>6761</v>
      </c>
      <c r="D73" s="103">
        <v>2423</v>
      </c>
      <c r="E73" s="103">
        <v>6815</v>
      </c>
      <c r="F73" s="103">
        <v>2703</v>
      </c>
      <c r="G73" s="103">
        <v>1515</v>
      </c>
      <c r="H73" s="103">
        <v>481</v>
      </c>
      <c r="I73" s="103">
        <v>321</v>
      </c>
      <c r="J73" s="103" t="s">
        <v>151</v>
      </c>
      <c r="K73" s="103">
        <v>21019</v>
      </c>
      <c r="L73" s="103" t="s">
        <v>151</v>
      </c>
      <c r="N73" s="9"/>
      <c r="O73" s="9"/>
      <c r="P73" s="9"/>
      <c r="Q73" s="9"/>
      <c r="R73" s="9"/>
      <c r="S73" s="9"/>
      <c r="T73" s="9"/>
      <c r="U73" s="9"/>
      <c r="V73" s="9"/>
      <c r="W73" s="9"/>
    </row>
    <row r="74" spans="1:23" x14ac:dyDescent="0.25">
      <c r="A74" s="194"/>
      <c r="B74" s="4" t="s">
        <v>84</v>
      </c>
      <c r="C74" s="103">
        <v>2329</v>
      </c>
      <c r="D74" s="9" t="s">
        <v>146</v>
      </c>
      <c r="E74" s="103">
        <v>225</v>
      </c>
      <c r="F74" s="103">
        <v>1061</v>
      </c>
      <c r="G74" s="103">
        <v>464</v>
      </c>
      <c r="H74" s="9" t="s">
        <v>146</v>
      </c>
      <c r="I74" s="103">
        <v>245</v>
      </c>
      <c r="J74" s="103" t="s">
        <v>151</v>
      </c>
      <c r="K74" s="103">
        <v>4324</v>
      </c>
      <c r="L74" s="103" t="s">
        <v>151</v>
      </c>
      <c r="N74" s="9"/>
      <c r="O74" s="9"/>
      <c r="P74" s="9"/>
      <c r="Q74" s="9"/>
      <c r="R74" s="9"/>
      <c r="S74" s="9"/>
      <c r="T74" s="9"/>
      <c r="U74" s="9"/>
      <c r="V74" s="9"/>
      <c r="W74" s="9"/>
    </row>
    <row r="75" spans="1:23" x14ac:dyDescent="0.25">
      <c r="A75" s="194"/>
      <c r="B75" s="4" t="s">
        <v>85</v>
      </c>
      <c r="C75" s="103">
        <v>12633</v>
      </c>
      <c r="D75" s="103">
        <v>2304</v>
      </c>
      <c r="E75" s="103">
        <v>8078</v>
      </c>
      <c r="F75" s="103">
        <v>1168</v>
      </c>
      <c r="G75" s="103">
        <v>751</v>
      </c>
      <c r="H75" s="103">
        <v>401</v>
      </c>
      <c r="I75" s="103">
        <v>283</v>
      </c>
      <c r="J75" s="103" t="s">
        <v>151</v>
      </c>
      <c r="K75" s="103">
        <v>25618</v>
      </c>
      <c r="L75" s="103" t="s">
        <v>151</v>
      </c>
      <c r="N75" s="9"/>
      <c r="O75" s="9"/>
      <c r="P75" s="9"/>
      <c r="Q75" s="9"/>
      <c r="R75" s="9"/>
      <c r="S75" s="9"/>
      <c r="T75" s="9"/>
      <c r="U75" s="9"/>
      <c r="V75" s="9"/>
      <c r="W75" s="9"/>
    </row>
    <row r="76" spans="1:23" x14ac:dyDescent="0.25">
      <c r="A76" s="194"/>
      <c r="B76" s="4" t="s">
        <v>86</v>
      </c>
      <c r="C76" s="103">
        <v>14962</v>
      </c>
      <c r="D76" s="103">
        <v>2304</v>
      </c>
      <c r="E76" s="103">
        <v>8303</v>
      </c>
      <c r="F76" s="103">
        <v>2229</v>
      </c>
      <c r="G76" s="103">
        <v>1215</v>
      </c>
      <c r="H76" s="103">
        <v>401</v>
      </c>
      <c r="I76" s="103">
        <v>528</v>
      </c>
      <c r="J76" s="103" t="s">
        <v>151</v>
      </c>
      <c r="K76" s="103">
        <v>29942</v>
      </c>
      <c r="L76" s="103" t="s">
        <v>151</v>
      </c>
      <c r="N76" s="9"/>
      <c r="O76" s="9"/>
      <c r="P76" s="9"/>
      <c r="Q76" s="9"/>
      <c r="R76" s="9"/>
      <c r="S76" s="9"/>
      <c r="T76" s="9"/>
      <c r="U76" s="9"/>
      <c r="V76" s="9"/>
      <c r="W76" s="9"/>
    </row>
    <row r="77" spans="1:23" x14ac:dyDescent="0.25">
      <c r="A77" s="194"/>
      <c r="B77" s="4" t="s">
        <v>87</v>
      </c>
      <c r="C77" s="103">
        <v>1017</v>
      </c>
      <c r="D77" s="103">
        <v>226</v>
      </c>
      <c r="E77" s="103">
        <v>1082</v>
      </c>
      <c r="F77" s="103">
        <v>302</v>
      </c>
      <c r="G77" s="103">
        <v>56</v>
      </c>
      <c r="H77" s="103">
        <v>56</v>
      </c>
      <c r="I77" s="103">
        <v>10</v>
      </c>
      <c r="J77" s="103" t="s">
        <v>151</v>
      </c>
      <c r="K77" s="103">
        <v>2749</v>
      </c>
      <c r="L77" s="103" t="s">
        <v>151</v>
      </c>
      <c r="N77" s="9"/>
      <c r="O77" s="9"/>
      <c r="P77" s="9"/>
      <c r="Q77" s="9"/>
      <c r="R77" s="9"/>
      <c r="S77" s="9"/>
      <c r="T77" s="9"/>
      <c r="U77" s="9"/>
      <c r="V77" s="9"/>
      <c r="W77" s="9"/>
    </row>
    <row r="78" spans="1:23" x14ac:dyDescent="0.25">
      <c r="A78" s="194"/>
      <c r="B78" s="4" t="s">
        <v>88</v>
      </c>
      <c r="C78" s="103">
        <v>15979</v>
      </c>
      <c r="D78" s="103">
        <v>2530</v>
      </c>
      <c r="E78" s="103">
        <v>9385</v>
      </c>
      <c r="F78" s="103">
        <v>2531</v>
      </c>
      <c r="G78" s="103">
        <v>1271</v>
      </c>
      <c r="H78" s="103">
        <v>457</v>
      </c>
      <c r="I78" s="103">
        <v>538</v>
      </c>
      <c r="J78" s="103" t="s">
        <v>151</v>
      </c>
      <c r="K78" s="103">
        <v>32691</v>
      </c>
      <c r="L78" s="103" t="s">
        <v>151</v>
      </c>
      <c r="N78" s="9"/>
      <c r="O78" s="9"/>
      <c r="P78" s="9"/>
      <c r="Q78" s="9"/>
      <c r="R78" s="9"/>
      <c r="S78" s="9"/>
      <c r="T78" s="9"/>
      <c r="U78" s="9"/>
      <c r="V78" s="9"/>
      <c r="W78" s="9"/>
    </row>
    <row r="79" spans="1:23" x14ac:dyDescent="0.25">
      <c r="A79" s="194"/>
      <c r="B79" s="10" t="s">
        <v>89</v>
      </c>
      <c r="C79" s="102">
        <v>22740</v>
      </c>
      <c r="D79" s="102">
        <v>4953</v>
      </c>
      <c r="E79" s="102">
        <v>16200</v>
      </c>
      <c r="F79" s="102">
        <v>5234</v>
      </c>
      <c r="G79" s="102">
        <v>2786</v>
      </c>
      <c r="H79" s="102">
        <v>938</v>
      </c>
      <c r="I79" s="102">
        <v>859</v>
      </c>
      <c r="J79" s="102" t="s">
        <v>151</v>
      </c>
      <c r="K79" s="102">
        <v>53710</v>
      </c>
      <c r="L79" s="102" t="s">
        <v>151</v>
      </c>
      <c r="N79" s="9"/>
      <c r="O79" s="9"/>
      <c r="P79" s="9"/>
      <c r="Q79" s="9"/>
      <c r="R79" s="9"/>
      <c r="S79" s="9"/>
      <c r="T79" s="9"/>
      <c r="U79" s="9"/>
      <c r="V79" s="9"/>
      <c r="W79" s="9"/>
    </row>
    <row r="80" spans="1:23" x14ac:dyDescent="0.25">
      <c r="A80" s="194" t="s">
        <v>357</v>
      </c>
      <c r="B80" s="4" t="s">
        <v>71</v>
      </c>
      <c r="C80" s="9" t="s">
        <v>146</v>
      </c>
      <c r="D80" s="9" t="s">
        <v>146</v>
      </c>
      <c r="E80" s="9" t="s">
        <v>146</v>
      </c>
      <c r="F80" s="9" t="s">
        <v>146</v>
      </c>
      <c r="G80" s="9" t="s">
        <v>146</v>
      </c>
      <c r="H80" s="9" t="s">
        <v>146</v>
      </c>
      <c r="I80" s="9" t="s">
        <v>146</v>
      </c>
      <c r="J80" s="9" t="s">
        <v>151</v>
      </c>
      <c r="K80" s="9" t="s">
        <v>146</v>
      </c>
      <c r="L80" s="103" t="s">
        <v>151</v>
      </c>
      <c r="N80" s="9"/>
      <c r="O80" s="9"/>
      <c r="P80" s="9"/>
      <c r="Q80" s="9"/>
      <c r="R80" s="9"/>
      <c r="S80" s="9"/>
      <c r="T80" s="9"/>
      <c r="U80" s="9"/>
      <c r="V80" s="9"/>
      <c r="W80" s="9"/>
    </row>
    <row r="81" spans="1:23" x14ac:dyDescent="0.25">
      <c r="A81" s="194"/>
      <c r="B81" s="4" t="s">
        <v>72</v>
      </c>
      <c r="C81" s="103">
        <v>510</v>
      </c>
      <c r="D81" s="103">
        <v>1199</v>
      </c>
      <c r="E81" s="103">
        <v>1094</v>
      </c>
      <c r="F81" s="103">
        <v>866</v>
      </c>
      <c r="G81" s="103">
        <v>846</v>
      </c>
      <c r="H81" s="103">
        <v>63</v>
      </c>
      <c r="I81" s="103">
        <v>240</v>
      </c>
      <c r="J81" s="103" t="s">
        <v>151</v>
      </c>
      <c r="K81" s="103">
        <v>4818</v>
      </c>
      <c r="L81" s="103" t="s">
        <v>151</v>
      </c>
      <c r="N81" s="9"/>
      <c r="O81" s="9"/>
      <c r="P81" s="9"/>
      <c r="Q81" s="9"/>
      <c r="R81" s="9"/>
      <c r="S81" s="9"/>
      <c r="T81" s="9"/>
      <c r="U81" s="9"/>
      <c r="V81" s="9"/>
      <c r="W81" s="9"/>
    </row>
    <row r="82" spans="1:23" ht="22.5" x14ac:dyDescent="0.25">
      <c r="A82" s="194"/>
      <c r="B82" s="4" t="s">
        <v>73</v>
      </c>
      <c r="C82" s="103" t="s">
        <v>146</v>
      </c>
      <c r="D82" s="103">
        <v>381</v>
      </c>
      <c r="E82" s="9" t="s">
        <v>146</v>
      </c>
      <c r="F82" s="9" t="s">
        <v>146</v>
      </c>
      <c r="G82" s="9" t="s">
        <v>146</v>
      </c>
      <c r="H82" s="103" t="s">
        <v>146</v>
      </c>
      <c r="I82" s="9" t="s">
        <v>146</v>
      </c>
      <c r="J82" s="9" t="s">
        <v>151</v>
      </c>
      <c r="K82" s="103">
        <v>381</v>
      </c>
      <c r="L82" s="103" t="s">
        <v>151</v>
      </c>
      <c r="N82" s="9"/>
      <c r="O82" s="9"/>
      <c r="P82" s="9"/>
      <c r="Q82" s="9"/>
      <c r="R82" s="9"/>
      <c r="S82" s="9"/>
      <c r="T82" s="9"/>
      <c r="U82" s="9"/>
      <c r="V82" s="9"/>
      <c r="W82" s="9"/>
    </row>
    <row r="83" spans="1:23" x14ac:dyDescent="0.25">
      <c r="A83" s="194"/>
      <c r="B83" s="4" t="s">
        <v>74</v>
      </c>
      <c r="C83" s="103">
        <v>510</v>
      </c>
      <c r="D83" s="103">
        <v>1580</v>
      </c>
      <c r="E83" s="103">
        <v>1094</v>
      </c>
      <c r="F83" s="103">
        <v>866</v>
      </c>
      <c r="G83" s="103">
        <v>846</v>
      </c>
      <c r="H83" s="103">
        <v>63</v>
      </c>
      <c r="I83" s="103">
        <v>240</v>
      </c>
      <c r="J83" s="103" t="s">
        <v>151</v>
      </c>
      <c r="K83" s="103">
        <v>5199</v>
      </c>
      <c r="L83" s="103" t="s">
        <v>151</v>
      </c>
      <c r="N83" s="9"/>
      <c r="O83" s="9"/>
      <c r="P83" s="9"/>
      <c r="Q83" s="9"/>
      <c r="R83" s="9"/>
      <c r="S83" s="9"/>
      <c r="T83" s="9"/>
      <c r="U83" s="9"/>
      <c r="V83" s="9"/>
      <c r="W83" s="9"/>
    </row>
    <row r="84" spans="1:23" x14ac:dyDescent="0.25">
      <c r="A84" s="194"/>
      <c r="B84" s="4" t="s">
        <v>75</v>
      </c>
      <c r="C84" s="103">
        <v>6046</v>
      </c>
      <c r="D84" s="103">
        <v>795</v>
      </c>
      <c r="E84" s="103">
        <v>3452</v>
      </c>
      <c r="F84" s="103">
        <v>1093</v>
      </c>
      <c r="G84" s="103">
        <v>200</v>
      </c>
      <c r="H84" s="103">
        <v>202</v>
      </c>
      <c r="I84" s="103">
        <v>72</v>
      </c>
      <c r="J84" s="103" t="s">
        <v>151</v>
      </c>
      <c r="K84" s="103">
        <v>11860</v>
      </c>
      <c r="L84" s="103" t="s">
        <v>151</v>
      </c>
      <c r="N84" s="9"/>
      <c r="O84" s="9"/>
      <c r="P84" s="9"/>
      <c r="Q84" s="9"/>
      <c r="R84" s="9"/>
      <c r="S84" s="9"/>
      <c r="T84" s="9"/>
      <c r="U84" s="9"/>
      <c r="V84" s="9"/>
      <c r="W84" s="9"/>
    </row>
    <row r="85" spans="1:23" x14ac:dyDescent="0.25">
      <c r="A85" s="194"/>
      <c r="B85" s="4" t="s">
        <v>76</v>
      </c>
      <c r="C85" s="103">
        <v>157</v>
      </c>
      <c r="D85" s="9" t="s">
        <v>146</v>
      </c>
      <c r="E85" s="103">
        <v>510</v>
      </c>
      <c r="F85" s="103">
        <v>273</v>
      </c>
      <c r="G85" s="103">
        <v>83</v>
      </c>
      <c r="H85" s="103">
        <v>88</v>
      </c>
      <c r="I85" s="103">
        <v>10</v>
      </c>
      <c r="J85" s="103" t="s">
        <v>151</v>
      </c>
      <c r="K85" s="103">
        <v>1121</v>
      </c>
      <c r="L85" s="103" t="s">
        <v>151</v>
      </c>
      <c r="N85" s="9"/>
      <c r="O85" s="9"/>
      <c r="P85" s="9"/>
      <c r="Q85" s="9"/>
      <c r="R85" s="9"/>
      <c r="S85" s="9"/>
      <c r="T85" s="9"/>
      <c r="U85" s="9"/>
      <c r="V85" s="9"/>
      <c r="W85" s="9"/>
    </row>
    <row r="86" spans="1:23" x14ac:dyDescent="0.25">
      <c r="A86" s="194"/>
      <c r="B86" s="4" t="s">
        <v>77</v>
      </c>
      <c r="C86" s="9" t="s">
        <v>146</v>
      </c>
      <c r="D86" s="9" t="s">
        <v>146</v>
      </c>
      <c r="E86" s="9" t="s">
        <v>146</v>
      </c>
      <c r="F86" s="9" t="s">
        <v>146</v>
      </c>
      <c r="G86" s="103">
        <v>1</v>
      </c>
      <c r="H86" s="9" t="s">
        <v>146</v>
      </c>
      <c r="I86" s="9" t="s">
        <v>146</v>
      </c>
      <c r="J86" s="9" t="s">
        <v>151</v>
      </c>
      <c r="K86" s="103">
        <v>1</v>
      </c>
      <c r="L86" s="103" t="s">
        <v>151</v>
      </c>
      <c r="N86" s="9"/>
      <c r="O86" s="9"/>
      <c r="P86" s="9"/>
      <c r="Q86" s="9"/>
      <c r="R86" s="9"/>
      <c r="S86" s="9"/>
      <c r="T86" s="9"/>
      <c r="U86" s="9"/>
      <c r="V86" s="9"/>
      <c r="W86" s="9"/>
    </row>
    <row r="87" spans="1:23" x14ac:dyDescent="0.25">
      <c r="A87" s="194"/>
      <c r="B87" s="4" t="s">
        <v>78</v>
      </c>
      <c r="C87" s="103">
        <v>360</v>
      </c>
      <c r="D87" s="103">
        <v>81</v>
      </c>
      <c r="E87" s="103">
        <v>513</v>
      </c>
      <c r="F87" s="103">
        <v>128</v>
      </c>
      <c r="G87" s="103">
        <v>6</v>
      </c>
      <c r="H87" s="103">
        <v>18</v>
      </c>
      <c r="I87" s="9" t="s">
        <v>146</v>
      </c>
      <c r="J87" s="9" t="s">
        <v>151</v>
      </c>
      <c r="K87" s="103">
        <v>1106</v>
      </c>
      <c r="L87" s="103" t="s">
        <v>151</v>
      </c>
      <c r="N87" s="9"/>
      <c r="O87" s="9"/>
      <c r="P87" s="9"/>
      <c r="Q87" s="9"/>
      <c r="R87" s="9"/>
      <c r="S87" s="9"/>
      <c r="T87" s="9"/>
      <c r="U87" s="9"/>
      <c r="V87" s="9"/>
      <c r="W87" s="9"/>
    </row>
    <row r="88" spans="1:23" x14ac:dyDescent="0.25">
      <c r="A88" s="194"/>
      <c r="B88" s="4" t="s">
        <v>79</v>
      </c>
      <c r="C88" s="9" t="s">
        <v>146</v>
      </c>
      <c r="D88" s="9" t="s">
        <v>146</v>
      </c>
      <c r="E88" s="9" t="s">
        <v>146</v>
      </c>
      <c r="F88" s="103">
        <v>7</v>
      </c>
      <c r="G88" s="103">
        <v>18</v>
      </c>
      <c r="H88" s="9" t="s">
        <v>146</v>
      </c>
      <c r="I88" s="9" t="s">
        <v>146</v>
      </c>
      <c r="J88" s="9" t="s">
        <v>151</v>
      </c>
      <c r="K88" s="103">
        <v>25</v>
      </c>
      <c r="L88" s="103" t="s">
        <v>151</v>
      </c>
      <c r="N88" s="9"/>
      <c r="O88" s="9"/>
      <c r="P88" s="9"/>
      <c r="Q88" s="9"/>
      <c r="R88" s="9"/>
      <c r="S88" s="9"/>
      <c r="T88" s="9"/>
      <c r="U88" s="9"/>
      <c r="V88" s="9"/>
      <c r="W88" s="9"/>
    </row>
    <row r="89" spans="1:23" x14ac:dyDescent="0.25">
      <c r="A89" s="194"/>
      <c r="B89" s="4" t="s">
        <v>80</v>
      </c>
      <c r="C89" s="103">
        <v>96</v>
      </c>
      <c r="D89" s="9" t="s">
        <v>146</v>
      </c>
      <c r="E89" s="103">
        <v>769</v>
      </c>
      <c r="F89" s="103">
        <v>5</v>
      </c>
      <c r="G89" s="103">
        <v>162</v>
      </c>
      <c r="H89" s="103">
        <v>202</v>
      </c>
      <c r="I89" s="9" t="s">
        <v>146</v>
      </c>
      <c r="J89" s="9" t="s">
        <v>151</v>
      </c>
      <c r="K89" s="103">
        <v>1234</v>
      </c>
      <c r="L89" s="103" t="s">
        <v>151</v>
      </c>
      <c r="N89" s="9"/>
      <c r="O89" s="9"/>
      <c r="P89" s="9"/>
      <c r="Q89" s="9"/>
      <c r="R89" s="9"/>
      <c r="S89" s="9"/>
      <c r="T89" s="9"/>
      <c r="U89" s="9"/>
      <c r="V89" s="9"/>
      <c r="W89" s="9"/>
    </row>
    <row r="90" spans="1:23" x14ac:dyDescent="0.25">
      <c r="A90" s="194"/>
      <c r="B90" s="4" t="s">
        <v>81</v>
      </c>
      <c r="C90" s="103">
        <v>6659</v>
      </c>
      <c r="D90" s="103">
        <v>876</v>
      </c>
      <c r="E90" s="103">
        <v>5244</v>
      </c>
      <c r="F90" s="103">
        <v>1506</v>
      </c>
      <c r="G90" s="103">
        <v>470</v>
      </c>
      <c r="H90" s="103">
        <v>510</v>
      </c>
      <c r="I90" s="103">
        <v>82</v>
      </c>
      <c r="J90" s="103" t="s">
        <v>151</v>
      </c>
      <c r="K90" s="103">
        <v>15347</v>
      </c>
      <c r="L90" s="103" t="s">
        <v>151</v>
      </c>
      <c r="N90" s="9"/>
      <c r="O90" s="9"/>
      <c r="P90" s="9"/>
      <c r="Q90" s="9"/>
      <c r="R90" s="9"/>
      <c r="S90" s="9"/>
      <c r="T90" s="9"/>
      <c r="U90" s="9"/>
      <c r="V90" s="9"/>
      <c r="W90" s="9"/>
    </row>
    <row r="91" spans="1:23" x14ac:dyDescent="0.25">
      <c r="A91" s="194"/>
      <c r="B91" s="4" t="s">
        <v>82</v>
      </c>
      <c r="C91" s="103">
        <v>28</v>
      </c>
      <c r="D91" s="9">
        <v>1</v>
      </c>
      <c r="E91" s="9" t="s">
        <v>146</v>
      </c>
      <c r="F91" s="9">
        <v>1</v>
      </c>
      <c r="G91" s="103">
        <v>10</v>
      </c>
      <c r="H91" s="9" t="s">
        <v>146</v>
      </c>
      <c r="I91" s="9">
        <v>5</v>
      </c>
      <c r="J91" s="9" t="s">
        <v>151</v>
      </c>
      <c r="K91" s="103">
        <v>45</v>
      </c>
      <c r="L91" s="103" t="s">
        <v>151</v>
      </c>
      <c r="N91" s="9"/>
      <c r="O91" s="9"/>
      <c r="P91" s="9"/>
      <c r="Q91" s="9"/>
      <c r="R91" s="9"/>
      <c r="S91" s="9"/>
      <c r="T91" s="9"/>
      <c r="U91" s="9"/>
      <c r="V91" s="9"/>
      <c r="W91" s="9"/>
    </row>
    <row r="92" spans="1:23" x14ac:dyDescent="0.25">
      <c r="A92" s="194"/>
      <c r="B92" s="4" t="s">
        <v>83</v>
      </c>
      <c r="C92" s="103">
        <v>7197</v>
      </c>
      <c r="D92" s="103">
        <v>2457</v>
      </c>
      <c r="E92" s="103">
        <v>6338</v>
      </c>
      <c r="F92" s="103">
        <v>2373</v>
      </c>
      <c r="G92" s="103">
        <v>1326</v>
      </c>
      <c r="H92" s="103">
        <v>573</v>
      </c>
      <c r="I92" s="103">
        <v>327</v>
      </c>
      <c r="J92" s="103" t="s">
        <v>151</v>
      </c>
      <c r="K92" s="103">
        <v>20591</v>
      </c>
      <c r="L92" s="103" t="s">
        <v>151</v>
      </c>
      <c r="N92" s="9"/>
      <c r="O92" s="9"/>
      <c r="P92" s="9"/>
      <c r="Q92" s="9"/>
      <c r="R92" s="9"/>
      <c r="S92" s="9"/>
      <c r="T92" s="9"/>
      <c r="U92" s="9"/>
      <c r="V92" s="9"/>
      <c r="W92" s="9"/>
    </row>
    <row r="93" spans="1:23" x14ac:dyDescent="0.25">
      <c r="A93" s="194"/>
      <c r="B93" s="4" t="s">
        <v>84</v>
      </c>
      <c r="C93" s="103">
        <v>2364</v>
      </c>
      <c r="D93" s="9" t="s">
        <v>146</v>
      </c>
      <c r="E93" s="103">
        <v>144</v>
      </c>
      <c r="F93" s="103">
        <v>1171</v>
      </c>
      <c r="G93" s="103">
        <v>508</v>
      </c>
      <c r="H93" s="9" t="s">
        <v>146</v>
      </c>
      <c r="I93" s="103">
        <v>186</v>
      </c>
      <c r="J93" s="103" t="s">
        <v>151</v>
      </c>
      <c r="K93" s="103">
        <v>4373</v>
      </c>
      <c r="L93" s="103" t="s">
        <v>151</v>
      </c>
      <c r="N93" s="9"/>
      <c r="O93" s="9"/>
      <c r="P93" s="9"/>
      <c r="Q93" s="9"/>
      <c r="R93" s="9"/>
      <c r="S93" s="9"/>
      <c r="T93" s="9"/>
      <c r="U93" s="9"/>
      <c r="V93" s="9"/>
      <c r="W93" s="9"/>
    </row>
    <row r="94" spans="1:23" x14ac:dyDescent="0.25">
      <c r="A94" s="194"/>
      <c r="B94" s="4" t="s">
        <v>85</v>
      </c>
      <c r="C94" s="103">
        <v>11590</v>
      </c>
      <c r="D94" s="103">
        <v>2756</v>
      </c>
      <c r="E94" s="103">
        <v>7465</v>
      </c>
      <c r="F94" s="103">
        <v>1270</v>
      </c>
      <c r="G94" s="103">
        <v>831</v>
      </c>
      <c r="H94" s="103">
        <v>382</v>
      </c>
      <c r="I94" s="103">
        <v>332</v>
      </c>
      <c r="J94" s="103" t="s">
        <v>151</v>
      </c>
      <c r="K94" s="103">
        <v>24626</v>
      </c>
      <c r="L94" s="103" t="s">
        <v>151</v>
      </c>
      <c r="N94" s="9"/>
      <c r="O94" s="9"/>
      <c r="P94" s="9"/>
      <c r="Q94" s="9"/>
      <c r="R94" s="9"/>
      <c r="S94" s="9"/>
      <c r="T94" s="9"/>
      <c r="U94" s="9"/>
      <c r="V94" s="9"/>
      <c r="W94" s="9"/>
    </row>
    <row r="95" spans="1:23" x14ac:dyDescent="0.25">
      <c r="A95" s="194"/>
      <c r="B95" s="4" t="s">
        <v>86</v>
      </c>
      <c r="C95" s="103">
        <v>13954</v>
      </c>
      <c r="D95" s="103">
        <v>2756</v>
      </c>
      <c r="E95" s="103">
        <v>7609</v>
      </c>
      <c r="F95" s="103">
        <v>2441</v>
      </c>
      <c r="G95" s="103">
        <v>1339</v>
      </c>
      <c r="H95" s="103">
        <v>382</v>
      </c>
      <c r="I95" s="103">
        <v>518</v>
      </c>
      <c r="J95" s="103" t="s">
        <v>151</v>
      </c>
      <c r="K95" s="103">
        <v>28999</v>
      </c>
      <c r="L95" s="103" t="s">
        <v>151</v>
      </c>
      <c r="N95" s="9"/>
      <c r="O95" s="9"/>
      <c r="P95" s="9"/>
      <c r="Q95" s="9"/>
      <c r="R95" s="9"/>
      <c r="S95" s="9"/>
      <c r="T95" s="9"/>
      <c r="U95" s="9"/>
      <c r="V95" s="9"/>
      <c r="W95" s="9"/>
    </row>
    <row r="96" spans="1:23" x14ac:dyDescent="0.25">
      <c r="A96" s="194"/>
      <c r="B96" s="4" t="s">
        <v>87</v>
      </c>
      <c r="C96" s="103">
        <v>995</v>
      </c>
      <c r="D96" s="103">
        <v>231</v>
      </c>
      <c r="E96" s="103">
        <v>1050</v>
      </c>
      <c r="F96" s="103">
        <v>213</v>
      </c>
      <c r="G96" s="103">
        <v>60</v>
      </c>
      <c r="H96" s="103">
        <v>46</v>
      </c>
      <c r="I96" s="103">
        <v>16</v>
      </c>
      <c r="J96" s="103" t="s">
        <v>151</v>
      </c>
      <c r="K96" s="103">
        <v>2611</v>
      </c>
      <c r="L96" s="103" t="s">
        <v>151</v>
      </c>
      <c r="N96" s="9"/>
      <c r="O96" s="9"/>
      <c r="P96" s="9"/>
      <c r="Q96" s="9"/>
      <c r="R96" s="9"/>
      <c r="S96" s="9"/>
      <c r="T96" s="9"/>
      <c r="U96" s="9"/>
      <c r="V96" s="9"/>
      <c r="W96" s="9"/>
    </row>
    <row r="97" spans="1:23" x14ac:dyDescent="0.25">
      <c r="A97" s="194"/>
      <c r="B97" s="4" t="s">
        <v>88</v>
      </c>
      <c r="C97" s="103">
        <v>14949</v>
      </c>
      <c r="D97" s="103">
        <v>2987</v>
      </c>
      <c r="E97" s="103">
        <v>8659</v>
      </c>
      <c r="F97" s="103">
        <v>2654</v>
      </c>
      <c r="G97" s="103">
        <v>1399</v>
      </c>
      <c r="H97" s="103">
        <v>428</v>
      </c>
      <c r="I97" s="103">
        <v>534</v>
      </c>
      <c r="J97" s="103" t="s">
        <v>151</v>
      </c>
      <c r="K97" s="103">
        <v>31610</v>
      </c>
      <c r="L97" s="103" t="s">
        <v>151</v>
      </c>
      <c r="N97" s="9"/>
      <c r="O97" s="9"/>
      <c r="P97" s="9"/>
      <c r="Q97" s="9"/>
      <c r="R97" s="9"/>
      <c r="S97" s="9"/>
      <c r="T97" s="9"/>
      <c r="U97" s="9"/>
      <c r="V97" s="9"/>
      <c r="W97" s="9"/>
    </row>
    <row r="98" spans="1:23" x14ac:dyDescent="0.25">
      <c r="A98" s="194"/>
      <c r="B98" s="10" t="s">
        <v>89</v>
      </c>
      <c r="C98" s="102">
        <v>22146</v>
      </c>
      <c r="D98" s="102">
        <v>5444</v>
      </c>
      <c r="E98" s="102">
        <v>14997</v>
      </c>
      <c r="F98" s="102">
        <v>5027</v>
      </c>
      <c r="G98" s="102">
        <v>2725</v>
      </c>
      <c r="H98" s="102">
        <v>1001</v>
      </c>
      <c r="I98" s="102">
        <v>861</v>
      </c>
      <c r="J98" s="102" t="s">
        <v>151</v>
      </c>
      <c r="K98" s="102">
        <v>52201</v>
      </c>
      <c r="L98" s="102" t="s">
        <v>151</v>
      </c>
      <c r="N98" s="9"/>
      <c r="O98" s="9"/>
      <c r="P98" s="9"/>
      <c r="Q98" s="9"/>
      <c r="R98" s="9"/>
      <c r="S98" s="9"/>
      <c r="T98" s="9"/>
      <c r="U98" s="9"/>
      <c r="V98" s="9"/>
      <c r="W98" s="9"/>
    </row>
    <row r="99" spans="1:23" ht="0.75" customHeight="1" x14ac:dyDescent="0.25">
      <c r="A99" s="29"/>
      <c r="B99" s="4"/>
      <c r="C99" s="9" t="s">
        <v>349</v>
      </c>
      <c r="D99" s="9" t="s">
        <v>349</v>
      </c>
      <c r="E99" s="9" t="s">
        <v>349</v>
      </c>
      <c r="F99" s="9" t="s">
        <v>349</v>
      </c>
      <c r="G99" s="9" t="s">
        <v>349</v>
      </c>
      <c r="H99" s="9" t="s">
        <v>349</v>
      </c>
      <c r="I99" s="9" t="s">
        <v>349</v>
      </c>
      <c r="J99" s="9" t="s">
        <v>349</v>
      </c>
      <c r="K99" s="103" t="s">
        <v>349</v>
      </c>
      <c r="L99" s="9" t="s">
        <v>349</v>
      </c>
      <c r="N99" s="123"/>
      <c r="O99" s="123"/>
    </row>
    <row r="100" spans="1:23" ht="4.5" customHeight="1" x14ac:dyDescent="0.25">
      <c r="A100" s="29"/>
      <c r="B100" s="4"/>
      <c r="C100" s="9" t="s">
        <v>349</v>
      </c>
      <c r="D100" s="9" t="s">
        <v>349</v>
      </c>
      <c r="E100" s="9" t="s">
        <v>349</v>
      </c>
      <c r="F100" s="9" t="s">
        <v>349</v>
      </c>
      <c r="G100" s="9" t="s">
        <v>349</v>
      </c>
      <c r="H100" s="9" t="s">
        <v>349</v>
      </c>
      <c r="I100" s="9" t="s">
        <v>349</v>
      </c>
      <c r="J100" s="9" t="s">
        <v>349</v>
      </c>
      <c r="K100" s="9" t="s">
        <v>349</v>
      </c>
      <c r="L100" s="9" t="s">
        <v>349</v>
      </c>
      <c r="N100" s="123"/>
      <c r="O100" s="123"/>
    </row>
    <row r="101" spans="1:23" ht="13.5" customHeight="1" x14ac:dyDescent="0.25">
      <c r="A101" s="191" t="s">
        <v>252</v>
      </c>
      <c r="B101" s="191"/>
      <c r="C101" s="191"/>
      <c r="D101" s="191"/>
      <c r="E101" s="191"/>
      <c r="F101" s="191"/>
      <c r="G101" s="191"/>
      <c r="H101" s="191"/>
      <c r="I101" s="191"/>
      <c r="J101" s="191"/>
      <c r="K101" s="205"/>
      <c r="L101" s="191"/>
      <c r="M101" s="193"/>
      <c r="N101" s="193"/>
    </row>
    <row r="102" spans="1:23" ht="12" customHeight="1" x14ac:dyDescent="0.25">
      <c r="A102" s="6" t="s">
        <v>254</v>
      </c>
      <c r="B102" s="6"/>
      <c r="C102" s="6"/>
      <c r="D102" s="6"/>
      <c r="E102" s="6"/>
      <c r="F102" s="6"/>
      <c r="G102" s="6"/>
      <c r="H102" s="6"/>
      <c r="I102" s="6"/>
      <c r="J102" s="6"/>
      <c r="K102" s="6"/>
      <c r="L102" s="6"/>
      <c r="M102" s="6"/>
      <c r="N102" s="6"/>
    </row>
    <row r="103" spans="1:23" s="7" customFormat="1" ht="9" x14ac:dyDescent="0.15">
      <c r="A103" s="7" t="s">
        <v>90</v>
      </c>
    </row>
    <row r="104" spans="1:23" s="7" customFormat="1" ht="9" x14ac:dyDescent="0.15">
      <c r="A104" s="7" t="s">
        <v>38</v>
      </c>
    </row>
    <row r="105" spans="1:23" s="7" customFormat="1" ht="9" x14ac:dyDescent="0.15">
      <c r="A105" s="7" t="s">
        <v>408</v>
      </c>
    </row>
    <row r="106" spans="1:23" s="7" customFormat="1" ht="9" x14ac:dyDescent="0.15">
      <c r="A106" s="7" t="s">
        <v>270</v>
      </c>
      <c r="N106" s="125"/>
    </row>
    <row r="107" spans="1:23" s="7" customFormat="1" ht="9" x14ac:dyDescent="0.15">
      <c r="A107" s="7" t="s">
        <v>15</v>
      </c>
    </row>
    <row r="108" spans="1:23" s="7" customFormat="1" ht="9" x14ac:dyDescent="0.15">
      <c r="A108" s="7" t="s">
        <v>347</v>
      </c>
    </row>
    <row r="109" spans="1:23" x14ac:dyDescent="0.25">
      <c r="A109" s="2"/>
    </row>
    <row r="121" spans="6:9" x14ac:dyDescent="0.25">
      <c r="G121" s="128"/>
      <c r="H121" s="128"/>
    </row>
    <row r="123" spans="6:9" x14ac:dyDescent="0.25">
      <c r="G123" s="128"/>
      <c r="H123" s="128"/>
    </row>
    <row r="124" spans="6:9" x14ac:dyDescent="0.25">
      <c r="F124" s="128"/>
      <c r="G124" s="128"/>
      <c r="H124" s="128"/>
      <c r="I124" s="128"/>
    </row>
    <row r="129" spans="6:16" x14ac:dyDescent="0.25">
      <c r="H129" s="128"/>
    </row>
    <row r="130" spans="6:16" x14ac:dyDescent="0.25">
      <c r="F130" s="128"/>
      <c r="G130" s="128"/>
      <c r="H130" s="128"/>
      <c r="I130" s="128"/>
    </row>
    <row r="132" spans="6:16" x14ac:dyDescent="0.25">
      <c r="F132" s="128"/>
      <c r="G132" s="128"/>
      <c r="H132" s="128"/>
      <c r="I132" s="128"/>
      <c r="J132" s="128"/>
    </row>
    <row r="133" spans="6:16" x14ac:dyDescent="0.25">
      <c r="F133" s="128"/>
      <c r="I133" s="128"/>
    </row>
    <row r="134" spans="6:16" x14ac:dyDescent="0.25">
      <c r="F134" s="128"/>
      <c r="G134" s="128"/>
      <c r="H134" s="128"/>
      <c r="I134" s="128"/>
    </row>
    <row r="135" spans="6:16" x14ac:dyDescent="0.25">
      <c r="F135" s="128"/>
      <c r="G135" s="128"/>
      <c r="H135" s="128"/>
      <c r="I135" s="128"/>
      <c r="J135" s="128"/>
    </row>
    <row r="136" spans="6:16" x14ac:dyDescent="0.25">
      <c r="F136" s="128"/>
    </row>
    <row r="137" spans="6:16" x14ac:dyDescent="0.25">
      <c r="F137" s="128"/>
      <c r="G137" s="128"/>
      <c r="H137" s="128"/>
      <c r="I137" s="128"/>
      <c r="J137" s="128"/>
    </row>
    <row r="138" spans="6:16" x14ac:dyDescent="0.25">
      <c r="F138" s="128"/>
      <c r="G138" s="128"/>
      <c r="H138" s="128"/>
      <c r="I138" s="128"/>
      <c r="J138" s="128"/>
      <c r="L138" s="128"/>
    </row>
    <row r="140" spans="6:16" x14ac:dyDescent="0.25">
      <c r="G140" s="128"/>
      <c r="H140" s="128"/>
      <c r="O140" s="128"/>
      <c r="P140" s="128"/>
    </row>
    <row r="142" spans="6:16" x14ac:dyDescent="0.25">
      <c r="G142" s="128"/>
      <c r="H142" s="128"/>
      <c r="O142" s="128"/>
      <c r="P142" s="128"/>
    </row>
    <row r="143" spans="6:16" x14ac:dyDescent="0.25">
      <c r="F143" s="128"/>
      <c r="G143" s="128"/>
      <c r="H143" s="128"/>
      <c r="I143" s="128"/>
      <c r="J143" s="128"/>
      <c r="O143" s="128"/>
      <c r="P143" s="128"/>
    </row>
    <row r="144" spans="6:16" x14ac:dyDescent="0.25">
      <c r="O144" s="128"/>
      <c r="P144" s="128"/>
    </row>
    <row r="146" spans="6:16" x14ac:dyDescent="0.25">
      <c r="O146" s="128"/>
      <c r="P146" s="128"/>
    </row>
    <row r="148" spans="6:16" x14ac:dyDescent="0.25">
      <c r="H148" s="128"/>
      <c r="I148" s="128"/>
      <c r="O148" s="128"/>
      <c r="P148" s="128"/>
    </row>
    <row r="149" spans="6:16" x14ac:dyDescent="0.25">
      <c r="F149" s="128"/>
      <c r="G149" s="128"/>
      <c r="H149" s="128"/>
      <c r="I149" s="128"/>
      <c r="J149" s="128"/>
      <c r="O149" s="128"/>
      <c r="P149" s="128"/>
    </row>
    <row r="151" spans="6:16" x14ac:dyDescent="0.25">
      <c r="F151" s="128"/>
      <c r="G151" s="128"/>
      <c r="H151" s="128"/>
      <c r="I151" s="128"/>
      <c r="J151" s="128"/>
      <c r="K151" s="128"/>
      <c r="N151" s="128"/>
      <c r="O151" s="128"/>
      <c r="P151" s="128"/>
    </row>
    <row r="152" spans="6:16" x14ac:dyDescent="0.25">
      <c r="F152" s="128"/>
      <c r="G152" s="128"/>
      <c r="O152" s="128"/>
      <c r="P152" s="128"/>
    </row>
    <row r="153" spans="6:16" x14ac:dyDescent="0.25">
      <c r="F153" s="128"/>
      <c r="G153" s="128"/>
      <c r="H153" s="128"/>
      <c r="I153" s="128"/>
      <c r="N153" s="128"/>
      <c r="O153" s="128"/>
      <c r="P153" s="128"/>
    </row>
    <row r="154" spans="6:16" x14ac:dyDescent="0.25">
      <c r="F154" s="128"/>
      <c r="G154" s="128"/>
      <c r="H154" s="128"/>
      <c r="I154" s="128"/>
      <c r="J154" s="128"/>
      <c r="N154" s="128"/>
      <c r="O154" s="128"/>
      <c r="P154" s="128"/>
    </row>
    <row r="155" spans="6:16" x14ac:dyDescent="0.25">
      <c r="F155" s="128"/>
      <c r="G155" s="128"/>
      <c r="O155" s="128"/>
      <c r="P155" s="128"/>
    </row>
    <row r="156" spans="6:16" x14ac:dyDescent="0.25">
      <c r="F156" s="128"/>
      <c r="G156" s="128"/>
      <c r="H156" s="128"/>
      <c r="I156" s="128"/>
      <c r="J156" s="128"/>
      <c r="N156" s="128"/>
      <c r="O156" s="128"/>
      <c r="P156" s="128"/>
    </row>
    <row r="157" spans="6:16" x14ac:dyDescent="0.25">
      <c r="F157" s="128"/>
      <c r="G157" s="128"/>
      <c r="H157" s="128"/>
      <c r="I157" s="128"/>
      <c r="J157" s="128"/>
      <c r="K157" s="128"/>
      <c r="N157" s="128"/>
      <c r="O157" s="128"/>
      <c r="P157" s="128"/>
    </row>
    <row r="159" spans="6:16" x14ac:dyDescent="0.25">
      <c r="G159" s="128"/>
      <c r="H159" s="128"/>
      <c r="I159" s="128"/>
      <c r="N159" s="128"/>
      <c r="O159" s="128"/>
      <c r="P159" s="128"/>
    </row>
    <row r="161" spans="6:16" x14ac:dyDescent="0.25">
      <c r="G161" s="128"/>
      <c r="H161" s="128"/>
      <c r="I161" s="128"/>
      <c r="N161" s="128"/>
      <c r="O161" s="128"/>
      <c r="P161" s="128"/>
    </row>
    <row r="162" spans="6:16" x14ac:dyDescent="0.25">
      <c r="F162" s="128"/>
      <c r="G162" s="128"/>
      <c r="H162" s="128"/>
      <c r="I162" s="128"/>
      <c r="J162" s="128"/>
      <c r="O162" s="128"/>
      <c r="P162" s="128"/>
    </row>
    <row r="163" spans="6:16" x14ac:dyDescent="0.25">
      <c r="O163" s="128"/>
      <c r="P163" s="128"/>
    </row>
    <row r="167" spans="6:16" x14ac:dyDescent="0.25">
      <c r="H167" s="128"/>
      <c r="I167" s="128"/>
      <c r="O167" s="128"/>
      <c r="P167" s="128"/>
    </row>
    <row r="168" spans="6:16" x14ac:dyDescent="0.25">
      <c r="F168" s="128"/>
      <c r="G168" s="128"/>
      <c r="H168" s="128"/>
      <c r="I168" s="128"/>
      <c r="J168" s="128"/>
      <c r="O168" s="128"/>
      <c r="P168" s="128"/>
    </row>
    <row r="170" spans="6:16" x14ac:dyDescent="0.25">
      <c r="F170" s="128"/>
      <c r="G170" s="128"/>
      <c r="H170" s="128"/>
      <c r="I170" s="128"/>
      <c r="J170" s="128"/>
      <c r="K170" s="128"/>
      <c r="N170" s="128"/>
      <c r="O170" s="128"/>
      <c r="P170" s="128"/>
    </row>
    <row r="171" spans="6:16" x14ac:dyDescent="0.25">
      <c r="F171" s="128"/>
      <c r="G171" s="128"/>
      <c r="O171" s="128"/>
      <c r="P171" s="128"/>
    </row>
    <row r="172" spans="6:16" x14ac:dyDescent="0.25">
      <c r="F172" s="128"/>
      <c r="G172" s="128"/>
      <c r="H172" s="128"/>
      <c r="I172" s="128"/>
      <c r="J172" s="128"/>
      <c r="N172" s="128"/>
      <c r="O172" s="128"/>
      <c r="P172" s="128"/>
    </row>
    <row r="173" spans="6:16" x14ac:dyDescent="0.25">
      <c r="F173" s="128"/>
      <c r="G173" s="128"/>
      <c r="H173" s="128"/>
      <c r="I173" s="128"/>
      <c r="J173" s="128"/>
      <c r="K173" s="128"/>
      <c r="N173" s="128"/>
      <c r="O173" s="128"/>
      <c r="P173" s="128"/>
    </row>
    <row r="174" spans="6:16" x14ac:dyDescent="0.25">
      <c r="F174" s="128"/>
      <c r="G174" s="128"/>
      <c r="N174" s="128"/>
      <c r="O174" s="128"/>
      <c r="P174" s="128"/>
    </row>
    <row r="175" spans="6:16" x14ac:dyDescent="0.25">
      <c r="F175" s="128"/>
      <c r="G175" s="128"/>
      <c r="H175" s="128"/>
      <c r="I175" s="128"/>
      <c r="J175" s="128"/>
      <c r="K175" s="128"/>
      <c r="N175" s="128"/>
      <c r="O175" s="128"/>
      <c r="P175" s="128"/>
    </row>
    <row r="176" spans="6:16" x14ac:dyDescent="0.25">
      <c r="F176" s="128"/>
      <c r="G176" s="128"/>
      <c r="H176" s="128"/>
      <c r="I176" s="128"/>
      <c r="J176" s="128"/>
      <c r="K176" s="128"/>
      <c r="N176" s="128"/>
      <c r="O176" s="128"/>
      <c r="P176" s="128"/>
    </row>
    <row r="178" spans="6:16" x14ac:dyDescent="0.25">
      <c r="G178" s="128"/>
      <c r="H178" s="128"/>
      <c r="I178" s="128"/>
      <c r="J178" s="128"/>
      <c r="K178" s="128"/>
      <c r="N178" s="128"/>
      <c r="O178" s="128"/>
      <c r="P178" s="128"/>
    </row>
    <row r="180" spans="6:16" x14ac:dyDescent="0.25">
      <c r="G180" s="128"/>
      <c r="H180" s="128"/>
      <c r="I180" s="128"/>
      <c r="J180" s="128"/>
      <c r="K180" s="128"/>
      <c r="N180" s="128"/>
      <c r="O180" s="128"/>
      <c r="P180" s="128"/>
    </row>
    <row r="181" spans="6:16" x14ac:dyDescent="0.25">
      <c r="F181" s="128"/>
      <c r="G181" s="128"/>
      <c r="H181" s="128"/>
      <c r="I181" s="128"/>
      <c r="J181" s="128"/>
      <c r="O181" s="128"/>
      <c r="P181" s="128"/>
    </row>
    <row r="182" spans="6:16" x14ac:dyDescent="0.25">
      <c r="O182" s="128"/>
      <c r="P182" s="128"/>
    </row>
    <row r="186" spans="6:16" x14ac:dyDescent="0.25">
      <c r="O186" s="128"/>
      <c r="P186" s="128"/>
    </row>
    <row r="187" spans="6:16" x14ac:dyDescent="0.25">
      <c r="F187" s="128"/>
      <c r="G187" s="128"/>
      <c r="H187" s="128"/>
      <c r="I187" s="128"/>
      <c r="J187" s="128"/>
      <c r="N187" s="128"/>
      <c r="O187" s="128"/>
      <c r="P187" s="128"/>
    </row>
    <row r="189" spans="6:16" x14ac:dyDescent="0.25">
      <c r="F189" s="128"/>
      <c r="G189" s="128"/>
      <c r="H189" s="128"/>
      <c r="I189" s="128"/>
      <c r="J189" s="128"/>
      <c r="K189" s="128"/>
      <c r="N189" s="128"/>
      <c r="O189" s="128"/>
      <c r="P189" s="128"/>
    </row>
    <row r="190" spans="6:16" x14ac:dyDescent="0.25">
      <c r="F190" s="128"/>
      <c r="G190" s="128"/>
      <c r="I190" s="128"/>
      <c r="J190" s="128"/>
      <c r="O190" s="128"/>
      <c r="P190" s="128"/>
    </row>
    <row r="191" spans="6:16" x14ac:dyDescent="0.25">
      <c r="F191" s="128"/>
      <c r="G191" s="128"/>
      <c r="H191" s="128"/>
      <c r="I191" s="128"/>
      <c r="J191" s="128"/>
      <c r="N191" s="128"/>
      <c r="O191" s="128"/>
      <c r="P191" s="128"/>
    </row>
    <row r="192" spans="6:16" x14ac:dyDescent="0.25">
      <c r="F192" s="128"/>
      <c r="G192" s="128"/>
      <c r="H192" s="128"/>
      <c r="I192" s="128"/>
      <c r="J192" s="128"/>
      <c r="K192" s="128"/>
      <c r="N192" s="128"/>
      <c r="O192" s="128"/>
      <c r="P192" s="128"/>
    </row>
    <row r="193" spans="6:16" x14ac:dyDescent="0.25">
      <c r="N193" s="128"/>
      <c r="O193" s="128"/>
      <c r="P193" s="128"/>
    </row>
    <row r="194" spans="6:16" x14ac:dyDescent="0.25">
      <c r="F194" s="128"/>
      <c r="G194" s="128"/>
      <c r="H194" s="128"/>
      <c r="I194" s="128"/>
      <c r="J194" s="128"/>
      <c r="K194" s="128"/>
      <c r="N194" s="128"/>
      <c r="O194" s="128"/>
      <c r="P194" s="128"/>
    </row>
    <row r="195" spans="6:16" x14ac:dyDescent="0.25">
      <c r="F195" s="128"/>
      <c r="G195" s="128"/>
      <c r="H195" s="128"/>
      <c r="I195" s="128"/>
      <c r="J195" s="128"/>
      <c r="K195" s="128"/>
      <c r="N195" s="128"/>
      <c r="O195" s="128"/>
      <c r="P195" s="128"/>
    </row>
    <row r="197" spans="6:16" x14ac:dyDescent="0.25">
      <c r="G197" s="128"/>
      <c r="H197" s="128"/>
      <c r="I197" s="128"/>
      <c r="O197" s="128"/>
      <c r="P197" s="128"/>
    </row>
    <row r="199" spans="6:16" x14ac:dyDescent="0.25">
      <c r="G199" s="128"/>
      <c r="H199" s="128"/>
      <c r="I199" s="128"/>
      <c r="O199" s="128"/>
      <c r="P199" s="128"/>
    </row>
    <row r="200" spans="6:16" x14ac:dyDescent="0.25">
      <c r="F200" s="128"/>
      <c r="G200" s="128"/>
      <c r="H200" s="128"/>
      <c r="I200" s="128"/>
      <c r="J200" s="128"/>
      <c r="O200" s="128"/>
      <c r="P200" s="128"/>
    </row>
    <row r="201" spans="6:16" x14ac:dyDescent="0.25">
      <c r="O201" s="128"/>
      <c r="P201" s="128"/>
    </row>
    <row r="203" spans="6:16" x14ac:dyDescent="0.25">
      <c r="O203" s="128"/>
      <c r="P203" s="128"/>
    </row>
    <row r="205" spans="6:16" x14ac:dyDescent="0.25">
      <c r="O205" s="128"/>
      <c r="P205" s="128"/>
    </row>
    <row r="206" spans="6:16" x14ac:dyDescent="0.25">
      <c r="F206" s="128"/>
      <c r="G206" s="128"/>
      <c r="H206" s="128"/>
      <c r="I206" s="128"/>
      <c r="J206" s="128"/>
      <c r="O206" s="128"/>
      <c r="P206" s="128"/>
    </row>
    <row r="208" spans="6:16" x14ac:dyDescent="0.25">
      <c r="F208" s="128"/>
      <c r="G208" s="128"/>
      <c r="H208" s="128"/>
      <c r="I208" s="128"/>
      <c r="J208" s="128"/>
      <c r="K208" s="128"/>
      <c r="O208" s="128"/>
      <c r="P208" s="128"/>
    </row>
    <row r="209" spans="6:16" x14ac:dyDescent="0.25">
      <c r="F209" s="128"/>
      <c r="G209" s="128"/>
      <c r="I209" s="128"/>
      <c r="J209" s="128"/>
      <c r="O209" s="128"/>
      <c r="P209" s="128"/>
    </row>
    <row r="210" spans="6:16" x14ac:dyDescent="0.25">
      <c r="F210" s="128"/>
      <c r="G210" s="128"/>
      <c r="H210" s="128"/>
      <c r="I210" s="128"/>
      <c r="J210" s="128"/>
      <c r="O210" s="128"/>
      <c r="P210" s="128"/>
    </row>
    <row r="211" spans="6:16" x14ac:dyDescent="0.25">
      <c r="F211" s="128"/>
      <c r="G211" s="128"/>
      <c r="H211" s="128"/>
      <c r="I211" s="128"/>
      <c r="J211" s="128"/>
      <c r="K211" s="128"/>
      <c r="O211" s="128"/>
      <c r="P211" s="128"/>
    </row>
    <row r="212" spans="6:16" x14ac:dyDescent="0.25">
      <c r="G212" s="128"/>
      <c r="I212" s="128"/>
      <c r="O212" s="128"/>
      <c r="P212" s="128"/>
    </row>
    <row r="213" spans="6:16" x14ac:dyDescent="0.25">
      <c r="F213" s="128"/>
      <c r="G213" s="128"/>
      <c r="H213" s="128"/>
      <c r="I213" s="128"/>
      <c r="J213" s="128"/>
      <c r="K213" s="128"/>
      <c r="O213" s="128"/>
      <c r="P213" s="128"/>
    </row>
    <row r="214" spans="6:16" x14ac:dyDescent="0.25">
      <c r="F214" s="128"/>
      <c r="G214" s="128"/>
      <c r="H214" s="128"/>
      <c r="I214" s="128"/>
      <c r="J214" s="128"/>
      <c r="K214" s="128"/>
      <c r="O214" s="128"/>
      <c r="P214" s="128"/>
    </row>
    <row r="216" spans="6:16" x14ac:dyDescent="0.25">
      <c r="H216" s="128"/>
      <c r="I216" s="128"/>
      <c r="O216" s="128"/>
      <c r="P216" s="128"/>
    </row>
    <row r="218" spans="6:16" x14ac:dyDescent="0.25">
      <c r="H218" s="128"/>
      <c r="I218" s="128"/>
      <c r="O218" s="128"/>
      <c r="P218" s="128"/>
    </row>
    <row r="219" spans="6:16" x14ac:dyDescent="0.25">
      <c r="G219" s="128"/>
      <c r="I219" s="128"/>
      <c r="J219" s="128"/>
      <c r="O219" s="128"/>
      <c r="P219" s="128"/>
    </row>
    <row r="220" spans="6:16" x14ac:dyDescent="0.25">
      <c r="O220" s="128"/>
      <c r="P220" s="128"/>
    </row>
    <row r="222" spans="6:16" x14ac:dyDescent="0.25">
      <c r="O222" s="128"/>
      <c r="P222" s="128"/>
    </row>
    <row r="224" spans="6:16" x14ac:dyDescent="0.25">
      <c r="O224" s="128"/>
      <c r="P224" s="128"/>
    </row>
    <row r="225" spans="7:16" x14ac:dyDescent="0.25">
      <c r="G225" s="128"/>
      <c r="I225" s="128"/>
      <c r="J225" s="128"/>
      <c r="O225" s="128"/>
      <c r="P225" s="128"/>
    </row>
    <row r="227" spans="7:16" x14ac:dyDescent="0.25">
      <c r="G227" s="128"/>
      <c r="H227" s="128"/>
      <c r="I227" s="128"/>
      <c r="J227" s="128"/>
      <c r="K227" s="128"/>
      <c r="O227" s="128"/>
      <c r="P227" s="128"/>
    </row>
    <row r="228" spans="7:16" x14ac:dyDescent="0.25">
      <c r="G228" s="128"/>
      <c r="J228" s="128"/>
      <c r="O228" s="128"/>
      <c r="P228" s="128"/>
    </row>
    <row r="229" spans="7:16" x14ac:dyDescent="0.25">
      <c r="G229" s="128"/>
      <c r="H229" s="128"/>
      <c r="I229" s="128"/>
      <c r="J229" s="128"/>
      <c r="O229" s="128"/>
      <c r="P229" s="128"/>
    </row>
    <row r="230" spans="7:16" x14ac:dyDescent="0.25">
      <c r="G230" s="128"/>
      <c r="H230" s="128"/>
      <c r="I230" s="128"/>
      <c r="J230" s="128"/>
      <c r="K230" s="128"/>
      <c r="O230" s="128"/>
      <c r="P230" s="128"/>
    </row>
    <row r="231" spans="7:16" x14ac:dyDescent="0.25">
      <c r="I231" s="128"/>
      <c r="O231" s="128"/>
      <c r="P231" s="128"/>
    </row>
    <row r="232" spans="7:16" x14ac:dyDescent="0.25">
      <c r="G232" s="128"/>
      <c r="H232" s="128"/>
      <c r="I232" s="128"/>
      <c r="J232" s="128"/>
      <c r="K232" s="128"/>
      <c r="O232" s="128"/>
      <c r="P232" s="128"/>
    </row>
    <row r="233" spans="7:16" x14ac:dyDescent="0.25">
      <c r="G233" s="128"/>
      <c r="H233" s="128"/>
      <c r="I233" s="128"/>
      <c r="J233" s="128"/>
      <c r="K233" s="128"/>
      <c r="L233" s="128"/>
      <c r="O233" s="128"/>
      <c r="P233" s="128"/>
    </row>
  </sheetData>
  <mergeCells count="7">
    <mergeCell ref="A101:N101"/>
    <mergeCell ref="A1:N1"/>
    <mergeCell ref="A4:A22"/>
    <mergeCell ref="A23:A41"/>
    <mergeCell ref="A42:A60"/>
    <mergeCell ref="A61:A79"/>
    <mergeCell ref="A80:A98"/>
  </mergeCells>
  <pageMargins left="0.08" right="0.08" top="1" bottom="1" header="0.5" footer="0.5"/>
  <pageSetup orientation="landscape" blackAndWhite="1"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N53"/>
  <sheetViews>
    <sheetView zoomScaleNormal="100" workbookViewId="0">
      <selection sqref="A1:E1"/>
    </sheetView>
  </sheetViews>
  <sheetFormatPr defaultColWidth="9.140625" defaultRowHeight="15" x14ac:dyDescent="0.25"/>
  <cols>
    <col min="1" max="1" width="20.85546875" style="1" customWidth="1"/>
    <col min="2" max="2" width="11.42578125" style="1" bestFit="1" customWidth="1"/>
    <col min="3" max="3" width="13.85546875" style="1" customWidth="1"/>
    <col min="4" max="7" width="11.42578125" style="1" bestFit="1" customWidth="1"/>
    <col min="8" max="16384" width="9.140625" style="1"/>
  </cols>
  <sheetData>
    <row r="1" spans="1:12" ht="37.5" customHeight="1" x14ac:dyDescent="0.25">
      <c r="A1" s="198" t="s">
        <v>302</v>
      </c>
      <c r="B1" s="198"/>
      <c r="C1" s="198"/>
      <c r="D1" s="198"/>
      <c r="E1" s="198"/>
      <c r="F1" s="61"/>
      <c r="G1" s="61"/>
    </row>
    <row r="2" spans="1:12" ht="1.5" customHeight="1" x14ac:dyDescent="0.25">
      <c r="A2" s="2"/>
    </row>
    <row r="3" spans="1:12" ht="15" customHeight="1" x14ac:dyDescent="0.25">
      <c r="A3" s="33" t="s">
        <v>163</v>
      </c>
      <c r="B3" s="3" t="s">
        <v>19</v>
      </c>
      <c r="C3" s="3" t="s">
        <v>20</v>
      </c>
      <c r="D3" s="3" t="s">
        <v>21</v>
      </c>
      <c r="E3" s="11" t="s">
        <v>12</v>
      </c>
    </row>
    <row r="4" spans="1:12" x14ac:dyDescent="0.25">
      <c r="A4" s="4">
        <v>1</v>
      </c>
      <c r="B4" s="9">
        <v>1503</v>
      </c>
      <c r="C4" s="9">
        <v>1697</v>
      </c>
      <c r="D4" s="9">
        <v>70</v>
      </c>
      <c r="E4" s="9">
        <v>3270</v>
      </c>
      <c r="G4" s="9"/>
      <c r="H4" s="9"/>
      <c r="I4" s="9"/>
      <c r="J4" s="9"/>
      <c r="L4" s="123"/>
    </row>
    <row r="5" spans="1:12" x14ac:dyDescent="0.25">
      <c r="A5" s="4">
        <v>2</v>
      </c>
      <c r="B5" s="9">
        <v>768</v>
      </c>
      <c r="C5" s="9">
        <v>636</v>
      </c>
      <c r="D5" s="9">
        <v>17</v>
      </c>
      <c r="E5" s="9">
        <v>1421</v>
      </c>
      <c r="G5" s="9"/>
      <c r="H5" s="9"/>
      <c r="I5" s="9"/>
      <c r="J5" s="9"/>
    </row>
    <row r="6" spans="1:12" x14ac:dyDescent="0.25">
      <c r="A6" s="4">
        <v>3</v>
      </c>
      <c r="B6" s="9">
        <v>469</v>
      </c>
      <c r="C6" s="9">
        <v>370</v>
      </c>
      <c r="D6" s="9">
        <v>9</v>
      </c>
      <c r="E6" s="9">
        <v>848</v>
      </c>
      <c r="G6" s="9"/>
      <c r="H6" s="9"/>
      <c r="I6" s="9"/>
      <c r="J6" s="9"/>
    </row>
    <row r="7" spans="1:12" x14ac:dyDescent="0.25">
      <c r="A7" s="4">
        <v>4</v>
      </c>
      <c r="B7" s="9">
        <v>309</v>
      </c>
      <c r="C7" s="9">
        <v>228</v>
      </c>
      <c r="D7" s="9">
        <v>1</v>
      </c>
      <c r="E7" s="9">
        <v>538</v>
      </c>
      <c r="G7" s="9"/>
      <c r="H7" s="9"/>
      <c r="I7" s="9"/>
      <c r="J7" s="9"/>
    </row>
    <row r="8" spans="1:12" x14ac:dyDescent="0.25">
      <c r="A8" s="4">
        <v>5</v>
      </c>
      <c r="B8" s="9">
        <v>234</v>
      </c>
      <c r="C8" s="9">
        <v>140</v>
      </c>
      <c r="D8" s="9">
        <v>4</v>
      </c>
      <c r="E8" s="9">
        <v>378</v>
      </c>
      <c r="G8" s="9"/>
      <c r="H8" s="9"/>
      <c r="I8" s="9"/>
      <c r="J8" s="9"/>
    </row>
    <row r="9" spans="1:12" x14ac:dyDescent="0.25">
      <c r="A9" s="4" t="s">
        <v>91</v>
      </c>
      <c r="B9" s="9">
        <v>484</v>
      </c>
      <c r="C9" s="9">
        <v>362</v>
      </c>
      <c r="D9" s="9">
        <v>5</v>
      </c>
      <c r="E9" s="9">
        <v>851</v>
      </c>
      <c r="G9" s="9"/>
      <c r="H9" s="9"/>
      <c r="I9" s="9"/>
      <c r="J9" s="9"/>
    </row>
    <row r="10" spans="1:12" s="72" customFormat="1" x14ac:dyDescent="0.25">
      <c r="A10" s="34" t="s">
        <v>12</v>
      </c>
      <c r="B10" s="102">
        <v>3767</v>
      </c>
      <c r="C10" s="102">
        <v>3433</v>
      </c>
      <c r="D10" s="102">
        <v>106</v>
      </c>
      <c r="E10" s="102">
        <v>7306</v>
      </c>
      <c r="G10" s="102"/>
      <c r="H10" s="102"/>
      <c r="I10" s="102"/>
      <c r="J10" s="102"/>
    </row>
    <row r="11" spans="1:12" ht="1.5" customHeight="1" x14ac:dyDescent="0.25">
      <c r="G11" s="123"/>
      <c r="H11" s="123"/>
    </row>
    <row r="12" spans="1:12" ht="11.1" customHeight="1" x14ac:dyDescent="0.25">
      <c r="A12" s="191" t="s">
        <v>23</v>
      </c>
      <c r="B12" s="191"/>
      <c r="C12" s="191"/>
      <c r="D12" s="191"/>
      <c r="E12" s="191"/>
      <c r="F12" s="193"/>
      <c r="G12" s="193"/>
    </row>
    <row r="13" spans="1:12" ht="11.1" customHeight="1" x14ac:dyDescent="0.25">
      <c r="A13" s="6" t="s">
        <v>234</v>
      </c>
      <c r="B13" s="6"/>
      <c r="C13" s="6"/>
      <c r="D13" s="6"/>
      <c r="E13" s="6"/>
      <c r="F13" s="6"/>
      <c r="G13" s="6"/>
    </row>
    <row r="14" spans="1:12" ht="11.1" customHeight="1" x14ac:dyDescent="0.25">
      <c r="A14" s="6" t="s">
        <v>384</v>
      </c>
      <c r="B14" s="6"/>
      <c r="C14" s="6"/>
      <c r="D14" s="6"/>
      <c r="E14" s="6"/>
      <c r="F14" s="6"/>
      <c r="G14" s="6"/>
    </row>
    <row r="15" spans="1:12" s="7" customFormat="1" ht="7.5" customHeight="1" x14ac:dyDescent="0.15">
      <c r="A15" s="7" t="s">
        <v>15</v>
      </c>
    </row>
    <row r="16" spans="1:12" s="7" customFormat="1" ht="11.1" customHeight="1" x14ac:dyDescent="0.15">
      <c r="A16" s="7" t="s">
        <v>347</v>
      </c>
    </row>
    <row r="17" spans="1:12" ht="12" customHeight="1" x14ac:dyDescent="0.25">
      <c r="A17" s="2"/>
    </row>
    <row r="18" spans="1:12" ht="42" customHeight="1" x14ac:dyDescent="0.25">
      <c r="A18" s="198" t="s">
        <v>303</v>
      </c>
      <c r="B18" s="198"/>
      <c r="C18" s="198"/>
      <c r="D18" s="198"/>
      <c r="E18" s="198"/>
      <c r="F18" s="57"/>
      <c r="G18" s="57"/>
    </row>
    <row r="19" spans="1:12" ht="12" hidden="1" customHeight="1" x14ac:dyDescent="0.25">
      <c r="A19" s="2"/>
    </row>
    <row r="20" spans="1:12" ht="15" customHeight="1" x14ac:dyDescent="0.25">
      <c r="A20" s="33" t="s">
        <v>163</v>
      </c>
      <c r="B20" s="3" t="s">
        <v>19</v>
      </c>
      <c r="C20" s="3" t="s">
        <v>20</v>
      </c>
      <c r="D20" s="3" t="s">
        <v>21</v>
      </c>
      <c r="E20" s="11" t="s">
        <v>12</v>
      </c>
    </row>
    <row r="21" spans="1:12" x14ac:dyDescent="0.25">
      <c r="A21" s="4">
        <v>1</v>
      </c>
      <c r="B21" s="9">
        <v>454</v>
      </c>
      <c r="C21" s="9">
        <v>393</v>
      </c>
      <c r="D21" s="9">
        <v>8</v>
      </c>
      <c r="E21" s="9">
        <v>855</v>
      </c>
      <c r="G21" s="9"/>
      <c r="H21" s="9"/>
      <c r="I21" s="9"/>
      <c r="J21" s="9"/>
      <c r="L21" s="123"/>
    </row>
    <row r="22" spans="1:12" x14ac:dyDescent="0.25">
      <c r="A22" s="4">
        <v>2</v>
      </c>
      <c r="B22" s="9">
        <v>402</v>
      </c>
      <c r="C22" s="9">
        <v>414</v>
      </c>
      <c r="D22" s="9">
        <v>32</v>
      </c>
      <c r="E22" s="9">
        <v>848</v>
      </c>
      <c r="G22" s="9"/>
      <c r="H22" s="9"/>
      <c r="I22" s="9"/>
      <c r="J22" s="9"/>
    </row>
    <row r="23" spans="1:12" x14ac:dyDescent="0.25">
      <c r="A23" s="4">
        <v>3</v>
      </c>
      <c r="B23" s="9">
        <v>210</v>
      </c>
      <c r="C23" s="9">
        <v>172</v>
      </c>
      <c r="D23" s="9">
        <v>6</v>
      </c>
      <c r="E23" s="9">
        <v>388</v>
      </c>
      <c r="G23" s="9"/>
      <c r="H23" s="9"/>
      <c r="I23" s="9"/>
      <c r="J23" s="9"/>
    </row>
    <row r="24" spans="1:12" x14ac:dyDescent="0.25">
      <c r="A24" s="4">
        <v>4</v>
      </c>
      <c r="B24" s="9">
        <v>191</v>
      </c>
      <c r="C24" s="9">
        <v>156</v>
      </c>
      <c r="D24" s="9">
        <v>4</v>
      </c>
      <c r="E24" s="9">
        <v>351</v>
      </c>
      <c r="G24" s="9"/>
      <c r="H24" s="9"/>
      <c r="I24" s="9"/>
      <c r="J24" s="9"/>
    </row>
    <row r="25" spans="1:12" x14ac:dyDescent="0.25">
      <c r="A25" s="4">
        <v>5</v>
      </c>
      <c r="B25" s="9">
        <v>140</v>
      </c>
      <c r="C25" s="9">
        <v>103</v>
      </c>
      <c r="D25" s="9">
        <v>1</v>
      </c>
      <c r="E25" s="9">
        <v>244</v>
      </c>
      <c r="G25" s="9"/>
      <c r="H25" s="9"/>
      <c r="I25" s="9"/>
      <c r="J25" s="9"/>
    </row>
    <row r="26" spans="1:12" x14ac:dyDescent="0.25">
      <c r="A26" s="4" t="s">
        <v>91</v>
      </c>
      <c r="B26" s="9">
        <v>998</v>
      </c>
      <c r="C26" s="9">
        <v>717</v>
      </c>
      <c r="D26" s="9">
        <v>7</v>
      </c>
      <c r="E26" s="9">
        <v>1722</v>
      </c>
      <c r="G26" s="9"/>
      <c r="H26" s="9"/>
      <c r="I26" s="9"/>
      <c r="J26" s="9"/>
    </row>
    <row r="27" spans="1:12" s="72" customFormat="1" x14ac:dyDescent="0.25">
      <c r="A27" s="34" t="s">
        <v>12</v>
      </c>
      <c r="B27" s="102">
        <v>2395</v>
      </c>
      <c r="C27" s="102">
        <v>1955</v>
      </c>
      <c r="D27" s="102">
        <v>58</v>
      </c>
      <c r="E27" s="102">
        <v>4408</v>
      </c>
      <c r="G27" s="9"/>
      <c r="H27" s="9"/>
      <c r="I27" s="9"/>
      <c r="J27" s="9"/>
    </row>
    <row r="28" spans="1:12" ht="2.25" customHeight="1" x14ac:dyDescent="0.25">
      <c r="G28" s="123"/>
      <c r="H28" s="123"/>
    </row>
    <row r="29" spans="1:12" ht="11.1" customHeight="1" x14ac:dyDescent="0.25">
      <c r="A29" s="191" t="s">
        <v>23</v>
      </c>
      <c r="B29" s="191"/>
      <c r="C29" s="191"/>
      <c r="D29" s="191"/>
      <c r="E29" s="191"/>
      <c r="F29" s="193"/>
      <c r="G29" s="193"/>
    </row>
    <row r="30" spans="1:12" ht="11.1" customHeight="1" x14ac:dyDescent="0.25">
      <c r="A30" s="6" t="s">
        <v>234</v>
      </c>
      <c r="B30" s="6"/>
      <c r="C30" s="6"/>
      <c r="D30" s="6"/>
      <c r="E30" s="6"/>
      <c r="F30" s="6"/>
      <c r="G30" s="6"/>
    </row>
    <row r="31" spans="1:12" ht="11.1" customHeight="1" x14ac:dyDescent="0.25">
      <c r="A31" s="6" t="s">
        <v>384</v>
      </c>
      <c r="B31" s="6"/>
      <c r="C31" s="6"/>
      <c r="D31" s="6"/>
      <c r="E31" s="6"/>
      <c r="F31" s="6"/>
      <c r="G31" s="6"/>
    </row>
    <row r="32" spans="1:12" s="7" customFormat="1" ht="11.1" customHeight="1" x14ac:dyDescent="0.15">
      <c r="A32" s="7" t="s">
        <v>15</v>
      </c>
    </row>
    <row r="33" spans="1:14" s="7" customFormat="1" ht="11.1" customHeight="1" x14ac:dyDescent="0.15">
      <c r="A33" s="7" t="s">
        <v>347</v>
      </c>
    </row>
    <row r="34" spans="1:14" ht="12" customHeight="1" x14ac:dyDescent="0.25">
      <c r="A34" s="2"/>
    </row>
    <row r="35" spans="1:14" ht="42" customHeight="1" x14ac:dyDescent="0.25">
      <c r="A35" s="198" t="s">
        <v>304</v>
      </c>
      <c r="B35" s="198"/>
      <c r="C35" s="198"/>
      <c r="D35" s="198"/>
      <c r="E35" s="198"/>
      <c r="F35" s="57"/>
      <c r="G35" s="57"/>
    </row>
    <row r="36" spans="1:14" ht="1.5" customHeight="1" x14ac:dyDescent="0.25">
      <c r="A36" s="2"/>
    </row>
    <row r="37" spans="1:14" x14ac:dyDescent="0.25">
      <c r="A37" s="33" t="s">
        <v>163</v>
      </c>
      <c r="B37" s="3" t="s">
        <v>19</v>
      </c>
      <c r="C37" s="3" t="s">
        <v>20</v>
      </c>
      <c r="D37" s="3" t="s">
        <v>21</v>
      </c>
      <c r="E37" s="11" t="s">
        <v>12</v>
      </c>
    </row>
    <row r="38" spans="1:14" x14ac:dyDescent="0.25">
      <c r="A38" s="4">
        <v>1</v>
      </c>
      <c r="B38" s="9">
        <v>1242</v>
      </c>
      <c r="C38" s="9">
        <v>1427</v>
      </c>
      <c r="D38" s="9">
        <v>71</v>
      </c>
      <c r="E38" s="9">
        <v>2740</v>
      </c>
      <c r="G38" s="9"/>
      <c r="H38" s="9"/>
      <c r="I38" s="9"/>
      <c r="J38" s="9"/>
      <c r="L38" s="123"/>
    </row>
    <row r="39" spans="1:14" x14ac:dyDescent="0.25">
      <c r="A39" s="4">
        <v>2</v>
      </c>
      <c r="B39" s="9">
        <v>745</v>
      </c>
      <c r="C39" s="9">
        <v>752</v>
      </c>
      <c r="D39" s="9">
        <v>41</v>
      </c>
      <c r="E39" s="9">
        <v>1538</v>
      </c>
      <c r="G39" s="9"/>
      <c r="H39" s="9"/>
      <c r="I39" s="9"/>
      <c r="J39" s="9"/>
    </row>
    <row r="40" spans="1:14" x14ac:dyDescent="0.25">
      <c r="A40" s="4">
        <v>3</v>
      </c>
      <c r="B40" s="9">
        <v>431</v>
      </c>
      <c r="C40" s="9">
        <v>349</v>
      </c>
      <c r="D40" s="9">
        <v>14</v>
      </c>
      <c r="E40" s="9">
        <v>794</v>
      </c>
      <c r="G40" s="9"/>
      <c r="H40" s="9"/>
      <c r="I40" s="9"/>
      <c r="J40" s="9"/>
    </row>
    <row r="41" spans="1:14" x14ac:dyDescent="0.25">
      <c r="A41" s="4">
        <v>4</v>
      </c>
      <c r="B41" s="9">
        <v>293</v>
      </c>
      <c r="C41" s="9">
        <v>253</v>
      </c>
      <c r="D41" s="9">
        <v>7</v>
      </c>
      <c r="E41" s="9">
        <v>553</v>
      </c>
      <c r="G41" s="9"/>
      <c r="H41" s="9"/>
      <c r="I41" s="9"/>
      <c r="J41" s="9"/>
    </row>
    <row r="42" spans="1:14" x14ac:dyDescent="0.25">
      <c r="A42" s="4">
        <v>5</v>
      </c>
      <c r="B42" s="9">
        <v>219</v>
      </c>
      <c r="C42" s="9">
        <v>170</v>
      </c>
      <c r="D42" s="9">
        <v>3</v>
      </c>
      <c r="E42" s="9">
        <v>392</v>
      </c>
      <c r="G42" s="9"/>
      <c r="H42" s="9"/>
      <c r="I42" s="9"/>
      <c r="J42" s="9"/>
      <c r="K42" s="123"/>
      <c r="L42" s="123"/>
      <c r="M42" s="123"/>
      <c r="N42" s="123"/>
    </row>
    <row r="43" spans="1:14" x14ac:dyDescent="0.25">
      <c r="A43" s="4" t="s">
        <v>91</v>
      </c>
      <c r="B43" s="9">
        <v>1445</v>
      </c>
      <c r="C43" s="9">
        <v>1084</v>
      </c>
      <c r="D43" s="9">
        <v>14</v>
      </c>
      <c r="E43" s="9">
        <v>2543</v>
      </c>
      <c r="G43" s="9"/>
      <c r="H43" s="9"/>
      <c r="I43" s="9"/>
      <c r="J43" s="9"/>
    </row>
    <row r="44" spans="1:14" s="72" customFormat="1" x14ac:dyDescent="0.25">
      <c r="A44" s="34" t="s">
        <v>12</v>
      </c>
      <c r="B44" s="102">
        <v>4375</v>
      </c>
      <c r="C44" s="102">
        <v>4035</v>
      </c>
      <c r="D44" s="102">
        <v>150</v>
      </c>
      <c r="E44" s="102">
        <v>8560</v>
      </c>
      <c r="G44" s="9"/>
      <c r="H44" s="9"/>
      <c r="I44" s="9"/>
      <c r="J44" s="9"/>
    </row>
    <row r="45" spans="1:14" ht="12" hidden="1" customHeight="1" x14ac:dyDescent="0.25">
      <c r="G45" s="123">
        <f t="shared" ref="G45" si="0">SUM(B45:D45)</f>
        <v>0</v>
      </c>
      <c r="H45" s="123"/>
    </row>
    <row r="46" spans="1:14" ht="11.1" customHeight="1" x14ac:dyDescent="0.25">
      <c r="A46" s="191" t="s">
        <v>23</v>
      </c>
      <c r="B46" s="191"/>
      <c r="C46" s="191"/>
      <c r="D46" s="191"/>
      <c r="E46" s="191"/>
      <c r="F46" s="193"/>
      <c r="G46" s="193"/>
    </row>
    <row r="47" spans="1:14" ht="11.1" customHeight="1" x14ac:dyDescent="0.25">
      <c r="A47" s="6" t="s">
        <v>234</v>
      </c>
      <c r="B47" s="6"/>
      <c r="C47" s="6"/>
      <c r="D47" s="6"/>
      <c r="E47" s="6"/>
      <c r="F47" s="6"/>
      <c r="G47" s="6"/>
    </row>
    <row r="48" spans="1:14" ht="11.1" customHeight="1" x14ac:dyDescent="0.25">
      <c r="A48" s="6" t="s">
        <v>384</v>
      </c>
      <c r="B48" s="6"/>
      <c r="C48" s="6"/>
      <c r="D48" s="6"/>
      <c r="E48" s="6"/>
      <c r="F48" s="6"/>
      <c r="G48" s="6"/>
    </row>
    <row r="49" spans="1:1" s="7" customFormat="1" ht="11.1" customHeight="1" x14ac:dyDescent="0.15">
      <c r="A49" s="7" t="s">
        <v>15</v>
      </c>
    </row>
    <row r="50" spans="1:1" s="7" customFormat="1" ht="11.1" customHeight="1" x14ac:dyDescent="0.15">
      <c r="A50" s="7" t="s">
        <v>347</v>
      </c>
    </row>
    <row r="51" spans="1:1" s="7" customFormat="1" ht="11.1" customHeight="1" x14ac:dyDescent="0.15">
      <c r="A51" s="7" t="s">
        <v>15</v>
      </c>
    </row>
    <row r="52" spans="1:1" s="7" customFormat="1" ht="11.1" customHeight="1" x14ac:dyDescent="0.15"/>
    <row r="53" spans="1:1" ht="12" customHeight="1" x14ac:dyDescent="0.25">
      <c r="A53" s="2"/>
    </row>
  </sheetData>
  <mergeCells count="6">
    <mergeCell ref="A46:G46"/>
    <mergeCell ref="A1:E1"/>
    <mergeCell ref="A18:E18"/>
    <mergeCell ref="A35:E35"/>
    <mergeCell ref="A29:G29"/>
    <mergeCell ref="A12:G12"/>
  </mergeCells>
  <pageMargins left="0.08" right="0.08" top="1" bottom="1" header="0.5" footer="0.5"/>
  <pageSetup orientation="landscape" blackAndWhite="1"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T16"/>
  <sheetViews>
    <sheetView zoomScaleNormal="100" workbookViewId="0">
      <selection sqref="A1:L1"/>
    </sheetView>
  </sheetViews>
  <sheetFormatPr defaultColWidth="9.140625" defaultRowHeight="15" x14ac:dyDescent="0.25"/>
  <cols>
    <col min="1" max="1" width="22.5703125" style="1" customWidth="1"/>
    <col min="2" max="12" width="11.42578125" style="1" bestFit="1" customWidth="1"/>
    <col min="13" max="16384" width="9.140625" style="1"/>
  </cols>
  <sheetData>
    <row r="1" spans="1:20" ht="14.1" customHeight="1" x14ac:dyDescent="0.25">
      <c r="A1" s="192" t="s">
        <v>305</v>
      </c>
      <c r="B1" s="192"/>
      <c r="C1" s="192"/>
      <c r="D1" s="192"/>
      <c r="E1" s="192"/>
      <c r="F1" s="192"/>
      <c r="G1" s="192"/>
      <c r="H1" s="192"/>
      <c r="I1" s="192"/>
      <c r="J1" s="192"/>
      <c r="K1" s="192"/>
      <c r="L1" s="192"/>
    </row>
    <row r="2" spans="1:20" ht="2.25" customHeight="1" x14ac:dyDescent="0.25">
      <c r="A2" s="2"/>
    </row>
    <row r="3" spans="1:20" x14ac:dyDescent="0.25">
      <c r="A3" s="35" t="s">
        <v>182</v>
      </c>
      <c r="B3" s="3" t="s">
        <v>1</v>
      </c>
      <c r="C3" s="3" t="s">
        <v>2</v>
      </c>
      <c r="D3" s="3" t="s">
        <v>3</v>
      </c>
      <c r="E3" s="3" t="s">
        <v>4</v>
      </c>
      <c r="F3" s="3" t="s">
        <v>5</v>
      </c>
      <c r="G3" s="3" t="s">
        <v>6</v>
      </c>
      <c r="H3" s="3" t="s">
        <v>7</v>
      </c>
      <c r="I3" s="3" t="s">
        <v>8</v>
      </c>
      <c r="J3" s="3" t="s">
        <v>9</v>
      </c>
    </row>
    <row r="4" spans="1:20" x14ac:dyDescent="0.25">
      <c r="A4" s="62" t="s">
        <v>92</v>
      </c>
      <c r="B4" s="9">
        <v>2618</v>
      </c>
      <c r="C4" s="9">
        <v>667</v>
      </c>
      <c r="D4" s="9">
        <v>1391</v>
      </c>
      <c r="E4" s="9">
        <v>1949</v>
      </c>
      <c r="F4" s="9">
        <v>517</v>
      </c>
      <c r="G4" s="9">
        <v>146</v>
      </c>
      <c r="H4" s="9">
        <v>134</v>
      </c>
      <c r="I4" s="9" t="s">
        <v>151</v>
      </c>
      <c r="J4" s="9">
        <v>7422</v>
      </c>
      <c r="L4" s="9"/>
      <c r="M4" s="9"/>
      <c r="N4" s="9"/>
      <c r="O4" s="9"/>
      <c r="P4" s="9"/>
      <c r="Q4" s="9"/>
      <c r="R4" s="9"/>
      <c r="S4" s="9"/>
      <c r="T4" s="9"/>
    </row>
    <row r="5" spans="1:20" ht="15.75" customHeight="1" x14ac:dyDescent="0.25">
      <c r="A5" s="62" t="s">
        <v>93</v>
      </c>
      <c r="B5" s="9">
        <v>1000</v>
      </c>
      <c r="C5" s="9">
        <v>601</v>
      </c>
      <c r="D5" s="9">
        <v>1577</v>
      </c>
      <c r="E5" s="9">
        <v>508</v>
      </c>
      <c r="F5" s="9">
        <v>259</v>
      </c>
      <c r="G5" s="9">
        <v>176</v>
      </c>
      <c r="H5" s="9">
        <v>92</v>
      </c>
      <c r="I5" s="9" t="s">
        <v>151</v>
      </c>
      <c r="J5" s="9">
        <v>4213</v>
      </c>
      <c r="L5" s="9"/>
      <c r="M5" s="9"/>
      <c r="N5" s="9"/>
      <c r="O5" s="9"/>
      <c r="P5" s="9"/>
      <c r="Q5" s="9"/>
      <c r="R5" s="9"/>
      <c r="S5" s="9"/>
      <c r="T5" s="9"/>
    </row>
    <row r="6" spans="1:20" x14ac:dyDescent="0.25">
      <c r="A6" s="63" t="s">
        <v>94</v>
      </c>
      <c r="B6" s="102">
        <v>3618</v>
      </c>
      <c r="C6" s="102">
        <v>1268</v>
      </c>
      <c r="D6" s="102">
        <v>2968</v>
      </c>
      <c r="E6" s="102">
        <v>2457</v>
      </c>
      <c r="F6" s="102">
        <v>776</v>
      </c>
      <c r="G6" s="102">
        <v>322</v>
      </c>
      <c r="H6" s="102">
        <v>226</v>
      </c>
      <c r="I6" s="102" t="s">
        <v>151</v>
      </c>
      <c r="J6" s="102">
        <v>11635</v>
      </c>
      <c r="L6" s="102"/>
      <c r="M6" s="102"/>
      <c r="N6" s="102"/>
      <c r="O6" s="102"/>
      <c r="P6" s="102"/>
      <c r="Q6" s="102"/>
      <c r="R6" s="102"/>
      <c r="S6" s="102"/>
      <c r="T6" s="102"/>
    </row>
    <row r="7" spans="1:20" ht="1.5" customHeight="1" x14ac:dyDescent="0.25"/>
    <row r="8" spans="1:20" ht="11.1" customHeight="1" x14ac:dyDescent="0.25">
      <c r="A8" s="191" t="s">
        <v>224</v>
      </c>
      <c r="B8" s="191"/>
      <c r="C8" s="191"/>
      <c r="D8" s="191"/>
      <c r="E8" s="191"/>
      <c r="F8" s="191"/>
      <c r="G8" s="191"/>
      <c r="H8" s="191"/>
      <c r="I8" s="191"/>
      <c r="J8" s="191"/>
      <c r="K8" s="193"/>
      <c r="L8" s="193"/>
    </row>
    <row r="9" spans="1:20" ht="11.1" customHeight="1" x14ac:dyDescent="0.25">
      <c r="A9" s="6" t="s">
        <v>234</v>
      </c>
      <c r="B9" s="6"/>
      <c r="C9" s="6"/>
      <c r="D9" s="6"/>
      <c r="E9" s="6"/>
      <c r="F9" s="6"/>
      <c r="G9" s="6"/>
      <c r="H9" s="6"/>
      <c r="I9" s="6"/>
      <c r="J9" s="6"/>
      <c r="K9" s="6"/>
      <c r="L9" s="6"/>
    </row>
    <row r="10" spans="1:20" ht="11.1" customHeight="1" x14ac:dyDescent="0.25">
      <c r="A10" s="6" t="s">
        <v>385</v>
      </c>
      <c r="B10" s="6"/>
      <c r="C10" s="6"/>
      <c r="D10" s="6"/>
      <c r="E10" s="6"/>
      <c r="F10" s="6"/>
      <c r="G10" s="6"/>
      <c r="H10" s="6"/>
      <c r="I10" s="6"/>
      <c r="J10" s="6"/>
      <c r="K10" s="6"/>
      <c r="L10" s="6"/>
    </row>
    <row r="11" spans="1:20" s="7" customFormat="1" ht="11.1" customHeight="1" x14ac:dyDescent="0.15">
      <c r="A11" s="7" t="s">
        <v>15</v>
      </c>
    </row>
    <row r="12" spans="1:20" s="7" customFormat="1" ht="11.1" customHeight="1" x14ac:dyDescent="0.15">
      <c r="A12" s="7" t="s">
        <v>347</v>
      </c>
    </row>
    <row r="13" spans="1:20" ht="12" customHeight="1" x14ac:dyDescent="0.25">
      <c r="A13" s="2"/>
    </row>
    <row r="16" spans="1:20" x14ac:dyDescent="0.25">
      <c r="E16" s="123"/>
      <c r="F16" s="123"/>
      <c r="G16" s="123"/>
      <c r="H16" s="123"/>
      <c r="I16" s="123"/>
      <c r="J16" s="123"/>
      <c r="K16" s="123"/>
      <c r="L16" s="123"/>
      <c r="M16" s="123"/>
      <c r="N16" s="123"/>
    </row>
  </sheetData>
  <mergeCells count="2">
    <mergeCell ref="A1:L1"/>
    <mergeCell ref="A8:L8"/>
  </mergeCells>
  <pageMargins left="0.08" right="0.08" top="1" bottom="1" header="0.5" footer="0.5"/>
  <pageSetup orientation="landscape" blackAndWhite="1"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M21"/>
  <sheetViews>
    <sheetView zoomScaleNormal="100" workbookViewId="0">
      <selection sqref="A1:E1"/>
    </sheetView>
  </sheetViews>
  <sheetFormatPr defaultColWidth="9.140625" defaultRowHeight="15" x14ac:dyDescent="0.25"/>
  <cols>
    <col min="1" max="1" width="23.7109375" style="1" customWidth="1"/>
    <col min="2" max="5" width="15.85546875" style="1" customWidth="1"/>
    <col min="6" max="7" width="11.42578125" style="1" bestFit="1" customWidth="1"/>
    <col min="8" max="16384" width="9.140625" style="1"/>
  </cols>
  <sheetData>
    <row r="1" spans="1:13" ht="30.75" customHeight="1" x14ac:dyDescent="0.25">
      <c r="A1" s="198" t="s">
        <v>306</v>
      </c>
      <c r="B1" s="198"/>
      <c r="C1" s="198"/>
      <c r="D1" s="198"/>
      <c r="E1" s="198"/>
      <c r="F1" s="61"/>
      <c r="G1" s="61"/>
    </row>
    <row r="2" spans="1:13" ht="3" customHeight="1" x14ac:dyDescent="0.25">
      <c r="A2" s="2"/>
    </row>
    <row r="3" spans="1:13" ht="23.25" customHeight="1" x14ac:dyDescent="0.25">
      <c r="A3" s="33" t="s">
        <v>164</v>
      </c>
      <c r="B3" s="3" t="s">
        <v>19</v>
      </c>
      <c r="C3" s="3" t="s">
        <v>20</v>
      </c>
      <c r="D3" s="3" t="s">
        <v>21</v>
      </c>
      <c r="E3" s="11" t="s">
        <v>12</v>
      </c>
    </row>
    <row r="4" spans="1:13" x14ac:dyDescent="0.25">
      <c r="A4" s="4">
        <v>1</v>
      </c>
      <c r="B4" s="103">
        <v>2242</v>
      </c>
      <c r="C4" s="103">
        <v>2137</v>
      </c>
      <c r="D4" s="103">
        <v>84</v>
      </c>
      <c r="E4" s="103">
        <v>4463</v>
      </c>
      <c r="G4" s="9"/>
      <c r="H4" s="9"/>
      <c r="I4" s="9"/>
      <c r="J4" s="9"/>
      <c r="M4" s="123"/>
    </row>
    <row r="5" spans="1:13" x14ac:dyDescent="0.25">
      <c r="A5" s="4">
        <v>2</v>
      </c>
      <c r="B5" s="103">
        <v>402</v>
      </c>
      <c r="C5" s="103">
        <v>279</v>
      </c>
      <c r="D5" s="103">
        <v>6</v>
      </c>
      <c r="E5" s="103">
        <v>687</v>
      </c>
      <c r="G5" s="9"/>
      <c r="H5" s="9"/>
      <c r="I5" s="9"/>
      <c r="J5" s="9"/>
    </row>
    <row r="6" spans="1:13" x14ac:dyDescent="0.25">
      <c r="A6" s="4">
        <v>3</v>
      </c>
      <c r="B6" s="103">
        <v>109</v>
      </c>
      <c r="C6" s="103">
        <v>64</v>
      </c>
      <c r="D6" s="103">
        <v>1</v>
      </c>
      <c r="E6" s="103">
        <v>174</v>
      </c>
      <c r="G6" s="9"/>
      <c r="H6" s="9"/>
      <c r="I6" s="9"/>
      <c r="J6" s="9"/>
    </row>
    <row r="7" spans="1:13" x14ac:dyDescent="0.25">
      <c r="A7" s="4">
        <v>4</v>
      </c>
      <c r="B7" s="103">
        <v>56</v>
      </c>
      <c r="C7" s="103">
        <v>39</v>
      </c>
      <c r="D7" s="103" t="s">
        <v>146</v>
      </c>
      <c r="E7" s="103">
        <v>95</v>
      </c>
      <c r="G7" s="9"/>
      <c r="H7" s="9"/>
      <c r="I7" s="9"/>
      <c r="J7" s="9"/>
    </row>
    <row r="8" spans="1:13" x14ac:dyDescent="0.25">
      <c r="A8" s="4">
        <v>5</v>
      </c>
      <c r="B8" s="103">
        <v>25</v>
      </c>
      <c r="C8" s="103">
        <v>16</v>
      </c>
      <c r="D8" s="103" t="s">
        <v>146</v>
      </c>
      <c r="E8" s="103">
        <v>41</v>
      </c>
      <c r="G8" s="9"/>
      <c r="H8" s="9"/>
      <c r="I8" s="9"/>
      <c r="J8" s="9"/>
    </row>
    <row r="9" spans="1:13" x14ac:dyDescent="0.25">
      <c r="A9" s="4" t="s">
        <v>91</v>
      </c>
      <c r="B9" s="103">
        <v>38</v>
      </c>
      <c r="C9" s="103">
        <v>23</v>
      </c>
      <c r="D9" s="103" t="s">
        <v>146</v>
      </c>
      <c r="E9" s="103">
        <v>61</v>
      </c>
      <c r="G9" s="9"/>
      <c r="H9" s="9"/>
      <c r="I9" s="9"/>
      <c r="J9" s="9"/>
    </row>
    <row r="10" spans="1:13" x14ac:dyDescent="0.25">
      <c r="A10" s="34" t="s">
        <v>12</v>
      </c>
      <c r="B10" s="102">
        <v>2872</v>
      </c>
      <c r="C10" s="102">
        <v>2558</v>
      </c>
      <c r="D10" s="102">
        <v>91</v>
      </c>
      <c r="E10" s="102">
        <v>5521</v>
      </c>
      <c r="G10" s="9"/>
      <c r="H10" s="9"/>
      <c r="I10" s="9"/>
      <c r="J10" s="9"/>
    </row>
    <row r="11" spans="1:13" ht="2.25" customHeight="1" x14ac:dyDescent="0.25"/>
    <row r="12" spans="1:13" ht="11.1" customHeight="1" x14ac:dyDescent="0.25">
      <c r="A12" s="191" t="s">
        <v>224</v>
      </c>
      <c r="B12" s="191"/>
      <c r="C12" s="191"/>
      <c r="D12" s="191"/>
      <c r="E12" s="191"/>
      <c r="F12" s="193"/>
      <c r="G12" s="193"/>
    </row>
    <row r="13" spans="1:13" ht="11.1" customHeight="1" x14ac:dyDescent="0.25">
      <c r="A13" s="6" t="s">
        <v>235</v>
      </c>
      <c r="B13" s="6"/>
      <c r="C13" s="6"/>
      <c r="D13" s="6"/>
      <c r="E13" s="6"/>
      <c r="F13" s="6"/>
      <c r="G13" s="6"/>
    </row>
    <row r="14" spans="1:13" ht="11.1" customHeight="1" x14ac:dyDescent="0.25">
      <c r="A14" s="6" t="s">
        <v>386</v>
      </c>
      <c r="B14" s="6"/>
      <c r="C14" s="6"/>
      <c r="D14" s="6"/>
      <c r="E14" s="6"/>
      <c r="F14" s="6"/>
      <c r="G14" s="6"/>
    </row>
    <row r="15" spans="1:13" s="7" customFormat="1" ht="11.1" customHeight="1" x14ac:dyDescent="0.15">
      <c r="A15" s="7" t="s">
        <v>15</v>
      </c>
    </row>
    <row r="16" spans="1:13" s="7" customFormat="1" ht="11.1" customHeight="1" x14ac:dyDescent="0.15">
      <c r="A16" s="7" t="s">
        <v>347</v>
      </c>
    </row>
    <row r="17" spans="1:7" ht="12" customHeight="1" x14ac:dyDescent="0.25">
      <c r="A17" s="2"/>
    </row>
    <row r="20" spans="1:7" x14ac:dyDescent="0.25">
      <c r="D20" s="123"/>
      <c r="E20" s="123"/>
      <c r="F20" s="123"/>
      <c r="G20" s="123"/>
    </row>
    <row r="21" spans="1:7" x14ac:dyDescent="0.25">
      <c r="G21" s="9"/>
    </row>
  </sheetData>
  <mergeCells count="2">
    <mergeCell ref="A12:G12"/>
    <mergeCell ref="A1:E1"/>
  </mergeCells>
  <pageMargins left="0.08" right="0.08" top="1" bottom="1" header="0.5" footer="0.5"/>
  <pageSetup orientation="landscape" blackAndWhite="1"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W83"/>
  <sheetViews>
    <sheetView zoomScaleNormal="100" workbookViewId="0">
      <selection activeCell="C3" sqref="C3"/>
    </sheetView>
  </sheetViews>
  <sheetFormatPr defaultColWidth="9.140625" defaultRowHeight="15" x14ac:dyDescent="0.25"/>
  <cols>
    <col min="1" max="1" width="21.28515625" style="1" customWidth="1"/>
    <col min="2" max="2" width="16.7109375" style="1" customWidth="1"/>
    <col min="3" max="12" width="11.42578125" style="1" bestFit="1" customWidth="1"/>
    <col min="13" max="16384" width="9.140625" style="1"/>
  </cols>
  <sheetData>
    <row r="1" spans="1:20" ht="19.5" customHeight="1" x14ac:dyDescent="0.25">
      <c r="A1" s="210" t="s">
        <v>307</v>
      </c>
      <c r="B1" s="211"/>
      <c r="C1" s="211"/>
      <c r="D1" s="211"/>
      <c r="E1" s="211"/>
      <c r="F1" s="211"/>
      <c r="G1" s="211"/>
      <c r="H1" s="211"/>
      <c r="I1" s="211"/>
      <c r="J1" s="211"/>
      <c r="K1" s="57"/>
      <c r="L1" s="57"/>
    </row>
    <row r="2" spans="1:20" ht="6.75" hidden="1" customHeight="1" x14ac:dyDescent="0.25">
      <c r="A2" s="2"/>
    </row>
    <row r="3" spans="1:20" x14ac:dyDescent="0.25">
      <c r="A3" s="51" t="s">
        <v>158</v>
      </c>
      <c r="B3" s="54" t="s">
        <v>1</v>
      </c>
      <c r="C3" s="54" t="s">
        <v>2</v>
      </c>
      <c r="D3" s="54" t="s">
        <v>3</v>
      </c>
      <c r="E3" s="54" t="s">
        <v>4</v>
      </c>
      <c r="F3" s="54" t="s">
        <v>5</v>
      </c>
      <c r="G3" s="54" t="s">
        <v>6</v>
      </c>
      <c r="H3" s="54" t="s">
        <v>7</v>
      </c>
      <c r="I3" s="54" t="s">
        <v>8</v>
      </c>
      <c r="J3" s="52" t="s">
        <v>9</v>
      </c>
    </row>
    <row r="4" spans="1:20" x14ac:dyDescent="0.25">
      <c r="A4" s="64"/>
      <c r="B4" s="213" t="s">
        <v>415</v>
      </c>
      <c r="C4" s="215"/>
      <c r="D4" s="215"/>
      <c r="E4" s="215"/>
      <c r="F4" s="215"/>
      <c r="G4" s="215"/>
      <c r="H4" s="215"/>
      <c r="I4" s="215"/>
      <c r="J4" s="215"/>
      <c r="K4" s="64"/>
    </row>
    <row r="5" spans="1:20" x14ac:dyDescent="0.25">
      <c r="A5" s="4" t="s">
        <v>19</v>
      </c>
      <c r="B5" s="14">
        <v>9</v>
      </c>
      <c r="C5" s="14">
        <v>103</v>
      </c>
      <c r="D5" s="14">
        <v>117</v>
      </c>
      <c r="E5" s="14">
        <v>8</v>
      </c>
      <c r="F5" s="14">
        <v>48</v>
      </c>
      <c r="G5" s="14">
        <v>120</v>
      </c>
      <c r="H5" s="14">
        <v>62</v>
      </c>
      <c r="I5" s="14" t="s">
        <v>151</v>
      </c>
      <c r="J5" s="14">
        <v>34</v>
      </c>
      <c r="L5" s="14"/>
      <c r="M5" s="14"/>
      <c r="N5" s="14"/>
      <c r="O5" s="14"/>
      <c r="P5" s="14"/>
      <c r="Q5" s="14"/>
      <c r="R5" s="14"/>
      <c r="S5" s="14"/>
      <c r="T5" s="14"/>
    </row>
    <row r="6" spans="1:20" x14ac:dyDescent="0.25">
      <c r="A6" s="4" t="s">
        <v>20</v>
      </c>
      <c r="B6" s="14">
        <v>3</v>
      </c>
      <c r="C6" s="14">
        <v>91</v>
      </c>
      <c r="D6" s="14">
        <v>109</v>
      </c>
      <c r="E6" s="14">
        <v>27</v>
      </c>
      <c r="F6" s="14">
        <v>51</v>
      </c>
      <c r="G6" s="14">
        <v>96</v>
      </c>
      <c r="H6" s="14">
        <v>50</v>
      </c>
      <c r="I6" s="14" t="s">
        <v>151</v>
      </c>
      <c r="J6" s="14">
        <v>48</v>
      </c>
      <c r="L6" s="14"/>
      <c r="M6" s="14"/>
      <c r="N6" s="14"/>
      <c r="O6" s="14"/>
      <c r="P6" s="14"/>
      <c r="Q6" s="14"/>
      <c r="R6" s="14"/>
      <c r="S6" s="14"/>
      <c r="T6" s="14"/>
    </row>
    <row r="7" spans="1:20" x14ac:dyDescent="0.25">
      <c r="A7" s="4" t="s">
        <v>21</v>
      </c>
      <c r="B7" s="14">
        <v>7</v>
      </c>
      <c r="C7" s="14" t="s">
        <v>146</v>
      </c>
      <c r="D7" s="14">
        <v>94</v>
      </c>
      <c r="E7" s="9" t="s">
        <v>146</v>
      </c>
      <c r="F7" s="14">
        <v>182</v>
      </c>
      <c r="G7" s="14">
        <v>43</v>
      </c>
      <c r="H7" s="14" t="s">
        <v>146</v>
      </c>
      <c r="I7" s="14" t="s">
        <v>151</v>
      </c>
      <c r="J7" s="14">
        <v>14</v>
      </c>
      <c r="L7" s="14"/>
      <c r="M7" s="14"/>
      <c r="N7" s="14"/>
      <c r="O7" s="14"/>
      <c r="P7" s="14"/>
      <c r="Q7" s="14"/>
      <c r="R7" s="14"/>
      <c r="S7" s="14"/>
      <c r="T7" s="14"/>
    </row>
    <row r="8" spans="1:20" s="72" customFormat="1" x14ac:dyDescent="0.25">
      <c r="A8" s="67" t="s">
        <v>12</v>
      </c>
      <c r="B8" s="64">
        <v>7</v>
      </c>
      <c r="C8" s="64">
        <v>95</v>
      </c>
      <c r="D8" s="64">
        <v>114</v>
      </c>
      <c r="E8" s="64">
        <v>13</v>
      </c>
      <c r="F8" s="64">
        <v>51</v>
      </c>
      <c r="G8" s="64">
        <v>98</v>
      </c>
      <c r="H8" s="64">
        <v>54</v>
      </c>
      <c r="I8" s="64" t="s">
        <v>151</v>
      </c>
      <c r="J8" s="64">
        <v>40</v>
      </c>
      <c r="L8" s="14"/>
      <c r="M8" s="14"/>
      <c r="N8" s="14"/>
      <c r="O8" s="14"/>
      <c r="P8" s="14"/>
      <c r="Q8" s="14"/>
      <c r="R8" s="14"/>
      <c r="S8" s="14"/>
      <c r="T8" s="14"/>
    </row>
    <row r="9" spans="1:20" x14ac:dyDescent="0.25">
      <c r="B9" s="216" t="s">
        <v>165</v>
      </c>
      <c r="C9" s="216"/>
      <c r="D9" s="216"/>
      <c r="E9" s="216"/>
      <c r="F9" s="216"/>
      <c r="G9" s="216"/>
      <c r="H9" s="216"/>
      <c r="I9" s="216"/>
      <c r="J9" s="216"/>
      <c r="L9" s="212"/>
      <c r="M9" s="212"/>
      <c r="N9" s="212"/>
      <c r="O9" s="212"/>
      <c r="P9" s="212"/>
      <c r="Q9" s="212"/>
      <c r="R9" s="212"/>
      <c r="S9" s="212"/>
      <c r="T9" s="212"/>
    </row>
    <row r="10" spans="1:20" x14ac:dyDescent="0.25">
      <c r="A10" s="4" t="s">
        <v>19</v>
      </c>
      <c r="B10" s="14">
        <v>11</v>
      </c>
      <c r="C10" s="14">
        <v>178</v>
      </c>
      <c r="D10" s="14">
        <v>247</v>
      </c>
      <c r="E10" s="14">
        <v>10</v>
      </c>
      <c r="F10" s="14">
        <v>93</v>
      </c>
      <c r="G10" s="14">
        <v>219</v>
      </c>
      <c r="H10" s="14">
        <v>99</v>
      </c>
      <c r="I10" s="14" t="s">
        <v>151</v>
      </c>
      <c r="J10" s="14">
        <v>73</v>
      </c>
      <c r="L10" s="14"/>
      <c r="M10" s="14"/>
      <c r="N10" s="14"/>
      <c r="O10" s="14"/>
      <c r="P10" s="14"/>
      <c r="Q10" s="14"/>
      <c r="R10" s="14"/>
      <c r="S10" s="14"/>
      <c r="T10" s="14"/>
    </row>
    <row r="11" spans="1:20" x14ac:dyDescent="0.25">
      <c r="A11" s="4" t="s">
        <v>20</v>
      </c>
      <c r="B11" s="14">
        <v>4</v>
      </c>
      <c r="C11" s="14">
        <v>175</v>
      </c>
      <c r="D11" s="14">
        <v>240</v>
      </c>
      <c r="E11" s="14">
        <v>47</v>
      </c>
      <c r="F11" s="14">
        <v>92</v>
      </c>
      <c r="G11" s="14">
        <v>321</v>
      </c>
      <c r="H11" s="14">
        <v>71</v>
      </c>
      <c r="I11" s="14" t="s">
        <v>151</v>
      </c>
      <c r="J11" s="14">
        <v>92</v>
      </c>
      <c r="L11" s="14"/>
      <c r="M11" s="14"/>
      <c r="N11" s="14"/>
      <c r="O11" s="14"/>
      <c r="P11" s="14"/>
      <c r="Q11" s="14"/>
      <c r="R11" s="14"/>
      <c r="S11" s="14"/>
      <c r="T11" s="14"/>
    </row>
    <row r="12" spans="1:20" x14ac:dyDescent="0.25">
      <c r="A12" s="4" t="s">
        <v>21</v>
      </c>
      <c r="B12" s="14">
        <v>7</v>
      </c>
      <c r="C12" s="14" t="s">
        <v>146</v>
      </c>
      <c r="D12" s="14">
        <v>118</v>
      </c>
      <c r="E12" s="9" t="s">
        <v>146</v>
      </c>
      <c r="F12" s="14">
        <v>182</v>
      </c>
      <c r="G12" s="14">
        <v>48</v>
      </c>
      <c r="H12" s="14" t="s">
        <v>146</v>
      </c>
      <c r="I12" s="14" t="s">
        <v>151</v>
      </c>
      <c r="J12" s="14">
        <v>17</v>
      </c>
      <c r="L12" s="14"/>
      <c r="M12" s="14"/>
      <c r="N12" s="14"/>
      <c r="O12" s="14"/>
      <c r="P12" s="14"/>
      <c r="Q12" s="14"/>
      <c r="R12" s="14"/>
      <c r="S12" s="14"/>
      <c r="T12" s="14"/>
    </row>
    <row r="13" spans="1:20" s="72" customFormat="1" x14ac:dyDescent="0.25">
      <c r="A13" s="67" t="s">
        <v>12</v>
      </c>
      <c r="B13" s="64">
        <v>8</v>
      </c>
      <c r="C13" s="64">
        <v>175</v>
      </c>
      <c r="D13" s="64">
        <v>243</v>
      </c>
      <c r="E13" s="64">
        <v>16</v>
      </c>
      <c r="F13" s="64">
        <v>92</v>
      </c>
      <c r="G13" s="64">
        <v>269</v>
      </c>
      <c r="H13" s="64">
        <v>79</v>
      </c>
      <c r="I13" s="64" t="s">
        <v>151</v>
      </c>
      <c r="J13" s="64">
        <v>84</v>
      </c>
      <c r="L13" s="14"/>
      <c r="M13" s="14"/>
      <c r="N13" s="14"/>
      <c r="O13" s="14"/>
      <c r="P13" s="14"/>
      <c r="Q13" s="14"/>
      <c r="R13" s="14"/>
      <c r="S13" s="14"/>
      <c r="T13" s="14"/>
    </row>
    <row r="14" spans="1:20" x14ac:dyDescent="0.25">
      <c r="B14" s="215" t="s">
        <v>166</v>
      </c>
      <c r="C14" s="215"/>
      <c r="D14" s="215"/>
      <c r="E14" s="215"/>
      <c r="F14" s="215"/>
      <c r="G14" s="215"/>
      <c r="H14" s="215"/>
      <c r="I14" s="215"/>
      <c r="J14" s="215"/>
      <c r="L14" s="213"/>
      <c r="M14" s="213"/>
      <c r="N14" s="213"/>
      <c r="O14" s="213"/>
      <c r="P14" s="213"/>
      <c r="Q14" s="213"/>
      <c r="R14" s="213"/>
      <c r="S14" s="213"/>
      <c r="T14" s="213"/>
    </row>
    <row r="15" spans="1:20" x14ac:dyDescent="0.25">
      <c r="A15" s="4" t="s">
        <v>19</v>
      </c>
      <c r="B15" s="120">
        <v>1332</v>
      </c>
      <c r="C15" s="120">
        <v>132</v>
      </c>
      <c r="D15" s="120">
        <v>899</v>
      </c>
      <c r="E15" s="120">
        <v>1274</v>
      </c>
      <c r="F15" s="120">
        <v>307</v>
      </c>
      <c r="G15" s="120">
        <v>46</v>
      </c>
      <c r="H15" s="120">
        <v>43</v>
      </c>
      <c r="I15" s="120" t="s">
        <v>151</v>
      </c>
      <c r="J15" s="120">
        <v>4033</v>
      </c>
      <c r="L15" s="14"/>
      <c r="M15" s="14"/>
      <c r="N15" s="14"/>
      <c r="O15" s="14"/>
      <c r="P15" s="14"/>
      <c r="Q15" s="14"/>
      <c r="R15" s="14"/>
      <c r="S15" s="14"/>
      <c r="T15" s="14"/>
    </row>
    <row r="16" spans="1:20" x14ac:dyDescent="0.25">
      <c r="A16" s="4" t="s">
        <v>20</v>
      </c>
      <c r="B16" s="120">
        <v>1199</v>
      </c>
      <c r="C16" s="120">
        <v>535</v>
      </c>
      <c r="D16" s="120">
        <v>486</v>
      </c>
      <c r="E16" s="120">
        <v>675</v>
      </c>
      <c r="F16" s="120">
        <v>207</v>
      </c>
      <c r="G16" s="120">
        <v>97</v>
      </c>
      <c r="H16" s="120">
        <v>91</v>
      </c>
      <c r="I16" s="120" t="s">
        <v>151</v>
      </c>
      <c r="J16" s="120">
        <v>3290</v>
      </c>
      <c r="L16" s="14"/>
      <c r="M16" s="14"/>
      <c r="N16" s="14"/>
      <c r="O16" s="14"/>
      <c r="P16" s="14"/>
      <c r="Q16" s="14"/>
      <c r="R16" s="14"/>
      <c r="S16" s="14"/>
      <c r="T16" s="14"/>
    </row>
    <row r="17" spans="1:20" x14ac:dyDescent="0.25">
      <c r="A17" s="4" t="s">
        <v>21</v>
      </c>
      <c r="B17" s="120">
        <v>87</v>
      </c>
      <c r="C17" s="120" t="s">
        <v>146</v>
      </c>
      <c r="D17" s="120">
        <v>6</v>
      </c>
      <c r="E17" s="120" t="s">
        <v>146</v>
      </c>
      <c r="F17" s="120">
        <v>3</v>
      </c>
      <c r="G17" s="120">
        <v>3</v>
      </c>
      <c r="H17" s="120" t="s">
        <v>146</v>
      </c>
      <c r="I17" s="120" t="s">
        <v>151</v>
      </c>
      <c r="J17" s="120">
        <v>99</v>
      </c>
      <c r="L17" s="14"/>
      <c r="M17" s="14"/>
      <c r="N17" s="14"/>
      <c r="O17" s="14"/>
      <c r="P17" s="14"/>
      <c r="Q17" s="14"/>
      <c r="R17" s="14"/>
      <c r="S17" s="14"/>
      <c r="T17" s="14"/>
    </row>
    <row r="18" spans="1:20" s="72" customFormat="1" x14ac:dyDescent="0.25">
      <c r="A18" s="67" t="s">
        <v>12</v>
      </c>
      <c r="B18" s="121">
        <v>2618</v>
      </c>
      <c r="C18" s="121">
        <v>667</v>
      </c>
      <c r="D18" s="121">
        <v>1391</v>
      </c>
      <c r="E18" s="121">
        <v>1949</v>
      </c>
      <c r="F18" s="121">
        <v>517</v>
      </c>
      <c r="G18" s="121">
        <v>146</v>
      </c>
      <c r="H18" s="121">
        <v>134</v>
      </c>
      <c r="I18" s="121" t="s">
        <v>151</v>
      </c>
      <c r="J18" s="121">
        <v>7422</v>
      </c>
      <c r="L18" s="14"/>
      <c r="M18" s="14"/>
      <c r="N18" s="14"/>
      <c r="O18" s="14"/>
      <c r="P18" s="14"/>
      <c r="Q18" s="14"/>
      <c r="R18" s="14"/>
      <c r="S18" s="14"/>
      <c r="T18" s="14"/>
    </row>
    <row r="19" spans="1:20" x14ac:dyDescent="0.25">
      <c r="B19" s="217" t="s">
        <v>167</v>
      </c>
      <c r="C19" s="217"/>
      <c r="D19" s="217"/>
      <c r="E19" s="217"/>
      <c r="F19" s="217"/>
      <c r="G19" s="217"/>
      <c r="H19" s="217"/>
      <c r="I19" s="217"/>
      <c r="J19" s="217"/>
      <c r="L19" s="214"/>
      <c r="M19" s="214"/>
      <c r="N19" s="214"/>
      <c r="O19" s="214"/>
      <c r="P19" s="214"/>
      <c r="Q19" s="214"/>
      <c r="R19" s="214"/>
      <c r="S19" s="214"/>
      <c r="T19" s="214"/>
    </row>
    <row r="20" spans="1:20" x14ac:dyDescent="0.25">
      <c r="A20" s="4" t="s">
        <v>19</v>
      </c>
      <c r="B20" s="120">
        <v>899</v>
      </c>
      <c r="C20" s="120">
        <v>117</v>
      </c>
      <c r="D20" s="120">
        <v>807</v>
      </c>
      <c r="E20" s="120">
        <v>737</v>
      </c>
      <c r="F20" s="120">
        <v>237</v>
      </c>
      <c r="G20" s="120">
        <v>41</v>
      </c>
      <c r="H20" s="120">
        <v>34</v>
      </c>
      <c r="I20" s="120" t="s">
        <v>151</v>
      </c>
      <c r="J20" s="120">
        <v>2872</v>
      </c>
      <c r="L20" s="14"/>
      <c r="M20" s="14"/>
      <c r="N20" s="14"/>
      <c r="O20" s="14"/>
      <c r="P20" s="14"/>
      <c r="Q20" s="14"/>
      <c r="R20" s="14"/>
      <c r="S20" s="14"/>
      <c r="T20" s="14"/>
    </row>
    <row r="21" spans="1:20" x14ac:dyDescent="0.25">
      <c r="A21" s="4" t="s">
        <v>20</v>
      </c>
      <c r="B21" s="120">
        <v>831</v>
      </c>
      <c r="C21" s="120">
        <v>472</v>
      </c>
      <c r="D21" s="120">
        <v>452</v>
      </c>
      <c r="E21" s="120">
        <v>458</v>
      </c>
      <c r="F21" s="120">
        <v>184</v>
      </c>
      <c r="G21" s="120">
        <v>85</v>
      </c>
      <c r="H21" s="120">
        <v>76</v>
      </c>
      <c r="I21" s="120" t="s">
        <v>151</v>
      </c>
      <c r="J21" s="120">
        <v>2558</v>
      </c>
      <c r="L21" s="14"/>
      <c r="M21" s="14"/>
      <c r="N21" s="14"/>
      <c r="O21" s="14"/>
      <c r="P21" s="14"/>
      <c r="Q21" s="14"/>
      <c r="R21" s="14"/>
      <c r="S21" s="14"/>
      <c r="T21" s="14"/>
    </row>
    <row r="22" spans="1:20" x14ac:dyDescent="0.25">
      <c r="A22" s="4" t="s">
        <v>21</v>
      </c>
      <c r="B22" s="120">
        <v>79</v>
      </c>
      <c r="C22" s="120" t="s">
        <v>146</v>
      </c>
      <c r="D22" s="120">
        <v>6</v>
      </c>
      <c r="E22" s="120" t="s">
        <v>146</v>
      </c>
      <c r="F22" s="120">
        <v>3</v>
      </c>
      <c r="G22" s="120">
        <v>3</v>
      </c>
      <c r="H22" s="120" t="s">
        <v>146</v>
      </c>
      <c r="I22" s="120" t="s">
        <v>151</v>
      </c>
      <c r="J22" s="120">
        <v>91</v>
      </c>
      <c r="L22" s="14"/>
      <c r="M22" s="14"/>
      <c r="N22" s="14"/>
      <c r="O22" s="14"/>
      <c r="P22" s="14"/>
      <c r="Q22" s="14"/>
      <c r="R22" s="14"/>
      <c r="S22" s="14"/>
      <c r="T22" s="14"/>
    </row>
    <row r="23" spans="1:20" s="72" customFormat="1" x14ac:dyDescent="0.25">
      <c r="A23" s="67" t="s">
        <v>12</v>
      </c>
      <c r="B23" s="121">
        <v>1809</v>
      </c>
      <c r="C23" s="121">
        <v>589</v>
      </c>
      <c r="D23" s="121">
        <v>1265</v>
      </c>
      <c r="E23" s="121">
        <v>1195</v>
      </c>
      <c r="F23" s="121">
        <v>424</v>
      </c>
      <c r="G23" s="121">
        <v>129</v>
      </c>
      <c r="H23" s="121">
        <v>110</v>
      </c>
      <c r="I23" s="121" t="s">
        <v>151</v>
      </c>
      <c r="J23" s="121">
        <v>5521</v>
      </c>
      <c r="L23" s="14"/>
      <c r="M23" s="14"/>
      <c r="N23" s="14"/>
      <c r="O23" s="14"/>
      <c r="P23" s="14"/>
      <c r="Q23" s="14"/>
      <c r="R23" s="14"/>
      <c r="S23" s="14"/>
      <c r="T23" s="14"/>
    </row>
    <row r="24" spans="1:20" ht="3" customHeight="1" x14ac:dyDescent="0.25">
      <c r="A24" s="43"/>
      <c r="B24" s="43"/>
      <c r="C24" s="43"/>
      <c r="D24" s="43"/>
      <c r="E24" s="43"/>
      <c r="F24" s="43"/>
      <c r="G24" s="43"/>
      <c r="H24" s="43"/>
      <c r="I24" s="43"/>
      <c r="J24" s="43"/>
    </row>
    <row r="25" spans="1:20" x14ac:dyDescent="0.25">
      <c r="A25" s="7" t="s">
        <v>23</v>
      </c>
      <c r="B25" s="7"/>
      <c r="C25" s="7"/>
      <c r="D25" s="7"/>
      <c r="E25" s="7"/>
      <c r="F25" s="7"/>
      <c r="G25" s="7"/>
      <c r="H25" s="7"/>
      <c r="I25" s="7"/>
      <c r="J25" s="7"/>
      <c r="K25" s="7"/>
      <c r="L25" s="7"/>
    </row>
    <row r="26" spans="1:20" s="7" customFormat="1" ht="9" x14ac:dyDescent="0.15">
      <c r="A26" s="7" t="s">
        <v>95</v>
      </c>
    </row>
    <row r="27" spans="1:20" s="7" customFormat="1" ht="9" x14ac:dyDescent="0.15">
      <c r="A27" s="7" t="s">
        <v>223</v>
      </c>
    </row>
    <row r="28" spans="1:20" s="7" customFormat="1" ht="9" x14ac:dyDescent="0.15">
      <c r="A28" s="7" t="s">
        <v>96</v>
      </c>
    </row>
    <row r="29" spans="1:20" s="7" customFormat="1" ht="9" x14ac:dyDescent="0.15">
      <c r="A29" s="7" t="s">
        <v>416</v>
      </c>
    </row>
    <row r="30" spans="1:20" s="7" customFormat="1" ht="9" x14ac:dyDescent="0.15"/>
    <row r="31" spans="1:20" s="7" customFormat="1" ht="9" x14ac:dyDescent="0.15">
      <c r="A31" s="7" t="s">
        <v>347</v>
      </c>
    </row>
    <row r="32" spans="1:20" x14ac:dyDescent="0.25">
      <c r="A32" s="2"/>
    </row>
    <row r="59" spans="15:23" x14ac:dyDescent="0.25">
      <c r="O59" s="128"/>
      <c r="R59" s="128"/>
      <c r="W59" s="128"/>
    </row>
    <row r="60" spans="15:23" x14ac:dyDescent="0.25">
      <c r="O60" s="128"/>
      <c r="W60" s="128"/>
    </row>
    <row r="62" spans="15:23" x14ac:dyDescent="0.25">
      <c r="O62" s="128"/>
      <c r="Q62" s="128"/>
      <c r="R62" s="128"/>
      <c r="W62" s="128"/>
    </row>
    <row r="80" spans="22:22" x14ac:dyDescent="0.25">
      <c r="V80" s="128"/>
    </row>
    <row r="81" spans="14:22" x14ac:dyDescent="0.25">
      <c r="V81" s="128"/>
    </row>
    <row r="83" spans="14:22" x14ac:dyDescent="0.25">
      <c r="N83" s="128"/>
      <c r="P83" s="128"/>
      <c r="Q83" s="128"/>
      <c r="V83" s="128"/>
    </row>
  </sheetData>
  <mergeCells count="8">
    <mergeCell ref="A1:J1"/>
    <mergeCell ref="L9:T9"/>
    <mergeCell ref="L14:T14"/>
    <mergeCell ref="L19:T19"/>
    <mergeCell ref="B4:J4"/>
    <mergeCell ref="B9:J9"/>
    <mergeCell ref="B14:J14"/>
    <mergeCell ref="B19:J19"/>
  </mergeCells>
  <pageMargins left="0.08" right="0.08" top="1" bottom="1" header="0.5" footer="0.5"/>
  <pageSetup orientation="landscape" blackAndWhite="1"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3070-AE9D-42F7-B15D-189435BDD01D}">
  <sheetPr>
    <pageSetUpPr fitToPage="1"/>
  </sheetPr>
  <dimension ref="A1:Z106"/>
  <sheetViews>
    <sheetView zoomScaleNormal="100" workbookViewId="0">
      <selection sqref="A1:M1"/>
    </sheetView>
  </sheetViews>
  <sheetFormatPr defaultColWidth="9.140625" defaultRowHeight="15" x14ac:dyDescent="0.25"/>
  <cols>
    <col min="1" max="1" width="11.42578125" style="1" bestFit="1" customWidth="1"/>
    <col min="2" max="2" width="18.7109375" style="1" customWidth="1"/>
    <col min="3" max="11" width="11.42578125" style="1" bestFit="1" customWidth="1"/>
    <col min="12" max="12" width="11.42578125" style="1" customWidth="1"/>
    <col min="13" max="13" width="11.42578125" style="1" bestFit="1" customWidth="1"/>
    <col min="14" max="16384" width="9.140625" style="1"/>
  </cols>
  <sheetData>
    <row r="1" spans="1:26" ht="21.75" customHeight="1" x14ac:dyDescent="0.25">
      <c r="A1" s="192" t="s">
        <v>331</v>
      </c>
      <c r="B1" s="192"/>
      <c r="C1" s="192"/>
      <c r="D1" s="192"/>
      <c r="E1" s="192"/>
      <c r="F1" s="192"/>
      <c r="G1" s="192"/>
      <c r="H1" s="192"/>
      <c r="I1" s="192"/>
      <c r="J1" s="192"/>
      <c r="K1" s="192"/>
      <c r="L1" s="192"/>
      <c r="M1" s="192"/>
    </row>
    <row r="2" spans="1:26" ht="1.5" customHeight="1" x14ac:dyDescent="0.25">
      <c r="A2" s="2"/>
    </row>
    <row r="3" spans="1:26" ht="23.25" x14ac:dyDescent="0.25">
      <c r="A3" s="33" t="s">
        <v>160</v>
      </c>
      <c r="B3" s="33" t="s">
        <v>158</v>
      </c>
      <c r="C3" s="33" t="s">
        <v>157</v>
      </c>
      <c r="D3" s="3" t="s">
        <v>1</v>
      </c>
      <c r="E3" s="3" t="s">
        <v>2</v>
      </c>
      <c r="F3" s="3" t="s">
        <v>3</v>
      </c>
      <c r="G3" s="3" t="s">
        <v>4</v>
      </c>
      <c r="H3" s="3" t="s">
        <v>5</v>
      </c>
      <c r="I3" s="3" t="s">
        <v>6</v>
      </c>
      <c r="J3" s="3" t="s">
        <v>7</v>
      </c>
      <c r="K3" s="3" t="s">
        <v>8</v>
      </c>
      <c r="L3" s="3" t="s">
        <v>220</v>
      </c>
      <c r="M3" s="3" t="s">
        <v>9</v>
      </c>
    </row>
    <row r="4" spans="1:26" x14ac:dyDescent="0.25">
      <c r="A4" s="194" t="s">
        <v>216</v>
      </c>
      <c r="B4" s="218" t="s">
        <v>19</v>
      </c>
      <c r="C4" s="4" t="s">
        <v>18</v>
      </c>
      <c r="D4" s="5">
        <v>181.1</v>
      </c>
      <c r="E4" s="5">
        <v>212</v>
      </c>
      <c r="F4" s="5">
        <v>232.8</v>
      </c>
      <c r="G4" s="5">
        <v>169.8</v>
      </c>
      <c r="H4" s="5">
        <v>160.69999999999999</v>
      </c>
      <c r="I4" s="5">
        <v>190.8</v>
      </c>
      <c r="J4" s="5">
        <v>164.7</v>
      </c>
      <c r="K4" s="5">
        <v>178.9</v>
      </c>
      <c r="L4" s="5">
        <v>199.5</v>
      </c>
      <c r="M4" s="5">
        <v>197.6</v>
      </c>
      <c r="O4" s="5"/>
      <c r="P4" s="5"/>
      <c r="Q4" s="5"/>
      <c r="R4" s="5"/>
      <c r="S4" s="5"/>
      <c r="T4" s="5"/>
      <c r="U4" s="5"/>
      <c r="V4" s="5"/>
      <c r="W4" s="5"/>
      <c r="X4" s="5"/>
      <c r="Z4" s="129"/>
    </row>
    <row r="5" spans="1:26" x14ac:dyDescent="0.25">
      <c r="A5" s="194"/>
      <c r="B5" s="194"/>
      <c r="C5" s="4" t="s">
        <v>22</v>
      </c>
      <c r="D5" s="5">
        <v>154.4</v>
      </c>
      <c r="E5" s="5">
        <v>167.1</v>
      </c>
      <c r="F5" s="5">
        <v>212.3</v>
      </c>
      <c r="G5" s="5">
        <v>132.9</v>
      </c>
      <c r="H5" s="5">
        <v>163.30000000000001</v>
      </c>
      <c r="I5" s="5">
        <v>177.3</v>
      </c>
      <c r="J5" s="5">
        <v>88.3</v>
      </c>
      <c r="K5" s="5">
        <v>163.30000000000001</v>
      </c>
      <c r="L5" s="5">
        <v>177.1</v>
      </c>
      <c r="M5" s="5">
        <v>176.5</v>
      </c>
      <c r="O5" s="5"/>
      <c r="P5" s="5"/>
      <c r="Q5" s="5"/>
      <c r="R5" s="5"/>
      <c r="S5" s="5"/>
      <c r="T5" s="5"/>
      <c r="U5" s="5"/>
      <c r="V5" s="5"/>
      <c r="W5" s="5"/>
      <c r="X5" s="5"/>
    </row>
    <row r="6" spans="1:26" x14ac:dyDescent="0.25">
      <c r="A6" s="194"/>
      <c r="B6" s="194"/>
      <c r="C6" s="100" t="s">
        <v>12</v>
      </c>
      <c r="D6" s="101">
        <v>175.1</v>
      </c>
      <c r="E6" s="101">
        <v>203.6</v>
      </c>
      <c r="F6" s="101">
        <v>227.4</v>
      </c>
      <c r="G6" s="101">
        <v>162.19999999999999</v>
      </c>
      <c r="H6" s="101">
        <v>161.4</v>
      </c>
      <c r="I6" s="101">
        <v>188</v>
      </c>
      <c r="J6" s="101">
        <v>140.80000000000001</v>
      </c>
      <c r="K6" s="101">
        <v>177.1</v>
      </c>
      <c r="L6" s="101">
        <v>194.2</v>
      </c>
      <c r="M6" s="101">
        <v>192.8</v>
      </c>
      <c r="O6" s="101"/>
      <c r="P6" s="101"/>
      <c r="Q6" s="101"/>
      <c r="R6" s="101"/>
      <c r="S6" s="101"/>
      <c r="T6" s="101"/>
      <c r="U6" s="101"/>
      <c r="V6" s="101"/>
      <c r="W6" s="101"/>
      <c r="X6" s="101"/>
    </row>
    <row r="7" spans="1:26" x14ac:dyDescent="0.25">
      <c r="A7" s="194"/>
      <c r="B7" s="194" t="s">
        <v>20</v>
      </c>
      <c r="C7" s="4" t="s">
        <v>18</v>
      </c>
      <c r="D7" s="5">
        <v>165</v>
      </c>
      <c r="E7" s="5">
        <v>203.4</v>
      </c>
      <c r="F7" s="5">
        <v>206.2</v>
      </c>
      <c r="G7" s="5">
        <v>158</v>
      </c>
      <c r="H7" s="5">
        <v>152</v>
      </c>
      <c r="I7" s="5">
        <v>199</v>
      </c>
      <c r="J7" s="5">
        <v>221</v>
      </c>
      <c r="K7" s="5">
        <v>173.7</v>
      </c>
      <c r="L7" s="5">
        <v>185.1</v>
      </c>
      <c r="M7" s="5">
        <v>185</v>
      </c>
      <c r="O7" s="5"/>
      <c r="P7" s="5"/>
      <c r="Q7" s="5"/>
      <c r="R7" s="5"/>
      <c r="S7" s="5"/>
      <c r="T7" s="5"/>
      <c r="U7" s="5"/>
      <c r="V7" s="5"/>
      <c r="W7" s="5"/>
      <c r="X7" s="5"/>
    </row>
    <row r="8" spans="1:26" x14ac:dyDescent="0.25">
      <c r="A8" s="194"/>
      <c r="B8" s="194"/>
      <c r="C8" s="4" t="s">
        <v>22</v>
      </c>
      <c r="D8" s="5">
        <v>144.1</v>
      </c>
      <c r="E8" s="5">
        <v>184.9</v>
      </c>
      <c r="F8" s="5">
        <v>188.7</v>
      </c>
      <c r="G8" s="5">
        <v>103.4</v>
      </c>
      <c r="H8" s="5">
        <v>121.7</v>
      </c>
      <c r="I8" s="5">
        <v>182.7</v>
      </c>
      <c r="J8" s="5">
        <v>165.5</v>
      </c>
      <c r="K8" s="5">
        <v>177</v>
      </c>
      <c r="L8" s="5">
        <v>160.6</v>
      </c>
      <c r="M8" s="5">
        <v>160.6</v>
      </c>
      <c r="O8" s="5"/>
      <c r="P8" s="5"/>
      <c r="Q8" s="5"/>
      <c r="R8" s="5"/>
      <c r="S8" s="5"/>
      <c r="T8" s="5"/>
      <c r="U8" s="5"/>
      <c r="V8" s="5"/>
      <c r="W8" s="5"/>
      <c r="X8" s="5"/>
    </row>
    <row r="9" spans="1:26" x14ac:dyDescent="0.25">
      <c r="A9" s="194"/>
      <c r="B9" s="194"/>
      <c r="C9" s="100" t="s">
        <v>12</v>
      </c>
      <c r="D9" s="101">
        <v>161</v>
      </c>
      <c r="E9" s="101">
        <v>200.4</v>
      </c>
      <c r="F9" s="101">
        <v>202.6</v>
      </c>
      <c r="G9" s="101">
        <v>147</v>
      </c>
      <c r="H9" s="101">
        <v>147</v>
      </c>
      <c r="I9" s="101">
        <v>194.5</v>
      </c>
      <c r="J9" s="101">
        <v>204</v>
      </c>
      <c r="K9" s="101">
        <v>174.3</v>
      </c>
      <c r="L9" s="101">
        <v>180.4</v>
      </c>
      <c r="M9" s="101">
        <v>180.4</v>
      </c>
      <c r="O9" s="101"/>
      <c r="P9" s="101"/>
      <c r="Q9" s="101"/>
      <c r="R9" s="101"/>
      <c r="S9" s="101"/>
      <c r="T9" s="101"/>
      <c r="U9" s="101"/>
      <c r="V9" s="101"/>
      <c r="W9" s="101"/>
      <c r="X9" s="101"/>
    </row>
    <row r="10" spans="1:26" x14ac:dyDescent="0.25">
      <c r="A10" s="194"/>
      <c r="B10" s="194" t="s">
        <v>12</v>
      </c>
      <c r="C10" s="4" t="s">
        <v>18</v>
      </c>
      <c r="D10" s="5">
        <v>168.7</v>
      </c>
      <c r="E10" s="5">
        <v>204.6</v>
      </c>
      <c r="F10" s="5">
        <v>220.2</v>
      </c>
      <c r="G10" s="5">
        <v>164.7</v>
      </c>
      <c r="H10" s="5">
        <v>155.5</v>
      </c>
      <c r="I10" s="5">
        <v>194.1</v>
      </c>
      <c r="J10" s="5">
        <v>203.1</v>
      </c>
      <c r="K10" s="5">
        <v>179.4</v>
      </c>
      <c r="L10" s="5">
        <v>189.8</v>
      </c>
      <c r="M10" s="5">
        <v>189.3</v>
      </c>
      <c r="O10" s="5"/>
      <c r="P10" s="5"/>
      <c r="Q10" s="5"/>
      <c r="R10" s="5"/>
      <c r="S10" s="5"/>
      <c r="T10" s="5"/>
      <c r="U10" s="5"/>
      <c r="V10" s="5"/>
      <c r="W10" s="5"/>
      <c r="X10" s="5"/>
    </row>
    <row r="11" spans="1:26" x14ac:dyDescent="0.25">
      <c r="A11" s="194"/>
      <c r="B11" s="194"/>
      <c r="C11" s="4" t="s">
        <v>22</v>
      </c>
      <c r="D11" s="5">
        <v>146.19999999999999</v>
      </c>
      <c r="E11" s="5">
        <v>181.4</v>
      </c>
      <c r="F11" s="5">
        <v>203.4</v>
      </c>
      <c r="G11" s="5">
        <v>120.6</v>
      </c>
      <c r="H11" s="5">
        <v>141.9</v>
      </c>
      <c r="I11" s="5">
        <v>173.1</v>
      </c>
      <c r="J11" s="5">
        <v>146.69999999999999</v>
      </c>
      <c r="K11" s="5">
        <v>161.1</v>
      </c>
      <c r="L11" s="5">
        <v>167.1</v>
      </c>
      <c r="M11" s="5">
        <v>167</v>
      </c>
      <c r="O11" s="5"/>
      <c r="P11" s="5"/>
      <c r="Q11" s="5"/>
      <c r="R11" s="5"/>
      <c r="S11" s="5"/>
      <c r="T11" s="5"/>
      <c r="U11" s="5"/>
      <c r="V11" s="5"/>
      <c r="W11" s="5"/>
      <c r="X11" s="5"/>
    </row>
    <row r="12" spans="1:26" x14ac:dyDescent="0.25">
      <c r="A12" s="194"/>
      <c r="B12" s="194"/>
      <c r="C12" s="100" t="s">
        <v>12</v>
      </c>
      <c r="D12" s="101">
        <v>164.1</v>
      </c>
      <c r="E12" s="101">
        <v>200.7</v>
      </c>
      <c r="F12" s="101">
        <v>216.3</v>
      </c>
      <c r="G12" s="101">
        <v>155.69999999999999</v>
      </c>
      <c r="H12" s="101">
        <v>152.69999999999999</v>
      </c>
      <c r="I12" s="101">
        <v>188.9</v>
      </c>
      <c r="J12" s="101">
        <v>186</v>
      </c>
      <c r="K12" s="101">
        <v>177.3</v>
      </c>
      <c r="L12" s="101">
        <v>185</v>
      </c>
      <c r="M12" s="101">
        <v>184.7</v>
      </c>
      <c r="O12" s="101"/>
      <c r="P12" s="101"/>
      <c r="Q12" s="101"/>
      <c r="R12" s="101"/>
      <c r="S12" s="101"/>
      <c r="T12" s="101"/>
      <c r="U12" s="101"/>
      <c r="V12" s="101"/>
      <c r="W12" s="101"/>
      <c r="X12" s="101"/>
    </row>
    <row r="13" spans="1:26" x14ac:dyDescent="0.25">
      <c r="A13" s="194" t="s">
        <v>217</v>
      </c>
      <c r="B13" s="194" t="s">
        <v>19</v>
      </c>
      <c r="C13" s="4" t="s">
        <v>18</v>
      </c>
      <c r="D13" s="5">
        <v>172.3</v>
      </c>
      <c r="E13" s="5">
        <v>209</v>
      </c>
      <c r="F13" s="5">
        <v>237.9</v>
      </c>
      <c r="G13" s="5">
        <v>168.9</v>
      </c>
      <c r="H13" s="5">
        <v>171</v>
      </c>
      <c r="I13" s="5">
        <v>214.1</v>
      </c>
      <c r="J13" s="5">
        <v>177.5</v>
      </c>
      <c r="K13" s="5">
        <v>203.1</v>
      </c>
      <c r="L13" s="5">
        <v>198.9</v>
      </c>
      <c r="M13" s="5">
        <v>199.3</v>
      </c>
      <c r="O13" s="5"/>
      <c r="P13" s="5"/>
      <c r="Q13" s="5"/>
      <c r="R13" s="5"/>
      <c r="S13" s="5"/>
      <c r="T13" s="5"/>
      <c r="U13" s="5"/>
      <c r="V13" s="5"/>
      <c r="W13" s="5"/>
      <c r="X13" s="5"/>
    </row>
    <row r="14" spans="1:26" x14ac:dyDescent="0.25">
      <c r="A14" s="194"/>
      <c r="B14" s="194"/>
      <c r="C14" s="4" t="s">
        <v>22</v>
      </c>
      <c r="D14" s="5">
        <v>144</v>
      </c>
      <c r="E14" s="5">
        <v>176.5</v>
      </c>
      <c r="F14" s="5">
        <v>217.7</v>
      </c>
      <c r="G14" s="5">
        <v>122.2</v>
      </c>
      <c r="H14" s="5">
        <v>143.4</v>
      </c>
      <c r="I14" s="5">
        <v>210.5</v>
      </c>
      <c r="J14" s="5">
        <v>132.9</v>
      </c>
      <c r="K14" s="5">
        <v>156.19999999999999</v>
      </c>
      <c r="L14" s="5">
        <v>173.5</v>
      </c>
      <c r="M14" s="5">
        <v>172.4</v>
      </c>
      <c r="O14" s="5"/>
      <c r="P14" s="5"/>
      <c r="Q14" s="5"/>
      <c r="R14" s="5"/>
      <c r="S14" s="5"/>
      <c r="T14" s="5"/>
      <c r="U14" s="5"/>
      <c r="V14" s="5"/>
      <c r="W14" s="5"/>
      <c r="X14" s="5"/>
    </row>
    <row r="15" spans="1:26" x14ac:dyDescent="0.25">
      <c r="A15" s="194"/>
      <c r="B15" s="194"/>
      <c r="C15" s="100" t="s">
        <v>12</v>
      </c>
      <c r="D15" s="101">
        <v>166.1</v>
      </c>
      <c r="E15" s="101">
        <v>203.1</v>
      </c>
      <c r="F15" s="101">
        <v>232.5</v>
      </c>
      <c r="G15" s="101">
        <v>157.69999999999999</v>
      </c>
      <c r="H15" s="101">
        <v>163.80000000000001</v>
      </c>
      <c r="I15" s="101">
        <v>213.4</v>
      </c>
      <c r="J15" s="101">
        <v>164.7</v>
      </c>
      <c r="K15" s="101">
        <v>195.4</v>
      </c>
      <c r="L15" s="101">
        <v>192.8</v>
      </c>
      <c r="M15" s="101">
        <v>193</v>
      </c>
      <c r="O15" s="101"/>
      <c r="P15" s="101"/>
      <c r="Q15" s="101"/>
      <c r="R15" s="101"/>
      <c r="S15" s="101"/>
      <c r="T15" s="101"/>
      <c r="U15" s="101"/>
      <c r="V15" s="101"/>
      <c r="W15" s="101"/>
      <c r="X15" s="101"/>
    </row>
    <row r="16" spans="1:26" x14ac:dyDescent="0.25">
      <c r="A16" s="194"/>
      <c r="B16" s="194" t="s">
        <v>20</v>
      </c>
      <c r="C16" s="4" t="s">
        <v>18</v>
      </c>
      <c r="D16" s="5">
        <v>168.3</v>
      </c>
      <c r="E16" s="5">
        <v>199.3</v>
      </c>
      <c r="F16" s="5">
        <v>225.6</v>
      </c>
      <c r="G16" s="5">
        <v>136.80000000000001</v>
      </c>
      <c r="H16" s="5">
        <v>166.2</v>
      </c>
      <c r="I16" s="5">
        <v>165.1</v>
      </c>
      <c r="J16" s="5">
        <v>196.9</v>
      </c>
      <c r="K16" s="5">
        <v>228.8</v>
      </c>
      <c r="L16" s="5">
        <v>185.8</v>
      </c>
      <c r="M16" s="5">
        <v>186</v>
      </c>
      <c r="O16" s="5"/>
      <c r="P16" s="5"/>
      <c r="Q16" s="5"/>
      <c r="R16" s="5"/>
      <c r="S16" s="5"/>
      <c r="T16" s="5"/>
      <c r="U16" s="5"/>
      <c r="V16" s="5"/>
      <c r="W16" s="5"/>
      <c r="X16" s="5"/>
    </row>
    <row r="17" spans="1:24" x14ac:dyDescent="0.25">
      <c r="A17" s="194"/>
      <c r="B17" s="194"/>
      <c r="C17" s="4" t="s">
        <v>22</v>
      </c>
      <c r="D17" s="5">
        <v>164.6</v>
      </c>
      <c r="E17" s="5">
        <v>180.8</v>
      </c>
      <c r="F17" s="5">
        <v>200.1</v>
      </c>
      <c r="G17" s="5">
        <v>134.9</v>
      </c>
      <c r="H17" s="5">
        <v>145.9</v>
      </c>
      <c r="I17" s="5">
        <v>207.8</v>
      </c>
      <c r="J17" s="5">
        <v>171.5</v>
      </c>
      <c r="K17" s="5">
        <v>133.30000000000001</v>
      </c>
      <c r="L17" s="5">
        <v>174.4</v>
      </c>
      <c r="M17" s="5">
        <v>174.2</v>
      </c>
      <c r="O17" s="5"/>
      <c r="P17" s="5"/>
      <c r="Q17" s="5"/>
      <c r="R17" s="5"/>
      <c r="S17" s="5"/>
      <c r="T17" s="5"/>
      <c r="U17" s="5"/>
      <c r="V17" s="5"/>
      <c r="W17" s="5"/>
      <c r="X17" s="5"/>
    </row>
    <row r="18" spans="1:24" x14ac:dyDescent="0.25">
      <c r="A18" s="194"/>
      <c r="B18" s="194"/>
      <c r="C18" s="100" t="s">
        <v>12</v>
      </c>
      <c r="D18" s="101">
        <v>167.6</v>
      </c>
      <c r="E18" s="101">
        <v>196.5</v>
      </c>
      <c r="F18" s="101">
        <v>220.5</v>
      </c>
      <c r="G18" s="101">
        <v>136.4</v>
      </c>
      <c r="H18" s="101">
        <v>162.5</v>
      </c>
      <c r="I18" s="101">
        <v>176.4</v>
      </c>
      <c r="J18" s="101">
        <v>188.6</v>
      </c>
      <c r="K18" s="101">
        <v>216.3</v>
      </c>
      <c r="L18" s="101">
        <v>183.7</v>
      </c>
      <c r="M18" s="101">
        <v>183.9</v>
      </c>
      <c r="O18" s="101"/>
      <c r="P18" s="101"/>
      <c r="Q18" s="101"/>
      <c r="R18" s="101"/>
      <c r="S18" s="101"/>
      <c r="T18" s="101"/>
      <c r="U18" s="101"/>
      <c r="V18" s="101"/>
      <c r="W18" s="101"/>
      <c r="X18" s="101"/>
    </row>
    <row r="19" spans="1:24" x14ac:dyDescent="0.25">
      <c r="A19" s="194"/>
      <c r="B19" s="194" t="s">
        <v>12</v>
      </c>
      <c r="C19" s="4" t="s">
        <v>18</v>
      </c>
      <c r="D19" s="5">
        <v>168</v>
      </c>
      <c r="E19" s="5">
        <v>200.6</v>
      </c>
      <c r="F19" s="5">
        <v>232.1</v>
      </c>
      <c r="G19" s="5">
        <v>155.30000000000001</v>
      </c>
      <c r="H19" s="5">
        <v>167.7</v>
      </c>
      <c r="I19" s="5">
        <v>179</v>
      </c>
      <c r="J19" s="5">
        <v>190.3</v>
      </c>
      <c r="K19" s="5">
        <v>205.2</v>
      </c>
      <c r="L19" s="5">
        <v>190.6</v>
      </c>
      <c r="M19" s="5">
        <v>191.4</v>
      </c>
      <c r="O19" s="5"/>
      <c r="P19" s="5"/>
      <c r="Q19" s="5"/>
      <c r="R19" s="5"/>
      <c r="S19" s="5"/>
      <c r="T19" s="5"/>
      <c r="U19" s="5"/>
      <c r="V19" s="5"/>
      <c r="W19" s="5"/>
      <c r="X19" s="5"/>
    </row>
    <row r="20" spans="1:24" x14ac:dyDescent="0.25">
      <c r="A20" s="194"/>
      <c r="B20" s="194"/>
      <c r="C20" s="4" t="s">
        <v>22</v>
      </c>
      <c r="D20" s="5">
        <v>152.4</v>
      </c>
      <c r="E20" s="5">
        <v>180.1</v>
      </c>
      <c r="F20" s="5">
        <v>212.1</v>
      </c>
      <c r="G20" s="5">
        <v>126.5</v>
      </c>
      <c r="H20" s="5">
        <v>145.4</v>
      </c>
      <c r="I20" s="5">
        <v>204.5</v>
      </c>
      <c r="J20" s="5">
        <v>164</v>
      </c>
      <c r="K20" s="5">
        <v>158.1</v>
      </c>
      <c r="L20" s="5">
        <v>173.3</v>
      </c>
      <c r="M20" s="5">
        <v>172.7</v>
      </c>
      <c r="O20" s="5"/>
      <c r="P20" s="5"/>
      <c r="Q20" s="5"/>
      <c r="R20" s="5"/>
      <c r="S20" s="5"/>
      <c r="T20" s="5"/>
      <c r="U20" s="5"/>
      <c r="V20" s="5"/>
      <c r="W20" s="5"/>
      <c r="X20" s="5"/>
    </row>
    <row r="21" spans="1:24" x14ac:dyDescent="0.25">
      <c r="A21" s="194"/>
      <c r="B21" s="194"/>
      <c r="C21" s="100" t="s">
        <v>12</v>
      </c>
      <c r="D21" s="101">
        <v>164.9</v>
      </c>
      <c r="E21" s="101">
        <v>197.4</v>
      </c>
      <c r="F21" s="101">
        <v>227.3</v>
      </c>
      <c r="G21" s="101">
        <v>149.1</v>
      </c>
      <c r="H21" s="101">
        <v>162.9</v>
      </c>
      <c r="I21" s="101">
        <v>185.3</v>
      </c>
      <c r="J21" s="101">
        <v>182</v>
      </c>
      <c r="K21" s="101">
        <v>197.7</v>
      </c>
      <c r="L21" s="101">
        <v>187</v>
      </c>
      <c r="M21" s="101">
        <v>187.5</v>
      </c>
      <c r="O21" s="101"/>
      <c r="P21" s="101"/>
      <c r="Q21" s="101"/>
      <c r="R21" s="101"/>
      <c r="S21" s="101"/>
      <c r="T21" s="101"/>
      <c r="U21" s="101"/>
      <c r="V21" s="101"/>
      <c r="W21" s="101"/>
      <c r="X21" s="101"/>
    </row>
    <row r="22" spans="1:24" x14ac:dyDescent="0.25">
      <c r="A22" s="194" t="s">
        <v>218</v>
      </c>
      <c r="B22" s="194" t="s">
        <v>19</v>
      </c>
      <c r="C22" s="4" t="s">
        <v>18</v>
      </c>
      <c r="D22" s="5">
        <v>167.2</v>
      </c>
      <c r="E22" s="5">
        <v>200.8</v>
      </c>
      <c r="F22" s="5">
        <v>239.3</v>
      </c>
      <c r="G22" s="5">
        <v>171.8</v>
      </c>
      <c r="H22" s="5">
        <v>163.19999999999999</v>
      </c>
      <c r="I22" s="5">
        <v>184.5</v>
      </c>
      <c r="J22" s="5">
        <v>141.80000000000001</v>
      </c>
      <c r="K22" s="5">
        <v>230.6</v>
      </c>
      <c r="L22" s="5">
        <v>195.4</v>
      </c>
      <c r="M22" s="5">
        <v>199.6</v>
      </c>
      <c r="O22" s="5"/>
      <c r="P22" s="5"/>
      <c r="Q22" s="5"/>
      <c r="R22" s="5"/>
      <c r="S22" s="5"/>
      <c r="T22" s="5"/>
      <c r="U22" s="5"/>
      <c r="V22" s="5"/>
      <c r="W22" s="5"/>
      <c r="X22" s="5"/>
    </row>
    <row r="23" spans="1:24" x14ac:dyDescent="0.25">
      <c r="A23" s="194"/>
      <c r="B23" s="194"/>
      <c r="C23" s="4" t="s">
        <v>22</v>
      </c>
      <c r="D23" s="5">
        <v>127</v>
      </c>
      <c r="E23" s="5">
        <v>150.6</v>
      </c>
      <c r="F23" s="5">
        <v>206.5</v>
      </c>
      <c r="G23" s="5">
        <v>140.1</v>
      </c>
      <c r="H23" s="5">
        <v>135.6</v>
      </c>
      <c r="I23" s="5">
        <v>171.4</v>
      </c>
      <c r="J23" s="5">
        <v>98.7</v>
      </c>
      <c r="K23" s="5">
        <v>217.9</v>
      </c>
      <c r="L23" s="5">
        <v>164.3</v>
      </c>
      <c r="M23" s="5">
        <v>168.2</v>
      </c>
      <c r="O23" s="5"/>
      <c r="P23" s="5"/>
      <c r="Q23" s="5"/>
      <c r="R23" s="5"/>
      <c r="S23" s="5"/>
      <c r="T23" s="5"/>
      <c r="U23" s="5"/>
      <c r="V23" s="5"/>
      <c r="W23" s="5"/>
      <c r="X23" s="5"/>
    </row>
    <row r="24" spans="1:24" x14ac:dyDescent="0.25">
      <c r="A24" s="194"/>
      <c r="B24" s="194"/>
      <c r="C24" s="100" t="s">
        <v>12</v>
      </c>
      <c r="D24" s="101">
        <v>158.80000000000001</v>
      </c>
      <c r="E24" s="101">
        <v>192.8</v>
      </c>
      <c r="F24" s="101">
        <v>230.3</v>
      </c>
      <c r="G24" s="101">
        <v>164.2</v>
      </c>
      <c r="H24" s="101">
        <v>154</v>
      </c>
      <c r="I24" s="101">
        <v>181.3</v>
      </c>
      <c r="J24" s="101">
        <v>132.1</v>
      </c>
      <c r="K24" s="101">
        <v>228.6</v>
      </c>
      <c r="L24" s="101">
        <v>187.8</v>
      </c>
      <c r="M24" s="101">
        <v>192.2</v>
      </c>
      <c r="O24" s="101"/>
      <c r="P24" s="101"/>
      <c r="Q24" s="101"/>
      <c r="R24" s="101"/>
      <c r="S24" s="101"/>
      <c r="T24" s="101"/>
      <c r="U24" s="101"/>
      <c r="V24" s="101"/>
      <c r="W24" s="101"/>
      <c r="X24" s="101"/>
    </row>
    <row r="25" spans="1:24" x14ac:dyDescent="0.25">
      <c r="A25" s="194"/>
      <c r="B25" s="194" t="s">
        <v>20</v>
      </c>
      <c r="C25" s="4" t="s">
        <v>18</v>
      </c>
      <c r="D25" s="5">
        <v>148.19999999999999</v>
      </c>
      <c r="E25" s="5">
        <v>191</v>
      </c>
      <c r="F25" s="5">
        <v>224.4</v>
      </c>
      <c r="G25" s="5">
        <v>132.5</v>
      </c>
      <c r="H25" s="5">
        <v>161.9</v>
      </c>
      <c r="I25" s="5">
        <v>205.3</v>
      </c>
      <c r="J25" s="5">
        <v>188.9</v>
      </c>
      <c r="K25" s="5">
        <v>287.89999999999998</v>
      </c>
      <c r="L25" s="5">
        <v>177.2</v>
      </c>
      <c r="M25" s="5">
        <v>177.7</v>
      </c>
      <c r="O25" s="5"/>
      <c r="P25" s="5"/>
      <c r="Q25" s="5"/>
      <c r="R25" s="5"/>
      <c r="S25" s="5"/>
      <c r="T25" s="5"/>
      <c r="U25" s="5"/>
      <c r="V25" s="5"/>
      <c r="W25" s="5"/>
      <c r="X25" s="5"/>
    </row>
    <row r="26" spans="1:24" x14ac:dyDescent="0.25">
      <c r="A26" s="194"/>
      <c r="B26" s="194"/>
      <c r="C26" s="4" t="s">
        <v>22</v>
      </c>
      <c r="D26" s="5">
        <v>123.9</v>
      </c>
      <c r="E26" s="5">
        <v>163.6</v>
      </c>
      <c r="F26" s="5">
        <v>213.8</v>
      </c>
      <c r="G26" s="5">
        <v>119.8</v>
      </c>
      <c r="H26" s="5">
        <v>137.30000000000001</v>
      </c>
      <c r="I26" s="5">
        <v>222.7</v>
      </c>
      <c r="J26" s="5">
        <v>160.9</v>
      </c>
      <c r="K26" s="5">
        <v>277</v>
      </c>
      <c r="L26" s="5">
        <v>157.6</v>
      </c>
      <c r="M26" s="5">
        <v>157.80000000000001</v>
      </c>
      <c r="O26" s="5"/>
      <c r="P26" s="5"/>
      <c r="Q26" s="5"/>
      <c r="R26" s="5"/>
      <c r="S26" s="5"/>
      <c r="T26" s="5"/>
      <c r="U26" s="5"/>
      <c r="V26" s="5"/>
      <c r="W26" s="5"/>
      <c r="X26" s="5"/>
    </row>
    <row r="27" spans="1:24" x14ac:dyDescent="0.25">
      <c r="A27" s="194"/>
      <c r="B27" s="194"/>
      <c r="C27" s="100" t="s">
        <v>12</v>
      </c>
      <c r="D27" s="101">
        <v>143.30000000000001</v>
      </c>
      <c r="E27" s="101">
        <v>187.6</v>
      </c>
      <c r="F27" s="101">
        <v>222.3</v>
      </c>
      <c r="G27" s="101">
        <v>129.9</v>
      </c>
      <c r="H27" s="101">
        <v>156.30000000000001</v>
      </c>
      <c r="I27" s="101">
        <v>210.7</v>
      </c>
      <c r="J27" s="101">
        <v>180.1</v>
      </c>
      <c r="K27" s="101">
        <v>287.39999999999998</v>
      </c>
      <c r="L27" s="101">
        <v>173.4</v>
      </c>
      <c r="M27" s="101">
        <v>173.9</v>
      </c>
      <c r="O27" s="101"/>
      <c r="P27" s="101"/>
      <c r="Q27" s="101"/>
      <c r="R27" s="101"/>
      <c r="S27" s="101"/>
      <c r="T27" s="101"/>
      <c r="U27" s="101"/>
      <c r="V27" s="101"/>
      <c r="W27" s="101"/>
      <c r="X27" s="101"/>
    </row>
    <row r="28" spans="1:24" x14ac:dyDescent="0.25">
      <c r="A28" s="194"/>
      <c r="B28" s="194" t="s">
        <v>12</v>
      </c>
      <c r="C28" s="4" t="s">
        <v>18</v>
      </c>
      <c r="D28" s="5">
        <v>156.30000000000001</v>
      </c>
      <c r="E28" s="5">
        <v>192.6</v>
      </c>
      <c r="F28" s="5">
        <v>232.5</v>
      </c>
      <c r="G28" s="5">
        <v>155.30000000000001</v>
      </c>
      <c r="H28" s="5">
        <v>162.30000000000001</v>
      </c>
      <c r="I28" s="5">
        <v>196.7</v>
      </c>
      <c r="J28" s="5">
        <v>170.9</v>
      </c>
      <c r="K28" s="5">
        <v>231.4</v>
      </c>
      <c r="L28" s="5">
        <v>184.9</v>
      </c>
      <c r="M28" s="5">
        <v>187.9</v>
      </c>
      <c r="O28" s="5"/>
      <c r="P28" s="5"/>
      <c r="Q28" s="5"/>
      <c r="R28" s="5"/>
      <c r="S28" s="5"/>
      <c r="T28" s="5"/>
      <c r="U28" s="5"/>
      <c r="V28" s="5"/>
      <c r="W28" s="5"/>
      <c r="X28" s="5"/>
    </row>
    <row r="29" spans="1:24" x14ac:dyDescent="0.25">
      <c r="A29" s="194"/>
      <c r="B29" s="194"/>
      <c r="C29" s="4" t="s">
        <v>22</v>
      </c>
      <c r="D29" s="5">
        <v>124</v>
      </c>
      <c r="E29" s="5">
        <v>161.1</v>
      </c>
      <c r="F29" s="5">
        <v>208.2</v>
      </c>
      <c r="G29" s="5">
        <v>132.6</v>
      </c>
      <c r="H29" s="5">
        <v>136.4</v>
      </c>
      <c r="I29" s="5">
        <v>206.2</v>
      </c>
      <c r="J29" s="5">
        <v>136.5</v>
      </c>
      <c r="K29" s="5">
        <v>216.2</v>
      </c>
      <c r="L29" s="5">
        <v>160</v>
      </c>
      <c r="M29" s="5">
        <v>162.5</v>
      </c>
      <c r="O29" s="5"/>
      <c r="P29" s="5"/>
      <c r="Q29" s="5"/>
      <c r="R29" s="5"/>
      <c r="S29" s="5"/>
      <c r="T29" s="5"/>
      <c r="U29" s="5"/>
      <c r="V29" s="5"/>
      <c r="W29" s="5"/>
      <c r="X29" s="5"/>
    </row>
    <row r="30" spans="1:24" x14ac:dyDescent="0.25">
      <c r="A30" s="194"/>
      <c r="B30" s="194"/>
      <c r="C30" s="100" t="s">
        <v>12</v>
      </c>
      <c r="D30" s="101">
        <v>149.6</v>
      </c>
      <c r="E30" s="101">
        <v>188.5</v>
      </c>
      <c r="F30" s="101">
        <v>226.6</v>
      </c>
      <c r="G30" s="101">
        <v>150.19999999999999</v>
      </c>
      <c r="H30" s="101">
        <v>155.19999999999999</v>
      </c>
      <c r="I30" s="101">
        <v>199.7</v>
      </c>
      <c r="J30" s="101">
        <v>160.69999999999999</v>
      </c>
      <c r="K30" s="101">
        <v>228.5</v>
      </c>
      <c r="L30" s="101">
        <v>179.5</v>
      </c>
      <c r="M30" s="101">
        <v>182.4</v>
      </c>
      <c r="O30" s="101"/>
      <c r="P30" s="101"/>
      <c r="Q30" s="101"/>
      <c r="R30" s="101"/>
      <c r="S30" s="101"/>
      <c r="T30" s="101"/>
      <c r="U30" s="101"/>
      <c r="V30" s="101"/>
      <c r="W30" s="101"/>
      <c r="X30" s="101"/>
    </row>
    <row r="31" spans="1:24" x14ac:dyDescent="0.25">
      <c r="A31" s="194" t="s">
        <v>219</v>
      </c>
      <c r="B31" s="194" t="s">
        <v>19</v>
      </c>
      <c r="C31" s="4" t="s">
        <v>18</v>
      </c>
      <c r="D31" s="5">
        <v>173.3</v>
      </c>
      <c r="E31" s="5">
        <v>189.9</v>
      </c>
      <c r="F31" s="5">
        <v>238.2</v>
      </c>
      <c r="G31" s="5">
        <v>161.30000000000001</v>
      </c>
      <c r="H31" s="5">
        <v>191.4</v>
      </c>
      <c r="I31" s="5">
        <v>217.3</v>
      </c>
      <c r="J31" s="5">
        <v>165</v>
      </c>
      <c r="K31" s="5" t="s">
        <v>151</v>
      </c>
      <c r="L31" s="5">
        <v>196.6</v>
      </c>
      <c r="M31" s="5" t="s">
        <v>151</v>
      </c>
      <c r="O31" s="5"/>
      <c r="P31" s="5"/>
      <c r="Q31" s="5"/>
      <c r="R31" s="5"/>
      <c r="S31" s="5"/>
      <c r="T31" s="5"/>
      <c r="U31" s="5"/>
      <c r="V31" s="5"/>
      <c r="W31" s="5"/>
      <c r="X31" s="5"/>
    </row>
    <row r="32" spans="1:24" x14ac:dyDescent="0.25">
      <c r="A32" s="194"/>
      <c r="B32" s="194"/>
      <c r="C32" s="4" t="s">
        <v>22</v>
      </c>
      <c r="D32" s="5">
        <v>132.6</v>
      </c>
      <c r="E32" s="5">
        <v>143</v>
      </c>
      <c r="F32" s="5">
        <v>212</v>
      </c>
      <c r="G32" s="5">
        <v>121.5</v>
      </c>
      <c r="H32" s="5">
        <v>160.5</v>
      </c>
      <c r="I32" s="5">
        <v>227</v>
      </c>
      <c r="J32" s="5">
        <v>129.1</v>
      </c>
      <c r="K32" s="5" t="s">
        <v>151</v>
      </c>
      <c r="L32" s="5">
        <v>166.6</v>
      </c>
      <c r="M32" s="5" t="s">
        <v>151</v>
      </c>
      <c r="O32" s="5"/>
      <c r="P32" s="5"/>
      <c r="Q32" s="5"/>
      <c r="R32" s="5"/>
      <c r="S32" s="5"/>
      <c r="T32" s="5"/>
      <c r="U32" s="5"/>
      <c r="V32" s="5"/>
      <c r="W32" s="5"/>
      <c r="X32" s="5"/>
    </row>
    <row r="33" spans="1:24" x14ac:dyDescent="0.25">
      <c r="A33" s="194"/>
      <c r="B33" s="194"/>
      <c r="C33" s="100" t="s">
        <v>12</v>
      </c>
      <c r="D33" s="101">
        <v>164.1</v>
      </c>
      <c r="E33" s="101">
        <v>184.3</v>
      </c>
      <c r="F33" s="101">
        <v>230.9</v>
      </c>
      <c r="G33" s="101">
        <v>151.19999999999999</v>
      </c>
      <c r="H33" s="101">
        <v>180.4</v>
      </c>
      <c r="I33" s="101">
        <v>220.4</v>
      </c>
      <c r="J33" s="101">
        <v>155.30000000000001</v>
      </c>
      <c r="K33" s="5" t="s">
        <v>151</v>
      </c>
      <c r="L33" s="101">
        <v>188.9</v>
      </c>
      <c r="M33" s="101" t="s">
        <v>151</v>
      </c>
      <c r="O33" s="101"/>
      <c r="P33" s="101"/>
      <c r="Q33" s="101"/>
      <c r="R33" s="101"/>
      <c r="S33" s="101"/>
      <c r="T33" s="101"/>
      <c r="U33" s="101"/>
      <c r="V33" s="5"/>
      <c r="W33" s="101"/>
      <c r="X33" s="101"/>
    </row>
    <row r="34" spans="1:24" x14ac:dyDescent="0.25">
      <c r="A34" s="194"/>
      <c r="B34" s="194" t="s">
        <v>20</v>
      </c>
      <c r="C34" s="4" t="s">
        <v>18</v>
      </c>
      <c r="D34" s="5">
        <v>149.80000000000001</v>
      </c>
      <c r="E34" s="5">
        <v>195.4</v>
      </c>
      <c r="F34" s="5">
        <v>227.9</v>
      </c>
      <c r="G34" s="5">
        <v>144.4</v>
      </c>
      <c r="H34" s="5">
        <v>160.1</v>
      </c>
      <c r="I34" s="5">
        <v>196.3</v>
      </c>
      <c r="J34" s="5">
        <v>201.3</v>
      </c>
      <c r="K34" s="5" t="s">
        <v>151</v>
      </c>
      <c r="L34" s="5">
        <v>181.3</v>
      </c>
      <c r="M34" s="5" t="s">
        <v>151</v>
      </c>
      <c r="O34" s="5"/>
      <c r="P34" s="5"/>
      <c r="Q34" s="5"/>
      <c r="R34" s="5"/>
      <c r="S34" s="5"/>
      <c r="T34" s="5"/>
      <c r="U34" s="5"/>
      <c r="V34" s="5"/>
      <c r="W34" s="5"/>
      <c r="X34" s="5"/>
    </row>
    <row r="35" spans="1:24" x14ac:dyDescent="0.25">
      <c r="A35" s="194"/>
      <c r="B35" s="194"/>
      <c r="C35" s="4" t="s">
        <v>22</v>
      </c>
      <c r="D35" s="5">
        <v>120.5</v>
      </c>
      <c r="E35" s="5">
        <v>187.3</v>
      </c>
      <c r="F35" s="5">
        <v>196.1</v>
      </c>
      <c r="G35" s="5">
        <v>123.8</v>
      </c>
      <c r="H35" s="5">
        <v>177.8</v>
      </c>
      <c r="I35" s="5">
        <v>175.2</v>
      </c>
      <c r="J35" s="5">
        <v>173.3</v>
      </c>
      <c r="K35" s="5" t="s">
        <v>151</v>
      </c>
      <c r="L35" s="5">
        <v>157.1</v>
      </c>
      <c r="M35" s="5" t="s">
        <v>151</v>
      </c>
      <c r="O35" s="5"/>
      <c r="P35" s="5"/>
      <c r="Q35" s="5"/>
      <c r="R35" s="5"/>
      <c r="S35" s="5"/>
      <c r="T35" s="5"/>
      <c r="U35" s="5"/>
      <c r="V35" s="5"/>
      <c r="W35" s="5"/>
      <c r="X35" s="5"/>
    </row>
    <row r="36" spans="1:24" x14ac:dyDescent="0.25">
      <c r="A36" s="194"/>
      <c r="B36" s="194"/>
      <c r="C36" s="100" t="s">
        <v>12</v>
      </c>
      <c r="D36" s="101">
        <v>142.9</v>
      </c>
      <c r="E36" s="101">
        <v>194.4</v>
      </c>
      <c r="F36" s="101">
        <v>221.4</v>
      </c>
      <c r="G36" s="101">
        <v>139.6</v>
      </c>
      <c r="H36" s="101">
        <v>163.69999999999999</v>
      </c>
      <c r="I36" s="101">
        <v>189.1</v>
      </c>
      <c r="J36" s="101">
        <v>192.5</v>
      </c>
      <c r="K36" s="5" t="s">
        <v>151</v>
      </c>
      <c r="L36" s="101">
        <v>176.2</v>
      </c>
      <c r="M36" s="101" t="s">
        <v>151</v>
      </c>
      <c r="O36" s="101"/>
      <c r="P36" s="101"/>
      <c r="Q36" s="101"/>
      <c r="R36" s="101"/>
      <c r="S36" s="101"/>
      <c r="T36" s="101"/>
      <c r="U36" s="101"/>
      <c r="V36" s="5"/>
      <c r="W36" s="101"/>
      <c r="X36" s="101"/>
    </row>
    <row r="37" spans="1:24" x14ac:dyDescent="0.25">
      <c r="A37" s="194"/>
      <c r="B37" s="194" t="s">
        <v>12</v>
      </c>
      <c r="C37" s="4" t="s">
        <v>18</v>
      </c>
      <c r="D37" s="5">
        <v>159.9</v>
      </c>
      <c r="E37" s="5">
        <v>194.5</v>
      </c>
      <c r="F37" s="5">
        <v>233.4</v>
      </c>
      <c r="G37" s="5">
        <v>154.4</v>
      </c>
      <c r="H37" s="5">
        <v>173.4</v>
      </c>
      <c r="I37" s="5">
        <v>202</v>
      </c>
      <c r="J37" s="5">
        <v>186.3</v>
      </c>
      <c r="K37" s="5" t="s">
        <v>151</v>
      </c>
      <c r="L37" s="5">
        <v>187.7</v>
      </c>
      <c r="M37" s="5" t="s">
        <v>151</v>
      </c>
      <c r="O37" s="5"/>
      <c r="P37" s="5"/>
      <c r="Q37" s="5"/>
      <c r="R37" s="5"/>
      <c r="S37" s="5"/>
      <c r="T37" s="5"/>
      <c r="U37" s="5"/>
      <c r="V37" s="5"/>
      <c r="W37" s="5"/>
      <c r="X37" s="5"/>
    </row>
    <row r="38" spans="1:24" x14ac:dyDescent="0.25">
      <c r="A38" s="194"/>
      <c r="B38" s="194"/>
      <c r="C38" s="4" t="s">
        <v>22</v>
      </c>
      <c r="D38" s="5">
        <v>125.7</v>
      </c>
      <c r="E38" s="5">
        <v>180</v>
      </c>
      <c r="F38" s="5">
        <v>207</v>
      </c>
      <c r="G38" s="5">
        <v>122.4</v>
      </c>
      <c r="H38" s="5">
        <v>166.9</v>
      </c>
      <c r="I38" s="5">
        <v>195.1</v>
      </c>
      <c r="J38" s="5">
        <v>155.9</v>
      </c>
      <c r="K38" s="5" t="s">
        <v>151</v>
      </c>
      <c r="L38" s="5">
        <v>161.6</v>
      </c>
      <c r="M38" s="5" t="s">
        <v>151</v>
      </c>
      <c r="O38" s="5"/>
      <c r="P38" s="5"/>
      <c r="Q38" s="5"/>
      <c r="R38" s="5"/>
      <c r="S38" s="5"/>
      <c r="T38" s="5"/>
      <c r="U38" s="5"/>
      <c r="V38" s="5"/>
      <c r="W38" s="5"/>
      <c r="X38" s="5"/>
    </row>
    <row r="39" spans="1:24" x14ac:dyDescent="0.25">
      <c r="A39" s="194"/>
      <c r="B39" s="194"/>
      <c r="C39" s="100" t="s">
        <v>12</v>
      </c>
      <c r="D39" s="101">
        <v>152.1</v>
      </c>
      <c r="E39" s="101">
        <v>192.7</v>
      </c>
      <c r="F39" s="101">
        <v>226.8</v>
      </c>
      <c r="G39" s="101">
        <v>146.6</v>
      </c>
      <c r="H39" s="101">
        <v>171.6</v>
      </c>
      <c r="I39" s="101">
        <v>198.7</v>
      </c>
      <c r="J39" s="101">
        <v>177.2</v>
      </c>
      <c r="K39" s="5" t="s">
        <v>151</v>
      </c>
      <c r="L39" s="101">
        <v>181.6</v>
      </c>
      <c r="M39" s="101" t="s">
        <v>151</v>
      </c>
      <c r="O39" s="101"/>
      <c r="P39" s="101"/>
      <c r="Q39" s="101"/>
      <c r="R39" s="101"/>
      <c r="S39" s="101"/>
      <c r="T39" s="101"/>
      <c r="U39" s="101"/>
      <c r="V39" s="5"/>
      <c r="W39" s="101"/>
      <c r="X39" s="101"/>
    </row>
    <row r="40" spans="1:24" x14ac:dyDescent="0.25">
      <c r="A40" s="194" t="s">
        <v>357</v>
      </c>
      <c r="B40" s="194" t="s">
        <v>19</v>
      </c>
      <c r="C40" s="4" t="s">
        <v>18</v>
      </c>
      <c r="D40" s="5">
        <v>173.8</v>
      </c>
      <c r="E40" s="5">
        <v>185.3</v>
      </c>
      <c r="F40" s="5">
        <v>228.3</v>
      </c>
      <c r="G40" s="5">
        <v>137.30000000000001</v>
      </c>
      <c r="H40" s="5">
        <v>164.8</v>
      </c>
      <c r="I40" s="5">
        <v>216.5</v>
      </c>
      <c r="J40" s="5">
        <v>184.6</v>
      </c>
      <c r="K40" s="5" t="s">
        <v>151</v>
      </c>
      <c r="L40" s="5">
        <v>187</v>
      </c>
      <c r="M40" s="5" t="s">
        <v>151</v>
      </c>
      <c r="O40" s="5"/>
      <c r="P40" s="5"/>
      <c r="Q40" s="5"/>
      <c r="R40" s="5"/>
      <c r="S40" s="5"/>
      <c r="T40" s="5"/>
      <c r="U40" s="5"/>
      <c r="V40" s="5"/>
      <c r="W40" s="5"/>
      <c r="X40" s="5"/>
    </row>
    <row r="41" spans="1:24" x14ac:dyDescent="0.25">
      <c r="A41" s="194"/>
      <c r="B41" s="194"/>
      <c r="C41" s="4" t="s">
        <v>22</v>
      </c>
      <c r="D41" s="5">
        <v>146.30000000000001</v>
      </c>
      <c r="E41" s="5">
        <v>145.1</v>
      </c>
      <c r="F41" s="5">
        <v>222</v>
      </c>
      <c r="G41" s="5">
        <v>98.6</v>
      </c>
      <c r="H41" s="5">
        <v>124.4</v>
      </c>
      <c r="I41" s="5">
        <v>251.9</v>
      </c>
      <c r="J41" s="5">
        <v>186.1</v>
      </c>
      <c r="K41" s="5" t="s">
        <v>151</v>
      </c>
      <c r="L41" s="5">
        <v>168</v>
      </c>
      <c r="M41" s="5" t="s">
        <v>151</v>
      </c>
      <c r="O41" s="5"/>
      <c r="P41" s="5"/>
      <c r="Q41" s="5"/>
      <c r="R41" s="5"/>
      <c r="S41" s="5"/>
      <c r="T41" s="5"/>
      <c r="U41" s="5"/>
      <c r="V41" s="5"/>
      <c r="W41" s="5"/>
      <c r="X41" s="5"/>
    </row>
    <row r="42" spans="1:24" x14ac:dyDescent="0.25">
      <c r="A42" s="194"/>
      <c r="B42" s="194"/>
      <c r="C42" s="100" t="s">
        <v>12</v>
      </c>
      <c r="D42" s="101">
        <v>167.5</v>
      </c>
      <c r="E42" s="101">
        <v>179.2</v>
      </c>
      <c r="F42" s="101">
        <v>226.5</v>
      </c>
      <c r="G42" s="101">
        <v>128</v>
      </c>
      <c r="H42" s="101">
        <v>151.6</v>
      </c>
      <c r="I42" s="101">
        <v>228.1</v>
      </c>
      <c r="J42" s="101">
        <v>185</v>
      </c>
      <c r="K42" s="5" t="s">
        <v>151</v>
      </c>
      <c r="L42" s="101">
        <v>182.2</v>
      </c>
      <c r="M42" s="101" t="s">
        <v>151</v>
      </c>
      <c r="O42" s="101"/>
      <c r="P42" s="101"/>
      <c r="Q42" s="101"/>
      <c r="R42" s="101"/>
      <c r="S42" s="101"/>
      <c r="T42" s="101"/>
      <c r="U42" s="101"/>
      <c r="V42" s="5"/>
      <c r="W42" s="101"/>
      <c r="X42" s="101"/>
    </row>
    <row r="43" spans="1:24" x14ac:dyDescent="0.25">
      <c r="A43" s="194"/>
      <c r="B43" s="194" t="s">
        <v>20</v>
      </c>
      <c r="C43" s="4" t="s">
        <v>18</v>
      </c>
      <c r="D43" s="5">
        <v>150</v>
      </c>
      <c r="E43" s="5">
        <v>197.3</v>
      </c>
      <c r="F43" s="5">
        <v>217.4</v>
      </c>
      <c r="G43" s="5">
        <v>141.30000000000001</v>
      </c>
      <c r="H43" s="5">
        <v>141.80000000000001</v>
      </c>
      <c r="I43" s="5">
        <v>229.4</v>
      </c>
      <c r="J43" s="5">
        <v>193.4</v>
      </c>
      <c r="K43" s="5" t="s">
        <v>151</v>
      </c>
      <c r="L43" s="5">
        <v>178.9</v>
      </c>
      <c r="M43" s="5" t="s">
        <v>151</v>
      </c>
      <c r="O43" s="5"/>
      <c r="P43" s="5"/>
      <c r="Q43" s="5"/>
      <c r="R43" s="5"/>
      <c r="S43" s="5"/>
      <c r="T43" s="5"/>
      <c r="U43" s="5"/>
      <c r="V43" s="5"/>
      <c r="W43" s="5"/>
      <c r="X43" s="5"/>
    </row>
    <row r="44" spans="1:24" x14ac:dyDescent="0.25">
      <c r="A44" s="194"/>
      <c r="B44" s="194"/>
      <c r="C44" s="4" t="s">
        <v>22</v>
      </c>
      <c r="D44" s="5">
        <v>125.4</v>
      </c>
      <c r="E44" s="5">
        <v>150</v>
      </c>
      <c r="F44" s="5">
        <v>209</v>
      </c>
      <c r="G44" s="5">
        <v>114.5</v>
      </c>
      <c r="H44" s="5">
        <v>131.6</v>
      </c>
      <c r="I44" s="5">
        <v>214</v>
      </c>
      <c r="J44" s="5">
        <v>164.9</v>
      </c>
      <c r="K44" s="5" t="s">
        <v>151</v>
      </c>
      <c r="L44" s="5">
        <v>154.19999999999999</v>
      </c>
      <c r="M44" s="5" t="s">
        <v>151</v>
      </c>
      <c r="O44" s="5"/>
      <c r="P44" s="5"/>
      <c r="Q44" s="5"/>
      <c r="R44" s="5"/>
      <c r="S44" s="5"/>
      <c r="T44" s="5"/>
      <c r="U44" s="5"/>
      <c r="V44" s="5"/>
      <c r="W44" s="5"/>
      <c r="X44" s="5"/>
    </row>
    <row r="45" spans="1:24" x14ac:dyDescent="0.25">
      <c r="A45" s="194"/>
      <c r="B45" s="194"/>
      <c r="C45" s="100" t="s">
        <v>12</v>
      </c>
      <c r="D45" s="101">
        <v>145.30000000000001</v>
      </c>
      <c r="E45" s="101">
        <v>191.8</v>
      </c>
      <c r="F45" s="101">
        <v>215.7</v>
      </c>
      <c r="G45" s="101">
        <v>135.19999999999999</v>
      </c>
      <c r="H45" s="101">
        <v>139.4</v>
      </c>
      <c r="I45" s="101">
        <v>226.8</v>
      </c>
      <c r="J45" s="101">
        <v>185.4</v>
      </c>
      <c r="K45" s="5" t="s">
        <v>151</v>
      </c>
      <c r="L45" s="101">
        <v>174.3</v>
      </c>
      <c r="M45" s="101" t="s">
        <v>151</v>
      </c>
      <c r="O45" s="101"/>
      <c r="P45" s="101"/>
      <c r="Q45" s="101"/>
      <c r="R45" s="101"/>
      <c r="S45" s="101"/>
      <c r="T45" s="101"/>
      <c r="U45" s="101"/>
      <c r="V45" s="5"/>
      <c r="W45" s="101"/>
      <c r="X45" s="101"/>
    </row>
    <row r="46" spans="1:24" x14ac:dyDescent="0.25">
      <c r="A46" s="194"/>
      <c r="B46" s="194" t="s">
        <v>12</v>
      </c>
      <c r="C46" s="4" t="s">
        <v>18</v>
      </c>
      <c r="D46" s="5">
        <v>158.6</v>
      </c>
      <c r="E46" s="5">
        <v>194.5</v>
      </c>
      <c r="F46" s="5">
        <v>223.3</v>
      </c>
      <c r="G46" s="5">
        <v>139</v>
      </c>
      <c r="H46" s="5">
        <v>153.30000000000001</v>
      </c>
      <c r="I46" s="5">
        <v>221.1</v>
      </c>
      <c r="J46" s="5">
        <v>190.6</v>
      </c>
      <c r="K46" s="5" t="s">
        <v>151</v>
      </c>
      <c r="L46" s="5">
        <v>181.3</v>
      </c>
      <c r="M46" s="5" t="s">
        <v>151</v>
      </c>
      <c r="O46" s="5"/>
      <c r="P46" s="5"/>
      <c r="Q46" s="5"/>
      <c r="R46" s="5"/>
      <c r="S46" s="5"/>
      <c r="T46" s="5"/>
      <c r="U46" s="5"/>
      <c r="V46" s="5"/>
      <c r="W46" s="5"/>
      <c r="X46" s="5"/>
    </row>
    <row r="47" spans="1:24" x14ac:dyDescent="0.25">
      <c r="A47" s="194"/>
      <c r="B47" s="194"/>
      <c r="C47" s="4" t="s">
        <v>22</v>
      </c>
      <c r="D47" s="5">
        <v>135.6</v>
      </c>
      <c r="E47" s="5">
        <v>148.80000000000001</v>
      </c>
      <c r="F47" s="5">
        <v>217.4</v>
      </c>
      <c r="G47" s="5">
        <v>104.6</v>
      </c>
      <c r="H47" s="5">
        <v>126.5</v>
      </c>
      <c r="I47" s="5">
        <v>227.6</v>
      </c>
      <c r="J47" s="5">
        <v>171.1</v>
      </c>
      <c r="K47" s="5" t="s">
        <v>151</v>
      </c>
      <c r="L47" s="5">
        <v>161.30000000000001</v>
      </c>
      <c r="M47" s="5" t="s">
        <v>151</v>
      </c>
      <c r="O47" s="5"/>
      <c r="P47" s="5"/>
      <c r="Q47" s="5"/>
      <c r="R47" s="5"/>
      <c r="S47" s="5"/>
      <c r="T47" s="5"/>
      <c r="U47" s="5"/>
      <c r="V47" s="5"/>
      <c r="W47" s="5"/>
      <c r="X47" s="5"/>
    </row>
    <row r="48" spans="1:24" x14ac:dyDescent="0.25">
      <c r="A48" s="194"/>
      <c r="B48" s="194"/>
      <c r="C48" s="100" t="s">
        <v>12</v>
      </c>
      <c r="D48" s="101">
        <v>153.9</v>
      </c>
      <c r="E48" s="101">
        <v>188.9</v>
      </c>
      <c r="F48" s="101">
        <v>221.8</v>
      </c>
      <c r="G48" s="101">
        <v>130.80000000000001</v>
      </c>
      <c r="H48" s="101">
        <v>145.80000000000001</v>
      </c>
      <c r="I48" s="101">
        <v>223.1</v>
      </c>
      <c r="J48" s="101">
        <v>185.3</v>
      </c>
      <c r="K48" s="5" t="s">
        <v>151</v>
      </c>
      <c r="L48" s="101">
        <v>176.9</v>
      </c>
      <c r="M48" s="101" t="s">
        <v>151</v>
      </c>
      <c r="O48" s="101"/>
      <c r="P48" s="101"/>
      <c r="Q48" s="101"/>
      <c r="R48" s="101"/>
      <c r="S48" s="101"/>
      <c r="T48" s="101"/>
      <c r="U48" s="101"/>
      <c r="V48" s="5"/>
      <c r="W48" s="101"/>
      <c r="X48" s="101"/>
    </row>
    <row r="49" spans="1:13" ht="12" hidden="1" customHeight="1" x14ac:dyDescent="0.25">
      <c r="A49" s="100"/>
      <c r="B49" s="100"/>
      <c r="C49" s="4"/>
      <c r="D49" s="5"/>
      <c r="E49" s="5"/>
      <c r="F49" s="5"/>
      <c r="G49" s="5"/>
      <c r="H49" s="5"/>
      <c r="I49" s="5"/>
      <c r="J49" s="5"/>
      <c r="K49" s="5"/>
      <c r="L49" s="5"/>
      <c r="M49" s="5"/>
    </row>
    <row r="50" spans="1:13" ht="11.1" customHeight="1" x14ac:dyDescent="0.25">
      <c r="A50" s="205" t="s">
        <v>23</v>
      </c>
      <c r="B50" s="205"/>
      <c r="C50" s="205"/>
      <c r="D50" s="205"/>
      <c r="E50" s="205"/>
      <c r="F50" s="205"/>
      <c r="G50" s="205"/>
      <c r="H50" s="205"/>
      <c r="I50" s="205"/>
      <c r="J50" s="205"/>
      <c r="K50" s="205"/>
      <c r="L50" s="205"/>
      <c r="M50" s="205"/>
    </row>
    <row r="51" spans="1:13" s="7" customFormat="1" ht="11.1" customHeight="1" x14ac:dyDescent="0.15">
      <c r="A51" s="7" t="s">
        <v>97</v>
      </c>
    </row>
    <row r="52" spans="1:13" s="7" customFormat="1" ht="11.1" customHeight="1" x14ac:dyDescent="0.15">
      <c r="A52" s="7" t="s">
        <v>98</v>
      </c>
    </row>
    <row r="53" spans="1:13" s="7" customFormat="1" ht="11.1" customHeight="1" x14ac:dyDescent="0.15">
      <c r="A53" s="7" t="s">
        <v>99</v>
      </c>
    </row>
    <row r="54" spans="1:13" s="7" customFormat="1" ht="11.1" customHeight="1" x14ac:dyDescent="0.15">
      <c r="A54" s="7" t="s">
        <v>100</v>
      </c>
    </row>
    <row r="55" spans="1:13" s="7" customFormat="1" ht="11.1" customHeight="1" x14ac:dyDescent="0.15">
      <c r="A55" s="7" t="s">
        <v>417</v>
      </c>
    </row>
    <row r="56" spans="1:13" s="7" customFormat="1" ht="11.1" customHeight="1" x14ac:dyDescent="0.15">
      <c r="A56" s="7" t="s">
        <v>15</v>
      </c>
    </row>
    <row r="57" spans="1:13" s="7" customFormat="1" ht="11.1" customHeight="1" x14ac:dyDescent="0.15">
      <c r="A57" s="7" t="s">
        <v>347</v>
      </c>
    </row>
    <row r="58" spans="1:13" ht="12" customHeight="1" x14ac:dyDescent="0.25">
      <c r="A58" s="2"/>
    </row>
    <row r="98" spans="21:21" x14ac:dyDescent="0.25">
      <c r="U98" s="129"/>
    </row>
    <row r="99" spans="21:21" x14ac:dyDescent="0.25">
      <c r="U99" s="129"/>
    </row>
    <row r="100" spans="21:21" x14ac:dyDescent="0.25">
      <c r="U100" s="129"/>
    </row>
    <row r="101" spans="21:21" x14ac:dyDescent="0.25">
      <c r="U101" s="129"/>
    </row>
    <row r="102" spans="21:21" x14ac:dyDescent="0.25">
      <c r="U102" s="129"/>
    </row>
    <row r="103" spans="21:21" x14ac:dyDescent="0.25">
      <c r="U103" s="129"/>
    </row>
    <row r="104" spans="21:21" x14ac:dyDescent="0.25">
      <c r="U104" s="129"/>
    </row>
    <row r="105" spans="21:21" x14ac:dyDescent="0.25">
      <c r="U105" s="129"/>
    </row>
    <row r="106" spans="21:21" x14ac:dyDescent="0.25">
      <c r="U106" s="129"/>
    </row>
  </sheetData>
  <mergeCells count="22">
    <mergeCell ref="A40:A48"/>
    <mergeCell ref="B40:B42"/>
    <mergeCell ref="B43:B45"/>
    <mergeCell ref="B46:B48"/>
    <mergeCell ref="A50:M50"/>
    <mergeCell ref="A22:A30"/>
    <mergeCell ref="B22:B24"/>
    <mergeCell ref="B25:B27"/>
    <mergeCell ref="B28:B30"/>
    <mergeCell ref="A31:A39"/>
    <mergeCell ref="B31:B33"/>
    <mergeCell ref="B34:B36"/>
    <mergeCell ref="B37:B39"/>
    <mergeCell ref="A13:A21"/>
    <mergeCell ref="B13:B15"/>
    <mergeCell ref="B16:B18"/>
    <mergeCell ref="B19:B21"/>
    <mergeCell ref="A1:M1"/>
    <mergeCell ref="A4:A12"/>
    <mergeCell ref="B4:B6"/>
    <mergeCell ref="B7:B9"/>
    <mergeCell ref="B10:B12"/>
  </mergeCells>
  <pageMargins left="0.08" right="0.08" top="1" bottom="1" header="0.5" footer="0.5"/>
  <pageSetup orientation="landscape" blackAndWhite="1"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Y103"/>
  <sheetViews>
    <sheetView zoomScaleNormal="100" workbookViewId="0">
      <selection sqref="A1:N1"/>
    </sheetView>
  </sheetViews>
  <sheetFormatPr defaultColWidth="9.140625" defaultRowHeight="15" x14ac:dyDescent="0.25"/>
  <cols>
    <col min="1" max="2" width="18" style="1" customWidth="1"/>
    <col min="3" max="10" width="11.42578125" style="1" bestFit="1" customWidth="1"/>
    <col min="11" max="11" width="11.42578125" style="1" customWidth="1"/>
    <col min="12" max="14" width="11.42578125" style="1" bestFit="1" customWidth="1"/>
    <col min="15" max="16384" width="9.140625" style="1"/>
  </cols>
  <sheetData>
    <row r="1" spans="1:25" ht="14.25" customHeight="1" x14ac:dyDescent="0.25">
      <c r="A1" s="192" t="s">
        <v>332</v>
      </c>
      <c r="B1" s="192"/>
      <c r="C1" s="192"/>
      <c r="D1" s="192"/>
      <c r="E1" s="192"/>
      <c r="F1" s="192"/>
      <c r="G1" s="192"/>
      <c r="H1" s="192"/>
      <c r="I1" s="192"/>
      <c r="J1" s="192"/>
      <c r="K1" s="192"/>
      <c r="L1" s="192"/>
      <c r="M1" s="192"/>
      <c r="N1" s="192"/>
    </row>
    <row r="2" spans="1:25" hidden="1" x14ac:dyDescent="0.25">
      <c r="A2" s="2"/>
    </row>
    <row r="3" spans="1:25" ht="23.25" x14ac:dyDescent="0.25">
      <c r="A3" s="35" t="s">
        <v>160</v>
      </c>
      <c r="B3" s="35" t="s">
        <v>168</v>
      </c>
      <c r="C3" s="3" t="s">
        <v>1</v>
      </c>
      <c r="D3" s="3" t="s">
        <v>2</v>
      </c>
      <c r="E3" s="3" t="s">
        <v>3</v>
      </c>
      <c r="F3" s="3" t="s">
        <v>4</v>
      </c>
      <c r="G3" s="3" t="s">
        <v>5</v>
      </c>
      <c r="H3" s="3" t="s">
        <v>6</v>
      </c>
      <c r="I3" s="3" t="s">
        <v>7</v>
      </c>
      <c r="J3" s="3" t="s">
        <v>8</v>
      </c>
      <c r="K3" s="3" t="s">
        <v>220</v>
      </c>
      <c r="L3" s="3" t="s">
        <v>9</v>
      </c>
    </row>
    <row r="4" spans="1:25" x14ac:dyDescent="0.25">
      <c r="A4" s="194" t="s">
        <v>216</v>
      </c>
      <c r="B4" s="4">
        <v>1</v>
      </c>
      <c r="C4" s="9">
        <v>1503</v>
      </c>
      <c r="D4" s="9">
        <v>832</v>
      </c>
      <c r="E4" s="9">
        <v>1236</v>
      </c>
      <c r="F4" s="9">
        <v>749</v>
      </c>
      <c r="G4" s="9">
        <v>305</v>
      </c>
      <c r="H4" s="9">
        <v>133</v>
      </c>
      <c r="I4" s="9">
        <v>61</v>
      </c>
      <c r="J4" s="9">
        <v>163</v>
      </c>
      <c r="K4" s="9">
        <v>4819</v>
      </c>
      <c r="L4" s="9">
        <v>4982</v>
      </c>
      <c r="M4" s="123"/>
      <c r="N4" s="9"/>
      <c r="O4" s="9"/>
      <c r="P4" s="9"/>
      <c r="Q4" s="9"/>
      <c r="R4" s="9"/>
      <c r="S4" s="9"/>
      <c r="T4" s="9"/>
      <c r="U4" s="9"/>
      <c r="V4" s="9"/>
      <c r="W4" s="9"/>
      <c r="Y4" s="123"/>
    </row>
    <row r="5" spans="1:25" x14ac:dyDescent="0.25">
      <c r="A5" s="194"/>
      <c r="B5" s="4">
        <v>2</v>
      </c>
      <c r="C5" s="9">
        <v>208</v>
      </c>
      <c r="D5" s="9">
        <v>68</v>
      </c>
      <c r="E5" s="9">
        <v>114</v>
      </c>
      <c r="F5" s="9">
        <v>141</v>
      </c>
      <c r="G5" s="9">
        <v>34</v>
      </c>
      <c r="H5" s="9" t="s">
        <v>443</v>
      </c>
      <c r="I5" s="9" t="s">
        <v>443</v>
      </c>
      <c r="J5" s="9">
        <v>53</v>
      </c>
      <c r="K5" s="9">
        <v>597</v>
      </c>
      <c r="L5" s="9">
        <v>650</v>
      </c>
      <c r="N5" s="9"/>
      <c r="O5" s="9"/>
      <c r="P5" s="9"/>
      <c r="Q5" s="9"/>
      <c r="R5" s="9"/>
      <c r="S5" s="9"/>
      <c r="T5" s="9"/>
      <c r="U5" s="9"/>
      <c r="V5" s="9"/>
      <c r="W5" s="9"/>
    </row>
    <row r="6" spans="1:25" x14ac:dyDescent="0.25">
      <c r="A6" s="194"/>
      <c r="B6" s="4">
        <v>3</v>
      </c>
      <c r="C6" s="9">
        <v>74</v>
      </c>
      <c r="D6" s="9">
        <v>10</v>
      </c>
      <c r="E6" s="9">
        <v>24</v>
      </c>
      <c r="F6" s="9">
        <v>55</v>
      </c>
      <c r="G6" s="9">
        <v>10</v>
      </c>
      <c r="H6" s="9" t="s">
        <v>443</v>
      </c>
      <c r="I6" s="9" t="s">
        <v>443</v>
      </c>
      <c r="J6" s="9">
        <v>8</v>
      </c>
      <c r="K6" s="9">
        <v>187</v>
      </c>
      <c r="L6" s="9">
        <v>195</v>
      </c>
      <c r="N6" s="9"/>
      <c r="O6" s="9"/>
      <c r="P6" s="9"/>
      <c r="Q6" s="9"/>
      <c r="R6" s="9"/>
      <c r="S6" s="9"/>
      <c r="T6" s="9"/>
      <c r="U6" s="9"/>
      <c r="V6" s="9"/>
      <c r="W6" s="9"/>
    </row>
    <row r="7" spans="1:25" x14ac:dyDescent="0.25">
      <c r="A7" s="194"/>
      <c r="B7" s="4">
        <v>4</v>
      </c>
      <c r="C7" s="9">
        <v>24</v>
      </c>
      <c r="D7" s="9">
        <v>2</v>
      </c>
      <c r="E7" s="9">
        <v>9</v>
      </c>
      <c r="F7" s="9">
        <v>23</v>
      </c>
      <c r="G7" s="9" t="s">
        <v>443</v>
      </c>
      <c r="H7" s="9" t="s">
        <v>146</v>
      </c>
      <c r="I7" s="9" t="s">
        <v>443</v>
      </c>
      <c r="J7" s="9">
        <v>3</v>
      </c>
      <c r="K7" s="9">
        <v>61</v>
      </c>
      <c r="L7" s="9">
        <v>64</v>
      </c>
      <c r="N7" s="9"/>
      <c r="O7" s="9"/>
      <c r="P7" s="9"/>
      <c r="Q7" s="9"/>
      <c r="R7" s="9"/>
      <c r="S7" s="9"/>
      <c r="T7" s="9"/>
      <c r="U7" s="9"/>
      <c r="V7" s="9"/>
      <c r="W7" s="9"/>
    </row>
    <row r="8" spans="1:25" x14ac:dyDescent="0.25">
      <c r="A8" s="194"/>
      <c r="B8" s="4">
        <v>5</v>
      </c>
      <c r="C8" s="9">
        <v>11</v>
      </c>
      <c r="D8" s="9" t="s">
        <v>146</v>
      </c>
      <c r="E8" s="9" t="s">
        <v>146</v>
      </c>
      <c r="F8" s="9">
        <v>9</v>
      </c>
      <c r="G8" s="9" t="s">
        <v>443</v>
      </c>
      <c r="H8" s="9" t="s">
        <v>146</v>
      </c>
      <c r="I8" s="9" t="s">
        <v>443</v>
      </c>
      <c r="J8" s="9">
        <v>5</v>
      </c>
      <c r="K8" s="9">
        <v>28</v>
      </c>
      <c r="L8" s="9">
        <v>33</v>
      </c>
      <c r="N8" s="9"/>
      <c r="O8" s="9"/>
      <c r="P8" s="9"/>
      <c r="Q8" s="9"/>
      <c r="R8" s="9"/>
      <c r="S8" s="9"/>
      <c r="T8" s="9"/>
      <c r="U8" s="9"/>
      <c r="V8" s="9"/>
      <c r="W8" s="9"/>
    </row>
    <row r="9" spans="1:25" x14ac:dyDescent="0.25">
      <c r="A9" s="194"/>
      <c r="B9" s="4" t="s">
        <v>91</v>
      </c>
      <c r="C9" s="9">
        <v>16</v>
      </c>
      <c r="D9" s="9" t="s">
        <v>146</v>
      </c>
      <c r="E9" s="9">
        <v>1</v>
      </c>
      <c r="F9" s="9">
        <v>19</v>
      </c>
      <c r="G9" s="9" t="s">
        <v>443</v>
      </c>
      <c r="H9" s="9" t="s">
        <v>146</v>
      </c>
      <c r="I9" s="9" t="s">
        <v>443</v>
      </c>
      <c r="J9" s="9" t="s">
        <v>146</v>
      </c>
      <c r="K9" s="9">
        <v>41</v>
      </c>
      <c r="L9" s="9">
        <v>41</v>
      </c>
      <c r="N9" s="9"/>
      <c r="O9" s="9"/>
      <c r="P9" s="9"/>
      <c r="Q9" s="9"/>
      <c r="R9" s="9"/>
      <c r="S9" s="9"/>
      <c r="T9" s="9"/>
      <c r="U9" s="9"/>
      <c r="V9" s="9"/>
      <c r="W9" s="9"/>
    </row>
    <row r="10" spans="1:25" x14ac:dyDescent="0.25">
      <c r="A10" s="194"/>
      <c r="B10" s="10" t="s">
        <v>12</v>
      </c>
      <c r="C10" s="102">
        <v>1836</v>
      </c>
      <c r="D10" s="102">
        <v>912</v>
      </c>
      <c r="E10" s="102">
        <v>1384</v>
      </c>
      <c r="F10" s="102">
        <v>996</v>
      </c>
      <c r="G10" s="102">
        <v>362</v>
      </c>
      <c r="H10" s="102">
        <v>146</v>
      </c>
      <c r="I10" s="102">
        <v>97</v>
      </c>
      <c r="J10" s="102">
        <v>232</v>
      </c>
      <c r="K10" s="102">
        <v>5733</v>
      </c>
      <c r="L10" s="102">
        <v>5965</v>
      </c>
      <c r="N10" s="102"/>
      <c r="O10" s="102"/>
      <c r="P10" s="102"/>
      <c r="Q10" s="102"/>
      <c r="R10" s="102"/>
      <c r="S10" s="102"/>
      <c r="T10" s="102"/>
      <c r="U10" s="102"/>
      <c r="V10" s="102"/>
      <c r="W10" s="102"/>
    </row>
    <row r="11" spans="1:25" x14ac:dyDescent="0.25">
      <c r="A11" s="194" t="s">
        <v>217</v>
      </c>
      <c r="B11" s="4">
        <v>1</v>
      </c>
      <c r="C11" s="9">
        <v>1354</v>
      </c>
      <c r="D11" s="9">
        <v>788</v>
      </c>
      <c r="E11" s="9">
        <v>1225</v>
      </c>
      <c r="F11" s="9">
        <v>772</v>
      </c>
      <c r="G11" s="9">
        <v>316</v>
      </c>
      <c r="H11" s="9">
        <v>97</v>
      </c>
      <c r="I11" s="9">
        <v>55</v>
      </c>
      <c r="J11" s="9">
        <v>164</v>
      </c>
      <c r="K11" s="9">
        <v>4607</v>
      </c>
      <c r="L11" s="9">
        <v>4771</v>
      </c>
      <c r="N11" s="9"/>
      <c r="O11" s="9"/>
      <c r="P11" s="9"/>
      <c r="Q11" s="9"/>
      <c r="R11" s="9"/>
      <c r="S11" s="9"/>
      <c r="T11" s="9"/>
      <c r="U11" s="9"/>
      <c r="V11" s="9"/>
      <c r="W11" s="9"/>
    </row>
    <row r="12" spans="1:25" x14ac:dyDescent="0.25">
      <c r="A12" s="194"/>
      <c r="B12" s="4">
        <v>2</v>
      </c>
      <c r="C12" s="9">
        <v>213</v>
      </c>
      <c r="D12" s="9">
        <v>60</v>
      </c>
      <c r="E12" s="9">
        <v>100</v>
      </c>
      <c r="F12" s="9">
        <v>158</v>
      </c>
      <c r="G12" s="9">
        <v>45</v>
      </c>
      <c r="H12" s="9">
        <v>8</v>
      </c>
      <c r="I12" s="9">
        <v>21</v>
      </c>
      <c r="J12" s="9">
        <v>48</v>
      </c>
      <c r="K12" s="9">
        <v>605</v>
      </c>
      <c r="L12" s="9">
        <v>653</v>
      </c>
      <c r="N12" s="9"/>
      <c r="O12" s="9"/>
      <c r="P12" s="9"/>
      <c r="Q12" s="9"/>
      <c r="R12" s="9"/>
      <c r="S12" s="9"/>
      <c r="T12" s="9"/>
      <c r="U12" s="9"/>
      <c r="V12" s="9"/>
      <c r="W12" s="9"/>
    </row>
    <row r="13" spans="1:25" x14ac:dyDescent="0.25">
      <c r="A13" s="194"/>
      <c r="B13" s="4">
        <v>3</v>
      </c>
      <c r="C13" s="9">
        <v>77</v>
      </c>
      <c r="D13" s="9">
        <v>6</v>
      </c>
      <c r="E13" s="9">
        <v>9</v>
      </c>
      <c r="F13" s="9">
        <v>51</v>
      </c>
      <c r="G13" s="9">
        <v>6</v>
      </c>
      <c r="H13" s="9" t="s">
        <v>443</v>
      </c>
      <c r="I13" s="9" t="s">
        <v>443</v>
      </c>
      <c r="J13" s="9">
        <v>22</v>
      </c>
      <c r="K13" s="9">
        <v>156</v>
      </c>
      <c r="L13" s="9">
        <v>178</v>
      </c>
      <c r="N13" s="9"/>
      <c r="O13" s="9"/>
      <c r="P13" s="9"/>
      <c r="Q13" s="9"/>
      <c r="R13" s="9"/>
      <c r="S13" s="9"/>
      <c r="T13" s="9"/>
      <c r="U13" s="9"/>
      <c r="V13" s="9"/>
      <c r="W13" s="9"/>
    </row>
    <row r="14" spans="1:25" x14ac:dyDescent="0.25">
      <c r="A14" s="194"/>
      <c r="B14" s="4">
        <v>4</v>
      </c>
      <c r="C14" s="9">
        <v>21</v>
      </c>
      <c r="D14" s="9">
        <v>1</v>
      </c>
      <c r="E14" s="9">
        <v>2</v>
      </c>
      <c r="F14" s="9">
        <v>27</v>
      </c>
      <c r="G14" s="9">
        <v>3</v>
      </c>
      <c r="H14" s="9" t="s">
        <v>443</v>
      </c>
      <c r="I14" s="9" t="s">
        <v>443</v>
      </c>
      <c r="J14" s="9">
        <v>13</v>
      </c>
      <c r="K14" s="9">
        <v>60</v>
      </c>
      <c r="L14" s="9">
        <v>73</v>
      </c>
      <c r="N14" s="9"/>
      <c r="O14" s="9"/>
      <c r="P14" s="9"/>
      <c r="Q14" s="9"/>
      <c r="R14" s="9"/>
      <c r="S14" s="9"/>
      <c r="T14" s="9"/>
      <c r="U14" s="9"/>
      <c r="V14" s="9"/>
      <c r="W14" s="9"/>
    </row>
    <row r="15" spans="1:25" x14ac:dyDescent="0.25">
      <c r="A15" s="194"/>
      <c r="B15" s="4">
        <v>5</v>
      </c>
      <c r="C15" s="9">
        <v>15</v>
      </c>
      <c r="D15" s="9" t="s">
        <v>146</v>
      </c>
      <c r="E15" s="9" t="s">
        <v>146</v>
      </c>
      <c r="F15" s="9">
        <v>11</v>
      </c>
      <c r="G15" s="9" t="s">
        <v>443</v>
      </c>
      <c r="H15" s="9" t="s">
        <v>146</v>
      </c>
      <c r="I15" s="9" t="s">
        <v>443</v>
      </c>
      <c r="J15" s="9">
        <v>6</v>
      </c>
      <c r="K15" s="9">
        <v>31</v>
      </c>
      <c r="L15" s="9">
        <v>37</v>
      </c>
      <c r="N15" s="9"/>
      <c r="O15" s="9"/>
      <c r="P15" s="9"/>
      <c r="Q15" s="9"/>
      <c r="R15" s="9"/>
      <c r="S15" s="9"/>
      <c r="T15" s="9"/>
      <c r="U15" s="9"/>
      <c r="V15" s="9"/>
      <c r="W15" s="9"/>
    </row>
    <row r="16" spans="1:25" x14ac:dyDescent="0.25">
      <c r="A16" s="194"/>
      <c r="B16" s="4" t="s">
        <v>91</v>
      </c>
      <c r="C16" s="9">
        <v>16</v>
      </c>
      <c r="D16" s="9" t="s">
        <v>146</v>
      </c>
      <c r="E16" s="9" t="s">
        <v>146</v>
      </c>
      <c r="F16" s="9">
        <v>22</v>
      </c>
      <c r="G16" s="9" t="s">
        <v>443</v>
      </c>
      <c r="H16" s="9" t="s">
        <v>146</v>
      </c>
      <c r="I16" s="9" t="s">
        <v>443</v>
      </c>
      <c r="J16" s="9">
        <v>6</v>
      </c>
      <c r="K16" s="9">
        <v>42</v>
      </c>
      <c r="L16" s="9">
        <v>48</v>
      </c>
      <c r="N16" s="9"/>
      <c r="O16" s="9"/>
      <c r="P16" s="9"/>
      <c r="Q16" s="9"/>
      <c r="R16" s="9"/>
      <c r="S16" s="9"/>
      <c r="T16" s="9"/>
      <c r="U16" s="9"/>
      <c r="V16" s="9"/>
      <c r="W16" s="9"/>
    </row>
    <row r="17" spans="1:23" x14ac:dyDescent="0.25">
      <c r="A17" s="194"/>
      <c r="B17" s="10" t="s">
        <v>12</v>
      </c>
      <c r="C17" s="102">
        <v>1696</v>
      </c>
      <c r="D17" s="102">
        <v>855</v>
      </c>
      <c r="E17" s="102">
        <v>1336</v>
      </c>
      <c r="F17" s="102">
        <v>1041</v>
      </c>
      <c r="G17" s="102">
        <v>374</v>
      </c>
      <c r="H17" s="102">
        <v>107</v>
      </c>
      <c r="I17" s="102">
        <v>92</v>
      </c>
      <c r="J17" s="102">
        <v>259</v>
      </c>
      <c r="K17" s="102">
        <v>5501</v>
      </c>
      <c r="L17" s="102">
        <v>5760</v>
      </c>
      <c r="M17" s="123"/>
      <c r="N17" s="102"/>
      <c r="O17" s="102"/>
      <c r="P17" s="102"/>
      <c r="Q17" s="102"/>
      <c r="R17" s="102"/>
      <c r="S17" s="102"/>
      <c r="T17" s="102"/>
      <c r="U17" s="102"/>
      <c r="V17" s="102"/>
      <c r="W17" s="102"/>
    </row>
    <row r="18" spans="1:23" x14ac:dyDescent="0.25">
      <c r="A18" s="194" t="s">
        <v>218</v>
      </c>
      <c r="B18" s="4">
        <v>1</v>
      </c>
      <c r="C18" s="9">
        <v>1381</v>
      </c>
      <c r="D18" s="9">
        <v>652</v>
      </c>
      <c r="E18" s="9">
        <v>1162</v>
      </c>
      <c r="F18" s="9">
        <v>864</v>
      </c>
      <c r="G18" s="9">
        <v>327</v>
      </c>
      <c r="H18" s="9">
        <v>109</v>
      </c>
      <c r="I18" s="9">
        <v>82</v>
      </c>
      <c r="J18" s="9">
        <v>117</v>
      </c>
      <c r="K18" s="9">
        <v>4577</v>
      </c>
      <c r="L18" s="9">
        <v>4694</v>
      </c>
      <c r="M18" s="123"/>
      <c r="N18" s="9"/>
      <c r="O18" s="9"/>
      <c r="P18" s="9"/>
      <c r="Q18" s="9"/>
      <c r="R18" s="9"/>
      <c r="S18" s="9"/>
      <c r="T18" s="9"/>
      <c r="U18" s="9"/>
      <c r="V18" s="9"/>
      <c r="W18" s="9"/>
    </row>
    <row r="19" spans="1:23" x14ac:dyDescent="0.25">
      <c r="A19" s="194"/>
      <c r="B19" s="4">
        <v>2</v>
      </c>
      <c r="C19" s="9">
        <v>253</v>
      </c>
      <c r="D19" s="9">
        <v>59</v>
      </c>
      <c r="E19" s="9">
        <v>99</v>
      </c>
      <c r="F19" s="9">
        <v>186</v>
      </c>
      <c r="G19" s="9">
        <v>39</v>
      </c>
      <c r="H19" s="9">
        <v>12</v>
      </c>
      <c r="I19" s="9">
        <v>23</v>
      </c>
      <c r="J19" s="9">
        <v>36</v>
      </c>
      <c r="K19" s="9">
        <v>671</v>
      </c>
      <c r="L19" s="9">
        <v>707</v>
      </c>
      <c r="N19" s="9"/>
      <c r="O19" s="9"/>
      <c r="P19" s="9"/>
      <c r="Q19" s="9"/>
      <c r="R19" s="9"/>
      <c r="S19" s="9"/>
      <c r="T19" s="9"/>
      <c r="U19" s="9"/>
      <c r="V19" s="9"/>
      <c r="W19" s="9"/>
    </row>
    <row r="20" spans="1:23" x14ac:dyDescent="0.25">
      <c r="A20" s="194"/>
      <c r="B20" s="4">
        <v>3</v>
      </c>
      <c r="C20" s="9">
        <v>90</v>
      </c>
      <c r="D20" s="9">
        <v>12</v>
      </c>
      <c r="E20" s="9">
        <v>15</v>
      </c>
      <c r="F20" s="9">
        <v>47</v>
      </c>
      <c r="G20" s="9">
        <v>8</v>
      </c>
      <c r="H20" s="9" t="s">
        <v>443</v>
      </c>
      <c r="I20" s="9" t="s">
        <v>443</v>
      </c>
      <c r="J20" s="9">
        <v>18</v>
      </c>
      <c r="K20" s="9">
        <v>179</v>
      </c>
      <c r="L20" s="9">
        <v>197</v>
      </c>
      <c r="N20" s="9"/>
      <c r="O20" s="9"/>
      <c r="P20" s="9"/>
      <c r="Q20" s="9"/>
      <c r="R20" s="9"/>
      <c r="S20" s="9"/>
      <c r="T20" s="9"/>
      <c r="U20" s="9"/>
      <c r="V20" s="9"/>
      <c r="W20" s="9"/>
    </row>
    <row r="21" spans="1:23" x14ac:dyDescent="0.25">
      <c r="A21" s="194"/>
      <c r="B21" s="4">
        <v>4</v>
      </c>
      <c r="C21" s="9">
        <v>34</v>
      </c>
      <c r="D21" s="9">
        <v>1</v>
      </c>
      <c r="E21" s="9">
        <v>6</v>
      </c>
      <c r="F21" s="9">
        <v>27</v>
      </c>
      <c r="G21" s="9" t="s">
        <v>443</v>
      </c>
      <c r="H21" s="9" t="s">
        <v>443</v>
      </c>
      <c r="I21" s="9" t="s">
        <v>443</v>
      </c>
      <c r="J21" s="9">
        <v>3</v>
      </c>
      <c r="K21" s="9">
        <v>74</v>
      </c>
      <c r="L21" s="9">
        <v>77</v>
      </c>
      <c r="N21" s="9"/>
      <c r="O21" s="9"/>
      <c r="P21" s="9"/>
      <c r="Q21" s="9"/>
      <c r="R21" s="9"/>
      <c r="S21" s="9"/>
      <c r="T21" s="9"/>
      <c r="U21" s="9"/>
      <c r="V21" s="9"/>
      <c r="W21" s="9"/>
    </row>
    <row r="22" spans="1:23" x14ac:dyDescent="0.25">
      <c r="A22" s="194"/>
      <c r="B22" s="4">
        <v>5</v>
      </c>
      <c r="C22" s="9">
        <v>15</v>
      </c>
      <c r="D22" s="9" t="s">
        <v>146</v>
      </c>
      <c r="E22" s="9">
        <v>2</v>
      </c>
      <c r="F22" s="9">
        <v>13</v>
      </c>
      <c r="G22" s="9">
        <v>2</v>
      </c>
      <c r="H22" s="9" t="s">
        <v>146</v>
      </c>
      <c r="I22" s="9">
        <v>6</v>
      </c>
      <c r="J22" s="9">
        <v>3</v>
      </c>
      <c r="K22" s="9">
        <v>38</v>
      </c>
      <c r="L22" s="9">
        <v>41</v>
      </c>
      <c r="N22" s="9"/>
      <c r="O22" s="9"/>
      <c r="P22" s="9"/>
      <c r="Q22" s="9"/>
      <c r="R22" s="9"/>
      <c r="S22" s="9"/>
      <c r="T22" s="9"/>
      <c r="U22" s="9"/>
      <c r="V22" s="9"/>
      <c r="W22" s="9"/>
    </row>
    <row r="23" spans="1:23" x14ac:dyDescent="0.25">
      <c r="A23" s="194"/>
      <c r="B23" s="4" t="s">
        <v>91</v>
      </c>
      <c r="C23" s="9">
        <v>35</v>
      </c>
      <c r="D23" s="9">
        <v>1</v>
      </c>
      <c r="E23" s="9" t="s">
        <v>146</v>
      </c>
      <c r="F23" s="9">
        <v>17</v>
      </c>
      <c r="G23" s="9" t="s">
        <v>443</v>
      </c>
      <c r="H23" s="9" t="s">
        <v>146</v>
      </c>
      <c r="I23" s="9" t="s">
        <v>443</v>
      </c>
      <c r="J23" s="9">
        <v>1</v>
      </c>
      <c r="K23" s="9">
        <v>56</v>
      </c>
      <c r="L23" s="9">
        <v>57</v>
      </c>
      <c r="N23" s="9"/>
      <c r="O23" s="9"/>
      <c r="P23" s="9"/>
      <c r="Q23" s="9"/>
      <c r="R23" s="9"/>
      <c r="S23" s="9"/>
      <c r="T23" s="9"/>
      <c r="U23" s="9"/>
      <c r="V23" s="9"/>
      <c r="W23" s="9"/>
    </row>
    <row r="24" spans="1:23" x14ac:dyDescent="0.25">
      <c r="A24" s="194"/>
      <c r="B24" s="10" t="s">
        <v>12</v>
      </c>
      <c r="C24" s="102">
        <v>1808</v>
      </c>
      <c r="D24" s="102">
        <v>725</v>
      </c>
      <c r="E24" s="102">
        <v>1284</v>
      </c>
      <c r="F24" s="102">
        <v>1154</v>
      </c>
      <c r="G24" s="102">
        <v>378</v>
      </c>
      <c r="H24" s="102">
        <v>125</v>
      </c>
      <c r="I24" s="102">
        <v>121</v>
      </c>
      <c r="J24" s="102">
        <v>178</v>
      </c>
      <c r="K24" s="102">
        <v>5595</v>
      </c>
      <c r="L24" s="102">
        <v>5773</v>
      </c>
      <c r="M24" s="123"/>
      <c r="N24" s="102"/>
      <c r="O24" s="102"/>
      <c r="P24" s="102"/>
      <c r="Q24" s="102"/>
      <c r="R24" s="102"/>
      <c r="S24" s="102"/>
      <c r="T24" s="102"/>
      <c r="U24" s="102"/>
      <c r="V24" s="102"/>
      <c r="W24" s="102"/>
    </row>
    <row r="25" spans="1:23" x14ac:dyDescent="0.25">
      <c r="A25" s="194" t="s">
        <v>219</v>
      </c>
      <c r="B25" s="4">
        <v>1</v>
      </c>
      <c r="C25" s="9">
        <v>1369</v>
      </c>
      <c r="D25" s="9">
        <v>525</v>
      </c>
      <c r="E25" s="9">
        <v>1171</v>
      </c>
      <c r="F25" s="9">
        <v>850</v>
      </c>
      <c r="G25" s="9">
        <v>401</v>
      </c>
      <c r="H25" s="9">
        <v>112</v>
      </c>
      <c r="I25" s="9">
        <v>75</v>
      </c>
      <c r="J25" s="9" t="s">
        <v>151</v>
      </c>
      <c r="K25" s="9">
        <v>4503</v>
      </c>
      <c r="L25" s="9" t="s">
        <v>151</v>
      </c>
      <c r="N25" s="9"/>
      <c r="O25" s="9"/>
      <c r="P25" s="9"/>
      <c r="Q25" s="9"/>
      <c r="R25" s="9"/>
      <c r="S25" s="9"/>
      <c r="T25" s="9"/>
      <c r="U25" s="9"/>
      <c r="V25" s="9"/>
      <c r="W25" s="9"/>
    </row>
    <row r="26" spans="1:23" x14ac:dyDescent="0.25">
      <c r="A26" s="194"/>
      <c r="B26" s="4">
        <v>2</v>
      </c>
      <c r="C26" s="9">
        <v>250</v>
      </c>
      <c r="D26" s="9">
        <v>47</v>
      </c>
      <c r="E26" s="9">
        <v>93</v>
      </c>
      <c r="F26" s="9">
        <v>233</v>
      </c>
      <c r="G26" s="9">
        <v>44</v>
      </c>
      <c r="H26" s="9">
        <v>11</v>
      </c>
      <c r="I26" s="9">
        <v>37</v>
      </c>
      <c r="J26" s="9" t="s">
        <v>151</v>
      </c>
      <c r="K26" s="9">
        <v>715</v>
      </c>
      <c r="L26" s="9" t="s">
        <v>151</v>
      </c>
      <c r="N26" s="9"/>
      <c r="O26" s="9"/>
      <c r="P26" s="9"/>
      <c r="Q26" s="9"/>
      <c r="R26" s="9"/>
      <c r="S26" s="9"/>
      <c r="T26" s="9"/>
      <c r="U26" s="9"/>
      <c r="V26" s="9"/>
      <c r="W26" s="9"/>
    </row>
    <row r="27" spans="1:23" x14ac:dyDescent="0.25">
      <c r="A27" s="194"/>
      <c r="B27" s="4">
        <v>3</v>
      </c>
      <c r="C27" s="9">
        <v>90</v>
      </c>
      <c r="D27" s="9">
        <v>7</v>
      </c>
      <c r="E27" s="9">
        <v>13</v>
      </c>
      <c r="F27" s="9">
        <v>57</v>
      </c>
      <c r="G27" s="9">
        <v>10</v>
      </c>
      <c r="H27" s="9" t="s">
        <v>443</v>
      </c>
      <c r="I27" s="9" t="s">
        <v>443</v>
      </c>
      <c r="J27" s="9" t="s">
        <v>151</v>
      </c>
      <c r="K27" s="9">
        <v>190</v>
      </c>
      <c r="L27" s="9" t="s">
        <v>151</v>
      </c>
      <c r="N27" s="9"/>
      <c r="O27" s="9"/>
      <c r="P27" s="9"/>
      <c r="Q27" s="9"/>
      <c r="R27" s="9"/>
      <c r="S27" s="9"/>
      <c r="T27" s="9"/>
      <c r="U27" s="9"/>
      <c r="V27" s="9"/>
      <c r="W27" s="9"/>
    </row>
    <row r="28" spans="1:23" x14ac:dyDescent="0.25">
      <c r="A28" s="194"/>
      <c r="B28" s="4">
        <v>4</v>
      </c>
      <c r="C28" s="9">
        <v>38</v>
      </c>
      <c r="D28" s="9">
        <v>2</v>
      </c>
      <c r="E28" s="9">
        <v>6</v>
      </c>
      <c r="F28" s="9">
        <v>28</v>
      </c>
      <c r="G28" s="9" t="s">
        <v>443</v>
      </c>
      <c r="H28" s="9" t="s">
        <v>443</v>
      </c>
      <c r="I28" s="9" t="s">
        <v>443</v>
      </c>
      <c r="J28" s="9" t="s">
        <v>151</v>
      </c>
      <c r="K28" s="9">
        <v>83</v>
      </c>
      <c r="L28" s="9" t="s">
        <v>151</v>
      </c>
      <c r="N28" s="9"/>
      <c r="O28" s="9"/>
      <c r="P28" s="9"/>
      <c r="Q28" s="9"/>
      <c r="R28" s="9"/>
      <c r="S28" s="9"/>
      <c r="T28" s="9"/>
      <c r="U28" s="9"/>
      <c r="V28" s="9"/>
      <c r="W28" s="9"/>
    </row>
    <row r="29" spans="1:23" x14ac:dyDescent="0.25">
      <c r="A29" s="194"/>
      <c r="B29" s="4">
        <v>5</v>
      </c>
      <c r="C29" s="9">
        <v>15</v>
      </c>
      <c r="D29" s="9" t="s">
        <v>146</v>
      </c>
      <c r="E29" s="9">
        <v>2</v>
      </c>
      <c r="F29" s="9">
        <v>14</v>
      </c>
      <c r="G29" s="9" t="s">
        <v>443</v>
      </c>
      <c r="H29" s="9" t="s">
        <v>146</v>
      </c>
      <c r="I29" s="9" t="s">
        <v>443</v>
      </c>
      <c r="J29" s="9" t="s">
        <v>151</v>
      </c>
      <c r="K29" s="9">
        <v>34</v>
      </c>
      <c r="L29" s="9" t="s">
        <v>151</v>
      </c>
      <c r="N29" s="9"/>
      <c r="O29" s="9"/>
      <c r="P29" s="9"/>
      <c r="Q29" s="9"/>
      <c r="R29" s="9"/>
      <c r="S29" s="9"/>
      <c r="T29" s="9"/>
      <c r="U29" s="9"/>
      <c r="V29" s="9"/>
      <c r="W29" s="9"/>
    </row>
    <row r="30" spans="1:23" x14ac:dyDescent="0.25">
      <c r="A30" s="194"/>
      <c r="B30" s="4" t="s">
        <v>91</v>
      </c>
      <c r="C30" s="9">
        <v>27</v>
      </c>
      <c r="D30" s="9" t="s">
        <v>146</v>
      </c>
      <c r="E30" s="9" t="s">
        <v>146</v>
      </c>
      <c r="F30" s="9">
        <v>23</v>
      </c>
      <c r="G30" s="9">
        <v>1</v>
      </c>
      <c r="H30" s="9" t="s">
        <v>146</v>
      </c>
      <c r="I30" s="9">
        <v>6</v>
      </c>
      <c r="J30" s="9" t="s">
        <v>151</v>
      </c>
      <c r="K30" s="9">
        <v>57</v>
      </c>
      <c r="L30" s="9" t="s">
        <v>151</v>
      </c>
      <c r="N30" s="9"/>
      <c r="O30" s="9"/>
      <c r="P30" s="9"/>
      <c r="Q30" s="9"/>
      <c r="R30" s="9"/>
      <c r="S30" s="9"/>
      <c r="T30" s="9"/>
      <c r="U30" s="9"/>
      <c r="V30" s="9"/>
      <c r="W30" s="9"/>
    </row>
    <row r="31" spans="1:23" x14ac:dyDescent="0.25">
      <c r="A31" s="194"/>
      <c r="B31" s="10" t="s">
        <v>12</v>
      </c>
      <c r="C31" s="102">
        <v>1789</v>
      </c>
      <c r="D31" s="102">
        <v>581</v>
      </c>
      <c r="E31" s="102">
        <v>1285</v>
      </c>
      <c r="F31" s="102">
        <v>1205</v>
      </c>
      <c r="G31" s="102">
        <v>459</v>
      </c>
      <c r="H31" s="102">
        <v>127</v>
      </c>
      <c r="I31" s="102">
        <v>136</v>
      </c>
      <c r="J31" s="102" t="s">
        <v>151</v>
      </c>
      <c r="K31" s="102">
        <v>5582</v>
      </c>
      <c r="L31" s="102" t="s">
        <v>151</v>
      </c>
      <c r="M31" s="123"/>
      <c r="N31" s="102"/>
      <c r="O31" s="102"/>
      <c r="P31" s="102"/>
      <c r="Q31" s="102"/>
      <c r="R31" s="102"/>
      <c r="S31" s="102"/>
      <c r="T31" s="102"/>
      <c r="U31" s="102"/>
      <c r="V31" s="102"/>
      <c r="W31" s="102"/>
    </row>
    <row r="32" spans="1:23" x14ac:dyDescent="0.25">
      <c r="A32" s="194" t="s">
        <v>357</v>
      </c>
      <c r="B32" s="4">
        <v>1</v>
      </c>
      <c r="C32" s="9">
        <v>1382</v>
      </c>
      <c r="D32" s="9">
        <v>525</v>
      </c>
      <c r="E32" s="9">
        <v>1156</v>
      </c>
      <c r="F32" s="9">
        <v>829</v>
      </c>
      <c r="G32" s="9">
        <v>364</v>
      </c>
      <c r="H32" s="9">
        <v>118</v>
      </c>
      <c r="I32" s="9">
        <v>89</v>
      </c>
      <c r="J32" s="9" t="s">
        <v>151</v>
      </c>
      <c r="K32" s="9">
        <v>4463</v>
      </c>
      <c r="L32" s="9" t="s">
        <v>151</v>
      </c>
      <c r="N32" s="9"/>
      <c r="O32" s="9"/>
      <c r="P32" s="9"/>
      <c r="Q32" s="9"/>
      <c r="R32" s="9"/>
      <c r="S32" s="9"/>
      <c r="T32" s="9"/>
      <c r="U32" s="9"/>
      <c r="V32" s="9"/>
      <c r="W32" s="9"/>
    </row>
    <row r="33" spans="1:23" x14ac:dyDescent="0.25">
      <c r="A33" s="194"/>
      <c r="B33" s="4">
        <v>2</v>
      </c>
      <c r="C33" s="9">
        <v>266</v>
      </c>
      <c r="D33" s="9">
        <v>54</v>
      </c>
      <c r="E33" s="9">
        <v>96</v>
      </c>
      <c r="F33" s="9">
        <v>209</v>
      </c>
      <c r="G33" s="9">
        <v>38</v>
      </c>
      <c r="H33" s="9" t="s">
        <v>443</v>
      </c>
      <c r="I33" s="9" t="s">
        <v>443</v>
      </c>
      <c r="J33" s="9" t="s">
        <v>151</v>
      </c>
      <c r="K33" s="9">
        <v>687</v>
      </c>
      <c r="L33" s="9" t="s">
        <v>151</v>
      </c>
      <c r="N33" s="9"/>
      <c r="O33" s="9"/>
      <c r="P33" s="9"/>
      <c r="Q33" s="9"/>
      <c r="R33" s="9"/>
      <c r="S33" s="9"/>
      <c r="T33" s="9"/>
      <c r="U33" s="9"/>
      <c r="V33" s="9"/>
      <c r="W33" s="9"/>
    </row>
    <row r="34" spans="1:23" x14ac:dyDescent="0.25">
      <c r="A34" s="194"/>
      <c r="B34" s="4">
        <v>3</v>
      </c>
      <c r="C34" s="9">
        <v>69</v>
      </c>
      <c r="D34" s="9">
        <v>7</v>
      </c>
      <c r="E34" s="9">
        <v>10</v>
      </c>
      <c r="F34" s="9">
        <v>66</v>
      </c>
      <c r="G34" s="9" t="s">
        <v>443</v>
      </c>
      <c r="H34" s="9" t="s">
        <v>443</v>
      </c>
      <c r="I34" s="9" t="s">
        <v>443</v>
      </c>
      <c r="J34" s="9" t="s">
        <v>151</v>
      </c>
      <c r="K34" s="9">
        <v>174</v>
      </c>
      <c r="L34" s="9" t="s">
        <v>151</v>
      </c>
      <c r="N34" s="9"/>
      <c r="O34" s="9"/>
      <c r="P34" s="9"/>
      <c r="Q34" s="9"/>
      <c r="R34" s="9"/>
      <c r="S34" s="9"/>
      <c r="T34" s="9"/>
      <c r="U34" s="9"/>
      <c r="V34" s="9"/>
      <c r="W34" s="9"/>
    </row>
    <row r="35" spans="1:23" x14ac:dyDescent="0.25">
      <c r="A35" s="194"/>
      <c r="B35" s="4">
        <v>4</v>
      </c>
      <c r="C35" s="9">
        <v>44</v>
      </c>
      <c r="D35" s="9">
        <v>2</v>
      </c>
      <c r="E35" s="9">
        <v>2</v>
      </c>
      <c r="F35" s="9">
        <v>43</v>
      </c>
      <c r="G35" s="9" t="s">
        <v>443</v>
      </c>
      <c r="H35" s="9" t="s">
        <v>443</v>
      </c>
      <c r="I35" s="9" t="s">
        <v>146</v>
      </c>
      <c r="J35" s="9" t="s">
        <v>151</v>
      </c>
      <c r="K35" s="9">
        <v>95</v>
      </c>
      <c r="L35" s="9" t="s">
        <v>151</v>
      </c>
      <c r="N35" s="9"/>
      <c r="O35" s="9"/>
      <c r="P35" s="9"/>
      <c r="Q35" s="9"/>
      <c r="R35" s="9"/>
      <c r="S35" s="9"/>
      <c r="T35" s="9"/>
      <c r="U35" s="9"/>
      <c r="V35" s="9"/>
      <c r="W35" s="9"/>
    </row>
    <row r="36" spans="1:23" x14ac:dyDescent="0.25">
      <c r="A36" s="194"/>
      <c r="B36" s="4">
        <v>5</v>
      </c>
      <c r="C36" s="9">
        <v>21</v>
      </c>
      <c r="D36" s="9">
        <v>1</v>
      </c>
      <c r="E36" s="9">
        <v>1</v>
      </c>
      <c r="F36" s="9">
        <v>14</v>
      </c>
      <c r="G36" s="9">
        <v>4</v>
      </c>
      <c r="H36" s="9" t="s">
        <v>146</v>
      </c>
      <c r="I36" s="9" t="s">
        <v>146</v>
      </c>
      <c r="J36" s="9" t="s">
        <v>151</v>
      </c>
      <c r="K36" s="9">
        <v>41</v>
      </c>
      <c r="L36" s="9" t="s">
        <v>151</v>
      </c>
      <c r="N36" s="9"/>
      <c r="O36" s="9"/>
      <c r="P36" s="9"/>
      <c r="Q36" s="9"/>
      <c r="R36" s="9"/>
      <c r="S36" s="9"/>
      <c r="T36" s="9"/>
      <c r="U36" s="9"/>
      <c r="V36" s="9"/>
      <c r="W36" s="9"/>
    </row>
    <row r="37" spans="1:23" x14ac:dyDescent="0.25">
      <c r="A37" s="194"/>
      <c r="B37" s="4" t="s">
        <v>91</v>
      </c>
      <c r="C37" s="9">
        <v>27</v>
      </c>
      <c r="D37" s="9" t="s">
        <v>146</v>
      </c>
      <c r="E37" s="9" t="s">
        <v>146</v>
      </c>
      <c r="F37" s="9">
        <v>34</v>
      </c>
      <c r="G37" s="9" t="s">
        <v>146</v>
      </c>
      <c r="H37" s="9" t="s">
        <v>146</v>
      </c>
      <c r="I37" s="9" t="s">
        <v>146</v>
      </c>
      <c r="J37" s="9" t="s">
        <v>151</v>
      </c>
      <c r="K37" s="9">
        <v>61</v>
      </c>
      <c r="L37" s="9" t="s">
        <v>151</v>
      </c>
    </row>
    <row r="38" spans="1:23" x14ac:dyDescent="0.25">
      <c r="A38" s="194"/>
      <c r="B38" s="10" t="s">
        <v>12</v>
      </c>
      <c r="C38" s="102">
        <v>1809</v>
      </c>
      <c r="D38" s="102">
        <v>589</v>
      </c>
      <c r="E38" s="102">
        <v>1265</v>
      </c>
      <c r="F38" s="102">
        <v>1195</v>
      </c>
      <c r="G38" s="102">
        <v>424</v>
      </c>
      <c r="H38" s="102">
        <v>129</v>
      </c>
      <c r="I38" s="102">
        <v>110</v>
      </c>
      <c r="J38" s="102" t="s">
        <v>151</v>
      </c>
      <c r="K38" s="102">
        <v>5521</v>
      </c>
      <c r="L38" s="102" t="s">
        <v>151</v>
      </c>
      <c r="M38" s="123"/>
    </row>
    <row r="39" spans="1:23" ht="3.75" customHeight="1" x14ac:dyDescent="0.25">
      <c r="A39" s="106"/>
      <c r="B39" s="71"/>
      <c r="C39" s="42"/>
      <c r="D39" s="42"/>
      <c r="E39" s="42"/>
      <c r="F39" s="77"/>
      <c r="G39" s="77"/>
      <c r="H39" s="77"/>
      <c r="I39" s="77"/>
      <c r="J39" s="77"/>
      <c r="K39" s="77"/>
      <c r="L39" s="77"/>
    </row>
    <row r="40" spans="1:23" ht="3" customHeight="1" x14ac:dyDescent="0.25">
      <c r="A40" s="2"/>
    </row>
    <row r="41" spans="1:23" ht="11.25" customHeight="1" x14ac:dyDescent="0.25">
      <c r="A41" s="193" t="s">
        <v>252</v>
      </c>
      <c r="B41" s="193"/>
      <c r="C41" s="193"/>
      <c r="D41" s="193"/>
      <c r="E41" s="193"/>
      <c r="F41" s="193"/>
      <c r="G41" s="193"/>
      <c r="H41" s="193"/>
      <c r="I41" s="193"/>
      <c r="J41" s="193"/>
      <c r="K41" s="193"/>
      <c r="L41" s="193"/>
      <c r="M41" s="193"/>
      <c r="N41" s="193"/>
    </row>
    <row r="42" spans="1:23" ht="11.25" customHeight="1" x14ac:dyDescent="0.25">
      <c r="A42" s="6" t="s">
        <v>224</v>
      </c>
      <c r="B42" s="6"/>
      <c r="C42" s="6"/>
      <c r="D42" s="6"/>
      <c r="E42" s="6"/>
      <c r="F42" s="6"/>
      <c r="G42" s="6"/>
      <c r="H42" s="6"/>
      <c r="I42" s="6"/>
      <c r="J42" s="6"/>
      <c r="K42" s="6"/>
      <c r="L42" s="6"/>
      <c r="M42" s="6"/>
      <c r="N42" s="6"/>
    </row>
    <row r="43" spans="1:23" ht="11.25" customHeight="1" x14ac:dyDescent="0.25">
      <c r="A43" s="6" t="s">
        <v>39</v>
      </c>
      <c r="B43" s="6"/>
      <c r="C43" s="6"/>
      <c r="D43" s="6"/>
      <c r="E43" s="6"/>
      <c r="F43" s="6"/>
      <c r="G43" s="6"/>
      <c r="H43" s="6"/>
      <c r="I43" s="6"/>
      <c r="J43" s="6"/>
      <c r="K43" s="6"/>
      <c r="L43" s="6"/>
      <c r="M43" s="6"/>
      <c r="N43" s="6"/>
    </row>
    <row r="44" spans="1:23" ht="9" customHeight="1" x14ac:dyDescent="0.25">
      <c r="A44" s="6" t="s">
        <v>410</v>
      </c>
      <c r="B44" s="6"/>
      <c r="C44" s="6"/>
      <c r="D44" s="6"/>
      <c r="E44" s="6"/>
      <c r="F44" s="6"/>
      <c r="G44" s="6"/>
      <c r="H44" s="6"/>
      <c r="I44" s="6"/>
      <c r="J44" s="6"/>
      <c r="K44" s="6"/>
      <c r="L44" s="6"/>
      <c r="M44" s="6"/>
      <c r="N44" s="6"/>
    </row>
    <row r="45" spans="1:23" s="7" customFormat="1" ht="9" x14ac:dyDescent="0.15">
      <c r="A45" s="7" t="s">
        <v>15</v>
      </c>
    </row>
    <row r="46" spans="1:23" s="7" customFormat="1" ht="9" x14ac:dyDescent="0.15">
      <c r="A46" s="7" t="s">
        <v>347</v>
      </c>
    </row>
    <row r="47" spans="1:23" x14ac:dyDescent="0.25">
      <c r="A47" s="2"/>
    </row>
    <row r="48" spans="1:23" x14ac:dyDescent="0.25">
      <c r="L48" s="128"/>
      <c r="N48" s="128"/>
    </row>
    <row r="54" spans="7:15" x14ac:dyDescent="0.25">
      <c r="L54" s="128"/>
      <c r="M54" s="128"/>
      <c r="N54" s="128"/>
      <c r="O54" s="128"/>
    </row>
    <row r="55" spans="7:15" x14ac:dyDescent="0.25">
      <c r="L55" s="128"/>
      <c r="N55" s="128"/>
    </row>
    <row r="59" spans="7:15" x14ac:dyDescent="0.25">
      <c r="G59" s="128"/>
      <c r="I59" s="128"/>
      <c r="O59" s="128"/>
    </row>
    <row r="61" spans="7:15" x14ac:dyDescent="0.25">
      <c r="L61" s="128"/>
      <c r="N61" s="128"/>
      <c r="O61" s="128"/>
    </row>
    <row r="62" spans="7:15" x14ac:dyDescent="0.25">
      <c r="L62" s="128"/>
      <c r="N62" s="128"/>
    </row>
    <row r="63" spans="7:15" x14ac:dyDescent="0.25">
      <c r="G63" s="128"/>
      <c r="I63" s="128"/>
      <c r="O63" s="128"/>
    </row>
    <row r="65" spans="7:15" x14ac:dyDescent="0.25">
      <c r="G65" s="128"/>
      <c r="I65" s="128"/>
      <c r="O65" s="128"/>
    </row>
    <row r="66" spans="7:15" x14ac:dyDescent="0.25">
      <c r="G66" s="128"/>
      <c r="I66" s="128"/>
      <c r="O66" s="128"/>
    </row>
    <row r="68" spans="7:15" x14ac:dyDescent="0.25">
      <c r="L68" s="128"/>
      <c r="N68" s="128"/>
      <c r="O68" s="128"/>
    </row>
    <row r="69" spans="7:15" x14ac:dyDescent="0.25">
      <c r="G69" s="128"/>
      <c r="I69" s="128"/>
      <c r="L69" s="128"/>
      <c r="N69" s="128"/>
      <c r="O69" s="128"/>
    </row>
    <row r="70" spans="7:15" x14ac:dyDescent="0.25">
      <c r="G70" s="128"/>
      <c r="I70" s="128"/>
      <c r="O70" s="128"/>
    </row>
    <row r="72" spans="7:15" x14ac:dyDescent="0.25">
      <c r="G72" s="128"/>
      <c r="I72" s="128"/>
      <c r="J72" s="128"/>
      <c r="O72" s="128"/>
    </row>
    <row r="73" spans="7:15" x14ac:dyDescent="0.25">
      <c r="G73" s="128"/>
      <c r="I73" s="128"/>
      <c r="O73" s="128"/>
    </row>
    <row r="75" spans="7:15" x14ac:dyDescent="0.25">
      <c r="L75" s="128"/>
      <c r="N75" s="128"/>
      <c r="O75" s="128"/>
    </row>
    <row r="76" spans="7:15" x14ac:dyDescent="0.25">
      <c r="G76" s="128"/>
      <c r="I76" s="128"/>
      <c r="J76" s="128"/>
      <c r="L76" s="128"/>
      <c r="N76" s="128"/>
      <c r="O76" s="128"/>
    </row>
    <row r="77" spans="7:15" x14ac:dyDescent="0.25">
      <c r="G77" s="128"/>
      <c r="I77" s="128"/>
      <c r="O77" s="128"/>
    </row>
    <row r="79" spans="7:15" x14ac:dyDescent="0.25">
      <c r="G79" s="128"/>
      <c r="I79" s="128"/>
      <c r="J79" s="128"/>
      <c r="O79" s="128"/>
    </row>
    <row r="80" spans="7:15" x14ac:dyDescent="0.25">
      <c r="G80" s="128"/>
      <c r="I80" s="128"/>
      <c r="O80" s="128"/>
    </row>
    <row r="82" spans="3:15" x14ac:dyDescent="0.25">
      <c r="L82" s="128"/>
      <c r="N82" s="128"/>
      <c r="O82" s="128"/>
    </row>
    <row r="83" spans="3:15" x14ac:dyDescent="0.25">
      <c r="G83" s="128"/>
      <c r="I83" s="128"/>
      <c r="J83" s="128"/>
      <c r="O83" s="128"/>
    </row>
    <row r="84" spans="3:15" x14ac:dyDescent="0.25">
      <c r="G84" s="128"/>
      <c r="I84" s="128"/>
      <c r="O84" s="128"/>
    </row>
    <row r="86" spans="3:15" x14ac:dyDescent="0.25">
      <c r="G86" s="128"/>
      <c r="I86" s="128"/>
      <c r="J86" s="128"/>
      <c r="O86" s="128"/>
    </row>
    <row r="87" spans="3:15" x14ac:dyDescent="0.25">
      <c r="G87" s="128"/>
      <c r="I87" s="128"/>
      <c r="O87" s="128"/>
    </row>
    <row r="90" spans="3:15" x14ac:dyDescent="0.25">
      <c r="G90" s="128"/>
      <c r="I90" s="128"/>
      <c r="J90" s="128"/>
      <c r="O90" s="128"/>
    </row>
    <row r="91" spans="3:15" x14ac:dyDescent="0.25">
      <c r="G91" s="128"/>
      <c r="I91" s="128"/>
      <c r="O91" s="128"/>
    </row>
    <row r="93" spans="3:15" x14ac:dyDescent="0.25">
      <c r="G93" s="128"/>
      <c r="I93" s="128"/>
      <c r="J93" s="128"/>
      <c r="O93" s="128"/>
    </row>
    <row r="95" spans="3:15" x14ac:dyDescent="0.25">
      <c r="C95" s="1" t="s">
        <v>23</v>
      </c>
    </row>
    <row r="97" spans="3:15" x14ac:dyDescent="0.25">
      <c r="C97" s="1" t="s">
        <v>95</v>
      </c>
      <c r="G97" s="128"/>
      <c r="I97" s="128"/>
      <c r="J97" s="128"/>
      <c r="O97" s="128"/>
    </row>
    <row r="99" spans="3:15" x14ac:dyDescent="0.25">
      <c r="C99" s="1" t="s">
        <v>409</v>
      </c>
    </row>
    <row r="101" spans="3:15" x14ac:dyDescent="0.25">
      <c r="C101" s="1" t="s">
        <v>96</v>
      </c>
    </row>
    <row r="103" spans="3:15" x14ac:dyDescent="0.25">
      <c r="C103" s="1" t="s">
        <v>347</v>
      </c>
    </row>
  </sheetData>
  <mergeCells count="7">
    <mergeCell ref="A41:N41"/>
    <mergeCell ref="A1:N1"/>
    <mergeCell ref="A4:A10"/>
    <mergeCell ref="A11:A17"/>
    <mergeCell ref="A18:A24"/>
    <mergeCell ref="A25:A31"/>
    <mergeCell ref="A32:A38"/>
  </mergeCells>
  <pageMargins left="0.08" right="0.08" top="1" bottom="1" header="0.5" footer="0.5"/>
  <pageSetup orientation="landscape" blackAndWhite="1"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G40"/>
  <sheetViews>
    <sheetView zoomScaleNormal="100" workbookViewId="0">
      <selection sqref="A1:M1"/>
    </sheetView>
  </sheetViews>
  <sheetFormatPr defaultColWidth="9.140625" defaultRowHeight="15" x14ac:dyDescent="0.25"/>
  <cols>
    <col min="1" max="1" width="18.28515625" style="1" customWidth="1"/>
    <col min="2" max="2" width="26.140625" style="1" customWidth="1"/>
    <col min="3" max="13" width="11.42578125" style="1" bestFit="1" customWidth="1"/>
    <col min="14" max="16384" width="9.140625" style="1"/>
  </cols>
  <sheetData>
    <row r="1" spans="1:23" x14ac:dyDescent="0.25">
      <c r="A1" s="192" t="s">
        <v>308</v>
      </c>
      <c r="B1" s="192"/>
      <c r="C1" s="192"/>
      <c r="D1" s="192"/>
      <c r="E1" s="192"/>
      <c r="F1" s="192"/>
      <c r="G1" s="192"/>
      <c r="H1" s="192"/>
      <c r="I1" s="192"/>
      <c r="J1" s="192"/>
      <c r="K1" s="192"/>
      <c r="L1" s="192"/>
      <c r="M1" s="192"/>
    </row>
    <row r="2" spans="1:23" ht="3" customHeight="1" x14ac:dyDescent="0.25">
      <c r="A2" s="2"/>
    </row>
    <row r="3" spans="1:23" x14ac:dyDescent="0.25">
      <c r="A3" s="35" t="s">
        <v>158</v>
      </c>
      <c r="B3" s="33" t="s">
        <v>183</v>
      </c>
      <c r="C3" s="3" t="s">
        <v>1</v>
      </c>
      <c r="D3" s="3" t="s">
        <v>2</v>
      </c>
      <c r="E3" s="3" t="s">
        <v>3</v>
      </c>
      <c r="F3" s="3" t="s">
        <v>4</v>
      </c>
      <c r="G3" s="3" t="s">
        <v>5</v>
      </c>
      <c r="H3" s="3" t="s">
        <v>6</v>
      </c>
      <c r="I3" s="3" t="s">
        <v>7</v>
      </c>
      <c r="J3" s="3" t="s">
        <v>8</v>
      </c>
      <c r="K3" s="3" t="s">
        <v>9</v>
      </c>
    </row>
    <row r="4" spans="1:23" x14ac:dyDescent="0.25">
      <c r="A4" s="197" t="s">
        <v>19</v>
      </c>
      <c r="B4" s="4" t="s">
        <v>184</v>
      </c>
      <c r="C4" s="9">
        <v>3679</v>
      </c>
      <c r="D4" s="9">
        <v>497</v>
      </c>
      <c r="E4" s="9">
        <v>4603</v>
      </c>
      <c r="F4" s="9">
        <v>1769</v>
      </c>
      <c r="G4" s="9">
        <v>697</v>
      </c>
      <c r="H4" s="9">
        <v>103</v>
      </c>
      <c r="I4" s="9">
        <v>157</v>
      </c>
      <c r="J4" s="9" t="s">
        <v>151</v>
      </c>
      <c r="K4" s="9">
        <v>11505</v>
      </c>
      <c r="M4" s="9"/>
      <c r="N4" s="9"/>
      <c r="O4" s="9"/>
      <c r="P4" s="9"/>
      <c r="Q4" s="9"/>
      <c r="R4" s="9"/>
      <c r="S4" s="9"/>
      <c r="T4" s="9"/>
      <c r="U4" s="9"/>
      <c r="W4" s="123"/>
    </row>
    <row r="5" spans="1:23" x14ac:dyDescent="0.25">
      <c r="A5" s="197"/>
      <c r="B5" s="4" t="s">
        <v>185</v>
      </c>
      <c r="C5" s="9">
        <v>1904</v>
      </c>
      <c r="D5" s="9">
        <v>130</v>
      </c>
      <c r="E5" s="9">
        <v>1305</v>
      </c>
      <c r="F5" s="9">
        <v>343</v>
      </c>
      <c r="G5" s="9">
        <v>343</v>
      </c>
      <c r="H5" s="9">
        <v>28</v>
      </c>
      <c r="I5" s="9">
        <v>63</v>
      </c>
      <c r="J5" s="9" t="s">
        <v>151</v>
      </c>
      <c r="K5" s="9">
        <v>4116</v>
      </c>
      <c r="M5" s="9"/>
      <c r="N5" s="9"/>
      <c r="O5" s="9"/>
      <c r="P5" s="9"/>
      <c r="Q5" s="9"/>
      <c r="R5" s="9"/>
      <c r="S5" s="9"/>
      <c r="T5" s="9"/>
      <c r="U5" s="9"/>
    </row>
    <row r="6" spans="1:23" x14ac:dyDescent="0.25">
      <c r="A6" s="197"/>
      <c r="B6" s="4" t="s">
        <v>186</v>
      </c>
      <c r="C6" s="9">
        <v>2057</v>
      </c>
      <c r="D6" s="9">
        <v>76</v>
      </c>
      <c r="E6" s="9">
        <v>1029</v>
      </c>
      <c r="F6" s="9">
        <v>367</v>
      </c>
      <c r="G6" s="9">
        <v>216</v>
      </c>
      <c r="H6" s="9">
        <v>31</v>
      </c>
      <c r="I6" s="9">
        <v>21</v>
      </c>
      <c r="J6" s="9" t="s">
        <v>151</v>
      </c>
      <c r="K6" s="9">
        <v>3797</v>
      </c>
      <c r="M6" s="9"/>
      <c r="N6" s="9"/>
      <c r="O6" s="9"/>
      <c r="P6" s="9"/>
      <c r="Q6" s="9"/>
      <c r="R6" s="9"/>
      <c r="S6" s="9"/>
      <c r="T6" s="9"/>
      <c r="U6" s="9"/>
    </row>
    <row r="7" spans="1:23" x14ac:dyDescent="0.25">
      <c r="A7" s="197"/>
      <c r="B7" s="4" t="s">
        <v>187</v>
      </c>
      <c r="C7" s="9">
        <v>1069</v>
      </c>
      <c r="D7" s="9">
        <v>35</v>
      </c>
      <c r="E7" s="9">
        <v>658</v>
      </c>
      <c r="F7" s="9">
        <v>155</v>
      </c>
      <c r="G7" s="9">
        <v>95</v>
      </c>
      <c r="H7" s="9" t="s">
        <v>443</v>
      </c>
      <c r="I7" s="9" t="s">
        <v>443</v>
      </c>
      <c r="J7" s="9" t="s">
        <v>151</v>
      </c>
      <c r="K7" s="9">
        <v>2043</v>
      </c>
      <c r="M7" s="9"/>
      <c r="N7" s="9"/>
      <c r="O7" s="9"/>
      <c r="P7" s="9"/>
      <c r="Q7" s="9"/>
      <c r="R7" s="9"/>
      <c r="S7" s="9"/>
      <c r="T7" s="9"/>
      <c r="U7" s="9"/>
    </row>
    <row r="8" spans="1:23" x14ac:dyDescent="0.25">
      <c r="A8" s="197"/>
      <c r="B8" s="4" t="s">
        <v>188</v>
      </c>
      <c r="C8" s="9">
        <v>712</v>
      </c>
      <c r="D8" s="9">
        <v>19</v>
      </c>
      <c r="E8" s="9">
        <v>347</v>
      </c>
      <c r="F8" s="9">
        <v>56</v>
      </c>
      <c r="G8" s="9">
        <v>35</v>
      </c>
      <c r="H8" s="9" t="s">
        <v>443</v>
      </c>
      <c r="I8" s="9" t="s">
        <v>443</v>
      </c>
      <c r="J8" s="9" t="s">
        <v>151</v>
      </c>
      <c r="K8" s="9">
        <v>1187</v>
      </c>
      <c r="M8" s="9"/>
      <c r="N8" s="9"/>
      <c r="O8" s="9"/>
      <c r="P8" s="9"/>
      <c r="Q8" s="9"/>
      <c r="R8" s="9"/>
      <c r="S8" s="9"/>
      <c r="T8" s="9"/>
      <c r="U8" s="9"/>
    </row>
    <row r="9" spans="1:23" x14ac:dyDescent="0.25">
      <c r="A9" s="197"/>
      <c r="B9" s="4" t="s">
        <v>101</v>
      </c>
      <c r="C9" s="9">
        <v>966</v>
      </c>
      <c r="D9" s="9">
        <v>33</v>
      </c>
      <c r="E9" s="9">
        <v>499</v>
      </c>
      <c r="F9" s="9">
        <v>42</v>
      </c>
      <c r="G9" s="9">
        <v>35</v>
      </c>
      <c r="H9" s="9">
        <v>45</v>
      </c>
      <c r="I9" s="9">
        <v>6</v>
      </c>
      <c r="J9" s="9" t="s">
        <v>151</v>
      </c>
      <c r="K9" s="9">
        <v>1626</v>
      </c>
      <c r="M9" s="9"/>
      <c r="N9" s="9"/>
      <c r="O9" s="9"/>
      <c r="P9" s="9"/>
      <c r="Q9" s="9"/>
      <c r="R9" s="9"/>
      <c r="S9" s="9"/>
      <c r="T9" s="9"/>
      <c r="U9" s="9"/>
    </row>
    <row r="10" spans="1:23" x14ac:dyDescent="0.25">
      <c r="A10" s="197"/>
      <c r="B10" s="10" t="s">
        <v>12</v>
      </c>
      <c r="C10" s="102">
        <v>10387</v>
      </c>
      <c r="D10" s="102">
        <v>790</v>
      </c>
      <c r="E10" s="102">
        <v>8441</v>
      </c>
      <c r="F10" s="102">
        <v>2732</v>
      </c>
      <c r="G10" s="102">
        <v>1421</v>
      </c>
      <c r="H10" s="102">
        <v>245</v>
      </c>
      <c r="I10" s="102">
        <v>258</v>
      </c>
      <c r="J10" s="102" t="s">
        <v>151</v>
      </c>
      <c r="K10" s="102">
        <v>24274</v>
      </c>
      <c r="M10" s="9"/>
      <c r="N10" s="9"/>
      <c r="O10" s="9"/>
      <c r="P10" s="9"/>
      <c r="Q10" s="9"/>
      <c r="R10" s="9"/>
      <c r="S10" s="9"/>
      <c r="T10" s="9"/>
      <c r="U10" s="9"/>
    </row>
    <row r="11" spans="1:23" x14ac:dyDescent="0.25">
      <c r="A11" s="197" t="s">
        <v>20</v>
      </c>
      <c r="B11" s="4" t="s">
        <v>184</v>
      </c>
      <c r="C11" s="9">
        <v>2830</v>
      </c>
      <c r="D11" s="9">
        <v>2566</v>
      </c>
      <c r="E11" s="9">
        <v>1838</v>
      </c>
      <c r="F11" s="9">
        <v>1124</v>
      </c>
      <c r="G11" s="9">
        <v>455</v>
      </c>
      <c r="H11" s="9">
        <v>209</v>
      </c>
      <c r="I11" s="9">
        <v>247</v>
      </c>
      <c r="J11" s="9" t="s">
        <v>151</v>
      </c>
      <c r="K11" s="9">
        <v>9269</v>
      </c>
      <c r="M11" s="9"/>
      <c r="N11" s="9"/>
      <c r="O11" s="9"/>
      <c r="P11" s="9"/>
      <c r="Q11" s="9"/>
      <c r="R11" s="9"/>
      <c r="S11" s="9"/>
      <c r="T11" s="9"/>
      <c r="U11" s="9"/>
    </row>
    <row r="12" spans="1:23" x14ac:dyDescent="0.25">
      <c r="A12" s="197"/>
      <c r="B12" s="4" t="s">
        <v>185</v>
      </c>
      <c r="C12" s="9">
        <v>670</v>
      </c>
      <c r="D12" s="9">
        <v>525</v>
      </c>
      <c r="E12" s="9">
        <v>529</v>
      </c>
      <c r="F12" s="9">
        <v>184</v>
      </c>
      <c r="G12" s="9">
        <v>208</v>
      </c>
      <c r="H12" s="9">
        <v>59</v>
      </c>
      <c r="I12" s="9">
        <v>102</v>
      </c>
      <c r="J12" s="9" t="s">
        <v>151</v>
      </c>
      <c r="K12" s="9">
        <v>2277</v>
      </c>
      <c r="M12" s="9"/>
      <c r="N12" s="9"/>
      <c r="O12" s="9"/>
      <c r="P12" s="9"/>
      <c r="Q12" s="9"/>
      <c r="R12" s="9"/>
      <c r="S12" s="9"/>
      <c r="T12" s="9"/>
      <c r="U12" s="9"/>
    </row>
    <row r="13" spans="1:23" x14ac:dyDescent="0.25">
      <c r="A13" s="197"/>
      <c r="B13" s="4" t="s">
        <v>186</v>
      </c>
      <c r="C13" s="9">
        <v>1115</v>
      </c>
      <c r="D13" s="9">
        <v>326</v>
      </c>
      <c r="E13" s="9">
        <v>472</v>
      </c>
      <c r="F13" s="9">
        <v>227</v>
      </c>
      <c r="G13" s="9">
        <v>155</v>
      </c>
      <c r="H13" s="9">
        <v>52</v>
      </c>
      <c r="I13" s="9">
        <v>43</v>
      </c>
      <c r="J13" s="9" t="s">
        <v>151</v>
      </c>
      <c r="K13" s="9">
        <v>2390</v>
      </c>
      <c r="M13" s="9"/>
      <c r="N13" s="9"/>
      <c r="O13" s="9"/>
      <c r="P13" s="9"/>
      <c r="Q13" s="9"/>
      <c r="R13" s="9"/>
      <c r="S13" s="9"/>
      <c r="T13" s="9"/>
      <c r="U13" s="9"/>
    </row>
    <row r="14" spans="1:23" x14ac:dyDescent="0.25">
      <c r="A14" s="197"/>
      <c r="B14" s="4" t="s">
        <v>187</v>
      </c>
      <c r="C14" s="9">
        <v>740</v>
      </c>
      <c r="D14" s="9">
        <v>120</v>
      </c>
      <c r="E14" s="9">
        <v>244</v>
      </c>
      <c r="F14" s="9">
        <v>119</v>
      </c>
      <c r="G14" s="9">
        <v>65</v>
      </c>
      <c r="H14" s="9" t="s">
        <v>443</v>
      </c>
      <c r="I14" s="9" t="s">
        <v>443</v>
      </c>
      <c r="J14" s="9" t="s">
        <v>151</v>
      </c>
      <c r="K14" s="9">
        <v>1325</v>
      </c>
      <c r="M14" s="9"/>
      <c r="N14" s="9"/>
      <c r="O14" s="9"/>
      <c r="P14" s="9"/>
      <c r="Q14" s="9"/>
      <c r="R14" s="9"/>
      <c r="S14" s="9"/>
      <c r="T14" s="9"/>
      <c r="U14" s="9"/>
    </row>
    <row r="15" spans="1:23" x14ac:dyDescent="0.25">
      <c r="A15" s="197"/>
      <c r="B15" s="4" t="s">
        <v>188</v>
      </c>
      <c r="C15" s="9">
        <v>465</v>
      </c>
      <c r="D15" s="9">
        <v>86</v>
      </c>
      <c r="E15" s="9">
        <v>153</v>
      </c>
      <c r="F15" s="9">
        <v>37</v>
      </c>
      <c r="G15" s="9">
        <v>15</v>
      </c>
      <c r="H15" s="9" t="s">
        <v>443</v>
      </c>
      <c r="I15" s="9" t="s">
        <v>443</v>
      </c>
      <c r="J15" s="9" t="s">
        <v>151</v>
      </c>
      <c r="K15" s="9">
        <v>786</v>
      </c>
      <c r="M15" s="9"/>
      <c r="N15" s="9"/>
      <c r="O15" s="9"/>
      <c r="P15" s="9"/>
      <c r="Q15" s="9"/>
      <c r="R15" s="9"/>
      <c r="S15" s="9"/>
      <c r="T15" s="9"/>
      <c r="U15" s="9"/>
    </row>
    <row r="16" spans="1:23" x14ac:dyDescent="0.25">
      <c r="A16" s="197"/>
      <c r="B16" s="4" t="s">
        <v>101</v>
      </c>
      <c r="C16" s="9">
        <v>773</v>
      </c>
      <c r="D16" s="9">
        <v>160</v>
      </c>
      <c r="E16" s="9">
        <v>239</v>
      </c>
      <c r="F16" s="9">
        <v>23</v>
      </c>
      <c r="G16" s="9">
        <v>29</v>
      </c>
      <c r="H16" s="9">
        <v>78</v>
      </c>
      <c r="I16" s="9">
        <v>9</v>
      </c>
      <c r="J16" s="9" t="s">
        <v>151</v>
      </c>
      <c r="K16" s="9">
        <v>1311</v>
      </c>
      <c r="M16" s="9"/>
      <c r="N16" s="9"/>
      <c r="O16" s="9"/>
      <c r="P16" s="9"/>
      <c r="Q16" s="9"/>
      <c r="R16" s="9"/>
      <c r="S16" s="9"/>
      <c r="T16" s="9"/>
      <c r="U16" s="9"/>
    </row>
    <row r="17" spans="1:33" x14ac:dyDescent="0.25">
      <c r="A17" s="197"/>
      <c r="B17" s="10" t="s">
        <v>12</v>
      </c>
      <c r="C17" s="102">
        <v>6593</v>
      </c>
      <c r="D17" s="102">
        <v>3783</v>
      </c>
      <c r="E17" s="102">
        <v>3475</v>
      </c>
      <c r="F17" s="102">
        <v>1714</v>
      </c>
      <c r="G17" s="102">
        <v>927</v>
      </c>
      <c r="H17" s="102">
        <v>443</v>
      </c>
      <c r="I17" s="102">
        <v>423</v>
      </c>
      <c r="J17" s="102" t="s">
        <v>151</v>
      </c>
      <c r="K17" s="102">
        <v>17358</v>
      </c>
      <c r="M17" s="9"/>
      <c r="N17" s="9"/>
      <c r="O17" s="9"/>
      <c r="P17" s="9"/>
      <c r="Q17" s="9"/>
      <c r="R17" s="9"/>
      <c r="S17" s="9"/>
      <c r="T17" s="9"/>
      <c r="U17" s="9"/>
      <c r="V17" s="123"/>
    </row>
    <row r="18" spans="1:33" x14ac:dyDescent="0.25">
      <c r="A18" s="197" t="s">
        <v>21</v>
      </c>
      <c r="B18" s="4" t="s">
        <v>184</v>
      </c>
      <c r="C18" s="9">
        <v>139</v>
      </c>
      <c r="D18" s="47">
        <v>7</v>
      </c>
      <c r="E18" s="9">
        <v>5</v>
      </c>
      <c r="F18" s="47" t="s">
        <v>146</v>
      </c>
      <c r="G18" s="9">
        <v>3</v>
      </c>
      <c r="H18" s="47" t="s">
        <v>146</v>
      </c>
      <c r="I18" s="9" t="s">
        <v>146</v>
      </c>
      <c r="J18" s="9" t="s">
        <v>151</v>
      </c>
      <c r="K18" s="9">
        <v>154</v>
      </c>
      <c r="M18" s="9"/>
      <c r="N18" s="9"/>
      <c r="O18" s="9"/>
      <c r="P18" s="9"/>
      <c r="Q18" s="9"/>
      <c r="R18" s="9"/>
      <c r="S18" s="9"/>
      <c r="T18" s="9"/>
      <c r="U18" s="9"/>
    </row>
    <row r="19" spans="1:33" x14ac:dyDescent="0.25">
      <c r="A19" s="197"/>
      <c r="B19" s="4" t="s">
        <v>185</v>
      </c>
      <c r="C19" s="9">
        <v>22</v>
      </c>
      <c r="D19" s="47">
        <v>1</v>
      </c>
      <c r="E19" s="9">
        <v>1</v>
      </c>
      <c r="F19" s="47" t="s">
        <v>146</v>
      </c>
      <c r="G19" s="47">
        <v>1</v>
      </c>
      <c r="H19" s="9">
        <v>2</v>
      </c>
      <c r="I19" s="9" t="s">
        <v>146</v>
      </c>
      <c r="J19" s="9" t="s">
        <v>151</v>
      </c>
      <c r="K19" s="9">
        <v>27</v>
      </c>
      <c r="M19" s="9"/>
      <c r="N19" s="9"/>
      <c r="O19" s="9"/>
      <c r="P19" s="9"/>
      <c r="Q19" s="9"/>
      <c r="R19" s="9"/>
      <c r="S19" s="9"/>
      <c r="T19" s="9"/>
      <c r="U19" s="9"/>
    </row>
    <row r="20" spans="1:33" x14ac:dyDescent="0.25">
      <c r="A20" s="197"/>
      <c r="B20" s="4" t="s">
        <v>186</v>
      </c>
      <c r="C20" s="9">
        <v>27</v>
      </c>
      <c r="D20" s="47" t="s">
        <v>146</v>
      </c>
      <c r="E20" s="9">
        <v>4</v>
      </c>
      <c r="F20" s="47" t="s">
        <v>146</v>
      </c>
      <c r="G20" s="9">
        <v>4</v>
      </c>
      <c r="H20" s="9">
        <v>1</v>
      </c>
      <c r="I20" s="47" t="s">
        <v>146</v>
      </c>
      <c r="J20" s="9" t="s">
        <v>151</v>
      </c>
      <c r="K20" s="9">
        <v>36</v>
      </c>
      <c r="M20" s="9"/>
      <c r="N20" s="9"/>
      <c r="O20" s="9"/>
      <c r="P20" s="9"/>
      <c r="Q20" s="9"/>
      <c r="R20" s="9"/>
      <c r="S20" s="9"/>
      <c r="T20" s="9"/>
      <c r="U20" s="9"/>
    </row>
    <row r="21" spans="1:33" x14ac:dyDescent="0.25">
      <c r="A21" s="197"/>
      <c r="B21" s="4" t="s">
        <v>187</v>
      </c>
      <c r="C21" s="9">
        <v>5</v>
      </c>
      <c r="D21" s="47" t="s">
        <v>146</v>
      </c>
      <c r="E21" s="9">
        <v>1</v>
      </c>
      <c r="F21" s="47" t="s">
        <v>146</v>
      </c>
      <c r="G21" s="47" t="s">
        <v>146</v>
      </c>
      <c r="H21" s="47" t="s">
        <v>146</v>
      </c>
      <c r="I21" s="47" t="s">
        <v>146</v>
      </c>
      <c r="J21" s="9" t="s">
        <v>151</v>
      </c>
      <c r="K21" s="9">
        <v>6</v>
      </c>
      <c r="M21" s="9"/>
      <c r="N21" s="9"/>
      <c r="O21" s="9"/>
      <c r="P21" s="9"/>
      <c r="Q21" s="9"/>
      <c r="R21" s="9"/>
      <c r="S21" s="9"/>
      <c r="T21" s="9"/>
      <c r="U21" s="9"/>
    </row>
    <row r="22" spans="1:33" x14ac:dyDescent="0.25">
      <c r="A22" s="197"/>
      <c r="B22" s="4" t="s">
        <v>188</v>
      </c>
      <c r="C22" s="9">
        <v>12</v>
      </c>
      <c r="D22" s="9" t="s">
        <v>146</v>
      </c>
      <c r="E22" s="9" t="s">
        <v>146</v>
      </c>
      <c r="F22" s="47" t="s">
        <v>146</v>
      </c>
      <c r="G22" s="47" t="s">
        <v>146</v>
      </c>
      <c r="H22" s="47" t="s">
        <v>146</v>
      </c>
      <c r="I22" s="47" t="s">
        <v>146</v>
      </c>
      <c r="J22" s="9" t="s">
        <v>151</v>
      </c>
      <c r="K22" s="9">
        <v>12</v>
      </c>
      <c r="M22" s="9"/>
      <c r="N22" s="9"/>
      <c r="O22" s="9"/>
      <c r="P22" s="9"/>
      <c r="Q22" s="9"/>
      <c r="R22" s="9"/>
      <c r="S22" s="9"/>
      <c r="T22" s="9"/>
      <c r="U22" s="9"/>
    </row>
    <row r="23" spans="1:33" x14ac:dyDescent="0.25">
      <c r="A23" s="197"/>
      <c r="B23" s="4" t="s">
        <v>101</v>
      </c>
      <c r="C23" s="9">
        <v>18</v>
      </c>
      <c r="D23" s="47" t="s">
        <v>146</v>
      </c>
      <c r="E23" s="9" t="s">
        <v>146</v>
      </c>
      <c r="F23" s="47" t="s">
        <v>146</v>
      </c>
      <c r="G23" s="47" t="s">
        <v>146</v>
      </c>
      <c r="H23" s="47" t="s">
        <v>146</v>
      </c>
      <c r="I23" s="9" t="s">
        <v>146</v>
      </c>
      <c r="J23" s="9" t="s">
        <v>151</v>
      </c>
      <c r="K23" s="9">
        <v>18</v>
      </c>
      <c r="M23" s="9"/>
      <c r="N23" s="9"/>
      <c r="O23" s="9"/>
      <c r="P23" s="9"/>
      <c r="Q23" s="9"/>
      <c r="R23" s="9"/>
      <c r="S23" s="9"/>
      <c r="T23" s="9"/>
      <c r="U23" s="9"/>
    </row>
    <row r="24" spans="1:33" x14ac:dyDescent="0.25">
      <c r="A24" s="197"/>
      <c r="B24" s="10" t="s">
        <v>12</v>
      </c>
      <c r="C24" s="102">
        <v>223</v>
      </c>
      <c r="D24" s="102">
        <v>8</v>
      </c>
      <c r="E24" s="102">
        <v>11</v>
      </c>
      <c r="F24" s="47" t="s">
        <v>146</v>
      </c>
      <c r="G24" s="102">
        <v>8</v>
      </c>
      <c r="H24" s="102">
        <v>3</v>
      </c>
      <c r="I24" s="9" t="s">
        <v>146</v>
      </c>
      <c r="J24" s="102" t="s">
        <v>151</v>
      </c>
      <c r="K24" s="102">
        <v>253</v>
      </c>
      <c r="M24" s="9"/>
      <c r="N24" s="9"/>
      <c r="O24" s="9"/>
      <c r="P24" s="9"/>
      <c r="Q24" s="9"/>
      <c r="R24" s="9"/>
      <c r="S24" s="9"/>
      <c r="T24" s="9"/>
      <c r="U24" s="9"/>
      <c r="V24" s="123"/>
      <c r="W24" s="123"/>
      <c r="X24" s="123"/>
      <c r="Y24" s="123"/>
      <c r="Z24" s="123"/>
      <c r="AA24" s="123"/>
      <c r="AB24" s="123"/>
      <c r="AC24" s="123"/>
      <c r="AD24" s="123"/>
      <c r="AE24" s="123"/>
      <c r="AF24" s="123"/>
      <c r="AG24" s="123"/>
    </row>
    <row r="25" spans="1:33" x14ac:dyDescent="0.25">
      <c r="A25" s="202" t="s">
        <v>12</v>
      </c>
      <c r="B25" s="4" t="s">
        <v>184</v>
      </c>
      <c r="C25" s="9">
        <v>6648</v>
      </c>
      <c r="D25" s="9">
        <v>3070</v>
      </c>
      <c r="E25" s="9">
        <v>6446</v>
      </c>
      <c r="F25" s="9">
        <v>2893</v>
      </c>
      <c r="G25" s="9">
        <v>1155</v>
      </c>
      <c r="H25" s="9">
        <v>312</v>
      </c>
      <c r="I25" s="9">
        <v>404</v>
      </c>
      <c r="J25" s="9" t="s">
        <v>151</v>
      </c>
      <c r="K25" s="9">
        <v>20928</v>
      </c>
      <c r="M25" s="9"/>
      <c r="N25" s="9"/>
      <c r="O25" s="9"/>
      <c r="P25" s="9"/>
      <c r="Q25" s="9"/>
      <c r="R25" s="9"/>
      <c r="S25" s="9"/>
      <c r="T25" s="9"/>
      <c r="U25" s="9"/>
    </row>
    <row r="26" spans="1:33" x14ac:dyDescent="0.25">
      <c r="A26" s="202"/>
      <c r="B26" s="4" t="s">
        <v>185</v>
      </c>
      <c r="C26" s="9">
        <v>2596</v>
      </c>
      <c r="D26" s="9">
        <v>656</v>
      </c>
      <c r="E26" s="9">
        <v>1835</v>
      </c>
      <c r="F26" s="9">
        <v>527</v>
      </c>
      <c r="G26" s="9">
        <v>552</v>
      </c>
      <c r="H26" s="9">
        <v>89</v>
      </c>
      <c r="I26" s="9">
        <v>165</v>
      </c>
      <c r="J26" s="9" t="s">
        <v>151</v>
      </c>
      <c r="K26" s="9">
        <v>6420</v>
      </c>
      <c r="M26" s="9"/>
      <c r="N26" s="9"/>
      <c r="O26" s="9"/>
      <c r="P26" s="9"/>
      <c r="Q26" s="9"/>
      <c r="R26" s="9"/>
      <c r="S26" s="9"/>
      <c r="T26" s="9"/>
      <c r="U26" s="9"/>
    </row>
    <row r="27" spans="1:33" x14ac:dyDescent="0.25">
      <c r="A27" s="202"/>
      <c r="B27" s="4" t="s">
        <v>186</v>
      </c>
      <c r="C27" s="9">
        <v>3199</v>
      </c>
      <c r="D27" s="9">
        <v>402</v>
      </c>
      <c r="E27" s="9">
        <v>1505</v>
      </c>
      <c r="F27" s="9">
        <v>594</v>
      </c>
      <c r="G27" s="9">
        <v>375</v>
      </c>
      <c r="H27" s="9">
        <v>84</v>
      </c>
      <c r="I27" s="9">
        <v>64</v>
      </c>
      <c r="J27" s="9" t="s">
        <v>151</v>
      </c>
      <c r="K27" s="9">
        <v>6223</v>
      </c>
      <c r="M27" s="9"/>
      <c r="N27" s="9"/>
      <c r="O27" s="9"/>
      <c r="P27" s="9"/>
      <c r="Q27" s="9"/>
      <c r="R27" s="9"/>
      <c r="S27" s="9"/>
      <c r="T27" s="9"/>
      <c r="U27" s="9"/>
    </row>
    <row r="28" spans="1:33" x14ac:dyDescent="0.25">
      <c r="A28" s="202"/>
      <c r="B28" s="4" t="s">
        <v>187</v>
      </c>
      <c r="C28" s="9">
        <v>1814</v>
      </c>
      <c r="D28" s="9">
        <v>155</v>
      </c>
      <c r="E28" s="9">
        <v>903</v>
      </c>
      <c r="F28" s="9">
        <v>274</v>
      </c>
      <c r="G28" s="9">
        <v>160</v>
      </c>
      <c r="H28" s="9">
        <v>42</v>
      </c>
      <c r="I28" s="9">
        <v>26</v>
      </c>
      <c r="J28" s="9" t="s">
        <v>151</v>
      </c>
      <c r="K28" s="9">
        <v>3374</v>
      </c>
      <c r="M28" s="9"/>
      <c r="N28" s="9"/>
      <c r="O28" s="9"/>
      <c r="P28" s="9"/>
      <c r="Q28" s="9"/>
      <c r="R28" s="9"/>
      <c r="S28" s="9"/>
      <c r="T28" s="9"/>
      <c r="U28" s="9"/>
    </row>
    <row r="29" spans="1:33" x14ac:dyDescent="0.25">
      <c r="A29" s="202"/>
      <c r="B29" s="4" t="s">
        <v>188</v>
      </c>
      <c r="C29" s="9">
        <v>1189</v>
      </c>
      <c r="D29" s="9">
        <v>105</v>
      </c>
      <c r="E29" s="9">
        <v>500</v>
      </c>
      <c r="F29" s="9">
        <v>93</v>
      </c>
      <c r="G29" s="9">
        <v>50</v>
      </c>
      <c r="H29" s="9">
        <v>41</v>
      </c>
      <c r="I29" s="9">
        <v>7</v>
      </c>
      <c r="J29" s="9" t="s">
        <v>151</v>
      </c>
      <c r="K29" s="9">
        <v>1985</v>
      </c>
      <c r="M29" s="9"/>
      <c r="N29" s="9"/>
      <c r="O29" s="9"/>
      <c r="P29" s="9"/>
      <c r="Q29" s="9"/>
      <c r="R29" s="9"/>
      <c r="S29" s="9"/>
      <c r="T29" s="9"/>
      <c r="U29" s="9"/>
    </row>
    <row r="30" spans="1:33" x14ac:dyDescent="0.25">
      <c r="A30" s="202"/>
      <c r="B30" s="4" t="s">
        <v>101</v>
      </c>
      <c r="C30" s="9">
        <v>1757</v>
      </c>
      <c r="D30" s="9">
        <v>193</v>
      </c>
      <c r="E30" s="9">
        <v>738</v>
      </c>
      <c r="F30" s="9">
        <v>65</v>
      </c>
      <c r="G30" s="9">
        <v>64</v>
      </c>
      <c r="H30" s="9">
        <v>123</v>
      </c>
      <c r="I30" s="9">
        <v>15</v>
      </c>
      <c r="J30" s="9" t="s">
        <v>151</v>
      </c>
      <c r="K30" s="9">
        <v>2955</v>
      </c>
      <c r="M30" s="9"/>
      <c r="N30" s="9"/>
      <c r="O30" s="9"/>
      <c r="P30" s="9"/>
      <c r="Q30" s="9"/>
      <c r="R30" s="9"/>
      <c r="S30" s="9"/>
      <c r="T30" s="9"/>
      <c r="U30" s="9"/>
    </row>
    <row r="31" spans="1:33" x14ac:dyDescent="0.25">
      <c r="A31" s="202"/>
      <c r="B31" s="10" t="s">
        <v>12</v>
      </c>
      <c r="C31" s="102">
        <v>17203</v>
      </c>
      <c r="D31" s="102">
        <v>4581</v>
      </c>
      <c r="E31" s="102">
        <v>11927</v>
      </c>
      <c r="F31" s="102">
        <v>4446</v>
      </c>
      <c r="G31" s="102">
        <v>2356</v>
      </c>
      <c r="H31" s="102">
        <v>691</v>
      </c>
      <c r="I31" s="102">
        <v>681</v>
      </c>
      <c r="J31" s="102" t="s">
        <v>151</v>
      </c>
      <c r="K31" s="102">
        <v>41885</v>
      </c>
      <c r="M31" s="9"/>
      <c r="N31" s="9"/>
      <c r="O31" s="9"/>
      <c r="P31" s="9"/>
      <c r="Q31" s="9"/>
      <c r="R31" s="9"/>
      <c r="S31" s="9"/>
      <c r="T31" s="9"/>
      <c r="U31" s="9"/>
    </row>
    <row r="32" spans="1:33" ht="3.75" customHeight="1" x14ac:dyDescent="0.25">
      <c r="A32" s="219"/>
      <c r="B32" s="71"/>
      <c r="C32" s="42"/>
      <c r="D32" s="42"/>
      <c r="E32" s="42"/>
      <c r="F32" s="42"/>
      <c r="G32" s="42"/>
      <c r="H32" s="42"/>
      <c r="I32" s="42"/>
      <c r="J32" s="42"/>
      <c r="K32" s="42"/>
      <c r="M32" s="123"/>
      <c r="N32" s="123"/>
    </row>
    <row r="33" spans="1:22" ht="0.75" customHeight="1" x14ac:dyDescent="0.25">
      <c r="A33" s="6"/>
      <c r="M33" s="123"/>
      <c r="N33" s="123"/>
    </row>
    <row r="34" spans="1:22" ht="11.25" customHeight="1" x14ac:dyDescent="0.25">
      <c r="A34" s="6" t="s">
        <v>252</v>
      </c>
      <c r="M34" s="123"/>
      <c r="N34" s="123"/>
      <c r="O34" s="123"/>
      <c r="P34" s="123"/>
      <c r="Q34" s="123"/>
      <c r="R34" s="123"/>
      <c r="S34" s="123"/>
      <c r="T34" s="123"/>
      <c r="U34" s="123"/>
      <c r="V34" s="123"/>
    </row>
    <row r="35" spans="1:22" ht="14.25" customHeight="1" x14ac:dyDescent="0.25">
      <c r="A35" s="193" t="s">
        <v>224</v>
      </c>
      <c r="B35" s="193"/>
      <c r="C35" s="193"/>
      <c r="D35" s="193"/>
      <c r="E35" s="193"/>
      <c r="F35" s="193"/>
      <c r="G35" s="193"/>
      <c r="H35" s="193"/>
      <c r="I35" s="193"/>
      <c r="J35" s="193"/>
      <c r="K35" s="193"/>
      <c r="L35" s="193"/>
      <c r="M35" s="193"/>
    </row>
    <row r="36" spans="1:22" ht="10.5" customHeight="1" x14ac:dyDescent="0.25">
      <c r="A36" s="6" t="s">
        <v>39</v>
      </c>
      <c r="B36" s="6"/>
      <c r="C36" s="6"/>
      <c r="D36" s="6"/>
      <c r="E36" s="6"/>
      <c r="F36" s="6"/>
      <c r="G36" s="6"/>
      <c r="H36" s="6"/>
      <c r="I36" s="6"/>
      <c r="J36" s="6"/>
      <c r="K36" s="6"/>
      <c r="L36" s="6"/>
      <c r="M36" s="6"/>
    </row>
    <row r="37" spans="1:22" ht="10.5" customHeight="1" x14ac:dyDescent="0.25">
      <c r="A37" s="6" t="s">
        <v>384</v>
      </c>
      <c r="B37" s="6"/>
      <c r="C37" s="6"/>
      <c r="D37" s="6"/>
      <c r="E37" s="6"/>
      <c r="F37" s="6"/>
      <c r="G37" s="6"/>
      <c r="H37" s="6"/>
      <c r="I37" s="6"/>
      <c r="J37" s="6"/>
      <c r="K37" s="6"/>
      <c r="L37" s="6"/>
      <c r="M37" s="6"/>
    </row>
    <row r="38" spans="1:22" x14ac:dyDescent="0.25">
      <c r="A38" s="94"/>
      <c r="B38" s="6"/>
      <c r="C38" s="6"/>
      <c r="D38" s="6"/>
      <c r="E38" s="6"/>
      <c r="F38" s="6"/>
      <c r="G38" s="6"/>
      <c r="H38" s="6"/>
      <c r="I38" s="6"/>
      <c r="J38" s="6"/>
      <c r="K38" s="6"/>
      <c r="L38" s="6"/>
      <c r="M38" s="6"/>
    </row>
    <row r="39" spans="1:22" s="7" customFormat="1" ht="9" x14ac:dyDescent="0.15">
      <c r="A39" s="7" t="s">
        <v>347</v>
      </c>
    </row>
    <row r="40" spans="1:22" x14ac:dyDescent="0.25">
      <c r="A40" s="2"/>
    </row>
  </sheetData>
  <mergeCells count="6">
    <mergeCell ref="A35:M35"/>
    <mergeCell ref="A1:M1"/>
    <mergeCell ref="A4:A10"/>
    <mergeCell ref="A11:A17"/>
    <mergeCell ref="A18:A24"/>
    <mergeCell ref="A25:A32"/>
  </mergeCells>
  <pageMargins left="0.08" right="0.08" top="1" bottom="1" header="0.5" footer="0.5"/>
  <pageSetup orientation="landscape" blackAndWhite="1"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X330"/>
  <sheetViews>
    <sheetView zoomScaleNormal="100" workbookViewId="0">
      <selection sqref="A1:K1"/>
    </sheetView>
  </sheetViews>
  <sheetFormatPr defaultColWidth="9.140625" defaultRowHeight="15" x14ac:dyDescent="0.25"/>
  <cols>
    <col min="1" max="2" width="21.140625" style="1" customWidth="1"/>
    <col min="3" max="11" width="11.42578125" style="24" bestFit="1" customWidth="1"/>
    <col min="12" max="16384" width="9.140625" style="1"/>
  </cols>
  <sheetData>
    <row r="1" spans="1:23" ht="15" customHeight="1" x14ac:dyDescent="0.25">
      <c r="A1" s="192" t="s">
        <v>387</v>
      </c>
      <c r="B1" s="192"/>
      <c r="C1" s="192"/>
      <c r="D1" s="192"/>
      <c r="E1" s="192"/>
      <c r="F1" s="192"/>
      <c r="G1" s="192"/>
      <c r="H1" s="192"/>
      <c r="I1" s="192"/>
      <c r="J1" s="192"/>
      <c r="K1" s="192"/>
    </row>
    <row r="2" spans="1:23" s="13" customFormat="1" ht="15" customHeight="1" x14ac:dyDescent="0.2">
      <c r="A2" s="13" t="s">
        <v>102</v>
      </c>
      <c r="C2" s="87"/>
      <c r="D2" s="87"/>
      <c r="E2" s="87"/>
      <c r="F2" s="87"/>
      <c r="G2" s="87"/>
      <c r="H2" s="87"/>
      <c r="I2" s="87"/>
      <c r="J2" s="87"/>
      <c r="K2" s="87"/>
    </row>
    <row r="3" spans="1:23" ht="1.5" customHeight="1" x14ac:dyDescent="0.25">
      <c r="A3" s="2"/>
    </row>
    <row r="4" spans="1:23" ht="15" customHeight="1" x14ac:dyDescent="0.25">
      <c r="A4" s="35" t="s">
        <v>157</v>
      </c>
      <c r="B4" s="35" t="s">
        <v>158</v>
      </c>
      <c r="C4" s="76" t="s">
        <v>1</v>
      </c>
      <c r="D4" s="76" t="s">
        <v>2</v>
      </c>
      <c r="E4" s="76" t="s">
        <v>3</v>
      </c>
      <c r="F4" s="76" t="s">
        <v>4</v>
      </c>
      <c r="G4" s="76" t="s">
        <v>5</v>
      </c>
      <c r="H4" s="76" t="s">
        <v>6</v>
      </c>
      <c r="I4" s="76" t="s">
        <v>7</v>
      </c>
      <c r="J4" s="76" t="s">
        <v>8</v>
      </c>
      <c r="K4" s="88" t="s">
        <v>9</v>
      </c>
    </row>
    <row r="5" spans="1:23" ht="15" customHeight="1" x14ac:dyDescent="0.25">
      <c r="A5" s="79" t="s">
        <v>18</v>
      </c>
      <c r="B5" s="80" t="s">
        <v>19</v>
      </c>
      <c r="C5" s="9">
        <v>345</v>
      </c>
      <c r="D5" s="9">
        <v>153</v>
      </c>
      <c r="E5" s="9">
        <v>728</v>
      </c>
      <c r="F5" s="9">
        <v>342</v>
      </c>
      <c r="G5" s="9">
        <v>169</v>
      </c>
      <c r="H5" s="9">
        <v>26</v>
      </c>
      <c r="I5" s="9">
        <v>34</v>
      </c>
      <c r="J5" s="9">
        <v>672</v>
      </c>
      <c r="K5" s="9">
        <v>2469</v>
      </c>
      <c r="M5" s="9"/>
      <c r="N5" s="9"/>
      <c r="O5" s="9"/>
      <c r="P5" s="9"/>
      <c r="Q5" s="9"/>
      <c r="R5" s="9"/>
      <c r="S5" s="9"/>
      <c r="T5" s="9"/>
      <c r="U5" s="9"/>
      <c r="W5" s="123"/>
    </row>
    <row r="6" spans="1:23" ht="15" customHeight="1" x14ac:dyDescent="0.25">
      <c r="A6" s="81"/>
      <c r="B6" s="82" t="s">
        <v>20</v>
      </c>
      <c r="C6" s="9">
        <v>184</v>
      </c>
      <c r="D6" s="9">
        <v>676</v>
      </c>
      <c r="E6" s="9">
        <v>389</v>
      </c>
      <c r="F6" s="9">
        <v>186</v>
      </c>
      <c r="G6" s="9">
        <v>139</v>
      </c>
      <c r="H6" s="9">
        <v>33</v>
      </c>
      <c r="I6" s="9">
        <v>74</v>
      </c>
      <c r="J6" s="9">
        <v>31</v>
      </c>
      <c r="K6" s="9">
        <v>1712</v>
      </c>
      <c r="M6" s="9"/>
      <c r="N6" s="9"/>
      <c r="O6" s="9"/>
      <c r="P6" s="9"/>
      <c r="Q6" s="9"/>
      <c r="R6" s="9"/>
      <c r="S6" s="9"/>
      <c r="T6" s="9"/>
      <c r="U6" s="9"/>
    </row>
    <row r="7" spans="1:23" ht="15" customHeight="1" x14ac:dyDescent="0.25">
      <c r="A7" s="81"/>
      <c r="B7" s="82" t="s">
        <v>21</v>
      </c>
      <c r="C7" s="9">
        <v>9</v>
      </c>
      <c r="D7" s="9">
        <v>3</v>
      </c>
      <c r="E7" s="9">
        <v>2</v>
      </c>
      <c r="F7" s="47" t="s">
        <v>146</v>
      </c>
      <c r="G7" s="9">
        <v>4</v>
      </c>
      <c r="H7" s="9">
        <v>1</v>
      </c>
      <c r="I7" s="47" t="s">
        <v>146</v>
      </c>
      <c r="J7" s="9">
        <v>17</v>
      </c>
      <c r="K7" s="9">
        <v>36</v>
      </c>
      <c r="M7" s="9"/>
      <c r="N7" s="9"/>
      <c r="O7" s="9"/>
      <c r="P7" s="78"/>
      <c r="Q7" s="9"/>
      <c r="R7" s="9"/>
      <c r="S7" s="9"/>
      <c r="T7" s="9"/>
      <c r="U7" s="9"/>
    </row>
    <row r="8" spans="1:23" ht="15" customHeight="1" x14ac:dyDescent="0.25">
      <c r="A8" s="81"/>
      <c r="B8" s="83" t="s">
        <v>12</v>
      </c>
      <c r="C8" s="102">
        <v>538</v>
      </c>
      <c r="D8" s="102">
        <v>832</v>
      </c>
      <c r="E8" s="102">
        <v>1119</v>
      </c>
      <c r="F8" s="102">
        <v>528</v>
      </c>
      <c r="G8" s="102">
        <v>312</v>
      </c>
      <c r="H8" s="102">
        <v>60</v>
      </c>
      <c r="I8" s="102">
        <v>108</v>
      </c>
      <c r="J8" s="102">
        <v>720</v>
      </c>
      <c r="K8" s="102">
        <v>4217</v>
      </c>
      <c r="M8" s="102"/>
      <c r="N8" s="102"/>
      <c r="O8" s="102"/>
      <c r="P8" s="102"/>
      <c r="Q8" s="102"/>
      <c r="R8" s="102"/>
      <c r="S8" s="102"/>
      <c r="T8" s="102"/>
      <c r="U8" s="102"/>
    </row>
    <row r="9" spans="1:23" ht="15" customHeight="1" x14ac:dyDescent="0.25">
      <c r="A9" s="81" t="s">
        <v>22</v>
      </c>
      <c r="B9" s="82" t="s">
        <v>19</v>
      </c>
      <c r="C9" s="9">
        <v>66</v>
      </c>
      <c r="D9" s="9">
        <v>27</v>
      </c>
      <c r="E9" s="9">
        <v>258</v>
      </c>
      <c r="F9" s="9">
        <v>81</v>
      </c>
      <c r="G9" s="9">
        <v>76</v>
      </c>
      <c r="H9" s="9">
        <v>13</v>
      </c>
      <c r="I9" s="9">
        <v>10</v>
      </c>
      <c r="J9" s="9">
        <v>156</v>
      </c>
      <c r="K9" s="9">
        <v>687</v>
      </c>
      <c r="M9" s="9"/>
      <c r="N9" s="9"/>
      <c r="O9" s="9"/>
      <c r="P9" s="9"/>
      <c r="Q9" s="9"/>
      <c r="R9" s="9"/>
      <c r="S9" s="9"/>
      <c r="T9" s="9"/>
      <c r="U9" s="9"/>
    </row>
    <row r="10" spans="1:23" ht="15" customHeight="1" x14ac:dyDescent="0.25">
      <c r="A10" s="81"/>
      <c r="B10" s="82" t="s">
        <v>20</v>
      </c>
      <c r="C10" s="9">
        <v>42</v>
      </c>
      <c r="D10" s="9">
        <v>85</v>
      </c>
      <c r="E10" s="9">
        <v>91</v>
      </c>
      <c r="F10" s="9">
        <v>39</v>
      </c>
      <c r="G10" s="9">
        <v>37</v>
      </c>
      <c r="H10" s="9">
        <v>13</v>
      </c>
      <c r="I10" s="9">
        <v>27</v>
      </c>
      <c r="J10" s="9">
        <v>1</v>
      </c>
      <c r="K10" s="9">
        <v>335</v>
      </c>
      <c r="M10" s="9"/>
      <c r="N10" s="9"/>
      <c r="O10" s="9"/>
      <c r="P10" s="9"/>
      <c r="Q10" s="9"/>
      <c r="R10" s="9"/>
      <c r="S10" s="9"/>
      <c r="T10" s="9"/>
      <c r="U10" s="9"/>
    </row>
    <row r="11" spans="1:23" ht="15" customHeight="1" x14ac:dyDescent="0.25">
      <c r="A11" s="81"/>
      <c r="B11" s="82" t="s">
        <v>21</v>
      </c>
      <c r="C11" s="9">
        <v>2</v>
      </c>
      <c r="D11" s="47" t="s">
        <v>146</v>
      </c>
      <c r="E11" s="47" t="s">
        <v>146</v>
      </c>
      <c r="F11" s="47" t="s">
        <v>146</v>
      </c>
      <c r="G11" s="47" t="s">
        <v>146</v>
      </c>
      <c r="H11" s="9">
        <v>1</v>
      </c>
      <c r="I11" s="47" t="s">
        <v>146</v>
      </c>
      <c r="J11" s="9">
        <v>5</v>
      </c>
      <c r="K11" s="9">
        <v>8</v>
      </c>
      <c r="M11" s="9"/>
      <c r="N11" s="9"/>
      <c r="O11" s="9"/>
      <c r="P11" s="9"/>
      <c r="Q11" s="9"/>
      <c r="R11" s="9"/>
      <c r="S11" s="9"/>
      <c r="T11" s="9"/>
      <c r="U11" s="9"/>
    </row>
    <row r="12" spans="1:23" ht="15" customHeight="1" x14ac:dyDescent="0.25">
      <c r="A12" s="81"/>
      <c r="B12" s="83" t="s">
        <v>12</v>
      </c>
      <c r="C12" s="102">
        <v>110</v>
      </c>
      <c r="D12" s="102">
        <v>112</v>
      </c>
      <c r="E12" s="102">
        <v>349</v>
      </c>
      <c r="F12" s="102">
        <v>120</v>
      </c>
      <c r="G12" s="102">
        <v>113</v>
      </c>
      <c r="H12" s="102">
        <v>27</v>
      </c>
      <c r="I12" s="102">
        <v>37</v>
      </c>
      <c r="J12" s="102">
        <v>162</v>
      </c>
      <c r="K12" s="102">
        <v>1030</v>
      </c>
      <c r="M12" s="102"/>
      <c r="N12" s="102"/>
      <c r="O12" s="102"/>
      <c r="P12" s="102"/>
      <c r="Q12" s="102"/>
      <c r="R12" s="102"/>
      <c r="S12" s="102"/>
      <c r="T12" s="102"/>
      <c r="U12" s="102"/>
    </row>
    <row r="13" spans="1:23" ht="15" customHeight="1" x14ac:dyDescent="0.25">
      <c r="A13" s="83" t="s">
        <v>12</v>
      </c>
      <c r="B13" s="82" t="s">
        <v>19</v>
      </c>
      <c r="C13" s="9">
        <v>411</v>
      </c>
      <c r="D13" s="9">
        <v>180</v>
      </c>
      <c r="E13" s="9">
        <v>986</v>
      </c>
      <c r="F13" s="9">
        <v>423</v>
      </c>
      <c r="G13" s="9">
        <v>245</v>
      </c>
      <c r="H13" s="9">
        <v>39</v>
      </c>
      <c r="I13" s="9">
        <v>44</v>
      </c>
      <c r="J13" s="9">
        <v>828</v>
      </c>
      <c r="K13" s="9">
        <v>3156</v>
      </c>
      <c r="M13" s="9"/>
      <c r="N13" s="9"/>
      <c r="O13" s="9"/>
      <c r="P13" s="9"/>
      <c r="Q13" s="9"/>
      <c r="R13" s="9"/>
      <c r="S13" s="9"/>
      <c r="T13" s="9"/>
      <c r="U13" s="9"/>
    </row>
    <row r="14" spans="1:23" ht="15" customHeight="1" x14ac:dyDescent="0.25">
      <c r="A14" s="83"/>
      <c r="B14" s="82" t="s">
        <v>20</v>
      </c>
      <c r="C14" s="9">
        <v>226</v>
      </c>
      <c r="D14" s="9">
        <v>761</v>
      </c>
      <c r="E14" s="9">
        <v>480</v>
      </c>
      <c r="F14" s="9">
        <v>225</v>
      </c>
      <c r="G14" s="9">
        <v>176</v>
      </c>
      <c r="H14" s="9">
        <v>46</v>
      </c>
      <c r="I14" s="9">
        <v>101</v>
      </c>
      <c r="J14" s="9">
        <v>32</v>
      </c>
      <c r="K14" s="9">
        <v>2047</v>
      </c>
      <c r="M14" s="9"/>
      <c r="N14" s="9"/>
      <c r="O14" s="9"/>
      <c r="P14" s="9"/>
      <c r="Q14" s="9"/>
      <c r="R14" s="9"/>
      <c r="S14" s="9"/>
      <c r="T14" s="9"/>
      <c r="U14" s="9"/>
    </row>
    <row r="15" spans="1:23" ht="15" customHeight="1" x14ac:dyDescent="0.25">
      <c r="A15" s="83"/>
      <c r="B15" s="82" t="s">
        <v>21</v>
      </c>
      <c r="C15" s="9">
        <v>11</v>
      </c>
      <c r="D15" s="9">
        <v>3</v>
      </c>
      <c r="E15" s="9">
        <v>2</v>
      </c>
      <c r="F15" s="47" t="s">
        <v>146</v>
      </c>
      <c r="G15" s="9">
        <v>4</v>
      </c>
      <c r="H15" s="9">
        <v>2</v>
      </c>
      <c r="I15" s="47" t="s">
        <v>146</v>
      </c>
      <c r="J15" s="9">
        <v>22</v>
      </c>
      <c r="K15" s="9">
        <v>44</v>
      </c>
      <c r="M15" s="9"/>
      <c r="N15" s="9"/>
      <c r="O15" s="9"/>
      <c r="P15" s="78"/>
      <c r="Q15" s="9"/>
      <c r="R15" s="9"/>
      <c r="S15" s="9"/>
      <c r="T15" s="9"/>
      <c r="U15" s="9"/>
    </row>
    <row r="16" spans="1:23" ht="15" customHeight="1" x14ac:dyDescent="0.25">
      <c r="A16" s="83"/>
      <c r="B16" s="111" t="s">
        <v>12</v>
      </c>
      <c r="C16" s="102">
        <v>648</v>
      </c>
      <c r="D16" s="102">
        <v>944</v>
      </c>
      <c r="E16" s="102">
        <v>1468</v>
      </c>
      <c r="F16" s="102">
        <v>648</v>
      </c>
      <c r="G16" s="102">
        <v>425</v>
      </c>
      <c r="H16" s="102">
        <v>87</v>
      </c>
      <c r="I16" s="102">
        <v>145</v>
      </c>
      <c r="J16" s="102">
        <v>882</v>
      </c>
      <c r="K16" s="102">
        <v>5247</v>
      </c>
      <c r="M16" s="102"/>
      <c r="N16" s="102"/>
      <c r="O16" s="102"/>
      <c r="P16" s="102"/>
      <c r="Q16" s="102"/>
      <c r="R16" s="102"/>
      <c r="S16" s="102"/>
      <c r="T16" s="102"/>
      <c r="U16" s="102"/>
    </row>
    <row r="17" spans="1:23" ht="3" customHeight="1" x14ac:dyDescent="0.25">
      <c r="A17" s="96"/>
      <c r="B17" s="96"/>
      <c r="C17" s="77"/>
      <c r="D17" s="77"/>
      <c r="E17" s="77"/>
      <c r="F17" s="77"/>
      <c r="G17" s="77"/>
      <c r="H17" s="77"/>
      <c r="I17" s="77"/>
      <c r="J17" s="77"/>
      <c r="K17" s="77"/>
    </row>
    <row r="18" spans="1:23" ht="15" customHeight="1" x14ac:dyDescent="0.25">
      <c r="A18" s="85" t="s">
        <v>103</v>
      </c>
      <c r="B18" s="85"/>
      <c r="C18" s="85"/>
      <c r="D18" s="85"/>
      <c r="E18" s="85"/>
      <c r="F18" s="85"/>
      <c r="G18" s="85"/>
      <c r="H18" s="85"/>
      <c r="I18" s="85"/>
      <c r="J18" s="85"/>
      <c r="K18" s="85"/>
    </row>
    <row r="19" spans="1:23" s="7" customFormat="1" ht="9" customHeight="1" x14ac:dyDescent="0.15">
      <c r="A19" s="85"/>
      <c r="B19" s="85"/>
      <c r="C19" s="85"/>
      <c r="D19" s="85"/>
      <c r="E19" s="85"/>
      <c r="F19" s="85"/>
      <c r="G19" s="85"/>
      <c r="H19" s="85"/>
      <c r="I19" s="85"/>
      <c r="J19" s="85"/>
      <c r="K19" s="85"/>
    </row>
    <row r="20" spans="1:23" s="7" customFormat="1" ht="11.25" customHeight="1" x14ac:dyDescent="0.15">
      <c r="A20" s="85" t="s">
        <v>347</v>
      </c>
      <c r="B20" s="85"/>
      <c r="C20" s="85"/>
      <c r="D20" s="85"/>
      <c r="E20" s="85"/>
      <c r="F20" s="85"/>
      <c r="G20" s="85"/>
      <c r="H20" s="85"/>
      <c r="I20" s="85"/>
      <c r="J20" s="85"/>
      <c r="K20" s="85"/>
    </row>
    <row r="21" spans="1:23" ht="15" customHeight="1" x14ac:dyDescent="0.25">
      <c r="A21" s="86"/>
      <c r="B21" s="24"/>
    </row>
    <row r="22" spans="1:23" ht="15" customHeight="1" x14ac:dyDescent="0.25">
      <c r="A22" s="220" t="s">
        <v>388</v>
      </c>
      <c r="B22" s="220"/>
      <c r="C22" s="220"/>
      <c r="D22" s="220"/>
      <c r="E22" s="220"/>
      <c r="F22" s="220"/>
      <c r="G22" s="220"/>
      <c r="H22" s="220"/>
      <c r="I22" s="220"/>
      <c r="J22" s="220"/>
      <c r="K22" s="220"/>
    </row>
    <row r="23" spans="1:23" s="13" customFormat="1" ht="15" customHeight="1" x14ac:dyDescent="0.2">
      <c r="A23" s="87" t="s">
        <v>104</v>
      </c>
      <c r="B23" s="87"/>
      <c r="C23" s="87"/>
      <c r="D23" s="87"/>
      <c r="E23" s="87"/>
      <c r="F23" s="87"/>
      <c r="G23" s="87"/>
      <c r="H23" s="87"/>
      <c r="I23" s="87"/>
      <c r="J23" s="87"/>
      <c r="K23" s="87"/>
    </row>
    <row r="24" spans="1:23" ht="1.5" customHeight="1" x14ac:dyDescent="0.25">
      <c r="A24" s="86"/>
      <c r="B24" s="24"/>
    </row>
    <row r="25" spans="1:23" ht="15" customHeight="1" x14ac:dyDescent="0.25">
      <c r="A25" s="75" t="s">
        <v>157</v>
      </c>
      <c r="B25" s="75" t="s">
        <v>158</v>
      </c>
      <c r="C25" s="76" t="s">
        <v>1</v>
      </c>
      <c r="D25" s="76" t="s">
        <v>2</v>
      </c>
      <c r="E25" s="76" t="s">
        <v>3</v>
      </c>
      <c r="F25" s="76" t="s">
        <v>4</v>
      </c>
      <c r="G25" s="76" t="s">
        <v>5</v>
      </c>
      <c r="H25" s="76" t="s">
        <v>6</v>
      </c>
      <c r="I25" s="76" t="s">
        <v>7</v>
      </c>
      <c r="J25" s="76" t="s">
        <v>8</v>
      </c>
      <c r="K25" s="88" t="s">
        <v>9</v>
      </c>
    </row>
    <row r="26" spans="1:23" ht="15" customHeight="1" x14ac:dyDescent="0.25">
      <c r="A26" s="79" t="s">
        <v>18</v>
      </c>
      <c r="B26" s="80" t="s">
        <v>19</v>
      </c>
      <c r="C26" s="9">
        <v>693</v>
      </c>
      <c r="D26" s="9">
        <v>103</v>
      </c>
      <c r="E26" s="9">
        <v>1057</v>
      </c>
      <c r="F26" s="9">
        <v>459</v>
      </c>
      <c r="G26" s="9">
        <v>130</v>
      </c>
      <c r="H26" s="9" t="s">
        <v>443</v>
      </c>
      <c r="I26" s="9" t="s">
        <v>443</v>
      </c>
      <c r="J26" s="9">
        <v>493</v>
      </c>
      <c r="K26" s="9">
        <v>3012</v>
      </c>
      <c r="M26" s="9"/>
      <c r="N26" s="9"/>
      <c r="O26" s="9"/>
      <c r="P26" s="9"/>
      <c r="Q26" s="9"/>
      <c r="R26" s="9"/>
      <c r="S26" s="9"/>
      <c r="T26" s="9"/>
      <c r="U26" s="9"/>
      <c r="W26" s="123"/>
    </row>
    <row r="27" spans="1:23" ht="15" customHeight="1" x14ac:dyDescent="0.25">
      <c r="A27" s="81"/>
      <c r="B27" s="82" t="s">
        <v>20</v>
      </c>
      <c r="C27" s="9">
        <v>582</v>
      </c>
      <c r="D27" s="9">
        <v>460</v>
      </c>
      <c r="E27" s="9">
        <v>665</v>
      </c>
      <c r="F27" s="9">
        <v>350</v>
      </c>
      <c r="G27" s="9">
        <v>122</v>
      </c>
      <c r="H27" s="9" t="s">
        <v>443</v>
      </c>
      <c r="I27" s="9" t="s">
        <v>443</v>
      </c>
      <c r="J27" s="9">
        <v>29</v>
      </c>
      <c r="K27" s="9">
        <v>2359</v>
      </c>
      <c r="M27" s="9"/>
      <c r="N27" s="9"/>
      <c r="O27" s="9"/>
      <c r="P27" s="9"/>
      <c r="Q27" s="9"/>
      <c r="R27" s="9"/>
      <c r="S27" s="9"/>
      <c r="T27" s="9"/>
      <c r="U27" s="9"/>
    </row>
    <row r="28" spans="1:23" ht="15" customHeight="1" x14ac:dyDescent="0.25">
      <c r="A28" s="81"/>
      <c r="B28" s="82" t="s">
        <v>21</v>
      </c>
      <c r="C28" s="9">
        <v>55</v>
      </c>
      <c r="D28" s="47">
        <v>2</v>
      </c>
      <c r="E28" s="9">
        <v>10</v>
      </c>
      <c r="F28" s="47" t="s">
        <v>146</v>
      </c>
      <c r="G28" s="9">
        <v>4</v>
      </c>
      <c r="H28" s="9">
        <v>4</v>
      </c>
      <c r="I28" s="47" t="s">
        <v>146</v>
      </c>
      <c r="J28" s="9">
        <v>15</v>
      </c>
      <c r="K28" s="9">
        <v>90</v>
      </c>
      <c r="M28" s="9"/>
      <c r="N28" s="78"/>
      <c r="O28" s="9"/>
      <c r="P28" s="78"/>
      <c r="Q28" s="9"/>
      <c r="R28" s="9"/>
      <c r="S28" s="9"/>
      <c r="T28" s="9"/>
      <c r="U28" s="9"/>
    </row>
    <row r="29" spans="1:23" ht="15" customHeight="1" x14ac:dyDescent="0.25">
      <c r="A29" s="81"/>
      <c r="B29" s="83" t="s">
        <v>12</v>
      </c>
      <c r="C29" s="102">
        <v>1330</v>
      </c>
      <c r="D29" s="102">
        <v>565</v>
      </c>
      <c r="E29" s="102">
        <v>1732</v>
      </c>
      <c r="F29" s="102">
        <v>809</v>
      </c>
      <c r="G29" s="102">
        <v>256</v>
      </c>
      <c r="H29" s="102">
        <v>167</v>
      </c>
      <c r="I29" s="102">
        <v>65</v>
      </c>
      <c r="J29" s="102">
        <v>537</v>
      </c>
      <c r="K29" s="102">
        <v>5461</v>
      </c>
      <c r="M29" s="102"/>
      <c r="N29" s="102"/>
      <c r="O29" s="102"/>
      <c r="P29" s="102"/>
      <c r="Q29" s="102"/>
      <c r="R29" s="102"/>
      <c r="S29" s="102"/>
      <c r="T29" s="102"/>
      <c r="U29" s="102"/>
    </row>
    <row r="30" spans="1:23" ht="15" customHeight="1" x14ac:dyDescent="0.25">
      <c r="A30" s="81" t="s">
        <v>22</v>
      </c>
      <c r="B30" s="82" t="s">
        <v>19</v>
      </c>
      <c r="C30" s="9">
        <v>189</v>
      </c>
      <c r="D30" s="9">
        <v>14</v>
      </c>
      <c r="E30" s="9">
        <v>378</v>
      </c>
      <c r="F30" s="9">
        <v>130</v>
      </c>
      <c r="G30" s="9">
        <v>58</v>
      </c>
      <c r="H30" s="9" t="s">
        <v>443</v>
      </c>
      <c r="I30" s="9" t="s">
        <v>443</v>
      </c>
      <c r="J30" s="9">
        <v>95</v>
      </c>
      <c r="K30" s="9">
        <v>894</v>
      </c>
      <c r="M30" s="9"/>
      <c r="N30" s="9"/>
      <c r="O30" s="9"/>
      <c r="P30" s="9"/>
      <c r="Q30" s="9"/>
      <c r="R30" s="9"/>
      <c r="S30" s="9"/>
      <c r="T30" s="9"/>
      <c r="U30" s="9"/>
    </row>
    <row r="31" spans="1:23" ht="15" customHeight="1" x14ac:dyDescent="0.25">
      <c r="A31" s="81"/>
      <c r="B31" s="82" t="s">
        <v>20</v>
      </c>
      <c r="C31" s="9">
        <v>131</v>
      </c>
      <c r="D31" s="9">
        <v>55</v>
      </c>
      <c r="E31" s="9">
        <v>171</v>
      </c>
      <c r="F31" s="9">
        <v>95</v>
      </c>
      <c r="G31" s="9">
        <v>35</v>
      </c>
      <c r="H31" s="9" t="s">
        <v>443</v>
      </c>
      <c r="I31" s="9" t="s">
        <v>443</v>
      </c>
      <c r="J31" s="9">
        <v>2</v>
      </c>
      <c r="K31" s="9">
        <v>542</v>
      </c>
      <c r="M31" s="9"/>
      <c r="N31" s="9"/>
      <c r="O31" s="9"/>
      <c r="P31" s="9"/>
      <c r="Q31" s="9"/>
      <c r="R31" s="9"/>
      <c r="S31" s="9"/>
      <c r="T31" s="9"/>
      <c r="U31" s="9"/>
    </row>
    <row r="32" spans="1:23" ht="15" customHeight="1" x14ac:dyDescent="0.25">
      <c r="A32" s="81"/>
      <c r="B32" s="82" t="s">
        <v>21</v>
      </c>
      <c r="C32" s="9">
        <v>11</v>
      </c>
      <c r="D32" s="47" t="s">
        <v>146</v>
      </c>
      <c r="E32" s="9">
        <v>1</v>
      </c>
      <c r="F32" s="47" t="s">
        <v>146</v>
      </c>
      <c r="G32" s="47" t="s">
        <v>146</v>
      </c>
      <c r="H32" s="47" t="s">
        <v>146</v>
      </c>
      <c r="I32" s="47" t="s">
        <v>146</v>
      </c>
      <c r="J32" s="9">
        <v>4</v>
      </c>
      <c r="K32" s="9">
        <v>16</v>
      </c>
      <c r="M32" s="9"/>
      <c r="N32" s="78"/>
      <c r="O32" s="9"/>
      <c r="P32" s="78"/>
      <c r="Q32" s="78"/>
      <c r="R32" s="78"/>
      <c r="S32" s="78"/>
      <c r="T32" s="9"/>
      <c r="U32" s="9"/>
    </row>
    <row r="33" spans="1:21" ht="15" customHeight="1" x14ac:dyDescent="0.25">
      <c r="A33" s="81"/>
      <c r="B33" s="83" t="s">
        <v>12</v>
      </c>
      <c r="C33" s="102">
        <v>331</v>
      </c>
      <c r="D33" s="102">
        <v>69</v>
      </c>
      <c r="E33" s="102">
        <v>550</v>
      </c>
      <c r="F33" s="102">
        <v>225</v>
      </c>
      <c r="G33" s="102">
        <v>93</v>
      </c>
      <c r="H33" s="102">
        <v>65</v>
      </c>
      <c r="I33" s="102">
        <v>18</v>
      </c>
      <c r="J33" s="102">
        <v>101</v>
      </c>
      <c r="K33" s="102">
        <v>1452</v>
      </c>
      <c r="M33" s="102"/>
      <c r="N33" s="102"/>
      <c r="O33" s="102"/>
      <c r="P33" s="102"/>
      <c r="Q33" s="102"/>
      <c r="R33" s="102"/>
      <c r="S33" s="102"/>
      <c r="T33" s="102"/>
      <c r="U33" s="102"/>
    </row>
    <row r="34" spans="1:21" ht="15" customHeight="1" x14ac:dyDescent="0.25">
      <c r="A34" s="83" t="s">
        <v>12</v>
      </c>
      <c r="B34" s="82" t="s">
        <v>19</v>
      </c>
      <c r="C34" s="9">
        <v>882</v>
      </c>
      <c r="D34" s="9">
        <v>117</v>
      </c>
      <c r="E34" s="9">
        <v>1435</v>
      </c>
      <c r="F34" s="9">
        <v>589</v>
      </c>
      <c r="G34" s="9">
        <v>188</v>
      </c>
      <c r="H34" s="9">
        <v>79</v>
      </c>
      <c r="I34" s="9">
        <v>28</v>
      </c>
      <c r="J34" s="9">
        <v>588</v>
      </c>
      <c r="K34" s="9">
        <v>3906</v>
      </c>
      <c r="M34" s="9"/>
      <c r="N34" s="9"/>
      <c r="O34" s="9"/>
      <c r="P34" s="9"/>
      <c r="Q34" s="9"/>
      <c r="R34" s="9"/>
      <c r="S34" s="9"/>
      <c r="T34" s="9"/>
      <c r="U34" s="9"/>
    </row>
    <row r="35" spans="1:21" ht="15" customHeight="1" x14ac:dyDescent="0.25">
      <c r="A35" s="83"/>
      <c r="B35" s="82" t="s">
        <v>20</v>
      </c>
      <c r="C35" s="9">
        <v>713</v>
      </c>
      <c r="D35" s="9">
        <v>515</v>
      </c>
      <c r="E35" s="9">
        <v>836</v>
      </c>
      <c r="F35" s="9">
        <v>445</v>
      </c>
      <c r="G35" s="9">
        <v>157</v>
      </c>
      <c r="H35" s="9">
        <v>149</v>
      </c>
      <c r="I35" s="9">
        <v>55</v>
      </c>
      <c r="J35" s="9">
        <v>31</v>
      </c>
      <c r="K35" s="9">
        <v>2901</v>
      </c>
      <c r="M35" s="9"/>
      <c r="N35" s="9"/>
      <c r="O35" s="9"/>
      <c r="P35" s="9"/>
      <c r="Q35" s="9"/>
      <c r="R35" s="9"/>
      <c r="S35" s="9"/>
      <c r="T35" s="9"/>
      <c r="U35" s="9"/>
    </row>
    <row r="36" spans="1:21" ht="15" customHeight="1" x14ac:dyDescent="0.25">
      <c r="A36" s="83"/>
      <c r="B36" s="82" t="s">
        <v>21</v>
      </c>
      <c r="C36" s="9">
        <v>66</v>
      </c>
      <c r="D36" s="47">
        <v>2</v>
      </c>
      <c r="E36" s="9">
        <v>11</v>
      </c>
      <c r="F36" s="47" t="s">
        <v>146</v>
      </c>
      <c r="G36" s="9">
        <v>4</v>
      </c>
      <c r="H36" s="9">
        <v>4</v>
      </c>
      <c r="I36" s="47" t="s">
        <v>146</v>
      </c>
      <c r="J36" s="9">
        <v>19</v>
      </c>
      <c r="K36" s="9">
        <v>106</v>
      </c>
      <c r="M36" s="9"/>
      <c r="N36" s="78"/>
      <c r="O36" s="9"/>
      <c r="P36" s="78"/>
      <c r="Q36" s="9"/>
      <c r="R36" s="9"/>
      <c r="S36" s="9"/>
      <c r="T36" s="9"/>
      <c r="U36" s="9"/>
    </row>
    <row r="37" spans="1:21" ht="15" customHeight="1" x14ac:dyDescent="0.25">
      <c r="A37" s="69"/>
      <c r="B37" s="69" t="s">
        <v>12</v>
      </c>
      <c r="C37" s="102">
        <v>1661</v>
      </c>
      <c r="D37" s="102">
        <v>634</v>
      </c>
      <c r="E37" s="102">
        <v>2282</v>
      </c>
      <c r="F37" s="102">
        <v>1034</v>
      </c>
      <c r="G37" s="102">
        <v>349</v>
      </c>
      <c r="H37" s="102">
        <v>232</v>
      </c>
      <c r="I37" s="102">
        <v>83</v>
      </c>
      <c r="J37" s="102">
        <v>638</v>
      </c>
      <c r="K37" s="102">
        <v>6913</v>
      </c>
      <c r="M37" s="102"/>
      <c r="N37" s="102"/>
      <c r="O37" s="102"/>
      <c r="P37" s="102"/>
      <c r="Q37" s="102"/>
      <c r="R37" s="102"/>
      <c r="S37" s="102"/>
      <c r="T37" s="102"/>
      <c r="U37" s="102"/>
    </row>
    <row r="38" spans="1:21" ht="3" customHeight="1" x14ac:dyDescent="0.25">
      <c r="A38" s="43"/>
      <c r="B38" s="43"/>
      <c r="C38" s="84"/>
      <c r="D38" s="84"/>
      <c r="E38" s="84"/>
      <c r="F38" s="84"/>
      <c r="G38" s="84"/>
      <c r="H38" s="84"/>
      <c r="I38" s="84"/>
      <c r="J38" s="84"/>
      <c r="K38" s="84"/>
    </row>
    <row r="39" spans="1:21" ht="12" customHeight="1" x14ac:dyDescent="0.25">
      <c r="A39" s="7" t="s">
        <v>252</v>
      </c>
    </row>
    <row r="40" spans="1:21" ht="12" customHeight="1" x14ac:dyDescent="0.25">
      <c r="A40" s="7" t="s">
        <v>103</v>
      </c>
      <c r="B40" s="7"/>
      <c r="C40" s="85"/>
      <c r="D40" s="85"/>
      <c r="E40" s="85"/>
      <c r="F40" s="85"/>
      <c r="G40" s="85"/>
      <c r="H40" s="85"/>
      <c r="I40" s="85"/>
      <c r="J40" s="85"/>
      <c r="K40" s="85"/>
    </row>
    <row r="41" spans="1:21" s="7" customFormat="1" ht="15" customHeight="1" x14ac:dyDescent="0.15">
      <c r="C41" s="85"/>
      <c r="D41" s="85"/>
      <c r="E41" s="85"/>
      <c r="F41" s="85"/>
      <c r="G41" s="85"/>
      <c r="H41" s="85"/>
      <c r="I41" s="85"/>
      <c r="J41" s="85"/>
      <c r="K41" s="85"/>
    </row>
    <row r="42" spans="1:21" s="7" customFormat="1" ht="15" customHeight="1" x14ac:dyDescent="0.15">
      <c r="A42" s="7" t="s">
        <v>347</v>
      </c>
      <c r="C42" s="85"/>
      <c r="D42" s="85"/>
      <c r="E42" s="85"/>
      <c r="F42" s="85"/>
      <c r="G42" s="85"/>
      <c r="H42" s="85"/>
      <c r="I42" s="85"/>
      <c r="J42" s="85"/>
      <c r="K42" s="85"/>
    </row>
    <row r="43" spans="1:21" s="7" customFormat="1" ht="15" customHeight="1" x14ac:dyDescent="0.15">
      <c r="C43" s="85"/>
      <c r="D43" s="85"/>
      <c r="E43" s="85"/>
      <c r="F43" s="85"/>
      <c r="G43" s="85"/>
      <c r="H43" s="85"/>
      <c r="I43" s="85"/>
      <c r="J43" s="85"/>
      <c r="K43" s="85"/>
    </row>
    <row r="44" spans="1:21" ht="15" customHeight="1" x14ac:dyDescent="0.25">
      <c r="A44" s="2"/>
    </row>
    <row r="45" spans="1:21" ht="15" customHeight="1" x14ac:dyDescent="0.25">
      <c r="A45" s="192" t="s">
        <v>389</v>
      </c>
      <c r="B45" s="192"/>
      <c r="C45" s="192"/>
      <c r="D45" s="192"/>
      <c r="E45" s="192"/>
      <c r="F45" s="192"/>
      <c r="G45" s="192"/>
      <c r="H45" s="192"/>
      <c r="I45" s="192"/>
      <c r="J45" s="192"/>
      <c r="K45" s="192"/>
    </row>
    <row r="46" spans="1:21" s="13" customFormat="1" ht="15" customHeight="1" x14ac:dyDescent="0.2">
      <c r="A46" s="13" t="s">
        <v>105</v>
      </c>
      <c r="C46" s="87"/>
      <c r="D46" s="87"/>
      <c r="E46" s="87"/>
      <c r="F46" s="87"/>
      <c r="G46" s="87"/>
      <c r="H46" s="87"/>
      <c r="I46" s="87"/>
      <c r="J46" s="87"/>
      <c r="K46" s="87"/>
    </row>
    <row r="47" spans="1:21" ht="2.25" customHeight="1" x14ac:dyDescent="0.25">
      <c r="A47" s="2"/>
    </row>
    <row r="48" spans="1:21" ht="15" customHeight="1" x14ac:dyDescent="0.25">
      <c r="A48" s="35" t="s">
        <v>157</v>
      </c>
      <c r="B48" s="35" t="s">
        <v>158</v>
      </c>
      <c r="C48" s="76" t="s">
        <v>1</v>
      </c>
      <c r="D48" s="76" t="s">
        <v>2</v>
      </c>
      <c r="E48" s="76" t="s">
        <v>3</v>
      </c>
      <c r="F48" s="76" t="s">
        <v>4</v>
      </c>
      <c r="G48" s="76" t="s">
        <v>5</v>
      </c>
      <c r="H48" s="76" t="s">
        <v>6</v>
      </c>
      <c r="I48" s="76" t="s">
        <v>7</v>
      </c>
      <c r="J48" s="76" t="s">
        <v>8</v>
      </c>
      <c r="K48" s="88" t="s">
        <v>9</v>
      </c>
    </row>
    <row r="49" spans="1:23" ht="15" customHeight="1" x14ac:dyDescent="0.25">
      <c r="A49" s="65" t="s">
        <v>18</v>
      </c>
      <c r="B49" s="66" t="s">
        <v>19</v>
      </c>
      <c r="C49" s="9">
        <v>768</v>
      </c>
      <c r="D49" s="9">
        <v>166</v>
      </c>
      <c r="E49" s="9">
        <v>1145</v>
      </c>
      <c r="F49" s="9">
        <v>561</v>
      </c>
      <c r="G49" s="9">
        <v>199</v>
      </c>
      <c r="H49" s="9">
        <v>59</v>
      </c>
      <c r="I49" s="9">
        <v>38</v>
      </c>
      <c r="J49" s="9">
        <v>756</v>
      </c>
      <c r="K49" s="9">
        <v>3692</v>
      </c>
      <c r="L49" s="9"/>
      <c r="M49" s="9"/>
      <c r="N49" s="9"/>
      <c r="O49" s="9"/>
      <c r="P49" s="9"/>
      <c r="Q49" s="9"/>
      <c r="R49" s="9"/>
      <c r="S49" s="9"/>
      <c r="T49" s="9"/>
      <c r="U49" s="9"/>
      <c r="W49" s="123"/>
    </row>
    <row r="50" spans="1:23" ht="15" customHeight="1" x14ac:dyDescent="0.25">
      <c r="A50" s="67"/>
      <c r="B50" s="68" t="s">
        <v>20</v>
      </c>
      <c r="C50" s="9">
        <v>622</v>
      </c>
      <c r="D50" s="9">
        <v>730</v>
      </c>
      <c r="E50" s="9">
        <v>724</v>
      </c>
      <c r="F50" s="9">
        <v>400</v>
      </c>
      <c r="G50" s="9">
        <v>188</v>
      </c>
      <c r="H50" s="9">
        <v>118</v>
      </c>
      <c r="I50" s="9">
        <v>78</v>
      </c>
      <c r="J50" s="9">
        <v>41</v>
      </c>
      <c r="K50" s="9">
        <v>2901</v>
      </c>
      <c r="L50" s="9"/>
      <c r="M50" s="9"/>
      <c r="N50" s="9"/>
      <c r="O50" s="9"/>
      <c r="P50" s="102"/>
      <c r="Q50" s="9"/>
      <c r="R50" s="9"/>
      <c r="S50" s="9"/>
      <c r="T50" s="9"/>
      <c r="U50" s="9"/>
    </row>
    <row r="51" spans="1:23" ht="15" customHeight="1" x14ac:dyDescent="0.25">
      <c r="A51" s="67"/>
      <c r="B51" s="68" t="s">
        <v>21</v>
      </c>
      <c r="C51" s="9">
        <v>63</v>
      </c>
      <c r="D51" s="9">
        <v>4</v>
      </c>
      <c r="E51" s="9">
        <v>12</v>
      </c>
      <c r="F51" s="47" t="s">
        <v>146</v>
      </c>
      <c r="G51" s="9">
        <v>7</v>
      </c>
      <c r="H51" s="9">
        <v>4</v>
      </c>
      <c r="I51" s="47" t="s">
        <v>146</v>
      </c>
      <c r="J51" s="9">
        <v>26</v>
      </c>
      <c r="K51" s="9">
        <v>116</v>
      </c>
      <c r="L51" s="9"/>
      <c r="M51" s="9"/>
      <c r="N51" s="9"/>
      <c r="O51" s="9"/>
      <c r="P51" s="105"/>
      <c r="Q51" s="9"/>
      <c r="R51" s="9"/>
      <c r="S51" s="9"/>
      <c r="T51" s="9"/>
      <c r="U51" s="9"/>
    </row>
    <row r="52" spans="1:23" ht="15" customHeight="1" x14ac:dyDescent="0.25">
      <c r="A52" s="67"/>
      <c r="B52" s="69" t="s">
        <v>12</v>
      </c>
      <c r="C52" s="102">
        <v>1453</v>
      </c>
      <c r="D52" s="102">
        <v>900</v>
      </c>
      <c r="E52" s="102">
        <v>1881</v>
      </c>
      <c r="F52" s="102">
        <v>961</v>
      </c>
      <c r="G52" s="102">
        <v>394</v>
      </c>
      <c r="H52" s="102">
        <v>181</v>
      </c>
      <c r="I52" s="102">
        <v>116</v>
      </c>
      <c r="J52" s="102">
        <v>823</v>
      </c>
      <c r="K52" s="102">
        <v>6709</v>
      </c>
      <c r="L52" s="102"/>
      <c r="M52" s="102"/>
      <c r="N52" s="102"/>
      <c r="O52" s="102"/>
      <c r="P52" s="102"/>
      <c r="Q52" s="102"/>
      <c r="R52" s="102"/>
      <c r="S52" s="102"/>
      <c r="T52" s="102"/>
      <c r="U52" s="102"/>
      <c r="V52" s="123"/>
    </row>
    <row r="53" spans="1:23" ht="15" customHeight="1" x14ac:dyDescent="0.25">
      <c r="A53" s="67" t="s">
        <v>22</v>
      </c>
      <c r="B53" s="68" t="s">
        <v>19</v>
      </c>
      <c r="C53" s="9">
        <v>209</v>
      </c>
      <c r="D53" s="9">
        <v>30</v>
      </c>
      <c r="E53" s="9">
        <v>416</v>
      </c>
      <c r="F53" s="9">
        <v>158</v>
      </c>
      <c r="G53" s="9">
        <v>91</v>
      </c>
      <c r="H53" s="9">
        <v>31</v>
      </c>
      <c r="I53" s="9">
        <v>11</v>
      </c>
      <c r="J53" s="9">
        <v>172</v>
      </c>
      <c r="K53" s="9">
        <v>1118</v>
      </c>
      <c r="L53" s="9"/>
      <c r="M53" s="9"/>
      <c r="N53" s="9"/>
      <c r="O53" s="9"/>
      <c r="P53" s="9"/>
      <c r="Q53" s="9"/>
      <c r="R53" s="9"/>
      <c r="S53" s="9"/>
      <c r="T53" s="9"/>
      <c r="U53" s="9"/>
    </row>
    <row r="54" spans="1:23" ht="15" customHeight="1" x14ac:dyDescent="0.25">
      <c r="A54" s="67"/>
      <c r="B54" s="68" t="s">
        <v>20</v>
      </c>
      <c r="C54" s="9">
        <v>143</v>
      </c>
      <c r="D54" s="9">
        <v>95</v>
      </c>
      <c r="E54" s="9">
        <v>184</v>
      </c>
      <c r="F54" s="9">
        <v>105</v>
      </c>
      <c r="G54" s="9">
        <v>53</v>
      </c>
      <c r="H54" s="9">
        <v>41</v>
      </c>
      <c r="I54" s="9">
        <v>31</v>
      </c>
      <c r="J54" s="9">
        <v>3</v>
      </c>
      <c r="K54" s="9">
        <v>655</v>
      </c>
      <c r="L54" s="9"/>
      <c r="M54" s="9"/>
      <c r="N54" s="9"/>
      <c r="O54" s="9"/>
      <c r="P54" s="9"/>
      <c r="Q54" s="9"/>
      <c r="R54" s="9"/>
      <c r="S54" s="9"/>
      <c r="T54" s="9"/>
      <c r="U54" s="9"/>
    </row>
    <row r="55" spans="1:23" ht="15" customHeight="1" x14ac:dyDescent="0.25">
      <c r="A55" s="67"/>
      <c r="B55" s="68" t="s">
        <v>21</v>
      </c>
      <c r="C55" s="9">
        <v>13</v>
      </c>
      <c r="D55" s="47" t="s">
        <v>146</v>
      </c>
      <c r="E55" s="9">
        <v>1</v>
      </c>
      <c r="F55" s="47" t="s">
        <v>146</v>
      </c>
      <c r="G55" s="47" t="s">
        <v>146</v>
      </c>
      <c r="H55" s="9">
        <v>1</v>
      </c>
      <c r="I55" s="47" t="s">
        <v>146</v>
      </c>
      <c r="J55" s="9">
        <v>6</v>
      </c>
      <c r="K55" s="9">
        <v>21</v>
      </c>
      <c r="L55" s="9"/>
      <c r="M55" s="9"/>
      <c r="N55" s="9"/>
      <c r="O55" s="9"/>
      <c r="P55" s="105"/>
      <c r="Q55" s="105"/>
      <c r="R55" s="9"/>
      <c r="S55" s="9"/>
      <c r="T55" s="9"/>
      <c r="U55" s="9"/>
    </row>
    <row r="56" spans="1:23" ht="15" customHeight="1" x14ac:dyDescent="0.25">
      <c r="A56" s="67"/>
      <c r="B56" s="69" t="s">
        <v>12</v>
      </c>
      <c r="C56" s="102">
        <v>365</v>
      </c>
      <c r="D56" s="102">
        <v>125</v>
      </c>
      <c r="E56" s="102">
        <v>601</v>
      </c>
      <c r="F56" s="102">
        <v>263</v>
      </c>
      <c r="G56" s="102">
        <v>144</v>
      </c>
      <c r="H56" s="102">
        <v>73</v>
      </c>
      <c r="I56" s="102">
        <v>42</v>
      </c>
      <c r="J56" s="102">
        <v>181</v>
      </c>
      <c r="K56" s="102">
        <v>1794</v>
      </c>
      <c r="L56" s="9"/>
      <c r="M56" s="102"/>
      <c r="N56" s="102"/>
      <c r="O56" s="102"/>
      <c r="P56" s="102"/>
      <c r="Q56" s="102"/>
      <c r="R56" s="102"/>
      <c r="S56" s="102"/>
      <c r="T56" s="102"/>
      <c r="U56" s="102"/>
      <c r="V56" s="123"/>
      <c r="W56" s="123"/>
    </row>
    <row r="57" spans="1:23" ht="15" customHeight="1" x14ac:dyDescent="0.25">
      <c r="A57" s="69" t="s">
        <v>12</v>
      </c>
      <c r="B57" s="68" t="s">
        <v>19</v>
      </c>
      <c r="C57" s="9">
        <v>977</v>
      </c>
      <c r="D57" s="9">
        <v>196</v>
      </c>
      <c r="E57" s="9">
        <v>1561</v>
      </c>
      <c r="F57" s="9">
        <v>719</v>
      </c>
      <c r="G57" s="9">
        <v>290</v>
      </c>
      <c r="H57" s="9">
        <v>90</v>
      </c>
      <c r="I57" s="9">
        <v>49</v>
      </c>
      <c r="J57" s="9">
        <v>928</v>
      </c>
      <c r="K57" s="9">
        <v>4810</v>
      </c>
      <c r="L57" s="9"/>
      <c r="M57" s="9"/>
      <c r="N57" s="9"/>
      <c r="O57" s="9"/>
      <c r="P57" s="9"/>
      <c r="Q57" s="9"/>
      <c r="R57" s="9"/>
      <c r="S57" s="9"/>
      <c r="T57" s="9"/>
      <c r="U57" s="9"/>
    </row>
    <row r="58" spans="1:23" ht="15" customHeight="1" x14ac:dyDescent="0.25">
      <c r="A58" s="69"/>
      <c r="B58" s="68" t="s">
        <v>20</v>
      </c>
      <c r="C58" s="9">
        <v>765</v>
      </c>
      <c r="D58" s="9">
        <v>825</v>
      </c>
      <c r="E58" s="9">
        <v>908</v>
      </c>
      <c r="F58" s="9">
        <v>505</v>
      </c>
      <c r="G58" s="9">
        <v>241</v>
      </c>
      <c r="H58" s="9">
        <v>159</v>
      </c>
      <c r="I58" s="9">
        <v>109</v>
      </c>
      <c r="J58" s="9">
        <v>44</v>
      </c>
      <c r="K58" s="9">
        <v>3556</v>
      </c>
      <c r="L58" s="9"/>
      <c r="M58" s="9"/>
      <c r="N58" s="9"/>
      <c r="O58" s="9"/>
      <c r="P58" s="9"/>
      <c r="Q58" s="9"/>
      <c r="R58" s="9"/>
      <c r="S58" s="9"/>
      <c r="T58" s="9"/>
      <c r="U58" s="9"/>
    </row>
    <row r="59" spans="1:23" ht="15" customHeight="1" x14ac:dyDescent="0.25">
      <c r="A59" s="69"/>
      <c r="B59" s="68" t="s">
        <v>21</v>
      </c>
      <c r="C59" s="9">
        <v>76</v>
      </c>
      <c r="D59" s="9">
        <v>4</v>
      </c>
      <c r="E59" s="9">
        <v>13</v>
      </c>
      <c r="F59" s="47" t="s">
        <v>146</v>
      </c>
      <c r="G59" s="9">
        <v>7</v>
      </c>
      <c r="H59" s="9">
        <v>5</v>
      </c>
      <c r="I59" s="47" t="s">
        <v>146</v>
      </c>
      <c r="J59" s="9">
        <v>32</v>
      </c>
      <c r="K59" s="9">
        <v>137</v>
      </c>
      <c r="L59" s="102"/>
      <c r="M59" s="9"/>
      <c r="N59" s="9"/>
      <c r="O59" s="9"/>
      <c r="P59" s="105"/>
      <c r="Q59" s="9"/>
      <c r="R59" s="9"/>
      <c r="S59" s="9"/>
      <c r="T59" s="9"/>
      <c r="U59" s="9"/>
    </row>
    <row r="60" spans="1:23" ht="15" customHeight="1" x14ac:dyDescent="0.25">
      <c r="A60" s="69"/>
      <c r="B60" s="69" t="s">
        <v>12</v>
      </c>
      <c r="C60" s="102">
        <v>1818</v>
      </c>
      <c r="D60" s="102">
        <v>1025</v>
      </c>
      <c r="E60" s="102">
        <v>2482</v>
      </c>
      <c r="F60" s="102">
        <v>1224</v>
      </c>
      <c r="G60" s="102">
        <v>538</v>
      </c>
      <c r="H60" s="102">
        <v>254</v>
      </c>
      <c r="I60" s="102">
        <v>158</v>
      </c>
      <c r="J60" s="102">
        <v>1004</v>
      </c>
      <c r="K60" s="102">
        <v>8503</v>
      </c>
      <c r="L60" s="102"/>
      <c r="M60" s="102"/>
      <c r="N60" s="102"/>
      <c r="O60" s="102"/>
      <c r="P60" s="102"/>
      <c r="Q60" s="102"/>
      <c r="R60" s="102"/>
      <c r="S60" s="102"/>
      <c r="T60" s="102"/>
      <c r="U60" s="102"/>
      <c r="V60" s="102"/>
      <c r="W60" s="102"/>
    </row>
    <row r="61" spans="1:23" ht="0.75" customHeight="1" x14ac:dyDescent="0.25">
      <c r="A61" s="43"/>
      <c r="B61" s="43"/>
      <c r="C61" s="84"/>
      <c r="D61" s="84"/>
      <c r="E61" s="84"/>
      <c r="F61" s="84"/>
      <c r="G61" s="84"/>
      <c r="H61" s="84"/>
      <c r="I61" s="84"/>
      <c r="J61" s="84"/>
      <c r="K61" s="84"/>
      <c r="L61" s="9"/>
    </row>
    <row r="62" spans="1:23" ht="15" customHeight="1" x14ac:dyDescent="0.25">
      <c r="A62" s="7" t="s">
        <v>103</v>
      </c>
      <c r="B62" s="7"/>
      <c r="C62" s="85"/>
      <c r="D62" s="85"/>
      <c r="E62" s="85"/>
      <c r="F62" s="85"/>
      <c r="G62" s="85"/>
      <c r="H62" s="85"/>
      <c r="I62" s="85"/>
      <c r="J62" s="85"/>
      <c r="K62" s="85"/>
      <c r="L62" s="9"/>
      <c r="M62" s="122"/>
      <c r="N62" s="122"/>
      <c r="O62" s="122"/>
      <c r="P62" s="122"/>
      <c r="Q62" s="122"/>
      <c r="R62" s="122"/>
      <c r="S62" s="122"/>
      <c r="T62" s="122"/>
      <c r="U62" s="122"/>
    </row>
    <row r="63" spans="1:23" s="7" customFormat="1" ht="15" customHeight="1" x14ac:dyDescent="0.2">
      <c r="C63" s="85"/>
      <c r="D63" s="85"/>
      <c r="E63" s="85"/>
      <c r="F63" s="85"/>
      <c r="G63" s="85"/>
      <c r="H63" s="85"/>
      <c r="I63" s="85"/>
      <c r="J63" s="85"/>
      <c r="K63" s="85"/>
      <c r="L63" s="9"/>
    </row>
    <row r="64" spans="1:23" s="7" customFormat="1" ht="15" customHeight="1" x14ac:dyDescent="0.2">
      <c r="A64" s="7" t="s">
        <v>347</v>
      </c>
      <c r="C64" s="85"/>
      <c r="D64" s="85"/>
      <c r="E64" s="85"/>
      <c r="F64" s="85"/>
      <c r="G64" s="85"/>
      <c r="H64" s="85"/>
      <c r="I64" s="85"/>
      <c r="J64" s="85"/>
      <c r="K64" s="85"/>
      <c r="L64" s="102"/>
    </row>
    <row r="65" spans="1:21" ht="15" customHeight="1" x14ac:dyDescent="0.25">
      <c r="A65" s="2"/>
    </row>
    <row r="66" spans="1:21" ht="15" customHeight="1" x14ac:dyDescent="0.25">
      <c r="A66" s="192" t="s">
        <v>390</v>
      </c>
      <c r="B66" s="192"/>
      <c r="C66" s="192"/>
      <c r="D66" s="192"/>
      <c r="E66" s="192"/>
      <c r="F66" s="192"/>
      <c r="G66" s="192"/>
      <c r="H66" s="192"/>
      <c r="I66" s="192"/>
      <c r="J66" s="192"/>
      <c r="K66" s="192"/>
    </row>
    <row r="67" spans="1:21" s="13" customFormat="1" ht="15" customHeight="1" x14ac:dyDescent="0.2">
      <c r="A67" s="13" t="s">
        <v>106</v>
      </c>
      <c r="C67" s="87"/>
      <c r="D67" s="87"/>
      <c r="E67" s="87"/>
      <c r="F67" s="87"/>
      <c r="G67" s="87"/>
      <c r="H67" s="87"/>
      <c r="I67" s="87"/>
      <c r="J67" s="87"/>
      <c r="K67" s="87"/>
    </row>
    <row r="68" spans="1:21" ht="15" hidden="1" customHeight="1" x14ac:dyDescent="0.25">
      <c r="A68" s="2"/>
    </row>
    <row r="69" spans="1:21" ht="15" customHeight="1" x14ac:dyDescent="0.25">
      <c r="A69" s="35" t="s">
        <v>157</v>
      </c>
      <c r="B69" s="35" t="s">
        <v>158</v>
      </c>
      <c r="C69" s="76" t="s">
        <v>1</v>
      </c>
      <c r="D69" s="76" t="s">
        <v>2</v>
      </c>
      <c r="E69" s="76" t="s">
        <v>3</v>
      </c>
      <c r="F69" s="76" t="s">
        <v>4</v>
      </c>
      <c r="G69" s="76" t="s">
        <v>5</v>
      </c>
      <c r="H69" s="76" t="s">
        <v>6</v>
      </c>
      <c r="I69" s="76" t="s">
        <v>7</v>
      </c>
      <c r="J69" s="76" t="s">
        <v>8</v>
      </c>
      <c r="K69" s="88" t="s">
        <v>9</v>
      </c>
    </row>
    <row r="70" spans="1:21" ht="15" customHeight="1" x14ac:dyDescent="0.25">
      <c r="A70" s="65" t="s">
        <v>18</v>
      </c>
      <c r="B70" s="66" t="s">
        <v>19</v>
      </c>
      <c r="C70" s="9">
        <v>418</v>
      </c>
      <c r="D70" s="48" t="s">
        <v>146</v>
      </c>
      <c r="E70" s="9">
        <v>265</v>
      </c>
      <c r="F70" s="9">
        <v>389</v>
      </c>
      <c r="G70" s="9">
        <v>160</v>
      </c>
      <c r="H70" s="48" t="s">
        <v>146</v>
      </c>
      <c r="I70" s="9">
        <v>32</v>
      </c>
      <c r="J70" s="9" t="s">
        <v>146</v>
      </c>
      <c r="K70" s="9">
        <v>1264</v>
      </c>
      <c r="M70" s="9"/>
      <c r="N70" s="105"/>
      <c r="O70" s="9"/>
      <c r="P70" s="9"/>
      <c r="Q70" s="9"/>
      <c r="R70" s="105"/>
      <c r="S70" s="9"/>
      <c r="T70" s="9"/>
      <c r="U70" s="9"/>
    </row>
    <row r="71" spans="1:21" ht="15" customHeight="1" x14ac:dyDescent="0.25">
      <c r="A71" s="67"/>
      <c r="B71" s="68" t="s">
        <v>20</v>
      </c>
      <c r="C71" s="9">
        <v>336</v>
      </c>
      <c r="D71" s="48" t="s">
        <v>146</v>
      </c>
      <c r="E71" s="9">
        <v>142</v>
      </c>
      <c r="F71" s="9">
        <v>255</v>
      </c>
      <c r="G71" s="9">
        <v>143</v>
      </c>
      <c r="H71" s="48" t="s">
        <v>146</v>
      </c>
      <c r="I71" s="9">
        <v>68</v>
      </c>
      <c r="J71" s="9" t="s">
        <v>146</v>
      </c>
      <c r="K71" s="9">
        <v>944</v>
      </c>
      <c r="M71" s="9"/>
      <c r="N71" s="105"/>
      <c r="O71" s="9"/>
      <c r="P71" s="9"/>
      <c r="Q71" s="9"/>
      <c r="R71" s="105"/>
      <c r="S71" s="9"/>
      <c r="T71" s="9"/>
      <c r="U71" s="9"/>
    </row>
    <row r="72" spans="1:21" ht="15" customHeight="1" x14ac:dyDescent="0.25">
      <c r="A72" s="67"/>
      <c r="B72" s="68" t="s">
        <v>21</v>
      </c>
      <c r="C72" s="9">
        <v>17</v>
      </c>
      <c r="D72" s="48" t="s">
        <v>146</v>
      </c>
      <c r="E72" s="48" t="s">
        <v>146</v>
      </c>
      <c r="F72" s="48" t="s">
        <v>146</v>
      </c>
      <c r="G72" s="48" t="s">
        <v>146</v>
      </c>
      <c r="H72" s="48" t="s">
        <v>146</v>
      </c>
      <c r="I72" s="9" t="s">
        <v>146</v>
      </c>
      <c r="J72" s="48" t="s">
        <v>146</v>
      </c>
      <c r="K72" s="9">
        <v>17</v>
      </c>
      <c r="M72" s="9"/>
      <c r="N72" s="105"/>
      <c r="O72" s="105"/>
      <c r="P72" s="105"/>
      <c r="Q72" s="105"/>
      <c r="R72" s="105"/>
      <c r="S72" s="9"/>
      <c r="T72" s="105"/>
      <c r="U72" s="9"/>
    </row>
    <row r="73" spans="1:21" ht="15" customHeight="1" x14ac:dyDescent="0.25">
      <c r="A73" s="67"/>
      <c r="B73" s="69" t="s">
        <v>12</v>
      </c>
      <c r="C73" s="102">
        <v>771</v>
      </c>
      <c r="D73" s="105" t="s">
        <v>146</v>
      </c>
      <c r="E73" s="102">
        <v>407</v>
      </c>
      <c r="F73" s="102">
        <v>644</v>
      </c>
      <c r="G73" s="102">
        <v>303</v>
      </c>
      <c r="H73" s="105" t="s">
        <v>146</v>
      </c>
      <c r="I73" s="102">
        <v>100</v>
      </c>
      <c r="J73" s="102" t="s">
        <v>146</v>
      </c>
      <c r="K73" s="102">
        <v>2225</v>
      </c>
      <c r="M73" s="102"/>
      <c r="N73" s="105"/>
      <c r="O73" s="102"/>
      <c r="P73" s="102"/>
      <c r="Q73" s="102"/>
      <c r="R73" s="105"/>
      <c r="S73" s="102"/>
      <c r="T73" s="102"/>
      <c r="U73" s="102"/>
    </row>
    <row r="74" spans="1:21" ht="15" customHeight="1" x14ac:dyDescent="0.25">
      <c r="A74" s="67" t="s">
        <v>22</v>
      </c>
      <c r="B74" s="68" t="s">
        <v>19</v>
      </c>
      <c r="C74" s="9">
        <v>98</v>
      </c>
      <c r="D74" s="48" t="s">
        <v>146</v>
      </c>
      <c r="E74" s="9">
        <v>93</v>
      </c>
      <c r="F74" s="9">
        <v>147</v>
      </c>
      <c r="G74" s="9">
        <v>76</v>
      </c>
      <c r="H74" s="48" t="s">
        <v>146</v>
      </c>
      <c r="I74" s="9">
        <v>11</v>
      </c>
      <c r="J74" s="9" t="s">
        <v>146</v>
      </c>
      <c r="K74" s="9">
        <v>425</v>
      </c>
      <c r="M74" s="9"/>
      <c r="N74" s="105"/>
      <c r="O74" s="9"/>
      <c r="P74" s="9"/>
      <c r="Q74" s="9"/>
      <c r="R74" s="105"/>
      <c r="S74" s="9"/>
      <c r="T74" s="9"/>
      <c r="U74" s="9"/>
    </row>
    <row r="75" spans="1:21" ht="15" customHeight="1" x14ac:dyDescent="0.25">
      <c r="A75" s="67"/>
      <c r="B75" s="68" t="s">
        <v>20</v>
      </c>
      <c r="C75" s="9">
        <v>74</v>
      </c>
      <c r="D75" s="48" t="s">
        <v>146</v>
      </c>
      <c r="E75" s="9">
        <v>48</v>
      </c>
      <c r="F75" s="9">
        <v>65</v>
      </c>
      <c r="G75" s="9">
        <v>34</v>
      </c>
      <c r="H75" s="48" t="s">
        <v>146</v>
      </c>
      <c r="I75" s="9">
        <v>26</v>
      </c>
      <c r="J75" s="78" t="s">
        <v>146</v>
      </c>
      <c r="K75" s="9">
        <v>247</v>
      </c>
      <c r="M75" s="9"/>
      <c r="N75" s="105"/>
      <c r="O75" s="9"/>
      <c r="P75" s="9"/>
      <c r="Q75" s="9"/>
      <c r="R75" s="105"/>
      <c r="S75" s="9"/>
      <c r="T75" s="78"/>
      <c r="U75" s="9"/>
    </row>
    <row r="76" spans="1:21" ht="15" customHeight="1" x14ac:dyDescent="0.25">
      <c r="A76" s="67"/>
      <c r="B76" s="68" t="s">
        <v>21</v>
      </c>
      <c r="C76" s="9">
        <v>2</v>
      </c>
      <c r="D76" s="48" t="s">
        <v>146</v>
      </c>
      <c r="E76" s="48" t="s">
        <v>146</v>
      </c>
      <c r="F76" s="48" t="s">
        <v>146</v>
      </c>
      <c r="G76" s="48">
        <v>1</v>
      </c>
      <c r="H76" s="48" t="s">
        <v>146</v>
      </c>
      <c r="I76" s="48" t="s">
        <v>146</v>
      </c>
      <c r="J76" s="48" t="s">
        <v>146</v>
      </c>
      <c r="K76" s="9">
        <v>3</v>
      </c>
      <c r="M76" s="9"/>
      <c r="N76" s="105"/>
      <c r="O76" s="105"/>
      <c r="P76" s="105"/>
      <c r="Q76" s="105"/>
      <c r="R76" s="105"/>
      <c r="S76" s="105"/>
      <c r="T76" s="105"/>
      <c r="U76" s="9"/>
    </row>
    <row r="77" spans="1:21" ht="15" customHeight="1" x14ac:dyDescent="0.25">
      <c r="A77" s="67"/>
      <c r="B77" s="69" t="s">
        <v>12</v>
      </c>
      <c r="C77" s="102">
        <v>174</v>
      </c>
      <c r="D77" s="105" t="s">
        <v>146</v>
      </c>
      <c r="E77" s="102">
        <v>141</v>
      </c>
      <c r="F77" s="102">
        <v>212</v>
      </c>
      <c r="G77" s="102">
        <v>111</v>
      </c>
      <c r="H77" s="105" t="s">
        <v>146</v>
      </c>
      <c r="I77" s="102">
        <v>37</v>
      </c>
      <c r="J77" s="102" t="s">
        <v>146</v>
      </c>
      <c r="K77" s="102">
        <v>675</v>
      </c>
      <c r="M77" s="102"/>
      <c r="N77" s="105"/>
      <c r="O77" s="102"/>
      <c r="P77" s="102"/>
      <c r="Q77" s="102"/>
      <c r="R77" s="105"/>
      <c r="S77" s="102"/>
      <c r="T77" s="102"/>
      <c r="U77" s="102"/>
    </row>
    <row r="78" spans="1:21" ht="15" customHeight="1" x14ac:dyDescent="0.25">
      <c r="A78" s="69" t="s">
        <v>12</v>
      </c>
      <c r="B78" s="68" t="s">
        <v>19</v>
      </c>
      <c r="C78" s="9">
        <v>516</v>
      </c>
      <c r="D78" s="48" t="s">
        <v>146</v>
      </c>
      <c r="E78" s="9">
        <v>358</v>
      </c>
      <c r="F78" s="9">
        <v>536</v>
      </c>
      <c r="G78" s="9">
        <v>236</v>
      </c>
      <c r="H78" s="48" t="s">
        <v>146</v>
      </c>
      <c r="I78" s="9">
        <v>43</v>
      </c>
      <c r="J78" s="9" t="s">
        <v>146</v>
      </c>
      <c r="K78" s="9">
        <v>1689</v>
      </c>
      <c r="M78" s="9"/>
      <c r="N78" s="105"/>
      <c r="O78" s="9"/>
      <c r="P78" s="9"/>
      <c r="Q78" s="9"/>
      <c r="R78" s="105"/>
      <c r="S78" s="9"/>
      <c r="T78" s="9"/>
      <c r="U78" s="9"/>
    </row>
    <row r="79" spans="1:21" ht="15" customHeight="1" x14ac:dyDescent="0.25">
      <c r="A79" s="69"/>
      <c r="B79" s="68" t="s">
        <v>20</v>
      </c>
      <c r="C79" s="9">
        <v>410</v>
      </c>
      <c r="D79" s="48" t="s">
        <v>146</v>
      </c>
      <c r="E79" s="9">
        <v>190</v>
      </c>
      <c r="F79" s="9">
        <v>320</v>
      </c>
      <c r="G79" s="9">
        <v>177</v>
      </c>
      <c r="H79" s="48" t="s">
        <v>146</v>
      </c>
      <c r="I79" s="9">
        <v>94</v>
      </c>
      <c r="J79" s="9" t="s">
        <v>146</v>
      </c>
      <c r="K79" s="9">
        <v>1191</v>
      </c>
      <c r="M79" s="9"/>
      <c r="N79" s="105"/>
      <c r="O79" s="9"/>
      <c r="P79" s="9"/>
      <c r="Q79" s="9"/>
      <c r="R79" s="105"/>
      <c r="S79" s="9"/>
      <c r="T79" s="9"/>
      <c r="U79" s="9"/>
    </row>
    <row r="80" spans="1:21" ht="15" customHeight="1" x14ac:dyDescent="0.25">
      <c r="A80" s="69"/>
      <c r="B80" s="68" t="s">
        <v>21</v>
      </c>
      <c r="C80" s="9">
        <v>19</v>
      </c>
      <c r="D80" s="48" t="s">
        <v>146</v>
      </c>
      <c r="E80" s="48" t="s">
        <v>146</v>
      </c>
      <c r="F80" s="48" t="s">
        <v>146</v>
      </c>
      <c r="G80" s="78">
        <v>1</v>
      </c>
      <c r="H80" s="48" t="s">
        <v>146</v>
      </c>
      <c r="I80" s="48" t="s">
        <v>146</v>
      </c>
      <c r="J80" s="48" t="s">
        <v>146</v>
      </c>
      <c r="K80" s="9">
        <v>20</v>
      </c>
      <c r="M80" s="9"/>
      <c r="N80" s="105"/>
      <c r="O80" s="105"/>
      <c r="P80" s="105"/>
      <c r="Q80" s="78"/>
      <c r="R80" s="105"/>
      <c r="S80" s="105"/>
      <c r="T80" s="105"/>
      <c r="U80" s="9"/>
    </row>
    <row r="81" spans="1:24" ht="15" customHeight="1" x14ac:dyDescent="0.25">
      <c r="A81" s="69"/>
      <c r="B81" s="69" t="s">
        <v>12</v>
      </c>
      <c r="C81" s="102">
        <v>945</v>
      </c>
      <c r="D81" s="105" t="s">
        <v>146</v>
      </c>
      <c r="E81" s="102">
        <v>548</v>
      </c>
      <c r="F81" s="102">
        <v>856</v>
      </c>
      <c r="G81" s="102">
        <v>414</v>
      </c>
      <c r="H81" s="105" t="s">
        <v>146</v>
      </c>
      <c r="I81" s="102">
        <v>137</v>
      </c>
      <c r="J81" s="102" t="s">
        <v>146</v>
      </c>
      <c r="K81" s="102">
        <v>2900</v>
      </c>
      <c r="M81" s="102"/>
      <c r="N81" s="105"/>
      <c r="O81" s="102"/>
      <c r="P81" s="102"/>
      <c r="Q81" s="102"/>
      <c r="R81" s="105"/>
      <c r="S81" s="102"/>
      <c r="T81" s="102"/>
      <c r="U81" s="102"/>
    </row>
    <row r="82" spans="1:24" ht="1.5" customHeight="1" x14ac:dyDescent="0.25">
      <c r="A82" s="43"/>
      <c r="B82" s="43"/>
      <c r="C82" s="84"/>
      <c r="D82" s="84"/>
      <c r="E82" s="84"/>
      <c r="F82" s="84"/>
      <c r="G82" s="84"/>
      <c r="H82" s="84"/>
      <c r="I82" s="84"/>
      <c r="J82" s="84"/>
      <c r="K82" s="84"/>
      <c r="M82" s="123"/>
      <c r="N82" s="123"/>
    </row>
    <row r="83" spans="1:24" ht="1.5" customHeight="1" x14ac:dyDescent="0.25"/>
    <row r="84" spans="1:24" ht="13.5" customHeight="1" x14ac:dyDescent="0.25">
      <c r="A84" s="7" t="s">
        <v>252</v>
      </c>
      <c r="B84" s="7"/>
      <c r="C84" s="85"/>
      <c r="D84" s="85"/>
      <c r="E84" s="85"/>
      <c r="F84" s="85"/>
      <c r="G84" s="85"/>
      <c r="H84" s="85"/>
      <c r="I84" s="85"/>
      <c r="J84" s="85"/>
      <c r="K84" s="85"/>
    </row>
    <row r="85" spans="1:24" ht="14.25" customHeight="1" x14ac:dyDescent="0.25">
      <c r="A85" s="7" t="s">
        <v>103</v>
      </c>
      <c r="B85" s="7"/>
      <c r="C85" s="85"/>
      <c r="D85" s="85"/>
      <c r="E85" s="85"/>
      <c r="F85" s="85"/>
      <c r="G85" s="85"/>
      <c r="H85" s="85"/>
      <c r="I85" s="85"/>
      <c r="J85" s="85"/>
      <c r="K85" s="85"/>
    </row>
    <row r="86" spans="1:24" s="7" customFormat="1" ht="15" customHeight="1" x14ac:dyDescent="0.15">
      <c r="A86" s="7" t="s">
        <v>15</v>
      </c>
      <c r="C86" s="85"/>
      <c r="D86" s="85"/>
      <c r="E86" s="85"/>
      <c r="F86" s="85"/>
      <c r="G86" s="85"/>
      <c r="H86" s="85"/>
      <c r="I86" s="85"/>
      <c r="J86" s="85"/>
      <c r="K86" s="85"/>
    </row>
    <row r="87" spans="1:24" s="7" customFormat="1" ht="15" customHeight="1" x14ac:dyDescent="0.15">
      <c r="A87" s="7" t="s">
        <v>347</v>
      </c>
      <c r="C87" s="85"/>
      <c r="D87" s="85"/>
      <c r="E87" s="85"/>
      <c r="F87" s="85"/>
      <c r="G87" s="85"/>
      <c r="H87" s="85"/>
      <c r="I87" s="85"/>
      <c r="J87" s="85"/>
      <c r="K87" s="85"/>
    </row>
    <row r="88" spans="1:24" ht="15" customHeight="1" x14ac:dyDescent="0.25">
      <c r="A88" s="2"/>
    </row>
    <row r="89" spans="1:24" ht="15" customHeight="1" x14ac:dyDescent="0.25">
      <c r="A89" s="192" t="s">
        <v>391</v>
      </c>
      <c r="B89" s="192"/>
      <c r="C89" s="192"/>
      <c r="D89" s="192"/>
      <c r="E89" s="192"/>
      <c r="F89" s="192"/>
      <c r="G89" s="192"/>
      <c r="H89" s="192"/>
      <c r="I89" s="192"/>
      <c r="J89" s="192"/>
      <c r="K89" s="192"/>
    </row>
    <row r="90" spans="1:24" s="13" customFormat="1" ht="15" customHeight="1" x14ac:dyDescent="0.2">
      <c r="A90" s="13" t="s">
        <v>107</v>
      </c>
      <c r="C90" s="87"/>
      <c r="D90" s="87"/>
      <c r="E90" s="87"/>
      <c r="F90" s="87"/>
      <c r="G90" s="87"/>
      <c r="H90" s="87"/>
      <c r="I90" s="87"/>
      <c r="J90" s="87"/>
      <c r="K90" s="87"/>
    </row>
    <row r="91" spans="1:24" ht="1.5" customHeight="1" x14ac:dyDescent="0.25">
      <c r="A91" s="2"/>
    </row>
    <row r="92" spans="1:24" ht="15" customHeight="1" x14ac:dyDescent="0.25">
      <c r="A92" s="35" t="s">
        <v>157</v>
      </c>
      <c r="B92" s="35" t="s">
        <v>158</v>
      </c>
      <c r="C92" s="76" t="s">
        <v>1</v>
      </c>
      <c r="D92" s="76" t="s">
        <v>2</v>
      </c>
      <c r="E92" s="76" t="s">
        <v>3</v>
      </c>
      <c r="F92" s="76" t="s">
        <v>4</v>
      </c>
      <c r="G92" s="76" t="s">
        <v>5</v>
      </c>
      <c r="H92" s="76" t="s">
        <v>6</v>
      </c>
      <c r="I92" s="76" t="s">
        <v>7</v>
      </c>
      <c r="J92" s="76" t="s">
        <v>8</v>
      </c>
      <c r="K92" s="88" t="s">
        <v>9</v>
      </c>
    </row>
    <row r="93" spans="1:24" ht="15" customHeight="1" x14ac:dyDescent="0.25">
      <c r="A93" s="65" t="s">
        <v>18</v>
      </c>
      <c r="B93" s="66" t="s">
        <v>19</v>
      </c>
      <c r="C93" s="9">
        <v>756</v>
      </c>
      <c r="D93" s="9">
        <v>91</v>
      </c>
      <c r="E93" s="9">
        <v>835</v>
      </c>
      <c r="F93" s="9">
        <v>446</v>
      </c>
      <c r="G93" s="9">
        <v>146</v>
      </c>
      <c r="H93" s="9">
        <v>28</v>
      </c>
      <c r="I93" s="9">
        <v>20</v>
      </c>
      <c r="J93" s="9">
        <v>542</v>
      </c>
      <c r="K93" s="9">
        <v>2864</v>
      </c>
      <c r="M93" s="9"/>
      <c r="N93" s="9"/>
      <c r="O93" s="9"/>
      <c r="P93" s="9"/>
      <c r="Q93" s="9"/>
      <c r="R93" s="9"/>
      <c r="S93" s="9"/>
      <c r="T93" s="9"/>
      <c r="U93" s="9"/>
      <c r="X93" s="123"/>
    </row>
    <row r="94" spans="1:24" ht="15" customHeight="1" x14ac:dyDescent="0.25">
      <c r="A94" s="67"/>
      <c r="B94" s="68" t="s">
        <v>20</v>
      </c>
      <c r="C94" s="9">
        <v>670</v>
      </c>
      <c r="D94" s="9">
        <v>456</v>
      </c>
      <c r="E94" s="9">
        <v>450</v>
      </c>
      <c r="F94" s="9">
        <v>232</v>
      </c>
      <c r="G94" s="9">
        <v>133</v>
      </c>
      <c r="H94" s="9">
        <v>63</v>
      </c>
      <c r="I94" s="9">
        <v>41</v>
      </c>
      <c r="J94" s="9">
        <v>20</v>
      </c>
      <c r="K94" s="9">
        <v>2065</v>
      </c>
      <c r="M94" s="9"/>
      <c r="N94" s="9"/>
      <c r="O94" s="9"/>
      <c r="P94" s="9"/>
      <c r="Q94" s="9"/>
      <c r="R94" s="9"/>
      <c r="S94" s="9"/>
      <c r="T94" s="9"/>
      <c r="U94" s="9"/>
    </row>
    <row r="95" spans="1:24" ht="15" customHeight="1" x14ac:dyDescent="0.25">
      <c r="A95" s="67"/>
      <c r="B95" s="68" t="s">
        <v>21</v>
      </c>
      <c r="C95" s="9">
        <v>35</v>
      </c>
      <c r="D95" s="78">
        <v>2</v>
      </c>
      <c r="E95" s="9">
        <v>3</v>
      </c>
      <c r="F95" s="78" t="s">
        <v>146</v>
      </c>
      <c r="G95" s="78">
        <v>2</v>
      </c>
      <c r="H95" s="78" t="s">
        <v>146</v>
      </c>
      <c r="I95" s="78" t="s">
        <v>146</v>
      </c>
      <c r="J95" s="9">
        <v>9</v>
      </c>
      <c r="K95" s="9">
        <v>51</v>
      </c>
      <c r="M95" s="9"/>
      <c r="N95" s="78"/>
      <c r="O95" s="9"/>
      <c r="P95" s="78"/>
      <c r="Q95" s="78"/>
      <c r="R95" s="78"/>
      <c r="S95" s="78"/>
      <c r="T95" s="9"/>
      <c r="U95" s="9"/>
    </row>
    <row r="96" spans="1:24" ht="15" customHeight="1" x14ac:dyDescent="0.25">
      <c r="A96" s="67"/>
      <c r="B96" s="69" t="s">
        <v>12</v>
      </c>
      <c r="C96" s="102">
        <v>1461</v>
      </c>
      <c r="D96" s="102">
        <v>549</v>
      </c>
      <c r="E96" s="102">
        <v>1288</v>
      </c>
      <c r="F96" s="102">
        <v>678</v>
      </c>
      <c r="G96" s="102">
        <v>281</v>
      </c>
      <c r="H96" s="102">
        <v>91</v>
      </c>
      <c r="I96" s="102">
        <v>61</v>
      </c>
      <c r="J96" s="102">
        <v>571</v>
      </c>
      <c r="K96" s="102">
        <v>4980</v>
      </c>
      <c r="M96" s="102"/>
      <c r="N96" s="102"/>
      <c r="O96" s="102"/>
      <c r="P96" s="102"/>
      <c r="Q96" s="102"/>
      <c r="R96" s="102"/>
      <c r="S96" s="102"/>
      <c r="T96" s="102"/>
      <c r="U96" s="102"/>
    </row>
    <row r="97" spans="1:21" ht="15" customHeight="1" x14ac:dyDescent="0.25">
      <c r="A97" s="67" t="s">
        <v>22</v>
      </c>
      <c r="B97" s="68" t="s">
        <v>19</v>
      </c>
      <c r="C97" s="9">
        <v>193</v>
      </c>
      <c r="D97" s="9">
        <v>10</v>
      </c>
      <c r="E97" s="9">
        <v>262</v>
      </c>
      <c r="F97" s="9">
        <v>126</v>
      </c>
      <c r="G97" s="9">
        <v>63</v>
      </c>
      <c r="H97" s="9">
        <v>12</v>
      </c>
      <c r="I97" s="9">
        <v>8</v>
      </c>
      <c r="J97" s="9">
        <v>116</v>
      </c>
      <c r="K97" s="9">
        <v>790</v>
      </c>
      <c r="M97" s="9"/>
      <c r="N97" s="9"/>
      <c r="O97" s="9"/>
      <c r="P97" s="9"/>
      <c r="Q97" s="9"/>
      <c r="R97" s="9"/>
      <c r="S97" s="9"/>
      <c r="T97" s="9"/>
      <c r="U97" s="9"/>
    </row>
    <row r="98" spans="1:21" ht="15" customHeight="1" x14ac:dyDescent="0.25">
      <c r="A98" s="67"/>
      <c r="B98" s="68" t="s">
        <v>20</v>
      </c>
      <c r="C98" s="9">
        <v>147</v>
      </c>
      <c r="D98" s="9">
        <v>42</v>
      </c>
      <c r="E98" s="9">
        <v>97</v>
      </c>
      <c r="F98" s="9">
        <v>60</v>
      </c>
      <c r="G98" s="9">
        <v>29</v>
      </c>
      <c r="H98" s="9">
        <v>20</v>
      </c>
      <c r="I98" s="9">
        <v>13</v>
      </c>
      <c r="J98" s="9">
        <v>1</v>
      </c>
      <c r="K98" s="9">
        <v>409</v>
      </c>
      <c r="M98" s="9"/>
      <c r="N98" s="9"/>
      <c r="O98" s="9"/>
      <c r="P98" s="9"/>
      <c r="Q98" s="9"/>
      <c r="R98" s="9"/>
      <c r="S98" s="9"/>
      <c r="T98" s="9"/>
      <c r="U98" s="9"/>
    </row>
    <row r="99" spans="1:21" ht="15" customHeight="1" x14ac:dyDescent="0.25">
      <c r="A99" s="67"/>
      <c r="B99" s="68" t="s">
        <v>21</v>
      </c>
      <c r="C99" s="9">
        <v>8</v>
      </c>
      <c r="D99" s="48" t="s">
        <v>146</v>
      </c>
      <c r="E99" s="48">
        <v>1</v>
      </c>
      <c r="F99" s="78" t="s">
        <v>146</v>
      </c>
      <c r="G99" s="78" t="s">
        <v>146</v>
      </c>
      <c r="H99" s="78" t="s">
        <v>146</v>
      </c>
      <c r="I99" s="78" t="s">
        <v>146</v>
      </c>
      <c r="J99" s="9">
        <v>3</v>
      </c>
      <c r="K99" s="9">
        <v>12</v>
      </c>
      <c r="M99" s="9"/>
      <c r="N99" s="78"/>
      <c r="O99" s="78"/>
      <c r="P99" s="78"/>
      <c r="Q99" s="78"/>
      <c r="R99" s="78"/>
      <c r="S99" s="78"/>
      <c r="T99" s="9"/>
      <c r="U99" s="9"/>
    </row>
    <row r="100" spans="1:21" ht="15" customHeight="1" x14ac:dyDescent="0.25">
      <c r="A100" s="67"/>
      <c r="B100" s="69" t="s">
        <v>12</v>
      </c>
      <c r="C100" s="102">
        <v>348</v>
      </c>
      <c r="D100" s="102">
        <v>52</v>
      </c>
      <c r="E100" s="102">
        <v>360</v>
      </c>
      <c r="F100" s="102">
        <v>186</v>
      </c>
      <c r="G100" s="102">
        <v>92</v>
      </c>
      <c r="H100" s="102">
        <v>32</v>
      </c>
      <c r="I100" s="102">
        <v>21</v>
      </c>
      <c r="J100" s="102">
        <v>120</v>
      </c>
      <c r="K100" s="102">
        <v>1211</v>
      </c>
      <c r="M100" s="102"/>
      <c r="N100" s="102"/>
      <c r="O100" s="102"/>
      <c r="P100" s="102"/>
      <c r="Q100" s="102"/>
      <c r="R100" s="102"/>
      <c r="S100" s="102"/>
      <c r="T100" s="102"/>
      <c r="U100" s="102"/>
    </row>
    <row r="101" spans="1:21" ht="15" customHeight="1" x14ac:dyDescent="0.25">
      <c r="A101" s="69" t="s">
        <v>12</v>
      </c>
      <c r="B101" s="68" t="s">
        <v>19</v>
      </c>
      <c r="C101" s="9">
        <v>949</v>
      </c>
      <c r="D101" s="9">
        <v>101</v>
      </c>
      <c r="E101" s="9">
        <v>1097</v>
      </c>
      <c r="F101" s="9">
        <v>572</v>
      </c>
      <c r="G101" s="9">
        <v>209</v>
      </c>
      <c r="H101" s="9">
        <v>40</v>
      </c>
      <c r="I101" s="9">
        <v>28</v>
      </c>
      <c r="J101" s="9">
        <v>658</v>
      </c>
      <c r="K101" s="9">
        <v>3654</v>
      </c>
      <c r="M101" s="9"/>
      <c r="N101" s="9"/>
      <c r="O101" s="9"/>
      <c r="P101" s="9"/>
      <c r="Q101" s="9"/>
      <c r="R101" s="9"/>
      <c r="S101" s="9"/>
      <c r="T101" s="9"/>
      <c r="U101" s="9"/>
    </row>
    <row r="102" spans="1:21" ht="15" customHeight="1" x14ac:dyDescent="0.25">
      <c r="A102" s="69"/>
      <c r="B102" s="68" t="s">
        <v>20</v>
      </c>
      <c r="C102" s="9">
        <v>817</v>
      </c>
      <c r="D102" s="9">
        <v>498</v>
      </c>
      <c r="E102" s="9">
        <v>547</v>
      </c>
      <c r="F102" s="9">
        <v>292</v>
      </c>
      <c r="G102" s="9">
        <v>162</v>
      </c>
      <c r="H102" s="9">
        <v>83</v>
      </c>
      <c r="I102" s="9">
        <v>54</v>
      </c>
      <c r="J102" s="9">
        <v>21</v>
      </c>
      <c r="K102" s="9">
        <v>2474</v>
      </c>
      <c r="M102" s="9"/>
      <c r="N102" s="9"/>
      <c r="O102" s="9"/>
      <c r="P102" s="9"/>
      <c r="Q102" s="9"/>
      <c r="R102" s="9"/>
      <c r="S102" s="9"/>
      <c r="T102" s="9"/>
      <c r="U102" s="9"/>
    </row>
    <row r="103" spans="1:21" ht="15" customHeight="1" x14ac:dyDescent="0.25">
      <c r="A103" s="69"/>
      <c r="B103" s="68" t="s">
        <v>21</v>
      </c>
      <c r="C103" s="9">
        <v>43</v>
      </c>
      <c r="D103" s="48">
        <v>2</v>
      </c>
      <c r="E103" s="9">
        <v>4</v>
      </c>
      <c r="F103" s="48" t="s">
        <v>146</v>
      </c>
      <c r="G103" s="48">
        <v>2</v>
      </c>
      <c r="H103" s="48" t="s">
        <v>146</v>
      </c>
      <c r="I103" s="48" t="s">
        <v>146</v>
      </c>
      <c r="J103" s="9">
        <v>12</v>
      </c>
      <c r="K103" s="9">
        <v>63</v>
      </c>
      <c r="M103" s="9"/>
      <c r="N103" s="105"/>
      <c r="O103" s="9"/>
      <c r="P103" s="105"/>
      <c r="Q103" s="105"/>
      <c r="R103" s="105"/>
      <c r="S103" s="105"/>
      <c r="T103" s="9"/>
      <c r="U103" s="9"/>
    </row>
    <row r="104" spans="1:21" ht="15" customHeight="1" x14ac:dyDescent="0.25">
      <c r="A104" s="69"/>
      <c r="B104" s="69" t="s">
        <v>12</v>
      </c>
      <c r="C104" s="102">
        <v>1809</v>
      </c>
      <c r="D104" s="102">
        <v>601</v>
      </c>
      <c r="E104" s="102">
        <v>1648</v>
      </c>
      <c r="F104" s="102">
        <v>864</v>
      </c>
      <c r="G104" s="102">
        <v>373</v>
      </c>
      <c r="H104" s="102">
        <v>123</v>
      </c>
      <c r="I104" s="102">
        <v>82</v>
      </c>
      <c r="J104" s="102">
        <v>691</v>
      </c>
      <c r="K104" s="102">
        <v>6191</v>
      </c>
      <c r="M104" s="102"/>
      <c r="N104" s="102"/>
      <c r="O104" s="102"/>
      <c r="P104" s="102"/>
      <c r="Q104" s="102"/>
      <c r="R104" s="102"/>
      <c r="S104" s="102"/>
      <c r="T104" s="102"/>
      <c r="U104" s="102"/>
    </row>
    <row r="105" spans="1:21" ht="3" customHeight="1" x14ac:dyDescent="0.25">
      <c r="A105" s="43"/>
      <c r="B105" s="43"/>
      <c r="C105" s="84"/>
      <c r="D105" s="84"/>
      <c r="E105" s="84"/>
      <c r="F105" s="84"/>
      <c r="G105" s="84"/>
      <c r="H105" s="84"/>
      <c r="I105" s="84"/>
      <c r="J105" s="84"/>
      <c r="K105" s="84"/>
    </row>
    <row r="106" spans="1:21" ht="15" customHeight="1" x14ac:dyDescent="0.25">
      <c r="A106" s="7" t="s">
        <v>103</v>
      </c>
      <c r="B106" s="7"/>
      <c r="C106" s="85"/>
      <c r="D106" s="85"/>
      <c r="E106" s="85"/>
      <c r="F106" s="85"/>
      <c r="G106" s="85"/>
      <c r="H106" s="85"/>
      <c r="I106" s="85"/>
      <c r="J106" s="85"/>
      <c r="K106" s="85"/>
    </row>
    <row r="107" spans="1:21" s="7" customFormat="1" ht="15" customHeight="1" x14ac:dyDescent="0.15">
      <c r="C107" s="85"/>
      <c r="D107" s="85"/>
      <c r="E107" s="85"/>
      <c r="F107" s="85"/>
      <c r="G107" s="85"/>
      <c r="H107" s="85"/>
      <c r="I107" s="85"/>
      <c r="J107" s="85"/>
      <c r="K107" s="85"/>
    </row>
    <row r="108" spans="1:21" s="7" customFormat="1" ht="15" customHeight="1" x14ac:dyDescent="0.15">
      <c r="A108" s="7" t="s">
        <v>347</v>
      </c>
      <c r="C108" s="85"/>
      <c r="D108" s="85"/>
      <c r="E108" s="85"/>
      <c r="F108" s="85"/>
      <c r="G108" s="85"/>
      <c r="H108" s="85"/>
      <c r="I108" s="85"/>
      <c r="J108" s="85"/>
      <c r="K108" s="85"/>
    </row>
    <row r="109" spans="1:21" ht="15" customHeight="1" x14ac:dyDescent="0.25">
      <c r="A109" s="2"/>
    </row>
    <row r="110" spans="1:21" ht="15" customHeight="1" x14ac:dyDescent="0.25">
      <c r="A110" s="192" t="s">
        <v>392</v>
      </c>
      <c r="B110" s="192"/>
      <c r="C110" s="192"/>
      <c r="D110" s="192"/>
      <c r="E110" s="192"/>
      <c r="F110" s="192"/>
      <c r="G110" s="192"/>
      <c r="H110" s="192"/>
      <c r="I110" s="192"/>
      <c r="J110" s="192"/>
      <c r="K110" s="192"/>
    </row>
    <row r="111" spans="1:21" s="13" customFormat="1" ht="15" customHeight="1" x14ac:dyDescent="0.2">
      <c r="A111" s="13" t="s">
        <v>108</v>
      </c>
      <c r="C111" s="87"/>
      <c r="D111" s="87"/>
      <c r="E111" s="87"/>
      <c r="F111" s="87"/>
      <c r="G111" s="87"/>
      <c r="H111" s="87"/>
      <c r="I111" s="87"/>
      <c r="J111" s="87"/>
      <c r="K111" s="87"/>
    </row>
    <row r="112" spans="1:21" ht="0.75" customHeight="1" x14ac:dyDescent="0.25">
      <c r="A112" s="2"/>
    </row>
    <row r="113" spans="1:24" ht="15" customHeight="1" x14ac:dyDescent="0.25">
      <c r="A113" s="35" t="s">
        <v>157</v>
      </c>
      <c r="B113" s="35" t="s">
        <v>158</v>
      </c>
      <c r="C113" s="76" t="s">
        <v>1</v>
      </c>
      <c r="D113" s="76" t="s">
        <v>2</v>
      </c>
      <c r="E113" s="76" t="s">
        <v>3</v>
      </c>
      <c r="F113" s="76" t="s">
        <v>4</v>
      </c>
      <c r="G113" s="76" t="s">
        <v>5</v>
      </c>
      <c r="H113" s="76" t="s">
        <v>6</v>
      </c>
      <c r="I113" s="76" t="s">
        <v>7</v>
      </c>
      <c r="J113" s="76" t="s">
        <v>8</v>
      </c>
      <c r="K113" s="88" t="s">
        <v>9</v>
      </c>
    </row>
    <row r="114" spans="1:24" ht="15" customHeight="1" x14ac:dyDescent="0.25">
      <c r="A114" s="65" t="s">
        <v>18</v>
      </c>
      <c r="B114" s="66" t="s">
        <v>19</v>
      </c>
      <c r="C114" s="9">
        <v>178</v>
      </c>
      <c r="D114" s="9">
        <v>26</v>
      </c>
      <c r="E114" s="9">
        <v>222</v>
      </c>
      <c r="F114" s="9">
        <v>109</v>
      </c>
      <c r="G114" s="9">
        <v>25</v>
      </c>
      <c r="H114" s="9" t="s">
        <v>443</v>
      </c>
      <c r="I114" s="9" t="s">
        <v>443</v>
      </c>
      <c r="J114" s="9">
        <v>249</v>
      </c>
      <c r="K114" s="9">
        <v>819</v>
      </c>
      <c r="M114" s="9"/>
      <c r="N114" s="9"/>
      <c r="O114" s="9"/>
      <c r="P114" s="9"/>
      <c r="Q114" s="9"/>
      <c r="R114" s="9"/>
      <c r="S114" s="9"/>
      <c r="T114" s="9"/>
      <c r="U114" s="9"/>
      <c r="X114" s="123"/>
    </row>
    <row r="115" spans="1:24" ht="15" customHeight="1" x14ac:dyDescent="0.25">
      <c r="A115" s="67"/>
      <c r="B115" s="68" t="s">
        <v>20</v>
      </c>
      <c r="C115" s="9">
        <v>110</v>
      </c>
      <c r="D115" s="9">
        <v>121</v>
      </c>
      <c r="E115" s="9">
        <v>59</v>
      </c>
      <c r="F115" s="9">
        <v>61</v>
      </c>
      <c r="G115" s="9">
        <v>18</v>
      </c>
      <c r="H115" s="9" t="s">
        <v>443</v>
      </c>
      <c r="I115" s="9" t="s">
        <v>443</v>
      </c>
      <c r="J115" s="9">
        <v>10</v>
      </c>
      <c r="K115" s="9">
        <v>413</v>
      </c>
      <c r="M115" s="9"/>
      <c r="N115" s="9"/>
      <c r="O115" s="9"/>
      <c r="P115" s="9"/>
      <c r="Q115" s="9"/>
      <c r="R115" s="9"/>
      <c r="S115" s="9"/>
      <c r="T115" s="9"/>
      <c r="U115" s="9"/>
    </row>
    <row r="116" spans="1:24" ht="15" customHeight="1" x14ac:dyDescent="0.25">
      <c r="A116" s="67"/>
      <c r="B116" s="68" t="s">
        <v>21</v>
      </c>
      <c r="C116" s="9">
        <v>1</v>
      </c>
      <c r="D116" s="48" t="s">
        <v>146</v>
      </c>
      <c r="E116" s="48" t="s">
        <v>146</v>
      </c>
      <c r="F116" s="48" t="s">
        <v>146</v>
      </c>
      <c r="G116" s="48" t="s">
        <v>146</v>
      </c>
      <c r="H116" s="48" t="s">
        <v>146</v>
      </c>
      <c r="I116" s="48" t="s">
        <v>146</v>
      </c>
      <c r="J116" s="9">
        <v>5</v>
      </c>
      <c r="K116" s="9">
        <v>6</v>
      </c>
      <c r="M116" s="9"/>
      <c r="N116" s="78"/>
      <c r="O116" s="78"/>
      <c r="P116" s="78"/>
      <c r="Q116" s="78"/>
      <c r="R116" s="78"/>
      <c r="S116" s="78"/>
      <c r="T116" s="9"/>
      <c r="U116" s="9"/>
    </row>
    <row r="117" spans="1:24" ht="15" customHeight="1" x14ac:dyDescent="0.25">
      <c r="A117" s="67"/>
      <c r="B117" s="69" t="s">
        <v>12</v>
      </c>
      <c r="C117" s="102">
        <v>289</v>
      </c>
      <c r="D117" s="102">
        <v>147</v>
      </c>
      <c r="E117" s="102">
        <v>281</v>
      </c>
      <c r="F117" s="102">
        <v>170</v>
      </c>
      <c r="G117" s="102">
        <v>43</v>
      </c>
      <c r="H117" s="102" t="s">
        <v>443</v>
      </c>
      <c r="I117" s="102" t="s">
        <v>443</v>
      </c>
      <c r="J117" s="102">
        <v>264</v>
      </c>
      <c r="K117" s="102">
        <v>1238</v>
      </c>
      <c r="M117" s="102"/>
      <c r="N117" s="102"/>
      <c r="O117" s="102"/>
      <c r="P117" s="102"/>
      <c r="Q117" s="102"/>
      <c r="R117" s="102"/>
      <c r="S117" s="102"/>
      <c r="T117" s="102"/>
      <c r="U117" s="102"/>
    </row>
    <row r="118" spans="1:24" ht="15" customHeight="1" x14ac:dyDescent="0.25">
      <c r="A118" s="67" t="s">
        <v>22</v>
      </c>
      <c r="B118" s="68" t="s">
        <v>19</v>
      </c>
      <c r="C118" s="9">
        <v>12</v>
      </c>
      <c r="D118" s="9">
        <v>2</v>
      </c>
      <c r="E118" s="9">
        <v>28</v>
      </c>
      <c r="F118" s="9">
        <v>12</v>
      </c>
      <c r="G118" s="9">
        <v>4</v>
      </c>
      <c r="H118" s="9" t="s">
        <v>443</v>
      </c>
      <c r="I118" s="9" t="s">
        <v>443</v>
      </c>
      <c r="J118" s="9">
        <v>39</v>
      </c>
      <c r="K118" s="9">
        <v>103</v>
      </c>
      <c r="M118" s="9"/>
      <c r="N118" s="9"/>
      <c r="O118" s="9"/>
      <c r="P118" s="9"/>
      <c r="Q118" s="9"/>
      <c r="R118" s="9"/>
      <c r="S118" s="9"/>
      <c r="T118" s="9"/>
      <c r="U118" s="9"/>
    </row>
    <row r="119" spans="1:24" ht="15" customHeight="1" x14ac:dyDescent="0.25">
      <c r="A119" s="67"/>
      <c r="B119" s="68" t="s">
        <v>20</v>
      </c>
      <c r="C119" s="9">
        <v>3</v>
      </c>
      <c r="D119" s="9">
        <v>7</v>
      </c>
      <c r="E119" s="9">
        <v>7</v>
      </c>
      <c r="F119" s="9">
        <v>10</v>
      </c>
      <c r="G119" s="9">
        <v>2</v>
      </c>
      <c r="H119" s="9" t="s">
        <v>443</v>
      </c>
      <c r="I119" s="9" t="s">
        <v>443</v>
      </c>
      <c r="J119" s="78" t="s">
        <v>146</v>
      </c>
      <c r="K119" s="9">
        <v>33</v>
      </c>
      <c r="M119" s="9"/>
      <c r="N119" s="9"/>
      <c r="O119" s="9"/>
      <c r="P119" s="9"/>
      <c r="Q119" s="9"/>
      <c r="R119" s="9"/>
      <c r="S119" s="9"/>
      <c r="T119" s="78"/>
      <c r="U119" s="9"/>
    </row>
    <row r="120" spans="1:24" ht="15" customHeight="1" x14ac:dyDescent="0.25">
      <c r="A120" s="67"/>
      <c r="B120" s="68" t="s">
        <v>21</v>
      </c>
      <c r="C120" s="9">
        <v>1</v>
      </c>
      <c r="D120" s="48" t="s">
        <v>146</v>
      </c>
      <c r="E120" s="48" t="s">
        <v>146</v>
      </c>
      <c r="F120" s="48" t="s">
        <v>146</v>
      </c>
      <c r="G120" s="48" t="s">
        <v>146</v>
      </c>
      <c r="H120" s="48" t="s">
        <v>146</v>
      </c>
      <c r="I120" s="48" t="s">
        <v>146</v>
      </c>
      <c r="J120" s="9">
        <v>1</v>
      </c>
      <c r="K120" s="9">
        <v>2</v>
      </c>
      <c r="M120" s="9"/>
      <c r="N120" s="78"/>
      <c r="O120" s="78"/>
      <c r="P120" s="78"/>
      <c r="Q120" s="78"/>
      <c r="R120" s="78"/>
      <c r="S120" s="78"/>
      <c r="T120" s="9"/>
      <c r="U120" s="9"/>
    </row>
    <row r="121" spans="1:24" ht="15" customHeight="1" x14ac:dyDescent="0.25">
      <c r="A121" s="67"/>
      <c r="B121" s="69" t="s">
        <v>12</v>
      </c>
      <c r="C121" s="102">
        <v>16</v>
      </c>
      <c r="D121" s="102">
        <v>9</v>
      </c>
      <c r="E121" s="102">
        <v>35</v>
      </c>
      <c r="F121" s="102">
        <v>22</v>
      </c>
      <c r="G121" s="102">
        <v>6</v>
      </c>
      <c r="H121" s="102" t="s">
        <v>443</v>
      </c>
      <c r="I121" s="102" t="s">
        <v>443</v>
      </c>
      <c r="J121" s="102">
        <v>40</v>
      </c>
      <c r="K121" s="102">
        <v>138</v>
      </c>
      <c r="M121" s="102"/>
      <c r="N121" s="102"/>
      <c r="O121" s="102"/>
      <c r="P121" s="102"/>
      <c r="Q121" s="102"/>
      <c r="R121" s="102"/>
      <c r="S121" s="102"/>
      <c r="T121" s="102"/>
      <c r="U121" s="102"/>
    </row>
    <row r="122" spans="1:24" ht="15" customHeight="1" x14ac:dyDescent="0.25">
      <c r="A122" s="69" t="s">
        <v>12</v>
      </c>
      <c r="B122" s="68" t="s">
        <v>19</v>
      </c>
      <c r="C122" s="9">
        <v>190</v>
      </c>
      <c r="D122" s="9">
        <v>28</v>
      </c>
      <c r="E122" s="9">
        <v>250</v>
      </c>
      <c r="F122" s="9">
        <v>121</v>
      </c>
      <c r="G122" s="9">
        <v>29</v>
      </c>
      <c r="H122" s="9" t="s">
        <v>443</v>
      </c>
      <c r="I122" s="9" t="s">
        <v>443</v>
      </c>
      <c r="J122" s="9">
        <v>288</v>
      </c>
      <c r="K122" s="9">
        <v>922</v>
      </c>
      <c r="M122" s="9"/>
      <c r="N122" s="9"/>
      <c r="O122" s="9"/>
      <c r="P122" s="9"/>
      <c r="Q122" s="9"/>
      <c r="R122" s="9"/>
      <c r="S122" s="9"/>
      <c r="T122" s="9"/>
      <c r="U122" s="9"/>
    </row>
    <row r="123" spans="1:24" ht="15" customHeight="1" x14ac:dyDescent="0.25">
      <c r="A123" s="69"/>
      <c r="B123" s="68" t="s">
        <v>20</v>
      </c>
      <c r="C123" s="9">
        <v>113</v>
      </c>
      <c r="D123" s="9">
        <v>128</v>
      </c>
      <c r="E123" s="9">
        <v>66</v>
      </c>
      <c r="F123" s="9">
        <v>71</v>
      </c>
      <c r="G123" s="9">
        <v>20</v>
      </c>
      <c r="H123" s="9" t="s">
        <v>443</v>
      </c>
      <c r="I123" s="9" t="s">
        <v>443</v>
      </c>
      <c r="J123" s="9">
        <v>10</v>
      </c>
      <c r="K123" s="9">
        <v>446</v>
      </c>
      <c r="M123" s="9"/>
      <c r="N123" s="9"/>
      <c r="O123" s="9"/>
      <c r="P123" s="9"/>
      <c r="Q123" s="9"/>
      <c r="R123" s="9"/>
      <c r="S123" s="9"/>
      <c r="T123" s="9"/>
      <c r="U123" s="9"/>
    </row>
    <row r="124" spans="1:24" ht="15" customHeight="1" x14ac:dyDescent="0.25">
      <c r="A124" s="69"/>
      <c r="B124" s="68" t="s">
        <v>21</v>
      </c>
      <c r="C124" s="9">
        <v>2</v>
      </c>
      <c r="D124" s="48" t="s">
        <v>146</v>
      </c>
      <c r="E124" s="48" t="s">
        <v>146</v>
      </c>
      <c r="F124" s="48" t="s">
        <v>146</v>
      </c>
      <c r="G124" s="48" t="s">
        <v>146</v>
      </c>
      <c r="H124" s="48" t="s">
        <v>146</v>
      </c>
      <c r="I124" s="48" t="s">
        <v>146</v>
      </c>
      <c r="J124" s="9">
        <v>6</v>
      </c>
      <c r="K124" s="9">
        <v>8</v>
      </c>
      <c r="M124" s="9"/>
      <c r="N124" s="78"/>
      <c r="O124" s="78"/>
      <c r="P124" s="78"/>
      <c r="Q124" s="78"/>
      <c r="R124" s="78"/>
      <c r="S124" s="78"/>
      <c r="T124" s="9"/>
      <c r="U124" s="9"/>
    </row>
    <row r="125" spans="1:24" ht="15" customHeight="1" x14ac:dyDescent="0.25">
      <c r="A125" s="69"/>
      <c r="B125" s="69" t="s">
        <v>12</v>
      </c>
      <c r="C125" s="102">
        <v>305</v>
      </c>
      <c r="D125" s="102">
        <v>156</v>
      </c>
      <c r="E125" s="102">
        <v>316</v>
      </c>
      <c r="F125" s="102">
        <v>192</v>
      </c>
      <c r="G125" s="102">
        <v>49</v>
      </c>
      <c r="H125" s="102">
        <v>36</v>
      </c>
      <c r="I125" s="102">
        <v>18</v>
      </c>
      <c r="J125" s="102">
        <v>304</v>
      </c>
      <c r="K125" s="102">
        <v>1376</v>
      </c>
      <c r="M125" s="102"/>
      <c r="N125" s="102"/>
      <c r="O125" s="102"/>
      <c r="P125" s="102"/>
      <c r="Q125" s="102"/>
      <c r="R125" s="102"/>
      <c r="S125" s="102"/>
      <c r="T125" s="102"/>
      <c r="U125" s="102"/>
    </row>
    <row r="126" spans="1:24" ht="0.75" customHeight="1" x14ac:dyDescent="0.25">
      <c r="A126" s="43"/>
      <c r="B126" s="43"/>
      <c r="C126" s="84"/>
      <c r="D126" s="84"/>
      <c r="E126" s="84"/>
      <c r="F126" s="84"/>
      <c r="G126" s="84"/>
      <c r="H126" s="84"/>
      <c r="I126" s="84"/>
      <c r="J126" s="84"/>
      <c r="K126" s="84"/>
    </row>
    <row r="127" spans="1:24" ht="10.5" customHeight="1" x14ac:dyDescent="0.25">
      <c r="A127" s="7" t="s">
        <v>252</v>
      </c>
    </row>
    <row r="128" spans="1:24" ht="12" customHeight="1" x14ac:dyDescent="0.25">
      <c r="A128" s="7" t="s">
        <v>103</v>
      </c>
      <c r="B128" s="7"/>
      <c r="C128" s="85"/>
      <c r="D128" s="85"/>
      <c r="E128" s="85"/>
      <c r="F128" s="85"/>
      <c r="G128" s="85"/>
      <c r="H128" s="85"/>
      <c r="I128" s="85"/>
      <c r="J128" s="85"/>
      <c r="K128" s="85"/>
    </row>
    <row r="129" spans="1:24" s="7" customFormat="1" ht="15" customHeight="1" x14ac:dyDescent="0.15">
      <c r="C129" s="85"/>
      <c r="D129" s="85"/>
      <c r="E129" s="85"/>
      <c r="F129" s="85"/>
      <c r="G129" s="85"/>
      <c r="H129" s="85"/>
      <c r="I129" s="85"/>
      <c r="J129" s="85"/>
      <c r="K129" s="85"/>
    </row>
    <row r="130" spans="1:24" s="7" customFormat="1" ht="15" customHeight="1" x14ac:dyDescent="0.15">
      <c r="A130" s="7" t="s">
        <v>347</v>
      </c>
      <c r="C130" s="85"/>
      <c r="D130" s="85"/>
      <c r="E130" s="85"/>
      <c r="F130" s="85"/>
      <c r="G130" s="85"/>
      <c r="H130" s="85"/>
      <c r="I130" s="85"/>
      <c r="J130" s="85"/>
      <c r="K130" s="85"/>
    </row>
    <row r="131" spans="1:24" ht="15" customHeight="1" x14ac:dyDescent="0.25">
      <c r="A131" s="2"/>
    </row>
    <row r="132" spans="1:24" ht="15" customHeight="1" x14ac:dyDescent="0.25">
      <c r="A132" s="192" t="s">
        <v>393</v>
      </c>
      <c r="B132" s="192"/>
      <c r="C132" s="192"/>
      <c r="D132" s="192"/>
      <c r="E132" s="192"/>
      <c r="F132" s="192"/>
      <c r="G132" s="192"/>
      <c r="H132" s="192"/>
      <c r="I132" s="192"/>
      <c r="J132" s="192"/>
      <c r="K132" s="192"/>
    </row>
    <row r="133" spans="1:24" s="13" customFormat="1" ht="15" customHeight="1" x14ac:dyDescent="0.2">
      <c r="A133" s="13" t="s">
        <v>109</v>
      </c>
      <c r="C133" s="87"/>
      <c r="D133" s="87"/>
      <c r="E133" s="87"/>
      <c r="F133" s="87"/>
      <c r="G133" s="87"/>
      <c r="H133" s="87"/>
      <c r="I133" s="87"/>
      <c r="J133" s="87"/>
      <c r="K133" s="87"/>
    </row>
    <row r="134" spans="1:24" ht="1.5" customHeight="1" x14ac:dyDescent="0.25">
      <c r="A134" s="2"/>
    </row>
    <row r="135" spans="1:24" ht="15" customHeight="1" x14ac:dyDescent="0.25">
      <c r="A135" s="35" t="s">
        <v>157</v>
      </c>
      <c r="B135" s="35" t="s">
        <v>158</v>
      </c>
      <c r="C135" s="76" t="s">
        <v>1</v>
      </c>
      <c r="D135" s="76" t="s">
        <v>2</v>
      </c>
      <c r="E135" s="76" t="s">
        <v>3</v>
      </c>
      <c r="F135" s="76" t="s">
        <v>4</v>
      </c>
      <c r="G135" s="76" t="s">
        <v>5</v>
      </c>
      <c r="H135" s="76" t="s">
        <v>6</v>
      </c>
      <c r="I135" s="76" t="s">
        <v>7</v>
      </c>
      <c r="J135" s="76" t="s">
        <v>8</v>
      </c>
      <c r="K135" s="88" t="s">
        <v>9</v>
      </c>
    </row>
    <row r="136" spans="1:24" ht="15" customHeight="1" x14ac:dyDescent="0.25">
      <c r="A136" s="65" t="s">
        <v>18</v>
      </c>
      <c r="B136" s="66" t="s">
        <v>19</v>
      </c>
      <c r="C136" s="9">
        <v>811</v>
      </c>
      <c r="D136" s="9">
        <v>96</v>
      </c>
      <c r="E136" s="9">
        <v>845</v>
      </c>
      <c r="F136" s="9">
        <v>543</v>
      </c>
      <c r="G136" s="9">
        <v>179</v>
      </c>
      <c r="H136" s="9">
        <v>28</v>
      </c>
      <c r="I136" s="9">
        <v>35</v>
      </c>
      <c r="J136" s="9">
        <v>545</v>
      </c>
      <c r="K136" s="9">
        <v>3082</v>
      </c>
      <c r="M136" s="9"/>
      <c r="N136" s="9"/>
      <c r="O136" s="9"/>
      <c r="P136" s="102"/>
      <c r="Q136" s="9"/>
      <c r="R136" s="9"/>
      <c r="S136" s="9"/>
      <c r="T136" s="9"/>
      <c r="U136" s="9"/>
      <c r="W136" s="123"/>
      <c r="X136" s="123"/>
    </row>
    <row r="137" spans="1:24" ht="15" customHeight="1" x14ac:dyDescent="0.25">
      <c r="A137" s="67"/>
      <c r="B137" s="68" t="s">
        <v>20</v>
      </c>
      <c r="C137" s="9">
        <v>728</v>
      </c>
      <c r="D137" s="9">
        <v>502</v>
      </c>
      <c r="E137" s="9">
        <v>461</v>
      </c>
      <c r="F137" s="9">
        <v>307</v>
      </c>
      <c r="G137" s="9">
        <v>165</v>
      </c>
      <c r="H137" s="9">
        <v>63</v>
      </c>
      <c r="I137" s="9">
        <v>76</v>
      </c>
      <c r="J137" s="9">
        <v>21</v>
      </c>
      <c r="K137" s="9">
        <v>2323</v>
      </c>
      <c r="M137" s="9"/>
      <c r="N137" s="9"/>
      <c r="O137" s="9"/>
      <c r="P137" s="9"/>
      <c r="Q137" s="9"/>
      <c r="R137" s="9"/>
      <c r="S137" s="9"/>
      <c r="T137" s="9"/>
      <c r="U137" s="9"/>
    </row>
    <row r="138" spans="1:24" ht="15" customHeight="1" x14ac:dyDescent="0.25">
      <c r="A138" s="67"/>
      <c r="B138" s="68" t="s">
        <v>21</v>
      </c>
      <c r="C138" s="9">
        <v>44</v>
      </c>
      <c r="D138" s="48">
        <v>2</v>
      </c>
      <c r="E138" s="9">
        <v>3</v>
      </c>
      <c r="F138" s="48" t="s">
        <v>146</v>
      </c>
      <c r="G138" s="48">
        <v>2</v>
      </c>
      <c r="H138" s="48" t="s">
        <v>146</v>
      </c>
      <c r="I138" s="48" t="s">
        <v>146</v>
      </c>
      <c r="J138" s="9">
        <v>9</v>
      </c>
      <c r="K138" s="9">
        <v>60</v>
      </c>
      <c r="M138" s="9"/>
      <c r="N138" s="9"/>
      <c r="O138" s="105"/>
      <c r="P138" s="9"/>
      <c r="Q138" s="105"/>
      <c r="R138" s="105"/>
      <c r="S138" s="105"/>
      <c r="T138" s="9"/>
      <c r="U138" s="9"/>
    </row>
    <row r="139" spans="1:24" ht="15" customHeight="1" x14ac:dyDescent="0.25">
      <c r="A139" s="67"/>
      <c r="B139" s="69" t="s">
        <v>12</v>
      </c>
      <c r="C139" s="102">
        <v>1583</v>
      </c>
      <c r="D139" s="102">
        <v>600</v>
      </c>
      <c r="E139" s="102">
        <v>1309</v>
      </c>
      <c r="F139" s="102">
        <v>850</v>
      </c>
      <c r="G139" s="102">
        <v>346</v>
      </c>
      <c r="H139" s="102">
        <v>91</v>
      </c>
      <c r="I139" s="102">
        <v>111</v>
      </c>
      <c r="J139" s="102">
        <v>575</v>
      </c>
      <c r="K139" s="102">
        <v>5465</v>
      </c>
      <c r="M139" s="102"/>
      <c r="N139" s="102"/>
      <c r="O139" s="102"/>
      <c r="P139" s="102"/>
      <c r="Q139" s="102"/>
      <c r="R139" s="102"/>
      <c r="S139" s="102"/>
      <c r="T139" s="102"/>
      <c r="U139" s="102"/>
    </row>
    <row r="140" spans="1:24" ht="15" customHeight="1" x14ac:dyDescent="0.25">
      <c r="A140" s="67" t="s">
        <v>22</v>
      </c>
      <c r="B140" s="68" t="s">
        <v>19</v>
      </c>
      <c r="C140" s="9">
        <v>210</v>
      </c>
      <c r="D140" s="9">
        <v>12</v>
      </c>
      <c r="E140" s="9">
        <v>267</v>
      </c>
      <c r="F140" s="9">
        <v>174</v>
      </c>
      <c r="G140" s="9">
        <v>86</v>
      </c>
      <c r="H140" s="9">
        <v>12</v>
      </c>
      <c r="I140" s="9">
        <v>12</v>
      </c>
      <c r="J140" s="9">
        <v>116</v>
      </c>
      <c r="K140" s="9">
        <v>889</v>
      </c>
      <c r="M140" s="9"/>
      <c r="N140" s="9"/>
      <c r="O140" s="9"/>
      <c r="P140" s="9"/>
      <c r="Q140" s="9"/>
      <c r="R140" s="9"/>
      <c r="S140" s="9"/>
      <c r="T140" s="9"/>
      <c r="U140" s="9"/>
    </row>
    <row r="141" spans="1:24" ht="15" customHeight="1" x14ac:dyDescent="0.25">
      <c r="A141" s="67"/>
      <c r="B141" s="68" t="s">
        <v>20</v>
      </c>
      <c r="C141" s="9">
        <v>166</v>
      </c>
      <c r="D141" s="9">
        <v>44</v>
      </c>
      <c r="E141" s="9">
        <v>104</v>
      </c>
      <c r="F141" s="9">
        <v>77</v>
      </c>
      <c r="G141" s="9">
        <v>44</v>
      </c>
      <c r="H141" s="9">
        <v>20</v>
      </c>
      <c r="I141" s="9">
        <v>28</v>
      </c>
      <c r="J141" s="9">
        <v>1</v>
      </c>
      <c r="K141" s="9">
        <v>484</v>
      </c>
      <c r="M141" s="9"/>
      <c r="N141" s="9"/>
      <c r="O141" s="9"/>
      <c r="P141" s="9"/>
      <c r="Q141" s="9"/>
      <c r="R141" s="9"/>
      <c r="S141" s="9"/>
      <c r="T141" s="9"/>
      <c r="U141" s="9"/>
    </row>
    <row r="142" spans="1:24" ht="15" customHeight="1" x14ac:dyDescent="0.25">
      <c r="A142" s="67"/>
      <c r="B142" s="68" t="s">
        <v>21</v>
      </c>
      <c r="C142" s="9">
        <v>9</v>
      </c>
      <c r="D142" s="48" t="s">
        <v>146</v>
      </c>
      <c r="E142" s="48">
        <v>1</v>
      </c>
      <c r="F142" s="48" t="s">
        <v>146</v>
      </c>
      <c r="G142" s="48">
        <v>1</v>
      </c>
      <c r="H142" s="48" t="s">
        <v>146</v>
      </c>
      <c r="I142" s="48" t="s">
        <v>146</v>
      </c>
      <c r="J142" s="9">
        <v>3</v>
      </c>
      <c r="K142" s="9">
        <v>14</v>
      </c>
      <c r="M142" s="9"/>
      <c r="N142" s="9"/>
      <c r="O142" s="105"/>
      <c r="P142" s="105"/>
      <c r="Q142" s="105"/>
      <c r="R142" s="105"/>
      <c r="S142" s="105"/>
      <c r="T142" s="9"/>
      <c r="U142" s="9"/>
    </row>
    <row r="143" spans="1:24" ht="15" customHeight="1" x14ac:dyDescent="0.25">
      <c r="A143" s="67"/>
      <c r="B143" s="69" t="s">
        <v>12</v>
      </c>
      <c r="C143" s="102">
        <v>385</v>
      </c>
      <c r="D143" s="102">
        <v>56</v>
      </c>
      <c r="E143" s="102">
        <v>372</v>
      </c>
      <c r="F143" s="102">
        <v>251</v>
      </c>
      <c r="G143" s="102">
        <v>131</v>
      </c>
      <c r="H143" s="102">
        <v>32</v>
      </c>
      <c r="I143" s="102">
        <v>40</v>
      </c>
      <c r="J143" s="102">
        <v>120</v>
      </c>
      <c r="K143" s="102">
        <v>1387</v>
      </c>
      <c r="M143" s="102"/>
      <c r="N143" s="102"/>
      <c r="O143" s="102"/>
      <c r="P143" s="102"/>
      <c r="Q143" s="102"/>
      <c r="R143" s="102"/>
      <c r="S143" s="102"/>
      <c r="T143" s="102"/>
      <c r="U143" s="102"/>
    </row>
    <row r="144" spans="1:24" ht="15" customHeight="1" x14ac:dyDescent="0.25">
      <c r="A144" s="69" t="s">
        <v>12</v>
      </c>
      <c r="B144" s="68" t="s">
        <v>19</v>
      </c>
      <c r="C144" s="9">
        <v>1021</v>
      </c>
      <c r="D144" s="9">
        <v>108</v>
      </c>
      <c r="E144" s="9">
        <v>1112</v>
      </c>
      <c r="F144" s="9">
        <v>717</v>
      </c>
      <c r="G144" s="9">
        <v>265</v>
      </c>
      <c r="H144" s="9">
        <v>40</v>
      </c>
      <c r="I144" s="9">
        <v>47</v>
      </c>
      <c r="J144" s="9">
        <v>661</v>
      </c>
      <c r="K144" s="9">
        <v>3971</v>
      </c>
      <c r="L144" s="9"/>
      <c r="M144" s="9"/>
      <c r="N144" s="9"/>
      <c r="O144" s="9"/>
      <c r="P144" s="9"/>
      <c r="Q144" s="9"/>
      <c r="R144" s="9"/>
      <c r="S144" s="9"/>
      <c r="T144" s="9"/>
      <c r="U144" s="9"/>
    </row>
    <row r="145" spans="1:23" ht="15" customHeight="1" x14ac:dyDescent="0.25">
      <c r="A145" s="69"/>
      <c r="B145" s="68" t="s">
        <v>20</v>
      </c>
      <c r="C145" s="9">
        <v>894</v>
      </c>
      <c r="D145" s="9">
        <v>546</v>
      </c>
      <c r="E145" s="9">
        <v>565</v>
      </c>
      <c r="F145" s="9">
        <v>384</v>
      </c>
      <c r="G145" s="9">
        <v>209</v>
      </c>
      <c r="H145" s="9">
        <v>83</v>
      </c>
      <c r="I145" s="9">
        <v>104</v>
      </c>
      <c r="J145" s="9">
        <v>22</v>
      </c>
      <c r="K145" s="9">
        <v>2807</v>
      </c>
      <c r="L145" s="9"/>
      <c r="M145" s="9"/>
      <c r="N145" s="9"/>
      <c r="O145" s="9"/>
      <c r="P145" s="9"/>
      <c r="Q145" s="9"/>
      <c r="R145" s="9"/>
      <c r="S145" s="9"/>
      <c r="T145" s="9"/>
      <c r="U145" s="9"/>
    </row>
    <row r="146" spans="1:23" ht="15" customHeight="1" x14ac:dyDescent="0.25">
      <c r="A146" s="69"/>
      <c r="B146" s="68" t="s">
        <v>21</v>
      </c>
      <c r="C146" s="9">
        <v>53</v>
      </c>
      <c r="D146" s="48">
        <v>2</v>
      </c>
      <c r="E146" s="9">
        <v>4</v>
      </c>
      <c r="F146" s="48" t="s">
        <v>146</v>
      </c>
      <c r="G146" s="48">
        <v>3</v>
      </c>
      <c r="H146" s="48" t="s">
        <v>146</v>
      </c>
      <c r="I146" s="48" t="s">
        <v>146</v>
      </c>
      <c r="J146" s="9">
        <v>12</v>
      </c>
      <c r="K146" s="9">
        <v>74</v>
      </c>
      <c r="L146" s="9"/>
      <c r="M146" s="9"/>
      <c r="N146" s="9"/>
      <c r="O146" s="105"/>
      <c r="P146" s="9"/>
      <c r="Q146" s="105"/>
      <c r="R146" s="105"/>
      <c r="S146" s="105"/>
      <c r="T146" s="9"/>
      <c r="U146" s="9"/>
    </row>
    <row r="147" spans="1:23" ht="15" customHeight="1" x14ac:dyDescent="0.25">
      <c r="A147" s="69"/>
      <c r="B147" s="69" t="s">
        <v>12</v>
      </c>
      <c r="C147" s="102">
        <v>1968</v>
      </c>
      <c r="D147" s="102">
        <v>656</v>
      </c>
      <c r="E147" s="102">
        <v>1681</v>
      </c>
      <c r="F147" s="102">
        <v>1101</v>
      </c>
      <c r="G147" s="102">
        <v>477</v>
      </c>
      <c r="H147" s="102">
        <v>123</v>
      </c>
      <c r="I147" s="102">
        <v>151</v>
      </c>
      <c r="J147" s="102">
        <v>695</v>
      </c>
      <c r="K147" s="102">
        <v>6852</v>
      </c>
      <c r="L147" s="102"/>
      <c r="M147" s="102"/>
      <c r="N147" s="102"/>
      <c r="O147" s="102"/>
      <c r="P147" s="102"/>
      <c r="Q147" s="102"/>
      <c r="R147" s="102"/>
      <c r="S147" s="102"/>
      <c r="T147" s="102"/>
      <c r="U147" s="102"/>
      <c r="V147" s="102"/>
    </row>
    <row r="148" spans="1:23" ht="3" customHeight="1" x14ac:dyDescent="0.25">
      <c r="A148" s="43"/>
      <c r="B148" s="43"/>
      <c r="C148" s="84"/>
      <c r="D148" s="84"/>
      <c r="E148" s="84"/>
      <c r="F148" s="84"/>
      <c r="G148" s="84"/>
      <c r="H148" s="84"/>
      <c r="I148" s="84"/>
      <c r="J148" s="84"/>
      <c r="K148" s="84"/>
      <c r="M148" s="9"/>
    </row>
    <row r="149" spans="1:23" ht="15" customHeight="1" x14ac:dyDescent="0.25">
      <c r="A149" s="7" t="s">
        <v>103</v>
      </c>
      <c r="B149" s="7"/>
      <c r="C149" s="85"/>
      <c r="D149" s="85"/>
      <c r="E149" s="85"/>
      <c r="F149" s="85"/>
      <c r="G149" s="85"/>
      <c r="H149" s="85"/>
      <c r="I149" s="85"/>
      <c r="J149" s="85"/>
      <c r="K149" s="85"/>
      <c r="M149" s="9"/>
      <c r="O149" s="122"/>
      <c r="P149" s="122"/>
      <c r="Q149" s="122"/>
      <c r="R149" s="122"/>
      <c r="S149" s="122"/>
      <c r="T149" s="122"/>
      <c r="U149" s="122"/>
      <c r="V149" s="122"/>
    </row>
    <row r="150" spans="1:23" s="7" customFormat="1" ht="15" customHeight="1" x14ac:dyDescent="0.2">
      <c r="A150" s="7" t="s">
        <v>15</v>
      </c>
      <c r="C150" s="85"/>
      <c r="D150" s="85"/>
      <c r="E150" s="85"/>
      <c r="F150" s="85"/>
      <c r="G150" s="85"/>
      <c r="H150" s="85"/>
      <c r="I150" s="85"/>
      <c r="J150" s="85"/>
      <c r="K150" s="85"/>
      <c r="M150" s="9"/>
    </row>
    <row r="151" spans="1:23" s="7" customFormat="1" ht="15" customHeight="1" x14ac:dyDescent="0.2">
      <c r="A151" s="7" t="s">
        <v>347</v>
      </c>
      <c r="C151" s="85"/>
      <c r="D151" s="85"/>
      <c r="E151" s="85"/>
      <c r="F151" s="85"/>
      <c r="G151" s="85"/>
      <c r="H151" s="85"/>
      <c r="I151" s="85"/>
      <c r="J151" s="85"/>
      <c r="K151" s="85"/>
      <c r="M151" s="102"/>
    </row>
    <row r="152" spans="1:23" ht="15" customHeight="1" x14ac:dyDescent="0.25">
      <c r="A152" s="2"/>
    </row>
    <row r="153" spans="1:23" ht="15" customHeight="1" x14ac:dyDescent="0.25">
      <c r="A153" s="192" t="s">
        <v>394</v>
      </c>
      <c r="B153" s="192"/>
      <c r="C153" s="192"/>
      <c r="D153" s="192"/>
      <c r="E153" s="192"/>
      <c r="F153" s="192"/>
      <c r="G153" s="192"/>
      <c r="H153" s="192"/>
      <c r="I153" s="192"/>
      <c r="J153" s="192"/>
      <c r="K153" s="192"/>
    </row>
    <row r="154" spans="1:23" s="13" customFormat="1" ht="15" customHeight="1" x14ac:dyDescent="0.2">
      <c r="A154" s="13" t="s">
        <v>110</v>
      </c>
      <c r="C154" s="87"/>
      <c r="D154" s="87"/>
      <c r="E154" s="87"/>
      <c r="F154" s="87"/>
      <c r="G154" s="87"/>
      <c r="H154" s="87"/>
      <c r="I154" s="87"/>
      <c r="J154" s="87"/>
      <c r="K154" s="87"/>
    </row>
    <row r="155" spans="1:23" ht="2.25" customHeight="1" x14ac:dyDescent="0.25">
      <c r="A155" s="2"/>
    </row>
    <row r="156" spans="1:23" ht="15" customHeight="1" x14ac:dyDescent="0.25">
      <c r="A156" s="35" t="s">
        <v>157</v>
      </c>
      <c r="B156" s="35" t="s">
        <v>158</v>
      </c>
      <c r="C156" s="76" t="s">
        <v>1</v>
      </c>
      <c r="D156" s="76" t="s">
        <v>2</v>
      </c>
      <c r="E156" s="76" t="s">
        <v>3</v>
      </c>
      <c r="F156" s="76" t="s">
        <v>4</v>
      </c>
      <c r="G156" s="76" t="s">
        <v>5</v>
      </c>
      <c r="H156" s="76" t="s">
        <v>6</v>
      </c>
      <c r="I156" s="76" t="s">
        <v>7</v>
      </c>
      <c r="J156" s="76" t="s">
        <v>8</v>
      </c>
      <c r="K156" s="88" t="s">
        <v>9</v>
      </c>
    </row>
    <row r="157" spans="1:23" ht="15" customHeight="1" x14ac:dyDescent="0.25">
      <c r="A157" s="65" t="s">
        <v>18</v>
      </c>
      <c r="B157" s="66" t="s">
        <v>19</v>
      </c>
      <c r="C157" s="9">
        <v>7</v>
      </c>
      <c r="D157" s="9">
        <v>42</v>
      </c>
      <c r="E157" s="9">
        <v>25</v>
      </c>
      <c r="F157" s="9">
        <v>22</v>
      </c>
      <c r="G157" s="9">
        <v>10</v>
      </c>
      <c r="H157" s="9" t="s">
        <v>443</v>
      </c>
      <c r="I157" s="9" t="s">
        <v>443</v>
      </c>
      <c r="J157" s="9" t="s">
        <v>443</v>
      </c>
      <c r="K157" s="9">
        <v>198</v>
      </c>
      <c r="M157" s="9"/>
      <c r="N157" s="9"/>
      <c r="O157" s="9"/>
      <c r="P157" s="9"/>
      <c r="Q157" s="9"/>
      <c r="R157" s="9"/>
      <c r="S157" s="9"/>
      <c r="T157" s="9"/>
      <c r="U157" s="9"/>
      <c r="W157" s="123"/>
    </row>
    <row r="158" spans="1:23" ht="15" customHeight="1" x14ac:dyDescent="0.25">
      <c r="A158" s="67"/>
      <c r="B158" s="68" t="s">
        <v>20</v>
      </c>
      <c r="C158" s="9">
        <v>4</v>
      </c>
      <c r="D158" s="9">
        <v>153</v>
      </c>
      <c r="E158" s="9">
        <v>18</v>
      </c>
      <c r="F158" s="9">
        <v>3</v>
      </c>
      <c r="G158" s="9">
        <v>11</v>
      </c>
      <c r="H158" s="9" t="s">
        <v>443</v>
      </c>
      <c r="I158" s="9" t="s">
        <v>443</v>
      </c>
      <c r="J158" s="9" t="s">
        <v>443</v>
      </c>
      <c r="K158" s="9">
        <v>211</v>
      </c>
      <c r="M158" s="9"/>
      <c r="N158" s="9"/>
      <c r="O158" s="9"/>
      <c r="P158" s="9"/>
      <c r="Q158" s="9"/>
      <c r="R158" s="9"/>
      <c r="S158" s="9"/>
      <c r="T158" s="9"/>
      <c r="U158" s="9"/>
    </row>
    <row r="159" spans="1:23" ht="15" customHeight="1" x14ac:dyDescent="0.25">
      <c r="A159" s="67"/>
      <c r="B159" s="68" t="s">
        <v>21</v>
      </c>
      <c r="C159" s="9">
        <v>3</v>
      </c>
      <c r="D159" s="9">
        <v>1</v>
      </c>
      <c r="E159" s="48">
        <v>1</v>
      </c>
      <c r="F159" s="48" t="s">
        <v>146</v>
      </c>
      <c r="G159" s="9">
        <v>2</v>
      </c>
      <c r="H159" s="9" t="s">
        <v>146</v>
      </c>
      <c r="I159" s="9" t="s">
        <v>146</v>
      </c>
      <c r="J159" s="9">
        <v>6</v>
      </c>
      <c r="K159" s="9">
        <v>13</v>
      </c>
      <c r="M159" s="9"/>
      <c r="N159" s="9"/>
      <c r="O159" s="78"/>
      <c r="P159" s="78"/>
      <c r="Q159" s="9"/>
      <c r="R159" s="9"/>
      <c r="S159" s="9"/>
      <c r="T159" s="9"/>
      <c r="U159" s="9"/>
    </row>
    <row r="160" spans="1:23" ht="15" customHeight="1" x14ac:dyDescent="0.25">
      <c r="A160" s="67"/>
      <c r="B160" s="69" t="s">
        <v>12</v>
      </c>
      <c r="C160" s="102">
        <v>14</v>
      </c>
      <c r="D160" s="102">
        <v>196</v>
      </c>
      <c r="E160" s="102">
        <v>44</v>
      </c>
      <c r="F160" s="102">
        <v>25</v>
      </c>
      <c r="G160" s="102">
        <v>23</v>
      </c>
      <c r="H160" s="102">
        <v>11</v>
      </c>
      <c r="I160" s="102">
        <v>11</v>
      </c>
      <c r="J160" s="102">
        <v>98</v>
      </c>
      <c r="K160" s="102">
        <v>422</v>
      </c>
      <c r="M160" s="102"/>
      <c r="N160" s="102"/>
      <c r="O160" s="102"/>
      <c r="P160" s="102"/>
      <c r="Q160" s="102"/>
      <c r="R160" s="102"/>
      <c r="S160" s="102"/>
      <c r="T160" s="102"/>
      <c r="U160" s="102"/>
    </row>
    <row r="161" spans="1:21" ht="15" customHeight="1" x14ac:dyDescent="0.25">
      <c r="A161" s="67" t="s">
        <v>22</v>
      </c>
      <c r="B161" s="68" t="s">
        <v>19</v>
      </c>
      <c r="C161" s="9">
        <v>3</v>
      </c>
      <c r="D161" s="9">
        <v>12</v>
      </c>
      <c r="E161" s="9">
        <v>11</v>
      </c>
      <c r="F161" s="9">
        <v>6</v>
      </c>
      <c r="G161" s="9">
        <v>3</v>
      </c>
      <c r="H161" s="9" t="s">
        <v>443</v>
      </c>
      <c r="I161" s="9" t="s">
        <v>443</v>
      </c>
      <c r="J161" s="9" t="s">
        <v>443</v>
      </c>
      <c r="K161" s="9">
        <v>67</v>
      </c>
      <c r="M161" s="9"/>
      <c r="N161" s="9"/>
      <c r="O161" s="9"/>
      <c r="P161" s="9"/>
      <c r="Q161" s="9"/>
      <c r="R161" s="9"/>
      <c r="S161" s="9"/>
      <c r="T161" s="9"/>
      <c r="U161" s="9"/>
    </row>
    <row r="162" spans="1:21" ht="15" customHeight="1" x14ac:dyDescent="0.25">
      <c r="A162" s="67"/>
      <c r="B162" s="68" t="s">
        <v>20</v>
      </c>
      <c r="C162" s="9">
        <v>5</v>
      </c>
      <c r="D162" s="9">
        <v>34</v>
      </c>
      <c r="E162" s="9">
        <v>5</v>
      </c>
      <c r="F162" s="78">
        <v>2</v>
      </c>
      <c r="G162" s="9">
        <v>5</v>
      </c>
      <c r="H162" s="9" t="s">
        <v>443</v>
      </c>
      <c r="I162" s="9" t="s">
        <v>443</v>
      </c>
      <c r="J162" s="9" t="s">
        <v>443</v>
      </c>
      <c r="K162" s="9">
        <v>57</v>
      </c>
      <c r="M162" s="9"/>
      <c r="N162" s="9"/>
      <c r="O162" s="9"/>
      <c r="P162" s="78"/>
      <c r="Q162" s="9"/>
      <c r="R162" s="9"/>
      <c r="S162" s="9"/>
      <c r="T162" s="78"/>
      <c r="U162" s="9"/>
    </row>
    <row r="163" spans="1:21" ht="15" customHeight="1" x14ac:dyDescent="0.25">
      <c r="A163" s="67"/>
      <c r="B163" s="68" t="s">
        <v>21</v>
      </c>
      <c r="C163" s="48" t="s">
        <v>146</v>
      </c>
      <c r="D163" s="48" t="s">
        <v>146</v>
      </c>
      <c r="E163" s="48" t="s">
        <v>146</v>
      </c>
      <c r="F163" s="48" t="s">
        <v>146</v>
      </c>
      <c r="G163" s="48" t="s">
        <v>146</v>
      </c>
      <c r="H163" s="9">
        <v>1</v>
      </c>
      <c r="I163" s="48" t="s">
        <v>146</v>
      </c>
      <c r="J163" s="48" t="s">
        <v>146</v>
      </c>
      <c r="K163" s="9">
        <v>1</v>
      </c>
      <c r="M163" s="78"/>
      <c r="N163" s="78"/>
      <c r="O163" s="78"/>
      <c r="P163" s="78"/>
      <c r="Q163" s="78"/>
      <c r="R163" s="9"/>
      <c r="S163" s="78"/>
      <c r="T163" s="78"/>
      <c r="U163" s="9"/>
    </row>
    <row r="164" spans="1:21" ht="15" customHeight="1" x14ac:dyDescent="0.25">
      <c r="A164" s="67"/>
      <c r="B164" s="69" t="s">
        <v>12</v>
      </c>
      <c r="C164" s="102">
        <v>8</v>
      </c>
      <c r="D164" s="102">
        <v>46</v>
      </c>
      <c r="E164" s="102">
        <v>16</v>
      </c>
      <c r="F164" s="102">
        <v>8</v>
      </c>
      <c r="G164" s="102">
        <v>8</v>
      </c>
      <c r="H164" s="102">
        <v>8</v>
      </c>
      <c r="I164" s="102">
        <v>5</v>
      </c>
      <c r="J164" s="102">
        <v>26</v>
      </c>
      <c r="K164" s="102">
        <v>125</v>
      </c>
      <c r="M164" s="102"/>
      <c r="N164" s="102"/>
      <c r="O164" s="102"/>
      <c r="P164" s="102"/>
      <c r="Q164" s="102"/>
      <c r="R164" s="102"/>
      <c r="S164" s="102"/>
      <c r="T164" s="102"/>
      <c r="U164" s="102"/>
    </row>
    <row r="165" spans="1:21" ht="15" customHeight="1" x14ac:dyDescent="0.25">
      <c r="A165" s="69" t="s">
        <v>12</v>
      </c>
      <c r="B165" s="68" t="s">
        <v>19</v>
      </c>
      <c r="C165" s="9">
        <v>10</v>
      </c>
      <c r="D165" s="9">
        <v>54</v>
      </c>
      <c r="E165" s="9">
        <v>36</v>
      </c>
      <c r="F165" s="9">
        <v>28</v>
      </c>
      <c r="G165" s="9">
        <v>13</v>
      </c>
      <c r="H165" s="9" t="s">
        <v>443</v>
      </c>
      <c r="I165" s="9" t="s">
        <v>443</v>
      </c>
      <c r="J165" s="9">
        <v>112</v>
      </c>
      <c r="K165" s="9">
        <v>265</v>
      </c>
      <c r="M165" s="9"/>
      <c r="N165" s="9"/>
      <c r="O165" s="9"/>
      <c r="P165" s="9"/>
      <c r="Q165" s="9"/>
      <c r="R165" s="9"/>
      <c r="S165" s="9"/>
      <c r="T165" s="9"/>
      <c r="U165" s="9"/>
    </row>
    <row r="166" spans="1:21" ht="15" customHeight="1" x14ac:dyDescent="0.25">
      <c r="A166" s="69"/>
      <c r="B166" s="68" t="s">
        <v>20</v>
      </c>
      <c r="C166" s="9">
        <v>9</v>
      </c>
      <c r="D166" s="9">
        <v>187</v>
      </c>
      <c r="E166" s="9">
        <v>23</v>
      </c>
      <c r="F166" s="9">
        <v>5</v>
      </c>
      <c r="G166" s="9">
        <v>16</v>
      </c>
      <c r="H166" s="9" t="s">
        <v>443</v>
      </c>
      <c r="I166" s="9" t="s">
        <v>443</v>
      </c>
      <c r="J166" s="9">
        <v>6</v>
      </c>
      <c r="K166" s="9">
        <v>268</v>
      </c>
      <c r="M166" s="9"/>
      <c r="N166" s="9"/>
      <c r="O166" s="9"/>
      <c r="P166" s="9"/>
      <c r="Q166" s="9"/>
      <c r="R166" s="9"/>
      <c r="S166" s="9"/>
      <c r="T166" s="9"/>
      <c r="U166" s="9"/>
    </row>
    <row r="167" spans="1:21" ht="15" customHeight="1" x14ac:dyDescent="0.25">
      <c r="A167" s="69"/>
      <c r="B167" s="68" t="s">
        <v>21</v>
      </c>
      <c r="C167" s="9">
        <v>3</v>
      </c>
      <c r="D167" s="9">
        <v>1</v>
      </c>
      <c r="E167" s="9">
        <v>1</v>
      </c>
      <c r="F167" s="48" t="s">
        <v>146</v>
      </c>
      <c r="G167" s="9">
        <v>2</v>
      </c>
      <c r="H167" s="9">
        <v>1</v>
      </c>
      <c r="I167" s="9" t="s">
        <v>146</v>
      </c>
      <c r="J167" s="9">
        <v>6</v>
      </c>
      <c r="K167" s="9">
        <v>14</v>
      </c>
      <c r="M167" s="9"/>
      <c r="N167" s="9"/>
      <c r="O167" s="9"/>
      <c r="P167" s="78"/>
      <c r="Q167" s="9"/>
      <c r="R167" s="9"/>
      <c r="S167" s="9"/>
      <c r="T167" s="9"/>
      <c r="U167" s="9"/>
    </row>
    <row r="168" spans="1:21" ht="15" customHeight="1" x14ac:dyDescent="0.25">
      <c r="A168" s="69"/>
      <c r="B168" s="69" t="s">
        <v>12</v>
      </c>
      <c r="C168" s="102">
        <v>22</v>
      </c>
      <c r="D168" s="102">
        <v>242</v>
      </c>
      <c r="E168" s="102">
        <v>60</v>
      </c>
      <c r="F168" s="102">
        <v>33</v>
      </c>
      <c r="G168" s="102">
        <v>31</v>
      </c>
      <c r="H168" s="102">
        <v>19</v>
      </c>
      <c r="I168" s="102">
        <v>16</v>
      </c>
      <c r="J168" s="102">
        <v>124</v>
      </c>
      <c r="K168" s="102">
        <v>547</v>
      </c>
      <c r="M168" s="102"/>
      <c r="N168" s="102"/>
      <c r="O168" s="102"/>
      <c r="P168" s="102"/>
      <c r="Q168" s="102"/>
      <c r="R168" s="102"/>
      <c r="S168" s="102"/>
      <c r="T168" s="102"/>
      <c r="U168" s="102"/>
    </row>
    <row r="169" spans="1:21" ht="1.5" customHeight="1" x14ac:dyDescent="0.25">
      <c r="A169" s="43"/>
      <c r="B169" s="43"/>
      <c r="C169" s="84"/>
      <c r="D169" s="84"/>
      <c r="E169" s="84"/>
      <c r="F169" s="84"/>
      <c r="G169" s="84"/>
      <c r="H169" s="84"/>
      <c r="I169" s="84"/>
      <c r="J169" s="84"/>
      <c r="K169" s="84"/>
    </row>
    <row r="170" spans="1:21" ht="9.75" customHeight="1" x14ac:dyDescent="0.25">
      <c r="A170" s="7" t="s">
        <v>252</v>
      </c>
    </row>
    <row r="171" spans="1:21" ht="15" customHeight="1" x14ac:dyDescent="0.25">
      <c r="A171" s="7" t="s">
        <v>103</v>
      </c>
      <c r="B171" s="7"/>
      <c r="C171" s="85"/>
      <c r="D171" s="85"/>
      <c r="E171" s="85"/>
      <c r="F171" s="85"/>
      <c r="G171" s="85"/>
      <c r="H171" s="85"/>
      <c r="I171" s="85"/>
      <c r="J171" s="85"/>
      <c r="K171" s="85"/>
    </row>
    <row r="172" spans="1:21" s="7" customFormat="1" ht="15" customHeight="1" x14ac:dyDescent="0.15">
      <c r="C172" s="85"/>
      <c r="D172" s="85"/>
      <c r="E172" s="85"/>
      <c r="F172" s="85"/>
      <c r="G172" s="85"/>
      <c r="H172" s="85"/>
      <c r="I172" s="85"/>
      <c r="J172" s="85"/>
      <c r="K172" s="85"/>
    </row>
    <row r="173" spans="1:21" s="7" customFormat="1" ht="15" customHeight="1" x14ac:dyDescent="0.15">
      <c r="A173" s="7" t="s">
        <v>347</v>
      </c>
      <c r="C173" s="85"/>
      <c r="D173" s="85"/>
      <c r="E173" s="85"/>
      <c r="F173" s="85"/>
      <c r="G173" s="85"/>
      <c r="H173" s="85"/>
      <c r="I173" s="85"/>
      <c r="J173" s="85"/>
      <c r="K173" s="85"/>
    </row>
    <row r="174" spans="1:21" ht="15" customHeight="1" x14ac:dyDescent="0.25">
      <c r="A174" s="2"/>
    </row>
    <row r="175" spans="1:21" ht="15" customHeight="1" x14ac:dyDescent="0.25">
      <c r="A175" s="192" t="s">
        <v>395</v>
      </c>
      <c r="B175" s="192"/>
      <c r="C175" s="192"/>
      <c r="D175" s="192"/>
      <c r="E175" s="192"/>
      <c r="F175" s="192"/>
      <c r="G175" s="192"/>
      <c r="H175" s="192"/>
      <c r="I175" s="192"/>
      <c r="J175" s="192"/>
      <c r="K175" s="192"/>
    </row>
    <row r="176" spans="1:21" s="13" customFormat="1" ht="15" customHeight="1" x14ac:dyDescent="0.2">
      <c r="A176" s="13" t="s">
        <v>111</v>
      </c>
      <c r="C176" s="87"/>
      <c r="D176" s="87"/>
      <c r="E176" s="87"/>
      <c r="F176" s="87"/>
      <c r="G176" s="87"/>
      <c r="H176" s="87"/>
      <c r="I176" s="87"/>
      <c r="J176" s="87"/>
      <c r="K176" s="87"/>
    </row>
    <row r="177" spans="1:23" ht="1.5" customHeight="1" x14ac:dyDescent="0.25">
      <c r="A177" s="2"/>
    </row>
    <row r="178" spans="1:23" ht="15" customHeight="1" x14ac:dyDescent="0.25">
      <c r="A178" s="35" t="s">
        <v>157</v>
      </c>
      <c r="B178" s="35" t="s">
        <v>158</v>
      </c>
      <c r="C178" s="76" t="s">
        <v>1</v>
      </c>
      <c r="D178" s="76" t="s">
        <v>2</v>
      </c>
      <c r="E178" s="76" t="s">
        <v>3</v>
      </c>
      <c r="F178" s="76" t="s">
        <v>4</v>
      </c>
      <c r="G178" s="76" t="s">
        <v>5</v>
      </c>
      <c r="H178" s="76" t="s">
        <v>6</v>
      </c>
      <c r="I178" s="76" t="s">
        <v>7</v>
      </c>
      <c r="J178" s="76" t="s">
        <v>8</v>
      </c>
      <c r="K178" s="88" t="s">
        <v>9</v>
      </c>
    </row>
    <row r="179" spans="1:23" ht="15" customHeight="1" x14ac:dyDescent="0.25">
      <c r="A179" s="65" t="s">
        <v>18</v>
      </c>
      <c r="B179" s="66" t="s">
        <v>19</v>
      </c>
      <c r="C179" s="9">
        <v>130</v>
      </c>
      <c r="D179" s="9">
        <v>12</v>
      </c>
      <c r="E179" s="9">
        <v>256</v>
      </c>
      <c r="F179" s="9">
        <v>69</v>
      </c>
      <c r="G179" s="9">
        <v>24</v>
      </c>
      <c r="H179" s="9" t="s">
        <v>443</v>
      </c>
      <c r="I179" s="9" t="s">
        <v>443</v>
      </c>
      <c r="J179" s="9">
        <v>45</v>
      </c>
      <c r="K179" s="9">
        <v>558</v>
      </c>
      <c r="M179" s="9"/>
      <c r="N179" s="9"/>
      <c r="O179" s="9"/>
      <c r="P179" s="9"/>
      <c r="Q179" s="9"/>
      <c r="R179" s="9"/>
      <c r="S179" s="9"/>
      <c r="T179" s="9"/>
      <c r="U179" s="9"/>
      <c r="W179" s="123"/>
    </row>
    <row r="180" spans="1:23" ht="15" customHeight="1" x14ac:dyDescent="0.25">
      <c r="A180" s="67"/>
      <c r="B180" s="68" t="s">
        <v>20</v>
      </c>
      <c r="C180" s="9">
        <v>142</v>
      </c>
      <c r="D180" s="9">
        <v>43</v>
      </c>
      <c r="E180" s="9">
        <v>244</v>
      </c>
      <c r="F180" s="9">
        <v>131</v>
      </c>
      <c r="G180" s="9">
        <v>36</v>
      </c>
      <c r="H180" s="9" t="s">
        <v>443</v>
      </c>
      <c r="I180" s="9" t="s">
        <v>443</v>
      </c>
      <c r="J180" s="9">
        <v>8</v>
      </c>
      <c r="K180" s="9">
        <v>646</v>
      </c>
      <c r="M180" s="9"/>
      <c r="N180" s="9"/>
      <c r="O180" s="9"/>
      <c r="P180" s="9"/>
      <c r="Q180" s="9"/>
      <c r="R180" s="9"/>
      <c r="S180" s="9"/>
      <c r="T180" s="9"/>
      <c r="U180" s="9"/>
    </row>
    <row r="181" spans="1:23" ht="15" customHeight="1" x14ac:dyDescent="0.25">
      <c r="A181" s="67"/>
      <c r="B181" s="68" t="s">
        <v>21</v>
      </c>
      <c r="C181" s="9">
        <v>47</v>
      </c>
      <c r="D181" s="48">
        <v>1</v>
      </c>
      <c r="E181" s="9">
        <v>9</v>
      </c>
      <c r="F181" s="48" t="s">
        <v>146</v>
      </c>
      <c r="G181" s="9">
        <v>3</v>
      </c>
      <c r="H181" s="9">
        <v>3</v>
      </c>
      <c r="I181" s="9" t="s">
        <v>146</v>
      </c>
      <c r="J181" s="9">
        <v>7</v>
      </c>
      <c r="K181" s="9">
        <v>70</v>
      </c>
      <c r="M181" s="9"/>
      <c r="N181" s="78"/>
      <c r="O181" s="9"/>
      <c r="P181" s="78"/>
      <c r="Q181" s="9"/>
      <c r="R181" s="9"/>
      <c r="S181" s="9"/>
      <c r="T181" s="9"/>
      <c r="U181" s="9"/>
    </row>
    <row r="182" spans="1:23" ht="15" customHeight="1" x14ac:dyDescent="0.25">
      <c r="A182" s="67"/>
      <c r="B182" s="69" t="s">
        <v>12</v>
      </c>
      <c r="C182" s="102">
        <v>319</v>
      </c>
      <c r="D182" s="102">
        <v>56</v>
      </c>
      <c r="E182" s="102">
        <v>509</v>
      </c>
      <c r="F182" s="102">
        <v>200</v>
      </c>
      <c r="G182" s="102">
        <v>63</v>
      </c>
      <c r="H182" s="102" t="s">
        <v>443</v>
      </c>
      <c r="I182" s="102" t="s">
        <v>443</v>
      </c>
      <c r="J182" s="102">
        <v>60</v>
      </c>
      <c r="K182" s="102">
        <v>1274</v>
      </c>
      <c r="M182" s="102"/>
      <c r="N182" s="102"/>
      <c r="O182" s="102"/>
      <c r="P182" s="102"/>
      <c r="Q182" s="102"/>
      <c r="R182" s="102"/>
      <c r="S182" s="102"/>
      <c r="T182" s="102"/>
      <c r="U182" s="102"/>
    </row>
    <row r="183" spans="1:23" ht="15" customHeight="1" x14ac:dyDescent="0.25">
      <c r="A183" s="67" t="s">
        <v>22</v>
      </c>
      <c r="B183" s="68" t="s">
        <v>19</v>
      </c>
      <c r="C183" s="9">
        <v>60</v>
      </c>
      <c r="D183" s="9">
        <v>3</v>
      </c>
      <c r="E183" s="9">
        <v>120</v>
      </c>
      <c r="F183" s="9">
        <v>27</v>
      </c>
      <c r="G183" s="9">
        <v>12</v>
      </c>
      <c r="H183" s="9" t="s">
        <v>443</v>
      </c>
      <c r="I183" s="9" t="s">
        <v>443</v>
      </c>
      <c r="J183" s="9">
        <v>10</v>
      </c>
      <c r="K183" s="9">
        <v>242</v>
      </c>
      <c r="M183" s="9"/>
      <c r="N183" s="9"/>
      <c r="O183" s="9"/>
      <c r="P183" s="9"/>
      <c r="Q183" s="9"/>
      <c r="R183" s="9"/>
      <c r="S183" s="9"/>
      <c r="T183" s="9"/>
      <c r="U183" s="9"/>
    </row>
    <row r="184" spans="1:23" ht="15" customHeight="1" x14ac:dyDescent="0.25">
      <c r="A184" s="67"/>
      <c r="B184" s="68" t="s">
        <v>20</v>
      </c>
      <c r="C184" s="9">
        <v>40</v>
      </c>
      <c r="D184" s="9">
        <v>7</v>
      </c>
      <c r="E184" s="9">
        <v>73</v>
      </c>
      <c r="F184" s="9">
        <v>46</v>
      </c>
      <c r="G184" s="9">
        <v>15</v>
      </c>
      <c r="H184" s="9" t="s">
        <v>443</v>
      </c>
      <c r="I184" s="9" t="s">
        <v>443</v>
      </c>
      <c r="J184" s="9">
        <v>2</v>
      </c>
      <c r="K184" s="9">
        <v>199</v>
      </c>
      <c r="M184" s="9"/>
      <c r="N184" s="9"/>
      <c r="O184" s="9"/>
      <c r="P184" s="9"/>
      <c r="Q184" s="9"/>
      <c r="R184" s="9"/>
      <c r="S184" s="9"/>
      <c r="T184" s="9"/>
      <c r="U184" s="9"/>
    </row>
    <row r="185" spans="1:23" ht="15" customHeight="1" x14ac:dyDescent="0.25">
      <c r="A185" s="67"/>
      <c r="B185" s="68" t="s">
        <v>21</v>
      </c>
      <c r="C185" s="9">
        <v>10</v>
      </c>
      <c r="D185" s="48" t="s">
        <v>146</v>
      </c>
      <c r="E185" s="9">
        <v>1</v>
      </c>
      <c r="F185" s="48" t="s">
        <v>146</v>
      </c>
      <c r="G185" s="48" t="s">
        <v>146</v>
      </c>
      <c r="H185" s="48" t="s">
        <v>146</v>
      </c>
      <c r="I185" s="48" t="s">
        <v>146</v>
      </c>
      <c r="J185" s="9">
        <v>1</v>
      </c>
      <c r="K185" s="9">
        <v>12</v>
      </c>
      <c r="M185" s="9"/>
      <c r="N185" s="78"/>
      <c r="O185" s="9"/>
      <c r="P185" s="78"/>
      <c r="Q185" s="78"/>
      <c r="R185" s="78"/>
      <c r="S185" s="78"/>
      <c r="T185" s="9"/>
      <c r="U185" s="9"/>
    </row>
    <row r="186" spans="1:23" ht="15" customHeight="1" x14ac:dyDescent="0.25">
      <c r="A186" s="67"/>
      <c r="B186" s="69" t="s">
        <v>12</v>
      </c>
      <c r="C186" s="102">
        <v>110</v>
      </c>
      <c r="D186" s="102">
        <v>10</v>
      </c>
      <c r="E186" s="102">
        <v>194</v>
      </c>
      <c r="F186" s="102">
        <v>73</v>
      </c>
      <c r="G186" s="102">
        <v>27</v>
      </c>
      <c r="H186" s="102" t="s">
        <v>443</v>
      </c>
      <c r="I186" s="102" t="s">
        <v>443</v>
      </c>
      <c r="J186" s="102">
        <v>13</v>
      </c>
      <c r="K186" s="102">
        <v>453</v>
      </c>
      <c r="M186" s="102"/>
      <c r="N186" s="102"/>
      <c r="O186" s="102"/>
      <c r="P186" s="102"/>
      <c r="Q186" s="102"/>
      <c r="R186" s="102"/>
      <c r="S186" s="102"/>
      <c r="T186" s="102"/>
      <c r="U186" s="102"/>
    </row>
    <row r="187" spans="1:23" ht="15" customHeight="1" x14ac:dyDescent="0.25">
      <c r="A187" s="69" t="s">
        <v>12</v>
      </c>
      <c r="B187" s="68" t="s">
        <v>19</v>
      </c>
      <c r="C187" s="9">
        <v>190</v>
      </c>
      <c r="D187" s="9">
        <v>15</v>
      </c>
      <c r="E187" s="9">
        <v>376</v>
      </c>
      <c r="F187" s="9">
        <v>96</v>
      </c>
      <c r="G187" s="9">
        <v>36</v>
      </c>
      <c r="H187" s="9" t="s">
        <v>443</v>
      </c>
      <c r="I187" s="9" t="s">
        <v>443</v>
      </c>
      <c r="J187" s="9">
        <v>55</v>
      </c>
      <c r="K187" s="9">
        <v>800</v>
      </c>
      <c r="M187" s="9"/>
      <c r="N187" s="9"/>
      <c r="O187" s="9"/>
      <c r="P187" s="9"/>
      <c r="Q187" s="9"/>
      <c r="R187" s="9"/>
      <c r="S187" s="9"/>
      <c r="T187" s="9"/>
      <c r="U187" s="9"/>
    </row>
    <row r="188" spans="1:23" ht="15" customHeight="1" x14ac:dyDescent="0.25">
      <c r="A188" s="69"/>
      <c r="B188" s="68" t="s">
        <v>20</v>
      </c>
      <c r="C188" s="9">
        <v>182</v>
      </c>
      <c r="D188" s="9">
        <v>50</v>
      </c>
      <c r="E188" s="9">
        <v>317</v>
      </c>
      <c r="F188" s="9">
        <v>177</v>
      </c>
      <c r="G188" s="9">
        <v>51</v>
      </c>
      <c r="H188" s="9" t="s">
        <v>443</v>
      </c>
      <c r="I188" s="9" t="s">
        <v>443</v>
      </c>
      <c r="J188" s="9">
        <v>10</v>
      </c>
      <c r="K188" s="9">
        <v>845</v>
      </c>
      <c r="M188" s="9"/>
      <c r="N188" s="9"/>
      <c r="O188" s="9"/>
      <c r="P188" s="9"/>
      <c r="Q188" s="9"/>
      <c r="R188" s="9"/>
      <c r="S188" s="9"/>
      <c r="T188" s="9"/>
      <c r="U188" s="9"/>
    </row>
    <row r="189" spans="1:23" ht="15" customHeight="1" x14ac:dyDescent="0.25">
      <c r="A189" s="69"/>
      <c r="B189" s="68" t="s">
        <v>21</v>
      </c>
      <c r="C189" s="9">
        <v>57</v>
      </c>
      <c r="D189" s="48">
        <v>1</v>
      </c>
      <c r="E189" s="9">
        <v>10</v>
      </c>
      <c r="F189" s="48" t="s">
        <v>146</v>
      </c>
      <c r="G189" s="9">
        <v>3</v>
      </c>
      <c r="H189" s="9">
        <v>3</v>
      </c>
      <c r="I189" s="9" t="s">
        <v>146</v>
      </c>
      <c r="J189" s="9">
        <v>8</v>
      </c>
      <c r="K189" s="9">
        <v>82</v>
      </c>
      <c r="M189" s="9"/>
      <c r="N189" s="78"/>
      <c r="O189" s="9"/>
      <c r="P189" s="78"/>
      <c r="Q189" s="9"/>
      <c r="R189" s="9"/>
      <c r="S189" s="9"/>
      <c r="T189" s="9"/>
      <c r="U189" s="9"/>
    </row>
    <row r="190" spans="1:23" ht="15" customHeight="1" x14ac:dyDescent="0.25">
      <c r="A190" s="69"/>
      <c r="B190" s="69" t="s">
        <v>12</v>
      </c>
      <c r="C190" s="102">
        <v>429</v>
      </c>
      <c r="D190" s="102">
        <v>66</v>
      </c>
      <c r="E190" s="102">
        <v>703</v>
      </c>
      <c r="F190" s="102">
        <v>273</v>
      </c>
      <c r="G190" s="102">
        <v>90</v>
      </c>
      <c r="H190" s="102">
        <v>87</v>
      </c>
      <c r="I190" s="102">
        <v>6</v>
      </c>
      <c r="J190" s="102">
        <v>73</v>
      </c>
      <c r="K190" s="102">
        <v>1727</v>
      </c>
      <c r="M190" s="102"/>
      <c r="N190" s="102"/>
      <c r="O190" s="102"/>
      <c r="P190" s="102"/>
      <c r="Q190" s="102"/>
      <c r="R190" s="102"/>
      <c r="S190" s="102"/>
      <c r="T190" s="102"/>
      <c r="U190" s="102"/>
    </row>
    <row r="191" spans="1:23" ht="1.5" customHeight="1" x14ac:dyDescent="0.25">
      <c r="A191" s="43"/>
      <c r="B191" s="43"/>
      <c r="C191" s="84"/>
      <c r="D191" s="84"/>
      <c r="E191" s="84"/>
      <c r="F191" s="84"/>
      <c r="G191" s="84"/>
      <c r="H191" s="84"/>
      <c r="I191" s="84"/>
      <c r="J191" s="84"/>
      <c r="K191" s="84"/>
    </row>
    <row r="192" spans="1:23" ht="12.75" customHeight="1" x14ac:dyDescent="0.25">
      <c r="A192" s="7" t="s">
        <v>252</v>
      </c>
    </row>
    <row r="193" spans="1:24" ht="12.75" customHeight="1" x14ac:dyDescent="0.25">
      <c r="A193" s="7" t="s">
        <v>103</v>
      </c>
      <c r="B193" s="7"/>
      <c r="C193" s="85"/>
      <c r="D193" s="85"/>
      <c r="E193" s="85"/>
      <c r="F193" s="85"/>
      <c r="G193" s="85"/>
      <c r="H193" s="85"/>
      <c r="I193" s="85"/>
      <c r="J193" s="85"/>
      <c r="K193" s="85"/>
    </row>
    <row r="194" spans="1:24" s="7" customFormat="1" ht="15" customHeight="1" x14ac:dyDescent="0.15">
      <c r="C194" s="85"/>
      <c r="D194" s="85"/>
      <c r="E194" s="85"/>
      <c r="F194" s="85"/>
      <c r="G194" s="85"/>
      <c r="H194" s="85"/>
      <c r="I194" s="85"/>
      <c r="J194" s="85"/>
      <c r="K194" s="85"/>
    </row>
    <row r="195" spans="1:24" s="7" customFormat="1" ht="15" customHeight="1" x14ac:dyDescent="0.15">
      <c r="A195" s="7" t="s">
        <v>347</v>
      </c>
      <c r="C195" s="85"/>
      <c r="D195" s="85"/>
      <c r="E195" s="85"/>
      <c r="F195" s="85"/>
      <c r="G195" s="85"/>
      <c r="H195" s="85"/>
      <c r="I195" s="85"/>
      <c r="J195" s="85"/>
      <c r="K195" s="85"/>
    </row>
    <row r="196" spans="1:24" ht="15" customHeight="1" x14ac:dyDescent="0.25">
      <c r="A196" s="2"/>
    </row>
    <row r="197" spans="1:24" ht="15" customHeight="1" x14ac:dyDescent="0.25">
      <c r="A197" s="192" t="s">
        <v>396</v>
      </c>
      <c r="B197" s="192"/>
      <c r="C197" s="192"/>
      <c r="D197" s="192"/>
      <c r="E197" s="192"/>
      <c r="F197" s="192"/>
      <c r="G197" s="192"/>
      <c r="H197" s="192"/>
      <c r="I197" s="192"/>
      <c r="J197" s="192"/>
      <c r="K197" s="192"/>
    </row>
    <row r="198" spans="1:24" s="13" customFormat="1" ht="15" customHeight="1" x14ac:dyDescent="0.2">
      <c r="A198" s="13" t="s">
        <v>112</v>
      </c>
      <c r="C198" s="87"/>
      <c r="D198" s="87"/>
      <c r="E198" s="87"/>
      <c r="F198" s="87"/>
      <c r="G198" s="87"/>
      <c r="H198" s="87"/>
      <c r="I198" s="87"/>
      <c r="J198" s="87"/>
      <c r="K198" s="87"/>
    </row>
    <row r="199" spans="1:24" ht="0.75" customHeight="1" x14ac:dyDescent="0.25">
      <c r="A199" s="2"/>
    </row>
    <row r="200" spans="1:24" ht="15" customHeight="1" x14ac:dyDescent="0.25">
      <c r="A200" s="35" t="s">
        <v>157</v>
      </c>
      <c r="B200" s="35" t="s">
        <v>158</v>
      </c>
      <c r="C200" s="76" t="s">
        <v>1</v>
      </c>
      <c r="D200" s="76" t="s">
        <v>2</v>
      </c>
      <c r="E200" s="76" t="s">
        <v>3</v>
      </c>
      <c r="F200" s="76" t="s">
        <v>4</v>
      </c>
      <c r="G200" s="76" t="s">
        <v>5</v>
      </c>
      <c r="H200" s="76" t="s">
        <v>6</v>
      </c>
      <c r="I200" s="76" t="s">
        <v>7</v>
      </c>
      <c r="J200" s="76" t="s">
        <v>8</v>
      </c>
      <c r="K200" s="88" t="s">
        <v>9</v>
      </c>
    </row>
    <row r="201" spans="1:24" ht="15" customHeight="1" x14ac:dyDescent="0.25">
      <c r="A201" s="65" t="s">
        <v>18</v>
      </c>
      <c r="B201" s="66" t="s">
        <v>19</v>
      </c>
      <c r="C201" s="9">
        <v>125</v>
      </c>
      <c r="D201" s="9">
        <v>12</v>
      </c>
      <c r="E201" s="9">
        <v>163</v>
      </c>
      <c r="F201" s="9">
        <v>61</v>
      </c>
      <c r="G201" s="9" t="s">
        <v>443</v>
      </c>
      <c r="H201" s="9" t="s">
        <v>443</v>
      </c>
      <c r="I201" s="9" t="s">
        <v>443</v>
      </c>
      <c r="J201" s="9">
        <v>32</v>
      </c>
      <c r="K201" s="9">
        <v>413</v>
      </c>
      <c r="M201" s="9"/>
      <c r="N201" s="9"/>
      <c r="O201" s="9"/>
      <c r="P201" s="9"/>
      <c r="Q201" s="9"/>
      <c r="R201" s="9"/>
      <c r="S201" s="9"/>
      <c r="T201" s="9"/>
      <c r="U201" s="9"/>
      <c r="X201" s="123"/>
    </row>
    <row r="202" spans="1:24" ht="15" customHeight="1" x14ac:dyDescent="0.25">
      <c r="A202" s="67"/>
      <c r="B202" s="68" t="s">
        <v>20</v>
      </c>
      <c r="C202" s="9">
        <v>136</v>
      </c>
      <c r="D202" s="9">
        <v>42</v>
      </c>
      <c r="E202" s="9">
        <v>192</v>
      </c>
      <c r="F202" s="9">
        <v>111</v>
      </c>
      <c r="G202" s="9" t="s">
        <v>443</v>
      </c>
      <c r="H202" s="9" t="s">
        <v>443</v>
      </c>
      <c r="I202" s="9" t="s">
        <v>146</v>
      </c>
      <c r="J202" s="9">
        <v>7</v>
      </c>
      <c r="K202" s="9">
        <v>509</v>
      </c>
      <c r="M202" s="9"/>
      <c r="N202" s="9"/>
      <c r="O202" s="9"/>
      <c r="P202" s="9"/>
      <c r="Q202" s="9"/>
      <c r="R202" s="9"/>
      <c r="S202" s="9"/>
      <c r="T202" s="9"/>
      <c r="U202" s="9"/>
    </row>
    <row r="203" spans="1:24" ht="15" customHeight="1" x14ac:dyDescent="0.25">
      <c r="A203" s="67"/>
      <c r="B203" s="68" t="s">
        <v>21</v>
      </c>
      <c r="C203" s="9">
        <v>43</v>
      </c>
      <c r="D203" s="48">
        <v>1</v>
      </c>
      <c r="E203" s="9">
        <v>8</v>
      </c>
      <c r="F203" s="48" t="s">
        <v>146</v>
      </c>
      <c r="G203" s="9">
        <v>1</v>
      </c>
      <c r="H203" s="48">
        <v>2</v>
      </c>
      <c r="I203" s="9" t="s">
        <v>146</v>
      </c>
      <c r="J203" s="9">
        <v>4</v>
      </c>
      <c r="K203" s="9">
        <v>59</v>
      </c>
      <c r="M203" s="9"/>
      <c r="N203" s="78"/>
      <c r="O203" s="9"/>
      <c r="P203" s="78"/>
      <c r="Q203" s="9"/>
      <c r="R203" s="78"/>
      <c r="S203" s="9"/>
      <c r="T203" s="9"/>
      <c r="U203" s="9"/>
    </row>
    <row r="204" spans="1:24" ht="15" customHeight="1" x14ac:dyDescent="0.25">
      <c r="A204" s="67"/>
      <c r="B204" s="69" t="s">
        <v>12</v>
      </c>
      <c r="C204" s="102">
        <v>304</v>
      </c>
      <c r="D204" s="102">
        <v>55</v>
      </c>
      <c r="E204" s="102">
        <v>363</v>
      </c>
      <c r="F204" s="102">
        <v>172</v>
      </c>
      <c r="G204" s="102">
        <v>19</v>
      </c>
      <c r="H204" s="102" t="s">
        <v>443</v>
      </c>
      <c r="I204" s="102" t="s">
        <v>443</v>
      </c>
      <c r="J204" s="102">
        <v>43</v>
      </c>
      <c r="K204" s="102">
        <v>981</v>
      </c>
      <c r="M204" s="102"/>
      <c r="N204" s="102"/>
      <c r="O204" s="102"/>
      <c r="P204" s="102"/>
      <c r="Q204" s="102"/>
      <c r="R204" s="102"/>
      <c r="S204" s="102"/>
      <c r="T204" s="102"/>
      <c r="U204" s="102"/>
    </row>
    <row r="205" spans="1:24" ht="15" customHeight="1" x14ac:dyDescent="0.25">
      <c r="A205" s="67" t="s">
        <v>22</v>
      </c>
      <c r="B205" s="68" t="s">
        <v>19</v>
      </c>
      <c r="C205" s="9">
        <v>57</v>
      </c>
      <c r="D205" s="9">
        <v>3</v>
      </c>
      <c r="E205" s="9">
        <v>89</v>
      </c>
      <c r="F205" s="9">
        <v>25</v>
      </c>
      <c r="G205" s="9" t="s">
        <v>443</v>
      </c>
      <c r="H205" s="9" t="s">
        <v>443</v>
      </c>
      <c r="I205" s="9" t="s">
        <v>146</v>
      </c>
      <c r="J205" s="9">
        <v>10</v>
      </c>
      <c r="K205" s="9">
        <v>192</v>
      </c>
      <c r="M205" s="9"/>
      <c r="N205" s="9"/>
      <c r="O205" s="9"/>
      <c r="P205" s="9"/>
      <c r="Q205" s="9"/>
      <c r="R205" s="9"/>
      <c r="S205" s="9"/>
      <c r="T205" s="9"/>
      <c r="U205" s="9"/>
    </row>
    <row r="206" spans="1:24" ht="15" customHeight="1" x14ac:dyDescent="0.25">
      <c r="A206" s="67"/>
      <c r="B206" s="68" t="s">
        <v>20</v>
      </c>
      <c r="C206" s="9">
        <v>39</v>
      </c>
      <c r="D206" s="9">
        <v>7</v>
      </c>
      <c r="E206" s="9">
        <v>64</v>
      </c>
      <c r="F206" s="9">
        <v>43</v>
      </c>
      <c r="G206" s="9" t="s">
        <v>443</v>
      </c>
      <c r="H206" s="9" t="s">
        <v>443</v>
      </c>
      <c r="I206" s="9" t="s">
        <v>443</v>
      </c>
      <c r="J206" s="9">
        <v>1</v>
      </c>
      <c r="K206" s="9">
        <v>164</v>
      </c>
      <c r="M206" s="9"/>
      <c r="N206" s="9"/>
      <c r="O206" s="9"/>
      <c r="P206" s="9"/>
      <c r="Q206" s="9"/>
      <c r="R206" s="9"/>
      <c r="S206" s="9"/>
      <c r="T206" s="9"/>
      <c r="U206" s="9"/>
    </row>
    <row r="207" spans="1:24" ht="15" customHeight="1" x14ac:dyDescent="0.25">
      <c r="A207" s="67"/>
      <c r="B207" s="68" t="s">
        <v>21</v>
      </c>
      <c r="C207" s="9">
        <v>10</v>
      </c>
      <c r="D207" s="48" t="s">
        <v>146</v>
      </c>
      <c r="E207" s="9">
        <v>1</v>
      </c>
      <c r="F207" s="48" t="s">
        <v>146</v>
      </c>
      <c r="G207" s="48" t="s">
        <v>146</v>
      </c>
      <c r="H207" s="48" t="s">
        <v>146</v>
      </c>
      <c r="I207" s="9" t="s">
        <v>146</v>
      </c>
      <c r="J207" s="9">
        <v>1</v>
      </c>
      <c r="K207" s="9">
        <v>12</v>
      </c>
      <c r="M207" s="9"/>
      <c r="N207" s="78"/>
      <c r="O207" s="9"/>
      <c r="P207" s="78"/>
      <c r="Q207" s="78"/>
      <c r="R207" s="78"/>
      <c r="S207" s="9"/>
      <c r="T207" s="9"/>
      <c r="U207" s="9"/>
    </row>
    <row r="208" spans="1:24" ht="15" customHeight="1" x14ac:dyDescent="0.25">
      <c r="A208" s="67"/>
      <c r="B208" s="69" t="s">
        <v>12</v>
      </c>
      <c r="C208" s="102">
        <v>106</v>
      </c>
      <c r="D208" s="102">
        <v>10</v>
      </c>
      <c r="E208" s="102">
        <v>154</v>
      </c>
      <c r="F208" s="102">
        <v>68</v>
      </c>
      <c r="G208" s="102">
        <v>8</v>
      </c>
      <c r="H208" s="102" t="s">
        <v>443</v>
      </c>
      <c r="I208" s="102" t="s">
        <v>443</v>
      </c>
      <c r="J208" s="102">
        <v>12</v>
      </c>
      <c r="K208" s="102">
        <v>368</v>
      </c>
      <c r="M208" s="102"/>
      <c r="N208" s="102"/>
      <c r="O208" s="102"/>
      <c r="P208" s="102"/>
      <c r="Q208" s="102"/>
      <c r="R208" s="102"/>
      <c r="S208" s="102"/>
      <c r="T208" s="102"/>
      <c r="U208" s="102"/>
    </row>
    <row r="209" spans="1:24" ht="15" customHeight="1" x14ac:dyDescent="0.25">
      <c r="A209" s="69" t="s">
        <v>12</v>
      </c>
      <c r="B209" s="68" t="s">
        <v>19</v>
      </c>
      <c r="C209" s="9">
        <v>182</v>
      </c>
      <c r="D209" s="9">
        <v>15</v>
      </c>
      <c r="E209" s="9">
        <v>252</v>
      </c>
      <c r="F209" s="9">
        <v>86</v>
      </c>
      <c r="G209" s="9">
        <v>15</v>
      </c>
      <c r="H209" s="9" t="s">
        <v>443</v>
      </c>
      <c r="I209" s="9" t="s">
        <v>443</v>
      </c>
      <c r="J209" s="9">
        <v>42</v>
      </c>
      <c r="K209" s="9">
        <v>605</v>
      </c>
      <c r="M209" s="9"/>
      <c r="N209" s="9"/>
      <c r="O209" s="9"/>
      <c r="P209" s="9"/>
      <c r="Q209" s="9"/>
      <c r="R209" s="9"/>
      <c r="S209" s="9"/>
      <c r="T209" s="9"/>
      <c r="U209" s="9"/>
    </row>
    <row r="210" spans="1:24" ht="15" customHeight="1" x14ac:dyDescent="0.25">
      <c r="A210" s="69"/>
      <c r="B210" s="68" t="s">
        <v>20</v>
      </c>
      <c r="C210" s="9">
        <v>175</v>
      </c>
      <c r="D210" s="9">
        <v>49</v>
      </c>
      <c r="E210" s="9">
        <v>256</v>
      </c>
      <c r="F210" s="9">
        <v>154</v>
      </c>
      <c r="G210" s="9">
        <v>11</v>
      </c>
      <c r="H210" s="9" t="s">
        <v>443</v>
      </c>
      <c r="I210" s="9" t="s">
        <v>443</v>
      </c>
      <c r="J210" s="9">
        <v>8</v>
      </c>
      <c r="K210" s="9">
        <v>673</v>
      </c>
      <c r="M210" s="9"/>
      <c r="N210" s="9"/>
      <c r="O210" s="9"/>
      <c r="P210" s="9"/>
      <c r="Q210" s="9"/>
      <c r="R210" s="9"/>
      <c r="S210" s="9"/>
      <c r="T210" s="9"/>
      <c r="U210" s="9"/>
    </row>
    <row r="211" spans="1:24" ht="15" customHeight="1" x14ac:dyDescent="0.25">
      <c r="A211" s="69"/>
      <c r="B211" s="68" t="s">
        <v>21</v>
      </c>
      <c r="C211" s="9">
        <v>53</v>
      </c>
      <c r="D211" s="48">
        <v>1</v>
      </c>
      <c r="E211" s="9">
        <v>9</v>
      </c>
      <c r="F211" s="48" t="s">
        <v>146</v>
      </c>
      <c r="G211" s="9">
        <v>1</v>
      </c>
      <c r="H211" s="48">
        <v>2</v>
      </c>
      <c r="I211" s="9" t="s">
        <v>146</v>
      </c>
      <c r="J211" s="9">
        <v>5</v>
      </c>
      <c r="K211" s="9">
        <v>71</v>
      </c>
      <c r="M211" s="9"/>
      <c r="N211" s="78"/>
      <c r="O211" s="9"/>
      <c r="P211" s="78"/>
      <c r="Q211" s="9"/>
      <c r="R211" s="78"/>
      <c r="S211" s="9"/>
      <c r="T211" s="9"/>
      <c r="U211" s="9"/>
    </row>
    <row r="212" spans="1:24" ht="15" customHeight="1" x14ac:dyDescent="0.25">
      <c r="A212" s="69"/>
      <c r="B212" s="69" t="s">
        <v>12</v>
      </c>
      <c r="C212" s="102">
        <v>410</v>
      </c>
      <c r="D212" s="102">
        <v>65</v>
      </c>
      <c r="E212" s="102">
        <v>517</v>
      </c>
      <c r="F212" s="102">
        <v>240</v>
      </c>
      <c r="G212" s="102">
        <v>27</v>
      </c>
      <c r="H212" s="102">
        <v>30</v>
      </c>
      <c r="I212" s="102">
        <v>5</v>
      </c>
      <c r="J212" s="102">
        <v>55</v>
      </c>
      <c r="K212" s="102">
        <v>1349</v>
      </c>
      <c r="M212" s="102"/>
      <c r="N212" s="102"/>
      <c r="O212" s="102"/>
      <c r="P212" s="102"/>
      <c r="Q212" s="102"/>
      <c r="R212" s="102"/>
      <c r="S212" s="102"/>
      <c r="T212" s="102"/>
      <c r="U212" s="102"/>
    </row>
    <row r="213" spans="1:24" ht="3" customHeight="1" x14ac:dyDescent="0.25">
      <c r="A213" s="43"/>
      <c r="B213" s="43"/>
      <c r="C213" s="84"/>
      <c r="D213" s="84"/>
      <c r="E213" s="84"/>
      <c r="F213" s="84"/>
      <c r="G213" s="84"/>
      <c r="H213" s="84"/>
      <c r="I213" s="84"/>
      <c r="J213" s="84"/>
      <c r="K213" s="84"/>
      <c r="M213" s="123"/>
      <c r="N213" s="123"/>
    </row>
    <row r="214" spans="1:24" ht="10.5" customHeight="1" x14ac:dyDescent="0.25">
      <c r="A214" s="7" t="s">
        <v>252</v>
      </c>
    </row>
    <row r="215" spans="1:24" ht="12" customHeight="1" x14ac:dyDescent="0.25">
      <c r="A215" s="7" t="s">
        <v>103</v>
      </c>
      <c r="B215" s="7"/>
      <c r="C215" s="85"/>
      <c r="D215" s="85"/>
      <c r="E215" s="85"/>
      <c r="F215" s="85"/>
      <c r="G215" s="85"/>
      <c r="H215" s="85"/>
      <c r="I215" s="85"/>
      <c r="J215" s="85"/>
      <c r="K215" s="85"/>
    </row>
    <row r="216" spans="1:24" s="7" customFormat="1" ht="15" customHeight="1" x14ac:dyDescent="0.15">
      <c r="C216" s="85"/>
      <c r="D216" s="85"/>
      <c r="E216" s="85"/>
      <c r="F216" s="85"/>
      <c r="G216" s="85"/>
      <c r="H216" s="85"/>
      <c r="I216" s="85"/>
      <c r="J216" s="85"/>
      <c r="K216" s="85"/>
    </row>
    <row r="217" spans="1:24" s="7" customFormat="1" ht="15" customHeight="1" x14ac:dyDescent="0.15">
      <c r="A217" s="7" t="s">
        <v>347</v>
      </c>
      <c r="C217" s="85"/>
      <c r="D217" s="85"/>
      <c r="E217" s="85"/>
      <c r="F217" s="85"/>
      <c r="G217" s="85"/>
      <c r="H217" s="85"/>
      <c r="I217" s="85"/>
      <c r="J217" s="85"/>
      <c r="K217" s="85"/>
    </row>
    <row r="218" spans="1:24" ht="15" customHeight="1" x14ac:dyDescent="0.25">
      <c r="A218" s="2"/>
    </row>
    <row r="219" spans="1:24" ht="15" customHeight="1" x14ac:dyDescent="0.25">
      <c r="A219" s="192" t="s">
        <v>397</v>
      </c>
      <c r="B219" s="192"/>
      <c r="C219" s="192"/>
      <c r="D219" s="192"/>
      <c r="E219" s="192"/>
      <c r="F219" s="192"/>
      <c r="G219" s="192"/>
      <c r="H219" s="192"/>
      <c r="I219" s="192"/>
      <c r="J219" s="192"/>
      <c r="K219" s="192"/>
    </row>
    <row r="220" spans="1:24" s="13" customFormat="1" ht="15" customHeight="1" x14ac:dyDescent="0.2">
      <c r="A220" s="13" t="s">
        <v>113</v>
      </c>
      <c r="C220" s="87"/>
      <c r="D220" s="87"/>
      <c r="E220" s="87"/>
      <c r="F220" s="87"/>
      <c r="G220" s="87"/>
      <c r="H220" s="87"/>
      <c r="I220" s="87"/>
      <c r="J220" s="87"/>
      <c r="K220" s="87"/>
    </row>
    <row r="221" spans="1:24" ht="1.5" customHeight="1" x14ac:dyDescent="0.25">
      <c r="A221" s="2"/>
    </row>
    <row r="222" spans="1:24" ht="15" customHeight="1" x14ac:dyDescent="0.25">
      <c r="A222" s="35" t="s">
        <v>157</v>
      </c>
      <c r="B222" s="35" t="s">
        <v>158</v>
      </c>
      <c r="C222" s="76" t="s">
        <v>1</v>
      </c>
      <c r="D222" s="76" t="s">
        <v>2</v>
      </c>
      <c r="E222" s="76" t="s">
        <v>3</v>
      </c>
      <c r="F222" s="76" t="s">
        <v>4</v>
      </c>
      <c r="G222" s="76" t="s">
        <v>5</v>
      </c>
      <c r="H222" s="76" t="s">
        <v>6</v>
      </c>
      <c r="I222" s="76" t="s">
        <v>7</v>
      </c>
      <c r="J222" s="76" t="s">
        <v>8</v>
      </c>
      <c r="K222" s="88" t="s">
        <v>9</v>
      </c>
    </row>
    <row r="223" spans="1:24" ht="15" customHeight="1" x14ac:dyDescent="0.25">
      <c r="A223" s="65" t="s">
        <v>18</v>
      </c>
      <c r="B223" s="66" t="s">
        <v>19</v>
      </c>
      <c r="C223" s="9">
        <v>151</v>
      </c>
      <c r="D223" s="9">
        <v>72</v>
      </c>
      <c r="E223" s="9">
        <v>334</v>
      </c>
      <c r="F223" s="9">
        <v>114</v>
      </c>
      <c r="G223" s="9">
        <v>36</v>
      </c>
      <c r="H223" s="9" t="s">
        <v>443</v>
      </c>
      <c r="I223" s="9" t="s">
        <v>443</v>
      </c>
      <c r="J223" s="9">
        <v>216</v>
      </c>
      <c r="K223" s="9">
        <v>964</v>
      </c>
      <c r="M223" s="9"/>
      <c r="N223" s="9"/>
      <c r="O223" s="9"/>
      <c r="P223" s="9"/>
      <c r="Q223" s="9"/>
      <c r="R223" s="9"/>
      <c r="S223" s="9"/>
      <c r="T223" s="9"/>
      <c r="U223" s="9"/>
      <c r="X223" s="123"/>
    </row>
    <row r="224" spans="1:24" ht="15" customHeight="1" x14ac:dyDescent="0.25">
      <c r="A224" s="67"/>
      <c r="B224" s="68" t="s">
        <v>20</v>
      </c>
      <c r="C224" s="9">
        <v>159</v>
      </c>
      <c r="D224" s="9">
        <v>251</v>
      </c>
      <c r="E224" s="9">
        <v>295</v>
      </c>
      <c r="F224" s="9">
        <v>139</v>
      </c>
      <c r="G224" s="9">
        <v>51</v>
      </c>
      <c r="H224" s="9" t="s">
        <v>443</v>
      </c>
      <c r="I224" s="9" t="s">
        <v>443</v>
      </c>
      <c r="J224" s="9">
        <v>21</v>
      </c>
      <c r="K224" s="9">
        <v>986</v>
      </c>
      <c r="M224" s="9"/>
      <c r="N224" s="9"/>
      <c r="O224" s="9"/>
      <c r="P224" s="9"/>
      <c r="Q224" s="9"/>
      <c r="R224" s="9"/>
      <c r="S224" s="9"/>
      <c r="T224" s="9"/>
      <c r="U224" s="9"/>
    </row>
    <row r="225" spans="1:21" ht="15" customHeight="1" x14ac:dyDescent="0.25">
      <c r="A225" s="67"/>
      <c r="B225" s="68" t="s">
        <v>21</v>
      </c>
      <c r="C225" s="9">
        <v>52</v>
      </c>
      <c r="D225" s="9">
        <v>2</v>
      </c>
      <c r="E225" s="9">
        <v>10</v>
      </c>
      <c r="F225" s="48" t="s">
        <v>146</v>
      </c>
      <c r="G225" s="9">
        <v>5</v>
      </c>
      <c r="H225" s="9">
        <v>4</v>
      </c>
      <c r="I225" s="9" t="s">
        <v>146</v>
      </c>
      <c r="J225" s="9">
        <v>18</v>
      </c>
      <c r="K225" s="9">
        <v>91</v>
      </c>
      <c r="M225" s="9"/>
      <c r="N225" s="9"/>
      <c r="O225" s="102"/>
      <c r="P225" s="78"/>
      <c r="Q225" s="9"/>
      <c r="R225" s="9"/>
      <c r="S225" s="9"/>
      <c r="T225" s="9"/>
      <c r="U225" s="9"/>
    </row>
    <row r="226" spans="1:21" ht="15" customHeight="1" x14ac:dyDescent="0.25">
      <c r="A226" s="67"/>
      <c r="B226" s="69" t="s">
        <v>12</v>
      </c>
      <c r="C226" s="102">
        <v>362</v>
      </c>
      <c r="D226" s="102">
        <v>325</v>
      </c>
      <c r="E226" s="102">
        <v>639</v>
      </c>
      <c r="F226" s="102">
        <v>253</v>
      </c>
      <c r="G226" s="102">
        <v>92</v>
      </c>
      <c r="H226" s="102">
        <v>98</v>
      </c>
      <c r="I226" s="102">
        <v>17</v>
      </c>
      <c r="J226" s="102">
        <v>255</v>
      </c>
      <c r="K226" s="102">
        <v>2041</v>
      </c>
      <c r="M226" s="102"/>
      <c r="N226" s="102"/>
      <c r="O226" s="102"/>
      <c r="P226" s="102"/>
      <c r="Q226" s="102"/>
      <c r="R226" s="102"/>
      <c r="S226" s="102"/>
      <c r="T226" s="102"/>
      <c r="U226" s="102"/>
    </row>
    <row r="227" spans="1:21" ht="15" customHeight="1" x14ac:dyDescent="0.25">
      <c r="A227" s="67" t="s">
        <v>22</v>
      </c>
      <c r="B227" s="68" t="s">
        <v>19</v>
      </c>
      <c r="C227" s="9">
        <v>65</v>
      </c>
      <c r="D227" s="9">
        <v>18</v>
      </c>
      <c r="E227" s="9">
        <v>157</v>
      </c>
      <c r="F227" s="9">
        <v>36</v>
      </c>
      <c r="G227" s="9">
        <v>18</v>
      </c>
      <c r="H227" s="9" t="s">
        <v>443</v>
      </c>
      <c r="I227" s="9" t="s">
        <v>443</v>
      </c>
      <c r="J227" s="9">
        <v>57</v>
      </c>
      <c r="K227" s="9">
        <v>372</v>
      </c>
      <c r="M227" s="9"/>
      <c r="N227" s="9"/>
      <c r="O227" s="9"/>
      <c r="P227" s="9"/>
      <c r="Q227" s="9"/>
      <c r="R227" s="9"/>
      <c r="S227" s="9"/>
      <c r="T227" s="9"/>
      <c r="U227" s="9"/>
    </row>
    <row r="228" spans="1:21" ht="15" customHeight="1" x14ac:dyDescent="0.25">
      <c r="A228" s="67"/>
      <c r="B228" s="68" t="s">
        <v>20</v>
      </c>
      <c r="C228" s="9">
        <v>47</v>
      </c>
      <c r="D228" s="9">
        <v>55</v>
      </c>
      <c r="E228" s="9">
        <v>82</v>
      </c>
      <c r="F228" s="9">
        <v>50</v>
      </c>
      <c r="G228" s="9">
        <v>21</v>
      </c>
      <c r="H228" s="9" t="s">
        <v>443</v>
      </c>
      <c r="I228" s="9" t="s">
        <v>443</v>
      </c>
      <c r="J228" s="9">
        <v>2</v>
      </c>
      <c r="K228" s="9">
        <v>285</v>
      </c>
      <c r="M228" s="9"/>
      <c r="N228" s="9"/>
      <c r="O228" s="9"/>
      <c r="P228" s="9"/>
      <c r="Q228" s="9"/>
      <c r="R228" s="9"/>
      <c r="S228" s="9"/>
      <c r="T228" s="9"/>
      <c r="U228" s="9"/>
    </row>
    <row r="229" spans="1:21" ht="15" customHeight="1" x14ac:dyDescent="0.25">
      <c r="A229" s="67"/>
      <c r="B229" s="68" t="s">
        <v>21</v>
      </c>
      <c r="C229" s="9">
        <v>11</v>
      </c>
      <c r="D229" s="9" t="s">
        <v>146</v>
      </c>
      <c r="E229" s="9">
        <v>1</v>
      </c>
      <c r="F229" s="48" t="s">
        <v>146</v>
      </c>
      <c r="G229" s="48" t="s">
        <v>146</v>
      </c>
      <c r="H229" s="9">
        <v>1</v>
      </c>
      <c r="I229" s="9" t="s">
        <v>146</v>
      </c>
      <c r="J229" s="9">
        <v>3</v>
      </c>
      <c r="K229" s="9">
        <v>16</v>
      </c>
      <c r="M229" s="9"/>
      <c r="N229" s="9"/>
      <c r="O229" s="9"/>
      <c r="P229" s="78"/>
      <c r="Q229" s="78"/>
      <c r="R229" s="9"/>
      <c r="S229" s="9"/>
      <c r="T229" s="9"/>
      <c r="U229" s="9"/>
    </row>
    <row r="230" spans="1:21" ht="15" customHeight="1" x14ac:dyDescent="0.25">
      <c r="A230" s="67"/>
      <c r="B230" s="69" t="s">
        <v>12</v>
      </c>
      <c r="C230" s="102">
        <v>123</v>
      </c>
      <c r="D230" s="102">
        <v>73</v>
      </c>
      <c r="E230" s="102">
        <v>240</v>
      </c>
      <c r="F230" s="102">
        <v>86</v>
      </c>
      <c r="G230" s="102">
        <v>39</v>
      </c>
      <c r="H230" s="102">
        <v>42</v>
      </c>
      <c r="I230" s="102">
        <v>8</v>
      </c>
      <c r="J230" s="102">
        <v>62</v>
      </c>
      <c r="K230" s="102">
        <v>673</v>
      </c>
      <c r="M230" s="102"/>
      <c r="N230" s="102"/>
      <c r="O230" s="102"/>
      <c r="P230" s="102"/>
      <c r="Q230" s="102"/>
      <c r="R230" s="102"/>
      <c r="S230" s="102"/>
      <c r="T230" s="102"/>
      <c r="U230" s="102"/>
    </row>
    <row r="231" spans="1:21" ht="15" customHeight="1" x14ac:dyDescent="0.25">
      <c r="A231" s="69" t="s">
        <v>12</v>
      </c>
      <c r="B231" s="68" t="s">
        <v>19</v>
      </c>
      <c r="C231" s="9">
        <v>216</v>
      </c>
      <c r="D231" s="9">
        <v>90</v>
      </c>
      <c r="E231" s="9">
        <v>491</v>
      </c>
      <c r="F231" s="9">
        <v>150</v>
      </c>
      <c r="G231" s="9">
        <v>54</v>
      </c>
      <c r="H231" s="9">
        <v>55</v>
      </c>
      <c r="I231" s="9">
        <v>7</v>
      </c>
      <c r="J231" s="9">
        <v>273</v>
      </c>
      <c r="K231" s="9">
        <v>1336</v>
      </c>
      <c r="M231" s="9"/>
      <c r="N231" s="9"/>
      <c r="O231" s="9"/>
      <c r="P231" s="9"/>
      <c r="Q231" s="9"/>
      <c r="R231" s="9"/>
      <c r="S231" s="9"/>
      <c r="T231" s="9"/>
      <c r="U231" s="9"/>
    </row>
    <row r="232" spans="1:21" ht="15" customHeight="1" x14ac:dyDescent="0.25">
      <c r="A232" s="69"/>
      <c r="B232" s="68" t="s">
        <v>20</v>
      </c>
      <c r="C232" s="9">
        <v>206</v>
      </c>
      <c r="D232" s="9">
        <v>306</v>
      </c>
      <c r="E232" s="9">
        <v>377</v>
      </c>
      <c r="F232" s="9">
        <v>189</v>
      </c>
      <c r="G232" s="9">
        <v>72</v>
      </c>
      <c r="H232" s="9">
        <v>80</v>
      </c>
      <c r="I232" s="9">
        <v>18</v>
      </c>
      <c r="J232" s="9">
        <v>23</v>
      </c>
      <c r="K232" s="9">
        <v>1271</v>
      </c>
      <c r="M232" s="9"/>
      <c r="N232" s="9"/>
      <c r="O232" s="9"/>
      <c r="P232" s="9"/>
      <c r="Q232" s="9"/>
      <c r="R232" s="9"/>
      <c r="S232" s="9"/>
      <c r="T232" s="9"/>
      <c r="U232" s="9"/>
    </row>
    <row r="233" spans="1:21" ht="15" customHeight="1" x14ac:dyDescent="0.25">
      <c r="A233" s="69"/>
      <c r="B233" s="68" t="s">
        <v>21</v>
      </c>
      <c r="C233" s="9">
        <v>63</v>
      </c>
      <c r="D233" s="9">
        <v>2</v>
      </c>
      <c r="E233" s="9">
        <v>11</v>
      </c>
      <c r="F233" s="48" t="s">
        <v>146</v>
      </c>
      <c r="G233" s="9">
        <v>5</v>
      </c>
      <c r="H233" s="9">
        <v>5</v>
      </c>
      <c r="I233" s="9" t="s">
        <v>146</v>
      </c>
      <c r="J233" s="9">
        <v>21</v>
      </c>
      <c r="K233" s="9">
        <v>107</v>
      </c>
      <c r="M233" s="9"/>
      <c r="N233" s="9"/>
      <c r="O233" s="9"/>
      <c r="P233" s="78"/>
      <c r="Q233" s="9"/>
      <c r="R233" s="9"/>
      <c r="S233" s="9"/>
      <c r="T233" s="9"/>
      <c r="U233" s="9"/>
    </row>
    <row r="234" spans="1:21" ht="15" customHeight="1" x14ac:dyDescent="0.25">
      <c r="A234" s="69"/>
      <c r="B234" s="69" t="s">
        <v>12</v>
      </c>
      <c r="C234" s="102">
        <v>485</v>
      </c>
      <c r="D234" s="102">
        <v>398</v>
      </c>
      <c r="E234" s="102">
        <v>879</v>
      </c>
      <c r="F234" s="102">
        <v>339</v>
      </c>
      <c r="G234" s="102">
        <v>131</v>
      </c>
      <c r="H234" s="102">
        <v>140</v>
      </c>
      <c r="I234" s="102">
        <v>25</v>
      </c>
      <c r="J234" s="102">
        <v>317</v>
      </c>
      <c r="K234" s="102">
        <v>2714</v>
      </c>
      <c r="M234" s="102"/>
      <c r="N234" s="102"/>
      <c r="O234" s="102"/>
      <c r="P234" s="102"/>
      <c r="Q234" s="102"/>
      <c r="R234" s="102"/>
      <c r="S234" s="102"/>
      <c r="T234" s="102"/>
      <c r="U234" s="102"/>
    </row>
    <row r="235" spans="1:21" ht="2.25" customHeight="1" x14ac:dyDescent="0.25">
      <c r="A235" s="43"/>
      <c r="B235" s="43"/>
      <c r="C235" s="84"/>
      <c r="D235" s="84"/>
      <c r="E235" s="84"/>
      <c r="F235" s="84"/>
      <c r="G235" s="84"/>
      <c r="H235" s="84"/>
      <c r="I235" s="84"/>
      <c r="J235" s="84"/>
      <c r="K235" s="84"/>
      <c r="M235" s="123"/>
      <c r="N235" s="123"/>
    </row>
    <row r="236" spans="1:21" ht="10.5" customHeight="1" x14ac:dyDescent="0.25">
      <c r="A236" s="7" t="s">
        <v>252</v>
      </c>
    </row>
    <row r="237" spans="1:21" ht="10.5" customHeight="1" x14ac:dyDescent="0.25">
      <c r="A237" s="7" t="s">
        <v>103</v>
      </c>
      <c r="B237" s="7"/>
      <c r="C237" s="85"/>
      <c r="D237" s="85"/>
      <c r="E237" s="85"/>
      <c r="F237" s="85"/>
      <c r="G237" s="85"/>
      <c r="H237" s="85"/>
      <c r="I237" s="85"/>
      <c r="J237" s="85"/>
      <c r="K237" s="85"/>
    </row>
    <row r="238" spans="1:21" s="7" customFormat="1" ht="15" customHeight="1" x14ac:dyDescent="0.15">
      <c r="C238" s="85"/>
      <c r="D238" s="85"/>
      <c r="E238" s="85"/>
      <c r="F238" s="85"/>
      <c r="G238" s="85"/>
      <c r="H238" s="85"/>
      <c r="I238" s="85"/>
      <c r="J238" s="85"/>
      <c r="K238" s="85"/>
    </row>
    <row r="239" spans="1:21" s="7" customFormat="1" ht="15" customHeight="1" x14ac:dyDescent="0.15">
      <c r="A239" s="7" t="s">
        <v>347</v>
      </c>
      <c r="C239" s="85"/>
      <c r="D239" s="85"/>
      <c r="E239" s="85"/>
      <c r="F239" s="85"/>
      <c r="G239" s="85"/>
      <c r="H239" s="85"/>
      <c r="I239" s="85"/>
      <c r="J239" s="85"/>
      <c r="K239" s="85"/>
    </row>
    <row r="240" spans="1:21" ht="15" customHeight="1" x14ac:dyDescent="0.25">
      <c r="A240" s="2"/>
    </row>
    <row r="241" spans="1:23" ht="15" customHeight="1" x14ac:dyDescent="0.25">
      <c r="A241" s="192" t="s">
        <v>398</v>
      </c>
      <c r="B241" s="192"/>
      <c r="C241" s="192"/>
      <c r="D241" s="192"/>
      <c r="E241" s="192"/>
      <c r="F241" s="192"/>
      <c r="G241" s="192"/>
      <c r="H241" s="192"/>
      <c r="I241" s="192"/>
      <c r="J241" s="192"/>
      <c r="K241" s="192"/>
    </row>
    <row r="242" spans="1:23" s="13" customFormat="1" ht="15" customHeight="1" x14ac:dyDescent="0.2">
      <c r="A242" s="13" t="s">
        <v>114</v>
      </c>
      <c r="C242" s="87"/>
      <c r="D242" s="87"/>
      <c r="E242" s="87"/>
      <c r="F242" s="87"/>
      <c r="G242" s="87"/>
      <c r="H242" s="87"/>
      <c r="I242" s="87"/>
      <c r="J242" s="87"/>
      <c r="K242" s="87"/>
    </row>
    <row r="243" spans="1:23" ht="0.75" customHeight="1" x14ac:dyDescent="0.25">
      <c r="A243" s="2"/>
    </row>
    <row r="244" spans="1:23" ht="15" customHeight="1" x14ac:dyDescent="0.25">
      <c r="A244" s="35" t="s">
        <v>157</v>
      </c>
      <c r="B244" s="35" t="s">
        <v>158</v>
      </c>
      <c r="C244" s="76" t="s">
        <v>1</v>
      </c>
      <c r="D244" s="76" t="s">
        <v>2</v>
      </c>
      <c r="E244" s="76" t="s">
        <v>3</v>
      </c>
      <c r="F244" s="76" t="s">
        <v>4</v>
      </c>
      <c r="G244" s="76" t="s">
        <v>5</v>
      </c>
      <c r="H244" s="76" t="s">
        <v>6</v>
      </c>
      <c r="I244" s="76" t="s">
        <v>7</v>
      </c>
      <c r="J244" s="76" t="s">
        <v>8</v>
      </c>
      <c r="K244" s="88" t="s">
        <v>9</v>
      </c>
    </row>
    <row r="245" spans="1:23" ht="15" customHeight="1" x14ac:dyDescent="0.25">
      <c r="A245" s="65" t="s">
        <v>18</v>
      </c>
      <c r="B245" s="66" t="s">
        <v>19</v>
      </c>
      <c r="C245" s="9">
        <v>109</v>
      </c>
      <c r="D245" s="9" t="s">
        <v>443</v>
      </c>
      <c r="E245" s="9">
        <v>30</v>
      </c>
      <c r="F245" s="9">
        <v>17</v>
      </c>
      <c r="G245" s="9">
        <v>2</v>
      </c>
      <c r="H245" s="9" t="s">
        <v>443</v>
      </c>
      <c r="I245" s="9" t="s">
        <v>443</v>
      </c>
      <c r="J245" s="9" t="s">
        <v>443</v>
      </c>
      <c r="K245" s="9">
        <v>171</v>
      </c>
      <c r="M245" s="9"/>
      <c r="N245" s="9"/>
      <c r="O245" s="9"/>
      <c r="P245" s="9"/>
      <c r="Q245" s="9"/>
      <c r="R245" s="9"/>
      <c r="S245" s="9"/>
      <c r="T245" s="9"/>
      <c r="U245" s="9"/>
      <c r="W245" s="123"/>
    </row>
    <row r="246" spans="1:23" ht="15" customHeight="1" x14ac:dyDescent="0.25">
      <c r="A246" s="67"/>
      <c r="B246" s="68" t="s">
        <v>20</v>
      </c>
      <c r="C246" s="9">
        <v>162</v>
      </c>
      <c r="D246" s="9" t="s">
        <v>443</v>
      </c>
      <c r="E246" s="9">
        <v>27</v>
      </c>
      <c r="F246" s="9">
        <v>5</v>
      </c>
      <c r="G246" s="9">
        <v>3</v>
      </c>
      <c r="H246" s="9" t="s">
        <v>443</v>
      </c>
      <c r="I246" s="9" t="s">
        <v>443</v>
      </c>
      <c r="J246" s="9" t="s">
        <v>443</v>
      </c>
      <c r="K246" s="9">
        <v>216</v>
      </c>
      <c r="M246" s="9"/>
      <c r="N246" s="9"/>
      <c r="O246" s="9"/>
      <c r="P246" s="9"/>
      <c r="Q246" s="9"/>
      <c r="R246" s="9"/>
      <c r="S246" s="9"/>
      <c r="T246" s="9"/>
      <c r="U246" s="9"/>
    </row>
    <row r="247" spans="1:23" ht="15" customHeight="1" x14ac:dyDescent="0.25">
      <c r="A247" s="67"/>
      <c r="B247" s="68" t="s">
        <v>21</v>
      </c>
      <c r="C247" s="9">
        <v>20</v>
      </c>
      <c r="D247" s="48" t="s">
        <v>146</v>
      </c>
      <c r="E247" s="9">
        <v>1</v>
      </c>
      <c r="F247" s="48" t="s">
        <v>146</v>
      </c>
      <c r="G247" s="48" t="s">
        <v>146</v>
      </c>
      <c r="H247" s="48" t="s">
        <v>146</v>
      </c>
      <c r="I247" s="9" t="s">
        <v>146</v>
      </c>
      <c r="J247" s="9">
        <v>1</v>
      </c>
      <c r="K247" s="9">
        <v>22</v>
      </c>
      <c r="M247" s="9"/>
      <c r="N247" s="78"/>
      <c r="O247" s="9"/>
      <c r="P247" s="78"/>
      <c r="Q247" s="78"/>
      <c r="R247" s="78"/>
      <c r="S247" s="9"/>
      <c r="T247" s="9"/>
      <c r="U247" s="9"/>
    </row>
    <row r="248" spans="1:23" ht="15" customHeight="1" x14ac:dyDescent="0.25">
      <c r="A248" s="67"/>
      <c r="B248" s="69" t="s">
        <v>12</v>
      </c>
      <c r="C248" s="102">
        <v>291</v>
      </c>
      <c r="D248" s="102">
        <v>17</v>
      </c>
      <c r="E248" s="102">
        <v>58</v>
      </c>
      <c r="F248" s="102">
        <v>22</v>
      </c>
      <c r="G248" s="102">
        <v>5</v>
      </c>
      <c r="H248" s="102" t="s">
        <v>443</v>
      </c>
      <c r="I248" s="102" t="s">
        <v>443</v>
      </c>
      <c r="J248" s="102">
        <v>6</v>
      </c>
      <c r="K248" s="102">
        <v>409</v>
      </c>
      <c r="M248" s="102"/>
      <c r="N248" s="102"/>
      <c r="O248" s="102"/>
      <c r="P248" s="102"/>
      <c r="Q248" s="102"/>
      <c r="R248" s="102"/>
      <c r="S248" s="102"/>
      <c r="T248" s="102"/>
      <c r="U248" s="102"/>
      <c r="V248" s="123"/>
    </row>
    <row r="249" spans="1:23" ht="15" customHeight="1" x14ac:dyDescent="0.25">
      <c r="A249" s="67" t="s">
        <v>22</v>
      </c>
      <c r="B249" s="68" t="s">
        <v>19</v>
      </c>
      <c r="C249" s="9">
        <v>35</v>
      </c>
      <c r="D249" s="9" t="s">
        <v>443</v>
      </c>
      <c r="E249" s="9">
        <v>8</v>
      </c>
      <c r="F249" s="9">
        <v>10</v>
      </c>
      <c r="G249" s="9">
        <v>1</v>
      </c>
      <c r="H249" s="9" t="s">
        <v>443</v>
      </c>
      <c r="I249" s="9" t="s">
        <v>443</v>
      </c>
      <c r="J249" s="9" t="s">
        <v>443</v>
      </c>
      <c r="K249" s="9">
        <v>56</v>
      </c>
      <c r="M249" s="9"/>
      <c r="N249" s="9"/>
      <c r="O249" s="9"/>
      <c r="P249" s="9"/>
      <c r="Q249" s="9"/>
      <c r="R249" s="9"/>
      <c r="S249" s="9"/>
      <c r="T249" s="9"/>
      <c r="U249" s="9"/>
    </row>
    <row r="250" spans="1:23" ht="15" customHeight="1" x14ac:dyDescent="0.25">
      <c r="A250" s="67"/>
      <c r="B250" s="68" t="s">
        <v>20</v>
      </c>
      <c r="C250" s="9">
        <v>44</v>
      </c>
      <c r="D250" s="9" t="s">
        <v>443</v>
      </c>
      <c r="E250" s="9">
        <v>1</v>
      </c>
      <c r="F250" s="9">
        <v>6</v>
      </c>
      <c r="G250" s="9">
        <v>4</v>
      </c>
      <c r="H250" s="9" t="s">
        <v>443</v>
      </c>
      <c r="I250" s="9" t="s">
        <v>443</v>
      </c>
      <c r="J250" s="9" t="s">
        <v>443</v>
      </c>
      <c r="K250" s="9">
        <v>61</v>
      </c>
      <c r="M250" s="9"/>
      <c r="N250" s="9"/>
      <c r="O250" s="9"/>
      <c r="P250" s="9"/>
      <c r="Q250" s="9"/>
      <c r="R250" s="9"/>
      <c r="S250" s="9"/>
      <c r="T250" s="9"/>
      <c r="U250" s="9"/>
    </row>
    <row r="251" spans="1:23" ht="15" customHeight="1" x14ac:dyDescent="0.25">
      <c r="A251" s="67"/>
      <c r="B251" s="68" t="s">
        <v>21</v>
      </c>
      <c r="C251" s="9">
        <v>6</v>
      </c>
      <c r="D251" s="48" t="s">
        <v>146</v>
      </c>
      <c r="E251" s="78">
        <v>1</v>
      </c>
      <c r="F251" s="48" t="s">
        <v>146</v>
      </c>
      <c r="G251" s="48" t="s">
        <v>146</v>
      </c>
      <c r="H251" s="48" t="s">
        <v>146</v>
      </c>
      <c r="I251" s="48" t="s">
        <v>146</v>
      </c>
      <c r="J251" s="48" t="s">
        <v>146</v>
      </c>
      <c r="K251" s="9">
        <v>7</v>
      </c>
      <c r="M251" s="9"/>
      <c r="N251" s="78"/>
      <c r="O251" s="78"/>
      <c r="P251" s="78"/>
      <c r="Q251" s="78"/>
      <c r="R251" s="78"/>
      <c r="S251" s="78"/>
      <c r="T251" s="78"/>
      <c r="U251" s="9"/>
    </row>
    <row r="252" spans="1:23" ht="15" customHeight="1" x14ac:dyDescent="0.25">
      <c r="A252" s="67"/>
      <c r="B252" s="69" t="s">
        <v>12</v>
      </c>
      <c r="C252" s="102">
        <v>85</v>
      </c>
      <c r="D252" s="102">
        <v>4</v>
      </c>
      <c r="E252" s="102">
        <v>10</v>
      </c>
      <c r="F252" s="102">
        <v>16</v>
      </c>
      <c r="G252" s="102">
        <v>5</v>
      </c>
      <c r="H252" s="102" t="s">
        <v>443</v>
      </c>
      <c r="I252" s="102" t="s">
        <v>443</v>
      </c>
      <c r="J252" s="102">
        <v>1</v>
      </c>
      <c r="K252" s="102">
        <v>124</v>
      </c>
      <c r="M252" s="102"/>
      <c r="N252" s="102"/>
      <c r="O252" s="102"/>
      <c r="P252" s="102"/>
      <c r="Q252" s="102"/>
      <c r="R252" s="102"/>
      <c r="S252" s="102"/>
      <c r="T252" s="102"/>
      <c r="U252" s="102"/>
    </row>
    <row r="253" spans="1:23" ht="15" customHeight="1" x14ac:dyDescent="0.25">
      <c r="A253" s="69" t="s">
        <v>12</v>
      </c>
      <c r="B253" s="68" t="s">
        <v>19</v>
      </c>
      <c r="C253" s="9">
        <v>144</v>
      </c>
      <c r="D253" s="9">
        <v>2</v>
      </c>
      <c r="E253" s="9">
        <v>38</v>
      </c>
      <c r="F253" s="9">
        <v>27</v>
      </c>
      <c r="G253" s="9">
        <v>3</v>
      </c>
      <c r="H253" s="9" t="s">
        <v>443</v>
      </c>
      <c r="I253" s="9" t="s">
        <v>443</v>
      </c>
      <c r="J253" s="9" t="s">
        <v>443</v>
      </c>
      <c r="K253" s="9">
        <v>227</v>
      </c>
      <c r="M253" s="9"/>
      <c r="N253" s="9"/>
      <c r="O253" s="9"/>
      <c r="P253" s="9"/>
      <c r="Q253" s="9"/>
      <c r="R253" s="9"/>
      <c r="S253" s="9"/>
      <c r="T253" s="9"/>
      <c r="U253" s="9"/>
    </row>
    <row r="254" spans="1:23" ht="15" customHeight="1" x14ac:dyDescent="0.25">
      <c r="A254" s="69"/>
      <c r="B254" s="68" t="s">
        <v>20</v>
      </c>
      <c r="C254" s="9">
        <v>206</v>
      </c>
      <c r="D254" s="9">
        <v>19</v>
      </c>
      <c r="E254" s="9">
        <v>28</v>
      </c>
      <c r="F254" s="9">
        <v>11</v>
      </c>
      <c r="G254" s="9">
        <v>7</v>
      </c>
      <c r="H254" s="9" t="s">
        <v>443</v>
      </c>
      <c r="I254" s="9" t="s">
        <v>443</v>
      </c>
      <c r="J254" s="9" t="s">
        <v>443</v>
      </c>
      <c r="K254" s="9">
        <v>277</v>
      </c>
      <c r="M254" s="9"/>
      <c r="N254" s="9"/>
      <c r="O254" s="9"/>
      <c r="P254" s="9"/>
      <c r="Q254" s="9"/>
      <c r="R254" s="9"/>
      <c r="S254" s="9"/>
      <c r="T254" s="9"/>
      <c r="U254" s="9"/>
    </row>
    <row r="255" spans="1:23" ht="15" customHeight="1" x14ac:dyDescent="0.25">
      <c r="A255" s="69"/>
      <c r="B255" s="68" t="s">
        <v>21</v>
      </c>
      <c r="C255" s="9">
        <v>26</v>
      </c>
      <c r="D255" s="48" t="s">
        <v>146</v>
      </c>
      <c r="E255" s="9">
        <v>2</v>
      </c>
      <c r="F255" s="48" t="s">
        <v>146</v>
      </c>
      <c r="G255" s="48" t="s">
        <v>146</v>
      </c>
      <c r="H255" s="48" t="s">
        <v>146</v>
      </c>
      <c r="I255" s="48" t="s">
        <v>146</v>
      </c>
      <c r="J255" s="9">
        <v>1</v>
      </c>
      <c r="K255" s="9">
        <v>29</v>
      </c>
      <c r="M255" s="9"/>
      <c r="N255" s="78"/>
      <c r="O255" s="9"/>
      <c r="P255" s="78"/>
      <c r="Q255" s="78"/>
      <c r="R255" s="78"/>
      <c r="S255" s="78"/>
      <c r="T255" s="9"/>
      <c r="U255" s="9"/>
    </row>
    <row r="256" spans="1:23" ht="15" customHeight="1" x14ac:dyDescent="0.25">
      <c r="A256" s="69"/>
      <c r="B256" s="69" t="s">
        <v>12</v>
      </c>
      <c r="C256" s="102">
        <v>376</v>
      </c>
      <c r="D256" s="102">
        <v>21</v>
      </c>
      <c r="E256" s="102">
        <v>68</v>
      </c>
      <c r="F256" s="102">
        <v>38</v>
      </c>
      <c r="G256" s="102">
        <v>10</v>
      </c>
      <c r="H256" s="102" t="s">
        <v>443</v>
      </c>
      <c r="I256" s="102" t="s">
        <v>443</v>
      </c>
      <c r="J256" s="102">
        <v>7</v>
      </c>
      <c r="K256" s="102">
        <v>533</v>
      </c>
      <c r="M256" s="102"/>
      <c r="N256" s="102"/>
      <c r="O256" s="102"/>
      <c r="P256" s="102"/>
      <c r="Q256" s="102"/>
      <c r="R256" s="102"/>
      <c r="S256" s="102"/>
      <c r="T256" s="102"/>
      <c r="U256" s="102"/>
      <c r="V256" s="123"/>
    </row>
    <row r="257" spans="1:24" ht="3" customHeight="1" x14ac:dyDescent="0.25">
      <c r="A257" s="97"/>
      <c r="B257" s="97"/>
      <c r="C257" s="77"/>
      <c r="D257" s="77"/>
      <c r="E257" s="77"/>
      <c r="F257" s="77"/>
      <c r="G257" s="77"/>
      <c r="H257" s="77"/>
      <c r="I257" s="77"/>
      <c r="J257" s="77"/>
      <c r="K257" s="77"/>
      <c r="M257" s="123"/>
      <c r="N257" s="123"/>
    </row>
    <row r="258" spans="1:24" ht="9.75" customHeight="1" x14ac:dyDescent="0.25">
      <c r="A258" s="7" t="s">
        <v>252</v>
      </c>
      <c r="B258" s="69"/>
      <c r="C258" s="48"/>
      <c r="D258" s="48"/>
      <c r="E258" s="48"/>
      <c r="F258" s="48"/>
      <c r="G258" s="48"/>
      <c r="H258" s="48"/>
      <c r="I258" s="48"/>
      <c r="J258" s="48"/>
      <c r="K258" s="48"/>
    </row>
    <row r="259" spans="1:24" ht="15" customHeight="1" x14ac:dyDescent="0.25">
      <c r="A259" s="7" t="s">
        <v>103</v>
      </c>
    </row>
    <row r="260" spans="1:24" ht="15" customHeight="1" x14ac:dyDescent="0.25">
      <c r="B260" s="7"/>
      <c r="C260" s="85"/>
      <c r="D260" s="85"/>
      <c r="E260" s="85"/>
      <c r="F260" s="85"/>
      <c r="G260" s="85"/>
      <c r="H260" s="85"/>
      <c r="I260" s="85"/>
      <c r="J260" s="85"/>
      <c r="K260" s="85"/>
    </row>
    <row r="261" spans="1:24" s="7" customFormat="1" ht="15" customHeight="1" x14ac:dyDescent="0.15">
      <c r="A261" s="7" t="s">
        <v>347</v>
      </c>
      <c r="C261" s="85"/>
      <c r="D261" s="85"/>
      <c r="E261" s="85"/>
      <c r="F261" s="85"/>
      <c r="G261" s="85"/>
      <c r="H261" s="85"/>
      <c r="I261" s="85"/>
      <c r="J261" s="85"/>
      <c r="K261" s="85"/>
    </row>
    <row r="262" spans="1:24" ht="15" customHeight="1" x14ac:dyDescent="0.25">
      <c r="A262" s="2"/>
    </row>
    <row r="263" spans="1:24" ht="15" customHeight="1" x14ac:dyDescent="0.25">
      <c r="A263" s="198" t="s">
        <v>399</v>
      </c>
      <c r="B263" s="198"/>
      <c r="C263" s="198"/>
      <c r="D263" s="198"/>
      <c r="E263" s="198"/>
      <c r="F263" s="198"/>
      <c r="G263" s="198"/>
      <c r="H263" s="198"/>
      <c r="I263" s="198"/>
      <c r="J263" s="198"/>
      <c r="K263" s="198"/>
    </row>
    <row r="264" spans="1:24" s="13" customFormat="1" ht="15" customHeight="1" x14ac:dyDescent="0.2">
      <c r="A264" s="13" t="s">
        <v>115</v>
      </c>
      <c r="C264" s="87"/>
      <c r="D264" s="87"/>
      <c r="E264" s="87"/>
      <c r="F264" s="87"/>
      <c r="G264" s="87"/>
      <c r="H264" s="87"/>
      <c r="I264" s="87"/>
      <c r="J264" s="87"/>
      <c r="K264" s="87"/>
    </row>
    <row r="265" spans="1:24" ht="2.25" customHeight="1" x14ac:dyDescent="0.25">
      <c r="A265" s="2"/>
    </row>
    <row r="266" spans="1:24" ht="15" customHeight="1" x14ac:dyDescent="0.25">
      <c r="A266" s="35" t="s">
        <v>157</v>
      </c>
      <c r="B266" s="35" t="s">
        <v>158</v>
      </c>
      <c r="C266" s="76" t="s">
        <v>1</v>
      </c>
      <c r="D266" s="76" t="s">
        <v>2</v>
      </c>
      <c r="E266" s="76" t="s">
        <v>3</v>
      </c>
      <c r="F266" s="76" t="s">
        <v>4</v>
      </c>
      <c r="G266" s="76" t="s">
        <v>5</v>
      </c>
      <c r="H266" s="76" t="s">
        <v>6</v>
      </c>
      <c r="I266" s="76" t="s">
        <v>7</v>
      </c>
      <c r="J266" s="76" t="s">
        <v>8</v>
      </c>
      <c r="K266" s="88" t="s">
        <v>9</v>
      </c>
    </row>
    <row r="267" spans="1:24" ht="15" customHeight="1" x14ac:dyDescent="0.25">
      <c r="A267" s="65" t="s">
        <v>18</v>
      </c>
      <c r="B267" s="66" t="s">
        <v>19</v>
      </c>
      <c r="C267" s="9">
        <v>183</v>
      </c>
      <c r="D267" s="9" t="s">
        <v>443</v>
      </c>
      <c r="E267" s="9">
        <v>34</v>
      </c>
      <c r="F267" s="9">
        <v>94</v>
      </c>
      <c r="G267" s="9">
        <v>16</v>
      </c>
      <c r="H267" s="9" t="s">
        <v>443</v>
      </c>
      <c r="I267" s="9" t="s">
        <v>443</v>
      </c>
      <c r="J267" s="9" t="s">
        <v>443</v>
      </c>
      <c r="K267" s="9">
        <v>341</v>
      </c>
      <c r="M267" s="9"/>
      <c r="N267" s="9"/>
      <c r="O267" s="9"/>
      <c r="P267" s="9"/>
      <c r="Q267" s="9"/>
      <c r="R267" s="9"/>
      <c r="S267" s="9"/>
      <c r="T267" s="9"/>
      <c r="U267" s="9"/>
      <c r="X267" s="123"/>
    </row>
    <row r="268" spans="1:24" ht="15" customHeight="1" x14ac:dyDescent="0.25">
      <c r="A268" s="67"/>
      <c r="B268" s="68" t="s">
        <v>20</v>
      </c>
      <c r="C268" s="9">
        <v>243</v>
      </c>
      <c r="D268" s="9" t="s">
        <v>443</v>
      </c>
      <c r="E268" s="9">
        <v>30</v>
      </c>
      <c r="F268" s="9">
        <v>43</v>
      </c>
      <c r="G268" s="9">
        <v>26</v>
      </c>
      <c r="H268" s="9" t="s">
        <v>443</v>
      </c>
      <c r="I268" s="9" t="s">
        <v>443</v>
      </c>
      <c r="J268" s="9" t="s">
        <v>443</v>
      </c>
      <c r="K268" s="9">
        <v>369</v>
      </c>
      <c r="M268" s="9"/>
      <c r="N268" s="9"/>
      <c r="O268" s="9"/>
      <c r="P268" s="9"/>
      <c r="Q268" s="9"/>
      <c r="R268" s="9"/>
      <c r="S268" s="9"/>
      <c r="T268" s="9"/>
      <c r="U268" s="9"/>
    </row>
    <row r="269" spans="1:24" ht="15" customHeight="1" x14ac:dyDescent="0.25">
      <c r="A269" s="67"/>
      <c r="B269" s="68" t="s">
        <v>21</v>
      </c>
      <c r="C269" s="9">
        <v>32</v>
      </c>
      <c r="D269" s="48" t="s">
        <v>146</v>
      </c>
      <c r="E269" s="9">
        <v>1</v>
      </c>
      <c r="F269" s="48" t="s">
        <v>146</v>
      </c>
      <c r="G269" s="48" t="s">
        <v>146</v>
      </c>
      <c r="H269" s="48" t="s">
        <v>146</v>
      </c>
      <c r="I269" s="48" t="s">
        <v>146</v>
      </c>
      <c r="J269" s="9">
        <v>1</v>
      </c>
      <c r="K269" s="9">
        <v>34</v>
      </c>
      <c r="M269" s="9"/>
      <c r="N269" s="105"/>
      <c r="O269" s="9"/>
      <c r="P269" s="105"/>
      <c r="Q269" s="105"/>
      <c r="R269" s="105"/>
      <c r="S269" s="105"/>
      <c r="T269" s="9"/>
      <c r="U269" s="9"/>
    </row>
    <row r="270" spans="1:24" ht="15" customHeight="1" x14ac:dyDescent="0.25">
      <c r="A270" s="67"/>
      <c r="B270" s="69" t="s">
        <v>12</v>
      </c>
      <c r="C270" s="102">
        <v>458</v>
      </c>
      <c r="D270" s="102">
        <v>17</v>
      </c>
      <c r="E270" s="102">
        <v>65</v>
      </c>
      <c r="F270" s="102">
        <v>137</v>
      </c>
      <c r="G270" s="102">
        <v>42</v>
      </c>
      <c r="H270" s="102" t="s">
        <v>443</v>
      </c>
      <c r="I270" s="102" t="s">
        <v>443</v>
      </c>
      <c r="J270" s="102">
        <v>6</v>
      </c>
      <c r="K270" s="102">
        <v>744</v>
      </c>
      <c r="M270" s="102"/>
      <c r="N270" s="102"/>
      <c r="O270" s="102"/>
      <c r="P270" s="102"/>
      <c r="Q270" s="102"/>
      <c r="R270" s="102"/>
      <c r="S270" s="102"/>
      <c r="T270" s="102"/>
      <c r="U270" s="102"/>
      <c r="V270" s="123"/>
    </row>
    <row r="271" spans="1:24" ht="15" customHeight="1" x14ac:dyDescent="0.25">
      <c r="A271" s="67" t="s">
        <v>22</v>
      </c>
      <c r="B271" s="68" t="s">
        <v>19</v>
      </c>
      <c r="C271" s="9">
        <v>66</v>
      </c>
      <c r="D271" s="9" t="s">
        <v>443</v>
      </c>
      <c r="E271" s="9">
        <v>8</v>
      </c>
      <c r="F271" s="9">
        <v>52</v>
      </c>
      <c r="G271" s="9">
        <v>12</v>
      </c>
      <c r="H271" s="9" t="s">
        <v>443</v>
      </c>
      <c r="I271" s="9" t="s">
        <v>443</v>
      </c>
      <c r="J271" s="9" t="s">
        <v>443</v>
      </c>
      <c r="K271" s="9">
        <v>142</v>
      </c>
      <c r="M271" s="9"/>
      <c r="N271" s="9"/>
      <c r="O271" s="9"/>
      <c r="P271" s="9"/>
      <c r="Q271" s="9"/>
      <c r="R271" s="9"/>
      <c r="S271" s="9"/>
      <c r="T271" s="9"/>
      <c r="U271" s="9"/>
    </row>
    <row r="272" spans="1:24" ht="15" customHeight="1" x14ac:dyDescent="0.25">
      <c r="A272" s="67"/>
      <c r="B272" s="68" t="s">
        <v>20</v>
      </c>
      <c r="C272" s="9">
        <v>70</v>
      </c>
      <c r="D272" s="9" t="s">
        <v>443</v>
      </c>
      <c r="E272" s="9">
        <v>2</v>
      </c>
      <c r="F272" s="9">
        <v>22</v>
      </c>
      <c r="G272" s="9">
        <v>12</v>
      </c>
      <c r="H272" s="9" t="s">
        <v>443</v>
      </c>
      <c r="I272" s="9" t="s">
        <v>443</v>
      </c>
      <c r="J272" s="9" t="s">
        <v>443</v>
      </c>
      <c r="K272" s="9">
        <v>114</v>
      </c>
      <c r="M272" s="9"/>
      <c r="N272" s="9"/>
      <c r="O272" s="9"/>
      <c r="P272" s="9"/>
      <c r="Q272" s="9"/>
      <c r="R272" s="9"/>
      <c r="S272" s="9"/>
      <c r="T272" s="9"/>
      <c r="U272" s="9"/>
    </row>
    <row r="273" spans="1:22" ht="15" customHeight="1" x14ac:dyDescent="0.25">
      <c r="A273" s="67"/>
      <c r="B273" s="68" t="s">
        <v>21</v>
      </c>
      <c r="C273" s="9">
        <v>7</v>
      </c>
      <c r="D273" s="78" t="s">
        <v>146</v>
      </c>
      <c r="E273" s="78">
        <v>1</v>
      </c>
      <c r="F273" s="48" t="s">
        <v>146</v>
      </c>
      <c r="G273" s="78">
        <v>1</v>
      </c>
      <c r="H273" s="48" t="s">
        <v>146</v>
      </c>
      <c r="I273" s="48" t="s">
        <v>146</v>
      </c>
      <c r="J273" s="48" t="s">
        <v>146</v>
      </c>
      <c r="K273" s="9">
        <v>9</v>
      </c>
      <c r="M273" s="9"/>
      <c r="N273" s="78"/>
      <c r="O273" s="105"/>
      <c r="P273" s="105"/>
      <c r="Q273" s="105"/>
      <c r="R273" s="105"/>
      <c r="S273" s="105"/>
      <c r="T273" s="105"/>
      <c r="U273" s="9"/>
    </row>
    <row r="274" spans="1:22" ht="15" customHeight="1" x14ac:dyDescent="0.25">
      <c r="A274" s="67"/>
      <c r="B274" s="69" t="s">
        <v>12</v>
      </c>
      <c r="C274" s="102">
        <v>143</v>
      </c>
      <c r="D274" s="102">
        <v>4</v>
      </c>
      <c r="E274" s="102">
        <v>11</v>
      </c>
      <c r="F274" s="102">
        <v>74</v>
      </c>
      <c r="G274" s="102">
        <v>25</v>
      </c>
      <c r="H274" s="102" t="s">
        <v>443</v>
      </c>
      <c r="I274" s="102" t="s">
        <v>443</v>
      </c>
      <c r="J274" s="102">
        <v>1</v>
      </c>
      <c r="K274" s="102">
        <v>265</v>
      </c>
      <c r="M274" s="102"/>
      <c r="N274" s="102"/>
      <c r="O274" s="102"/>
      <c r="P274" s="102"/>
      <c r="Q274" s="102"/>
      <c r="R274" s="102"/>
      <c r="S274" s="102"/>
      <c r="T274" s="102"/>
      <c r="U274" s="102"/>
      <c r="V274" s="123"/>
    </row>
    <row r="275" spans="1:22" ht="15" customHeight="1" x14ac:dyDescent="0.25">
      <c r="A275" s="69" t="s">
        <v>12</v>
      </c>
      <c r="B275" s="68" t="s">
        <v>19</v>
      </c>
      <c r="C275" s="9">
        <v>249</v>
      </c>
      <c r="D275" s="9">
        <v>2</v>
      </c>
      <c r="E275" s="9">
        <v>42</v>
      </c>
      <c r="F275" s="9">
        <v>146</v>
      </c>
      <c r="G275" s="9">
        <v>28</v>
      </c>
      <c r="H275" s="9" t="s">
        <v>443</v>
      </c>
      <c r="I275" s="9" t="s">
        <v>443</v>
      </c>
      <c r="J275" s="9" t="s">
        <v>443</v>
      </c>
      <c r="K275" s="9">
        <v>483</v>
      </c>
      <c r="M275" s="9"/>
      <c r="N275" s="9"/>
      <c r="O275" s="9"/>
      <c r="P275" s="9"/>
      <c r="Q275" s="9"/>
      <c r="R275" s="9"/>
      <c r="S275" s="9"/>
      <c r="T275" s="9"/>
      <c r="U275" s="9"/>
    </row>
    <row r="276" spans="1:22" ht="15" customHeight="1" x14ac:dyDescent="0.25">
      <c r="A276" s="69"/>
      <c r="B276" s="68" t="s">
        <v>20</v>
      </c>
      <c r="C276" s="9">
        <v>313</v>
      </c>
      <c r="D276" s="9">
        <v>19</v>
      </c>
      <c r="E276" s="9">
        <v>32</v>
      </c>
      <c r="F276" s="9">
        <v>65</v>
      </c>
      <c r="G276" s="9">
        <v>38</v>
      </c>
      <c r="H276" s="9" t="s">
        <v>443</v>
      </c>
      <c r="I276" s="9" t="s">
        <v>443</v>
      </c>
      <c r="J276" s="9" t="s">
        <v>443</v>
      </c>
      <c r="K276" s="9">
        <v>483</v>
      </c>
      <c r="M276" s="9"/>
      <c r="N276" s="9"/>
      <c r="O276" s="9"/>
      <c r="P276" s="9"/>
      <c r="Q276" s="9"/>
      <c r="R276" s="9"/>
      <c r="S276" s="9"/>
      <c r="T276" s="9"/>
      <c r="U276" s="9"/>
    </row>
    <row r="277" spans="1:22" ht="15" customHeight="1" x14ac:dyDescent="0.25">
      <c r="A277" s="69"/>
      <c r="B277" s="68" t="s">
        <v>21</v>
      </c>
      <c r="C277" s="9">
        <v>39</v>
      </c>
      <c r="D277" s="48" t="s">
        <v>146</v>
      </c>
      <c r="E277" s="9">
        <v>2</v>
      </c>
      <c r="F277" s="48" t="s">
        <v>146</v>
      </c>
      <c r="G277" s="48">
        <v>1</v>
      </c>
      <c r="H277" s="48" t="s">
        <v>146</v>
      </c>
      <c r="I277" s="48" t="s">
        <v>146</v>
      </c>
      <c r="J277" s="9">
        <v>1</v>
      </c>
      <c r="K277" s="9">
        <v>43</v>
      </c>
      <c r="M277" s="9"/>
      <c r="N277" s="105"/>
      <c r="O277" s="9"/>
      <c r="P277" s="105"/>
      <c r="Q277" s="105"/>
      <c r="R277" s="105"/>
      <c r="S277" s="105"/>
      <c r="T277" s="9"/>
      <c r="U277" s="9"/>
    </row>
    <row r="278" spans="1:22" ht="15" customHeight="1" x14ac:dyDescent="0.25">
      <c r="A278" s="69"/>
      <c r="B278" s="69" t="s">
        <v>12</v>
      </c>
      <c r="C278" s="102">
        <v>601</v>
      </c>
      <c r="D278" s="102">
        <v>21</v>
      </c>
      <c r="E278" s="102">
        <v>76</v>
      </c>
      <c r="F278" s="102">
        <v>211</v>
      </c>
      <c r="G278" s="102">
        <v>67</v>
      </c>
      <c r="H278" s="102">
        <v>9</v>
      </c>
      <c r="I278" s="102">
        <v>17</v>
      </c>
      <c r="J278" s="102">
        <v>7</v>
      </c>
      <c r="K278" s="102">
        <v>1009</v>
      </c>
      <c r="M278" s="102"/>
      <c r="N278" s="102"/>
      <c r="O278" s="102"/>
      <c r="P278" s="102"/>
      <c r="Q278" s="102"/>
      <c r="R278" s="102"/>
      <c r="S278" s="102"/>
      <c r="T278" s="102"/>
      <c r="U278" s="102"/>
      <c r="V278" s="123"/>
    </row>
    <row r="279" spans="1:22" ht="1.5" customHeight="1" x14ac:dyDescent="0.25">
      <c r="A279" s="43"/>
      <c r="B279" s="43"/>
      <c r="C279" s="84"/>
      <c r="D279" s="84"/>
      <c r="E279" s="84"/>
      <c r="F279" s="84"/>
      <c r="G279" s="84"/>
      <c r="H279" s="84"/>
      <c r="I279" s="84"/>
      <c r="J279" s="84"/>
      <c r="K279" s="84"/>
    </row>
    <row r="280" spans="1:22" ht="10.5" customHeight="1" x14ac:dyDescent="0.25">
      <c r="A280" s="7" t="s">
        <v>252</v>
      </c>
    </row>
    <row r="281" spans="1:22" ht="12" customHeight="1" x14ac:dyDescent="0.25">
      <c r="A281" s="7" t="s">
        <v>224</v>
      </c>
    </row>
    <row r="282" spans="1:22" ht="10.5" customHeight="1" x14ac:dyDescent="0.25">
      <c r="A282" s="7" t="s">
        <v>255</v>
      </c>
    </row>
    <row r="283" spans="1:22" ht="12" customHeight="1" x14ac:dyDescent="0.25">
      <c r="A283" s="7" t="s">
        <v>256</v>
      </c>
    </row>
    <row r="284" spans="1:22" ht="15" customHeight="1" x14ac:dyDescent="0.25">
      <c r="A284" s="7"/>
    </row>
    <row r="285" spans="1:22" s="7" customFormat="1" ht="15" customHeight="1" x14ac:dyDescent="0.15">
      <c r="A285" s="7" t="s">
        <v>347</v>
      </c>
      <c r="C285" s="85"/>
      <c r="D285" s="85"/>
      <c r="E285" s="85"/>
      <c r="F285" s="85"/>
      <c r="G285" s="85"/>
      <c r="H285" s="85"/>
      <c r="I285" s="85"/>
      <c r="J285" s="85"/>
      <c r="K285" s="85"/>
    </row>
    <row r="286" spans="1:22" ht="15" customHeight="1" x14ac:dyDescent="0.25">
      <c r="A286" s="2"/>
    </row>
    <row r="287" spans="1:22" ht="15" customHeight="1" x14ac:dyDescent="0.25">
      <c r="A287" s="198" t="s">
        <v>400</v>
      </c>
      <c r="B287" s="198"/>
      <c r="C287" s="198"/>
      <c r="D287" s="198"/>
      <c r="E287" s="198"/>
      <c r="F287" s="198"/>
      <c r="G287" s="198"/>
      <c r="H287" s="198"/>
      <c r="I287" s="198"/>
      <c r="J287" s="198"/>
      <c r="K287" s="198"/>
    </row>
    <row r="288" spans="1:22" s="13" customFormat="1" ht="15" customHeight="1" x14ac:dyDescent="0.2">
      <c r="A288" s="13" t="s">
        <v>116</v>
      </c>
      <c r="C288" s="87"/>
      <c r="D288" s="87"/>
      <c r="E288" s="87"/>
      <c r="F288" s="87"/>
      <c r="G288" s="87"/>
      <c r="H288" s="87"/>
      <c r="I288" s="87"/>
      <c r="J288" s="87"/>
      <c r="K288" s="87"/>
    </row>
    <row r="289" spans="1:23" ht="0.75" customHeight="1" x14ac:dyDescent="0.25">
      <c r="A289" s="2"/>
    </row>
    <row r="290" spans="1:23" ht="15" customHeight="1" x14ac:dyDescent="0.25">
      <c r="A290" s="35" t="s">
        <v>157</v>
      </c>
      <c r="B290" s="35" t="s">
        <v>158</v>
      </c>
      <c r="C290" s="76" t="s">
        <v>1</v>
      </c>
      <c r="D290" s="76" t="s">
        <v>2</v>
      </c>
      <c r="E290" s="76" t="s">
        <v>3</v>
      </c>
      <c r="F290" s="76" t="s">
        <v>4</v>
      </c>
      <c r="G290" s="76" t="s">
        <v>5</v>
      </c>
      <c r="H290" s="76" t="s">
        <v>6</v>
      </c>
      <c r="I290" s="76" t="s">
        <v>7</v>
      </c>
      <c r="J290" s="76" t="s">
        <v>8</v>
      </c>
      <c r="K290" s="88" t="s">
        <v>9</v>
      </c>
    </row>
    <row r="291" spans="1:23" ht="15" customHeight="1" x14ac:dyDescent="0.25">
      <c r="A291" s="65" t="s">
        <v>18</v>
      </c>
      <c r="B291" s="66" t="s">
        <v>19</v>
      </c>
      <c r="C291" s="78" t="s">
        <v>443</v>
      </c>
      <c r="D291" s="78" t="s">
        <v>443</v>
      </c>
      <c r="E291" s="78" t="s">
        <v>443</v>
      </c>
      <c r="F291" s="78" t="s">
        <v>443</v>
      </c>
      <c r="G291" s="78" t="s">
        <v>443</v>
      </c>
      <c r="H291" s="78" t="s">
        <v>146</v>
      </c>
      <c r="I291" s="78" t="s">
        <v>146</v>
      </c>
      <c r="J291" s="78" t="s">
        <v>146</v>
      </c>
      <c r="K291" s="9">
        <v>1</v>
      </c>
      <c r="M291" s="9"/>
      <c r="N291" s="9"/>
      <c r="O291" s="9"/>
      <c r="P291" s="9"/>
      <c r="Q291" s="78"/>
      <c r="R291" s="78"/>
      <c r="S291" s="78"/>
      <c r="T291" s="78"/>
      <c r="U291" s="9"/>
      <c r="W291" s="123"/>
    </row>
    <row r="292" spans="1:23" ht="15" customHeight="1" x14ac:dyDescent="0.25">
      <c r="A292" s="67"/>
      <c r="B292" s="68" t="s">
        <v>20</v>
      </c>
      <c r="C292" s="78" t="s">
        <v>443</v>
      </c>
      <c r="D292" s="78" t="s">
        <v>443</v>
      </c>
      <c r="E292" s="78" t="s">
        <v>443</v>
      </c>
      <c r="F292" s="78" t="s">
        <v>443</v>
      </c>
      <c r="G292" s="78" t="s">
        <v>443</v>
      </c>
      <c r="H292" s="78" t="s">
        <v>146</v>
      </c>
      <c r="I292" s="78" t="s">
        <v>443</v>
      </c>
      <c r="J292" s="78" t="s">
        <v>146</v>
      </c>
      <c r="K292" s="9">
        <v>9</v>
      </c>
      <c r="M292" s="9"/>
      <c r="N292" s="9"/>
      <c r="O292" s="9"/>
      <c r="P292" s="9"/>
      <c r="Q292" s="9"/>
      <c r="R292" s="78"/>
      <c r="S292" s="78"/>
      <c r="T292" s="78"/>
      <c r="U292" s="9"/>
    </row>
    <row r="293" spans="1:23" ht="15" customHeight="1" x14ac:dyDescent="0.25">
      <c r="A293" s="67"/>
      <c r="B293" s="68" t="s">
        <v>21</v>
      </c>
      <c r="C293" s="78">
        <v>1</v>
      </c>
      <c r="D293" s="48" t="s">
        <v>146</v>
      </c>
      <c r="E293" s="48" t="s">
        <v>146</v>
      </c>
      <c r="F293" s="48" t="s">
        <v>146</v>
      </c>
      <c r="G293" s="48" t="s">
        <v>146</v>
      </c>
      <c r="H293" s="48" t="s">
        <v>146</v>
      </c>
      <c r="I293" s="48" t="s">
        <v>146</v>
      </c>
      <c r="J293" s="48" t="s">
        <v>146</v>
      </c>
      <c r="K293" s="78">
        <v>1</v>
      </c>
      <c r="M293" s="78"/>
      <c r="N293" s="78"/>
      <c r="O293" s="78"/>
      <c r="P293" s="78"/>
      <c r="Q293" s="78"/>
      <c r="R293" s="78"/>
      <c r="S293" s="78"/>
      <c r="T293" s="78"/>
      <c r="U293" s="78"/>
    </row>
    <row r="294" spans="1:23" ht="15" customHeight="1" x14ac:dyDescent="0.25">
      <c r="A294" s="67"/>
      <c r="B294" s="69" t="s">
        <v>12</v>
      </c>
      <c r="C294" s="102">
        <v>5</v>
      </c>
      <c r="D294" s="102">
        <v>2</v>
      </c>
      <c r="E294" s="102">
        <v>1</v>
      </c>
      <c r="F294" s="102" t="s">
        <v>443</v>
      </c>
      <c r="G294" s="102" t="s">
        <v>443</v>
      </c>
      <c r="H294" s="102" t="s">
        <v>146</v>
      </c>
      <c r="I294" s="102" t="s">
        <v>443</v>
      </c>
      <c r="J294" s="48" t="s">
        <v>146</v>
      </c>
      <c r="K294" s="102">
        <v>11</v>
      </c>
      <c r="M294" s="9"/>
      <c r="N294" s="9"/>
      <c r="O294" s="9"/>
      <c r="P294" s="9"/>
      <c r="Q294" s="9"/>
      <c r="R294" s="78"/>
      <c r="S294" s="78"/>
      <c r="T294" s="78"/>
      <c r="U294" s="9"/>
    </row>
    <row r="295" spans="1:23" ht="15" customHeight="1" x14ac:dyDescent="0.25">
      <c r="A295" s="67" t="s">
        <v>22</v>
      </c>
      <c r="B295" s="68" t="s">
        <v>19</v>
      </c>
      <c r="C295" s="48" t="s">
        <v>146</v>
      </c>
      <c r="D295" s="48" t="s">
        <v>146</v>
      </c>
      <c r="E295" s="48" t="s">
        <v>146</v>
      </c>
      <c r="F295" s="48" t="s">
        <v>146</v>
      </c>
      <c r="G295" s="48" t="s">
        <v>146</v>
      </c>
      <c r="H295" s="48" t="s">
        <v>146</v>
      </c>
      <c r="I295" s="48" t="s">
        <v>146</v>
      </c>
      <c r="J295" s="48" t="s">
        <v>146</v>
      </c>
      <c r="K295" s="48" t="s">
        <v>146</v>
      </c>
      <c r="M295" s="78"/>
      <c r="N295" s="78"/>
      <c r="O295" s="78"/>
      <c r="P295" s="78"/>
      <c r="Q295" s="78"/>
      <c r="R295" s="78"/>
      <c r="S295" s="78"/>
      <c r="T295" s="78"/>
      <c r="U295" s="78"/>
    </row>
    <row r="296" spans="1:23" ht="15" customHeight="1" x14ac:dyDescent="0.25">
      <c r="A296" s="67"/>
      <c r="B296" s="68" t="s">
        <v>20</v>
      </c>
      <c r="C296" s="48" t="s">
        <v>146</v>
      </c>
      <c r="D296" s="48" t="s">
        <v>146</v>
      </c>
      <c r="E296" s="48" t="s">
        <v>146</v>
      </c>
      <c r="F296" s="48" t="s">
        <v>146</v>
      </c>
      <c r="G296" s="48" t="s">
        <v>146</v>
      </c>
      <c r="H296" s="48" t="s">
        <v>146</v>
      </c>
      <c r="I296" s="48" t="s">
        <v>146</v>
      </c>
      <c r="J296" s="48" t="s">
        <v>146</v>
      </c>
      <c r="K296" s="48" t="s">
        <v>146</v>
      </c>
      <c r="M296" s="78"/>
      <c r="N296" s="78"/>
      <c r="O296" s="78"/>
      <c r="P296" s="78"/>
      <c r="Q296" s="78"/>
      <c r="R296" s="78"/>
      <c r="S296" s="78"/>
      <c r="T296" s="78"/>
      <c r="U296" s="78"/>
    </row>
    <row r="297" spans="1:23" ht="15" customHeight="1" x14ac:dyDescent="0.25">
      <c r="A297" s="67"/>
      <c r="B297" s="68" t="s">
        <v>21</v>
      </c>
      <c r="C297" s="48" t="s">
        <v>146</v>
      </c>
      <c r="D297" s="48" t="s">
        <v>146</v>
      </c>
      <c r="E297" s="48" t="s">
        <v>146</v>
      </c>
      <c r="F297" s="48" t="s">
        <v>146</v>
      </c>
      <c r="G297" s="48" t="s">
        <v>146</v>
      </c>
      <c r="H297" s="48" t="s">
        <v>146</v>
      </c>
      <c r="I297" s="48" t="s">
        <v>146</v>
      </c>
      <c r="J297" s="48" t="s">
        <v>146</v>
      </c>
      <c r="K297" s="48" t="s">
        <v>146</v>
      </c>
      <c r="M297" s="78"/>
      <c r="N297" s="78"/>
      <c r="O297" s="78"/>
      <c r="P297" s="102"/>
      <c r="Q297" s="78"/>
      <c r="R297" s="78"/>
      <c r="S297" s="78"/>
      <c r="T297" s="78"/>
      <c r="U297" s="78"/>
    </row>
    <row r="298" spans="1:23" ht="15" customHeight="1" x14ac:dyDescent="0.25">
      <c r="A298" s="67"/>
      <c r="B298" s="69" t="s">
        <v>12</v>
      </c>
      <c r="C298" s="48" t="s">
        <v>146</v>
      </c>
      <c r="D298" s="48" t="s">
        <v>146</v>
      </c>
      <c r="E298" s="48" t="s">
        <v>146</v>
      </c>
      <c r="F298" s="48" t="s">
        <v>146</v>
      </c>
      <c r="G298" s="48" t="s">
        <v>146</v>
      </c>
      <c r="H298" s="48" t="s">
        <v>146</v>
      </c>
      <c r="I298" s="48" t="s">
        <v>146</v>
      </c>
      <c r="J298" s="48" t="s">
        <v>146</v>
      </c>
      <c r="K298" s="48" t="s">
        <v>146</v>
      </c>
      <c r="M298" s="78"/>
      <c r="N298" s="78"/>
      <c r="O298" s="78"/>
      <c r="P298" s="78"/>
      <c r="Q298" s="78"/>
      <c r="R298" s="78"/>
      <c r="S298" s="78"/>
      <c r="T298" s="78"/>
      <c r="U298" s="78"/>
    </row>
    <row r="299" spans="1:23" ht="15" customHeight="1" x14ac:dyDescent="0.25">
      <c r="A299" s="69" t="s">
        <v>12</v>
      </c>
      <c r="B299" s="68" t="s">
        <v>19</v>
      </c>
      <c r="C299" s="78" t="s">
        <v>443</v>
      </c>
      <c r="D299" s="78" t="s">
        <v>443</v>
      </c>
      <c r="E299" s="78" t="s">
        <v>443</v>
      </c>
      <c r="F299" s="78" t="s">
        <v>443</v>
      </c>
      <c r="G299" s="78" t="s">
        <v>443</v>
      </c>
      <c r="H299" s="78" t="s">
        <v>146</v>
      </c>
      <c r="I299" s="78" t="s">
        <v>146</v>
      </c>
      <c r="J299" s="48" t="s">
        <v>146</v>
      </c>
      <c r="K299" s="9">
        <v>1</v>
      </c>
      <c r="M299" s="9"/>
      <c r="N299" s="9"/>
      <c r="O299" s="9"/>
      <c r="P299" s="9"/>
      <c r="Q299" s="78"/>
      <c r="R299" s="78"/>
      <c r="S299" s="78"/>
      <c r="T299" s="78"/>
      <c r="U299" s="9"/>
    </row>
    <row r="300" spans="1:23" ht="15" customHeight="1" x14ac:dyDescent="0.25">
      <c r="A300" s="69"/>
      <c r="B300" s="68" t="s">
        <v>20</v>
      </c>
      <c r="C300" s="78" t="s">
        <v>443</v>
      </c>
      <c r="D300" s="78" t="s">
        <v>443</v>
      </c>
      <c r="E300" s="78" t="s">
        <v>443</v>
      </c>
      <c r="F300" s="78" t="s">
        <v>443</v>
      </c>
      <c r="G300" s="78" t="s">
        <v>443</v>
      </c>
      <c r="H300" s="78" t="s">
        <v>146</v>
      </c>
      <c r="I300" s="78" t="s">
        <v>443</v>
      </c>
      <c r="J300" s="48" t="s">
        <v>146</v>
      </c>
      <c r="K300" s="9">
        <v>9</v>
      </c>
      <c r="M300" s="9"/>
      <c r="N300" s="9"/>
      <c r="O300" s="9"/>
      <c r="P300" s="9"/>
      <c r="Q300" s="9"/>
      <c r="R300" s="78"/>
      <c r="S300" s="78"/>
      <c r="T300" s="78"/>
      <c r="U300" s="9"/>
    </row>
    <row r="301" spans="1:23" ht="15" customHeight="1" x14ac:dyDescent="0.25">
      <c r="A301" s="69"/>
      <c r="B301" s="68" t="s">
        <v>21</v>
      </c>
      <c r="C301" s="78">
        <v>1</v>
      </c>
      <c r="D301" s="48" t="s">
        <v>146</v>
      </c>
      <c r="E301" s="48" t="s">
        <v>146</v>
      </c>
      <c r="F301" s="48" t="s">
        <v>146</v>
      </c>
      <c r="G301" s="48" t="s">
        <v>146</v>
      </c>
      <c r="H301" s="48" t="s">
        <v>146</v>
      </c>
      <c r="I301" s="48" t="s">
        <v>146</v>
      </c>
      <c r="J301" s="48" t="s">
        <v>146</v>
      </c>
      <c r="K301" s="78">
        <v>1</v>
      </c>
      <c r="M301" s="78"/>
      <c r="N301" s="78"/>
      <c r="O301" s="78"/>
      <c r="P301" s="78"/>
      <c r="Q301" s="78"/>
      <c r="R301" s="78"/>
      <c r="S301" s="78"/>
      <c r="T301" s="78"/>
      <c r="U301" s="78"/>
    </row>
    <row r="302" spans="1:23" ht="15" customHeight="1" x14ac:dyDescent="0.25">
      <c r="A302" s="69"/>
      <c r="B302" s="69" t="s">
        <v>12</v>
      </c>
      <c r="C302" s="102">
        <v>5</v>
      </c>
      <c r="D302" s="102">
        <v>2</v>
      </c>
      <c r="E302" s="102">
        <v>1</v>
      </c>
      <c r="F302" s="102">
        <v>1</v>
      </c>
      <c r="G302" s="102" t="s">
        <v>443</v>
      </c>
      <c r="H302" s="102" t="s">
        <v>146</v>
      </c>
      <c r="I302" s="102" t="s">
        <v>443</v>
      </c>
      <c r="J302" s="48" t="s">
        <v>146</v>
      </c>
      <c r="K302" s="102">
        <v>11</v>
      </c>
      <c r="M302" s="9"/>
      <c r="N302" s="9"/>
      <c r="O302" s="9"/>
      <c r="P302" s="9"/>
      <c r="Q302" s="9"/>
      <c r="R302" s="78"/>
      <c r="S302" s="78"/>
      <c r="T302" s="78"/>
      <c r="U302" s="9"/>
    </row>
    <row r="303" spans="1:23" ht="3" customHeight="1" x14ac:dyDescent="0.25">
      <c r="A303" s="43"/>
      <c r="B303" s="43"/>
      <c r="C303" s="84"/>
      <c r="D303" s="84"/>
      <c r="E303" s="84"/>
      <c r="F303" s="84"/>
      <c r="G303" s="84"/>
      <c r="H303" s="84"/>
      <c r="I303" s="84"/>
      <c r="J303" s="84"/>
      <c r="K303" s="84"/>
    </row>
    <row r="304" spans="1:23" ht="10.5" customHeight="1" x14ac:dyDescent="0.25">
      <c r="A304" s="7" t="s">
        <v>252</v>
      </c>
    </row>
    <row r="305" spans="1:24" ht="9.75" customHeight="1" x14ac:dyDescent="0.25">
      <c r="A305" s="7" t="s">
        <v>103</v>
      </c>
      <c r="B305" s="7"/>
      <c r="C305" s="85"/>
      <c r="D305" s="85"/>
      <c r="E305" s="85"/>
      <c r="F305" s="85"/>
      <c r="G305" s="85"/>
      <c r="H305" s="85"/>
      <c r="I305" s="85"/>
      <c r="J305" s="85"/>
      <c r="K305" s="85"/>
    </row>
    <row r="306" spans="1:24" s="7" customFormat="1" ht="15" customHeight="1" x14ac:dyDescent="0.15">
      <c r="C306" s="85"/>
      <c r="D306" s="85"/>
      <c r="E306" s="85"/>
      <c r="F306" s="85"/>
      <c r="G306" s="85"/>
      <c r="H306" s="85"/>
      <c r="I306" s="85"/>
      <c r="J306" s="85"/>
      <c r="K306" s="85"/>
    </row>
    <row r="307" spans="1:24" s="7" customFormat="1" ht="15" customHeight="1" x14ac:dyDescent="0.15">
      <c r="A307" s="7" t="s">
        <v>347</v>
      </c>
      <c r="C307" s="85"/>
      <c r="D307" s="85"/>
      <c r="E307" s="85"/>
      <c r="F307" s="85"/>
      <c r="G307" s="85"/>
      <c r="H307" s="85"/>
      <c r="I307" s="85"/>
      <c r="J307" s="85"/>
      <c r="K307" s="85"/>
    </row>
    <row r="308" spans="1:24" ht="15" customHeight="1" x14ac:dyDescent="0.25">
      <c r="A308" s="2"/>
    </row>
    <row r="309" spans="1:24" ht="15" customHeight="1" x14ac:dyDescent="0.25">
      <c r="A309" s="192" t="s">
        <v>401</v>
      </c>
      <c r="B309" s="192"/>
      <c r="C309" s="192"/>
      <c r="D309" s="192"/>
      <c r="E309" s="192"/>
      <c r="F309" s="192"/>
      <c r="G309" s="192"/>
      <c r="H309" s="192"/>
      <c r="I309" s="192"/>
      <c r="J309" s="192"/>
      <c r="K309" s="192"/>
    </row>
    <row r="310" spans="1:24" s="13" customFormat="1" ht="15" customHeight="1" x14ac:dyDescent="0.2">
      <c r="A310" s="13" t="s">
        <v>117</v>
      </c>
      <c r="C310" s="87"/>
      <c r="D310" s="87"/>
      <c r="E310" s="87"/>
      <c r="F310" s="87"/>
      <c r="G310" s="87"/>
      <c r="H310" s="87"/>
      <c r="I310" s="87"/>
      <c r="J310" s="87"/>
      <c r="K310" s="87"/>
    </row>
    <row r="311" spans="1:24" ht="2.25" customHeight="1" x14ac:dyDescent="0.25">
      <c r="A311" s="2"/>
    </row>
    <row r="312" spans="1:24" ht="15" customHeight="1" x14ac:dyDescent="0.25">
      <c r="A312" s="35" t="s">
        <v>157</v>
      </c>
      <c r="B312" s="35" t="s">
        <v>158</v>
      </c>
      <c r="C312" s="76" t="s">
        <v>1</v>
      </c>
      <c r="D312" s="76" t="s">
        <v>2</v>
      </c>
      <c r="E312" s="76" t="s">
        <v>3</v>
      </c>
      <c r="F312" s="76" t="s">
        <v>4</v>
      </c>
      <c r="G312" s="76" t="s">
        <v>5</v>
      </c>
      <c r="H312" s="76" t="s">
        <v>6</v>
      </c>
      <c r="I312" s="76" t="s">
        <v>7</v>
      </c>
      <c r="J312" s="76" t="s">
        <v>8</v>
      </c>
      <c r="K312" s="88" t="s">
        <v>9</v>
      </c>
    </row>
    <row r="313" spans="1:24" ht="15" customHeight="1" x14ac:dyDescent="0.25">
      <c r="A313" s="65" t="s">
        <v>18</v>
      </c>
      <c r="B313" s="66" t="s">
        <v>19</v>
      </c>
      <c r="C313" s="9">
        <v>194</v>
      </c>
      <c r="D313" s="9" t="s">
        <v>443</v>
      </c>
      <c r="E313" s="9">
        <v>34</v>
      </c>
      <c r="F313" s="9">
        <v>96</v>
      </c>
      <c r="G313" s="9">
        <v>16</v>
      </c>
      <c r="H313" s="9" t="s">
        <v>443</v>
      </c>
      <c r="I313" s="9" t="s">
        <v>443</v>
      </c>
      <c r="J313" s="9" t="s">
        <v>443</v>
      </c>
      <c r="K313" s="9">
        <v>354</v>
      </c>
      <c r="M313" s="123"/>
      <c r="N313" s="9"/>
      <c r="O313" s="9"/>
      <c r="P313" s="9"/>
      <c r="Q313" s="9"/>
      <c r="R313" s="9"/>
      <c r="S313" s="9"/>
      <c r="T313" s="9"/>
      <c r="U313" s="9"/>
      <c r="V313" s="9"/>
      <c r="X313" s="123"/>
    </row>
    <row r="314" spans="1:24" ht="15" customHeight="1" x14ac:dyDescent="0.25">
      <c r="A314" s="67"/>
      <c r="B314" s="68" t="s">
        <v>20</v>
      </c>
      <c r="C314" s="9">
        <v>265</v>
      </c>
      <c r="D314" s="9" t="s">
        <v>443</v>
      </c>
      <c r="E314" s="9">
        <v>32</v>
      </c>
      <c r="F314" s="9">
        <v>46</v>
      </c>
      <c r="G314" s="9">
        <v>28</v>
      </c>
      <c r="H314" s="9" t="s">
        <v>443</v>
      </c>
      <c r="I314" s="9" t="s">
        <v>443</v>
      </c>
      <c r="J314" s="9" t="s">
        <v>443</v>
      </c>
      <c r="K314" s="9">
        <v>408</v>
      </c>
      <c r="M314" s="123"/>
      <c r="N314" s="9"/>
      <c r="O314" s="9"/>
      <c r="P314" s="9"/>
      <c r="Q314" s="9"/>
      <c r="R314" s="9"/>
      <c r="S314" s="9"/>
      <c r="T314" s="9"/>
      <c r="U314" s="9"/>
      <c r="V314" s="9"/>
    </row>
    <row r="315" spans="1:24" ht="15" customHeight="1" x14ac:dyDescent="0.25">
      <c r="A315" s="67"/>
      <c r="B315" s="68" t="s">
        <v>21</v>
      </c>
      <c r="C315" s="9">
        <v>33</v>
      </c>
      <c r="D315" s="48" t="s">
        <v>146</v>
      </c>
      <c r="E315" s="9">
        <v>1</v>
      </c>
      <c r="F315" s="48" t="s">
        <v>146</v>
      </c>
      <c r="G315" s="48" t="s">
        <v>146</v>
      </c>
      <c r="H315" s="48" t="s">
        <v>146</v>
      </c>
      <c r="I315" s="48" t="s">
        <v>146</v>
      </c>
      <c r="J315" s="9">
        <v>1</v>
      </c>
      <c r="K315" s="9">
        <v>35</v>
      </c>
      <c r="M315" s="123"/>
      <c r="N315" s="9"/>
      <c r="O315" s="78"/>
      <c r="P315" s="9"/>
      <c r="Q315" s="78"/>
      <c r="R315" s="78"/>
      <c r="S315" s="78"/>
      <c r="T315" s="78"/>
      <c r="U315" s="9"/>
      <c r="V315" s="9"/>
    </row>
    <row r="316" spans="1:24" ht="15" customHeight="1" x14ac:dyDescent="0.25">
      <c r="A316" s="67"/>
      <c r="B316" s="69" t="s">
        <v>12</v>
      </c>
      <c r="C316" s="102">
        <v>492</v>
      </c>
      <c r="D316" s="102">
        <v>25</v>
      </c>
      <c r="E316" s="102">
        <v>67</v>
      </c>
      <c r="F316" s="102">
        <v>142</v>
      </c>
      <c r="G316" s="102">
        <v>44</v>
      </c>
      <c r="H316" s="102" t="s">
        <v>443</v>
      </c>
      <c r="I316" s="102" t="s">
        <v>443</v>
      </c>
      <c r="J316" s="102">
        <v>7</v>
      </c>
      <c r="K316" s="102">
        <v>797</v>
      </c>
      <c r="M316" s="123"/>
      <c r="N316" s="9"/>
      <c r="O316" s="9"/>
      <c r="P316" s="9"/>
      <c r="Q316" s="9"/>
      <c r="R316" s="9"/>
      <c r="S316" s="9"/>
      <c r="T316" s="9"/>
      <c r="U316" s="9"/>
      <c r="V316" s="9"/>
    </row>
    <row r="317" spans="1:24" ht="15" customHeight="1" x14ac:dyDescent="0.25">
      <c r="A317" s="67" t="s">
        <v>22</v>
      </c>
      <c r="B317" s="68" t="s">
        <v>19</v>
      </c>
      <c r="C317" s="9">
        <v>66</v>
      </c>
      <c r="D317" s="9" t="s">
        <v>146</v>
      </c>
      <c r="E317" s="9">
        <v>8</v>
      </c>
      <c r="F317" s="9">
        <v>52</v>
      </c>
      <c r="G317" s="9">
        <v>13</v>
      </c>
      <c r="H317" s="9" t="s">
        <v>443</v>
      </c>
      <c r="I317" s="9" t="s">
        <v>443</v>
      </c>
      <c r="J317" s="9" t="s">
        <v>443</v>
      </c>
      <c r="K317" s="9">
        <v>143</v>
      </c>
      <c r="M317" s="123"/>
      <c r="N317" s="9"/>
      <c r="O317" s="9"/>
      <c r="P317" s="9"/>
      <c r="Q317" s="9"/>
      <c r="R317" s="9"/>
      <c r="S317" s="9"/>
      <c r="T317" s="9"/>
      <c r="U317" s="9"/>
      <c r="V317" s="9"/>
    </row>
    <row r="318" spans="1:24" ht="15" customHeight="1" x14ac:dyDescent="0.25">
      <c r="A318" s="67"/>
      <c r="B318" s="68" t="s">
        <v>20</v>
      </c>
      <c r="C318" s="9">
        <v>70</v>
      </c>
      <c r="D318" s="9" t="s">
        <v>443</v>
      </c>
      <c r="E318" s="9">
        <v>2</v>
      </c>
      <c r="F318" s="9">
        <v>22</v>
      </c>
      <c r="G318" s="9">
        <v>12</v>
      </c>
      <c r="H318" s="9" t="s">
        <v>443</v>
      </c>
      <c r="I318" s="9" t="s">
        <v>443</v>
      </c>
      <c r="J318" s="9" t="s">
        <v>443</v>
      </c>
      <c r="K318" s="9">
        <v>114</v>
      </c>
      <c r="M318" s="123"/>
      <c r="N318" s="9"/>
      <c r="O318" s="9"/>
      <c r="P318" s="9"/>
      <c r="Q318" s="9"/>
      <c r="R318" s="9"/>
      <c r="S318" s="9"/>
      <c r="T318" s="9"/>
      <c r="U318" s="9"/>
      <c r="V318" s="9"/>
    </row>
    <row r="319" spans="1:24" ht="15" customHeight="1" x14ac:dyDescent="0.25">
      <c r="A319" s="67"/>
      <c r="B319" s="68" t="s">
        <v>21</v>
      </c>
      <c r="C319" s="9">
        <v>7</v>
      </c>
      <c r="D319" s="9" t="s">
        <v>443</v>
      </c>
      <c r="E319" s="9">
        <v>1</v>
      </c>
      <c r="F319" s="9" t="s">
        <v>146</v>
      </c>
      <c r="G319" s="9">
        <v>1</v>
      </c>
      <c r="H319" s="9" t="s">
        <v>146</v>
      </c>
      <c r="I319" s="9" t="s">
        <v>146</v>
      </c>
      <c r="J319" s="9" t="s">
        <v>146</v>
      </c>
      <c r="K319" s="9">
        <v>9</v>
      </c>
      <c r="M319" s="123"/>
      <c r="N319" s="9"/>
      <c r="O319" s="78"/>
      <c r="P319" s="78"/>
      <c r="Q319" s="78"/>
      <c r="R319" s="78"/>
      <c r="S319" s="78"/>
      <c r="T319" s="78"/>
      <c r="U319" s="78"/>
      <c r="V319" s="9"/>
    </row>
    <row r="320" spans="1:24" ht="15" customHeight="1" x14ac:dyDescent="0.25">
      <c r="A320" s="67"/>
      <c r="B320" s="69" t="s">
        <v>12</v>
      </c>
      <c r="C320" s="102">
        <v>143</v>
      </c>
      <c r="D320" s="102">
        <v>4</v>
      </c>
      <c r="E320" s="102">
        <v>11</v>
      </c>
      <c r="F320" s="102">
        <v>74</v>
      </c>
      <c r="G320" s="102">
        <v>26</v>
      </c>
      <c r="H320" s="102" t="s">
        <v>443</v>
      </c>
      <c r="I320" s="102" t="s">
        <v>443</v>
      </c>
      <c r="J320" s="102">
        <v>1</v>
      </c>
      <c r="K320" s="102">
        <v>266</v>
      </c>
      <c r="M320" s="123"/>
      <c r="N320" s="9"/>
      <c r="O320" s="9"/>
      <c r="P320" s="9"/>
      <c r="Q320" s="9"/>
      <c r="R320" s="9"/>
      <c r="S320" s="9"/>
      <c r="T320" s="9"/>
      <c r="U320" s="9"/>
      <c r="V320" s="9"/>
    </row>
    <row r="321" spans="1:22" ht="15" customHeight="1" x14ac:dyDescent="0.25">
      <c r="A321" s="69" t="s">
        <v>12</v>
      </c>
      <c r="B321" s="68" t="s">
        <v>19</v>
      </c>
      <c r="C321" s="9">
        <v>260</v>
      </c>
      <c r="D321" s="9">
        <v>2</v>
      </c>
      <c r="E321" s="9">
        <v>42</v>
      </c>
      <c r="F321" s="9">
        <v>148</v>
      </c>
      <c r="G321" s="9">
        <v>29</v>
      </c>
      <c r="H321" s="9" t="s">
        <v>443</v>
      </c>
      <c r="I321" s="9" t="s">
        <v>443</v>
      </c>
      <c r="J321" s="9">
        <v>6</v>
      </c>
      <c r="K321" s="9">
        <v>497</v>
      </c>
      <c r="M321" s="123"/>
      <c r="N321" s="9"/>
      <c r="O321" s="9"/>
      <c r="P321" s="9"/>
      <c r="Q321" s="9"/>
      <c r="R321" s="9"/>
      <c r="S321" s="9"/>
      <c r="T321" s="9"/>
      <c r="U321" s="9"/>
      <c r="V321" s="9"/>
    </row>
    <row r="322" spans="1:22" ht="15" customHeight="1" x14ac:dyDescent="0.25">
      <c r="A322" s="69"/>
      <c r="B322" s="68" t="s">
        <v>20</v>
      </c>
      <c r="C322" s="9">
        <v>335</v>
      </c>
      <c r="D322" s="9">
        <v>27</v>
      </c>
      <c r="E322" s="9">
        <v>34</v>
      </c>
      <c r="F322" s="9">
        <v>68</v>
      </c>
      <c r="G322" s="9">
        <v>40</v>
      </c>
      <c r="H322" s="9" t="s">
        <v>443</v>
      </c>
      <c r="I322" s="9" t="s">
        <v>443</v>
      </c>
      <c r="J322" s="9">
        <v>1</v>
      </c>
      <c r="K322" s="9">
        <v>522</v>
      </c>
      <c r="M322" s="123"/>
      <c r="N322" s="9"/>
      <c r="O322" s="9"/>
      <c r="P322" s="9"/>
      <c r="Q322" s="9"/>
      <c r="R322" s="9"/>
      <c r="S322" s="9"/>
      <c r="T322" s="9"/>
      <c r="U322" s="9"/>
      <c r="V322" s="9"/>
    </row>
    <row r="323" spans="1:22" ht="15" customHeight="1" x14ac:dyDescent="0.25">
      <c r="A323" s="69"/>
      <c r="B323" s="68" t="s">
        <v>21</v>
      </c>
      <c r="C323" s="9">
        <v>40</v>
      </c>
      <c r="D323" s="48" t="s">
        <v>146</v>
      </c>
      <c r="E323" s="9">
        <v>2</v>
      </c>
      <c r="F323" s="48" t="s">
        <v>146</v>
      </c>
      <c r="G323" s="78">
        <v>1</v>
      </c>
      <c r="H323" s="9" t="s">
        <v>146</v>
      </c>
      <c r="I323" s="9" t="s">
        <v>146</v>
      </c>
      <c r="J323" s="9">
        <v>1</v>
      </c>
      <c r="K323" s="9">
        <v>44</v>
      </c>
      <c r="M323" s="123"/>
      <c r="N323" s="9"/>
      <c r="O323" s="78"/>
      <c r="P323" s="9"/>
      <c r="Q323" s="78"/>
      <c r="R323" s="78"/>
      <c r="S323" s="78"/>
      <c r="T323" s="78"/>
      <c r="U323" s="9"/>
      <c r="V323" s="9"/>
    </row>
    <row r="324" spans="1:22" ht="15" customHeight="1" x14ac:dyDescent="0.25">
      <c r="A324" s="69"/>
      <c r="B324" s="69" t="s">
        <v>12</v>
      </c>
      <c r="C324" s="102">
        <v>635</v>
      </c>
      <c r="D324" s="102">
        <v>29</v>
      </c>
      <c r="E324" s="102">
        <v>78</v>
      </c>
      <c r="F324" s="102">
        <v>216</v>
      </c>
      <c r="G324" s="102">
        <v>70</v>
      </c>
      <c r="H324" s="102">
        <v>9</v>
      </c>
      <c r="I324" s="102">
        <v>18</v>
      </c>
      <c r="J324" s="102">
        <v>8</v>
      </c>
      <c r="K324" s="102">
        <v>1063</v>
      </c>
      <c r="M324" s="123"/>
      <c r="N324" s="9"/>
      <c r="O324" s="9"/>
      <c r="P324" s="9"/>
      <c r="Q324" s="9"/>
      <c r="R324" s="9"/>
      <c r="S324" s="9"/>
      <c r="T324" s="9"/>
      <c r="U324" s="9"/>
      <c r="V324" s="9"/>
    </row>
    <row r="325" spans="1:22" ht="2.25" customHeight="1" x14ac:dyDescent="0.25">
      <c r="A325" s="43"/>
      <c r="B325" s="43"/>
      <c r="C325" s="84"/>
      <c r="D325" s="84"/>
      <c r="E325" s="84"/>
      <c r="F325" s="84"/>
      <c r="G325" s="84"/>
      <c r="H325" s="84"/>
      <c r="I325" s="84"/>
      <c r="J325" s="84"/>
      <c r="K325" s="84"/>
    </row>
    <row r="326" spans="1:22" ht="12" customHeight="1" x14ac:dyDescent="0.25">
      <c r="A326" s="7" t="s">
        <v>252</v>
      </c>
    </row>
    <row r="327" spans="1:22" ht="12.75" customHeight="1" x14ac:dyDescent="0.25">
      <c r="A327" s="7" t="s">
        <v>103</v>
      </c>
      <c r="B327" s="7"/>
      <c r="C327" s="85"/>
      <c r="D327" s="85"/>
      <c r="E327" s="85"/>
      <c r="F327" s="85"/>
      <c r="G327" s="85"/>
      <c r="H327" s="85"/>
      <c r="I327" s="85"/>
      <c r="J327" s="85"/>
      <c r="K327" s="85"/>
    </row>
    <row r="328" spans="1:22" s="7" customFormat="1" ht="11.1" customHeight="1" x14ac:dyDescent="0.15">
      <c r="C328" s="85"/>
      <c r="D328" s="85"/>
      <c r="E328" s="85"/>
      <c r="F328" s="85"/>
      <c r="G328" s="85"/>
      <c r="H328" s="85"/>
      <c r="I328" s="85"/>
      <c r="J328" s="85"/>
      <c r="K328" s="85"/>
    </row>
    <row r="329" spans="1:22" s="7" customFormat="1" ht="11.1" customHeight="1" x14ac:dyDescent="0.15">
      <c r="A329" s="7" t="s">
        <v>347</v>
      </c>
      <c r="C329" s="85"/>
      <c r="D329" s="85"/>
      <c r="E329" s="85"/>
      <c r="F329" s="85"/>
      <c r="G329" s="85"/>
      <c r="H329" s="85"/>
      <c r="I329" s="85"/>
      <c r="J329" s="85"/>
      <c r="K329" s="85"/>
    </row>
    <row r="330" spans="1:22" ht="12" customHeight="1" x14ac:dyDescent="0.25">
      <c r="A330" s="2"/>
    </row>
  </sheetData>
  <mergeCells count="15">
    <mergeCell ref="A197:K197"/>
    <mergeCell ref="A175:K175"/>
    <mergeCell ref="A153:K153"/>
    <mergeCell ref="A132:K132"/>
    <mergeCell ref="A1:K1"/>
    <mergeCell ref="A110:K110"/>
    <mergeCell ref="A89:K89"/>
    <mergeCell ref="A66:K66"/>
    <mergeCell ref="A45:K45"/>
    <mergeCell ref="A22:K22"/>
    <mergeCell ref="A309:K309"/>
    <mergeCell ref="A287:K287"/>
    <mergeCell ref="A263:K263"/>
    <mergeCell ref="A241:K241"/>
    <mergeCell ref="A219:K219"/>
  </mergeCells>
  <conditionalFormatting sqref="D313:D314">
    <cfRule type="cellIs" dxfId="3" priority="7" operator="lessThan">
      <formula>5</formula>
    </cfRule>
  </conditionalFormatting>
  <conditionalFormatting sqref="D317:D319">
    <cfRule type="cellIs" dxfId="2" priority="1" operator="lessThan">
      <formula>5</formula>
    </cfRule>
  </conditionalFormatting>
  <conditionalFormatting sqref="H313:J314">
    <cfRule type="cellIs" dxfId="1" priority="15" operator="lessThan">
      <formula>5</formula>
    </cfRule>
  </conditionalFormatting>
  <conditionalFormatting sqref="H317:J319">
    <cfRule type="cellIs" dxfId="0" priority="3" operator="lessThan">
      <formula>5</formula>
    </cfRule>
  </conditionalFormatting>
  <pageMargins left="0.08" right="0.08" top="1" bottom="1" header="0.5" footer="0.5"/>
  <pageSetup orientation="landscape" blackAndWhite="1"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51E28ABE109934E8EA3D483DBEDA3FE" ma:contentTypeVersion="1" ma:contentTypeDescription="Create a new data object document." ma:contentTypeScope="" ma:versionID="caf4e9fcbb7e1d35ec9b882f3779a9ff">
  <xsd:schema xmlns:xsd="http://www.w3.org/2001/XMLSchema" xmlns:xs="http://www.w3.org/2001/XMLSchema" xmlns:p="http://schemas.microsoft.com/office/2006/metadata/properties" xmlns:ns2="f3f4cf65-69e8-4317-9b9f-5948cc4bd257" targetNamespace="http://schemas.microsoft.com/office/2006/metadata/properties" ma:root="true" ma:fieldsID="53752c5a13bab9259417d183a7287b68" ns2:_="">
    <xsd:import namespace="f3f4cf65-69e8-4317-9b9f-5948cc4bd257"/>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4cf65-69e8-4317-9b9f-5948cc4bd257"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a84455-29a1-4e7a-a3a1-ba55714ba46b}" ma:internalName="AIHW_PPR_ProjectCategoryLookup" ma:showField="Title" ma:web="{f3f4cf65-69e8-4317-9b9f-5948cc4bd257}">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f3f4cf65-69e8-4317-9b9f-5948cc4bd257"/>
    <AIHW_PPR_Checksum xmlns="f3f4cf65-69e8-4317-9b9f-5948cc4bd257" xsi:nil="true"/>
    <AIHW_PPR_AnalysisFileRunBy xmlns="f3f4cf65-69e8-4317-9b9f-5948cc4bd257">
      <UserInfo>
        <DisplayName/>
        <AccountId xsi:nil="true"/>
        <AccountType/>
      </UserInfo>
    </AIHW_PPR_AnalysisFileRunBy>
    <AIHW_PPR_AnalysisFilePath xmlns="f3f4cf65-69e8-4317-9b9f-5948cc4bd257" xsi:nil="true"/>
    <AIHW_PPR_AnalysisFileVersion xmlns="f3f4cf65-69e8-4317-9b9f-5948cc4bd257" xsi:nil="true"/>
    <AIHW_PPR_AnalysisFileRunDate xmlns="f3f4cf65-69e8-4317-9b9f-5948cc4bd257" xsi:nil="true"/>
    <AIHW_PPR_AnalysisFileSessionId xmlns="f3f4cf65-69e8-4317-9b9f-5948cc4bd257" xsi:nil="true"/>
  </documentManagement>
</p:properties>
</file>

<file path=customXml/itemProps1.xml><?xml version="1.0" encoding="utf-8"?>
<ds:datastoreItem xmlns:ds="http://schemas.openxmlformats.org/officeDocument/2006/customXml" ds:itemID="{42491A79-B398-4F0A-8919-6D7B72C14C2E}">
  <ds:schemaRefs>
    <ds:schemaRef ds:uri="http://schemas.microsoft.com/sharepoint/v3/contenttype/forms"/>
  </ds:schemaRefs>
</ds:datastoreItem>
</file>

<file path=customXml/itemProps2.xml><?xml version="1.0" encoding="utf-8"?>
<ds:datastoreItem xmlns:ds="http://schemas.openxmlformats.org/officeDocument/2006/customXml" ds:itemID="{F3A0C678-1439-498A-AEEF-16FEBF0AAD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4cf65-69e8-4317-9b9f-5948cc4bd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B0A148-D2DA-4799-9A2C-46931591F3C2}">
  <ds:schemaRefs>
    <ds:schemaRef ds:uri="http://purl.org/dc/dcmitype/"/>
    <ds:schemaRef ds:uri="http://schemas.openxmlformats.org/package/2006/metadata/core-properties"/>
    <ds:schemaRef ds:uri="http://purl.org/dc/elements/1.1/"/>
    <ds:schemaRef ds:uri="http://schemas.microsoft.com/office/2006/documentManagement/types"/>
    <ds:schemaRef ds:uri="http://www.w3.org/XML/1998/namespace"/>
    <ds:schemaRef ds:uri="f3f4cf65-69e8-4317-9b9f-5948cc4bd257"/>
    <ds:schemaRef ds:uri="http://purl.org/dc/term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Contents</vt:lpstr>
      <vt:lpstr>Notes and symbols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tables—Characteristics of young people under supervision: S1 to S33</dc:title>
  <dc:creator>AIHW</dc:creator>
  <dcterms:created xsi:type="dcterms:W3CDTF">2023-10-03T00:07:42Z</dcterms:created>
  <dcterms:modified xsi:type="dcterms:W3CDTF">2026-05-12T01:47:12Z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0x010100B4A1F787F0C441AC878A307E051D262E00226E8B188E214B8AB06D165B586CEFC300051E28ABE109934E8EA3D483DBEDA3FE</vt:lpwstr>
  </property>
</Properties>
</file>