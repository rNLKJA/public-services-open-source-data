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chwarts\Downloads\"/>
    </mc:Choice>
  </mc:AlternateContent>
  <xr:revisionPtr revIDLastSave="0" documentId="8_{F2111C95-E0FA-4C04-A32E-35BAB75990FB}" xr6:coauthVersionLast="47" xr6:coauthVersionMax="47" xr10:uidLastSave="{00000000-0000-0000-0000-000000000000}"/>
  <bookViews>
    <workbookView xWindow="28680" yWindow="-120" windowWidth="29040" windowHeight="15720" xr2:uid="{00000000-000D-0000-FFFF-FFFF00000000}"/>
  </bookViews>
  <sheets>
    <sheet name="Contents" sheetId="1" r:id="rId1"/>
    <sheet name="Notes and symbols" sheetId="40" r:id="rId2"/>
    <sheet name="Table S34" sheetId="2" r:id="rId3"/>
    <sheet name="Table S35" sheetId="3" r:id="rId4"/>
    <sheet name="Table S36" sheetId="4" r:id="rId5"/>
    <sheet name="Table S37" sheetId="5" r:id="rId6"/>
    <sheet name="Table S38" sheetId="6" r:id="rId7"/>
    <sheet name="Table S39" sheetId="7" r:id="rId8"/>
    <sheet name="Table S40" sheetId="8" r:id="rId9"/>
    <sheet name="Table S41" sheetId="9" r:id="rId10"/>
    <sheet name="Table S42" sheetId="10" r:id="rId11"/>
    <sheet name="Table S43" sheetId="11" r:id="rId12"/>
    <sheet name="Table S44" sheetId="12" r:id="rId13"/>
    <sheet name="Table S45" sheetId="13" r:id="rId14"/>
    <sheet name="Table S46" sheetId="14" r:id="rId15"/>
    <sheet name="Table S47" sheetId="15" r:id="rId16"/>
    <sheet name="Table S48" sheetId="16" r:id="rId17"/>
    <sheet name="Table S49" sheetId="17" r:id="rId18"/>
    <sheet name="Table S50" sheetId="18" r:id="rId19"/>
    <sheet name="Table S51" sheetId="19" r:id="rId20"/>
    <sheet name="Table S52" sheetId="20" r:id="rId21"/>
    <sheet name="Table S53" sheetId="21" r:id="rId22"/>
    <sheet name="Table S54" sheetId="22" r:id="rId23"/>
    <sheet name="Table S55" sheetId="23" r:id="rId24"/>
    <sheet name="Table S56" sheetId="24" r:id="rId25"/>
    <sheet name="Table S57" sheetId="25" r:id="rId26"/>
    <sheet name="Table S58" sheetId="26" r:id="rId27"/>
    <sheet name="Table S59" sheetId="27" r:id="rId28"/>
    <sheet name="Table S60" sheetId="28" r:id="rId29"/>
    <sheet name="Table S61" sheetId="29" r:id="rId30"/>
    <sheet name="Table S62" sheetId="30" r:id="rId31"/>
    <sheet name="Table S63" sheetId="31" r:id="rId32"/>
    <sheet name="Table S64" sheetId="32" r:id="rId33"/>
    <sheet name="Table S65" sheetId="33" r:id="rId34"/>
    <sheet name="Table S66" sheetId="34" r:id="rId35"/>
    <sheet name="Table S67" sheetId="35" r:id="rId36"/>
    <sheet name="Table S68" sheetId="36" r:id="rId37"/>
    <sheet name="Table S69" sheetId="37" r:id="rId38"/>
    <sheet name="Table S70" sheetId="38" r:id="rId39"/>
    <sheet name="Table S71" sheetId="39" r:id="rId4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4" i="14" l="1"/>
  <c r="O44" i="14"/>
  <c r="P44" i="14"/>
  <c r="Q44" i="14"/>
  <c r="R44" i="14"/>
  <c r="S44" i="14"/>
  <c r="T44" i="14"/>
  <c r="U44" i="14"/>
  <c r="V44" i="14"/>
  <c r="W44" i="14"/>
  <c r="N49" i="6"/>
  <c r="M47" i="3"/>
  <c r="N47" i="3"/>
  <c r="O47" i="3"/>
  <c r="P47" i="3"/>
  <c r="Q47" i="3"/>
  <c r="R47" i="3"/>
  <c r="S47" i="3"/>
  <c r="T47" i="3"/>
  <c r="U47" i="3"/>
  <c r="V44" i="15"/>
  <c r="T44" i="15"/>
  <c r="S44" i="15"/>
  <c r="R44" i="15"/>
  <c r="Q44" i="15"/>
  <c r="N44" i="15"/>
  <c r="O44" i="15"/>
  <c r="P44" i="15"/>
  <c r="U44" i="15"/>
  <c r="W44" i="15"/>
  <c r="Q19" i="10"/>
  <c r="P19" i="10"/>
  <c r="O19" i="10"/>
  <c r="N19" i="10"/>
  <c r="R19" i="10"/>
  <c r="S19" i="10"/>
  <c r="T19" i="10"/>
  <c r="U19" i="10"/>
  <c r="M19" i="10"/>
  <c r="P48" i="4"/>
  <c r="O48" i="4"/>
  <c r="N48" i="4"/>
  <c r="Q48" i="4"/>
  <c r="R48" i="4"/>
  <c r="S48" i="4"/>
  <c r="T48" i="4"/>
  <c r="U48" i="4"/>
  <c r="M48" i="4"/>
  <c r="M70" i="8"/>
  <c r="K11" i="39" l="1"/>
</calcChain>
</file>

<file path=xl/sharedStrings.xml><?xml version="1.0" encoding="utf-8"?>
<sst xmlns="http://schemas.openxmlformats.org/spreadsheetml/2006/main" count="5467" uniqueCount="410">
  <si>
    <t>NSW</t>
  </si>
  <si>
    <t>Vic</t>
  </si>
  <si>
    <t>Qld</t>
  </si>
  <si>
    <t>WA</t>
  </si>
  <si>
    <t>SA</t>
  </si>
  <si>
    <t>Tas</t>
  </si>
  <si>
    <t>ACT</t>
  </si>
  <si>
    <t>NT</t>
  </si>
  <si>
    <t>Australia</t>
  </si>
  <si>
    <t>10–17</t>
  </si>
  <si>
    <t>18+</t>
  </si>
  <si>
    <t>Total</t>
  </si>
  <si>
    <t>(a) Number of young people on an average day may not sum to total due to rounding.</t>
  </si>
  <si>
    <t>— represents zero or rounded to zero</t>
  </si>
  <si>
    <t xml:space="preserve"> </t>
  </si>
  <si>
    <t>10–13</t>
  </si>
  <si>
    <t>All</t>
  </si>
  <si>
    <t>Male</t>
  </si>
  <si>
    <t>First Nations</t>
  </si>
  <si>
    <t>Non-Indigenous</t>
  </si>
  <si>
    <t>Not stated</t>
  </si>
  <si>
    <t>Female</t>
  </si>
  <si>
    <t>Note: Age calculated as at start of financial year if first period of supervision in the relevant year began before the start of the financial year, otherwise age calculated as at start of first period of supervision in the relevant year.</t>
  </si>
  <si>
    <t>Notes</t>
  </si>
  <si>
    <t>1. Rates are number of young people per 10,000 relevant population.</t>
  </si>
  <si>
    <t>2. Rates are not published where there were fewer than five young people.</t>
  </si>
  <si>
    <t>3.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</si>
  <si>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3. Age calculated as at start of financial year if first period of community-based supervision in the relevant year began before the start of the financial year, otherwise age calculated as at start of first period of community-based supervision in the relevant year.</t>
  </si>
  <si>
    <t>1. Total includes young people with unknown age.</t>
  </si>
  <si>
    <t>2.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</si>
  <si>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2. Age calculated as at start of financial year if first period of community-based supervision in the relevant year began before the start of the financial year, otherwise age calculated as at start of first period of community-based supervision in the relevant year.</t>
  </si>
  <si>
    <t>1.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</si>
  <si>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2. Rates are number of young people per 10,000 relevant population.</t>
  </si>
  <si>
    <t>3. Rates are not published where there were fewer than five young people.</t>
  </si>
  <si>
    <t>1. Age calculated as at start of financial year if first period of community-based supervision in the relevant year began before the start of the financial year, otherwise age calculated as at start of first period of community-based supervision in the relevant year.</t>
  </si>
  <si>
    <t>18+ years</t>
  </si>
  <si>
    <t>2. Trend data may differ from those previously published due to data revisions.</t>
  </si>
  <si>
    <t>3. Rates are number of young people per 10,000 relevant population.</t>
  </si>
  <si>
    <t>4. Rates are not published where there were fewer than five young people.</t>
  </si>
  <si>
    <t>Source: Tables S41a and S147</t>
  </si>
  <si>
    <t>Source: Tables S41b and S147</t>
  </si>
  <si>
    <t>1. Trend data may differ from those previously published due to data revisions.</t>
  </si>
  <si>
    <t>Note: Trend data may differ from those previously published due to data revisions.</t>
  </si>
  <si>
    <t>4.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</si>
  <si>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First year of supervision</t>
  </si>
  <si>
    <t>Previously supervised</t>
  </si>
  <si>
    <t>2. Age calculated as at start of first supervision period.</t>
  </si>
  <si>
    <t>1. Total includes young people with unknown date of first supervision.</t>
  </si>
  <si>
    <t>1. Some young people excluded due to missing or invalid postcodes or because the postcode was not listed in the Remoteness areas correspondence file.</t>
  </si>
  <si>
    <t>2. Some remoteness areas are not found in all states and territories.</t>
  </si>
  <si>
    <t>Note: Some young people excluded due to missing or invalid postcodes or because the postcode was not listed in the SEIFA file.</t>
  </si>
  <si>
    <t>1. Some young people excluded due to missing or invalid postcodes or because the postcode was not listed in the SEIFA file.</t>
  </si>
  <si>
    <t>2.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</si>
  <si>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3. SEIFA quintiles are calculated based on postcodes across the whole of Australia, and therefore some socioeconomic areas are not found in all states and territories.</t>
  </si>
  <si>
    <t>Supervised and conditional bail and other unsentenced</t>
  </si>
  <si>
    <t>Probation and similar</t>
  </si>
  <si>
    <t>Suspended detention</t>
  </si>
  <si>
    <t>Home detention</t>
  </si>
  <si>
    <t>Parole and supervised release</t>
  </si>
  <si>
    <t>Other sentenced orders</t>
  </si>
  <si>
    <t>Community service</t>
  </si>
  <si>
    <t>Other orders nec</t>
  </si>
  <si>
    <t>Total young people</t>
  </si>
  <si>
    <t>6+</t>
  </si>
  <si>
    <t>1. Median lengths were not calculated where there were fewer than five periods.</t>
  </si>
  <si>
    <t>3. In Tasmania sentenced community supervision orders are generally specified by the courts to default to 12 months in length, which has the effect of increasing the length of supervision for Tasmania.</t>
  </si>
  <si>
    <t>2. Total includes young people of unknown sex.</t>
  </si>
  <si>
    <t>3. Trend data may differ from those previously published due to data revisions.</t>
  </si>
  <si>
    <t>4. In Tasmania sentenced community supervision orders are generally specified by the courts to default to 12 months in length, which has the effect of increasing the length of supervision for Tasmania.</t>
  </si>
  <si>
    <t>Unsentenced</t>
  </si>
  <si>
    <t>Sentenced</t>
  </si>
  <si>
    <t>Other</t>
  </si>
  <si>
    <t>Note: Number of unsentenced and sentenced young people on an average day may not sum to total number of young people as young people may have changed legal status during the same day, or been on both types of orders at the same time.</t>
  </si>
  <si>
    <t>1. Number of unsentenced and sentenced young people on an average day may not sum to total number of young people as young people may have changed legal status during the same day, or been on both types of orders at the same time.</t>
  </si>
  <si>
    <t>3. ‘All young people’ includes young people with an order type of ‘other’.</t>
  </si>
  <si>
    <t>122+ days (4+ months)</t>
  </si>
  <si>
    <t>1. Some types of supervision are not available in some states and territories.</t>
  </si>
  <si>
    <t>2. This data should be interpreted with caution due to inconsistencies in breach practices and recording of breaches across Tasmania.</t>
  </si>
  <si>
    <t>91–182 days (3-&lt;6 months)</t>
  </si>
  <si>
    <t>183–273 days (6-&lt;9 months)</t>
  </si>
  <si>
    <t>274–364 days (9-&lt;12 months)</t>
  </si>
  <si>
    <t>365+ days (12+ months)</t>
  </si>
  <si>
    <t>Notes and Symbols</t>
  </si>
  <si>
    <t>Supplementary tables—Characteristics of young people under community-based supervision: S34 to S71</t>
  </si>
  <si>
    <t>Age, sex and Indigenous status</t>
  </si>
  <si>
    <t>Trends</t>
  </si>
  <si>
    <t>First supervision</t>
  </si>
  <si>
    <t>Remoteness</t>
  </si>
  <si>
    <t>Socioeconomic position of usual residence</t>
  </si>
  <si>
    <t>Orders and community-based supervision periods</t>
  </si>
  <si>
    <t>Abbreviations</t>
  </si>
  <si>
    <t>ABS</t>
  </si>
  <si>
    <t>Australian Bureau of Statistics</t>
  </si>
  <si>
    <t>Australian Capital Territory</t>
  </si>
  <si>
    <t>AIHW</t>
  </si>
  <si>
    <t>Australian Institute of Health and Welfare</t>
  </si>
  <si>
    <t>Aust</t>
  </si>
  <si>
    <t>YJ NMDS</t>
  </si>
  <si>
    <t>Youth Justice National Minimum Data Set</t>
  </si>
  <si>
    <t>New South Wales</t>
  </si>
  <si>
    <t>Northern Territory</t>
  </si>
  <si>
    <t>Queensland</t>
  </si>
  <si>
    <t>South Australia</t>
  </si>
  <si>
    <t>SEIFA</t>
  </si>
  <si>
    <t>Socio–Economic Indexes for Areas</t>
  </si>
  <si>
    <t>Tasmania</t>
  </si>
  <si>
    <t>Victoria</t>
  </si>
  <si>
    <t>Western Australia</t>
  </si>
  <si>
    <t>Symbols</t>
  </si>
  <si>
    <t>—</t>
  </si>
  <si>
    <t>zero</t>
  </si>
  <si>
    <t>rounded to zero</t>
  </si>
  <si>
    <t>. .</t>
  </si>
  <si>
    <t>not applicable</t>
  </si>
  <si>
    <t>n.a.</t>
  </si>
  <si>
    <t>not available</t>
  </si>
  <si>
    <t>n.p.</t>
  </si>
  <si>
    <t>not published due to small numbers, confidentiality, and/or reliability concerns</t>
  </si>
  <si>
    <t>References</t>
  </si>
  <si>
    <t>Sex</t>
  </si>
  <si>
    <t>Indigenous status</t>
  </si>
  <si>
    <t>Age group</t>
  </si>
  <si>
    <t>Year</t>
  </si>
  <si>
    <t>Supervision</t>
  </si>
  <si>
    <r>
      <t>Number of young people–average day</t>
    </r>
    <r>
      <rPr>
        <b/>
        <vertAlign val="superscript"/>
        <sz val="8"/>
        <color rgb="FF000000"/>
        <rFont val="Arial"/>
        <family val="2"/>
      </rPr>
      <t>(a)</t>
    </r>
  </si>
  <si>
    <t>Orders</t>
  </si>
  <si>
    <t>Order type</t>
  </si>
  <si>
    <t>No. completed periods</t>
  </si>
  <si>
    <t>Median length of completed periods (days during the year)</t>
  </si>
  <si>
    <t>Median length of  completed periods (days for total period)</t>
  </si>
  <si>
    <t>Number of completed periods of supervision</t>
  </si>
  <si>
    <t>Number of young people who completed a period during the year</t>
  </si>
  <si>
    <t>Legal status</t>
  </si>
  <si>
    <t>1. The average daily population of young people under community-based supervision and in detention may not sum to the total average daily population under supervision because a young person may move between community-based supervision and detention on the same day.</t>
  </si>
  <si>
    <t>2. Age on an average day is calculated based on the age a young person is each day that they are under supervision. If a young person changes age during a period of supervision, then the average daily number under supervision will reflect this. Average daily data broken down by age will not be comparable to Youth justice in Australia releases prior to 2019–20.</t>
  </si>
  <si>
    <t>3. For 'during the year' (or unique) counts, age is calculated at the start of the first period of relevant supervision. If the first period of relevant supervision began before the financial year, then age is calculated at the start of the financial year. A young person may therefore be included in one age category for one type of supervision and in another age category for a different type of supervision (for example, 15 years old for community-based supervision and 16 years old for detention).</t>
  </si>
  <si>
    <t>4. Unless otherwise specified, tables present data that relate to young people aged 10 and over under youth justice supervision.</t>
  </si>
  <si>
    <t>7. AIHW uses 'First Nations people' to refer to Aboriginal and Torres Strait Islander people in this report.</t>
  </si>
  <si>
    <t>Age</t>
  </si>
  <si>
    <t>1. Total includes young people of unknown age and Indigenous status.</t>
  </si>
  <si>
    <t>1. Total includes young people with unknown date of first supervision and Indigenous status.</t>
  </si>
  <si>
    <t>2. Age calculated as at start of financial year if first period of community–based supervision in the relevant year began before the start of the financial year, otherwise age calculated as at start of first period of community–based supervision in the relevant year.</t>
  </si>
  <si>
    <t>10–13 years</t>
  </si>
  <si>
    <t>14–17 years</t>
  </si>
  <si>
    <t>10–17 years</t>
  </si>
  <si>
    <t>2018–19</t>
  </si>
  <si>
    <t>2019–20</t>
  </si>
  <si>
    <t>2020–21</t>
  </si>
  <si>
    <t>2021–22</t>
  </si>
  <si>
    <t>2022–23</t>
  </si>
  <si>
    <t>2016–17</t>
  </si>
  <si>
    <t>2017–18</t>
  </si>
  <si>
    <t>4. Age calculated as at start of financial year if first period of community–based supervision in the relevant year began before the start of the financial year, otherwise age calculated as at start of first period of community–based supervision in the relevant year.</t>
  </si>
  <si>
    <t>1. Average duration calculated from the summed length of periods of community–based supervision that occurred within the financial year.</t>
  </si>
  <si>
    <t>0–29 days (&lt;1 month)</t>
  </si>
  <si>
    <t>0–90 days (&lt;3 months)</t>
  </si>
  <si>
    <t>Duration</t>
  </si>
  <si>
    <t>30–60 days (1-&lt;2 months)</t>
  </si>
  <si>
    <t>61–90 days (2-&lt;3 months)</t>
  </si>
  <si>
    <t>91–121 days (3-&lt;4 months)</t>
  </si>
  <si>
    <t>Number of successfully completed orders</t>
  </si>
  <si>
    <t>Number of orders ended during the year</t>
  </si>
  <si>
    <t>Number of breached orders</t>
  </si>
  <si>
    <t>Major cities of Australia</t>
  </si>
  <si>
    <t>Inner regional Australia</t>
  </si>
  <si>
    <t>Outer regional Australia</t>
  </si>
  <si>
    <t>Remote Australia</t>
  </si>
  <si>
    <t>Very remote Australia</t>
  </si>
  <si>
    <t>Total under community-based supervision</t>
  </si>
  <si>
    <t>Remoteness area</t>
  </si>
  <si>
    <t>1 (lowest)</t>
  </si>
  <si>
    <t>5 (highest)</t>
  </si>
  <si>
    <t>Socioeconomic areas</t>
  </si>
  <si>
    <t>4. Age calculated as at start of financial year if first period of community-based supervision in the relevant year began before the start of the financial year, otherwise age calculated as at start of first period of community-based supervision in the relevant year.</t>
  </si>
  <si>
    <t>5.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</si>
  <si>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6. SEIFA quintiles are calculated based on postcodes across the whole of Australia, and therefore some socioeconomic areas are not found in all states and territories.</t>
  </si>
  <si>
    <r>
      <t xml:space="preserve">5. For information about the impacts of COVID-19 on population data, please see Box 1 in </t>
    </r>
    <r>
      <rPr>
        <i/>
        <sz val="11"/>
        <color theme="1"/>
        <rFont val="Arial"/>
        <family val="2"/>
      </rPr>
      <t>Youth justice in Australia 2020–21 Appendix 1: Data quality and technical notes.</t>
    </r>
  </si>
  <si>
    <r>
      <t xml:space="preserve">6. Historical data for the ACT has been suppressed and is not comparable to previous editions of </t>
    </r>
    <r>
      <rPr>
        <i/>
        <sz val="11"/>
        <color theme="1"/>
        <rFont val="Arial"/>
        <family val="2"/>
      </rPr>
      <t>Youth Justice in Australia</t>
    </r>
    <r>
      <rPr>
        <sz val="11"/>
        <color theme="1"/>
        <rFont val="Arial"/>
        <family val="2"/>
      </rPr>
      <t>.</t>
    </r>
  </si>
  <si>
    <t>Source: Tables S43a and S145.</t>
  </si>
  <si>
    <t>Source: Tables S43b and S145.</t>
  </si>
  <si>
    <t>Source: tables S59a and S149.</t>
  </si>
  <si>
    <t>Source: tables S59b and S149.</t>
  </si>
  <si>
    <t>3.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</si>
  <si>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4. SEIFA quintiles are calculated based on postcodes across the whole of Australia, and therefore some socioeconomic areas are not found in all states and territories.</t>
  </si>
  <si>
    <t>(b) Address data for young people known to Youth Justice in Tasmania is affected by data qaulity issues. Usual residence data should be interpreted with caution.</t>
  </si>
  <si>
    <t>(a) Address data for young people known to Youth Justice in Tasmania is affected by data qaulity issues. Usual residence data should be interpreted with caution.</t>
  </si>
  <si>
    <t xml:space="preserve">Notes: </t>
  </si>
  <si>
    <t>1. Age calculated as at start of financial year if first period of community—based supervision in the relevant year began before the start of the financial year, otherwise age calculated as at start of first period of community—based supervision in the relevant year.</t>
  </si>
  <si>
    <t>Notes:</t>
  </si>
  <si>
    <t>-</t>
  </si>
  <si>
    <t>2019-20</t>
  </si>
  <si>
    <t>2020-21</t>
  </si>
  <si>
    <t>2021-22</t>
  </si>
  <si>
    <t>2022-23</t>
  </si>
  <si>
    <t>2023-24</t>
  </si>
  <si>
    <t>2015-16</t>
  </si>
  <si>
    <t>2016-17</t>
  </si>
  <si>
    <t>2017-18</t>
  </si>
  <si>
    <t>2018-19</t>
  </si>
  <si>
    <t>Australia excl NT</t>
  </si>
  <si>
    <t xml:space="preserve">Note: </t>
  </si>
  <si>
    <t>10-13 years</t>
  </si>
  <si>
    <t>14-17 years</t>
  </si>
  <si>
    <t xml:space="preserve">First Nations </t>
  </si>
  <si>
    <t>Source: Tables S36a and S143</t>
  </si>
  <si>
    <t>5. In August 2023, the Northern Territory raised the minimum age of criminal responsibility from 10 to 12. The rates for the Northern Territory in 2023-24 are for young people aged 12-17.</t>
  </si>
  <si>
    <t>5. In November 2023, the Australian Capital Territory raised the minimum age of criminal responsibility from 10 to 12. The rates for the Australian Capital Territory in 2023-24 are for young people aged 12-17.</t>
  </si>
  <si>
    <t>Source: Tables S38a and S142</t>
  </si>
  <si>
    <t>Source: Tables S40a and S150</t>
  </si>
  <si>
    <t>(a) Number of young people on an average day not available for the Northern Territory in 2023-24. Northern Territory was removed from all years for this table to have a consistent timeseries.</t>
  </si>
  <si>
    <t>Source: tables S57a and S148</t>
  </si>
  <si>
    <t>Number of young people–during the year</t>
  </si>
  <si>
    <t>Source: Tables S65a and S143.</t>
  </si>
  <si>
    <t xml:space="preserve">n.p. Some cells are suppressed in this table to protect the confidentiality of young people. </t>
  </si>
  <si>
    <t xml:space="preserve">Notes </t>
  </si>
  <si>
    <t>2023–24</t>
  </si>
  <si>
    <t>3. In Tasmania, Parole is only applicable under the sentencing act of 1997.</t>
  </si>
  <si>
    <t>Table S34a: Young people under community-based supervision on an average day by age, states and territories, 2024-25</t>
  </si>
  <si>
    <t>Table S34b: Young people under community-based supervision during the year by age, states and territories, 2024-25</t>
  </si>
  <si>
    <t>Table S35a: Young people under community-based supervision on an average day by sex and Indigenous status, states and territories, 2024-25</t>
  </si>
  <si>
    <t>Table S35b: Young people under community-based supervision during the year by sex and Indigenous status, states and territories, 2024-25</t>
  </si>
  <si>
    <t>Table S36a: Young people aged 10–17 under community-based supervision on an average day by sex and Indigenous status, states and territories, 2024-25</t>
  </si>
  <si>
    <t>Table S36b: Young people aged 10–17 under community-based supervision during the year by sex and Indigenous status, states and territories, 2024-25</t>
  </si>
  <si>
    <t>Table S37a: Young people aged 10–17 under community-based supervision on an average day by sex and Indigenous status, states and territories, 2024-25 (rate)</t>
  </si>
  <si>
    <t>Table S37b: Young people aged 10–17 under community-based supervision during the year by sex and Indigenous status, states and territories, 2024-25 (rate)</t>
  </si>
  <si>
    <t>Table S38a: Young people under community-based supervision on an average day by age, sex and Indigenous, Australia, 2024-25</t>
  </si>
  <si>
    <t>Table S38b: Young people under community-based supervision during the year by age, sex and Indigenous, Australia, 2024-25</t>
  </si>
  <si>
    <t>Table S39a: Young people aged 10–17 under community-based supervision  on an average day by age, sex and Indigenous status, Australia, 2024-25 (rate)</t>
  </si>
  <si>
    <t>Table S39b: Young people aged 10–17 under community-based supervision during the year by age, sex and Indigenous status, Australia, 2024-25 (rate)</t>
  </si>
  <si>
    <t>Table S40a: Young people under community-based supervision on an average day by Indigenous status and age, states and territories, 2024-25</t>
  </si>
  <si>
    <t>Table S40b: Young people under community-based supervision during the year by Indigenous status and age, states and territories, 2024-25</t>
  </si>
  <si>
    <t>Table S40c: Young people under community-based supervision on an average day by Indigenous status and age, states and territories, 2024-25 (rate)</t>
  </si>
  <si>
    <t>Table S40d: Young people under community-based supervision during the year by Indigenous status and age, states and territories, 2024-25 (rate)</t>
  </si>
  <si>
    <t>Table S54: Young people under community-based supervision during the year by sex, Indigenous status and age at first supervision, Australia,  2024-25</t>
  </si>
  <si>
    <t>Table S55: Young people under community-based supervision during the year by Indigenous status and age at first supervision, states and territories, 2024-25</t>
  </si>
  <si>
    <t>Table S56a: Young people under community-based supervision on an average day by sex, Indigenous status and remoteness of usual residence, Australia, 2024-25</t>
  </si>
  <si>
    <t>Table S56b: Young people under community-based supervision during the year by sex, Indigenous status and remoteness of usual residence, Australia,2024-25</t>
  </si>
  <si>
    <t>Table S57a: Young people aged 10–17 under community-based supervision on an average day by remoteness of usual residence, states and territories, 2024-25</t>
  </si>
  <si>
    <t>Table S57b: Young people aged 10–17 under community-based supervision during the year by remoteness of usual residence, states and territories, 2024-25</t>
  </si>
  <si>
    <t>Table S57c: Young people aged 10–17 under community-based supervision on an average day by remoteness of usual residence, states and territories, 2024-25 (rate)</t>
  </si>
  <si>
    <t>Table S57d: Young people aged 10–17 under community-based supervision during the year by remoteness of usual residence, states and territories, 2024-25 (rate)</t>
  </si>
  <si>
    <t>Table S58a: Young people under community-based supervision on an average day by sex, Indigenous status and socioeconomic position of usual residence, Australia, 2024-25</t>
  </si>
  <si>
    <t>Table S58b: Young people under community-based supervision during the year by sex, Indigenous status and socioeconomic position of usual residence, Australia, 2024-25</t>
  </si>
  <si>
    <t>Table S59a: Young people aged 10–17 under community-based supervision on an average day by socioeconomic position of usual residence, states and territories, 2024-25</t>
  </si>
  <si>
    <t>Table S59b: Young people aged 10–17 under community-based supervision during the year by socioeconomic position of usual residence, states and territories, 2024-25</t>
  </si>
  <si>
    <t>Table S59c: Young people aged 10–17 under community-based supervision on an average day by socioeconomic position of usual residence, states and territories, 2024-25 (rate)</t>
  </si>
  <si>
    <t>Table S59d: Young people aged 10–17 under community-based supervision during the year by socioeconomic position of usual residence, states and territories, 2024-25 (rate)</t>
  </si>
  <si>
    <t>Table S60: Community-based supervised orders, states and territories, 2024-25</t>
  </si>
  <si>
    <t>Table S61: Young people who completed a period of community-based supervision during the year by number of periods completed and Indigenous status, Australia, 2024-25</t>
  </si>
  <si>
    <t>Table S62: Number and median length of completed periods of community-based supervision by Indigenous status, states and territories, 2024-25</t>
  </si>
  <si>
    <t>Table S64a: Young people under community-based supervision on an average day by legal status and Indigenous status, states and territories, 2024-25</t>
  </si>
  <si>
    <t>Table S64b: Young people under community-based supervision during the year by legal status, states and territories, 2024-25</t>
  </si>
  <si>
    <t>Table S65a: Young people aged 10–17 under community-based supervision on an average day by legal status and Indigenous status, states and territories, 2024-25</t>
  </si>
  <si>
    <t>Table S65b: Young people aged 10–17 under community-based supervision during the year by legal status and Indigenous status, states and territories, 2024-25</t>
  </si>
  <si>
    <t>Table S66a: Young people aged 10–17 under community-based supervision on an average day by legal status and Indigenous status, states and territories, 2024-25 (rate)</t>
  </si>
  <si>
    <t>Table S66b: Young people aged 10–17  under community-based supervision during the year by legal status and Indigenous status, states and territories, 2024-25 (rate)</t>
  </si>
  <si>
    <t>Table S68: Successfully completed supervised or conditional bail and other unsentenced community-based supervised orders by length of order, states and territories, 2024-25</t>
  </si>
  <si>
    <t>Table S69: Successfully completed probation and similar community-based supervised orders by length of order, states and territories, 2024-25</t>
  </si>
  <si>
    <t>Table S70: Breached probation and similar community-based supervised orders by time to breach, states and territories, 2024-25</t>
  </si>
  <si>
    <t>Table S71: Successfully completed suspended detention community-based orders by length of order, states and territories, 2024-25</t>
  </si>
  <si>
    <t>Table S63: Average length of time young people spent under community-based supervision during the year, by Indigenous status and sex, states and territories, 2020-21 to 2024-25(days)</t>
  </si>
  <si>
    <t>Table S34a: Young people under community-based supervision on an average day(a), by age, states and territories, 2024–25</t>
  </si>
  <si>
    <t>Table S34b: Young people under community-based supervision during the year by age, states and territories, 2024–25</t>
  </si>
  <si>
    <t>Source: AIHW Youth Justice National Minimum Dataset (YJ NMDS) 2000–01 to 2024–25.</t>
  </si>
  <si>
    <t>2. Number of young people on an average day not available for the Northern Territory in 2024-25.</t>
  </si>
  <si>
    <t>Source: AIHW Youth Justice National Minimum Dataset (YJ NMDS) 2000–01 to 2024–25</t>
  </si>
  <si>
    <r>
      <t>Table S35a: Young people under community–based supervision on an average day</t>
    </r>
    <r>
      <rPr>
        <b/>
        <vertAlign val="superscript"/>
        <sz val="10"/>
        <rFont val="Arial"/>
        <family val="2"/>
      </rPr>
      <t>(a)</t>
    </r>
    <r>
      <rPr>
        <b/>
        <sz val="10"/>
        <rFont val="Arial"/>
        <family val="2"/>
      </rPr>
      <t xml:space="preserve"> by sex and Indigenous status, states and territories, 2024–25</t>
    </r>
  </si>
  <si>
    <t>Note: Number of young people on an average day not available for the Northern Territory in 2024-25.</t>
  </si>
  <si>
    <t>Table S35b: Young people under community–based supervision during the year by sex and Indigenous status, states and territories, 2024–25</t>
  </si>
  <si>
    <r>
      <t>Table S36a: Young people aged 10–17 under community-based supervision on an average day</t>
    </r>
    <r>
      <rPr>
        <b/>
        <vertAlign val="superscript"/>
        <sz val="10"/>
        <rFont val="Arial"/>
        <family val="2"/>
      </rPr>
      <t>(a)</t>
    </r>
    <r>
      <rPr>
        <b/>
        <sz val="10"/>
        <rFont val="Arial"/>
        <family val="2"/>
      </rPr>
      <t xml:space="preserve"> by sex and Indigenous status, states and territories, 2024–25</t>
    </r>
  </si>
  <si>
    <t>Table S36b: Young people aged 10–17 under community-based supervision during the year by sex and Indigenous status, states and territories, 2024–25</t>
  </si>
  <si>
    <t>3. Number of young people on an average day not available for the Northern Territory in 2024-25.</t>
  </si>
  <si>
    <t>5. In November 2023, the Australian Capital Territory raised the minimum age of criminal responsibility from 10 to 12. The rates for the Australian Capital Territory from 2023-24 are for young people aged 12-17.</t>
  </si>
  <si>
    <t>4. In October 2024, the Northern Territory raised the minimum age of criminal responsibility from 12 to 10. The rates for the Northern Territory in 2024-25 are for young people aged 10-17.</t>
  </si>
  <si>
    <t>Table S37a: Young people aged 10–17 under community–based supervision on an average day by sex and Indigenous status, states and territories, 2024–25 (rate)</t>
  </si>
  <si>
    <t>Table S37b: Young people aged 10–17 under community–based supervision during the year by sex and Indigenous status, states and territories, 2024–25 (rate)</t>
  </si>
  <si>
    <r>
      <t>Table S38a: Young people under community-based supervision on an average day</t>
    </r>
    <r>
      <rPr>
        <b/>
        <vertAlign val="superscript"/>
        <sz val="10"/>
        <rFont val="Arial"/>
        <family val="2"/>
      </rPr>
      <t>(a)</t>
    </r>
    <r>
      <rPr>
        <b/>
        <sz val="10"/>
        <rFont val="Arial"/>
        <family val="2"/>
      </rPr>
      <t xml:space="preserve"> by age, sex and Indigenous, Australia, 2024–25</t>
    </r>
  </si>
  <si>
    <r>
      <t>Table S40a: Young people under community-based supervision on an average day</t>
    </r>
    <r>
      <rPr>
        <b/>
        <vertAlign val="superscript"/>
        <sz val="10"/>
        <rFont val="Arial"/>
        <family val="2"/>
      </rPr>
      <t>(a)</t>
    </r>
    <r>
      <rPr>
        <b/>
        <sz val="10"/>
        <rFont val="Arial"/>
        <family val="2"/>
      </rPr>
      <t xml:space="preserve"> by Indigenous status and age, states and territories, 2024–25 </t>
    </r>
  </si>
  <si>
    <t>Table S40b: Young people under community-based supervision during the year by Indigenous status and age, states and territories, 2024–25</t>
  </si>
  <si>
    <t>Table S40c: Young people under community-based supervision on an average day(a) by Indigenous status and age, states and territories, 2024–25 (rate)</t>
  </si>
  <si>
    <t>4. In November 2023, the Australian Capital Territory raised the minimum age of criminal responsibility from 10 to 12. The rates for the Australian Capital Territory from 2023-24 are for young people aged 12-17.</t>
  </si>
  <si>
    <t>Table S40d: Young people under community-based supervision during the year by Indigenous status and age, states and territories, 2024–25 (rate)</t>
  </si>
  <si>
    <t>4. In October 2024, the Northern Territory lowered the minimum age of criminal responsibility from 12 to 10. The rates for the Northern Territory in 2024-25 are for young people aged 10-17.</t>
  </si>
  <si>
    <t xml:space="preserve">Table S43a: Young people aged 10–17 under community-based supervision on an average day(a) by Indigenous status, states and territories, 2015-16 to 2024–25 </t>
  </si>
  <si>
    <t>2024-25</t>
  </si>
  <si>
    <t>3. Number of young people on an average day not available for the Northern Territory in 2023-24 and 2024-25.</t>
  </si>
  <si>
    <t>Table S43b: Young people aged 10–17 under community-based supervision during the year by Indigenous status, states and territories, 2015-16 to 2024–25</t>
  </si>
  <si>
    <r>
      <t>Table S44a: Young people under community-based supervision on an average day</t>
    </r>
    <r>
      <rPr>
        <b/>
        <vertAlign val="superscript"/>
        <sz val="10"/>
        <rFont val="Arial"/>
        <family val="2"/>
      </rPr>
      <t xml:space="preserve">(a) </t>
    </r>
    <r>
      <rPr>
        <b/>
        <sz val="10"/>
        <rFont val="Arial"/>
        <family val="2"/>
      </rPr>
      <t>by Indigenous status, states and territories, 2015-16 to 2024–25</t>
    </r>
  </si>
  <si>
    <t>2. Number of young people on an average day not available for the Northern Territory in 2023-24 and 2024-25.</t>
  </si>
  <si>
    <t>Table S44b: Young people under community-based supervision during the year by Indigenous status, states and territories, 2015-16 to 2024–25</t>
  </si>
  <si>
    <t>2024–25</t>
  </si>
  <si>
    <t>Table S45a: Young people aged 10–17 under community–based supervision on an average day by Indigenous status, states and territories, 2016–17 to 2024–25 (rate)</t>
  </si>
  <si>
    <t>Table S45b: Young people aged 10–17 under community–based supervision during the year by Indigenous status, states and territories, 2016–17 to 2024–25 (rate)</t>
  </si>
  <si>
    <t>6. In November 2023, the Australian Capital Territory raised the minimum age of criminal responsibility from 10 to 12. The rates for the Australian Capital Territory from 2023-24 are for young people aged 12-17.</t>
  </si>
  <si>
    <t>7. In October 2024, the Northern Territory lowered the minimum age of criminal responsibility from 12 to 10. The rates for the Northern Territory in 2024-25 are for young people aged 10-17.</t>
  </si>
  <si>
    <t>Table S46a: Young people aged 10–17 under community-based supervision on an average day(a) by sex, states and territories, 2015-16 to 2024–25</t>
  </si>
  <si>
    <t>Table S46b: Young people aged 10–17 under community-based supervision during the year by sex, states and territories, 2015-16 to 2024–25</t>
  </si>
  <si>
    <t>2.  Number of young people on an average day not available for the Northern Territory in 2023-24 and 2024-25.</t>
  </si>
  <si>
    <r>
      <t>Table S47a: Young people under community-based supervision on an average day</t>
    </r>
    <r>
      <rPr>
        <b/>
        <vertAlign val="superscript"/>
        <sz val="10"/>
        <rFont val="Arial"/>
        <family val="2"/>
      </rPr>
      <t>(a)</t>
    </r>
    <r>
      <rPr>
        <b/>
        <sz val="10"/>
        <rFont val="Arial"/>
        <family val="2"/>
      </rPr>
      <t xml:space="preserve"> by sex,states and territories, 2015-16 to 2024–25 </t>
    </r>
  </si>
  <si>
    <t>Table S47b: Young people under community-based supervision during the year by sex, states and territories, 2015-16 to 2024–25</t>
  </si>
  <si>
    <r>
      <t>Table S49: Young people aged 10–17 under community-based supervision on an average day</t>
    </r>
    <r>
      <rPr>
        <b/>
        <vertAlign val="superscript"/>
        <sz val="10"/>
        <rFont val="Arial"/>
        <family val="2"/>
      </rPr>
      <t>(a)</t>
    </r>
    <r>
      <rPr>
        <b/>
        <sz val="10"/>
        <rFont val="Arial"/>
        <family val="2"/>
      </rPr>
      <t xml:space="preserve"> by sex and Indigenous status, states and territories, 2020–21 to 2024–25</t>
    </r>
  </si>
  <si>
    <r>
      <t>Table S50: Young people under community–based supervision on an average day</t>
    </r>
    <r>
      <rPr>
        <b/>
        <vertAlign val="superscript"/>
        <sz val="10"/>
        <rFont val="Arial"/>
        <family val="2"/>
      </rPr>
      <t>(a)</t>
    </r>
    <r>
      <rPr>
        <b/>
        <sz val="10"/>
        <rFont val="Arial"/>
        <family val="2"/>
      </rPr>
      <t xml:space="preserve"> by sex and Indigenous status, states and territories, 2020–21 to 2024–25</t>
    </r>
  </si>
  <si>
    <t>Table S51: Young people aged 10–17 under community-based supervision on an average day by sex and Indigenous status, states and territories, 2020–21 to 2024–25 (rate)</t>
  </si>
  <si>
    <t>4. Number of young people on an average day not available for the Northern Territory in 2023-24 and 2024-25.</t>
  </si>
  <si>
    <t>Table S53: Young people under community-based supervision during the year by first supervision and Indigenous status, Australia, 2020–21 to 2024–25</t>
  </si>
  <si>
    <t>Table S54: Young people under community-based supervision during the year by sex, Indigenous status and age at first supervision, Australia, 2024–25</t>
  </si>
  <si>
    <t>Table S55: Young people under community-based supervision during the year by Indigenous status and age at first supervision, states and territories, 2024–25</t>
  </si>
  <si>
    <r>
      <t>Table S56a: Young people under community-based supervision on an average day</t>
    </r>
    <r>
      <rPr>
        <b/>
        <vertAlign val="superscript"/>
        <sz val="10"/>
        <rFont val="Arial"/>
        <family val="2"/>
      </rPr>
      <t>(a)</t>
    </r>
    <r>
      <rPr>
        <b/>
        <sz val="10"/>
        <rFont val="Arial"/>
        <family val="2"/>
      </rPr>
      <t xml:space="preserve"> by sex, Indigenous status and remoteness of usual residence</t>
    </r>
    <r>
      <rPr>
        <b/>
        <vertAlign val="superscript"/>
        <sz val="10"/>
        <rFont val="Arial"/>
        <family val="2"/>
      </rPr>
      <t>(b)</t>
    </r>
    <r>
      <rPr>
        <b/>
        <sz val="10"/>
        <rFont val="Arial"/>
        <family val="2"/>
      </rPr>
      <t>, Australia, 2024–25</t>
    </r>
  </si>
  <si>
    <r>
      <t>Table S56b: Young people under community-based supervision during the year by sex, Indigenous status and remoteness of usual residence</t>
    </r>
    <r>
      <rPr>
        <b/>
        <vertAlign val="superscript"/>
        <sz val="10"/>
        <color rgb="FF000000"/>
        <rFont val="Arial"/>
        <family val="2"/>
      </rPr>
      <t>(a)</t>
    </r>
    <r>
      <rPr>
        <b/>
        <sz val="10"/>
        <color indexed="8"/>
        <rFont val="Arial"/>
        <family val="2"/>
      </rPr>
      <t>, Australia, 2024–25</t>
    </r>
  </si>
  <si>
    <r>
      <t>Table S58a: Young people under community-based supervision on an average day</t>
    </r>
    <r>
      <rPr>
        <b/>
        <vertAlign val="superscript"/>
        <sz val="10"/>
        <rFont val="Arial"/>
        <family val="2"/>
      </rPr>
      <t>(a)</t>
    </r>
    <r>
      <rPr>
        <b/>
        <sz val="10"/>
        <rFont val="Arial"/>
        <family val="2"/>
      </rPr>
      <t xml:space="preserve"> by sex, Indigenous status and socioeconomic position of usual residence</t>
    </r>
    <r>
      <rPr>
        <b/>
        <vertAlign val="superscript"/>
        <sz val="10"/>
        <rFont val="Arial"/>
        <family val="2"/>
      </rPr>
      <t>(b)</t>
    </r>
    <r>
      <rPr>
        <b/>
        <sz val="10"/>
        <rFont val="Arial"/>
        <family val="2"/>
      </rPr>
      <t>, Australia, 2024–25</t>
    </r>
  </si>
  <si>
    <r>
      <t>Table S58b: Young people under community-based supervision during the year by sex, Indigenous status and socioeconomic position of usual residence</t>
    </r>
    <r>
      <rPr>
        <b/>
        <vertAlign val="superscript"/>
        <sz val="10"/>
        <color rgb="FF000000"/>
        <rFont val="Arial"/>
        <family val="2"/>
      </rPr>
      <t>(a)</t>
    </r>
    <r>
      <rPr>
        <b/>
        <sz val="10"/>
        <color indexed="8"/>
        <rFont val="Arial"/>
        <family val="2"/>
      </rPr>
      <t>, Australia, 2024–25</t>
    </r>
  </si>
  <si>
    <r>
      <t>Table S59a: Young people aged 10–17 under community-based supervision on an average day</t>
    </r>
    <r>
      <rPr>
        <b/>
        <vertAlign val="superscript"/>
        <sz val="10"/>
        <rFont val="Arial"/>
        <family val="2"/>
      </rPr>
      <t>(a)</t>
    </r>
    <r>
      <rPr>
        <b/>
        <sz val="10"/>
        <rFont val="Arial"/>
        <family val="2"/>
      </rPr>
      <t xml:space="preserve"> by socioeconomic position of usual residence</t>
    </r>
    <r>
      <rPr>
        <b/>
        <vertAlign val="superscript"/>
        <sz val="10"/>
        <rFont val="Arial"/>
        <family val="2"/>
      </rPr>
      <t>(b)</t>
    </r>
    <r>
      <rPr>
        <b/>
        <sz val="10"/>
        <rFont val="Arial"/>
        <family val="2"/>
      </rPr>
      <t>, states and territories, 2024–25</t>
    </r>
  </si>
  <si>
    <t>5. Number of young people on an average day not available for the Northern Territory in 2024-25.</t>
  </si>
  <si>
    <r>
      <t>Table S59b: Young people aged 10–17 under community-based supervision during the year by socioeconomic position of usual residence</t>
    </r>
    <r>
      <rPr>
        <b/>
        <vertAlign val="superscript"/>
        <sz val="10"/>
        <color rgb="FF000000"/>
        <rFont val="Arial"/>
        <family val="2"/>
      </rPr>
      <t>(a)</t>
    </r>
    <r>
      <rPr>
        <b/>
        <sz val="10"/>
        <color indexed="8"/>
        <rFont val="Arial"/>
        <family val="2"/>
      </rPr>
      <t>, states and territories, 2024–25</t>
    </r>
  </si>
  <si>
    <r>
      <t>Table S59c: Young people aged 10–17 under community-based supervision on an average day by socioeconomic position of usual residence</t>
    </r>
    <r>
      <rPr>
        <b/>
        <vertAlign val="superscript"/>
        <sz val="10"/>
        <color rgb="FF000000"/>
        <rFont val="Arial"/>
        <family val="2"/>
      </rPr>
      <t>(a)</t>
    </r>
    <r>
      <rPr>
        <b/>
        <sz val="10"/>
        <color indexed="8"/>
        <rFont val="Arial"/>
        <family val="2"/>
      </rPr>
      <t>, states and territories, 2024-25 (rate)</t>
    </r>
  </si>
  <si>
    <r>
      <t>Table S59d: Young people aged 10–17 under community-based supervision during the year by socioeconomic position of usual residence</t>
    </r>
    <r>
      <rPr>
        <b/>
        <vertAlign val="superscript"/>
        <sz val="10"/>
        <color rgb="FF000000"/>
        <rFont val="Arial"/>
        <family val="2"/>
      </rPr>
      <t>(a)</t>
    </r>
    <r>
      <rPr>
        <b/>
        <sz val="10"/>
        <color indexed="8"/>
        <rFont val="Arial"/>
        <family val="2"/>
      </rPr>
      <t>, states and territories, 2024–25 (rate)</t>
    </r>
  </si>
  <si>
    <t>Table S68: Successfully completed supervised or conditional bail and other unsentenced community-based supervised orders by length of order, states and territories, 2024–25</t>
  </si>
  <si>
    <t>3. Orders not available for the Northern Territory in 2024-25.</t>
  </si>
  <si>
    <r>
      <t>Table S41a: Young people aged 10–17 under community-based supervision on an average day</t>
    </r>
    <r>
      <rPr>
        <b/>
        <vertAlign val="superscript"/>
        <sz val="10"/>
        <rFont val="Arial"/>
        <family val="2"/>
      </rPr>
      <t>(a)</t>
    </r>
    <r>
      <rPr>
        <b/>
        <sz val="10"/>
        <rFont val="Arial"/>
        <family val="2"/>
      </rPr>
      <t xml:space="preserve"> by sex and age, Australia</t>
    </r>
    <r>
      <rPr>
        <b/>
        <vertAlign val="superscript"/>
        <sz val="10"/>
        <rFont val="Arial"/>
        <family val="2"/>
      </rPr>
      <t>(b)</t>
    </r>
    <r>
      <rPr>
        <b/>
        <sz val="10"/>
        <rFont val="Arial"/>
        <family val="2"/>
      </rPr>
      <t>, 2020–21 to 2024–25</t>
    </r>
  </si>
  <si>
    <t>(b) Number of young people on an average day not available for the Northern Territory in 2023-24 and 2024-25. Northern Territory was removed from all years for this table to have a consistent timeseries.</t>
  </si>
  <si>
    <t>Table S41b: Young people aged 10–17 under community-based supervision during the year by sex and age, Australia, 2020–21 to 2024–25</t>
  </si>
  <si>
    <r>
      <t>Table S42a: Young people aged 10–17 under community-based supervision on an average day by age and sex, Australia</t>
    </r>
    <r>
      <rPr>
        <b/>
        <vertAlign val="superscript"/>
        <sz val="10"/>
        <color rgb="FF000000"/>
        <rFont val="Arial"/>
        <family val="2"/>
      </rPr>
      <t>(a)</t>
    </r>
    <r>
      <rPr>
        <b/>
        <sz val="10"/>
        <color indexed="8"/>
        <rFont val="Arial"/>
        <family val="2"/>
      </rPr>
      <t>, 2020–21 to 2024–25 (rate)</t>
    </r>
  </si>
  <si>
    <t>Table S42b: Young people aged 10–17 under community-based supervision during the year by age and sex, Australia, 2020–21 to 2024–25 (rate)</t>
  </si>
  <si>
    <t>10–11</t>
  </si>
  <si>
    <t>Table S52: Young people under community-based supervision during the year by first supervision, states and territories, 2020–21 to 2024–25</t>
  </si>
  <si>
    <t>Table S60: Community-based supervised orders, states and territories, 2024–25</t>
  </si>
  <si>
    <t>Table S61: Young people who completed a period of community-based supervision during the year by number of periods completed and Indigenous status, Australia, 2024–25</t>
  </si>
  <si>
    <t>1. Completed supervision periods not available for the Northern Territory in 2024-25.</t>
  </si>
  <si>
    <r>
      <t>Table S64a: Young people under community-based supervision on an average day</t>
    </r>
    <r>
      <rPr>
        <b/>
        <vertAlign val="superscript"/>
        <sz val="10"/>
        <rFont val="Arial"/>
        <family val="2"/>
      </rPr>
      <t>(a)</t>
    </r>
    <r>
      <rPr>
        <b/>
        <sz val="10"/>
        <rFont val="Arial"/>
        <family val="2"/>
      </rPr>
      <t xml:space="preserve"> by legal status and Indigenous status, states and territories, 2024–25</t>
    </r>
  </si>
  <si>
    <t>Table S64b: Young people under community-based supervision during the year by legal status and Indigenous status, states and territories, 2024–25</t>
  </si>
  <si>
    <r>
      <t>Table S65a: Young people aged 10–17 under community-based supervision on an average day</t>
    </r>
    <r>
      <rPr>
        <b/>
        <vertAlign val="superscript"/>
        <sz val="10"/>
        <rFont val="Arial"/>
        <family val="2"/>
      </rPr>
      <t>(a)</t>
    </r>
    <r>
      <rPr>
        <b/>
        <sz val="10"/>
        <rFont val="Arial"/>
        <family val="2"/>
      </rPr>
      <t xml:space="preserve"> by legal status and Indigenous status, states and territories, 2024–25</t>
    </r>
  </si>
  <si>
    <t>Table S65b: Young people aged 10–17 under community-based supervision during the year by legal status and Indigenous status, states and territories, 2024–25</t>
  </si>
  <si>
    <t>Table S66b: Young people aged 10–17 under community-based supervision during the year by legal status and Indigenous status, states and territories, 2024–25 (rate)</t>
  </si>
  <si>
    <r>
      <t>Table S67: Young people under community-based supervision on an average day</t>
    </r>
    <r>
      <rPr>
        <b/>
        <vertAlign val="superscript"/>
        <sz val="10"/>
        <rFont val="Arial"/>
        <family val="2"/>
      </rPr>
      <t>(a)</t>
    </r>
    <r>
      <rPr>
        <b/>
        <sz val="10"/>
        <rFont val="Arial"/>
        <family val="2"/>
      </rPr>
      <t xml:space="preserve"> by Indigenous status and legal status, states and territories, 2020–21 to 2024–25</t>
    </r>
  </si>
  <si>
    <t>Table S69: Successfully completed probation and similar community-based supervised orders by length of order, states and territories, 2024–25</t>
  </si>
  <si>
    <t>4. Orders not available for the Northern Territory in 2024-25.</t>
  </si>
  <si>
    <t>Table S70: Breached probation and similar community-based supervised orders by time to breach, states and territories, 2024–25</t>
  </si>
  <si>
    <t>Table S71: Successfully completed suspended detention community-based orders by length of order, states and territories, 2024–25</t>
  </si>
  <si>
    <t>4. Completed supervision periods not available for the Northern Territory in 2024-25.</t>
  </si>
  <si>
    <t>Table S63: Average length of time young people spent under community-based supervision during the year, by Indigenous status and sex, states and territories, 2020–21 to 2024–25 (days)</t>
  </si>
  <si>
    <t>5. Average length of time spent under supervision not available for the Northern Territory in 2023-24 and 2024-25.</t>
  </si>
  <si>
    <r>
      <t>Table S66a: Young people aged 10–17 under community-based supervision on an average day</t>
    </r>
    <r>
      <rPr>
        <b/>
        <vertAlign val="superscript"/>
        <sz val="10"/>
        <rFont val="Arial"/>
        <family val="2"/>
      </rPr>
      <t>(a)</t>
    </r>
    <r>
      <rPr>
        <b/>
        <sz val="10"/>
        <rFont val="Arial"/>
        <family val="2"/>
      </rPr>
      <t xml:space="preserve"> by legal status and Indigenous status, states and territories, 2024–25 (rate)</t>
    </r>
  </si>
  <si>
    <t>young people during the year —supervised or conditional bail and other unsentenced</t>
  </si>
  <si>
    <t>Young people during the year —probation and similar</t>
  </si>
  <si>
    <t>Young people during the year —suspended detention</t>
  </si>
  <si>
    <t>Young people during the year —home detention</t>
  </si>
  <si>
    <t>young people during the year —parole or supervised release</t>
  </si>
  <si>
    <t>Young people during the year —other sentenced</t>
  </si>
  <si>
    <t>Young people during the year —other NEC</t>
  </si>
  <si>
    <t>Young people during the year —community service</t>
  </si>
  <si>
    <t>Table S72i: Community-based supervised orders, states and territories, 2024–25</t>
  </si>
  <si>
    <t>Table S72j: Community-based supervised orders, states and territories, 2024–25</t>
  </si>
  <si>
    <t>Table S72k: Community-based supervised orders, states and territories, 2024–25</t>
  </si>
  <si>
    <t>Table S72l: Community-based supervised orders, states and territories, 2024–25</t>
  </si>
  <si>
    <t>Table S72m: Community-based supervised orders, states and territories, 2024–25</t>
  </si>
  <si>
    <t>Table S72n: Community-based supervised orders, states and territories, 2024–25</t>
  </si>
  <si>
    <t>Table S72o: Community-based supervised orders, states and territories, 2024–25</t>
  </si>
  <si>
    <t>Table S72p: Community-based supervised orders, states and territories, 2024–25</t>
  </si>
  <si>
    <t>Table S72a: Community-based supervised orders, states and territories, 2024–25</t>
  </si>
  <si>
    <t>Table S72ab: Number of young people–average day(a)</t>
  </si>
  <si>
    <t>Table S72ac: Number of young people–during the year(a)</t>
  </si>
  <si>
    <t>1. Orders not available for the Northern Territory in 2024-25.</t>
  </si>
  <si>
    <t>Australian Institute of Health and Welfare 2026. Youth justice in Australia 2024-25</t>
  </si>
  <si>
    <t>4. Number of young people on an average day not available for the Northern Territory in 2024-25.</t>
  </si>
  <si>
    <r>
      <t>Table S57a: Young people aged 10–17 under community-based supervision on an average day</t>
    </r>
    <r>
      <rPr>
        <b/>
        <vertAlign val="superscript"/>
        <sz val="10"/>
        <rFont val="Arial"/>
        <family val="2"/>
      </rPr>
      <t>(a)</t>
    </r>
    <r>
      <rPr>
        <b/>
        <sz val="10"/>
        <rFont val="Arial"/>
        <family val="2"/>
      </rPr>
      <t xml:space="preserve"> by remoteness of usual residence</t>
    </r>
    <r>
      <rPr>
        <b/>
        <vertAlign val="superscript"/>
        <sz val="10"/>
        <rFont val="Arial"/>
        <family val="2"/>
      </rPr>
      <t>(b)</t>
    </r>
    <r>
      <rPr>
        <b/>
        <sz val="10"/>
        <rFont val="Arial"/>
        <family val="2"/>
      </rPr>
      <t>, states and territories, 2024–25</t>
    </r>
  </si>
  <si>
    <r>
      <t>Table S57b: Young people aged 10–17 under community-based supervision during the year by remoteness of usual residence</t>
    </r>
    <r>
      <rPr>
        <b/>
        <vertAlign val="superscript"/>
        <sz val="10"/>
        <color rgb="FF000000"/>
        <rFont val="Arial"/>
        <family val="2"/>
      </rPr>
      <t>(a)</t>
    </r>
    <r>
      <rPr>
        <b/>
        <sz val="10"/>
        <color indexed="8"/>
        <rFont val="Arial"/>
        <family val="2"/>
      </rPr>
      <t>, states and territories, 2024–25</t>
    </r>
  </si>
  <si>
    <r>
      <t>Table S57c: Young people aged 10–17 under community-based supervision on an average day</t>
    </r>
    <r>
      <rPr>
        <b/>
        <vertAlign val="superscript"/>
        <sz val="10"/>
        <color rgb="FF000000"/>
        <rFont val="Arial"/>
        <family val="2"/>
      </rPr>
      <t>(a)</t>
    </r>
    <r>
      <rPr>
        <b/>
        <sz val="10"/>
        <color indexed="8"/>
        <rFont val="Arial"/>
        <family val="2"/>
      </rPr>
      <t xml:space="preserve"> by remoteness of usual residence</t>
    </r>
    <r>
      <rPr>
        <b/>
        <vertAlign val="superscript"/>
        <sz val="10"/>
        <color rgb="FF000000"/>
        <rFont val="Arial"/>
        <family val="2"/>
      </rPr>
      <t>(b)</t>
    </r>
    <r>
      <rPr>
        <b/>
        <sz val="10"/>
        <color indexed="8"/>
        <rFont val="Arial"/>
        <family val="2"/>
      </rPr>
      <t>, states and territories, 2024–25 (rate)</t>
    </r>
  </si>
  <si>
    <t>Table S57d: Young people aged 10–17 under community-based supervision during the year by remoteness of usual residence, states and territories, 2024–25 (rate)</t>
  </si>
  <si>
    <t>6. In November 2023, the Australian Capital Territory raised the minimum age of criminal responsibility from 10 to 12. The rates for the Australian Capital Territory from  2023-24 are for young people aged 12-17.</t>
  </si>
  <si>
    <t>4.  Number of young people on an average day not available for the Northern Territory in 2023-24 and 2024-25.</t>
  </si>
  <si>
    <t>Cat. JUV 148. Canberra: AIHW</t>
  </si>
  <si>
    <t>Table S43a: Young people aged 10–17 under community-based supervision on an average day by Indigenous status, states and territories, 2015–16 to 2024-25</t>
  </si>
  <si>
    <t>Table S43b: Young people aged 10–17 under community-based supervision during the year by Indigenous status, states and territories, 2015–16 to 2024-25</t>
  </si>
  <si>
    <t>Table S44a: Young people under community-based supervision on an average day by Indigenous status, states and territories, 2015–16 to 2024-25</t>
  </si>
  <si>
    <t>Table S44b: Young people under community-based supervision during the year by Indigenous status, states and territories, 2015–16 to 2024-25</t>
  </si>
  <si>
    <t>Table S45a: Young people aged 10–17 under community-based supervision on an average day by Indigenous status, states and territories, 2015–16 to 2024-25 (rate)</t>
  </si>
  <si>
    <t>Table S45b: Young people aged 10–17 under community-based supervision during the year by Indigenous status, states and territories, 2015–16 to 2024-25 (rate)</t>
  </si>
  <si>
    <t>Table S46a: Young people aged 10–17 under community-based supervision on an average day by sex, states and territories, 2015–16 to 2024-25</t>
  </si>
  <si>
    <t>Table S46b: Young people aged 10–17 under community-based supervision during the year by sex, states and territories, 2015–16 to 2024-25</t>
  </si>
  <si>
    <t>Table S47a: Young people under community-based supervision on an average day by sex, states and territories, 2015–16 to 2024-25</t>
  </si>
  <si>
    <t>Table S47b: Young people under community-based supervision during the year by sex, states and territories, 2015–16 to 2024-25</t>
  </si>
  <si>
    <t>Table S48a: Young people aged 10–17 under community-based supervision on an average day by sex, states and territories, 2015–16 to 2024-25 (rate)</t>
  </si>
  <si>
    <t>Table S48b: Young people aged 10–17 under community-based supervision during the year by sex, states and territories, 2015–16 to 2024-25 (rate)</t>
  </si>
  <si>
    <t>Table S41a: Young people aged 10–17 under community-based supervision on an average day by sex and age, Australia, 2020–21 to 2024-25</t>
  </si>
  <si>
    <t>Table S41b: Young people aged 10–17 under community-based supervision during the year by sex and age, Australia, 2020–21 to 2024-25</t>
  </si>
  <si>
    <t>Table S42a: Young people aged 10–17 under community-based supervision on an average day by age and sex, Australia, 2020–21 to 2024-25 (rate)</t>
  </si>
  <si>
    <t>Table S42b: Young people aged 10–17 under community-based supervision during the year by age and sex, Australia, 2020–21 to 2024-25 (rate)</t>
  </si>
  <si>
    <t>Table S49: Young people aged 10–17 under community-based supervision on an average day by sex and Indigenous status, states and territories, 2020–21 to 2024-25</t>
  </si>
  <si>
    <t>Table S51: Young people aged 10–17 under community-based supervision on an average day by sex and Indigenous status, states and territories,  2020–21 to 2024-25 (rate)</t>
  </si>
  <si>
    <t>Table S52: Young people under community-based supervision during the year by first supervision, states and territories,  2020–21 to 2024-25</t>
  </si>
  <si>
    <t>Table S53: Young people under community-based supervision during the year by first supervision and Indigenous status, Australia,  2020–21 to 2024-25</t>
  </si>
  <si>
    <t>Table S67: Young people under community-based supervision on an average day by Indigenous status and legal status, states and territories, 2020–21 to 2024-25</t>
  </si>
  <si>
    <t>Table S50: Young people under community-based supervision on an average day by sex and Indigenous status, states and territories,  2020–21 to 2024-25</t>
  </si>
  <si>
    <t>ABS (2025a) ‘Quarterly Population Estimates (ERP), by State/Territory, Sex and Age’ [data set], National, state and territory population - Reference period December 2023, [https://explore.data.abs.gov.au] accessed 23 October 2025</t>
  </si>
  <si>
    <t>ABS (2025b), Customised report (ERP POA 2021).</t>
  </si>
  <si>
    <t>ABS (2025c), Customised report (ERP RA 2021).</t>
  </si>
  <si>
    <t>ABS (2025d) ‘Projected population, Aboriginal and Torres Strait Islander Australians, Australia, state and territories, 2011 to 2031' (Series B projections) [Data Explorer data set], Estimates and projections, Aboriginal and Torres Strait Islander Australians [https://www.abs.gov.au/statistics/people/aboriginal-and-torres-strait-islander-peoples/estimates-and-projections-aboriginal-and-torres-strait-islander-australians/2011-2031], accessed 23 October 2025.</t>
  </si>
  <si>
    <t xml:space="preserve">ABS (2023) 'Postal Area, Indexes, SEIFA 2021' [data set], Socio-Economic Indexes for Areas (SEIFA), Australia [https://www.abs.gov.au/statistics/people/people-and-communities/socio-economic-indexes-areas-seifa-australia/2021], accessed 23 October 2025.          </t>
  </si>
  <si>
    <t xml:space="preserve">ABS (2021) PC_2018_to_RA_2022, ABS Geospatial Solutions, ASGS Geographic Correspondences (2021) Edition 3 [https://data.gov.au/data/dataset/asgs-edition-3-2021-correspondences], accessed 23 October 2025. </t>
  </si>
  <si>
    <t>Table S39a: Young people aged 10–17 under community–based supervision by age on an average day by age, sex and Indigenous status, Australia, 2024–25 (rate)</t>
  </si>
  <si>
    <t>Table S39b: Young people aged 10–17 under community–based supervision during the year by age, sex and Indigenous status, Australia, 2024–25 (rate)</t>
  </si>
  <si>
    <t>Table S48a: Young people aged 10–17 under community-based supervision on an average day by sex, states and territories, 2015–16 to 2024–25 (rate)</t>
  </si>
  <si>
    <t>Table S48b: Young people aged 10–17 under community-based supervision during the year by sex, states and territories, 2015–16 to 2024–25 (rate)</t>
  </si>
  <si>
    <t>2. Time under supervision calculated for 2024–25, from 1 July 2024.</t>
  </si>
  <si>
    <t>Source: Tables S36b and S143</t>
  </si>
  <si>
    <t>Source:  Tables S46a and S144</t>
  </si>
  <si>
    <t>Source:  Tables S46b and S144</t>
  </si>
  <si>
    <t>Source: Tables S49a and S146</t>
  </si>
  <si>
    <t>Source: Tables S65b and S143.</t>
  </si>
  <si>
    <t>Source: Tables S40b and S150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</si>
</sst>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0"/>
    <numFmt numFmtId="165" formatCode="###,##0"/>
    <numFmt numFmtId="166" formatCode="0.0"/>
    <numFmt numFmtId="167" formatCode="_-* #,##0_-;\-* #,##0_-;_-* &quot;-&quot;??_-;_-@_-"/>
    <numFmt numFmtId="168" formatCode="#,##0.0"/>
    <numFmt numFmtId="169" formatCode="#,##0.000"/>
    <numFmt numFmtId="170" formatCode="#,##0.00000000000000"/>
    <numFmt numFmtId="171" formatCode="#,##0.000000000000000"/>
    <numFmt numFmtId="172" formatCode="_-* #,##0.0_-;\-* #,##0.0_-;_-* &quot;-&quot;??_-;_-@_-"/>
    <numFmt numFmtId="173" formatCode="#,##0.0000000000000"/>
    <numFmt numFmtId="174" formatCode="#,##0.0000000000000000"/>
  </numFmts>
  <fonts count="6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indexed="8"/>
      <name val="Arial"/>
      <family val="2"/>
    </font>
    <font>
      <b/>
      <sz val="10"/>
      <color indexed="8"/>
      <name val="Arial"/>
      <family val="2"/>
    </font>
    <font>
      <sz val="8"/>
      <color indexed="8"/>
      <name val="Arial"/>
      <family val="2"/>
    </font>
    <font>
      <b/>
      <sz val="8"/>
      <color indexed="8"/>
      <name val="Arial"/>
      <family val="2"/>
    </font>
    <font>
      <sz val="7"/>
      <color indexed="8"/>
      <name val="Arial"/>
      <family val="2"/>
    </font>
    <font>
      <i/>
      <sz val="10"/>
      <name val="Arial"/>
      <family val="2"/>
    </font>
    <font>
      <b/>
      <sz val="8"/>
      <name val="Arial"/>
      <family val="2"/>
    </font>
    <font>
      <u/>
      <sz val="11"/>
      <color theme="10"/>
      <name val="Calibri"/>
      <family val="2"/>
      <scheme val="minor"/>
    </font>
    <font>
      <b/>
      <vertAlign val="superscript"/>
      <sz val="10"/>
      <name val="Arial"/>
      <family val="2"/>
    </font>
    <font>
      <b/>
      <sz val="10"/>
      <name val="Arial"/>
      <family val="2"/>
    </font>
    <font>
      <b/>
      <sz val="14"/>
      <name val="Arial"/>
      <family val="2"/>
    </font>
    <font>
      <sz val="11"/>
      <color theme="1"/>
      <name val="Arial"/>
      <family val="2"/>
    </font>
    <font>
      <sz val="10"/>
      <name val="Arial"/>
      <family val="2"/>
    </font>
    <font>
      <sz val="11"/>
      <color rgb="FFFF0000"/>
      <name val="Arial"/>
      <family val="2"/>
    </font>
    <font>
      <u/>
      <sz val="11"/>
      <color theme="10"/>
      <name val="Arial"/>
      <family val="2"/>
    </font>
    <font>
      <b/>
      <sz val="12"/>
      <name val="Arial"/>
      <family val="2"/>
    </font>
    <font>
      <b/>
      <sz val="11"/>
      <color theme="1"/>
      <name val="Arial"/>
      <family val="2"/>
    </font>
    <font>
      <sz val="11"/>
      <color indexed="8"/>
      <name val="Calibri"/>
      <family val="2"/>
    </font>
    <font>
      <b/>
      <sz val="14"/>
      <color indexed="8"/>
      <name val="Arial"/>
      <family val="2"/>
    </font>
    <font>
      <sz val="11"/>
      <color indexed="8"/>
      <name val="Arial"/>
      <family val="2"/>
    </font>
    <font>
      <sz val="11"/>
      <name val="Arial"/>
      <family val="2"/>
    </font>
    <font>
      <b/>
      <sz val="8"/>
      <color indexed="8"/>
      <name val="arial"/>
      <family val="2"/>
    </font>
    <font>
      <sz val="8"/>
      <color indexed="8"/>
      <name val="Arial"/>
      <family val="2"/>
    </font>
    <font>
      <i/>
      <sz val="8"/>
      <color indexed="8"/>
      <name val="arial"/>
      <family val="2"/>
    </font>
    <font>
      <b/>
      <sz val="8"/>
      <name val="Arial"/>
      <family val="2"/>
    </font>
    <font>
      <b/>
      <sz val="10"/>
      <name val="Arial"/>
      <family val="2"/>
    </font>
    <font>
      <b/>
      <sz val="10"/>
      <color indexed="8"/>
      <name val="Arial"/>
      <family val="2"/>
    </font>
    <font>
      <b/>
      <i/>
      <sz val="8"/>
      <color indexed="8"/>
      <name val="arial"/>
      <family val="2"/>
    </font>
    <font>
      <sz val="7"/>
      <name val="Arial"/>
      <family val="2"/>
    </font>
    <font>
      <b/>
      <vertAlign val="superscript"/>
      <sz val="8"/>
      <color rgb="FF000000"/>
      <name val="Arial"/>
      <family val="2"/>
    </font>
    <font>
      <sz val="7"/>
      <color indexed="8"/>
      <name val="Arial"/>
      <family val="2"/>
    </font>
    <font>
      <b/>
      <sz val="8"/>
      <color theme="1"/>
      <name val="Arial"/>
      <family val="2"/>
    </font>
    <font>
      <i/>
      <sz val="10"/>
      <color indexed="8"/>
      <name val="Arial"/>
      <family val="2"/>
    </font>
    <font>
      <i/>
      <sz val="10"/>
      <name val="Arial"/>
      <family val="2"/>
    </font>
    <font>
      <i/>
      <sz val="11"/>
      <color theme="1"/>
      <name val="Arial"/>
      <family val="2"/>
    </font>
    <font>
      <b/>
      <vertAlign val="superscript"/>
      <sz val="10"/>
      <color rgb="FF000000"/>
      <name val="Arial"/>
      <family val="2"/>
    </font>
    <font>
      <sz val="7"/>
      <color rgb="FFFF0000"/>
      <name val="Arial"/>
      <family val="2"/>
    </font>
    <font>
      <sz val="8"/>
      <color theme="1"/>
      <name val="Arial"/>
      <family val="2"/>
    </font>
    <font>
      <sz val="8"/>
      <color indexed="8"/>
      <name val="Arial"/>
      <family val="2"/>
    </font>
    <font>
      <sz val="8"/>
      <color indexed="8"/>
      <name val="Arial"/>
      <family val="2"/>
    </font>
    <font>
      <sz val="8"/>
      <color indexed="8"/>
      <name val="arial"/>
    </font>
    <font>
      <u/>
      <sz val="11"/>
      <color theme="4"/>
      <name val="Arial"/>
      <family val="2"/>
    </font>
    <font>
      <u/>
      <sz val="10"/>
      <color theme="4"/>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65"/>
        <bgColor indexed="64"/>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style="thin">
        <color rgb="FF000000"/>
      </bottom>
      <diagonal/>
    </border>
    <border>
      <left/>
      <right/>
      <top style="thin">
        <color auto="1"/>
      </top>
      <bottom/>
      <diagonal/>
    </border>
    <border>
      <left/>
      <right/>
      <top style="thin">
        <color rgb="FF000000"/>
      </top>
      <bottom/>
      <diagonal/>
    </border>
    <border>
      <left/>
      <right/>
      <top/>
      <bottom style="thin">
        <color indexed="64"/>
      </bottom>
      <diagonal/>
    </border>
    <border>
      <left/>
      <right/>
      <top style="thin">
        <color indexed="64"/>
      </top>
      <bottom/>
      <diagonal/>
    </border>
    <border>
      <left/>
      <right/>
      <top style="thin">
        <color indexed="64"/>
      </top>
      <bottom style="thin">
        <color rgb="FF000000"/>
      </bottom>
      <diagonal/>
    </border>
    <border>
      <left/>
      <right/>
      <top style="thin">
        <color rgb="FF000000"/>
      </top>
      <bottom style="thin">
        <color indexed="64"/>
      </bottom>
      <diagonal/>
    </border>
    <border>
      <left/>
      <right/>
      <top style="thin">
        <color auto="1"/>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xf numFmtId="0" fontId="35" fillId="0" borderId="0"/>
    <xf numFmtId="43" fontId="1" fillId="0" borderId="0" applyFont="0" applyFill="0" applyBorder="0" applyAlignment="0" applyProtection="0"/>
  </cellStyleXfs>
  <cellXfs count="214">
    <xf numFmtId="0" fontId="0" fillId="0" borderId="0" xfId="0"/>
    <xf numFmtId="0" fontId="0" fillId="34" borderId="0" xfId="0" applyFill="1"/>
    <xf numFmtId="0" fontId="18" fillId="34" borderId="0" xfId="0" applyFont="1" applyFill="1"/>
    <xf numFmtId="0" fontId="21" fillId="33" borderId="10" xfId="0" applyFont="1" applyFill="1" applyBorder="1" applyAlignment="1">
      <alignment horizontal="right" wrapText="1"/>
    </xf>
    <xf numFmtId="0" fontId="20" fillId="33" borderId="0" xfId="0" applyFont="1" applyFill="1" applyAlignment="1">
      <alignment horizontal="left" vertical="top" wrapText="1"/>
    </xf>
    <xf numFmtId="164" fontId="20" fillId="33" borderId="0" xfId="0" applyNumberFormat="1" applyFont="1" applyFill="1" applyAlignment="1">
      <alignment horizontal="right" wrapText="1"/>
    </xf>
    <xf numFmtId="0" fontId="22" fillId="34" borderId="0" xfId="0" applyFont="1" applyFill="1" applyAlignment="1">
      <alignment horizontal="left"/>
    </xf>
    <xf numFmtId="0" fontId="23" fillId="34" borderId="0" xfId="0" applyFont="1" applyFill="1" applyAlignment="1">
      <alignment horizontal="left" wrapText="1"/>
    </xf>
    <xf numFmtId="165" fontId="20" fillId="33" borderId="0" xfId="0" applyNumberFormat="1" applyFont="1" applyFill="1" applyAlignment="1">
      <alignment horizontal="right" wrapText="1"/>
    </xf>
    <xf numFmtId="165" fontId="24" fillId="33" borderId="0" xfId="0" applyNumberFormat="1" applyFont="1" applyFill="1" applyAlignment="1">
      <alignment horizontal="left" vertical="top" wrapText="1"/>
    </xf>
    <xf numFmtId="165" fontId="24" fillId="33" borderId="10" xfId="0" applyNumberFormat="1" applyFont="1" applyFill="1" applyBorder="1" applyAlignment="1">
      <alignment horizontal="right" wrapText="1"/>
    </xf>
    <xf numFmtId="0" fontId="19" fillId="34" borderId="0" xfId="0" applyFont="1" applyFill="1" applyAlignment="1">
      <alignment horizontal="left"/>
    </xf>
    <xf numFmtId="0" fontId="23" fillId="34" borderId="0" xfId="0" applyFont="1" applyFill="1" applyAlignment="1">
      <alignment horizontal="left"/>
    </xf>
    <xf numFmtId="0" fontId="20" fillId="33" borderId="0" xfId="0" applyFont="1" applyFill="1" applyAlignment="1">
      <alignment horizontal="right" wrapText="1"/>
    </xf>
    <xf numFmtId="0" fontId="29" fillId="35" borderId="0" xfId="0" applyFont="1" applyFill="1"/>
    <xf numFmtId="0" fontId="29" fillId="0" borderId="0" xfId="0" applyFont="1"/>
    <xf numFmtId="0" fontId="36" fillId="35" borderId="0" xfId="43" applyFont="1" applyFill="1" applyAlignment="1">
      <alignment horizontal="left"/>
    </xf>
    <xf numFmtId="0" fontId="37" fillId="35" borderId="0" xfId="43" applyFont="1" applyFill="1"/>
    <xf numFmtId="0" fontId="0" fillId="35" borderId="0" xfId="0" applyFill="1"/>
    <xf numFmtId="0" fontId="37" fillId="35" borderId="0" xfId="43" applyFont="1" applyFill="1" applyAlignment="1">
      <alignment horizontal="left"/>
    </xf>
    <xf numFmtId="1" fontId="37" fillId="35" borderId="0" xfId="43" applyNumberFormat="1" applyFont="1" applyFill="1" applyAlignment="1">
      <alignment horizontal="left"/>
    </xf>
    <xf numFmtId="0" fontId="38" fillId="35" borderId="0" xfId="0" applyFont="1" applyFill="1"/>
    <xf numFmtId="0" fontId="21" fillId="33" borderId="10" xfId="0" applyFont="1" applyFill="1" applyBorder="1" applyAlignment="1">
      <alignment wrapText="1"/>
    </xf>
    <xf numFmtId="0" fontId="40" fillId="33" borderId="0" xfId="0" applyFont="1" applyFill="1" applyAlignment="1">
      <alignment horizontal="left" vertical="top" wrapText="1"/>
    </xf>
    <xf numFmtId="164" fontId="40" fillId="33" borderId="0" xfId="0" applyNumberFormat="1" applyFont="1" applyFill="1" applyAlignment="1">
      <alignment horizontal="right" wrapText="1"/>
    </xf>
    <xf numFmtId="0" fontId="41" fillId="33" borderId="0" xfId="0" applyFont="1" applyFill="1" applyAlignment="1">
      <alignment horizontal="left" vertical="top" wrapText="1"/>
    </xf>
    <xf numFmtId="164" fontId="41" fillId="33" borderId="0" xfId="0" applyNumberFormat="1" applyFont="1" applyFill="1" applyAlignment="1">
      <alignment horizontal="right" wrapText="1"/>
    </xf>
    <xf numFmtId="0" fontId="39" fillId="33" borderId="0" xfId="0" applyFont="1" applyFill="1" applyAlignment="1">
      <alignment horizontal="left" vertical="top" wrapText="1"/>
    </xf>
    <xf numFmtId="164" fontId="39" fillId="33" borderId="0" xfId="0" applyNumberFormat="1" applyFont="1" applyFill="1" applyAlignment="1">
      <alignment horizontal="right" wrapText="1"/>
    </xf>
    <xf numFmtId="165" fontId="40" fillId="33" borderId="0" xfId="0" applyNumberFormat="1" applyFont="1" applyFill="1" applyAlignment="1">
      <alignment horizontal="right" wrapText="1"/>
    </xf>
    <xf numFmtId="165" fontId="42" fillId="33" borderId="0" xfId="0" applyNumberFormat="1" applyFont="1" applyFill="1" applyAlignment="1">
      <alignment horizontal="left" vertical="top" wrapText="1"/>
    </xf>
    <xf numFmtId="0" fontId="39" fillId="33" borderId="10" xfId="0" applyFont="1" applyFill="1" applyBorder="1" applyAlignment="1">
      <alignment wrapText="1"/>
    </xf>
    <xf numFmtId="0" fontId="19" fillId="33" borderId="0" xfId="0" applyFont="1" applyFill="1"/>
    <xf numFmtId="0" fontId="0" fillId="34" borderId="13" xfId="0" applyFill="1" applyBorder="1"/>
    <xf numFmtId="0" fontId="45" fillId="33" borderId="10" xfId="0" applyFont="1" applyFill="1" applyBorder="1" applyAlignment="1">
      <alignment horizontal="right" wrapText="1"/>
    </xf>
    <xf numFmtId="0" fontId="39" fillId="33" borderId="10" xfId="0" applyFont="1" applyFill="1" applyBorder="1" applyAlignment="1">
      <alignment horizontal="right" wrapText="1"/>
    </xf>
    <xf numFmtId="0" fontId="22" fillId="34" borderId="14" xfId="0" applyFont="1" applyFill="1" applyBorder="1" applyAlignment="1">
      <alignment horizontal="left"/>
    </xf>
    <xf numFmtId="165" fontId="20" fillId="35" borderId="0" xfId="0" applyNumberFormat="1" applyFont="1" applyFill="1" applyAlignment="1">
      <alignment horizontal="right" wrapText="1"/>
    </xf>
    <xf numFmtId="165" fontId="39" fillId="35" borderId="0" xfId="0" applyNumberFormat="1" applyFont="1" applyFill="1" applyAlignment="1">
      <alignment horizontal="right" wrapText="1"/>
    </xf>
    <xf numFmtId="0" fontId="46" fillId="34" borderId="0" xfId="0" applyFont="1" applyFill="1" applyAlignment="1">
      <alignment horizontal="left"/>
    </xf>
    <xf numFmtId="0" fontId="39" fillId="33" borderId="10" xfId="0" applyFont="1" applyFill="1" applyBorder="1" applyAlignment="1">
      <alignment horizontal="left" wrapText="1"/>
    </xf>
    <xf numFmtId="0" fontId="39" fillId="33" borderId="13" xfId="0" applyFont="1" applyFill="1" applyBorder="1" applyAlignment="1">
      <alignment wrapText="1"/>
    </xf>
    <xf numFmtId="0" fontId="39" fillId="33" borderId="13" xfId="0" applyFont="1" applyFill="1" applyBorder="1" applyAlignment="1">
      <alignment horizontal="right" wrapText="1"/>
    </xf>
    <xf numFmtId="0" fontId="45" fillId="33" borderId="13" xfId="0" applyFont="1" applyFill="1" applyBorder="1" applyAlignment="1">
      <alignment horizontal="right" wrapText="1"/>
    </xf>
    <xf numFmtId="3" fontId="39" fillId="33" borderId="10" xfId="0" applyNumberFormat="1" applyFont="1" applyFill="1" applyBorder="1" applyAlignment="1">
      <alignment horizontal="left" wrapText="1"/>
    </xf>
    <xf numFmtId="0" fontId="21" fillId="33" borderId="0" xfId="0" applyFont="1" applyFill="1" applyAlignment="1">
      <alignment wrapText="1"/>
    </xf>
    <xf numFmtId="0" fontId="0" fillId="34" borderId="14" xfId="0" applyFill="1" applyBorder="1"/>
    <xf numFmtId="0" fontId="20" fillId="33" borderId="0" xfId="0" applyFont="1" applyFill="1" applyAlignment="1">
      <alignment vertical="top" wrapText="1"/>
    </xf>
    <xf numFmtId="0" fontId="39" fillId="33" borderId="0" xfId="0" applyFont="1" applyFill="1" applyAlignment="1">
      <alignment vertical="top" wrapText="1"/>
    </xf>
    <xf numFmtId="0" fontId="21" fillId="33" borderId="15" xfId="0" applyFont="1" applyFill="1" applyBorder="1" applyAlignment="1">
      <alignment wrapText="1"/>
    </xf>
    <xf numFmtId="0" fontId="21" fillId="33" borderId="16" xfId="0" applyFont="1" applyFill="1" applyBorder="1" applyAlignment="1">
      <alignment horizontal="right" wrapText="1"/>
    </xf>
    <xf numFmtId="164" fontId="40" fillId="35" borderId="0" xfId="0" applyNumberFormat="1" applyFont="1" applyFill="1" applyAlignment="1">
      <alignment horizontal="right" wrapText="1"/>
    </xf>
    <xf numFmtId="164" fontId="39" fillId="35" borderId="0" xfId="0" applyNumberFormat="1" applyFont="1" applyFill="1" applyAlignment="1">
      <alignment horizontal="right" wrapText="1"/>
    </xf>
    <xf numFmtId="0" fontId="48" fillId="34" borderId="0" xfId="0" applyFont="1" applyFill="1" applyAlignment="1">
      <alignment horizontal="left"/>
    </xf>
    <xf numFmtId="0" fontId="22" fillId="33" borderId="11" xfId="0" applyFont="1" applyFill="1" applyBorder="1"/>
    <xf numFmtId="0" fontId="22" fillId="33" borderId="0" xfId="0" applyFont="1" applyFill="1"/>
    <xf numFmtId="0" fontId="40" fillId="33" borderId="0" xfId="0" applyFont="1" applyFill="1" applyAlignment="1">
      <alignment horizontal="right" wrapText="1"/>
    </xf>
    <xf numFmtId="0" fontId="16" fillId="34" borderId="0" xfId="0" applyFont="1" applyFill="1"/>
    <xf numFmtId="165" fontId="42" fillId="33" borderId="0" xfId="0" applyNumberFormat="1" applyFont="1" applyFill="1" applyAlignment="1">
      <alignment horizontal="left" wrapText="1"/>
    </xf>
    <xf numFmtId="0" fontId="49" fillId="34" borderId="13" xfId="0" applyFont="1" applyFill="1" applyBorder="1"/>
    <xf numFmtId="0" fontId="39" fillId="33" borderId="0" xfId="0" applyFont="1" applyFill="1" applyAlignment="1">
      <alignment horizontal="left" wrapText="1"/>
    </xf>
    <xf numFmtId="0" fontId="39" fillId="35" borderId="10" xfId="0" applyFont="1" applyFill="1" applyBorder="1" applyAlignment="1">
      <alignment wrapText="1"/>
    </xf>
    <xf numFmtId="0" fontId="50" fillId="34" borderId="0" xfId="0" applyFont="1" applyFill="1"/>
    <xf numFmtId="0" fontId="51" fillId="34" borderId="0" xfId="0" applyFont="1" applyFill="1" applyAlignment="1">
      <alignment horizontal="left"/>
    </xf>
    <xf numFmtId="165" fontId="42" fillId="33" borderId="10" xfId="0" applyNumberFormat="1" applyFont="1" applyFill="1" applyBorder="1" applyAlignment="1">
      <alignment horizontal="right" wrapText="1"/>
    </xf>
    <xf numFmtId="3" fontId="39" fillId="35" borderId="10" xfId="0" applyNumberFormat="1" applyFont="1" applyFill="1" applyBorder="1" applyAlignment="1">
      <alignment horizontal="left" wrapText="1"/>
    </xf>
    <xf numFmtId="0" fontId="44" fillId="33" borderId="0" xfId="0" applyFont="1" applyFill="1" applyAlignment="1">
      <alignment wrapText="1"/>
    </xf>
    <xf numFmtId="165" fontId="40" fillId="35" borderId="0" xfId="0" applyNumberFormat="1" applyFont="1" applyFill="1" applyAlignment="1">
      <alignment horizontal="right" wrapText="1"/>
    </xf>
    <xf numFmtId="0" fontId="21" fillId="35" borderId="10" xfId="0" applyFont="1" applyFill="1" applyBorder="1" applyAlignment="1">
      <alignment horizontal="right" wrapText="1"/>
    </xf>
    <xf numFmtId="0" fontId="22" fillId="35" borderId="0" xfId="0" applyFont="1" applyFill="1" applyAlignment="1">
      <alignment horizontal="left"/>
    </xf>
    <xf numFmtId="0" fontId="23" fillId="35" borderId="0" xfId="0" applyFont="1" applyFill="1" applyAlignment="1">
      <alignment horizontal="left"/>
    </xf>
    <xf numFmtId="0" fontId="39" fillId="35" borderId="10" xfId="0" applyFont="1" applyFill="1" applyBorder="1" applyAlignment="1">
      <alignment horizontal="right" wrapText="1"/>
    </xf>
    <xf numFmtId="0" fontId="48" fillId="35" borderId="0" xfId="0" applyFont="1" applyFill="1" applyAlignment="1">
      <alignment horizontal="left"/>
    </xf>
    <xf numFmtId="0" fontId="51" fillId="35" borderId="0" xfId="0" applyFont="1" applyFill="1" applyAlignment="1">
      <alignment horizontal="left"/>
    </xf>
    <xf numFmtId="164" fontId="20" fillId="35" borderId="0" xfId="0" applyNumberFormat="1" applyFont="1" applyFill="1" applyAlignment="1">
      <alignment horizontal="right" wrapText="1"/>
    </xf>
    <xf numFmtId="1" fontId="0" fillId="34" borderId="0" xfId="0" applyNumberFormat="1" applyFill="1"/>
    <xf numFmtId="0" fontId="22" fillId="33" borderId="0" xfId="0" applyFont="1" applyFill="1" applyAlignment="1">
      <alignment horizontal="left"/>
    </xf>
    <xf numFmtId="0" fontId="46" fillId="33" borderId="0" xfId="0" applyFont="1" applyFill="1" applyAlignment="1">
      <alignment horizontal="left"/>
    </xf>
    <xf numFmtId="0" fontId="39" fillId="33" borderId="13" xfId="0" applyFont="1" applyFill="1" applyBorder="1" applyAlignment="1">
      <alignment horizontal="left" vertical="top" wrapText="1"/>
    </xf>
    <xf numFmtId="165" fontId="39" fillId="35" borderId="13" xfId="0" applyNumberFormat="1" applyFont="1" applyFill="1" applyBorder="1" applyAlignment="1">
      <alignment horizontal="right" wrapText="1"/>
    </xf>
    <xf numFmtId="165" fontId="39" fillId="33" borderId="13" xfId="0" applyNumberFormat="1" applyFont="1" applyFill="1" applyBorder="1" applyAlignment="1">
      <alignment horizontal="right" wrapText="1"/>
    </xf>
    <xf numFmtId="0" fontId="48" fillId="33" borderId="0" xfId="0" applyFont="1" applyFill="1" applyAlignment="1">
      <alignment horizontal="left"/>
    </xf>
    <xf numFmtId="0" fontId="40" fillId="33" borderId="13" xfId="0" applyFont="1" applyFill="1" applyBorder="1" applyAlignment="1">
      <alignment horizontal="left" vertical="top" wrapText="1"/>
    </xf>
    <xf numFmtId="164" fontId="40" fillId="33" borderId="13" xfId="0" applyNumberFormat="1" applyFont="1" applyFill="1" applyBorder="1" applyAlignment="1">
      <alignment horizontal="right" wrapText="1"/>
    </xf>
    <xf numFmtId="164" fontId="40" fillId="35" borderId="13" xfId="0" applyNumberFormat="1" applyFont="1" applyFill="1" applyBorder="1" applyAlignment="1">
      <alignment horizontal="right" wrapText="1"/>
    </xf>
    <xf numFmtId="0" fontId="20" fillId="33" borderId="13" xfId="0" applyFont="1" applyFill="1" applyBorder="1" applyAlignment="1">
      <alignment horizontal="left" vertical="top" wrapText="1"/>
    </xf>
    <xf numFmtId="164" fontId="20" fillId="33" borderId="13" xfId="0" applyNumberFormat="1" applyFont="1" applyFill="1" applyBorder="1" applyAlignment="1">
      <alignment horizontal="right" wrapText="1"/>
    </xf>
    <xf numFmtId="164" fontId="20" fillId="35" borderId="13" xfId="0" applyNumberFormat="1" applyFont="1" applyFill="1" applyBorder="1" applyAlignment="1">
      <alignment horizontal="right" wrapText="1"/>
    </xf>
    <xf numFmtId="165" fontId="24" fillId="33" borderId="13" xfId="0" applyNumberFormat="1" applyFont="1" applyFill="1" applyBorder="1" applyAlignment="1">
      <alignment horizontal="left" vertical="top" wrapText="1"/>
    </xf>
    <xf numFmtId="164" fontId="39" fillId="33" borderId="13" xfId="0" applyNumberFormat="1" applyFont="1" applyFill="1" applyBorder="1" applyAlignment="1">
      <alignment horizontal="right" wrapText="1"/>
    </xf>
    <xf numFmtId="0" fontId="49" fillId="34" borderId="13" xfId="0" applyFont="1" applyFill="1" applyBorder="1" applyAlignment="1">
      <alignment wrapText="1"/>
    </xf>
    <xf numFmtId="0" fontId="0" fillId="34" borderId="17" xfId="0" applyFill="1" applyBorder="1"/>
    <xf numFmtId="0" fontId="22" fillId="34" borderId="0" xfId="0" applyFont="1" applyFill="1" applyAlignment="1">
      <alignment horizontal="left" wrapText="1"/>
    </xf>
    <xf numFmtId="0" fontId="21" fillId="33" borderId="13" xfId="0" applyFont="1" applyFill="1" applyBorder="1" applyAlignment="1">
      <alignment horizontal="left" vertical="top" wrapText="1"/>
    </xf>
    <xf numFmtId="165" fontId="21" fillId="33" borderId="0" xfId="0" applyNumberFormat="1" applyFont="1" applyFill="1" applyAlignment="1">
      <alignment horizontal="right" wrapText="1"/>
    </xf>
    <xf numFmtId="0" fontId="21" fillId="33" borderId="0" xfId="0" applyFont="1" applyFill="1" applyAlignment="1">
      <alignment horizontal="left" vertical="top" wrapText="1"/>
    </xf>
    <xf numFmtId="0" fontId="54" fillId="34" borderId="0" xfId="0" applyFont="1" applyFill="1" applyAlignment="1">
      <alignment horizontal="left"/>
    </xf>
    <xf numFmtId="164" fontId="21" fillId="33" borderId="0" xfId="0" applyNumberFormat="1" applyFont="1" applyFill="1" applyAlignment="1">
      <alignment horizontal="right" wrapText="1"/>
    </xf>
    <xf numFmtId="0" fontId="39" fillId="33" borderId="13" xfId="0" applyFont="1" applyFill="1" applyBorder="1" applyAlignment="1">
      <alignment vertical="top" wrapText="1"/>
    </xf>
    <xf numFmtId="0" fontId="27" fillId="33" borderId="0" xfId="0" applyFont="1" applyFill="1" applyAlignment="1">
      <alignment horizontal="left"/>
    </xf>
    <xf numFmtId="0" fontId="22" fillId="33" borderId="17" xfId="0" applyFont="1" applyFill="1" applyBorder="1"/>
    <xf numFmtId="0" fontId="21" fillId="33" borderId="0" xfId="0" applyFont="1" applyFill="1" applyAlignment="1">
      <alignment horizontal="right" wrapText="1"/>
    </xf>
    <xf numFmtId="165" fontId="39" fillId="33" borderId="0" xfId="0" applyNumberFormat="1" applyFont="1" applyFill="1" applyAlignment="1">
      <alignment horizontal="right" wrapText="1"/>
    </xf>
    <xf numFmtId="0" fontId="46" fillId="33" borderId="11" xfId="0" applyFont="1" applyFill="1" applyBorder="1"/>
    <xf numFmtId="0" fontId="46" fillId="33" borderId="17" xfId="0" applyFont="1" applyFill="1" applyBorder="1"/>
    <xf numFmtId="0" fontId="46" fillId="33" borderId="0" xfId="0" applyFont="1" applyFill="1"/>
    <xf numFmtId="0" fontId="22" fillId="34" borderId="0" xfId="0" applyFont="1" applyFill="1" applyAlignment="1">
      <alignment wrapText="1"/>
    </xf>
    <xf numFmtId="165" fontId="42" fillId="33" borderId="0" xfId="0" applyNumberFormat="1" applyFont="1" applyFill="1" applyAlignment="1">
      <alignment vertical="top" wrapText="1"/>
    </xf>
    <xf numFmtId="165" fontId="24" fillId="33" borderId="12" xfId="0" applyNumberFormat="1" applyFont="1" applyFill="1" applyBorder="1" applyAlignment="1">
      <alignment vertical="top" wrapText="1"/>
    </xf>
    <xf numFmtId="0" fontId="39" fillId="33" borderId="0" xfId="0" applyFont="1" applyFill="1" applyAlignment="1">
      <alignment horizontal="left"/>
    </xf>
    <xf numFmtId="0" fontId="21" fillId="33" borderId="13" xfId="0" applyFont="1" applyFill="1" applyBorder="1" applyAlignment="1">
      <alignment horizontal="left" wrapText="1"/>
    </xf>
    <xf numFmtId="0" fontId="21" fillId="33" borderId="0" xfId="0" applyFont="1" applyFill="1" applyAlignment="1">
      <alignment horizontal="left" wrapText="1"/>
    </xf>
    <xf numFmtId="165" fontId="20" fillId="33" borderId="12" xfId="0" applyNumberFormat="1" applyFont="1" applyFill="1" applyBorder="1" applyAlignment="1">
      <alignment horizontal="right" wrapText="1"/>
    </xf>
    <xf numFmtId="0" fontId="22" fillId="34" borderId="0" xfId="0" applyFont="1" applyFill="1"/>
    <xf numFmtId="0" fontId="0" fillId="34" borderId="0" xfId="0" applyFill="1" applyAlignment="1">
      <alignment wrapText="1"/>
    </xf>
    <xf numFmtId="0" fontId="21" fillId="34" borderId="13" xfId="0" applyFont="1" applyFill="1" applyBorder="1" applyAlignment="1">
      <alignment horizontal="left" wrapText="1"/>
    </xf>
    <xf numFmtId="166" fontId="0" fillId="34" borderId="0" xfId="0" applyNumberFormat="1" applyFill="1"/>
    <xf numFmtId="165" fontId="41" fillId="33" borderId="0" xfId="0" applyNumberFormat="1" applyFont="1" applyFill="1" applyAlignment="1">
      <alignment horizontal="right" wrapText="1"/>
    </xf>
    <xf numFmtId="166" fontId="55" fillId="34" borderId="0" xfId="0" applyNumberFormat="1" applyFont="1" applyFill="1" applyAlignment="1">
      <alignment horizontal="right"/>
    </xf>
    <xf numFmtId="166" fontId="20" fillId="35" borderId="0" xfId="0" applyNumberFormat="1" applyFont="1" applyFill="1" applyAlignment="1">
      <alignment horizontal="right" wrapText="1"/>
    </xf>
    <xf numFmtId="165" fontId="0" fillId="34" borderId="0" xfId="0" applyNumberFormat="1" applyFill="1"/>
    <xf numFmtId="3" fontId="20" fillId="33" borderId="0" xfId="0" applyNumberFormat="1" applyFont="1" applyFill="1" applyAlignment="1">
      <alignment horizontal="right" wrapText="1"/>
    </xf>
    <xf numFmtId="3" fontId="20" fillId="35" borderId="0" xfId="0" applyNumberFormat="1" applyFont="1" applyFill="1" applyAlignment="1">
      <alignment horizontal="right" wrapText="1"/>
    </xf>
    <xf numFmtId="3" fontId="21" fillId="33" borderId="0" xfId="0" applyNumberFormat="1" applyFont="1" applyFill="1" applyAlignment="1">
      <alignment horizontal="right" wrapText="1"/>
    </xf>
    <xf numFmtId="164" fontId="45" fillId="33" borderId="0" xfId="0" applyNumberFormat="1" applyFont="1" applyFill="1" applyAlignment="1">
      <alignment horizontal="right" wrapText="1"/>
    </xf>
    <xf numFmtId="3" fontId="0" fillId="34" borderId="0" xfId="0" applyNumberFormat="1" applyFill="1"/>
    <xf numFmtId="167" fontId="0" fillId="0" borderId="0" xfId="0" applyNumberFormat="1"/>
    <xf numFmtId="168" fontId="0" fillId="34" borderId="0" xfId="0" applyNumberFormat="1" applyFill="1"/>
    <xf numFmtId="4" fontId="0" fillId="34" borderId="0" xfId="0" applyNumberFormat="1" applyFill="1"/>
    <xf numFmtId="164" fontId="0" fillId="34" borderId="0" xfId="0" applyNumberFormat="1" applyFill="1"/>
    <xf numFmtId="3" fontId="0" fillId="35" borderId="0" xfId="0" applyNumberFormat="1" applyFill="1"/>
    <xf numFmtId="165" fontId="0" fillId="35" borderId="0" xfId="0" applyNumberFormat="1" applyFill="1"/>
    <xf numFmtId="165" fontId="21" fillId="33" borderId="13" xfId="0" applyNumberFormat="1" applyFont="1" applyFill="1" applyBorder="1" applyAlignment="1">
      <alignment horizontal="right" wrapText="1"/>
    </xf>
    <xf numFmtId="165" fontId="42" fillId="33" borderId="13" xfId="0" applyNumberFormat="1" applyFont="1" applyFill="1" applyBorder="1" applyAlignment="1">
      <alignment horizontal="left" vertical="top" wrapText="1"/>
    </xf>
    <xf numFmtId="165" fontId="22" fillId="34" borderId="0" xfId="0" applyNumberFormat="1" applyFont="1" applyFill="1" applyAlignment="1">
      <alignment horizontal="left"/>
    </xf>
    <xf numFmtId="164" fontId="21" fillId="35" borderId="0" xfId="0" applyNumberFormat="1" applyFont="1" applyFill="1" applyAlignment="1">
      <alignment horizontal="right" wrapText="1"/>
    </xf>
    <xf numFmtId="4" fontId="0" fillId="35" borderId="0" xfId="0" applyNumberFormat="1" applyFill="1"/>
    <xf numFmtId="168" fontId="20" fillId="33" borderId="0" xfId="0" applyNumberFormat="1" applyFont="1" applyFill="1" applyAlignment="1">
      <alignment horizontal="right" wrapText="1"/>
    </xf>
    <xf numFmtId="168" fontId="40" fillId="33" borderId="0" xfId="0" applyNumberFormat="1" applyFont="1" applyFill="1" applyAlignment="1">
      <alignment horizontal="right" wrapText="1"/>
    </xf>
    <xf numFmtId="168" fontId="21" fillId="33" borderId="0" xfId="0" applyNumberFormat="1" applyFont="1" applyFill="1" applyAlignment="1">
      <alignment horizontal="right" wrapText="1"/>
    </xf>
    <xf numFmtId="165" fontId="20" fillId="33" borderId="13" xfId="0" applyNumberFormat="1" applyFont="1" applyFill="1" applyBorder="1" applyAlignment="1">
      <alignment horizontal="right" wrapText="1"/>
    </xf>
    <xf numFmtId="0" fontId="0" fillId="34" borderId="0" xfId="0" applyFill="1" applyAlignment="1">
      <alignment horizontal="left"/>
    </xf>
    <xf numFmtId="166" fontId="22" fillId="34" borderId="0" xfId="0" applyNumberFormat="1" applyFont="1" applyFill="1" applyAlignment="1">
      <alignment horizontal="left"/>
    </xf>
    <xf numFmtId="0" fontId="18" fillId="34" borderId="13" xfId="0" applyFont="1" applyFill="1" applyBorder="1"/>
    <xf numFmtId="0" fontId="0" fillId="34" borderId="0" xfId="0" applyFill="1" applyAlignment="1">
      <alignment horizontal="right"/>
    </xf>
    <xf numFmtId="4" fontId="22" fillId="34" borderId="0" xfId="0" applyNumberFormat="1" applyFont="1" applyFill="1" applyAlignment="1">
      <alignment horizontal="left"/>
    </xf>
    <xf numFmtId="169" fontId="0" fillId="34" borderId="0" xfId="0" applyNumberFormat="1" applyFill="1"/>
    <xf numFmtId="164" fontId="22" fillId="34" borderId="0" xfId="0" applyNumberFormat="1" applyFont="1" applyFill="1" applyAlignment="1">
      <alignment horizontal="left" wrapText="1"/>
    </xf>
    <xf numFmtId="165" fontId="22" fillId="34" borderId="0" xfId="0" applyNumberFormat="1" applyFont="1" applyFill="1" applyAlignment="1">
      <alignment horizontal="left" wrapText="1"/>
    </xf>
    <xf numFmtId="168" fontId="22" fillId="34" borderId="0" xfId="0" applyNumberFormat="1" applyFont="1" applyFill="1" applyAlignment="1">
      <alignment horizontal="left"/>
    </xf>
    <xf numFmtId="165" fontId="39" fillId="33" borderId="17" xfId="0" applyNumberFormat="1" applyFont="1" applyFill="1" applyBorder="1" applyAlignment="1">
      <alignment horizontal="right" wrapText="1"/>
    </xf>
    <xf numFmtId="165" fontId="22" fillId="33" borderId="0" xfId="0" applyNumberFormat="1" applyFont="1" applyFill="1" applyAlignment="1">
      <alignment horizontal="left"/>
    </xf>
    <xf numFmtId="165" fontId="56" fillId="33" borderId="0" xfId="0" applyNumberFormat="1" applyFont="1" applyFill="1" applyAlignment="1">
      <alignment horizontal="right" wrapText="1"/>
    </xf>
    <xf numFmtId="164" fontId="0" fillId="0" borderId="0" xfId="0" applyNumberFormat="1"/>
    <xf numFmtId="170" fontId="0" fillId="34" borderId="0" xfId="0" applyNumberFormat="1" applyFill="1"/>
    <xf numFmtId="171" fontId="0" fillId="34" borderId="0" xfId="0" applyNumberFormat="1" applyFill="1"/>
    <xf numFmtId="167" fontId="20" fillId="33" borderId="0" xfId="44" applyNumberFormat="1" applyFont="1" applyFill="1" applyBorder="1" applyAlignment="1" applyProtection="1">
      <alignment horizontal="right" wrapText="1"/>
    </xf>
    <xf numFmtId="172" fontId="0" fillId="34" borderId="0" xfId="0" applyNumberFormat="1" applyFill="1"/>
    <xf numFmtId="167" fontId="0" fillId="34" borderId="0" xfId="0" applyNumberFormat="1" applyFill="1"/>
    <xf numFmtId="167" fontId="0" fillId="34" borderId="0" xfId="0" applyNumberFormat="1" applyFill="1" applyAlignment="1">
      <alignment horizontal="left"/>
    </xf>
    <xf numFmtId="171" fontId="0" fillId="34" borderId="0" xfId="0" applyNumberFormat="1" applyFill="1" applyAlignment="1">
      <alignment horizontal="left"/>
    </xf>
    <xf numFmtId="173" fontId="0" fillId="34" borderId="0" xfId="0" applyNumberFormat="1" applyFill="1"/>
    <xf numFmtId="174" fontId="0" fillId="34" borderId="0" xfId="0" applyNumberFormat="1" applyFill="1"/>
    <xf numFmtId="164" fontId="57" fillId="33" borderId="0" xfId="0" applyNumberFormat="1" applyFont="1" applyFill="1" applyAlignment="1">
      <alignment horizontal="right" wrapText="1"/>
    </xf>
    <xf numFmtId="0" fontId="21" fillId="33" borderId="13" xfId="0" applyFont="1" applyFill="1" applyBorder="1" applyAlignment="1">
      <alignment horizontal="right" wrapText="1"/>
    </xf>
    <xf numFmtId="164" fontId="58" fillId="33" borderId="0" xfId="0" applyNumberFormat="1" applyFont="1" applyFill="1" applyAlignment="1">
      <alignment horizontal="right" wrapText="1"/>
    </xf>
    <xf numFmtId="0" fontId="28" fillId="0" borderId="0" xfId="0" applyFont="1"/>
    <xf numFmtId="0" fontId="30" fillId="0" borderId="0" xfId="0" applyFont="1"/>
    <xf numFmtId="0" fontId="31" fillId="0" borderId="0" xfId="0" applyFont="1"/>
    <xf numFmtId="0" fontId="32" fillId="0" borderId="0" xfId="42" applyFont="1" applyFill="1"/>
    <xf numFmtId="0" fontId="33" fillId="0" borderId="0" xfId="0" applyFont="1"/>
    <xf numFmtId="0" fontId="34" fillId="0" borderId="0" xfId="0" applyFont="1"/>
    <xf numFmtId="3" fontId="32" fillId="0" borderId="0" xfId="42" applyNumberFormat="1" applyFont="1" applyFill="1" applyBorder="1" applyAlignment="1" applyProtection="1">
      <alignment horizontal="left" wrapText="1"/>
    </xf>
    <xf numFmtId="4" fontId="32" fillId="0" borderId="0" xfId="42" applyNumberFormat="1" applyFont="1" applyFill="1" applyBorder="1" applyAlignment="1" applyProtection="1">
      <alignment horizontal="left" wrapText="1"/>
    </xf>
    <xf numFmtId="0" fontId="59" fillId="0" borderId="0" xfId="42" applyFont="1" applyFill="1"/>
    <xf numFmtId="0" fontId="60" fillId="0" borderId="0" xfId="0" applyFont="1"/>
    <xf numFmtId="0" fontId="59" fillId="0" borderId="0" xfId="0" applyFont="1"/>
    <xf numFmtId="0" fontId="59" fillId="0" borderId="0" xfId="0" applyFont="1" applyAlignment="1">
      <alignment wrapText="1"/>
    </xf>
    <xf numFmtId="0" fontId="38" fillId="35" borderId="0" xfId="0" applyFont="1" applyFill="1" applyAlignment="1">
      <alignment horizontal="left" wrapText="1"/>
    </xf>
    <xf numFmtId="0" fontId="29" fillId="0" borderId="0" xfId="0" applyFont="1" applyAlignment="1">
      <alignment wrapText="1"/>
    </xf>
    <xf numFmtId="0" fontId="29" fillId="0" borderId="0" xfId="0" applyFont="1"/>
    <xf numFmtId="0" fontId="22" fillId="33" borderId="0" xfId="0" applyFont="1" applyFill="1" applyAlignment="1">
      <alignment horizontal="left"/>
    </xf>
    <xf numFmtId="0" fontId="22" fillId="33" borderId="0" xfId="0" applyFont="1" applyFill="1" applyAlignment="1">
      <alignment horizontal="left" wrapText="1"/>
    </xf>
    <xf numFmtId="0" fontId="27" fillId="33" borderId="0" xfId="0" applyFont="1" applyFill="1" applyAlignment="1">
      <alignment horizontal="left"/>
    </xf>
    <xf numFmtId="0" fontId="22" fillId="33" borderId="11" xfId="0" applyFont="1" applyFill="1" applyBorder="1" applyAlignment="1">
      <alignment horizontal="left"/>
    </xf>
    <xf numFmtId="0" fontId="19" fillId="33" borderId="0" xfId="0" applyFont="1" applyFill="1" applyAlignment="1">
      <alignment horizontal="left"/>
    </xf>
    <xf numFmtId="0" fontId="22" fillId="34" borderId="0" xfId="0" applyFont="1" applyFill="1" applyAlignment="1">
      <alignment horizontal="left" wrapText="1"/>
    </xf>
    <xf numFmtId="0" fontId="39" fillId="33" borderId="0" xfId="0" applyFont="1" applyFill="1" applyAlignment="1">
      <alignment horizontal="left" vertical="top" wrapText="1"/>
    </xf>
    <xf numFmtId="0" fontId="27" fillId="33" borderId="0" xfId="0" applyFont="1" applyFill="1" applyAlignment="1">
      <alignment horizontal="left" wrapText="1"/>
    </xf>
    <xf numFmtId="0" fontId="19" fillId="33" borderId="0" xfId="0" applyFont="1" applyFill="1" applyAlignment="1">
      <alignment horizontal="left" wrapText="1"/>
    </xf>
    <xf numFmtId="0" fontId="22" fillId="33" borderId="17" xfId="0" applyFont="1" applyFill="1" applyBorder="1" applyAlignment="1">
      <alignment horizontal="left"/>
    </xf>
    <xf numFmtId="165" fontId="42" fillId="33" borderId="0" xfId="0" applyNumberFormat="1" applyFont="1" applyFill="1" applyAlignment="1">
      <alignment horizontal="left" vertical="top" wrapText="1"/>
    </xf>
    <xf numFmtId="0" fontId="46" fillId="33" borderId="0" xfId="0" applyFont="1" applyFill="1" applyAlignment="1">
      <alignment horizontal="left"/>
    </xf>
    <xf numFmtId="0" fontId="39" fillId="33" borderId="13" xfId="0" applyFont="1" applyFill="1" applyBorder="1" applyAlignment="1">
      <alignment horizontal="left" vertical="top" wrapText="1"/>
    </xf>
    <xf numFmtId="165" fontId="42" fillId="33" borderId="13" xfId="0" applyNumberFormat="1" applyFont="1" applyFill="1" applyBorder="1" applyAlignment="1">
      <alignment horizontal="left" vertical="top" wrapText="1"/>
    </xf>
    <xf numFmtId="0" fontId="46" fillId="33" borderId="11" xfId="0" applyFont="1" applyFill="1" applyBorder="1" applyAlignment="1">
      <alignment horizontal="left"/>
    </xf>
    <xf numFmtId="165" fontId="24" fillId="33" borderId="0" xfId="0" applyNumberFormat="1" applyFont="1" applyFill="1" applyAlignment="1">
      <alignment horizontal="left" vertical="top" wrapText="1"/>
    </xf>
    <xf numFmtId="0" fontId="21" fillId="33" borderId="0" xfId="0" applyFont="1" applyFill="1" applyAlignment="1">
      <alignment horizontal="left" vertical="top" wrapText="1"/>
    </xf>
    <xf numFmtId="0" fontId="46" fillId="33" borderId="17" xfId="0" applyFont="1" applyFill="1" applyBorder="1" applyAlignment="1">
      <alignment horizontal="left"/>
    </xf>
    <xf numFmtId="0" fontId="21" fillId="33" borderId="12" xfId="0" applyFont="1" applyFill="1" applyBorder="1" applyAlignment="1">
      <alignment horizontal="left" vertical="top" wrapText="1"/>
    </xf>
    <xf numFmtId="0" fontId="19" fillId="0" borderId="0" xfId="0" applyFont="1" applyAlignment="1">
      <alignment horizontal="left" wrapText="1"/>
    </xf>
    <xf numFmtId="0" fontId="43" fillId="33" borderId="0" xfId="0" applyFont="1" applyFill="1" applyAlignment="1">
      <alignment horizontal="left" wrapText="1"/>
    </xf>
    <xf numFmtId="0" fontId="48" fillId="33" borderId="0" xfId="0" applyFont="1" applyFill="1" applyAlignment="1">
      <alignment horizontal="left"/>
    </xf>
    <xf numFmtId="0" fontId="43" fillId="33" borderId="0" xfId="0" applyFont="1" applyFill="1" applyAlignment="1">
      <alignment horizontal="left"/>
    </xf>
    <xf numFmtId="0" fontId="48" fillId="33" borderId="17" xfId="0" applyFont="1" applyFill="1" applyBorder="1" applyAlignment="1">
      <alignment horizontal="left"/>
    </xf>
    <xf numFmtId="0" fontId="48" fillId="34" borderId="0" xfId="0" applyFont="1" applyFill="1" applyAlignment="1">
      <alignment horizontal="left" wrapText="1"/>
    </xf>
    <xf numFmtId="0" fontId="44" fillId="33" borderId="0" xfId="0" applyFont="1" applyFill="1" applyAlignment="1">
      <alignment horizontal="left" wrapText="1"/>
    </xf>
    <xf numFmtId="0" fontId="44" fillId="33" borderId="0" xfId="0" applyFont="1" applyFill="1" applyAlignment="1">
      <alignment horizontal="left"/>
    </xf>
    <xf numFmtId="0" fontId="46" fillId="34" borderId="0" xfId="0" applyFont="1" applyFill="1" applyAlignment="1">
      <alignment horizontal="left" wrapText="1"/>
    </xf>
    <xf numFmtId="0" fontId="21" fillId="35" borderId="0" xfId="0" applyFont="1" applyFill="1" applyAlignment="1">
      <alignment horizontal="center"/>
    </xf>
    <xf numFmtId="0" fontId="39" fillId="35" borderId="0" xfId="0" applyFont="1" applyFill="1" applyAlignment="1">
      <alignment horizontal="center"/>
    </xf>
    <xf numFmtId="0" fontId="39" fillId="33" borderId="12" xfId="0" applyFont="1" applyFill="1" applyBorder="1" applyAlignment="1">
      <alignment horizontal="center" wrapText="1"/>
    </xf>
    <xf numFmtId="0" fontId="39" fillId="33" borderId="0" xfId="0" applyFont="1" applyFill="1" applyAlignment="1">
      <alignment horizontal="center"/>
    </xf>
    <xf numFmtId="0" fontId="21" fillId="33" borderId="0" xfId="0" applyFont="1" applyFill="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4"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2 2" xfId="43" xr:uid="{00000000-0005-0000-0000-000027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xdr:colOff>
          <xdr:row>30</xdr:row>
          <xdr:rowOff>9525</xdr:rowOff>
        </xdr:to>
        <xdr:pic>
          <xdr:nvPicPr>
            <xdr:cNvPr id="2" name="Picture 1">
              <a:extLst>
                <a:ext uri="{FF2B5EF4-FFF2-40B4-BE49-F238E27FC236}">
                  <a16:creationId xmlns:a16="http://schemas.microsoft.com/office/drawing/2014/main" id="{3650C0B0-59FF-BA5D-1BCD-241ECE0EB75E}"/>
                </a:ext>
              </a:extLst>
            </xdr:cNvPr>
            <xdr:cNvPicPr>
              <a:picLocks noChangeAspect="1" noChangeArrowheads="1"/>
              <a:extLst>
                <a:ext uri="{84589F7E-364E-4C9E-8A38-B11213B215E9}">
                  <a14:cameraTool cellRange="$I$58" spid="_x0000_s16851"/>
                </a:ext>
              </a:extLst>
            </xdr:cNvPicPr>
          </xdr:nvPicPr>
          <xdr:blipFill>
            <a:blip xmlns:r="http://schemas.openxmlformats.org/officeDocument/2006/relationships" r:embed="rId1"/>
            <a:srcRect/>
            <a:stretch>
              <a:fillRect/>
            </a:stretch>
          </xdr:blipFill>
          <xdr:spPr bwMode="auto">
            <a:xfrm>
              <a:off x="4572000" y="5581650"/>
              <a:ext cx="771525" cy="2000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7"/>
  <sheetViews>
    <sheetView tabSelected="1" workbookViewId="0"/>
  </sheetViews>
  <sheetFormatPr defaultColWidth="9.140625" defaultRowHeight="12.75" x14ac:dyDescent="0.2"/>
  <cols>
    <col min="1" max="1" width="6.7109375" style="167" bestFit="1" customWidth="1"/>
    <col min="2" max="2" width="47.5703125" style="167" bestFit="1" customWidth="1"/>
    <col min="3" max="16384" width="9.140625" style="167"/>
  </cols>
  <sheetData>
    <row r="1" spans="1:15" ht="16.5" customHeight="1" x14ac:dyDescent="0.25">
      <c r="A1" s="166" t="s">
        <v>362</v>
      </c>
      <c r="B1" s="15"/>
    </row>
    <row r="2" spans="1:15" ht="16.5" customHeight="1" x14ac:dyDescent="0.25">
      <c r="A2" s="166" t="s">
        <v>370</v>
      </c>
      <c r="B2" s="168"/>
    </row>
    <row r="3" spans="1:15" ht="16.5" customHeight="1" x14ac:dyDescent="0.25">
      <c r="A3" s="166"/>
      <c r="B3" s="168"/>
    </row>
    <row r="4" spans="1:15" ht="16.5" customHeight="1" x14ac:dyDescent="0.2">
      <c r="B4" s="169" t="s">
        <v>82</v>
      </c>
    </row>
    <row r="5" spans="1:15" ht="16.5" customHeight="1" x14ac:dyDescent="0.2">
      <c r="B5" s="15"/>
    </row>
    <row r="6" spans="1:15" ht="16.5" customHeight="1" x14ac:dyDescent="0.25">
      <c r="A6" s="170"/>
      <c r="B6" s="15"/>
    </row>
    <row r="7" spans="1:15" ht="16.5" customHeight="1" x14ac:dyDescent="0.25">
      <c r="A7" s="170" t="s">
        <v>83</v>
      </c>
      <c r="B7" s="15"/>
    </row>
    <row r="8" spans="1:15" ht="16.5" customHeight="1" x14ac:dyDescent="0.2">
      <c r="B8" s="15"/>
    </row>
    <row r="9" spans="1:15" ht="16.5" customHeight="1" x14ac:dyDescent="0.25">
      <c r="B9" s="171" t="s">
        <v>84</v>
      </c>
    </row>
    <row r="10" spans="1:15" s="175" customFormat="1" ht="16.5" customHeight="1" x14ac:dyDescent="0.2">
      <c r="B10" s="176" t="s">
        <v>217</v>
      </c>
      <c r="C10" s="176"/>
      <c r="D10" s="176"/>
      <c r="E10" s="176"/>
      <c r="F10" s="176"/>
      <c r="G10" s="176"/>
      <c r="H10" s="176"/>
      <c r="I10" s="176"/>
      <c r="J10" s="176"/>
      <c r="K10" s="176"/>
      <c r="L10" s="176"/>
      <c r="M10" s="176"/>
      <c r="N10" s="176"/>
      <c r="O10" s="176"/>
    </row>
    <row r="11" spans="1:15" s="175" customFormat="1" ht="16.5" customHeight="1" x14ac:dyDescent="0.2">
      <c r="A11" s="174"/>
      <c r="B11" s="176" t="s">
        <v>218</v>
      </c>
      <c r="C11" s="176"/>
      <c r="D11" s="176"/>
      <c r="E11" s="176"/>
      <c r="F11" s="176"/>
      <c r="G11" s="176"/>
      <c r="H11" s="176"/>
      <c r="I11" s="176"/>
      <c r="J11" s="176"/>
      <c r="K11" s="176"/>
      <c r="L11" s="176"/>
      <c r="M11" s="176"/>
      <c r="N11" s="176"/>
      <c r="O11" s="176"/>
    </row>
    <row r="12" spans="1:15" s="175" customFormat="1" ht="16.5" customHeight="1" x14ac:dyDescent="0.2">
      <c r="B12" s="176" t="s">
        <v>219</v>
      </c>
      <c r="C12" s="176"/>
      <c r="D12" s="176"/>
      <c r="E12" s="176"/>
      <c r="F12" s="176"/>
      <c r="G12" s="176"/>
      <c r="H12" s="176"/>
      <c r="I12" s="176"/>
      <c r="J12" s="176"/>
      <c r="K12" s="176"/>
      <c r="L12" s="176"/>
      <c r="M12" s="176"/>
      <c r="N12" s="176"/>
      <c r="O12" s="176"/>
    </row>
    <row r="13" spans="1:15" s="175" customFormat="1" ht="16.5" customHeight="1" x14ac:dyDescent="0.2">
      <c r="A13" s="174"/>
      <c r="B13" s="176" t="s">
        <v>220</v>
      </c>
      <c r="C13" s="176"/>
      <c r="D13" s="176"/>
      <c r="E13" s="176"/>
      <c r="F13" s="176"/>
      <c r="G13" s="176"/>
      <c r="H13" s="176"/>
      <c r="I13" s="176"/>
      <c r="J13" s="176"/>
      <c r="K13" s="176"/>
      <c r="L13" s="176"/>
      <c r="M13" s="176"/>
      <c r="N13" s="176"/>
      <c r="O13" s="176"/>
    </row>
    <row r="14" spans="1:15" s="175" customFormat="1" ht="16.5" customHeight="1" x14ac:dyDescent="0.2">
      <c r="A14" s="174"/>
      <c r="B14" s="176" t="s">
        <v>221</v>
      </c>
      <c r="C14" s="176"/>
      <c r="D14" s="176"/>
      <c r="E14" s="176"/>
      <c r="F14" s="176"/>
      <c r="G14" s="176"/>
      <c r="H14" s="176"/>
      <c r="I14" s="176"/>
      <c r="J14" s="176"/>
      <c r="K14" s="176"/>
      <c r="L14" s="176"/>
      <c r="M14" s="176"/>
      <c r="N14" s="176"/>
      <c r="O14" s="176"/>
    </row>
    <row r="15" spans="1:15" s="175" customFormat="1" ht="16.5" customHeight="1" x14ac:dyDescent="0.2">
      <c r="A15" s="174"/>
      <c r="B15" s="176" t="s">
        <v>222</v>
      </c>
      <c r="C15" s="176"/>
      <c r="D15" s="176"/>
      <c r="E15" s="176"/>
      <c r="F15" s="176"/>
      <c r="G15" s="176"/>
      <c r="H15" s="176"/>
      <c r="I15" s="176"/>
      <c r="J15" s="176"/>
      <c r="K15" s="176"/>
      <c r="L15" s="176"/>
      <c r="M15" s="176"/>
      <c r="N15" s="176"/>
      <c r="O15" s="176"/>
    </row>
    <row r="16" spans="1:15" s="175" customFormat="1" ht="16.5" customHeight="1" x14ac:dyDescent="0.2">
      <c r="A16" s="174"/>
      <c r="B16" s="176" t="s">
        <v>223</v>
      </c>
      <c r="C16" s="176"/>
      <c r="D16" s="176"/>
      <c r="E16" s="176"/>
      <c r="F16" s="176"/>
      <c r="G16" s="176"/>
      <c r="H16" s="176"/>
      <c r="I16" s="176"/>
      <c r="J16" s="176"/>
      <c r="K16" s="176"/>
      <c r="L16" s="176"/>
      <c r="M16" s="176"/>
      <c r="N16" s="176"/>
      <c r="O16" s="176"/>
    </row>
    <row r="17" spans="1:15" s="175" customFormat="1" ht="16.5" customHeight="1" x14ac:dyDescent="0.2">
      <c r="A17" s="174"/>
      <c r="B17" s="176" t="s">
        <v>224</v>
      </c>
      <c r="C17" s="176"/>
      <c r="D17" s="176"/>
      <c r="E17" s="176"/>
      <c r="F17" s="176"/>
      <c r="G17" s="176"/>
      <c r="H17" s="176"/>
      <c r="I17" s="176"/>
      <c r="J17" s="176"/>
      <c r="K17" s="176"/>
      <c r="L17" s="176"/>
      <c r="M17" s="176"/>
      <c r="N17" s="176"/>
      <c r="O17" s="176"/>
    </row>
    <row r="18" spans="1:15" s="175" customFormat="1" ht="16.5" customHeight="1" x14ac:dyDescent="0.2">
      <c r="B18" s="176" t="s">
        <v>225</v>
      </c>
      <c r="C18" s="176"/>
      <c r="D18" s="176"/>
      <c r="E18" s="176"/>
      <c r="F18" s="176"/>
      <c r="G18" s="176"/>
      <c r="H18" s="176"/>
      <c r="I18" s="176"/>
      <c r="J18" s="176"/>
      <c r="K18" s="176"/>
      <c r="L18" s="176"/>
      <c r="M18" s="176"/>
      <c r="N18" s="176"/>
      <c r="O18" s="176"/>
    </row>
    <row r="19" spans="1:15" s="175" customFormat="1" ht="16.5" customHeight="1" x14ac:dyDescent="0.2">
      <c r="B19" s="176" t="s">
        <v>226</v>
      </c>
      <c r="C19" s="176"/>
      <c r="D19" s="176"/>
      <c r="E19" s="176"/>
      <c r="F19" s="176"/>
      <c r="G19" s="176"/>
      <c r="H19" s="176"/>
      <c r="I19" s="176"/>
      <c r="J19" s="176"/>
      <c r="K19" s="176"/>
      <c r="L19" s="176"/>
      <c r="M19" s="176"/>
      <c r="N19" s="176"/>
      <c r="O19" s="176"/>
    </row>
    <row r="20" spans="1:15" s="175" customFormat="1" ht="16.5" customHeight="1" x14ac:dyDescent="0.2">
      <c r="B20" s="176" t="s">
        <v>227</v>
      </c>
      <c r="C20" s="176"/>
      <c r="D20" s="176"/>
      <c r="E20" s="176"/>
      <c r="F20" s="176"/>
      <c r="G20" s="176"/>
      <c r="H20" s="176"/>
      <c r="I20" s="176"/>
      <c r="J20" s="176"/>
      <c r="K20" s="176"/>
      <c r="L20" s="176"/>
      <c r="M20" s="176"/>
      <c r="N20" s="176"/>
      <c r="O20" s="176"/>
    </row>
    <row r="21" spans="1:15" s="175" customFormat="1" ht="16.5" customHeight="1" x14ac:dyDescent="0.2">
      <c r="B21" s="176" t="s">
        <v>228</v>
      </c>
      <c r="C21" s="176"/>
      <c r="D21" s="176"/>
      <c r="E21" s="176"/>
      <c r="F21" s="176"/>
      <c r="G21" s="176"/>
      <c r="H21" s="176"/>
      <c r="I21" s="176"/>
      <c r="J21" s="176"/>
      <c r="K21" s="176"/>
      <c r="L21" s="176"/>
      <c r="M21" s="176"/>
      <c r="N21" s="176"/>
      <c r="O21" s="176"/>
    </row>
    <row r="22" spans="1:15" s="175" customFormat="1" ht="16.5" customHeight="1" x14ac:dyDescent="0.2">
      <c r="B22" s="176" t="s">
        <v>229</v>
      </c>
      <c r="C22" s="176"/>
      <c r="D22" s="176"/>
      <c r="E22" s="176"/>
      <c r="F22" s="176"/>
      <c r="G22" s="176"/>
      <c r="H22" s="176"/>
      <c r="I22" s="176"/>
      <c r="J22" s="176"/>
      <c r="K22" s="176"/>
      <c r="L22" s="176"/>
      <c r="M22" s="176"/>
      <c r="N22" s="176"/>
      <c r="O22" s="176"/>
    </row>
    <row r="23" spans="1:15" s="175" customFormat="1" ht="16.5" customHeight="1" x14ac:dyDescent="0.2">
      <c r="B23" s="176" t="s">
        <v>230</v>
      </c>
      <c r="C23" s="176"/>
      <c r="D23" s="176"/>
      <c r="E23" s="176"/>
      <c r="F23" s="176"/>
      <c r="G23" s="176"/>
      <c r="H23" s="176"/>
      <c r="I23" s="176"/>
      <c r="J23" s="176"/>
      <c r="K23" s="176"/>
      <c r="L23" s="176"/>
      <c r="M23" s="176"/>
      <c r="N23" s="176"/>
      <c r="O23" s="176"/>
    </row>
    <row r="24" spans="1:15" s="175" customFormat="1" ht="16.5" customHeight="1" x14ac:dyDescent="0.2">
      <c r="B24" s="176" t="s">
        <v>231</v>
      </c>
      <c r="C24" s="176"/>
      <c r="D24" s="176"/>
      <c r="E24" s="176"/>
      <c r="F24" s="176"/>
      <c r="G24" s="176"/>
      <c r="H24" s="176"/>
      <c r="I24" s="176"/>
      <c r="J24" s="176"/>
      <c r="K24" s="176"/>
      <c r="L24" s="176"/>
      <c r="M24" s="176"/>
      <c r="N24" s="176"/>
      <c r="O24" s="176"/>
    </row>
    <row r="25" spans="1:15" s="175" customFormat="1" ht="16.5" customHeight="1" x14ac:dyDescent="0.2">
      <c r="B25" s="176" t="s">
        <v>232</v>
      </c>
      <c r="C25" s="176"/>
      <c r="D25" s="176"/>
      <c r="E25" s="176"/>
      <c r="F25" s="176"/>
      <c r="G25" s="176"/>
      <c r="H25" s="176"/>
      <c r="I25" s="176"/>
      <c r="J25" s="176"/>
      <c r="K25" s="176"/>
      <c r="L25" s="176"/>
      <c r="M25" s="176"/>
      <c r="N25" s="176"/>
      <c r="O25" s="176"/>
    </row>
    <row r="26" spans="1:15" ht="16.5" customHeight="1" x14ac:dyDescent="0.2">
      <c r="B26" s="172"/>
    </row>
    <row r="27" spans="1:15" ht="16.5" customHeight="1" x14ac:dyDescent="0.25">
      <c r="B27" s="171" t="s">
        <v>85</v>
      </c>
    </row>
    <row r="28" spans="1:15" s="175" customFormat="1" ht="16.5" customHeight="1" x14ac:dyDescent="0.2">
      <c r="B28" s="176" t="s">
        <v>383</v>
      </c>
      <c r="C28" s="176"/>
      <c r="D28" s="176"/>
      <c r="E28" s="176"/>
      <c r="F28" s="176"/>
      <c r="G28" s="176"/>
      <c r="H28" s="176"/>
      <c r="I28" s="176"/>
      <c r="J28" s="176"/>
      <c r="K28" s="176"/>
      <c r="L28" s="176"/>
      <c r="M28" s="176"/>
      <c r="N28" s="176"/>
      <c r="O28" s="176"/>
    </row>
    <row r="29" spans="1:15" s="175" customFormat="1" ht="16.5" customHeight="1" x14ac:dyDescent="0.2">
      <c r="B29" s="176" t="s">
        <v>384</v>
      </c>
      <c r="C29" s="176"/>
      <c r="D29" s="176"/>
      <c r="E29" s="176"/>
      <c r="F29" s="176"/>
      <c r="G29" s="176"/>
      <c r="H29" s="176"/>
      <c r="I29" s="176"/>
      <c r="J29" s="176"/>
      <c r="K29" s="176"/>
      <c r="L29" s="176"/>
      <c r="M29" s="176"/>
      <c r="N29" s="176"/>
      <c r="O29" s="176"/>
    </row>
    <row r="30" spans="1:15" s="175" customFormat="1" ht="16.5" customHeight="1" x14ac:dyDescent="0.2">
      <c r="B30" s="176" t="s">
        <v>385</v>
      </c>
      <c r="C30" s="176"/>
      <c r="D30" s="176"/>
      <c r="E30" s="176"/>
      <c r="F30" s="176"/>
      <c r="G30" s="176"/>
      <c r="H30" s="176"/>
      <c r="I30" s="176"/>
      <c r="J30" s="176"/>
      <c r="K30" s="176"/>
      <c r="L30" s="176"/>
      <c r="M30" s="176"/>
      <c r="N30" s="176"/>
      <c r="O30" s="176"/>
    </row>
    <row r="31" spans="1:15" s="175" customFormat="1" ht="16.5" customHeight="1" x14ac:dyDescent="0.2">
      <c r="B31" s="176" t="s">
        <v>386</v>
      </c>
      <c r="C31" s="176"/>
      <c r="D31" s="176"/>
      <c r="E31" s="176"/>
      <c r="F31" s="176"/>
      <c r="G31" s="176"/>
      <c r="H31" s="176"/>
      <c r="I31" s="176"/>
      <c r="J31" s="176"/>
      <c r="K31" s="176"/>
      <c r="L31" s="176"/>
      <c r="M31" s="176"/>
      <c r="N31" s="176"/>
      <c r="O31" s="176"/>
    </row>
    <row r="32" spans="1:15" s="175" customFormat="1" ht="16.5" customHeight="1" x14ac:dyDescent="0.2">
      <c r="B32" s="176" t="s">
        <v>371</v>
      </c>
      <c r="C32" s="176"/>
      <c r="D32" s="176"/>
      <c r="E32" s="176"/>
      <c r="F32" s="176"/>
      <c r="G32" s="176"/>
      <c r="H32" s="176"/>
      <c r="I32" s="176"/>
      <c r="J32" s="176"/>
      <c r="K32" s="176"/>
      <c r="L32" s="176"/>
      <c r="M32" s="176"/>
      <c r="N32" s="176"/>
      <c r="O32" s="176"/>
    </row>
    <row r="33" spans="1:15" s="175" customFormat="1" ht="16.5" customHeight="1" x14ac:dyDescent="0.2">
      <c r="B33" s="176" t="s">
        <v>372</v>
      </c>
      <c r="C33" s="176"/>
      <c r="D33" s="176"/>
      <c r="E33" s="176"/>
      <c r="F33" s="176"/>
      <c r="G33" s="176"/>
      <c r="H33" s="176"/>
      <c r="I33" s="176"/>
      <c r="J33" s="176"/>
      <c r="K33" s="176"/>
      <c r="L33" s="176"/>
      <c r="M33" s="176"/>
      <c r="N33" s="176"/>
      <c r="O33" s="176"/>
    </row>
    <row r="34" spans="1:15" s="175" customFormat="1" ht="16.5" customHeight="1" x14ac:dyDescent="0.2">
      <c r="B34" s="176" t="s">
        <v>373</v>
      </c>
      <c r="C34" s="176"/>
      <c r="D34" s="176"/>
      <c r="E34" s="176"/>
      <c r="F34" s="176"/>
      <c r="G34" s="176"/>
      <c r="H34" s="176"/>
      <c r="I34" s="176"/>
      <c r="J34" s="176"/>
      <c r="K34" s="176"/>
      <c r="L34" s="176"/>
      <c r="M34" s="176"/>
      <c r="N34" s="176"/>
      <c r="O34" s="176"/>
    </row>
    <row r="35" spans="1:15" s="175" customFormat="1" ht="16.5" customHeight="1" x14ac:dyDescent="0.2">
      <c r="B35" s="176" t="s">
        <v>374</v>
      </c>
      <c r="C35" s="176"/>
      <c r="D35" s="176"/>
      <c r="E35" s="176"/>
      <c r="F35" s="176"/>
      <c r="G35" s="176"/>
      <c r="H35" s="176"/>
      <c r="I35" s="176"/>
      <c r="J35" s="176"/>
      <c r="K35" s="176"/>
      <c r="L35" s="176"/>
      <c r="M35" s="176"/>
      <c r="N35" s="176"/>
      <c r="O35" s="176"/>
    </row>
    <row r="36" spans="1:15" s="175" customFormat="1" ht="16.5" customHeight="1" x14ac:dyDescent="0.2">
      <c r="B36" s="176" t="s">
        <v>375</v>
      </c>
      <c r="C36" s="176"/>
      <c r="D36" s="176"/>
      <c r="E36" s="176"/>
      <c r="F36" s="176"/>
      <c r="G36" s="176"/>
      <c r="H36" s="176"/>
      <c r="I36" s="176"/>
      <c r="J36" s="176"/>
      <c r="K36" s="176"/>
      <c r="L36" s="176"/>
      <c r="M36" s="176"/>
      <c r="N36" s="176"/>
      <c r="O36" s="176"/>
    </row>
    <row r="37" spans="1:15" s="175" customFormat="1" ht="16.5" customHeight="1" x14ac:dyDescent="0.2">
      <c r="B37" s="176" t="s">
        <v>376</v>
      </c>
      <c r="C37" s="176"/>
      <c r="D37" s="176"/>
      <c r="E37" s="176"/>
      <c r="F37" s="176"/>
      <c r="G37" s="176"/>
      <c r="H37" s="176"/>
      <c r="I37" s="176"/>
      <c r="J37" s="176"/>
      <c r="K37" s="176"/>
      <c r="L37" s="176"/>
      <c r="M37" s="176"/>
      <c r="N37" s="176"/>
      <c r="O37" s="176"/>
    </row>
    <row r="38" spans="1:15" s="175" customFormat="1" ht="16.5" customHeight="1" x14ac:dyDescent="0.2">
      <c r="A38" s="176"/>
      <c r="B38" s="176" t="s">
        <v>377</v>
      </c>
      <c r="C38" s="176"/>
      <c r="D38" s="176"/>
      <c r="E38" s="176"/>
      <c r="F38" s="176"/>
      <c r="G38" s="176"/>
      <c r="H38" s="176"/>
      <c r="I38" s="176"/>
      <c r="J38" s="176"/>
      <c r="K38" s="176"/>
      <c r="L38" s="176"/>
      <c r="M38" s="176"/>
      <c r="N38" s="176"/>
      <c r="O38" s="176"/>
    </row>
    <row r="39" spans="1:15" s="175" customFormat="1" ht="16.5" customHeight="1" x14ac:dyDescent="0.2">
      <c r="A39" s="176"/>
      <c r="B39" s="176" t="s">
        <v>378</v>
      </c>
      <c r="C39" s="176"/>
      <c r="D39" s="176"/>
      <c r="E39" s="176"/>
      <c r="F39" s="176"/>
      <c r="G39" s="176"/>
      <c r="H39" s="176"/>
      <c r="I39" s="176"/>
      <c r="J39" s="176"/>
      <c r="K39" s="176"/>
      <c r="L39" s="176"/>
      <c r="M39" s="176"/>
      <c r="N39" s="176"/>
      <c r="O39" s="176"/>
    </row>
    <row r="40" spans="1:15" s="175" customFormat="1" ht="16.5" customHeight="1" x14ac:dyDescent="0.2">
      <c r="A40" s="176"/>
      <c r="B40" s="176" t="s">
        <v>379</v>
      </c>
      <c r="C40" s="176"/>
      <c r="D40" s="176"/>
      <c r="E40" s="176"/>
      <c r="F40" s="176"/>
      <c r="G40" s="176"/>
      <c r="H40" s="176"/>
      <c r="I40" s="176"/>
      <c r="J40" s="176"/>
      <c r="K40" s="176"/>
      <c r="L40" s="176"/>
      <c r="M40" s="176"/>
      <c r="N40" s="176"/>
      <c r="O40" s="176"/>
    </row>
    <row r="41" spans="1:15" s="175" customFormat="1" ht="16.5" customHeight="1" x14ac:dyDescent="0.2">
      <c r="A41" s="177"/>
      <c r="B41" s="176" t="s">
        <v>380</v>
      </c>
      <c r="C41" s="176"/>
      <c r="D41" s="176"/>
      <c r="E41" s="176"/>
      <c r="F41" s="176"/>
      <c r="G41" s="176"/>
      <c r="H41" s="176"/>
      <c r="I41" s="176"/>
      <c r="J41" s="176"/>
      <c r="K41" s="176"/>
      <c r="L41" s="176"/>
      <c r="M41" s="176"/>
      <c r="N41" s="176"/>
      <c r="O41" s="176"/>
    </row>
    <row r="42" spans="1:15" s="175" customFormat="1" ht="16.5" customHeight="1" x14ac:dyDescent="0.2">
      <c r="A42" s="177"/>
      <c r="B42" s="176" t="s">
        <v>381</v>
      </c>
      <c r="C42" s="176"/>
      <c r="D42" s="176"/>
      <c r="E42" s="176"/>
      <c r="F42" s="176"/>
      <c r="G42" s="176"/>
      <c r="H42" s="176"/>
      <c r="I42" s="176"/>
      <c r="J42" s="176"/>
      <c r="K42" s="176"/>
      <c r="L42" s="176"/>
      <c r="M42" s="176"/>
      <c r="N42" s="176"/>
      <c r="O42" s="176"/>
    </row>
    <row r="43" spans="1:15" s="175" customFormat="1" ht="16.5" customHeight="1" x14ac:dyDescent="0.2">
      <c r="A43" s="177"/>
      <c r="B43" s="176" t="s">
        <v>382</v>
      </c>
      <c r="C43" s="176"/>
      <c r="D43" s="176"/>
      <c r="E43" s="176"/>
      <c r="F43" s="176"/>
      <c r="G43" s="176"/>
      <c r="H43" s="176"/>
      <c r="I43" s="176"/>
      <c r="J43" s="176"/>
      <c r="K43" s="176"/>
      <c r="L43" s="176"/>
      <c r="M43" s="176"/>
      <c r="N43" s="176"/>
      <c r="O43" s="176"/>
    </row>
    <row r="44" spans="1:15" s="175" customFormat="1" ht="16.5" customHeight="1" x14ac:dyDescent="0.2">
      <c r="A44" s="176"/>
      <c r="B44" s="176" t="s">
        <v>387</v>
      </c>
      <c r="C44" s="176"/>
      <c r="D44" s="176"/>
      <c r="E44" s="176"/>
      <c r="F44" s="176"/>
      <c r="G44" s="176"/>
      <c r="H44" s="176"/>
      <c r="I44" s="176"/>
      <c r="J44" s="176"/>
      <c r="K44" s="176"/>
      <c r="L44" s="176"/>
      <c r="M44" s="176"/>
      <c r="N44" s="176"/>
      <c r="O44" s="176"/>
    </row>
    <row r="45" spans="1:15" s="175" customFormat="1" ht="16.5" customHeight="1" x14ac:dyDescent="0.2">
      <c r="A45" s="176"/>
      <c r="B45" s="176" t="s">
        <v>392</v>
      </c>
      <c r="C45" s="176"/>
      <c r="D45" s="176"/>
      <c r="E45" s="176"/>
      <c r="F45" s="176"/>
      <c r="G45" s="176"/>
      <c r="H45" s="176"/>
      <c r="I45" s="176"/>
      <c r="J45" s="176"/>
      <c r="K45" s="176"/>
      <c r="L45" s="176"/>
      <c r="M45" s="176"/>
      <c r="N45" s="176"/>
      <c r="O45" s="176"/>
    </row>
    <row r="46" spans="1:15" s="175" customFormat="1" ht="16.5" customHeight="1" x14ac:dyDescent="0.2">
      <c r="A46" s="176"/>
      <c r="B46" s="176" t="s">
        <v>388</v>
      </c>
      <c r="C46" s="176"/>
      <c r="D46" s="176"/>
      <c r="E46" s="176"/>
      <c r="F46" s="176"/>
      <c r="G46" s="176"/>
      <c r="H46" s="176"/>
      <c r="I46" s="176"/>
      <c r="J46" s="176"/>
      <c r="K46" s="176"/>
      <c r="L46" s="176"/>
      <c r="M46" s="176"/>
      <c r="N46" s="176"/>
      <c r="O46" s="176"/>
    </row>
    <row r="47" spans="1:15" s="175" customFormat="1" ht="16.5" customHeight="1" x14ac:dyDescent="0.2">
      <c r="A47" s="176"/>
      <c r="B47" s="176" t="s">
        <v>389</v>
      </c>
      <c r="C47" s="176"/>
      <c r="D47" s="176"/>
      <c r="E47" s="176"/>
      <c r="F47" s="176"/>
      <c r="G47" s="176"/>
      <c r="H47" s="176"/>
      <c r="I47" s="176"/>
      <c r="J47" s="176"/>
      <c r="K47" s="176"/>
      <c r="L47" s="176"/>
      <c r="M47" s="176"/>
      <c r="N47" s="176"/>
      <c r="O47" s="176"/>
    </row>
    <row r="48" spans="1:15" s="175" customFormat="1" ht="16.5" customHeight="1" x14ac:dyDescent="0.2">
      <c r="A48" s="176"/>
      <c r="B48" s="176" t="s">
        <v>390</v>
      </c>
      <c r="C48" s="176"/>
      <c r="D48" s="176"/>
      <c r="E48" s="176"/>
      <c r="F48" s="176"/>
      <c r="G48" s="176"/>
      <c r="H48" s="176"/>
      <c r="I48" s="176"/>
      <c r="J48" s="176"/>
      <c r="K48" s="176"/>
      <c r="L48" s="176"/>
      <c r="M48" s="176"/>
      <c r="N48" s="176"/>
      <c r="O48" s="176"/>
    </row>
    <row r="49" spans="1:15" ht="16.5" customHeight="1" x14ac:dyDescent="0.2">
      <c r="A49" s="15"/>
      <c r="B49" s="172"/>
    </row>
    <row r="50" spans="1:15" ht="16.5" customHeight="1" x14ac:dyDescent="0.25">
      <c r="A50" s="15"/>
      <c r="B50" s="171" t="s">
        <v>86</v>
      </c>
    </row>
    <row r="51" spans="1:15" s="175" customFormat="1" ht="16.5" customHeight="1" x14ac:dyDescent="0.2">
      <c r="A51" s="176"/>
      <c r="B51" s="176" t="s">
        <v>233</v>
      </c>
      <c r="C51" s="176"/>
      <c r="D51" s="176"/>
      <c r="E51" s="176"/>
      <c r="F51" s="176"/>
      <c r="G51" s="176"/>
      <c r="H51" s="176"/>
      <c r="I51" s="176"/>
      <c r="J51" s="176"/>
      <c r="K51" s="176"/>
      <c r="L51" s="176"/>
      <c r="M51" s="176"/>
      <c r="N51" s="176"/>
      <c r="O51" s="176"/>
    </row>
    <row r="52" spans="1:15" s="175" customFormat="1" ht="16.5" customHeight="1" x14ac:dyDescent="0.2">
      <c r="A52" s="176"/>
      <c r="B52" s="176" t="s">
        <v>234</v>
      </c>
      <c r="C52" s="176"/>
      <c r="D52" s="176"/>
      <c r="E52" s="176"/>
      <c r="F52" s="176"/>
      <c r="G52" s="176"/>
      <c r="H52" s="176"/>
      <c r="I52" s="176"/>
      <c r="J52" s="176"/>
      <c r="K52" s="176"/>
      <c r="L52" s="176"/>
      <c r="M52" s="176"/>
      <c r="N52" s="176"/>
      <c r="O52" s="176"/>
    </row>
    <row r="53" spans="1:15" ht="16.5" customHeight="1" x14ac:dyDescent="0.2">
      <c r="A53" s="15"/>
      <c r="B53" s="172"/>
    </row>
    <row r="54" spans="1:15" ht="16.5" customHeight="1" x14ac:dyDescent="0.25">
      <c r="A54" s="15"/>
      <c r="B54" s="171" t="s">
        <v>87</v>
      </c>
    </row>
    <row r="55" spans="1:15" s="175" customFormat="1" ht="16.5" customHeight="1" x14ac:dyDescent="0.2">
      <c r="A55" s="176"/>
      <c r="B55" s="176" t="s">
        <v>235</v>
      </c>
      <c r="C55" s="176"/>
      <c r="D55" s="176"/>
      <c r="E55" s="176"/>
      <c r="F55" s="176"/>
      <c r="G55" s="176"/>
      <c r="H55" s="176"/>
      <c r="I55" s="176"/>
      <c r="J55" s="176"/>
      <c r="K55" s="176"/>
      <c r="L55" s="176"/>
      <c r="M55" s="176"/>
      <c r="N55" s="176"/>
      <c r="O55" s="176"/>
    </row>
    <row r="56" spans="1:15" s="175" customFormat="1" ht="16.5" customHeight="1" x14ac:dyDescent="0.2">
      <c r="A56" s="176"/>
      <c r="B56" s="176" t="s">
        <v>236</v>
      </c>
      <c r="C56" s="176"/>
      <c r="D56" s="176"/>
      <c r="E56" s="176"/>
      <c r="F56" s="176"/>
      <c r="G56" s="176"/>
      <c r="H56" s="176"/>
      <c r="I56" s="176"/>
      <c r="J56" s="176"/>
      <c r="K56" s="176"/>
      <c r="L56" s="176"/>
      <c r="M56" s="176"/>
      <c r="N56" s="176"/>
      <c r="O56" s="176"/>
    </row>
    <row r="57" spans="1:15" s="175" customFormat="1" ht="16.5" customHeight="1" x14ac:dyDescent="0.2">
      <c r="A57" s="176"/>
      <c r="B57" s="176" t="s">
        <v>237</v>
      </c>
      <c r="C57" s="176"/>
      <c r="D57" s="176"/>
      <c r="E57" s="176"/>
      <c r="F57" s="176"/>
      <c r="G57" s="176"/>
      <c r="H57" s="176"/>
      <c r="I57" s="176"/>
      <c r="J57" s="176"/>
      <c r="K57" s="176"/>
      <c r="L57" s="176"/>
      <c r="M57" s="176"/>
      <c r="N57" s="176"/>
      <c r="O57" s="176"/>
    </row>
    <row r="58" spans="1:15" s="175" customFormat="1" ht="16.5" customHeight="1" x14ac:dyDescent="0.2">
      <c r="A58" s="176"/>
      <c r="B58" s="176" t="s">
        <v>238</v>
      </c>
      <c r="C58" s="176"/>
      <c r="D58" s="176"/>
      <c r="E58" s="176"/>
      <c r="F58" s="176"/>
      <c r="G58" s="176"/>
      <c r="H58" s="176"/>
      <c r="I58" s="176"/>
      <c r="J58" s="176"/>
      <c r="K58" s="176"/>
      <c r="L58" s="176"/>
      <c r="M58" s="176"/>
      <c r="N58" s="176"/>
      <c r="O58" s="176"/>
    </row>
    <row r="59" spans="1:15" s="175" customFormat="1" ht="16.5" customHeight="1" x14ac:dyDescent="0.2">
      <c r="A59" s="176"/>
      <c r="B59" s="176" t="s">
        <v>239</v>
      </c>
      <c r="C59" s="176"/>
      <c r="D59" s="176"/>
      <c r="E59" s="176"/>
      <c r="F59" s="176"/>
      <c r="G59" s="176"/>
      <c r="H59" s="176"/>
      <c r="I59" s="176"/>
      <c r="J59" s="176"/>
      <c r="K59" s="176"/>
      <c r="L59" s="176"/>
      <c r="M59" s="176"/>
      <c r="N59" s="176"/>
      <c r="O59" s="176"/>
    </row>
    <row r="60" spans="1:15" s="175" customFormat="1" ht="16.5" customHeight="1" x14ac:dyDescent="0.2">
      <c r="A60" s="176"/>
      <c r="B60" s="176" t="s">
        <v>240</v>
      </c>
      <c r="C60" s="176"/>
      <c r="D60" s="176"/>
      <c r="E60" s="176"/>
      <c r="F60" s="176"/>
      <c r="G60" s="176"/>
      <c r="H60" s="176"/>
      <c r="I60" s="176"/>
      <c r="J60" s="176"/>
      <c r="K60" s="176"/>
      <c r="L60" s="176"/>
      <c r="M60" s="176"/>
      <c r="N60" s="176"/>
      <c r="O60" s="176"/>
    </row>
    <row r="61" spans="1:15" ht="16.5" customHeight="1" x14ac:dyDescent="0.2">
      <c r="A61" s="15"/>
      <c r="B61" s="173"/>
    </row>
    <row r="62" spans="1:15" ht="16.5" customHeight="1" x14ac:dyDescent="0.25">
      <c r="A62" s="15"/>
      <c r="B62" s="171" t="s">
        <v>88</v>
      </c>
    </row>
    <row r="63" spans="1:15" s="175" customFormat="1" ht="16.5" customHeight="1" x14ac:dyDescent="0.2">
      <c r="A63" s="176"/>
      <c r="B63" s="176" t="s">
        <v>241</v>
      </c>
      <c r="C63" s="176"/>
      <c r="D63" s="176"/>
      <c r="E63" s="176"/>
      <c r="F63" s="176"/>
      <c r="G63" s="176"/>
      <c r="H63" s="176"/>
      <c r="I63" s="176"/>
      <c r="J63" s="176"/>
      <c r="K63" s="176"/>
      <c r="L63" s="176"/>
      <c r="M63" s="176"/>
      <c r="N63" s="176"/>
      <c r="O63" s="176"/>
    </row>
    <row r="64" spans="1:15" s="175" customFormat="1" ht="16.5" customHeight="1" x14ac:dyDescent="0.2">
      <c r="A64" s="176"/>
      <c r="B64" s="176" t="s">
        <v>242</v>
      </c>
      <c r="C64" s="176"/>
      <c r="D64" s="176"/>
      <c r="E64" s="176"/>
      <c r="F64" s="176"/>
      <c r="G64" s="176"/>
      <c r="H64" s="176"/>
      <c r="I64" s="176"/>
      <c r="J64" s="176"/>
      <c r="K64" s="176"/>
      <c r="L64" s="176"/>
      <c r="M64" s="176"/>
      <c r="N64" s="176"/>
      <c r="O64" s="176"/>
    </row>
    <row r="65" spans="1:16" s="175" customFormat="1" ht="16.5" customHeight="1" x14ac:dyDescent="0.2">
      <c r="A65" s="176"/>
      <c r="B65" s="176" t="s">
        <v>243</v>
      </c>
      <c r="C65" s="176"/>
      <c r="D65" s="176"/>
      <c r="E65" s="176"/>
      <c r="F65" s="176"/>
      <c r="G65" s="176"/>
      <c r="H65" s="176"/>
      <c r="I65" s="176"/>
      <c r="J65" s="176"/>
      <c r="K65" s="176"/>
      <c r="L65" s="176"/>
      <c r="M65" s="176"/>
      <c r="N65" s="176"/>
      <c r="O65" s="176"/>
    </row>
    <row r="66" spans="1:16" s="175" customFormat="1" ht="16.5" customHeight="1" x14ac:dyDescent="0.2">
      <c r="A66" s="176"/>
      <c r="B66" s="176" t="s">
        <v>244</v>
      </c>
      <c r="C66" s="176"/>
      <c r="D66" s="176"/>
      <c r="E66" s="176"/>
      <c r="F66" s="176"/>
      <c r="G66" s="176"/>
      <c r="H66" s="176"/>
      <c r="I66" s="176"/>
      <c r="J66" s="176"/>
      <c r="K66" s="176"/>
      <c r="L66" s="176"/>
      <c r="M66" s="176"/>
      <c r="N66" s="176"/>
      <c r="O66" s="176"/>
    </row>
    <row r="67" spans="1:16" s="175" customFormat="1" ht="16.5" customHeight="1" x14ac:dyDescent="0.2">
      <c r="A67" s="176"/>
      <c r="B67" s="174" t="s">
        <v>245</v>
      </c>
    </row>
    <row r="68" spans="1:16" s="175" customFormat="1" ht="16.5" customHeight="1" x14ac:dyDescent="0.2">
      <c r="A68" s="176"/>
      <c r="B68" s="174" t="s">
        <v>246</v>
      </c>
    </row>
    <row r="69" spans="1:16" ht="16.5" customHeight="1" x14ac:dyDescent="0.2">
      <c r="A69" s="15"/>
      <c r="B69" s="172"/>
    </row>
    <row r="70" spans="1:16" ht="16.5" customHeight="1" x14ac:dyDescent="0.25">
      <c r="A70" s="15"/>
      <c r="B70" s="171" t="s">
        <v>89</v>
      </c>
    </row>
    <row r="71" spans="1:16" s="175" customFormat="1" ht="16.5" customHeight="1" x14ac:dyDescent="0.2">
      <c r="A71" s="176"/>
      <c r="B71" s="176" t="s">
        <v>247</v>
      </c>
      <c r="C71" s="176"/>
      <c r="D71" s="176"/>
      <c r="E71" s="176"/>
      <c r="F71" s="176"/>
      <c r="G71" s="176"/>
      <c r="H71" s="176"/>
      <c r="I71" s="176"/>
      <c r="J71" s="176"/>
      <c r="K71" s="176"/>
      <c r="L71" s="176"/>
      <c r="M71" s="176"/>
      <c r="N71" s="176"/>
      <c r="O71" s="176"/>
      <c r="P71" s="176"/>
    </row>
    <row r="72" spans="1:16" s="175" customFormat="1" ht="16.5" customHeight="1" x14ac:dyDescent="0.2">
      <c r="A72" s="176"/>
      <c r="B72" s="176" t="s">
        <v>248</v>
      </c>
      <c r="C72" s="176"/>
      <c r="D72" s="176"/>
      <c r="E72" s="176"/>
      <c r="F72" s="176"/>
      <c r="G72" s="176"/>
      <c r="H72" s="176"/>
      <c r="I72" s="176"/>
      <c r="J72" s="176"/>
      <c r="K72" s="176"/>
      <c r="L72" s="176"/>
      <c r="M72" s="176"/>
      <c r="N72" s="176"/>
      <c r="O72" s="176"/>
      <c r="P72" s="176"/>
    </row>
    <row r="73" spans="1:16" s="175" customFormat="1" ht="16.5" customHeight="1" x14ac:dyDescent="0.2">
      <c r="A73" s="176"/>
      <c r="B73" s="176" t="s">
        <v>249</v>
      </c>
      <c r="C73" s="176"/>
      <c r="D73" s="176"/>
      <c r="E73" s="176"/>
      <c r="F73" s="176"/>
      <c r="G73" s="176"/>
      <c r="H73" s="176"/>
      <c r="I73" s="176"/>
      <c r="J73" s="176"/>
      <c r="K73" s="176"/>
      <c r="L73" s="176"/>
      <c r="M73" s="176"/>
      <c r="N73" s="176"/>
      <c r="O73" s="176"/>
      <c r="P73" s="176"/>
    </row>
    <row r="74" spans="1:16" s="175" customFormat="1" ht="16.5" customHeight="1" x14ac:dyDescent="0.2">
      <c r="A74" s="176"/>
      <c r="B74" s="176" t="s">
        <v>260</v>
      </c>
      <c r="C74" s="176"/>
      <c r="D74" s="176"/>
      <c r="E74" s="176"/>
      <c r="F74" s="176"/>
      <c r="G74" s="176"/>
      <c r="H74" s="176"/>
      <c r="I74" s="176"/>
      <c r="J74" s="176"/>
      <c r="K74" s="176"/>
      <c r="L74" s="176"/>
      <c r="M74" s="176"/>
      <c r="N74" s="176"/>
      <c r="O74" s="176"/>
      <c r="P74" s="176"/>
    </row>
    <row r="75" spans="1:16" s="175" customFormat="1" ht="16.5" customHeight="1" x14ac:dyDescent="0.2">
      <c r="A75" s="176"/>
      <c r="B75" s="176" t="s">
        <v>250</v>
      </c>
      <c r="C75" s="176"/>
      <c r="D75" s="176"/>
      <c r="E75" s="176"/>
      <c r="F75" s="176"/>
      <c r="G75" s="176"/>
      <c r="H75" s="176"/>
      <c r="I75" s="176"/>
      <c r="J75" s="176"/>
      <c r="K75" s="176"/>
      <c r="L75" s="176"/>
      <c r="M75" s="176"/>
      <c r="N75" s="176"/>
      <c r="O75" s="176"/>
      <c r="P75" s="176"/>
    </row>
    <row r="76" spans="1:16" s="175" customFormat="1" ht="16.5" customHeight="1" x14ac:dyDescent="0.2">
      <c r="A76" s="176"/>
      <c r="B76" s="176" t="s">
        <v>251</v>
      </c>
      <c r="C76" s="176"/>
      <c r="D76" s="176"/>
      <c r="E76" s="176"/>
      <c r="F76" s="176"/>
      <c r="G76" s="176"/>
      <c r="H76" s="176"/>
      <c r="I76" s="176"/>
      <c r="J76" s="176"/>
      <c r="K76" s="176"/>
      <c r="L76" s="176"/>
      <c r="M76" s="176"/>
      <c r="N76" s="176"/>
      <c r="O76" s="176"/>
      <c r="P76" s="176"/>
    </row>
    <row r="77" spans="1:16" s="175" customFormat="1" ht="16.5" customHeight="1" x14ac:dyDescent="0.2">
      <c r="A77" s="176"/>
      <c r="B77" s="176" t="s">
        <v>252</v>
      </c>
      <c r="C77" s="176"/>
      <c r="D77" s="176"/>
      <c r="E77" s="176"/>
      <c r="F77" s="176"/>
      <c r="G77" s="176"/>
      <c r="H77" s="176"/>
      <c r="I77" s="176"/>
      <c r="J77" s="176"/>
      <c r="K77" s="176"/>
      <c r="L77" s="176"/>
      <c r="M77" s="176"/>
      <c r="N77" s="176"/>
      <c r="O77" s="176"/>
      <c r="P77" s="176"/>
    </row>
    <row r="78" spans="1:16" s="175" customFormat="1" ht="16.5" customHeight="1" x14ac:dyDescent="0.2">
      <c r="A78" s="176"/>
      <c r="B78" s="176" t="s">
        <v>253</v>
      </c>
      <c r="C78" s="176"/>
      <c r="D78" s="176"/>
      <c r="E78" s="176"/>
      <c r="F78" s="176"/>
      <c r="G78" s="176"/>
      <c r="H78" s="176"/>
      <c r="I78" s="176"/>
      <c r="J78" s="176"/>
      <c r="K78" s="176"/>
      <c r="L78" s="176"/>
      <c r="M78" s="176"/>
      <c r="N78" s="176"/>
      <c r="O78" s="176"/>
      <c r="P78" s="176"/>
    </row>
    <row r="79" spans="1:16" s="175" customFormat="1" ht="16.5" customHeight="1" x14ac:dyDescent="0.2">
      <c r="A79" s="176"/>
      <c r="B79" s="176" t="s">
        <v>254</v>
      </c>
      <c r="C79" s="176"/>
      <c r="D79" s="176"/>
      <c r="E79" s="176"/>
      <c r="F79" s="176"/>
      <c r="G79" s="176"/>
      <c r="H79" s="176"/>
      <c r="I79" s="176"/>
      <c r="J79" s="176"/>
      <c r="K79" s="176"/>
      <c r="L79" s="176"/>
      <c r="M79" s="176"/>
      <c r="N79" s="176"/>
      <c r="O79" s="176"/>
      <c r="P79" s="176"/>
    </row>
    <row r="80" spans="1:16" s="175" customFormat="1" ht="16.5" customHeight="1" x14ac:dyDescent="0.2">
      <c r="A80" s="176"/>
      <c r="B80" s="176" t="s">
        <v>255</v>
      </c>
      <c r="C80" s="176"/>
      <c r="D80" s="176"/>
      <c r="E80" s="176"/>
      <c r="F80" s="176"/>
      <c r="G80" s="176"/>
      <c r="H80" s="176"/>
      <c r="I80" s="176"/>
      <c r="J80" s="176"/>
      <c r="K80" s="176"/>
      <c r="L80" s="176"/>
      <c r="M80" s="176"/>
      <c r="N80" s="176"/>
      <c r="O80" s="176"/>
      <c r="P80" s="176"/>
    </row>
    <row r="81" spans="1:16" s="175" customFormat="1" ht="16.5" customHeight="1" x14ac:dyDescent="0.2">
      <c r="A81" s="176"/>
      <c r="B81" s="176" t="s">
        <v>391</v>
      </c>
      <c r="C81" s="176"/>
      <c r="D81" s="176"/>
      <c r="E81" s="176"/>
      <c r="F81" s="176"/>
      <c r="G81" s="176"/>
      <c r="H81" s="176"/>
      <c r="I81" s="176"/>
      <c r="J81" s="176"/>
      <c r="K81" s="176"/>
      <c r="L81" s="176"/>
      <c r="M81" s="176"/>
      <c r="N81" s="176"/>
      <c r="O81" s="176"/>
      <c r="P81" s="176"/>
    </row>
    <row r="82" spans="1:16" s="175" customFormat="1" ht="16.5" customHeight="1" x14ac:dyDescent="0.2">
      <c r="A82" s="176"/>
      <c r="B82" s="176" t="s">
        <v>256</v>
      </c>
      <c r="C82" s="176"/>
      <c r="D82" s="176"/>
      <c r="E82" s="176"/>
      <c r="F82" s="176"/>
      <c r="G82" s="176"/>
      <c r="H82" s="176"/>
      <c r="I82" s="176"/>
      <c r="J82" s="176"/>
      <c r="K82" s="176"/>
      <c r="L82" s="176"/>
      <c r="M82" s="176"/>
      <c r="N82" s="176"/>
      <c r="O82" s="176"/>
      <c r="P82" s="176"/>
    </row>
    <row r="83" spans="1:16" s="175" customFormat="1" ht="16.5" customHeight="1" x14ac:dyDescent="0.2">
      <c r="A83" s="176"/>
      <c r="B83" s="176" t="s">
        <v>257</v>
      </c>
      <c r="C83" s="176"/>
      <c r="D83" s="176"/>
      <c r="E83" s="176"/>
      <c r="F83" s="176"/>
      <c r="G83" s="176"/>
      <c r="H83" s="176"/>
      <c r="I83" s="176"/>
      <c r="J83" s="176"/>
      <c r="K83" s="176"/>
      <c r="L83" s="176"/>
      <c r="M83" s="176"/>
      <c r="N83" s="176"/>
      <c r="O83" s="176"/>
      <c r="P83" s="176"/>
    </row>
    <row r="84" spans="1:16" s="175" customFormat="1" ht="16.5" customHeight="1" x14ac:dyDescent="0.2">
      <c r="A84" s="176"/>
      <c r="B84" s="176" t="s">
        <v>258</v>
      </c>
      <c r="C84" s="176"/>
      <c r="D84" s="176"/>
      <c r="E84" s="176"/>
      <c r="F84" s="176"/>
      <c r="G84" s="176"/>
      <c r="H84" s="176"/>
      <c r="I84" s="176"/>
      <c r="J84" s="176"/>
      <c r="K84" s="176"/>
      <c r="L84" s="176"/>
      <c r="M84" s="176"/>
      <c r="N84" s="176"/>
      <c r="O84" s="176"/>
      <c r="P84" s="176"/>
    </row>
    <row r="85" spans="1:16" s="175" customFormat="1" ht="16.5" customHeight="1" x14ac:dyDescent="0.2">
      <c r="B85" s="176" t="s">
        <v>259</v>
      </c>
      <c r="C85" s="176"/>
      <c r="D85" s="176"/>
      <c r="E85" s="176"/>
      <c r="F85" s="176"/>
      <c r="G85" s="176"/>
      <c r="H85" s="176"/>
      <c r="I85" s="176"/>
      <c r="J85" s="176"/>
      <c r="K85" s="176"/>
      <c r="L85" s="176"/>
      <c r="M85" s="176"/>
      <c r="N85" s="176"/>
      <c r="O85" s="176"/>
      <c r="P85" s="176"/>
    </row>
    <row r="86" spans="1:16" ht="14.25" x14ac:dyDescent="0.2">
      <c r="B86" s="15"/>
    </row>
    <row r="246" spans="1:16" ht="14.25" x14ac:dyDescent="0.2">
      <c r="A246" s="15"/>
      <c r="C246" s="15"/>
      <c r="D246" s="15"/>
      <c r="E246" s="15"/>
      <c r="F246" s="15"/>
      <c r="G246" s="15"/>
      <c r="H246" s="15"/>
      <c r="I246" s="15"/>
      <c r="J246" s="15"/>
      <c r="K246" s="15"/>
      <c r="L246" s="15"/>
      <c r="M246" s="15"/>
      <c r="N246" s="15"/>
      <c r="O246" s="15"/>
      <c r="P246" s="15"/>
    </row>
    <row r="247" spans="1:16" ht="14.25" x14ac:dyDescent="0.2">
      <c r="A247" s="15"/>
      <c r="C247" s="15"/>
      <c r="D247" s="15"/>
      <c r="E247" s="15"/>
      <c r="F247" s="15"/>
      <c r="G247" s="15"/>
      <c r="H247" s="15"/>
      <c r="I247" s="15"/>
      <c r="J247" s="15"/>
      <c r="K247" s="15"/>
      <c r="L247" s="15"/>
      <c r="M247" s="15"/>
      <c r="N247" s="15"/>
      <c r="O247" s="15"/>
      <c r="P247" s="15"/>
    </row>
  </sheetData>
  <hyperlinks>
    <hyperlink ref="B10" location="'Table S34'!A1" display="Table S34a Young people under community-based supervision  on an average day by age, states and territories, 2019–20" xr:uid="{00000000-0004-0000-0000-000000000000}"/>
    <hyperlink ref="B11" location="'Table S34'!A22" display="Table S34b. Young people under community-based supervision during the year by age, states and territories, 2021–22" xr:uid="{00000000-0004-0000-0000-000001000000}"/>
    <hyperlink ref="B4" location="'Notes and symbols'!A1" display="Notes and Symbols" xr:uid="{00000000-0004-0000-0000-000002000000}"/>
    <hyperlink ref="B12" location="'Table S35'!A1" display="Table S35a: Young people under community-based supervision on an average day by sex and Indigenous status, states and territories, 2019–20" xr:uid="{00000000-0004-0000-0000-000003000000}"/>
    <hyperlink ref="B13" location="'Table S35'!A26" display="Table S35b: Young people under community-based supervision during the year by sex and Indigenous status, states and territories, 2021–22" xr:uid="{00000000-0004-0000-0000-000004000000}"/>
    <hyperlink ref="B14" location="'Table S36'!A1" display="Table S36a: Young people aged 10–17 under community-based supervision on an average day by sex and Indigenous status, states and territories, 2019–20" xr:uid="{00000000-0004-0000-0000-000005000000}"/>
    <hyperlink ref="B15" location="'Table S36'!A27" display="Table S36b: Young people aged 10–17 under community-based supervision during the year by sex and Indigenous status, states and territories, 2021–22" xr:uid="{00000000-0004-0000-0000-000006000000}"/>
    <hyperlink ref="B16" location="'Table S37'!A1" display="Table S37a: Young people aged 10–17 under community-based supervision on an average day by sex and Indigenous status, states and territories, 2019–20 (rate)" xr:uid="{00000000-0004-0000-0000-000007000000}"/>
    <hyperlink ref="B17" location="'Table S37'!A21" display="Table S37b: Young people aged 10–17 under community-based supervision during the year by sex and Indigenous status, states and territories, 2021–22 (rate)" xr:uid="{00000000-0004-0000-0000-000008000000}"/>
    <hyperlink ref="B18" location="'Table S38'!A1" display="Table S38a: Young people under community-based supervision on an average day by age, sex and Indigenous, Australia, 2019–20" xr:uid="{00000000-0004-0000-0000-000009000000}"/>
    <hyperlink ref="B19" location="'Table S38'!A24" display="Table S38b: Young people under community-based supervision during the year by age, sex and Indigenous, Australia, 2019–20" xr:uid="{00000000-0004-0000-0000-00000A000000}"/>
    <hyperlink ref="B20" location="'Table S39'!A1" display="Table S39a: Young people aged 10–17 under community-based supervision  on an average day by age, sex and Indigenous status, Australia, 2019–20 (rate)" xr:uid="{00000000-0004-0000-0000-00000B000000}"/>
    <hyperlink ref="B21" location="'Table S39'!A23" display="Table S39b: Young people aged 10–17 under community-based supervision during the year by age, sex and Indigenous status, Australia, 2019–20 (rate)" xr:uid="{00000000-0004-0000-0000-00000C000000}"/>
    <hyperlink ref="B22" location="'Table S40'!A1" display="Table S40a: Young people under community-based supervision on an average day by Indigenous status and age, states and territories, 2019–20" xr:uid="{00000000-0004-0000-0000-00000D000000}"/>
    <hyperlink ref="B23" location="'Table S40'!A28" display="Table S40b: Young people under community-based supervision during the year by Indigenous status and age, states and territories, 2019–20" xr:uid="{00000000-0004-0000-0000-00000E000000}"/>
    <hyperlink ref="B28" location="'Table S41'!A1" display="Table S41a: Young people aged 10–17 under community-based supervision on an average day by sex and age, Australia, 2020–21 to 2024-25" xr:uid="{00000000-0004-0000-0000-00000F000000}"/>
    <hyperlink ref="B29" location="'Table S41'!A27" display="Table S41b: Young people aged 10–17 under community-based supervision during the year by sex and age, Australia, 2020–21 to 2024-25" xr:uid="{00000000-0004-0000-0000-000010000000}"/>
    <hyperlink ref="B30" location="'Table S42'!A1" display="Table S42a: Young people aged 10–17 under community-based supervision on an average day by age and sex, Australia, 2020–21 to 2024-25 (rate)" xr:uid="{00000000-0004-0000-0000-000011000000}"/>
    <hyperlink ref="B31" location="'Table S42'!A29" display="Table S42b: Young people aged 10–17 under community-based supervision during the year by age and sex, Australia, 2015–16 to 2019–20 (rate)" xr:uid="{00000000-0004-0000-0000-000012000000}"/>
    <hyperlink ref="B32" location="'Table S43'!A1" display="Table S43a: Young people aged 10–17 under community-based supervision on an average day by Indigenous status, states and territories, 2010–11 to 2019–20" xr:uid="{00000000-0004-0000-0000-000013000000}"/>
    <hyperlink ref="B33" location="'Table S43'!A54" display="Table S43b: Young people aged 10–17 under community-based supervision during the year by Indigenous status, states and territories, 2010–11 to 2019–20" xr:uid="{00000000-0004-0000-0000-000014000000}"/>
    <hyperlink ref="B34" location="'Table S44'!A1" display="Table S44a: Young people under community-based supervision on an average day by Indigenous status, states and territories, 2010–11 to 2019–20" xr:uid="{00000000-0004-0000-0000-000015000000}"/>
    <hyperlink ref="B35" location="'Table S44'!A53" display="Table S44b: Young people under community-based supervision during the year by Indigenous status, states and territories, 2010–11 to 2019–20" xr:uid="{00000000-0004-0000-0000-000016000000}"/>
    <hyperlink ref="B36" location="'Table S45'!A1" display="Table S45a: Young people aged 10–17 under community-based supervision on an average day by Indigenous status, states and territories, 2015–16 to 2024-25 (rate)" xr:uid="{00000000-0004-0000-0000-000017000000}"/>
    <hyperlink ref="B37" location="'Table S45'!A46" display="Table S45b: Young people aged 10–17 under community-based supervision during the year by Indigenous status, states and territories, 2010–11 to 2019–20 (rate)" xr:uid="{00000000-0004-0000-0000-000018000000}"/>
    <hyperlink ref="B38" location="'Table S46'!A1" display="Table S46a: Young people aged 10–17 under community-based supervision on an average day by sex, states and territories, 2010–11 to 2019–20" xr:uid="{00000000-0004-0000-0000-000019000000}"/>
    <hyperlink ref="B39" location="'Table S46'!A54" display="Table S46b: Young people aged 10–17 under community-based supervision during the year by sex, states and territories, 2010–11 to 2019–20" xr:uid="{00000000-0004-0000-0000-00001A000000}"/>
    <hyperlink ref="B40" location="'Table S47'!A1" display="Table S47a: Young people under community-based supervision on an average day by sex, states and territories, 2010–11 to 2019–20" xr:uid="{00000000-0004-0000-0000-00001B000000}"/>
    <hyperlink ref="B41" location="'Table S47'!A53" display="Table S47b: Young people under community-based supervision during the year by sex, states and territories, 2010–11 to 2019–20" xr:uid="{00000000-0004-0000-0000-00001C000000}"/>
    <hyperlink ref="B42" location="'Table S48'!A1" display="Table S48a: Young people aged 10–17 under community-based supervision on an average day by sex, states and territories, 2010–11 to 2019–20 (rate)" xr:uid="{00000000-0004-0000-0000-00001D000000}"/>
    <hyperlink ref="B43" location="'Table S48'!A44" display="Table S48b: Young people aged 10–17 under community-based supervision during the year by sex, states and territories, 2010–11 to 2019–20 (rate)" xr:uid="{00000000-0004-0000-0000-00001E000000}"/>
    <hyperlink ref="B44" location="'Table S49'!A1" display="Table S49a: Young people aged 10–17 under community-based supervision on an average day by sex and Indigenous status, states and territories, 2015–16 to 2019–20" xr:uid="{00000000-0004-0000-0000-00001F000000}"/>
    <hyperlink ref="B45" location="'Table S50'!A1" display="Table S50a: Young people under community-based supervision on an average day by sex and Indigenous status, states and territories, 2015–16 to 2019–20" xr:uid="{00000000-0004-0000-0000-000020000000}"/>
    <hyperlink ref="B46" location="'Table S51'!A1" display="Table S51: Young people aged 10–17 under community-based supervision on an average day by sex and Indigenous status, states and territories,  2020–21 to 2024-25 (rate)" xr:uid="{00000000-0004-0000-0000-000021000000}"/>
    <hyperlink ref="B48" location="'Table S53'!A1" display="Table S53: Young people under community-based supervision during the year by first supervision and Indigenous status, Australia, 2015–16 to 2019–20" xr:uid="{00000000-0004-0000-0000-000022000000}"/>
    <hyperlink ref="B51" location="'Table S54'!A1" display="Table S54: Young people under community-based supervision during the year by sex, Indigenous status and age at first supervision, Australia, 2019–20" xr:uid="{00000000-0004-0000-0000-000023000000}"/>
    <hyperlink ref="B52" location="'Table S55'!A1" display="Table S55: Young people under community-based supervision during the year by Indigenous status and age at first supervision, states and territories, 2019–20" xr:uid="{00000000-0004-0000-0000-000024000000}"/>
    <hyperlink ref="B55" location="'Table S56'!A1" display="Table S56a: Young people under community-based supervision on an average day by sex, Indigenous status and remoteness of usual residence, Australia, 2022–23" xr:uid="{00000000-0004-0000-0000-000025000000}"/>
    <hyperlink ref="B56" location="'Table S56'!A27" display="Table S56b: Young people under community-based supervision during the year by sex, Indigenous status and remoteness of usual residence, Australia, 2019–20" xr:uid="{00000000-0004-0000-0000-000026000000}"/>
    <hyperlink ref="B57" location="'Table S57'!A1" display="Table S57a: Young people aged 10–17 under community-based supervision on an average day by remoteness of usual residence, states and territories, 2019–20" xr:uid="{00000000-0004-0000-0000-000027000000}"/>
    <hyperlink ref="B58" location="'Table S57'!A16" display="Table S57b: Young people aged 10–17 under community-based supervision during the year by remoteness of usual residence, states and territories, 2019–20" xr:uid="{00000000-0004-0000-0000-000028000000}"/>
    <hyperlink ref="B59" location="'Table S57'!A34" display="Table S57c: Young people aged 10–17 under community-based supervision on an average day by remoteness of usual residence, states and territories, 2019–20 (rate)" xr:uid="{00000000-0004-0000-0000-000029000000}"/>
    <hyperlink ref="B60" location="'Table S57'!A52" display="Table S57d: Young people aged 10–17 under community-based supervision during the year by remoteness of usual residence, states and territories, 2019–20 (rate)" xr:uid="{00000000-0004-0000-0000-00002A000000}"/>
    <hyperlink ref="B63" location="'Table S58'!A1" display="Table S58a: Young people under community-based supervision on an average day by sex, Indigenous status and socioeconomic position of usual residence, Australia, 2019–20" xr:uid="{00000000-0004-0000-0000-00002B000000}"/>
    <hyperlink ref="B64" location="'Table S58'!A25" display="Table S58b: Young people under community-based supervision during the year by sex, Indigenous status and socioeconomic position of usual residence, Australia, 2019–20" xr:uid="{00000000-0004-0000-0000-00002C000000}"/>
    <hyperlink ref="B65" location="'Table S59'!A1" display="Table S59a: Young people aged 10–17 under community-based supervision on an average day by socioeconomic position of usual residence, states and territories, 2019–20" xr:uid="{00000000-0004-0000-0000-00002D000000}"/>
    <hyperlink ref="B66" location="'Table S59'!A19" display="Table S59b: Young people aged 10–17 under community-based supervision during the year by socioeconomic position of usual residence, states and territories, 2019–20" xr:uid="{00000000-0004-0000-0000-00002E000000}"/>
    <hyperlink ref="B67" location="'Table S59'!A37" display="Table S59c: Young people aged 10–17 under community-based supervision on an average day by socioeconomic position of usual residence, states and territories, 2019–20 (rate)" xr:uid="{00000000-0004-0000-0000-00002F000000}"/>
    <hyperlink ref="B68" location="'Table S59'!A57" display="Table S59d: Young people aged 10–17 under community-based supervision during the year by socioeconomic position of usual residence, states and territories, 2019–20 (rate)" xr:uid="{00000000-0004-0000-0000-000030000000}"/>
    <hyperlink ref="B71" location="'Table S60'!A1" display="Table S60: Community-based supervised orders, states and territories, 2019–20" xr:uid="{00000000-0004-0000-0000-000031000000}"/>
    <hyperlink ref="B72" location="'Table S61'!A1" display="Table S61: Young people who completed a period of community-based supervision during the year by number of periods completed and Indigenous status, Australia, 2019–20" xr:uid="{00000000-0004-0000-0000-000032000000}"/>
    <hyperlink ref="B73" location="'Table S62'!A1" display="Table S62: Number and median length of completed periods of community-based supervision by Indigenous status, states and territories, 2019–20" xr:uid="{00000000-0004-0000-0000-000033000000}"/>
    <hyperlink ref="B74" location="'Table S63'!A1" display="Table S63: Average length of time young people spent under community-based supervision during the year, by Indigenous status and sex, states and territories, 2015–16 to 2019–20 (days)" xr:uid="{00000000-0004-0000-0000-000034000000}"/>
    <hyperlink ref="B75" location="'Table S64'!A1" display="Table S64a: Young people under community-based supervision on an average day by legal status and Indigenous status, states and territories, 2019–20" xr:uid="{00000000-0004-0000-0000-000035000000}"/>
    <hyperlink ref="B76" location="'Table S64'!A23" display="Table S64b: Young people under community-based supervision during the year by legal status, states and territories, 2019–20" xr:uid="{00000000-0004-0000-0000-000036000000}"/>
    <hyperlink ref="B77" location="'Table S65'!A1" display="Table S65a: Young people aged 10–17 under community-based supervision on an average day by legal status and Indigenous status, states and territories, 2019–20" xr:uid="{00000000-0004-0000-0000-000037000000}"/>
    <hyperlink ref="B78" location="'Table S65'!A24" display="Table S65b: Young people aged 10–17 under community-based supervision during the year by legal status and Indigenous status, states and territories, 2019–20" xr:uid="{00000000-0004-0000-0000-000038000000}"/>
    <hyperlink ref="B79" location="'Table S66'!A1" display="Table S66a: Young people aged 10–17 under community-based supervision on an average day by legal status and Indigenous status, states and territories, 2019–20 (rate)" xr:uid="{00000000-0004-0000-0000-000039000000}"/>
    <hyperlink ref="B80" location="'Table S66'!A22" display="Table S66b: Young people aged 10–17  under community-based supervision during the year by legal status and Indigenous status, states and territories, 2019–20 (rate)" xr:uid="{00000000-0004-0000-0000-00003A000000}"/>
    <hyperlink ref="B81" location="'Table S67'!A1" display="Table S67: Young people under community-based supervision on an average day by Indigenous status and legal status, states and territories, 2015–16 to 2019–20" xr:uid="{00000000-0004-0000-0000-00003B000000}"/>
    <hyperlink ref="B82" location="'Table S68'!A1" display="Table S68: Successfully completed supervised or conditional bail and other unsentenced community-based supervised orders by length of order, states and territories, 2019–20" xr:uid="{00000000-0004-0000-0000-00003C000000}"/>
    <hyperlink ref="B83" location="'Table S69'!A1" display="Table S69: Successfully completed probation and similar community-based supervised orders by length of order, states and territories, 2019–20" xr:uid="{00000000-0004-0000-0000-00003D000000}"/>
    <hyperlink ref="B84" location="'Table S70'!A1" display="Table S70: Breached probation and similar community-based supervised orders by time to breach, states and territories, 2019–20" xr:uid="{00000000-0004-0000-0000-00003E000000}"/>
    <hyperlink ref="B85" location="'Table S71'!A1" display="Table S71: Successfully completed suspended detention community-based orders by length of order, states and territories, 2019–20" xr:uid="{00000000-0004-0000-0000-00003F000000}"/>
    <hyperlink ref="B47" location="'Table S52'!A1" display="Table S52: Young people under community-based supervision during the year by first supervision, states and territories,  2020–21 to 2024-25" xr:uid="{00000000-0004-0000-0000-000040000000}"/>
    <hyperlink ref="B24" location="'Table S40'!A52" display="Table S40c: Young people under community-based supervision on an average day by Indigenous status and age, states and territories, 2020–21 (rate)" xr:uid="{00000000-0004-0000-0000-000041000000}"/>
    <hyperlink ref="B25" location="'Table S40'!A71" display="Table S40d: Young people under community-based supervision during the year by Indigenous status and age, states and territories, 2020–21 (rate)" xr:uid="{00000000-0004-0000-0000-00004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1"/>
  <sheetViews>
    <sheetView showGridLines="0" workbookViewId="0"/>
  </sheetViews>
  <sheetFormatPr defaultColWidth="9.140625" defaultRowHeight="14.25" x14ac:dyDescent="0.2"/>
  <cols>
    <col min="1" max="1" width="13.140625" style="14" customWidth="1"/>
    <col min="2" max="16384" width="9.140625" style="14"/>
  </cols>
  <sheetData>
    <row r="1" spans="1:8" ht="18" x14ac:dyDescent="0.25">
      <c r="A1" s="16" t="s">
        <v>90</v>
      </c>
      <c r="B1" s="15"/>
    </row>
    <row r="2" spans="1:8" x14ac:dyDescent="0.2">
      <c r="A2" s="19" t="s">
        <v>91</v>
      </c>
      <c r="B2" s="15" t="s">
        <v>92</v>
      </c>
    </row>
    <row r="3" spans="1:8" x14ac:dyDescent="0.2">
      <c r="A3" s="19" t="s">
        <v>6</v>
      </c>
      <c r="B3" s="15" t="s">
        <v>93</v>
      </c>
    </row>
    <row r="4" spans="1:8" x14ac:dyDescent="0.2">
      <c r="A4" s="19" t="s">
        <v>94</v>
      </c>
      <c r="B4" s="15" t="s">
        <v>95</v>
      </c>
    </row>
    <row r="5" spans="1:8" x14ac:dyDescent="0.2">
      <c r="A5" s="19" t="s">
        <v>96</v>
      </c>
      <c r="B5" s="15" t="s">
        <v>8</v>
      </c>
    </row>
    <row r="6" spans="1:8" x14ac:dyDescent="0.2">
      <c r="A6" s="19" t="s">
        <v>97</v>
      </c>
      <c r="B6" s="15" t="s">
        <v>98</v>
      </c>
    </row>
    <row r="7" spans="1:8" x14ac:dyDescent="0.2">
      <c r="A7" s="19" t="s">
        <v>0</v>
      </c>
      <c r="B7" s="15" t="s">
        <v>99</v>
      </c>
    </row>
    <row r="8" spans="1:8" x14ac:dyDescent="0.2">
      <c r="A8" s="19" t="s">
        <v>7</v>
      </c>
      <c r="B8" s="15" t="s">
        <v>100</v>
      </c>
    </row>
    <row r="9" spans="1:8" x14ac:dyDescent="0.2">
      <c r="A9" s="19" t="s">
        <v>2</v>
      </c>
      <c r="B9" s="15" t="s">
        <v>101</v>
      </c>
    </row>
    <row r="10" spans="1:8" x14ac:dyDescent="0.2">
      <c r="A10" s="19" t="s">
        <v>4</v>
      </c>
      <c r="B10" s="15" t="s">
        <v>102</v>
      </c>
    </row>
    <row r="11" spans="1:8" x14ac:dyDescent="0.2">
      <c r="A11" s="19" t="s">
        <v>103</v>
      </c>
      <c r="B11" s="15" t="s">
        <v>104</v>
      </c>
    </row>
    <row r="12" spans="1:8" x14ac:dyDescent="0.2">
      <c r="A12" s="19" t="s">
        <v>5</v>
      </c>
      <c r="B12" s="15" t="s">
        <v>105</v>
      </c>
    </row>
    <row r="13" spans="1:8" x14ac:dyDescent="0.2">
      <c r="A13" s="19" t="s">
        <v>1</v>
      </c>
      <c r="B13" s="15" t="s">
        <v>106</v>
      </c>
    </row>
    <row r="14" spans="1:8" x14ac:dyDescent="0.2">
      <c r="A14" s="19" t="s">
        <v>3</v>
      </c>
      <c r="B14" s="15" t="s">
        <v>107</v>
      </c>
    </row>
    <row r="15" spans="1:8" x14ac:dyDescent="0.2">
      <c r="B15" s="15"/>
    </row>
    <row r="16" spans="1:8" ht="18" x14ac:dyDescent="0.25">
      <c r="A16" s="16" t="s">
        <v>108</v>
      </c>
      <c r="B16" s="15"/>
      <c r="C16" s="17"/>
      <c r="D16" s="17"/>
      <c r="E16" s="17"/>
      <c r="F16" s="17"/>
      <c r="G16" s="17"/>
      <c r="H16" s="17"/>
    </row>
    <row r="17" spans="1:23" x14ac:dyDescent="0.2">
      <c r="A17" s="19" t="s">
        <v>109</v>
      </c>
      <c r="B17" s="15" t="s">
        <v>110</v>
      </c>
      <c r="C17" s="17"/>
      <c r="D17" s="17"/>
      <c r="E17" s="17"/>
      <c r="F17" s="17"/>
      <c r="G17" s="17"/>
      <c r="H17" s="17"/>
    </row>
    <row r="18" spans="1:23" x14ac:dyDescent="0.2">
      <c r="A18" s="20" t="s">
        <v>109</v>
      </c>
      <c r="B18" s="15" t="s">
        <v>111</v>
      </c>
      <c r="C18" s="17"/>
      <c r="D18" s="17"/>
      <c r="E18" s="17"/>
      <c r="F18" s="17"/>
      <c r="G18" s="17"/>
      <c r="H18" s="17"/>
    </row>
    <row r="19" spans="1:23" x14ac:dyDescent="0.2">
      <c r="A19" s="19" t="s">
        <v>112</v>
      </c>
      <c r="B19" s="15" t="s">
        <v>113</v>
      </c>
      <c r="C19" s="17"/>
      <c r="D19" s="17"/>
      <c r="E19" s="17"/>
      <c r="F19" s="17"/>
      <c r="G19" s="17"/>
      <c r="H19" s="17"/>
    </row>
    <row r="20" spans="1:23" x14ac:dyDescent="0.2">
      <c r="A20" s="19" t="s">
        <v>114</v>
      </c>
      <c r="B20" s="15" t="s">
        <v>115</v>
      </c>
      <c r="C20" s="17"/>
      <c r="D20" s="17"/>
      <c r="E20" s="17"/>
      <c r="F20" s="17"/>
      <c r="G20" s="17"/>
      <c r="H20" s="17"/>
    </row>
    <row r="21" spans="1:23" x14ac:dyDescent="0.2">
      <c r="A21" s="19" t="s">
        <v>116</v>
      </c>
      <c r="B21" s="15" t="s">
        <v>117</v>
      </c>
      <c r="C21" s="17"/>
      <c r="D21" s="17"/>
      <c r="E21" s="17"/>
      <c r="F21" s="17"/>
      <c r="G21" s="17"/>
      <c r="H21" s="17"/>
    </row>
    <row r="22" spans="1:23" x14ac:dyDescent="0.2">
      <c r="B22" s="15"/>
    </row>
    <row r="23" spans="1:23" ht="18" x14ac:dyDescent="0.25">
      <c r="A23" s="16" t="s">
        <v>23</v>
      </c>
      <c r="B23" s="15"/>
      <c r="C23" s="17"/>
      <c r="D23" s="17"/>
      <c r="E23" s="17"/>
      <c r="F23" s="17"/>
      <c r="G23" s="17"/>
      <c r="H23" s="17"/>
    </row>
    <row r="24" spans="1:23" ht="29.25" customHeight="1" x14ac:dyDescent="0.2">
      <c r="A24" s="179" t="s">
        <v>133</v>
      </c>
      <c r="B24" s="179"/>
      <c r="C24" s="179"/>
      <c r="D24" s="179"/>
      <c r="E24" s="179"/>
      <c r="F24" s="179"/>
      <c r="G24" s="179"/>
      <c r="H24" s="179"/>
      <c r="I24" s="179"/>
      <c r="J24" s="179"/>
      <c r="K24" s="179"/>
      <c r="L24" s="179"/>
      <c r="M24" s="179"/>
      <c r="N24" s="179"/>
      <c r="O24" s="179"/>
      <c r="P24" s="179"/>
      <c r="Q24" s="179"/>
      <c r="R24" s="179"/>
      <c r="S24" s="179"/>
      <c r="T24" s="179"/>
      <c r="U24" s="179"/>
      <c r="V24" s="179"/>
      <c r="W24" s="179"/>
    </row>
    <row r="25" spans="1:23" ht="34.5" customHeight="1" x14ac:dyDescent="0.2">
      <c r="A25" s="179" t="s">
        <v>134</v>
      </c>
      <c r="B25" s="179"/>
      <c r="C25" s="179"/>
      <c r="D25" s="179"/>
      <c r="E25" s="179"/>
      <c r="F25" s="179"/>
      <c r="G25" s="179"/>
      <c r="H25" s="179"/>
      <c r="I25" s="179"/>
      <c r="J25" s="179"/>
      <c r="K25" s="179"/>
      <c r="L25" s="179"/>
      <c r="M25" s="179"/>
      <c r="N25" s="179"/>
      <c r="O25" s="179"/>
      <c r="P25" s="179"/>
      <c r="Q25" s="179"/>
      <c r="R25" s="179"/>
      <c r="S25" s="179"/>
      <c r="T25" s="179"/>
      <c r="U25" s="179"/>
      <c r="V25" s="179"/>
      <c r="W25" s="179"/>
    </row>
    <row r="26" spans="1:23" x14ac:dyDescent="0.2">
      <c r="A26" s="180" t="s">
        <v>135</v>
      </c>
      <c r="B26" s="180"/>
      <c r="C26" s="180"/>
      <c r="D26" s="180"/>
      <c r="E26" s="180"/>
      <c r="F26" s="180"/>
      <c r="G26" s="180"/>
      <c r="H26" s="180"/>
      <c r="I26" s="180"/>
      <c r="J26" s="180"/>
      <c r="K26" s="180"/>
      <c r="L26" s="180"/>
      <c r="M26" s="180"/>
      <c r="N26" s="180"/>
      <c r="O26" s="180"/>
      <c r="P26" s="180"/>
      <c r="Q26" s="180"/>
      <c r="R26" s="180"/>
      <c r="S26" s="180"/>
      <c r="T26" s="180"/>
      <c r="U26" s="180"/>
      <c r="V26" s="180"/>
      <c r="W26" s="180"/>
    </row>
    <row r="27" spans="1:23" x14ac:dyDescent="0.2">
      <c r="A27" s="19" t="s">
        <v>136</v>
      </c>
      <c r="B27" s="15"/>
    </row>
    <row r="28" spans="1:23" x14ac:dyDescent="0.2">
      <c r="A28" s="14" t="s">
        <v>176</v>
      </c>
      <c r="B28" s="15"/>
    </row>
    <row r="29" spans="1:23" x14ac:dyDescent="0.2">
      <c r="A29" s="14" t="s">
        <v>177</v>
      </c>
    </row>
    <row r="30" spans="1:23" x14ac:dyDescent="0.2">
      <c r="A30" s="14" t="s">
        <v>137</v>
      </c>
    </row>
    <row r="32" spans="1:23" ht="18" x14ac:dyDescent="0.25">
      <c r="A32" s="16" t="s">
        <v>118</v>
      </c>
      <c r="B32" s="15"/>
      <c r="G32" s="21"/>
      <c r="H32" s="21"/>
      <c r="I32" s="21"/>
      <c r="J32" s="21"/>
      <c r="K32" s="21"/>
      <c r="L32" s="21"/>
      <c r="M32" s="21"/>
      <c r="N32" s="21"/>
      <c r="O32" s="21"/>
      <c r="P32" s="21"/>
      <c r="Q32" s="21"/>
      <c r="R32" s="21"/>
      <c r="S32" s="21"/>
      <c r="T32" s="21"/>
      <c r="U32" s="21"/>
      <c r="V32" s="21"/>
      <c r="W32" s="21"/>
    </row>
    <row r="33" spans="1:22" ht="30.75" customHeight="1" x14ac:dyDescent="0.2">
      <c r="A33" s="178" t="s">
        <v>393</v>
      </c>
      <c r="B33" s="178"/>
      <c r="C33" s="178"/>
      <c r="D33" s="178"/>
      <c r="E33" s="178"/>
      <c r="F33" s="178"/>
      <c r="G33" s="178"/>
      <c r="H33" s="178"/>
      <c r="I33" s="178"/>
      <c r="J33" s="178"/>
      <c r="K33" s="178"/>
      <c r="L33" s="178"/>
      <c r="M33" s="178"/>
      <c r="N33" s="178"/>
      <c r="O33" s="178"/>
      <c r="P33" s="178"/>
      <c r="Q33" s="178"/>
      <c r="R33" s="178"/>
      <c r="S33" s="178"/>
      <c r="T33" s="178"/>
      <c r="U33" s="178"/>
      <c r="V33" s="178"/>
    </row>
    <row r="34" spans="1:22" ht="17.25" customHeight="1" x14ac:dyDescent="0.2">
      <c r="A34" s="178" t="s">
        <v>394</v>
      </c>
      <c r="B34" s="178"/>
      <c r="C34" s="178"/>
      <c r="D34" s="178"/>
      <c r="E34" s="178"/>
      <c r="F34" s="178"/>
      <c r="G34" s="178"/>
      <c r="H34" s="178"/>
      <c r="I34" s="178"/>
      <c r="J34" s="178"/>
      <c r="K34" s="178"/>
      <c r="L34" s="178"/>
      <c r="M34" s="178"/>
      <c r="N34" s="178"/>
      <c r="O34" s="178"/>
      <c r="P34" s="178"/>
      <c r="Q34" s="178"/>
      <c r="R34" s="178"/>
      <c r="S34" s="178"/>
      <c r="T34" s="178"/>
      <c r="U34" s="178"/>
      <c r="V34" s="178"/>
    </row>
    <row r="35" spans="1:22" ht="14.25" customHeight="1" x14ac:dyDescent="0.2">
      <c r="A35" s="178" t="s">
        <v>395</v>
      </c>
      <c r="B35" s="178"/>
      <c r="C35" s="178"/>
      <c r="D35" s="178"/>
      <c r="E35" s="178"/>
      <c r="F35" s="178"/>
      <c r="G35" s="178"/>
      <c r="H35" s="178"/>
      <c r="I35" s="178"/>
      <c r="J35" s="178"/>
      <c r="K35" s="178"/>
      <c r="L35" s="178"/>
      <c r="M35" s="178"/>
      <c r="N35" s="178"/>
      <c r="O35" s="178"/>
      <c r="P35" s="178"/>
      <c r="Q35" s="178"/>
      <c r="R35" s="178"/>
      <c r="S35" s="178"/>
      <c r="T35" s="178"/>
      <c r="U35" s="178"/>
      <c r="V35" s="178"/>
    </row>
    <row r="36" spans="1:22" ht="46.5" customHeight="1" x14ac:dyDescent="0.2">
      <c r="A36" s="178" t="s">
        <v>396</v>
      </c>
      <c r="B36" s="178"/>
      <c r="C36" s="178"/>
      <c r="D36" s="178"/>
      <c r="E36" s="178"/>
      <c r="F36" s="178"/>
      <c r="G36" s="178"/>
      <c r="H36" s="178"/>
      <c r="I36" s="178"/>
      <c r="J36" s="178"/>
      <c r="K36" s="178"/>
      <c r="L36" s="178"/>
      <c r="M36" s="178"/>
      <c r="N36" s="178"/>
      <c r="O36" s="178"/>
      <c r="P36" s="178"/>
      <c r="Q36" s="178"/>
      <c r="R36" s="178"/>
      <c r="S36" s="178"/>
      <c r="T36" s="178"/>
      <c r="U36" s="178"/>
      <c r="V36" s="178"/>
    </row>
    <row r="37" spans="1:22" ht="29.25" customHeight="1" x14ac:dyDescent="0.2">
      <c r="A37" s="178" t="s">
        <v>397</v>
      </c>
      <c r="B37" s="178"/>
      <c r="C37" s="178"/>
      <c r="D37" s="178"/>
      <c r="E37" s="178"/>
      <c r="F37" s="178"/>
      <c r="G37" s="178"/>
      <c r="H37" s="178"/>
      <c r="I37" s="178"/>
      <c r="J37" s="178"/>
      <c r="K37" s="178"/>
      <c r="L37" s="178"/>
      <c r="M37" s="178"/>
      <c r="N37" s="178"/>
      <c r="O37" s="178"/>
      <c r="P37" s="178"/>
      <c r="Q37" s="178"/>
      <c r="R37" s="178"/>
      <c r="S37" s="178"/>
      <c r="T37" s="178"/>
      <c r="U37" s="178"/>
      <c r="V37" s="178"/>
    </row>
    <row r="38" spans="1:22" ht="21" customHeight="1" x14ac:dyDescent="0.2">
      <c r="A38" s="178" t="s">
        <v>398</v>
      </c>
      <c r="B38" s="178"/>
      <c r="C38" s="178"/>
      <c r="D38" s="178"/>
      <c r="E38" s="178"/>
      <c r="F38" s="178"/>
      <c r="G38" s="178"/>
      <c r="H38" s="178"/>
      <c r="I38" s="178"/>
      <c r="J38" s="178"/>
      <c r="K38" s="178"/>
      <c r="L38" s="178"/>
      <c r="M38" s="178"/>
      <c r="N38" s="178"/>
      <c r="O38" s="178"/>
      <c r="P38" s="178"/>
      <c r="Q38" s="178"/>
      <c r="R38" s="178"/>
      <c r="S38" s="178"/>
      <c r="T38" s="178"/>
      <c r="U38" s="178"/>
      <c r="V38" s="178"/>
    </row>
    <row r="39" spans="1:22" x14ac:dyDescent="0.2">
      <c r="B39" s="15"/>
    </row>
    <row r="40" spans="1:22" x14ac:dyDescent="0.2">
      <c r="B40" s="15"/>
    </row>
    <row r="41" spans="1:22" x14ac:dyDescent="0.2">
      <c r="B41" s="15"/>
    </row>
  </sheetData>
  <mergeCells count="9">
    <mergeCell ref="A38:V38"/>
    <mergeCell ref="A35:V35"/>
    <mergeCell ref="A36:V36"/>
    <mergeCell ref="A37:V37"/>
    <mergeCell ref="A24:W24"/>
    <mergeCell ref="A25:W25"/>
    <mergeCell ref="A26:W26"/>
    <mergeCell ref="A33:V33"/>
    <mergeCell ref="A34:V3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41"/>
  <sheetViews>
    <sheetView zoomScaleNormal="100" workbookViewId="0">
      <selection activeCell="L3" sqref="L3"/>
    </sheetView>
  </sheetViews>
  <sheetFormatPr defaultColWidth="9.140625" defaultRowHeight="15" x14ac:dyDescent="0.25"/>
  <cols>
    <col min="1" max="12" width="11.42578125" style="1" bestFit="1" customWidth="1"/>
    <col min="13" max="16384" width="9.140625" style="1"/>
  </cols>
  <sheetData>
    <row r="1" spans="1:21" ht="24" customHeight="1" x14ac:dyDescent="0.25">
      <c r="A1" s="183" t="s">
        <v>261</v>
      </c>
      <c r="B1" s="183"/>
      <c r="C1" s="183"/>
      <c r="D1" s="183"/>
      <c r="E1" s="183"/>
      <c r="F1" s="183"/>
      <c r="G1" s="183"/>
      <c r="H1" s="183"/>
      <c r="I1" s="183"/>
      <c r="J1" s="183"/>
    </row>
    <row r="2" spans="1:21" ht="1.5" customHeight="1" x14ac:dyDescent="0.25">
      <c r="A2" s="2"/>
    </row>
    <row r="3" spans="1:21" x14ac:dyDescent="0.25">
      <c r="A3" s="40" t="s">
        <v>138</v>
      </c>
      <c r="B3" s="3" t="s">
        <v>0</v>
      </c>
      <c r="C3" s="3" t="s">
        <v>1</v>
      </c>
      <c r="D3" s="3" t="s">
        <v>2</v>
      </c>
      <c r="E3" s="3" t="s">
        <v>3</v>
      </c>
      <c r="F3" s="3" t="s">
        <v>4</v>
      </c>
      <c r="G3" s="3" t="s">
        <v>5</v>
      </c>
      <c r="H3" s="3" t="s">
        <v>6</v>
      </c>
      <c r="I3" s="3" t="s">
        <v>7</v>
      </c>
      <c r="J3" s="3" t="s">
        <v>8</v>
      </c>
    </row>
    <row r="4" spans="1:21" x14ac:dyDescent="0.25">
      <c r="A4" s="23">
        <v>10</v>
      </c>
      <c r="B4" s="24" t="s">
        <v>109</v>
      </c>
      <c r="C4" s="24" t="s">
        <v>109</v>
      </c>
      <c r="D4" s="5">
        <v>0.1</v>
      </c>
      <c r="E4" s="5">
        <v>0.5</v>
      </c>
      <c r="F4" s="5" t="s">
        <v>109</v>
      </c>
      <c r="G4" s="24">
        <v>0.1</v>
      </c>
      <c r="H4" s="24" t="s">
        <v>109</v>
      </c>
      <c r="I4" s="5" t="s">
        <v>114</v>
      </c>
      <c r="J4" s="5">
        <v>0.7</v>
      </c>
      <c r="L4" s="5"/>
      <c r="M4" s="5"/>
      <c r="N4" s="5"/>
      <c r="O4" s="5"/>
      <c r="P4" s="5"/>
      <c r="Q4" s="5"/>
      <c r="R4" s="5"/>
      <c r="S4" s="5"/>
      <c r="T4" s="5"/>
    </row>
    <row r="5" spans="1:21" x14ac:dyDescent="0.25">
      <c r="A5" s="23">
        <v>11</v>
      </c>
      <c r="B5" s="24" t="s">
        <v>109</v>
      </c>
      <c r="C5" s="24">
        <v>0.1</v>
      </c>
      <c r="D5" s="5">
        <v>2.2999999999999998</v>
      </c>
      <c r="E5" s="5">
        <v>0.5</v>
      </c>
      <c r="F5" s="5" t="s">
        <v>109</v>
      </c>
      <c r="G5" s="24" t="s">
        <v>109</v>
      </c>
      <c r="H5" s="24" t="s">
        <v>109</v>
      </c>
      <c r="I5" s="5" t="s">
        <v>114</v>
      </c>
      <c r="J5" s="5">
        <v>3</v>
      </c>
      <c r="L5" s="5"/>
      <c r="M5" s="5"/>
      <c r="N5" s="5"/>
      <c r="O5" s="5"/>
      <c r="P5" s="5"/>
      <c r="Q5" s="5"/>
      <c r="R5" s="5"/>
      <c r="S5" s="5"/>
      <c r="T5" s="5"/>
    </row>
    <row r="6" spans="1:21" x14ac:dyDescent="0.25">
      <c r="A6" s="23">
        <v>12</v>
      </c>
      <c r="B6" s="5">
        <v>0.8</v>
      </c>
      <c r="C6" s="5" t="s">
        <v>109</v>
      </c>
      <c r="D6" s="5">
        <v>14.3</v>
      </c>
      <c r="E6" s="5">
        <v>4.4000000000000004</v>
      </c>
      <c r="F6" s="5">
        <v>1.3</v>
      </c>
      <c r="G6" s="24">
        <v>0.8</v>
      </c>
      <c r="H6" s="5">
        <v>0.7</v>
      </c>
      <c r="I6" s="5" t="s">
        <v>114</v>
      </c>
      <c r="J6" s="5">
        <v>22.3</v>
      </c>
      <c r="L6" s="5"/>
      <c r="M6" s="5"/>
      <c r="N6" s="5"/>
      <c r="O6" s="5"/>
      <c r="P6" s="5"/>
      <c r="Q6" s="5"/>
      <c r="R6" s="5"/>
      <c r="S6" s="5"/>
      <c r="T6" s="5"/>
    </row>
    <row r="7" spans="1:21" x14ac:dyDescent="0.25">
      <c r="A7" s="23">
        <v>13</v>
      </c>
      <c r="B7" s="5">
        <v>4.8</v>
      </c>
      <c r="C7" s="5">
        <v>1.1000000000000001</v>
      </c>
      <c r="D7" s="5">
        <v>48.1</v>
      </c>
      <c r="E7" s="5">
        <v>16.8</v>
      </c>
      <c r="F7" s="5">
        <v>5.7</v>
      </c>
      <c r="G7" s="5">
        <v>2.1</v>
      </c>
      <c r="H7" s="5">
        <v>1</v>
      </c>
      <c r="I7" s="5" t="s">
        <v>114</v>
      </c>
      <c r="J7" s="5">
        <v>79.7</v>
      </c>
      <c r="L7" s="5"/>
      <c r="M7" s="5"/>
      <c r="N7" s="5"/>
      <c r="O7" s="5"/>
      <c r="P7" s="5"/>
      <c r="Q7" s="5"/>
      <c r="R7" s="5"/>
      <c r="S7" s="5"/>
      <c r="T7" s="5"/>
    </row>
    <row r="8" spans="1:21" x14ac:dyDescent="0.25">
      <c r="A8" s="23">
        <v>14</v>
      </c>
      <c r="B8" s="5">
        <v>56.4</v>
      </c>
      <c r="C8" s="5">
        <v>12.7</v>
      </c>
      <c r="D8" s="5">
        <v>105.4</v>
      </c>
      <c r="E8" s="5">
        <v>43.7</v>
      </c>
      <c r="F8" s="5">
        <v>17.7</v>
      </c>
      <c r="G8" s="5">
        <v>7.2</v>
      </c>
      <c r="H8" s="5">
        <v>7.1</v>
      </c>
      <c r="I8" s="5" t="s">
        <v>114</v>
      </c>
      <c r="J8" s="5">
        <v>250.2</v>
      </c>
      <c r="L8" s="5"/>
      <c r="M8" s="5"/>
      <c r="N8" s="5"/>
      <c r="O8" s="5"/>
      <c r="P8" s="5"/>
      <c r="Q8" s="5"/>
      <c r="R8" s="5"/>
      <c r="S8" s="5"/>
      <c r="T8" s="5"/>
    </row>
    <row r="9" spans="1:21" x14ac:dyDescent="0.25">
      <c r="A9" s="23">
        <v>15</v>
      </c>
      <c r="B9" s="5">
        <v>173.5</v>
      </c>
      <c r="C9" s="5">
        <v>48.1</v>
      </c>
      <c r="D9" s="5">
        <v>193</v>
      </c>
      <c r="E9" s="5">
        <v>82.8</v>
      </c>
      <c r="F9" s="5">
        <v>40.4</v>
      </c>
      <c r="G9" s="5">
        <v>18.3</v>
      </c>
      <c r="H9" s="5">
        <v>11.2</v>
      </c>
      <c r="I9" s="5" t="s">
        <v>114</v>
      </c>
      <c r="J9" s="5">
        <v>567.20000000000005</v>
      </c>
      <c r="L9" s="5"/>
      <c r="M9" s="5"/>
      <c r="N9" s="5"/>
      <c r="O9" s="5"/>
      <c r="P9" s="5"/>
      <c r="Q9" s="5"/>
      <c r="R9" s="5"/>
      <c r="S9" s="5"/>
      <c r="T9" s="5"/>
    </row>
    <row r="10" spans="1:21" x14ac:dyDescent="0.25">
      <c r="A10" s="23">
        <v>16</v>
      </c>
      <c r="B10" s="5">
        <v>238.7</v>
      </c>
      <c r="C10" s="5">
        <v>77.099999999999994</v>
      </c>
      <c r="D10" s="5">
        <v>246.7</v>
      </c>
      <c r="E10" s="5">
        <v>100.2</v>
      </c>
      <c r="F10" s="5">
        <v>54</v>
      </c>
      <c r="G10" s="5">
        <v>28.7</v>
      </c>
      <c r="H10" s="5">
        <v>11.4</v>
      </c>
      <c r="I10" s="5" t="s">
        <v>114</v>
      </c>
      <c r="J10" s="5">
        <v>756.8</v>
      </c>
      <c r="L10" s="5"/>
      <c r="M10" s="5"/>
      <c r="N10" s="5"/>
      <c r="O10" s="5"/>
      <c r="P10" s="5"/>
      <c r="Q10" s="5"/>
      <c r="R10" s="5"/>
      <c r="S10" s="5"/>
      <c r="T10" s="5"/>
    </row>
    <row r="11" spans="1:21" x14ac:dyDescent="0.25">
      <c r="A11" s="23">
        <v>17</v>
      </c>
      <c r="B11" s="5">
        <v>265.3</v>
      </c>
      <c r="C11" s="5">
        <v>89.6</v>
      </c>
      <c r="D11" s="5">
        <v>250.1</v>
      </c>
      <c r="E11" s="5">
        <v>118.9</v>
      </c>
      <c r="F11" s="5">
        <v>50</v>
      </c>
      <c r="G11" s="5">
        <v>39.1</v>
      </c>
      <c r="H11" s="5">
        <v>15.9</v>
      </c>
      <c r="I11" s="5" t="s">
        <v>114</v>
      </c>
      <c r="J11" s="5">
        <v>828.9</v>
      </c>
      <c r="L11" s="5"/>
      <c r="M11" s="5"/>
      <c r="N11" s="5"/>
      <c r="O11" s="5"/>
      <c r="P11" s="5"/>
      <c r="Q11" s="5"/>
      <c r="R11" s="5"/>
      <c r="S11" s="5"/>
      <c r="T11" s="5"/>
    </row>
    <row r="12" spans="1:21" x14ac:dyDescent="0.25">
      <c r="A12" s="25" t="s">
        <v>9</v>
      </c>
      <c r="B12" s="26">
        <v>739.5</v>
      </c>
      <c r="C12" s="26">
        <v>228.7</v>
      </c>
      <c r="D12" s="26">
        <v>860</v>
      </c>
      <c r="E12" s="26">
        <v>367.8</v>
      </c>
      <c r="F12" s="26">
        <v>169.1</v>
      </c>
      <c r="G12" s="26">
        <v>96.4</v>
      </c>
      <c r="H12" s="26">
        <v>47.4</v>
      </c>
      <c r="I12" s="5" t="s">
        <v>114</v>
      </c>
      <c r="J12" s="26">
        <v>2508.8000000000002</v>
      </c>
      <c r="L12" s="5"/>
      <c r="M12" s="5"/>
      <c r="N12" s="5"/>
      <c r="O12" s="5"/>
      <c r="P12" s="5"/>
      <c r="Q12" s="5"/>
      <c r="R12" s="5"/>
      <c r="S12" s="5"/>
      <c r="T12" s="5"/>
    </row>
    <row r="13" spans="1:21" x14ac:dyDescent="0.25">
      <c r="A13" s="23" t="s">
        <v>10</v>
      </c>
      <c r="B13" s="5">
        <v>69.400000000000006</v>
      </c>
      <c r="C13" s="5">
        <v>190.7</v>
      </c>
      <c r="D13" s="5">
        <v>403.8</v>
      </c>
      <c r="E13" s="5">
        <v>77</v>
      </c>
      <c r="F13" s="5">
        <v>34.4</v>
      </c>
      <c r="G13" s="5">
        <v>50.8</v>
      </c>
      <c r="H13" s="5">
        <v>23.5</v>
      </c>
      <c r="I13" s="5" t="s">
        <v>114</v>
      </c>
      <c r="J13" s="5">
        <v>849.5</v>
      </c>
      <c r="L13" s="5"/>
      <c r="M13" s="5"/>
      <c r="N13" s="5"/>
      <c r="O13" s="5"/>
      <c r="P13" s="5"/>
      <c r="Q13" s="5"/>
      <c r="R13" s="5"/>
      <c r="S13" s="5"/>
      <c r="T13" s="5"/>
    </row>
    <row r="14" spans="1:21" x14ac:dyDescent="0.25">
      <c r="A14" s="27" t="s">
        <v>11</v>
      </c>
      <c r="B14" s="97">
        <v>808.9</v>
      </c>
      <c r="C14" s="97">
        <v>419.4</v>
      </c>
      <c r="D14" s="97">
        <v>1263.8</v>
      </c>
      <c r="E14" s="97">
        <v>444.9</v>
      </c>
      <c r="F14" s="97">
        <v>203.4</v>
      </c>
      <c r="G14" s="97">
        <v>147.19999999999999</v>
      </c>
      <c r="H14" s="97">
        <v>70.900000000000006</v>
      </c>
      <c r="I14" s="97" t="s">
        <v>114</v>
      </c>
      <c r="J14" s="97">
        <v>3358.4</v>
      </c>
      <c r="L14" s="5"/>
      <c r="M14" s="5"/>
      <c r="N14" s="5"/>
      <c r="O14" s="5"/>
      <c r="P14" s="5"/>
      <c r="Q14" s="5"/>
      <c r="R14" s="5"/>
      <c r="S14" s="5"/>
      <c r="T14" s="5"/>
      <c r="U14" s="127"/>
    </row>
    <row r="15" spans="1:21" ht="12" hidden="1" customHeight="1" x14ac:dyDescent="0.25">
      <c r="A15" s="2"/>
    </row>
    <row r="16" spans="1:21" ht="11.1" customHeight="1" x14ac:dyDescent="0.25">
      <c r="A16" s="184" t="s">
        <v>12</v>
      </c>
      <c r="B16" s="184"/>
      <c r="C16" s="184"/>
      <c r="D16" s="184"/>
      <c r="E16" s="184"/>
      <c r="F16" s="184"/>
      <c r="G16" s="184"/>
      <c r="H16" s="184"/>
      <c r="I16" s="184"/>
      <c r="J16" s="184"/>
    </row>
    <row r="17" spans="1:22" s="6" customFormat="1" ht="11.1" customHeight="1" x14ac:dyDescent="0.15">
      <c r="A17" s="6" t="s">
        <v>13</v>
      </c>
    </row>
    <row r="18" spans="1:22" s="7" customFormat="1" ht="11.1" customHeight="1" x14ac:dyDescent="0.2">
      <c r="A18" s="181" t="s">
        <v>188</v>
      </c>
      <c r="B18" s="181"/>
      <c r="C18" s="181"/>
      <c r="D18" s="181"/>
      <c r="E18" s="181"/>
      <c r="F18" s="181"/>
      <c r="G18" s="181"/>
      <c r="H18" s="181"/>
      <c r="I18" s="181"/>
      <c r="J18" s="181"/>
    </row>
    <row r="19" spans="1:22" s="6" customFormat="1" ht="19.5" customHeight="1" x14ac:dyDescent="0.15">
      <c r="A19" s="186" t="s">
        <v>31</v>
      </c>
      <c r="B19" s="186"/>
      <c r="C19" s="186"/>
      <c r="D19" s="186"/>
      <c r="E19" s="186"/>
      <c r="F19" s="186"/>
      <c r="G19" s="186"/>
      <c r="H19" s="186"/>
      <c r="I19" s="186"/>
      <c r="J19" s="186"/>
    </row>
    <row r="20" spans="1:22" s="6" customFormat="1" ht="12" customHeight="1" x14ac:dyDescent="0.15">
      <c r="A20" s="186" t="s">
        <v>264</v>
      </c>
      <c r="B20" s="186"/>
      <c r="C20" s="186"/>
      <c r="D20" s="186"/>
      <c r="E20" s="186"/>
      <c r="F20" s="186"/>
      <c r="G20" s="186"/>
      <c r="H20" s="186"/>
      <c r="I20" s="186"/>
      <c r="J20" s="186"/>
    </row>
    <row r="21" spans="1:22" s="6" customFormat="1" ht="12" customHeight="1" x14ac:dyDescent="0.15">
      <c r="A21" s="92"/>
      <c r="B21" s="92"/>
      <c r="C21" s="92"/>
      <c r="D21" s="92"/>
      <c r="E21" s="92"/>
      <c r="F21" s="92"/>
      <c r="G21" s="92"/>
      <c r="H21" s="92"/>
      <c r="I21" s="92"/>
      <c r="J21" s="92"/>
    </row>
    <row r="22" spans="1:22" s="6" customFormat="1" ht="11.1" customHeight="1" x14ac:dyDescent="0.15">
      <c r="A22" s="6" t="s">
        <v>265</v>
      </c>
    </row>
    <row r="23" spans="1:22" ht="12" customHeight="1" x14ac:dyDescent="0.25">
      <c r="A23" s="2"/>
    </row>
    <row r="24" spans="1:22" ht="26.25" customHeight="1" x14ac:dyDescent="0.25">
      <c r="A24" s="185" t="s">
        <v>262</v>
      </c>
      <c r="B24" s="185"/>
      <c r="C24" s="185"/>
      <c r="D24" s="185"/>
      <c r="E24" s="185"/>
      <c r="F24" s="185"/>
      <c r="G24" s="185"/>
      <c r="H24" s="185"/>
      <c r="I24" s="185"/>
      <c r="J24" s="185"/>
      <c r="K24" s="185"/>
      <c r="L24" s="185"/>
    </row>
    <row r="25" spans="1:22" ht="3" hidden="1" customHeight="1" x14ac:dyDescent="0.25">
      <c r="A25" s="2"/>
    </row>
    <row r="26" spans="1:22" x14ac:dyDescent="0.25">
      <c r="A26" s="40" t="s">
        <v>138</v>
      </c>
      <c r="B26" s="3" t="s">
        <v>0</v>
      </c>
      <c r="C26" s="3" t="s">
        <v>1</v>
      </c>
      <c r="D26" s="3" t="s">
        <v>2</v>
      </c>
      <c r="E26" s="3" t="s">
        <v>3</v>
      </c>
      <c r="F26" s="3" t="s">
        <v>4</v>
      </c>
      <c r="G26" s="3" t="s">
        <v>5</v>
      </c>
      <c r="H26" s="3" t="s">
        <v>6</v>
      </c>
      <c r="I26" s="3" t="s">
        <v>7</v>
      </c>
      <c r="J26" s="3" t="s">
        <v>8</v>
      </c>
      <c r="L26" s="8"/>
      <c r="M26" s="8"/>
      <c r="N26" s="8"/>
      <c r="O26" s="8"/>
      <c r="P26" s="8"/>
      <c r="Q26" s="8"/>
      <c r="R26" s="8"/>
      <c r="S26" s="8"/>
      <c r="T26" s="8"/>
      <c r="V26" s="120"/>
    </row>
    <row r="27" spans="1:22" x14ac:dyDescent="0.25">
      <c r="A27" s="23" t="s">
        <v>15</v>
      </c>
      <c r="B27" s="29">
        <v>28</v>
      </c>
      <c r="C27" s="29">
        <v>12</v>
      </c>
      <c r="D27" s="8">
        <v>202</v>
      </c>
      <c r="E27" s="8">
        <v>108</v>
      </c>
      <c r="F27" s="8">
        <v>40</v>
      </c>
      <c r="G27" s="29">
        <v>10</v>
      </c>
      <c r="H27" s="29">
        <v>8</v>
      </c>
      <c r="I27" s="8">
        <v>87</v>
      </c>
      <c r="J27" s="8">
        <v>495</v>
      </c>
      <c r="L27" s="8"/>
      <c r="M27" s="8"/>
      <c r="N27" s="8"/>
      <c r="O27" s="8"/>
      <c r="P27" s="8"/>
      <c r="Q27" s="8"/>
      <c r="R27" s="8"/>
      <c r="S27" s="8"/>
      <c r="T27" s="8"/>
    </row>
    <row r="28" spans="1:22" x14ac:dyDescent="0.25">
      <c r="A28" s="23">
        <v>14</v>
      </c>
      <c r="B28" s="29">
        <v>205</v>
      </c>
      <c r="C28" s="29">
        <v>56</v>
      </c>
      <c r="D28" s="8">
        <v>278</v>
      </c>
      <c r="E28" s="8">
        <v>157</v>
      </c>
      <c r="F28" s="8">
        <v>63</v>
      </c>
      <c r="G28" s="29">
        <v>23</v>
      </c>
      <c r="H28" s="29">
        <v>21</v>
      </c>
      <c r="I28" s="8">
        <v>102</v>
      </c>
      <c r="J28" s="8">
        <v>905</v>
      </c>
      <c r="L28" s="8"/>
      <c r="M28" s="8"/>
      <c r="N28" s="8"/>
      <c r="O28" s="8"/>
      <c r="P28" s="8"/>
      <c r="Q28" s="8"/>
      <c r="R28" s="8"/>
      <c r="S28" s="8"/>
      <c r="T28" s="8"/>
    </row>
    <row r="29" spans="1:22" x14ac:dyDescent="0.25">
      <c r="A29" s="23">
        <v>15</v>
      </c>
      <c r="B29" s="8">
        <v>407</v>
      </c>
      <c r="C29" s="8">
        <v>145</v>
      </c>
      <c r="D29" s="8">
        <v>458</v>
      </c>
      <c r="E29" s="8">
        <v>231</v>
      </c>
      <c r="F29" s="8">
        <v>108</v>
      </c>
      <c r="G29" s="29">
        <v>39</v>
      </c>
      <c r="H29" s="8">
        <v>37</v>
      </c>
      <c r="I29" s="8">
        <v>109</v>
      </c>
      <c r="J29" s="8">
        <v>1534</v>
      </c>
      <c r="L29" s="8"/>
      <c r="M29" s="8"/>
      <c r="N29" s="8"/>
      <c r="O29" s="8"/>
      <c r="P29" s="8"/>
      <c r="Q29" s="8"/>
      <c r="R29" s="8"/>
      <c r="S29" s="8"/>
      <c r="T29" s="8"/>
    </row>
    <row r="30" spans="1:22" x14ac:dyDescent="0.25">
      <c r="A30" s="23">
        <v>16</v>
      </c>
      <c r="B30" s="8">
        <v>456</v>
      </c>
      <c r="C30" s="8">
        <v>175</v>
      </c>
      <c r="D30" s="8">
        <v>487</v>
      </c>
      <c r="E30" s="8">
        <v>260</v>
      </c>
      <c r="F30" s="8">
        <v>131</v>
      </c>
      <c r="G30" s="8">
        <v>55</v>
      </c>
      <c r="H30" s="8">
        <v>27</v>
      </c>
      <c r="I30" s="8">
        <v>137</v>
      </c>
      <c r="J30" s="8">
        <v>1728</v>
      </c>
      <c r="L30" s="8"/>
      <c r="M30" s="8"/>
      <c r="N30" s="8"/>
      <c r="O30" s="8"/>
      <c r="P30" s="8"/>
      <c r="Q30" s="8"/>
      <c r="R30" s="8"/>
      <c r="S30" s="8"/>
      <c r="T30" s="8"/>
    </row>
    <row r="31" spans="1:22" x14ac:dyDescent="0.25">
      <c r="A31" s="23">
        <v>17</v>
      </c>
      <c r="B31" s="8">
        <v>572</v>
      </c>
      <c r="C31" s="8">
        <v>213</v>
      </c>
      <c r="D31" s="8">
        <v>508</v>
      </c>
      <c r="E31" s="8">
        <v>319</v>
      </c>
      <c r="F31" s="8">
        <v>117</v>
      </c>
      <c r="G31" s="8">
        <v>81</v>
      </c>
      <c r="H31" s="8">
        <v>40</v>
      </c>
      <c r="I31" s="8">
        <v>197</v>
      </c>
      <c r="J31" s="8">
        <v>2047</v>
      </c>
      <c r="L31" s="8"/>
      <c r="M31" s="8"/>
      <c r="N31" s="8"/>
      <c r="O31" s="8"/>
      <c r="P31" s="8"/>
      <c r="Q31" s="8"/>
      <c r="R31" s="8"/>
      <c r="S31" s="8"/>
      <c r="T31" s="8"/>
    </row>
    <row r="32" spans="1:22" x14ac:dyDescent="0.25">
      <c r="A32" s="25" t="s">
        <v>9</v>
      </c>
      <c r="B32" s="8">
        <v>1668</v>
      </c>
      <c r="C32" s="8">
        <v>601</v>
      </c>
      <c r="D32" s="8">
        <v>1933</v>
      </c>
      <c r="E32" s="8">
        <v>1075</v>
      </c>
      <c r="F32" s="8">
        <v>459</v>
      </c>
      <c r="G32" s="8">
        <v>208</v>
      </c>
      <c r="H32" s="8">
        <v>133</v>
      </c>
      <c r="I32" s="8">
        <v>632</v>
      </c>
      <c r="J32" s="8">
        <v>6709</v>
      </c>
      <c r="L32" s="8"/>
      <c r="M32" s="8"/>
      <c r="N32" s="8"/>
      <c r="O32" s="8"/>
      <c r="P32" s="8"/>
      <c r="Q32" s="8"/>
      <c r="R32" s="8"/>
      <c r="S32" s="8"/>
      <c r="T32" s="8"/>
      <c r="U32" s="120"/>
    </row>
    <row r="33" spans="1:20" x14ac:dyDescent="0.25">
      <c r="A33" s="23" t="s">
        <v>10</v>
      </c>
      <c r="B33" s="8">
        <v>73</v>
      </c>
      <c r="C33" s="8">
        <v>398</v>
      </c>
      <c r="D33" s="8">
        <v>523</v>
      </c>
      <c r="E33" s="8">
        <v>101</v>
      </c>
      <c r="F33" s="8">
        <v>63</v>
      </c>
      <c r="G33" s="8">
        <v>49</v>
      </c>
      <c r="H33" s="8">
        <v>21</v>
      </c>
      <c r="I33" s="8">
        <v>363</v>
      </c>
      <c r="J33" s="8">
        <v>1591</v>
      </c>
      <c r="L33" s="8"/>
      <c r="M33" s="8"/>
      <c r="N33" s="8"/>
      <c r="O33" s="8"/>
      <c r="P33" s="8"/>
      <c r="Q33" s="8"/>
      <c r="R33" s="8"/>
      <c r="S33" s="8"/>
      <c r="T33" s="8"/>
    </row>
    <row r="34" spans="1:20" x14ac:dyDescent="0.25">
      <c r="A34" s="95" t="s">
        <v>11</v>
      </c>
      <c r="B34" s="94">
        <v>1741</v>
      </c>
      <c r="C34" s="94">
        <v>999</v>
      </c>
      <c r="D34" s="94">
        <v>2456</v>
      </c>
      <c r="E34" s="94">
        <v>1177</v>
      </c>
      <c r="F34" s="94">
        <v>522</v>
      </c>
      <c r="G34" s="94">
        <v>257</v>
      </c>
      <c r="H34" s="94">
        <v>154</v>
      </c>
      <c r="I34" s="94">
        <v>995</v>
      </c>
      <c r="J34" s="94">
        <v>8301</v>
      </c>
    </row>
    <row r="35" spans="1:20" ht="1.5" customHeight="1" x14ac:dyDescent="0.25">
      <c r="A35" s="93"/>
      <c r="B35" s="80"/>
      <c r="C35" s="80"/>
      <c r="D35" s="80"/>
      <c r="E35" s="80"/>
      <c r="F35" s="80"/>
      <c r="G35" s="80"/>
      <c r="H35" s="80"/>
      <c r="I35" s="80"/>
      <c r="J35" s="80"/>
      <c r="L35" s="8">
        <v>1741</v>
      </c>
      <c r="M35" s="8">
        <v>999</v>
      </c>
      <c r="N35" s="8">
        <v>2456</v>
      </c>
      <c r="O35" s="8">
        <v>1177</v>
      </c>
      <c r="P35" s="8">
        <v>522</v>
      </c>
      <c r="Q35" s="8">
        <v>257</v>
      </c>
      <c r="R35" s="8">
        <v>154</v>
      </c>
      <c r="S35" s="8">
        <v>995</v>
      </c>
      <c r="T35" s="8">
        <v>8301</v>
      </c>
    </row>
    <row r="36" spans="1:20" ht="2.25" hidden="1" customHeight="1" x14ac:dyDescent="0.25"/>
    <row r="37" spans="1:20" ht="15.75" customHeight="1" x14ac:dyDescent="0.25">
      <c r="A37" s="182" t="s">
        <v>186</v>
      </c>
      <c r="B37" s="182"/>
      <c r="C37" s="182"/>
      <c r="D37" s="182"/>
      <c r="E37" s="182"/>
      <c r="F37" s="182"/>
      <c r="G37" s="182"/>
      <c r="H37" s="182"/>
      <c r="I37" s="182"/>
      <c r="J37" s="182"/>
    </row>
    <row r="38" spans="1:20" ht="21" customHeight="1" x14ac:dyDescent="0.25">
      <c r="A38" s="182" t="s">
        <v>187</v>
      </c>
      <c r="B38" s="182"/>
      <c r="C38" s="182"/>
      <c r="D38" s="182"/>
      <c r="E38" s="182"/>
      <c r="F38" s="182"/>
      <c r="G38" s="182"/>
      <c r="H38" s="182"/>
      <c r="I38" s="182"/>
      <c r="J38" s="182"/>
      <c r="K38" s="181"/>
      <c r="L38" s="181"/>
    </row>
    <row r="39" spans="1:20" s="6" customFormat="1" ht="11.1" customHeight="1" x14ac:dyDescent="0.15"/>
    <row r="40" spans="1:20" s="6" customFormat="1" ht="11.1" customHeight="1" x14ac:dyDescent="0.15">
      <c r="A40" s="6" t="s">
        <v>263</v>
      </c>
    </row>
    <row r="41" spans="1:20" ht="12" customHeight="1" x14ac:dyDescent="0.25">
      <c r="A41" s="2"/>
    </row>
  </sheetData>
  <mergeCells count="9">
    <mergeCell ref="A18:J18"/>
    <mergeCell ref="A38:J38"/>
    <mergeCell ref="K38:L38"/>
    <mergeCell ref="A1:J1"/>
    <mergeCell ref="A16:J16"/>
    <mergeCell ref="A24:L24"/>
    <mergeCell ref="A37:J37"/>
    <mergeCell ref="A19:J19"/>
    <mergeCell ref="A20:J20"/>
  </mergeCells>
  <pageMargins left="0.08" right="0.08" top="1" bottom="1" header="0.5" footer="0.5"/>
  <pageSetup orientation="landscape" blackAndWhite="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50"/>
  <sheetViews>
    <sheetView zoomScaleNormal="100" workbookViewId="0">
      <selection sqref="A1:K1"/>
    </sheetView>
  </sheetViews>
  <sheetFormatPr defaultColWidth="9.140625" defaultRowHeight="15" x14ac:dyDescent="0.25"/>
  <cols>
    <col min="1" max="2" width="17.140625" style="1" customWidth="1"/>
    <col min="3" max="13" width="11.42578125" style="1" bestFit="1" customWidth="1"/>
    <col min="14" max="14" width="17.85546875" style="1" bestFit="1" customWidth="1"/>
    <col min="15" max="16384" width="9.140625" style="1"/>
  </cols>
  <sheetData>
    <row r="1" spans="1:23" ht="18.75" customHeight="1" x14ac:dyDescent="0.25">
      <c r="A1" s="188" t="s">
        <v>266</v>
      </c>
      <c r="B1" s="188"/>
      <c r="C1" s="188"/>
      <c r="D1" s="188"/>
      <c r="E1" s="188"/>
      <c r="F1" s="188"/>
      <c r="G1" s="188"/>
      <c r="H1" s="188"/>
      <c r="I1" s="188"/>
      <c r="J1" s="188"/>
      <c r="K1" s="188"/>
    </row>
    <row r="2" spans="1:23" ht="3" customHeight="1" x14ac:dyDescent="0.25">
      <c r="A2" s="2"/>
    </row>
    <row r="3" spans="1:23" x14ac:dyDescent="0.25">
      <c r="A3" s="31" t="s">
        <v>119</v>
      </c>
      <c r="B3" s="31" t="s">
        <v>120</v>
      </c>
      <c r="C3" s="3" t="s">
        <v>0</v>
      </c>
      <c r="D3" s="3" t="s">
        <v>1</v>
      </c>
      <c r="E3" s="3" t="s">
        <v>2</v>
      </c>
      <c r="F3" s="3" t="s">
        <v>3</v>
      </c>
      <c r="G3" s="3" t="s">
        <v>4</v>
      </c>
      <c r="H3" s="3" t="s">
        <v>5</v>
      </c>
      <c r="I3" s="3" t="s">
        <v>6</v>
      </c>
      <c r="J3" s="3" t="s">
        <v>7</v>
      </c>
      <c r="K3" s="3" t="s">
        <v>8</v>
      </c>
    </row>
    <row r="4" spans="1:23" ht="15" customHeight="1" x14ac:dyDescent="0.25">
      <c r="A4" s="187" t="s">
        <v>17</v>
      </c>
      <c r="B4" s="23" t="s">
        <v>18</v>
      </c>
      <c r="C4" s="5">
        <v>329.9</v>
      </c>
      <c r="D4" s="5">
        <v>68.900000000000006</v>
      </c>
      <c r="E4" s="5">
        <v>557</v>
      </c>
      <c r="F4" s="5">
        <v>205.9</v>
      </c>
      <c r="G4" s="5">
        <v>80.5</v>
      </c>
      <c r="H4" s="5">
        <v>33.1</v>
      </c>
      <c r="I4" s="5">
        <v>14.9</v>
      </c>
      <c r="J4" s="5" t="s">
        <v>114</v>
      </c>
      <c r="K4" s="5">
        <v>1290.0999999999999</v>
      </c>
      <c r="M4" s="5"/>
      <c r="N4" s="5"/>
      <c r="O4" s="5"/>
      <c r="P4" s="5"/>
      <c r="Q4" s="5"/>
      <c r="R4" s="5"/>
      <c r="S4" s="5"/>
      <c r="T4" s="5"/>
      <c r="U4" s="5"/>
      <c r="W4" s="127"/>
    </row>
    <row r="5" spans="1:23" ht="15" customHeight="1" x14ac:dyDescent="0.25">
      <c r="A5" s="187"/>
      <c r="B5" s="23" t="s">
        <v>19</v>
      </c>
      <c r="C5" s="5">
        <v>282.7</v>
      </c>
      <c r="D5" s="5">
        <v>302.89999999999998</v>
      </c>
      <c r="E5" s="5">
        <v>377.6</v>
      </c>
      <c r="F5" s="5">
        <v>148.80000000000001</v>
      </c>
      <c r="G5" s="5">
        <v>67.5</v>
      </c>
      <c r="H5" s="5">
        <v>68.2</v>
      </c>
      <c r="I5" s="5">
        <v>35.4</v>
      </c>
      <c r="J5" s="5" t="s">
        <v>114</v>
      </c>
      <c r="K5" s="5">
        <v>1283.0999999999999</v>
      </c>
      <c r="M5" s="5"/>
      <c r="N5" s="5"/>
      <c r="O5" s="5"/>
      <c r="P5" s="5"/>
      <c r="Q5" s="5"/>
      <c r="R5" s="5"/>
      <c r="S5" s="5"/>
      <c r="T5" s="5"/>
      <c r="U5" s="5"/>
    </row>
    <row r="6" spans="1:23" ht="15" customHeight="1" x14ac:dyDescent="0.25">
      <c r="A6" s="187"/>
      <c r="B6" s="23" t="s">
        <v>20</v>
      </c>
      <c r="C6" s="5">
        <v>21.3</v>
      </c>
      <c r="D6" s="5">
        <v>0.4</v>
      </c>
      <c r="E6" s="5">
        <v>4.0999999999999996</v>
      </c>
      <c r="F6" s="51" t="s">
        <v>109</v>
      </c>
      <c r="G6" s="5">
        <v>2.6</v>
      </c>
      <c r="H6" s="5">
        <v>0.5</v>
      </c>
      <c r="I6" s="5" t="s">
        <v>109</v>
      </c>
      <c r="J6" s="5" t="s">
        <v>114</v>
      </c>
      <c r="K6" s="5">
        <v>28.8</v>
      </c>
      <c r="M6" s="5"/>
      <c r="N6" s="5"/>
      <c r="O6" s="5"/>
      <c r="P6" s="74"/>
      <c r="Q6" s="5"/>
      <c r="R6" s="5"/>
      <c r="S6" s="5"/>
      <c r="T6" s="5"/>
      <c r="U6" s="5"/>
    </row>
    <row r="7" spans="1:23" ht="15" customHeight="1" x14ac:dyDescent="0.25">
      <c r="A7" s="187"/>
      <c r="B7" s="27" t="s">
        <v>11</v>
      </c>
      <c r="C7" s="97">
        <v>633.9</v>
      </c>
      <c r="D7" s="97">
        <v>372.2</v>
      </c>
      <c r="E7" s="97">
        <v>938.7</v>
      </c>
      <c r="F7" s="97">
        <v>354.7</v>
      </c>
      <c r="G7" s="97">
        <v>150.6</v>
      </c>
      <c r="H7" s="97">
        <v>101.7</v>
      </c>
      <c r="I7" s="97">
        <v>50.2</v>
      </c>
      <c r="J7" s="97" t="s">
        <v>114</v>
      </c>
      <c r="K7" s="97">
        <v>2602.1</v>
      </c>
      <c r="M7" s="97"/>
      <c r="N7" s="97"/>
      <c r="O7" s="97"/>
      <c r="P7" s="97"/>
      <c r="Q7" s="97"/>
      <c r="R7" s="97"/>
      <c r="S7" s="97"/>
      <c r="T7" s="97"/>
      <c r="U7" s="97"/>
    </row>
    <row r="8" spans="1:23" ht="15" customHeight="1" x14ac:dyDescent="0.25">
      <c r="A8" s="187" t="s">
        <v>21</v>
      </c>
      <c r="B8" s="23" t="s">
        <v>18</v>
      </c>
      <c r="C8" s="5">
        <v>101.8</v>
      </c>
      <c r="D8" s="5">
        <v>9.6</v>
      </c>
      <c r="E8" s="5">
        <v>228.6</v>
      </c>
      <c r="F8" s="5">
        <v>53.7</v>
      </c>
      <c r="G8" s="5">
        <v>31.8</v>
      </c>
      <c r="H8" s="5">
        <v>20.5</v>
      </c>
      <c r="I8" s="5">
        <v>6.1</v>
      </c>
      <c r="J8" s="5" t="s">
        <v>114</v>
      </c>
      <c r="K8" s="5">
        <v>452.1</v>
      </c>
      <c r="M8" s="5"/>
      <c r="N8" s="5"/>
      <c r="O8" s="5"/>
      <c r="P8" s="5"/>
      <c r="Q8" s="5"/>
      <c r="R8" s="5"/>
      <c r="S8" s="5"/>
      <c r="T8" s="5"/>
      <c r="U8" s="5"/>
    </row>
    <row r="9" spans="1:23" ht="15" customHeight="1" x14ac:dyDescent="0.25">
      <c r="A9" s="187"/>
      <c r="B9" s="23" t="s">
        <v>19</v>
      </c>
      <c r="C9" s="5">
        <v>66.7</v>
      </c>
      <c r="D9" s="5">
        <v>37.5</v>
      </c>
      <c r="E9" s="5">
        <v>95.1</v>
      </c>
      <c r="F9" s="5">
        <v>36.6</v>
      </c>
      <c r="G9" s="5">
        <v>20.5</v>
      </c>
      <c r="H9" s="5">
        <v>22.9</v>
      </c>
      <c r="I9" s="5">
        <v>14.6</v>
      </c>
      <c r="J9" s="5" t="s">
        <v>114</v>
      </c>
      <c r="K9" s="5">
        <v>293.8</v>
      </c>
      <c r="M9" s="5"/>
      <c r="N9" s="5"/>
      <c r="O9" s="5"/>
      <c r="P9" s="5"/>
      <c r="Q9" s="5"/>
      <c r="R9" s="5"/>
      <c r="S9" s="5"/>
      <c r="T9" s="5"/>
      <c r="U9" s="5"/>
    </row>
    <row r="10" spans="1:23" ht="15" customHeight="1" x14ac:dyDescent="0.25">
      <c r="A10" s="187"/>
      <c r="B10" s="23" t="s">
        <v>20</v>
      </c>
      <c r="C10" s="5">
        <v>5.3</v>
      </c>
      <c r="D10" s="5" t="s">
        <v>109</v>
      </c>
      <c r="E10" s="5">
        <v>0.2</v>
      </c>
      <c r="F10" s="51" t="s">
        <v>109</v>
      </c>
      <c r="G10" s="51" t="s">
        <v>109</v>
      </c>
      <c r="H10" s="5">
        <v>0.1</v>
      </c>
      <c r="I10" s="5" t="s">
        <v>109</v>
      </c>
      <c r="J10" s="5" t="s">
        <v>114</v>
      </c>
      <c r="K10" s="5">
        <v>5.6</v>
      </c>
      <c r="M10" s="5"/>
      <c r="N10" s="5"/>
      <c r="O10" s="5"/>
      <c r="P10" s="74"/>
      <c r="Q10" s="74"/>
      <c r="R10" s="5"/>
      <c r="S10" s="5"/>
      <c r="T10" s="5"/>
      <c r="U10" s="5"/>
    </row>
    <row r="11" spans="1:23" ht="15" customHeight="1" x14ac:dyDescent="0.25">
      <c r="A11" s="187"/>
      <c r="B11" s="27" t="s">
        <v>11</v>
      </c>
      <c r="C11" s="97">
        <v>173.8</v>
      </c>
      <c r="D11" s="97">
        <v>47.1</v>
      </c>
      <c r="E11" s="97">
        <v>323.89999999999998</v>
      </c>
      <c r="F11" s="97">
        <v>90.2</v>
      </c>
      <c r="G11" s="97">
        <v>52.3</v>
      </c>
      <c r="H11" s="97">
        <v>43.5</v>
      </c>
      <c r="I11" s="97">
        <v>20.7</v>
      </c>
      <c r="J11" s="97" t="s">
        <v>114</v>
      </c>
      <c r="K11" s="97">
        <v>751.5</v>
      </c>
      <c r="M11" s="97"/>
      <c r="N11" s="97"/>
      <c r="O11" s="97"/>
      <c r="P11" s="97"/>
      <c r="Q11" s="97"/>
      <c r="R11" s="97"/>
      <c r="S11" s="97"/>
      <c r="T11" s="97"/>
      <c r="U11" s="97"/>
    </row>
    <row r="12" spans="1:23" ht="15" customHeight="1" x14ac:dyDescent="0.25">
      <c r="A12" s="187" t="s">
        <v>20</v>
      </c>
      <c r="B12" s="23" t="s">
        <v>18</v>
      </c>
      <c r="C12" s="5">
        <v>0.4</v>
      </c>
      <c r="D12" s="51" t="s">
        <v>109</v>
      </c>
      <c r="E12" s="5">
        <v>0.1</v>
      </c>
      <c r="F12" s="51" t="s">
        <v>109</v>
      </c>
      <c r="G12" s="51" t="s">
        <v>109</v>
      </c>
      <c r="H12" s="51" t="s">
        <v>109</v>
      </c>
      <c r="I12" s="51" t="s">
        <v>109</v>
      </c>
      <c r="J12" s="5" t="s">
        <v>114</v>
      </c>
      <c r="K12" s="5">
        <v>0.5</v>
      </c>
      <c r="M12" s="5"/>
      <c r="N12" s="74"/>
      <c r="O12" s="5"/>
      <c r="P12" s="74"/>
      <c r="Q12" s="74"/>
      <c r="R12" s="74"/>
      <c r="S12" s="74"/>
      <c r="T12" s="74"/>
      <c r="U12" s="5"/>
    </row>
    <row r="13" spans="1:23" ht="15" customHeight="1" x14ac:dyDescent="0.25">
      <c r="A13" s="187"/>
      <c r="B13" s="23" t="s">
        <v>19</v>
      </c>
      <c r="C13" s="5">
        <v>0.7</v>
      </c>
      <c r="D13" s="51" t="s">
        <v>109</v>
      </c>
      <c r="E13" s="51">
        <v>1</v>
      </c>
      <c r="F13" s="51" t="s">
        <v>109</v>
      </c>
      <c r="G13" s="51" t="s">
        <v>109</v>
      </c>
      <c r="H13" s="5">
        <v>1.9</v>
      </c>
      <c r="I13" s="51" t="s">
        <v>109</v>
      </c>
      <c r="J13" s="5" t="s">
        <v>114</v>
      </c>
      <c r="K13" s="5">
        <v>3.7</v>
      </c>
      <c r="M13" s="5"/>
      <c r="N13" s="74"/>
      <c r="O13" s="74"/>
      <c r="P13" s="74"/>
      <c r="Q13" s="74"/>
      <c r="R13" s="5"/>
      <c r="S13" s="74"/>
      <c r="T13" s="74"/>
      <c r="U13" s="5"/>
    </row>
    <row r="14" spans="1:23" ht="15" customHeight="1" x14ac:dyDescent="0.25">
      <c r="A14" s="187"/>
      <c r="B14" s="23" t="s">
        <v>20</v>
      </c>
      <c r="C14" s="51" t="s">
        <v>109</v>
      </c>
      <c r="D14" s="51" t="s">
        <v>109</v>
      </c>
      <c r="E14" s="51" t="s">
        <v>109</v>
      </c>
      <c r="F14" s="51" t="s">
        <v>109</v>
      </c>
      <c r="G14" s="51">
        <v>0.5</v>
      </c>
      <c r="H14" s="5">
        <v>0.1</v>
      </c>
      <c r="I14" s="51" t="s">
        <v>109</v>
      </c>
      <c r="J14" s="5" t="s">
        <v>114</v>
      </c>
      <c r="K14" s="5">
        <v>0.6</v>
      </c>
      <c r="M14" s="74"/>
      <c r="N14" s="74"/>
      <c r="O14" s="74"/>
      <c r="P14" s="74"/>
      <c r="Q14" s="74"/>
      <c r="R14" s="5"/>
      <c r="S14" s="74"/>
      <c r="T14" s="74"/>
      <c r="U14" s="5"/>
    </row>
    <row r="15" spans="1:23" ht="15" customHeight="1" x14ac:dyDescent="0.25">
      <c r="A15" s="187"/>
      <c r="B15" s="27" t="s">
        <v>11</v>
      </c>
      <c r="C15" s="97">
        <v>1.1000000000000001</v>
      </c>
      <c r="D15" s="135" t="s">
        <v>109</v>
      </c>
      <c r="E15" s="97">
        <v>1.2</v>
      </c>
      <c r="F15" s="135" t="s">
        <v>109</v>
      </c>
      <c r="G15" s="135">
        <v>0.5</v>
      </c>
      <c r="H15" s="97">
        <v>2</v>
      </c>
      <c r="I15" s="135" t="s">
        <v>109</v>
      </c>
      <c r="J15" s="97" t="s">
        <v>114</v>
      </c>
      <c r="K15" s="97">
        <v>4.8</v>
      </c>
      <c r="M15" s="97"/>
      <c r="N15" s="135"/>
      <c r="O15" s="97"/>
      <c r="P15" s="135"/>
      <c r="Q15" s="135"/>
      <c r="R15" s="97"/>
      <c r="S15" s="135"/>
      <c r="T15" s="135"/>
      <c r="U15" s="97"/>
    </row>
    <row r="16" spans="1:23" ht="15" customHeight="1" x14ac:dyDescent="0.25">
      <c r="A16" s="187" t="s">
        <v>11</v>
      </c>
      <c r="B16" s="23" t="s">
        <v>18</v>
      </c>
      <c r="C16" s="5">
        <v>432.1</v>
      </c>
      <c r="D16" s="5">
        <v>78.599999999999994</v>
      </c>
      <c r="E16" s="5">
        <v>785.7</v>
      </c>
      <c r="F16" s="5">
        <v>259.5</v>
      </c>
      <c r="G16" s="5">
        <v>112.3</v>
      </c>
      <c r="H16" s="5">
        <v>53.6</v>
      </c>
      <c r="I16" s="5">
        <v>20.9</v>
      </c>
      <c r="J16" s="5" t="s">
        <v>114</v>
      </c>
      <c r="K16" s="5">
        <v>1742.7</v>
      </c>
      <c r="M16" s="5"/>
      <c r="N16" s="5"/>
      <c r="O16" s="5"/>
      <c r="P16" s="5"/>
      <c r="Q16" s="5"/>
      <c r="R16" s="5"/>
      <c r="S16" s="5"/>
      <c r="T16" s="5"/>
      <c r="U16" s="5"/>
    </row>
    <row r="17" spans="1:23" ht="15" customHeight="1" x14ac:dyDescent="0.25">
      <c r="A17" s="187"/>
      <c r="B17" s="23" t="s">
        <v>19</v>
      </c>
      <c r="C17" s="5">
        <v>350.2</v>
      </c>
      <c r="D17" s="5">
        <v>340.4</v>
      </c>
      <c r="E17" s="5">
        <v>473.8</v>
      </c>
      <c r="F17" s="5">
        <v>185.4</v>
      </c>
      <c r="G17" s="5">
        <v>88.1</v>
      </c>
      <c r="H17" s="5">
        <v>92.9</v>
      </c>
      <c r="I17" s="5">
        <v>50</v>
      </c>
      <c r="J17" s="5" t="s">
        <v>114</v>
      </c>
      <c r="K17" s="5">
        <v>1580.6</v>
      </c>
      <c r="M17" s="5"/>
      <c r="N17" s="5"/>
      <c r="O17" s="5"/>
      <c r="P17" s="5"/>
      <c r="Q17" s="5"/>
      <c r="R17" s="5"/>
      <c r="S17" s="5"/>
      <c r="T17" s="5"/>
      <c r="U17" s="5"/>
    </row>
    <row r="18" spans="1:23" ht="15" customHeight="1" x14ac:dyDescent="0.25">
      <c r="A18" s="187"/>
      <c r="B18" s="23" t="s">
        <v>20</v>
      </c>
      <c r="C18" s="5">
        <v>26.6</v>
      </c>
      <c r="D18" s="5">
        <v>0.4</v>
      </c>
      <c r="E18" s="5">
        <v>4.3</v>
      </c>
      <c r="F18" s="51" t="s">
        <v>109</v>
      </c>
      <c r="G18" s="5">
        <v>3.1</v>
      </c>
      <c r="H18" s="5">
        <v>0.7</v>
      </c>
      <c r="I18" s="5" t="s">
        <v>109</v>
      </c>
      <c r="J18" s="5" t="s">
        <v>114</v>
      </c>
      <c r="K18" s="5">
        <v>35.1</v>
      </c>
      <c r="M18" s="5"/>
      <c r="N18" s="5"/>
      <c r="O18" s="5"/>
      <c r="P18" s="74"/>
      <c r="Q18" s="5"/>
      <c r="R18" s="5"/>
      <c r="S18" s="5"/>
      <c r="T18" s="5"/>
      <c r="U18" s="5"/>
    </row>
    <row r="19" spans="1:23" ht="15" customHeight="1" x14ac:dyDescent="0.25">
      <c r="A19" s="187"/>
      <c r="B19" s="27" t="s">
        <v>11</v>
      </c>
      <c r="C19" s="97">
        <v>808.9</v>
      </c>
      <c r="D19" s="97">
        <v>419.4</v>
      </c>
      <c r="E19" s="97">
        <v>1263.8</v>
      </c>
      <c r="F19" s="97">
        <v>444.9</v>
      </c>
      <c r="G19" s="97">
        <v>203.4</v>
      </c>
      <c r="H19" s="97">
        <v>147.19999999999999</v>
      </c>
      <c r="I19" s="97">
        <v>70.900000000000006</v>
      </c>
      <c r="J19" s="97" t="s">
        <v>114</v>
      </c>
      <c r="K19" s="97">
        <v>3358.4</v>
      </c>
      <c r="M19" s="97"/>
      <c r="N19" s="97"/>
      <c r="O19" s="97"/>
      <c r="P19" s="97"/>
      <c r="Q19" s="97"/>
      <c r="R19" s="97"/>
      <c r="S19" s="97"/>
      <c r="T19" s="97"/>
      <c r="U19" s="97"/>
    </row>
    <row r="20" spans="1:23" ht="3" customHeight="1" x14ac:dyDescent="0.25">
      <c r="A20" s="2"/>
      <c r="C20" s="1" t="s">
        <v>189</v>
      </c>
      <c r="D20" s="1" t="s">
        <v>189</v>
      </c>
      <c r="E20" s="1" t="s">
        <v>189</v>
      </c>
      <c r="F20" s="1" t="s">
        <v>189</v>
      </c>
      <c r="G20" s="1" t="s">
        <v>189</v>
      </c>
      <c r="H20" s="1" t="s">
        <v>189</v>
      </c>
      <c r="I20" s="1" t="s">
        <v>189</v>
      </c>
      <c r="J20" s="1" t="s">
        <v>189</v>
      </c>
      <c r="K20" s="1" t="s">
        <v>189</v>
      </c>
    </row>
    <row r="21" spans="1:23" ht="11.1" customHeight="1" x14ac:dyDescent="0.25">
      <c r="A21" s="184" t="s">
        <v>12</v>
      </c>
      <c r="B21" s="184"/>
      <c r="C21" s="184"/>
      <c r="D21" s="184"/>
      <c r="E21" s="184"/>
      <c r="F21" s="184"/>
      <c r="G21" s="184"/>
      <c r="H21" s="184"/>
      <c r="I21" s="184"/>
      <c r="J21" s="184"/>
      <c r="K21" s="184"/>
    </row>
    <row r="22" spans="1:23" s="6" customFormat="1" ht="11.1" customHeight="1" x14ac:dyDescent="0.15">
      <c r="A22" s="6" t="s">
        <v>13</v>
      </c>
    </row>
    <row r="23" spans="1:23" s="6" customFormat="1" ht="11.1" customHeight="1" x14ac:dyDescent="0.15">
      <c r="A23" s="6" t="s">
        <v>267</v>
      </c>
    </row>
    <row r="24" spans="1:23" s="6" customFormat="1" ht="11.1" customHeight="1" x14ac:dyDescent="0.15"/>
    <row r="25" spans="1:23" s="6" customFormat="1" ht="11.1" customHeight="1" x14ac:dyDescent="0.15">
      <c r="A25" s="6" t="s">
        <v>263</v>
      </c>
    </row>
    <row r="26" spans="1:23" ht="12" customHeight="1" x14ac:dyDescent="0.25">
      <c r="A26" s="2"/>
    </row>
    <row r="27" spans="1:23" ht="25.5" customHeight="1" x14ac:dyDescent="0.25">
      <c r="A27" s="185" t="s">
        <v>268</v>
      </c>
      <c r="B27" s="185"/>
      <c r="C27" s="185"/>
      <c r="D27" s="185"/>
      <c r="E27" s="185"/>
      <c r="F27" s="185"/>
      <c r="G27" s="185"/>
      <c r="H27" s="185"/>
      <c r="I27" s="185"/>
      <c r="J27" s="185"/>
      <c r="K27" s="185"/>
      <c r="L27" s="185"/>
      <c r="M27" s="185"/>
    </row>
    <row r="28" spans="1:23" ht="12" hidden="1" customHeight="1" x14ac:dyDescent="0.25">
      <c r="A28" s="2"/>
    </row>
    <row r="29" spans="1:23" x14ac:dyDescent="0.25">
      <c r="A29" s="31" t="s">
        <v>119</v>
      </c>
      <c r="B29" s="31" t="s">
        <v>120</v>
      </c>
      <c r="C29" s="3" t="s">
        <v>0</v>
      </c>
      <c r="D29" s="3" t="s">
        <v>1</v>
      </c>
      <c r="E29" s="3" t="s">
        <v>2</v>
      </c>
      <c r="F29" s="3" t="s">
        <v>3</v>
      </c>
      <c r="G29" s="3" t="s">
        <v>4</v>
      </c>
      <c r="H29" s="3" t="s">
        <v>5</v>
      </c>
      <c r="I29" s="3" t="s">
        <v>6</v>
      </c>
      <c r="J29" s="3" t="s">
        <v>7</v>
      </c>
      <c r="K29" s="10" t="s">
        <v>8</v>
      </c>
    </row>
    <row r="30" spans="1:23" ht="15" customHeight="1" x14ac:dyDescent="0.25">
      <c r="A30" s="187" t="s">
        <v>17</v>
      </c>
      <c r="B30" s="23" t="s">
        <v>18</v>
      </c>
      <c r="C30" s="8">
        <v>730</v>
      </c>
      <c r="D30" s="8">
        <v>164</v>
      </c>
      <c r="E30" s="8">
        <v>1127</v>
      </c>
      <c r="F30" s="8">
        <v>536</v>
      </c>
      <c r="G30" s="8">
        <v>194</v>
      </c>
      <c r="H30" s="8" t="s">
        <v>116</v>
      </c>
      <c r="I30" s="8" t="s">
        <v>116</v>
      </c>
      <c r="J30" s="8">
        <v>745</v>
      </c>
      <c r="K30" s="8">
        <v>3592</v>
      </c>
      <c r="M30" s="8"/>
      <c r="N30" s="8"/>
      <c r="O30" s="8"/>
      <c r="P30" s="8"/>
      <c r="Q30" s="8"/>
      <c r="R30" s="8"/>
      <c r="S30" s="8"/>
      <c r="T30" s="8"/>
      <c r="U30" s="8"/>
      <c r="W30" s="120"/>
    </row>
    <row r="31" spans="1:23" ht="15" customHeight="1" x14ac:dyDescent="0.25">
      <c r="A31" s="187"/>
      <c r="B31" s="23" t="s">
        <v>19</v>
      </c>
      <c r="C31" s="8">
        <v>592</v>
      </c>
      <c r="D31" s="8">
        <v>706</v>
      </c>
      <c r="E31" s="8">
        <v>715</v>
      </c>
      <c r="F31" s="8">
        <v>393</v>
      </c>
      <c r="G31" s="8">
        <v>184</v>
      </c>
      <c r="H31" s="8" t="s">
        <v>116</v>
      </c>
      <c r="I31" s="8" t="s">
        <v>116</v>
      </c>
      <c r="J31" s="8">
        <v>41</v>
      </c>
      <c r="K31" s="8">
        <v>2825</v>
      </c>
      <c r="M31" s="8"/>
      <c r="N31" s="8"/>
      <c r="O31" s="8"/>
      <c r="P31" s="8"/>
      <c r="Q31" s="8"/>
      <c r="R31" s="8"/>
      <c r="S31" s="8"/>
      <c r="T31" s="8"/>
      <c r="U31" s="8"/>
    </row>
    <row r="32" spans="1:23" ht="15" customHeight="1" x14ac:dyDescent="0.25">
      <c r="A32" s="187"/>
      <c r="B32" s="23" t="s">
        <v>20</v>
      </c>
      <c r="C32" s="8">
        <v>62</v>
      </c>
      <c r="D32" s="8">
        <v>4</v>
      </c>
      <c r="E32" s="8">
        <v>12</v>
      </c>
      <c r="F32" s="67" t="s">
        <v>109</v>
      </c>
      <c r="G32" s="8">
        <v>7</v>
      </c>
      <c r="H32" s="8">
        <v>4</v>
      </c>
      <c r="I32" s="8" t="s">
        <v>109</v>
      </c>
      <c r="J32" s="8">
        <v>26</v>
      </c>
      <c r="K32" s="8">
        <v>115</v>
      </c>
      <c r="M32" s="8"/>
      <c r="N32" s="8"/>
      <c r="O32" s="8"/>
      <c r="P32" s="37"/>
      <c r="Q32" s="8"/>
      <c r="R32" s="8"/>
      <c r="S32" s="8"/>
      <c r="T32" s="8"/>
      <c r="U32" s="8"/>
    </row>
    <row r="33" spans="1:21" ht="15" customHeight="1" x14ac:dyDescent="0.25">
      <c r="A33" s="187"/>
      <c r="B33" s="27" t="s">
        <v>11</v>
      </c>
      <c r="C33" s="94">
        <v>1384</v>
      </c>
      <c r="D33" s="94">
        <v>874</v>
      </c>
      <c r="E33" s="94">
        <v>1854</v>
      </c>
      <c r="F33" s="94">
        <v>929</v>
      </c>
      <c r="G33" s="94">
        <v>385</v>
      </c>
      <c r="H33" s="94" t="s">
        <v>116</v>
      </c>
      <c r="I33" s="94" t="s">
        <v>116</v>
      </c>
      <c r="J33" s="94">
        <v>812</v>
      </c>
      <c r="K33" s="94">
        <v>6532</v>
      </c>
      <c r="M33" s="94"/>
      <c r="N33" s="94"/>
      <c r="O33" s="94"/>
      <c r="P33" s="94"/>
      <c r="Q33" s="94"/>
      <c r="R33" s="94"/>
      <c r="S33" s="94"/>
      <c r="T33" s="94"/>
      <c r="U33" s="94"/>
    </row>
    <row r="34" spans="1:21" ht="15" customHeight="1" x14ac:dyDescent="0.25">
      <c r="A34" s="187" t="s">
        <v>21</v>
      </c>
      <c r="B34" s="23" t="s">
        <v>18</v>
      </c>
      <c r="C34" s="8">
        <v>202</v>
      </c>
      <c r="D34" s="8">
        <v>30</v>
      </c>
      <c r="E34" s="8">
        <v>415</v>
      </c>
      <c r="F34" s="8">
        <v>143</v>
      </c>
      <c r="G34" s="8">
        <v>85</v>
      </c>
      <c r="H34" s="8" t="s">
        <v>116</v>
      </c>
      <c r="I34" s="8" t="s">
        <v>116</v>
      </c>
      <c r="J34" s="8">
        <v>172</v>
      </c>
      <c r="K34" s="8">
        <v>1089</v>
      </c>
      <c r="M34" s="8"/>
      <c r="N34" s="8"/>
      <c r="O34" s="8"/>
      <c r="P34" s="8"/>
      <c r="Q34" s="8"/>
      <c r="R34" s="8"/>
      <c r="S34" s="8"/>
      <c r="T34" s="8"/>
      <c r="U34" s="8"/>
    </row>
    <row r="35" spans="1:21" ht="15" customHeight="1" x14ac:dyDescent="0.25">
      <c r="A35" s="187"/>
      <c r="B35" s="23" t="s">
        <v>19</v>
      </c>
      <c r="C35" s="8">
        <v>139</v>
      </c>
      <c r="D35" s="8">
        <v>95</v>
      </c>
      <c r="E35" s="8">
        <v>183</v>
      </c>
      <c r="F35" s="8">
        <v>104</v>
      </c>
      <c r="G35" s="8">
        <v>51</v>
      </c>
      <c r="H35" s="8" t="s">
        <v>116</v>
      </c>
      <c r="I35" s="8" t="s">
        <v>116</v>
      </c>
      <c r="J35" s="8">
        <v>3</v>
      </c>
      <c r="K35" s="8">
        <v>646</v>
      </c>
      <c r="M35" s="8"/>
      <c r="N35" s="8"/>
      <c r="O35" s="8"/>
      <c r="P35" s="8"/>
      <c r="Q35" s="8"/>
      <c r="R35" s="8"/>
      <c r="S35" s="8"/>
      <c r="T35" s="8"/>
      <c r="U35" s="8"/>
    </row>
    <row r="36" spans="1:21" ht="15" customHeight="1" x14ac:dyDescent="0.25">
      <c r="A36" s="187"/>
      <c r="B36" s="23" t="s">
        <v>20</v>
      </c>
      <c r="C36" s="8">
        <v>13</v>
      </c>
      <c r="D36" s="8" t="s">
        <v>109</v>
      </c>
      <c r="E36" s="8">
        <v>1</v>
      </c>
      <c r="F36" s="67" t="s">
        <v>109</v>
      </c>
      <c r="G36" s="67" t="s">
        <v>109</v>
      </c>
      <c r="H36" s="8">
        <v>1</v>
      </c>
      <c r="I36" s="8" t="s">
        <v>109</v>
      </c>
      <c r="J36" s="8">
        <v>6</v>
      </c>
      <c r="K36" s="8">
        <v>21</v>
      </c>
      <c r="M36" s="8"/>
      <c r="N36" s="8"/>
      <c r="O36" s="8"/>
      <c r="P36" s="37"/>
      <c r="Q36" s="37"/>
      <c r="R36" s="8"/>
      <c r="S36" s="8"/>
      <c r="T36" s="8"/>
      <c r="U36" s="8"/>
    </row>
    <row r="37" spans="1:21" ht="15" customHeight="1" x14ac:dyDescent="0.25">
      <c r="A37" s="187"/>
      <c r="B37" s="27" t="s">
        <v>11</v>
      </c>
      <c r="C37" s="94">
        <v>354</v>
      </c>
      <c r="D37" s="94">
        <v>125</v>
      </c>
      <c r="E37" s="94">
        <v>599</v>
      </c>
      <c r="F37" s="94">
        <v>247</v>
      </c>
      <c r="G37" s="94">
        <v>136</v>
      </c>
      <c r="H37" s="94" t="s">
        <v>116</v>
      </c>
      <c r="I37" s="94" t="s">
        <v>116</v>
      </c>
      <c r="J37" s="94">
        <v>181</v>
      </c>
      <c r="K37" s="94">
        <v>1756</v>
      </c>
      <c r="M37" s="94"/>
      <c r="N37" s="94"/>
      <c r="O37" s="94"/>
      <c r="P37" s="94"/>
      <c r="Q37" s="94"/>
      <c r="R37" s="94"/>
      <c r="S37" s="94"/>
      <c r="T37" s="94"/>
      <c r="U37" s="94"/>
    </row>
    <row r="38" spans="1:21" ht="15" customHeight="1" x14ac:dyDescent="0.25">
      <c r="A38" s="187" t="s">
        <v>20</v>
      </c>
      <c r="B38" s="23" t="s">
        <v>18</v>
      </c>
      <c r="C38" s="8">
        <v>2</v>
      </c>
      <c r="D38" s="67" t="s">
        <v>109</v>
      </c>
      <c r="E38" s="8">
        <v>1</v>
      </c>
      <c r="F38" s="67" t="s">
        <v>109</v>
      </c>
      <c r="G38" s="67" t="s">
        <v>109</v>
      </c>
      <c r="H38" s="67" t="s">
        <v>109</v>
      </c>
      <c r="I38" s="67" t="s">
        <v>109</v>
      </c>
      <c r="J38" s="67" t="s">
        <v>109</v>
      </c>
      <c r="K38" s="8">
        <v>3</v>
      </c>
      <c r="M38" s="8"/>
      <c r="N38" s="37"/>
      <c r="O38" s="8"/>
      <c r="P38" s="37"/>
      <c r="Q38" s="37"/>
      <c r="R38" s="37"/>
      <c r="S38" s="37"/>
      <c r="T38" s="37"/>
      <c r="U38" s="8"/>
    </row>
    <row r="39" spans="1:21" ht="15" customHeight="1" x14ac:dyDescent="0.25">
      <c r="A39" s="187"/>
      <c r="B39" s="23" t="s">
        <v>19</v>
      </c>
      <c r="C39" s="8">
        <v>1</v>
      </c>
      <c r="D39" s="67" t="s">
        <v>109</v>
      </c>
      <c r="E39" s="67">
        <v>2</v>
      </c>
      <c r="F39" s="67">
        <v>1</v>
      </c>
      <c r="G39" s="67" t="s">
        <v>109</v>
      </c>
      <c r="H39" s="8">
        <v>2</v>
      </c>
      <c r="I39" s="67" t="s">
        <v>109</v>
      </c>
      <c r="J39" s="67" t="s">
        <v>109</v>
      </c>
      <c r="K39" s="8">
        <v>6</v>
      </c>
      <c r="M39" s="8"/>
      <c r="N39" s="37"/>
      <c r="O39" s="37"/>
      <c r="P39" s="37"/>
      <c r="Q39" s="37"/>
      <c r="R39" s="8"/>
      <c r="S39" s="37"/>
      <c r="T39" s="37"/>
      <c r="U39" s="8"/>
    </row>
    <row r="40" spans="1:21" ht="15" customHeight="1" x14ac:dyDescent="0.25">
      <c r="A40" s="187"/>
      <c r="B40" s="23" t="s">
        <v>20</v>
      </c>
      <c r="C40" s="67" t="s">
        <v>109</v>
      </c>
      <c r="D40" s="67" t="s">
        <v>109</v>
      </c>
      <c r="E40" s="67" t="s">
        <v>109</v>
      </c>
      <c r="F40" s="67" t="s">
        <v>109</v>
      </c>
      <c r="G40" s="67">
        <v>1</v>
      </c>
      <c r="H40" s="8">
        <v>1</v>
      </c>
      <c r="I40" s="67" t="s">
        <v>109</v>
      </c>
      <c r="J40" s="8">
        <v>2</v>
      </c>
      <c r="K40" s="8">
        <v>4</v>
      </c>
      <c r="M40" s="37"/>
      <c r="N40" s="37"/>
      <c r="O40" s="37"/>
      <c r="P40" s="37"/>
      <c r="Q40" s="37"/>
      <c r="R40" s="8"/>
      <c r="S40" s="37"/>
      <c r="T40" s="8"/>
      <c r="U40" s="8"/>
    </row>
    <row r="41" spans="1:21" ht="15" customHeight="1" x14ac:dyDescent="0.25">
      <c r="A41" s="187"/>
      <c r="B41" s="27" t="s">
        <v>11</v>
      </c>
      <c r="C41" s="94">
        <v>3</v>
      </c>
      <c r="D41" s="67" t="s">
        <v>109</v>
      </c>
      <c r="E41" s="94">
        <v>3</v>
      </c>
      <c r="F41" s="67">
        <v>1</v>
      </c>
      <c r="G41" s="67">
        <v>1</v>
      </c>
      <c r="H41" s="94">
        <v>3</v>
      </c>
      <c r="I41" s="67" t="s">
        <v>109</v>
      </c>
      <c r="J41" s="94">
        <v>2</v>
      </c>
      <c r="K41" s="94">
        <v>13</v>
      </c>
      <c r="M41" s="94"/>
      <c r="N41" s="37"/>
      <c r="O41" s="94"/>
      <c r="P41" s="37"/>
      <c r="Q41" s="37"/>
      <c r="R41" s="94"/>
      <c r="S41" s="37"/>
      <c r="T41" s="94"/>
      <c r="U41" s="94"/>
    </row>
    <row r="42" spans="1:21" ht="15" customHeight="1" x14ac:dyDescent="0.25">
      <c r="A42" s="187" t="s">
        <v>11</v>
      </c>
      <c r="B42" s="23" t="s">
        <v>18</v>
      </c>
      <c r="C42" s="8">
        <v>934</v>
      </c>
      <c r="D42" s="8">
        <v>194</v>
      </c>
      <c r="E42" s="8">
        <v>1543</v>
      </c>
      <c r="F42" s="8">
        <v>679</v>
      </c>
      <c r="G42" s="8">
        <v>279</v>
      </c>
      <c r="H42" s="8">
        <v>90</v>
      </c>
      <c r="I42" s="8">
        <v>48</v>
      </c>
      <c r="J42" s="8">
        <v>917</v>
      </c>
      <c r="K42" s="8">
        <v>4684</v>
      </c>
      <c r="M42" s="8"/>
      <c r="N42" s="8"/>
      <c r="O42" s="8"/>
      <c r="P42" s="8"/>
      <c r="Q42" s="8"/>
      <c r="R42" s="8"/>
      <c r="S42" s="8"/>
      <c r="T42" s="8"/>
      <c r="U42" s="8"/>
    </row>
    <row r="43" spans="1:21" ht="15" customHeight="1" x14ac:dyDescent="0.25">
      <c r="A43" s="187"/>
      <c r="B43" s="23" t="s">
        <v>19</v>
      </c>
      <c r="C43" s="8">
        <v>732</v>
      </c>
      <c r="D43" s="8">
        <v>801</v>
      </c>
      <c r="E43" s="8">
        <v>900</v>
      </c>
      <c r="F43" s="8">
        <v>498</v>
      </c>
      <c r="G43" s="8">
        <v>235</v>
      </c>
      <c r="H43" s="8">
        <v>161</v>
      </c>
      <c r="I43" s="8">
        <v>106</v>
      </c>
      <c r="J43" s="8">
        <v>44</v>
      </c>
      <c r="K43" s="8">
        <v>3477</v>
      </c>
      <c r="M43" s="8"/>
      <c r="N43" s="8"/>
      <c r="O43" s="8"/>
      <c r="P43" s="8"/>
      <c r="Q43" s="8"/>
      <c r="R43" s="8"/>
      <c r="S43" s="8"/>
      <c r="T43" s="8"/>
      <c r="U43" s="8"/>
    </row>
    <row r="44" spans="1:21" ht="15" customHeight="1" x14ac:dyDescent="0.25">
      <c r="A44" s="187"/>
      <c r="B44" s="23" t="s">
        <v>20</v>
      </c>
      <c r="C44" s="8">
        <v>75</v>
      </c>
      <c r="D44" s="8">
        <v>4</v>
      </c>
      <c r="E44" s="8">
        <v>13</v>
      </c>
      <c r="F44" s="67" t="s">
        <v>109</v>
      </c>
      <c r="G44" s="8">
        <v>8</v>
      </c>
      <c r="H44" s="8">
        <v>6</v>
      </c>
      <c r="I44" s="8" t="s">
        <v>109</v>
      </c>
      <c r="J44" s="8">
        <v>34</v>
      </c>
      <c r="K44" s="8">
        <v>140</v>
      </c>
      <c r="M44" s="8"/>
      <c r="N44" s="8"/>
      <c r="O44" s="8"/>
      <c r="P44" s="37"/>
      <c r="Q44" s="8"/>
      <c r="R44" s="8"/>
      <c r="S44" s="8"/>
      <c r="T44" s="8"/>
      <c r="U44" s="8"/>
    </row>
    <row r="45" spans="1:21" ht="15" customHeight="1" x14ac:dyDescent="0.25">
      <c r="A45" s="187"/>
      <c r="B45" s="23" t="s">
        <v>11</v>
      </c>
      <c r="C45" s="94">
        <v>1741</v>
      </c>
      <c r="D45" s="94">
        <v>999</v>
      </c>
      <c r="E45" s="94">
        <v>2456</v>
      </c>
      <c r="F45" s="94">
        <v>1177</v>
      </c>
      <c r="G45" s="94">
        <v>522</v>
      </c>
      <c r="H45" s="94">
        <v>257</v>
      </c>
      <c r="I45" s="94">
        <v>154</v>
      </c>
      <c r="J45" s="94">
        <v>995</v>
      </c>
      <c r="K45" s="94">
        <v>8301</v>
      </c>
      <c r="M45" s="94"/>
      <c r="N45" s="94"/>
      <c r="O45" s="94"/>
      <c r="P45" s="94"/>
      <c r="Q45" s="94"/>
      <c r="R45" s="94"/>
      <c r="S45" s="94"/>
      <c r="T45" s="94"/>
      <c r="U45" s="94"/>
    </row>
    <row r="46" spans="1:21" ht="3" customHeight="1" x14ac:dyDescent="0.25">
      <c r="A46" s="98"/>
      <c r="B46" s="93"/>
      <c r="C46" s="79"/>
      <c r="D46" s="79"/>
      <c r="E46" s="79"/>
      <c r="F46" s="79"/>
      <c r="G46" s="79"/>
      <c r="H46" s="79"/>
      <c r="I46" s="79"/>
      <c r="J46" s="79"/>
      <c r="K46" s="79"/>
      <c r="M46" s="120"/>
      <c r="N46" s="120"/>
      <c r="O46" s="120"/>
      <c r="P46" s="120"/>
      <c r="Q46" s="120"/>
      <c r="R46" s="120"/>
      <c r="S46" s="120"/>
      <c r="T46" s="120"/>
      <c r="U46" s="120"/>
    </row>
    <row r="47" spans="1:21" ht="1.5" hidden="1" customHeight="1" x14ac:dyDescent="0.25">
      <c r="M47" s="120">
        <f t="shared" ref="M47" si="0">SUM(C44:C46)</f>
        <v>1816</v>
      </c>
      <c r="N47" s="120">
        <f t="shared" ref="N47" si="1">SUM(D44:D46)</f>
        <v>1003</v>
      </c>
      <c r="O47" s="120">
        <f t="shared" ref="O47" si="2">SUM(E44:E46)</f>
        <v>2469</v>
      </c>
      <c r="P47" s="120">
        <f t="shared" ref="P47" si="3">SUM(F44:F46)</f>
        <v>1177</v>
      </c>
      <c r="Q47" s="120">
        <f t="shared" ref="Q47" si="4">SUM(G44:G46)</f>
        <v>530</v>
      </c>
      <c r="R47" s="120">
        <f t="shared" ref="R47" si="5">SUM(H44:H46)</f>
        <v>263</v>
      </c>
      <c r="S47" s="120">
        <f t="shared" ref="S47" si="6">SUM(I44:I46)</f>
        <v>154</v>
      </c>
      <c r="T47" s="120">
        <f t="shared" ref="T47" si="7">SUM(J44:J46)</f>
        <v>1029</v>
      </c>
      <c r="U47" s="120">
        <f t="shared" ref="U47" si="8">SUM(K44:K46)</f>
        <v>8441</v>
      </c>
    </row>
    <row r="48" spans="1:21" ht="6" customHeight="1" x14ac:dyDescent="0.25">
      <c r="M48" s="120"/>
      <c r="N48" s="120"/>
      <c r="O48" s="120"/>
      <c r="P48" s="120"/>
      <c r="Q48" s="120"/>
      <c r="R48" s="120"/>
      <c r="S48" s="120"/>
      <c r="T48" s="120"/>
      <c r="U48" s="120"/>
    </row>
    <row r="49" spans="1:13" ht="12" customHeight="1" x14ac:dyDescent="0.25">
      <c r="A49" s="181" t="s">
        <v>213</v>
      </c>
      <c r="B49" s="181"/>
      <c r="C49" s="181"/>
      <c r="D49" s="181"/>
      <c r="E49" s="181"/>
      <c r="F49" s="181"/>
      <c r="G49" s="181"/>
      <c r="H49" s="181"/>
      <c r="I49" s="181"/>
      <c r="J49" s="181"/>
      <c r="K49" s="181"/>
      <c r="L49" s="181"/>
      <c r="M49" s="181"/>
    </row>
    <row r="50" spans="1:13" x14ac:dyDescent="0.25">
      <c r="A50" s="181" t="s">
        <v>263</v>
      </c>
      <c r="B50" s="181"/>
      <c r="C50" s="181"/>
      <c r="D50" s="181"/>
      <c r="E50" s="181"/>
      <c r="F50" s="181"/>
      <c r="G50" s="181"/>
      <c r="H50" s="181"/>
      <c r="I50" s="181"/>
      <c r="J50" s="181"/>
      <c r="K50" s="181"/>
      <c r="L50" s="181"/>
      <c r="M50" s="181"/>
    </row>
  </sheetData>
  <mergeCells count="13">
    <mergeCell ref="A1:K1"/>
    <mergeCell ref="A4:A7"/>
    <mergeCell ref="A8:A11"/>
    <mergeCell ref="A12:A15"/>
    <mergeCell ref="A16:A19"/>
    <mergeCell ref="A50:M50"/>
    <mergeCell ref="A21:K21"/>
    <mergeCell ref="A27:M27"/>
    <mergeCell ref="A30:A33"/>
    <mergeCell ref="A34:A37"/>
    <mergeCell ref="A38:A41"/>
    <mergeCell ref="A42:A45"/>
    <mergeCell ref="A49:M49"/>
  </mergeCells>
  <pageMargins left="0.08" right="0.08" top="1" bottom="1" header="0.5" footer="0.5"/>
  <pageSetup orientation="landscape" blackAndWhite="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52"/>
  <sheetViews>
    <sheetView zoomScaleNormal="100" workbookViewId="0">
      <selection sqref="A1:K1"/>
    </sheetView>
  </sheetViews>
  <sheetFormatPr defaultColWidth="9.140625" defaultRowHeight="15" x14ac:dyDescent="0.25"/>
  <cols>
    <col min="1" max="1" width="11.42578125" style="1" bestFit="1" customWidth="1"/>
    <col min="2" max="2" width="18.5703125" style="1" customWidth="1"/>
    <col min="3" max="13" width="11.42578125" style="1" bestFit="1" customWidth="1"/>
    <col min="14" max="14" width="18.85546875" style="1" bestFit="1" customWidth="1"/>
    <col min="15" max="16384" width="9.140625" style="1"/>
  </cols>
  <sheetData>
    <row r="1" spans="1:23" ht="33.75" customHeight="1" x14ac:dyDescent="0.25">
      <c r="A1" s="188" t="s">
        <v>269</v>
      </c>
      <c r="B1" s="188"/>
      <c r="C1" s="188"/>
      <c r="D1" s="188"/>
      <c r="E1" s="188"/>
      <c r="F1" s="188"/>
      <c r="G1" s="188"/>
      <c r="H1" s="188"/>
      <c r="I1" s="188"/>
      <c r="J1" s="188"/>
      <c r="K1" s="188"/>
    </row>
    <row r="2" spans="1:23" s="11" customFormat="1" ht="3" customHeight="1" x14ac:dyDescent="0.2">
      <c r="A2" s="11" t="s">
        <v>14</v>
      </c>
    </row>
    <row r="3" spans="1:23" x14ac:dyDescent="0.25">
      <c r="A3" s="31" t="s">
        <v>119</v>
      </c>
      <c r="B3" s="31" t="s">
        <v>120</v>
      </c>
      <c r="C3" s="3" t="s">
        <v>0</v>
      </c>
      <c r="D3" s="3" t="s">
        <v>1</v>
      </c>
      <c r="E3" s="3" t="s">
        <v>2</v>
      </c>
      <c r="F3" s="3" t="s">
        <v>3</v>
      </c>
      <c r="G3" s="3" t="s">
        <v>4</v>
      </c>
      <c r="H3" s="3" t="s">
        <v>5</v>
      </c>
      <c r="I3" s="3" t="s">
        <v>6</v>
      </c>
      <c r="J3" s="3" t="s">
        <v>7</v>
      </c>
      <c r="K3" s="3" t="s">
        <v>8</v>
      </c>
      <c r="M3" s="101"/>
      <c r="N3" s="101"/>
      <c r="O3" s="101"/>
      <c r="P3" s="101"/>
      <c r="Q3" s="101"/>
      <c r="R3" s="101"/>
      <c r="S3" s="101"/>
      <c r="T3" s="101"/>
      <c r="U3" s="101"/>
    </row>
    <row r="4" spans="1:23" ht="15" customHeight="1" x14ac:dyDescent="0.25">
      <c r="A4" s="187" t="s">
        <v>17</v>
      </c>
      <c r="B4" s="23" t="s">
        <v>18</v>
      </c>
      <c r="C4" s="5">
        <v>297.7</v>
      </c>
      <c r="D4" s="5">
        <v>36</v>
      </c>
      <c r="E4" s="5">
        <v>405.9</v>
      </c>
      <c r="F4" s="5">
        <v>167.5</v>
      </c>
      <c r="G4" s="5">
        <v>68.8</v>
      </c>
      <c r="H4" s="5">
        <v>23.5</v>
      </c>
      <c r="I4" s="5">
        <v>10.199999999999999</v>
      </c>
      <c r="J4" s="5" t="s">
        <v>114</v>
      </c>
      <c r="K4" s="5">
        <v>1009.5</v>
      </c>
      <c r="M4" s="5"/>
      <c r="N4" s="5"/>
      <c r="O4" s="5"/>
      <c r="P4" s="5"/>
      <c r="Q4" s="5"/>
      <c r="R4" s="5"/>
      <c r="S4" s="5"/>
      <c r="T4" s="5"/>
      <c r="U4" s="5"/>
      <c r="W4" s="127"/>
    </row>
    <row r="5" spans="1:23" ht="15" customHeight="1" x14ac:dyDescent="0.25">
      <c r="A5" s="187"/>
      <c r="B5" s="23" t="s">
        <v>19</v>
      </c>
      <c r="C5" s="5">
        <v>254.7</v>
      </c>
      <c r="D5" s="5">
        <v>164.1</v>
      </c>
      <c r="E5" s="5">
        <v>202.8</v>
      </c>
      <c r="F5" s="5">
        <v>120.1</v>
      </c>
      <c r="G5" s="5">
        <v>53.5</v>
      </c>
      <c r="H5" s="5">
        <v>41.9</v>
      </c>
      <c r="I5" s="5">
        <v>22.8</v>
      </c>
      <c r="J5" s="5" t="s">
        <v>114</v>
      </c>
      <c r="K5" s="5">
        <v>859.9</v>
      </c>
      <c r="M5" s="5"/>
      <c r="N5" s="5"/>
      <c r="O5" s="5"/>
      <c r="P5" s="5"/>
      <c r="Q5" s="5"/>
      <c r="R5" s="5"/>
      <c r="S5" s="5"/>
      <c r="T5" s="5"/>
      <c r="U5" s="5"/>
    </row>
    <row r="6" spans="1:23" ht="15" customHeight="1" x14ac:dyDescent="0.25">
      <c r="A6" s="187"/>
      <c r="B6" s="23" t="s">
        <v>20</v>
      </c>
      <c r="C6" s="5">
        <v>19.899999999999999</v>
      </c>
      <c r="D6" s="24">
        <v>0.4</v>
      </c>
      <c r="E6" s="5">
        <v>3.6</v>
      </c>
      <c r="F6" s="24" t="s">
        <v>109</v>
      </c>
      <c r="G6" s="5">
        <v>1.8</v>
      </c>
      <c r="H6" s="5">
        <v>0.2</v>
      </c>
      <c r="I6" s="5" t="s">
        <v>109</v>
      </c>
      <c r="J6" s="5" t="s">
        <v>114</v>
      </c>
      <c r="K6" s="5">
        <v>25.9</v>
      </c>
      <c r="M6" s="5"/>
      <c r="N6" s="5"/>
      <c r="O6" s="5"/>
      <c r="P6" s="5"/>
      <c r="Q6" s="5"/>
      <c r="R6" s="5"/>
      <c r="S6" s="5"/>
      <c r="T6" s="5"/>
      <c r="U6" s="5"/>
    </row>
    <row r="7" spans="1:23" ht="15" customHeight="1" x14ac:dyDescent="0.25">
      <c r="A7" s="187"/>
      <c r="B7" s="95" t="s">
        <v>11</v>
      </c>
      <c r="C7" s="97">
        <v>572.20000000000005</v>
      </c>
      <c r="D7" s="97">
        <v>200.4</v>
      </c>
      <c r="E7" s="97">
        <v>612.20000000000005</v>
      </c>
      <c r="F7" s="97">
        <v>287.7</v>
      </c>
      <c r="G7" s="97">
        <v>124.2</v>
      </c>
      <c r="H7" s="97">
        <v>65.599999999999994</v>
      </c>
      <c r="I7" s="97">
        <v>33</v>
      </c>
      <c r="J7" s="97" t="s">
        <v>114</v>
      </c>
      <c r="K7" s="97">
        <v>1895.2</v>
      </c>
      <c r="M7" s="97"/>
      <c r="N7" s="97"/>
      <c r="O7" s="97"/>
      <c r="P7" s="97"/>
      <c r="Q7" s="97"/>
      <c r="R7" s="97"/>
      <c r="S7" s="97"/>
      <c r="T7" s="97"/>
      <c r="U7" s="97"/>
    </row>
    <row r="8" spans="1:23" ht="15" customHeight="1" x14ac:dyDescent="0.25">
      <c r="A8" s="187" t="s">
        <v>21</v>
      </c>
      <c r="B8" s="23" t="s">
        <v>18</v>
      </c>
      <c r="C8" s="5">
        <v>98.6</v>
      </c>
      <c r="D8" s="5">
        <v>6.2</v>
      </c>
      <c r="E8" s="5">
        <v>181.7</v>
      </c>
      <c r="F8" s="5">
        <v>48.5</v>
      </c>
      <c r="G8" s="5">
        <v>28.3</v>
      </c>
      <c r="H8" s="5">
        <v>14.7</v>
      </c>
      <c r="I8" s="5">
        <v>5.6</v>
      </c>
      <c r="J8" s="5" t="s">
        <v>114</v>
      </c>
      <c r="K8" s="5">
        <v>383.5</v>
      </c>
      <c r="M8" s="5"/>
      <c r="N8" s="5"/>
      <c r="O8" s="5"/>
      <c r="P8" s="5"/>
      <c r="Q8" s="5"/>
      <c r="R8" s="5"/>
      <c r="S8" s="5"/>
      <c r="T8" s="5"/>
      <c r="U8" s="5"/>
    </row>
    <row r="9" spans="1:23" ht="15" customHeight="1" x14ac:dyDescent="0.25">
      <c r="A9" s="187"/>
      <c r="B9" s="23" t="s">
        <v>19</v>
      </c>
      <c r="C9" s="5">
        <v>62.3</v>
      </c>
      <c r="D9" s="5">
        <v>22.1</v>
      </c>
      <c r="E9" s="5">
        <v>65.099999999999994</v>
      </c>
      <c r="F9" s="5">
        <v>31.7</v>
      </c>
      <c r="G9" s="5">
        <v>16.100000000000001</v>
      </c>
      <c r="H9" s="5">
        <v>15.2</v>
      </c>
      <c r="I9" s="5">
        <v>8.8000000000000007</v>
      </c>
      <c r="J9" s="5" t="s">
        <v>114</v>
      </c>
      <c r="K9" s="5">
        <v>221.3</v>
      </c>
      <c r="M9" s="5"/>
      <c r="N9" s="5"/>
      <c r="O9" s="5"/>
      <c r="P9" s="5"/>
      <c r="Q9" s="5"/>
      <c r="R9" s="5"/>
      <c r="S9" s="5"/>
      <c r="T9" s="5"/>
      <c r="U9" s="5"/>
    </row>
    <row r="10" spans="1:23" ht="15" customHeight="1" x14ac:dyDescent="0.25">
      <c r="A10" s="187"/>
      <c r="B10" s="23" t="s">
        <v>20</v>
      </c>
      <c r="C10" s="5">
        <v>5.3</v>
      </c>
      <c r="D10" s="24" t="s">
        <v>109</v>
      </c>
      <c r="E10" s="5">
        <v>0.2</v>
      </c>
      <c r="F10" s="24" t="s">
        <v>109</v>
      </c>
      <c r="G10" s="24" t="s">
        <v>109</v>
      </c>
      <c r="H10" s="5">
        <v>0.1</v>
      </c>
      <c r="I10" s="5" t="s">
        <v>109</v>
      </c>
      <c r="J10" s="5" t="s">
        <v>114</v>
      </c>
      <c r="K10" s="5">
        <v>5.6</v>
      </c>
      <c r="M10" s="5"/>
      <c r="N10" s="5"/>
      <c r="O10" s="5"/>
      <c r="P10" s="5"/>
      <c r="Q10" s="5"/>
      <c r="R10" s="5"/>
      <c r="S10" s="5"/>
      <c r="T10" s="5"/>
      <c r="U10" s="5"/>
    </row>
    <row r="11" spans="1:23" ht="15" customHeight="1" x14ac:dyDescent="0.25">
      <c r="A11" s="187"/>
      <c r="B11" s="27" t="s">
        <v>11</v>
      </c>
      <c r="C11" s="97">
        <v>166.2</v>
      </c>
      <c r="D11" s="97">
        <v>28.3</v>
      </c>
      <c r="E11" s="97">
        <v>246.9</v>
      </c>
      <c r="F11" s="97">
        <v>80.099999999999994</v>
      </c>
      <c r="G11" s="97">
        <v>44.4</v>
      </c>
      <c r="H11" s="97">
        <v>30</v>
      </c>
      <c r="I11" s="97">
        <v>14.4</v>
      </c>
      <c r="J11" s="97" t="s">
        <v>114</v>
      </c>
      <c r="K11" s="97">
        <v>610.29999999999995</v>
      </c>
      <c r="M11" s="97"/>
      <c r="N11" s="97"/>
      <c r="O11" s="97"/>
      <c r="P11" s="97"/>
      <c r="Q11" s="97"/>
      <c r="R11" s="97"/>
      <c r="S11" s="97"/>
      <c r="T11" s="97"/>
      <c r="U11" s="97"/>
    </row>
    <row r="12" spans="1:23" ht="15" customHeight="1" x14ac:dyDescent="0.25">
      <c r="A12" s="187" t="s">
        <v>20</v>
      </c>
      <c r="B12" s="23" t="s">
        <v>18</v>
      </c>
      <c r="C12" s="5">
        <v>0.3</v>
      </c>
      <c r="D12" s="24" t="s">
        <v>109</v>
      </c>
      <c r="E12" s="24">
        <v>0.1</v>
      </c>
      <c r="F12" s="24" t="s">
        <v>109</v>
      </c>
      <c r="G12" s="24" t="s">
        <v>109</v>
      </c>
      <c r="H12" s="24" t="s">
        <v>109</v>
      </c>
      <c r="I12" s="24" t="s">
        <v>109</v>
      </c>
      <c r="J12" s="5" t="s">
        <v>114</v>
      </c>
      <c r="K12" s="5">
        <v>0.4</v>
      </c>
      <c r="M12" s="5"/>
      <c r="N12" s="5"/>
      <c r="O12" s="5"/>
      <c r="P12" s="5"/>
      <c r="Q12" s="5"/>
      <c r="R12" s="5"/>
      <c r="S12" s="5"/>
      <c r="T12" s="5"/>
      <c r="U12" s="5"/>
    </row>
    <row r="13" spans="1:23" ht="15" customHeight="1" x14ac:dyDescent="0.25">
      <c r="A13" s="187"/>
      <c r="B13" s="23" t="s">
        <v>19</v>
      </c>
      <c r="C13" s="5">
        <v>0.7</v>
      </c>
      <c r="D13" s="24" t="s">
        <v>109</v>
      </c>
      <c r="E13" s="24">
        <v>0.8</v>
      </c>
      <c r="F13" s="24" t="s">
        <v>109</v>
      </c>
      <c r="G13" s="24" t="s">
        <v>109</v>
      </c>
      <c r="H13" s="5">
        <v>0.7</v>
      </c>
      <c r="I13" s="24" t="s">
        <v>109</v>
      </c>
      <c r="J13" s="5" t="s">
        <v>114</v>
      </c>
      <c r="K13" s="5">
        <v>2.2999999999999998</v>
      </c>
      <c r="M13" s="5"/>
      <c r="N13" s="5"/>
      <c r="O13" s="5"/>
      <c r="P13" s="5"/>
      <c r="Q13" s="5"/>
      <c r="R13" s="5"/>
      <c r="S13" s="5"/>
      <c r="T13" s="5"/>
      <c r="U13" s="5"/>
    </row>
    <row r="14" spans="1:23" ht="15" customHeight="1" x14ac:dyDescent="0.25">
      <c r="A14" s="187"/>
      <c r="B14" s="23" t="s">
        <v>20</v>
      </c>
      <c r="C14" s="24" t="s">
        <v>109</v>
      </c>
      <c r="D14" s="24" t="s">
        <v>109</v>
      </c>
      <c r="E14" s="24" t="s">
        <v>109</v>
      </c>
      <c r="F14" s="24" t="s">
        <v>109</v>
      </c>
      <c r="G14" s="24">
        <v>0.5</v>
      </c>
      <c r="H14" s="5">
        <v>0.1</v>
      </c>
      <c r="I14" s="24" t="s">
        <v>109</v>
      </c>
      <c r="J14" s="5" t="s">
        <v>114</v>
      </c>
      <c r="K14" s="5">
        <v>0.6</v>
      </c>
      <c r="M14" s="5"/>
      <c r="N14" s="5"/>
      <c r="O14" s="5"/>
      <c r="P14" s="5"/>
      <c r="Q14" s="5"/>
      <c r="R14" s="5"/>
      <c r="S14" s="5"/>
      <c r="T14" s="5"/>
      <c r="U14" s="5"/>
    </row>
    <row r="15" spans="1:23" ht="15" customHeight="1" x14ac:dyDescent="0.25">
      <c r="A15" s="187"/>
      <c r="B15" s="27" t="s">
        <v>11</v>
      </c>
      <c r="C15" s="97">
        <v>1</v>
      </c>
      <c r="D15" s="97" t="s">
        <v>109</v>
      </c>
      <c r="E15" s="97">
        <v>0.9</v>
      </c>
      <c r="F15" s="97" t="s">
        <v>109</v>
      </c>
      <c r="G15" s="97">
        <v>0.5</v>
      </c>
      <c r="H15" s="97">
        <v>0.8</v>
      </c>
      <c r="I15" s="24" t="s">
        <v>109</v>
      </c>
      <c r="J15" s="97" t="s">
        <v>114</v>
      </c>
      <c r="K15" s="97">
        <v>3.3</v>
      </c>
      <c r="M15" s="97"/>
      <c r="N15" s="5"/>
      <c r="O15" s="5"/>
      <c r="P15" s="5"/>
      <c r="Q15" s="5"/>
      <c r="R15" s="97"/>
      <c r="S15" s="5"/>
      <c r="T15" s="5"/>
      <c r="U15" s="97"/>
    </row>
    <row r="16" spans="1:23" ht="15" customHeight="1" x14ac:dyDescent="0.25">
      <c r="A16" s="187" t="s">
        <v>11</v>
      </c>
      <c r="B16" s="23" t="s">
        <v>18</v>
      </c>
      <c r="C16" s="5">
        <v>396.6</v>
      </c>
      <c r="D16" s="5">
        <v>42.1</v>
      </c>
      <c r="E16" s="5">
        <v>587.70000000000005</v>
      </c>
      <c r="F16" s="5">
        <v>216</v>
      </c>
      <c r="G16" s="5">
        <v>97.1</v>
      </c>
      <c r="H16" s="5">
        <v>38.1</v>
      </c>
      <c r="I16" s="5">
        <v>15.8</v>
      </c>
      <c r="J16" s="5" t="s">
        <v>114</v>
      </c>
      <c r="K16" s="5">
        <v>1393.3</v>
      </c>
      <c r="M16" s="5"/>
      <c r="N16" s="5"/>
      <c r="O16" s="5"/>
      <c r="P16" s="5"/>
      <c r="Q16" s="5"/>
      <c r="R16" s="5"/>
      <c r="S16" s="5"/>
      <c r="T16" s="5"/>
      <c r="U16" s="5"/>
    </row>
    <row r="17" spans="1:23" ht="15" customHeight="1" x14ac:dyDescent="0.25">
      <c r="A17" s="187"/>
      <c r="B17" s="23" t="s">
        <v>19</v>
      </c>
      <c r="C17" s="5">
        <v>317.7</v>
      </c>
      <c r="D17" s="5">
        <v>186.2</v>
      </c>
      <c r="E17" s="5">
        <v>268.60000000000002</v>
      </c>
      <c r="F17" s="5">
        <v>151.80000000000001</v>
      </c>
      <c r="G17" s="5">
        <v>69.599999999999994</v>
      </c>
      <c r="H17" s="5">
        <v>57.9</v>
      </c>
      <c r="I17" s="5">
        <v>31.6</v>
      </c>
      <c r="J17" s="5" t="s">
        <v>114</v>
      </c>
      <c r="K17" s="5">
        <v>1083.4000000000001</v>
      </c>
      <c r="M17" s="5"/>
      <c r="N17" s="5"/>
      <c r="O17" s="5"/>
      <c r="P17" s="5"/>
      <c r="Q17" s="5"/>
      <c r="R17" s="5"/>
      <c r="S17" s="5"/>
      <c r="T17" s="5"/>
      <c r="U17" s="5"/>
    </row>
    <row r="18" spans="1:23" ht="15" customHeight="1" x14ac:dyDescent="0.25">
      <c r="A18" s="187"/>
      <c r="B18" s="23" t="s">
        <v>20</v>
      </c>
      <c r="C18" s="5">
        <v>25.2</v>
      </c>
      <c r="D18" s="24">
        <v>0.4</v>
      </c>
      <c r="E18" s="5">
        <v>3.7</v>
      </c>
      <c r="F18" s="24" t="s">
        <v>109</v>
      </c>
      <c r="G18" s="5">
        <v>2.2999999999999998</v>
      </c>
      <c r="H18" s="5">
        <v>0.4</v>
      </c>
      <c r="I18" s="5" t="s">
        <v>109</v>
      </c>
      <c r="J18" s="5" t="s">
        <v>114</v>
      </c>
      <c r="K18" s="5">
        <v>32.1</v>
      </c>
      <c r="M18" s="5"/>
      <c r="N18" s="5"/>
      <c r="O18" s="5"/>
      <c r="P18" s="5"/>
      <c r="Q18" s="5"/>
      <c r="R18" s="5"/>
      <c r="S18" s="5"/>
      <c r="T18" s="5"/>
      <c r="U18" s="5"/>
    </row>
    <row r="19" spans="1:23" ht="15" customHeight="1" x14ac:dyDescent="0.25">
      <c r="A19" s="187"/>
      <c r="B19" s="27" t="s">
        <v>11</v>
      </c>
      <c r="C19" s="97">
        <v>739.5</v>
      </c>
      <c r="D19" s="97">
        <v>228.7</v>
      </c>
      <c r="E19" s="97">
        <v>860</v>
      </c>
      <c r="F19" s="97">
        <v>367.8</v>
      </c>
      <c r="G19" s="97">
        <v>169.1</v>
      </c>
      <c r="H19" s="97">
        <v>96.4</v>
      </c>
      <c r="I19" s="97">
        <v>47.4</v>
      </c>
      <c r="J19" s="97" t="s">
        <v>114</v>
      </c>
      <c r="K19" s="97">
        <v>2508.8000000000002</v>
      </c>
      <c r="M19" s="97"/>
      <c r="N19" s="97"/>
      <c r="O19" s="97"/>
      <c r="P19" s="97"/>
      <c r="Q19" s="97"/>
      <c r="R19" s="97"/>
      <c r="S19" s="97"/>
      <c r="T19" s="97"/>
      <c r="U19" s="97"/>
    </row>
    <row r="20" spans="1:23" ht="2.25" customHeight="1" x14ac:dyDescent="0.25">
      <c r="A20" s="2"/>
      <c r="C20" s="1" t="s">
        <v>189</v>
      </c>
      <c r="D20" s="1" t="s">
        <v>189</v>
      </c>
      <c r="E20" s="1" t="s">
        <v>189</v>
      </c>
      <c r="F20" s="1" t="s">
        <v>189</v>
      </c>
      <c r="G20" s="1" t="s">
        <v>189</v>
      </c>
      <c r="H20" s="1" t="s">
        <v>189</v>
      </c>
      <c r="I20" s="1" t="s">
        <v>189</v>
      </c>
      <c r="J20" s="1" t="s">
        <v>189</v>
      </c>
      <c r="K20" s="1" t="s">
        <v>189</v>
      </c>
    </row>
    <row r="21" spans="1:23" ht="11.1" customHeight="1" x14ac:dyDescent="0.25">
      <c r="A21" s="184" t="s">
        <v>12</v>
      </c>
      <c r="B21" s="184"/>
      <c r="C21" s="184"/>
      <c r="D21" s="184"/>
      <c r="E21" s="184"/>
      <c r="F21" s="184"/>
      <c r="G21" s="184"/>
      <c r="H21" s="184"/>
      <c r="I21" s="184"/>
      <c r="J21" s="184"/>
      <c r="K21" s="184"/>
    </row>
    <row r="22" spans="1:23" s="6" customFormat="1" ht="11.1" customHeight="1" x14ac:dyDescent="0.15">
      <c r="A22" s="6" t="s">
        <v>13</v>
      </c>
    </row>
    <row r="23" spans="1:23" s="6" customFormat="1" ht="12.75" customHeight="1" x14ac:dyDescent="0.15">
      <c r="A23" s="186" t="s">
        <v>188</v>
      </c>
      <c r="B23" s="186"/>
      <c r="C23" s="186"/>
      <c r="D23" s="186"/>
      <c r="E23" s="186"/>
      <c r="F23" s="186"/>
      <c r="G23" s="186"/>
      <c r="H23" s="186"/>
      <c r="I23" s="186"/>
      <c r="J23" s="186"/>
      <c r="K23" s="186"/>
    </row>
    <row r="24" spans="1:23" s="6" customFormat="1" ht="18.75" customHeight="1" x14ac:dyDescent="0.2">
      <c r="A24" s="186" t="s">
        <v>31</v>
      </c>
      <c r="B24" s="186"/>
      <c r="C24" s="186"/>
      <c r="D24" s="186"/>
      <c r="E24" s="186"/>
      <c r="F24" s="186"/>
      <c r="G24" s="186"/>
      <c r="H24" s="186"/>
      <c r="I24" s="186"/>
      <c r="J24" s="186"/>
      <c r="K24" s="186"/>
      <c r="O24" s="97"/>
      <c r="P24" s="97"/>
      <c r="Q24" s="97"/>
      <c r="R24" s="97"/>
      <c r="S24" s="97"/>
      <c r="T24" s="97"/>
      <c r="U24" s="97"/>
      <c r="V24" s="97"/>
      <c r="W24" s="97"/>
    </row>
    <row r="25" spans="1:23" s="6" customFormat="1" ht="9.75" customHeight="1" x14ac:dyDescent="0.15">
      <c r="A25" s="186" t="s">
        <v>264</v>
      </c>
      <c r="B25" s="186"/>
      <c r="C25" s="186"/>
      <c r="D25" s="186"/>
      <c r="E25" s="186"/>
      <c r="F25" s="186"/>
      <c r="G25" s="186"/>
      <c r="H25" s="186"/>
      <c r="I25" s="186"/>
      <c r="J25" s="186"/>
      <c r="K25" s="186"/>
    </row>
    <row r="26" spans="1:23" s="6" customFormat="1" ht="11.1" customHeight="1" x14ac:dyDescent="0.2">
      <c r="A26" s="6" t="s">
        <v>14</v>
      </c>
      <c r="O26" s="94"/>
      <c r="P26" s="94"/>
      <c r="Q26" s="94"/>
      <c r="R26" s="94"/>
      <c r="S26" s="94"/>
      <c r="T26" s="94"/>
      <c r="U26" s="94"/>
      <c r="V26" s="94"/>
      <c r="W26" s="94"/>
    </row>
    <row r="27" spans="1:23" s="6" customFormat="1" ht="11.1" customHeight="1" x14ac:dyDescent="0.15">
      <c r="A27" s="6" t="s">
        <v>263</v>
      </c>
    </row>
    <row r="28" spans="1:23" ht="12" customHeight="1" x14ac:dyDescent="0.25">
      <c r="A28" s="2"/>
    </row>
    <row r="29" spans="1:23" ht="27.95" customHeight="1" x14ac:dyDescent="0.25">
      <c r="A29" s="189" t="s">
        <v>270</v>
      </c>
      <c r="B29" s="189"/>
      <c r="C29" s="189"/>
      <c r="D29" s="189"/>
      <c r="E29" s="189"/>
      <c r="F29" s="189"/>
      <c r="G29" s="189"/>
      <c r="H29" s="189"/>
      <c r="I29" s="189"/>
      <c r="J29" s="189"/>
      <c r="K29" s="189"/>
      <c r="L29" s="32"/>
      <c r="M29" s="32"/>
      <c r="N29" s="8"/>
      <c r="O29" s="8"/>
    </row>
    <row r="30" spans="1:23" ht="12" hidden="1" customHeight="1" x14ac:dyDescent="0.25">
      <c r="A30" s="2"/>
      <c r="N30" s="8"/>
      <c r="O30" s="8"/>
    </row>
    <row r="31" spans="1:23" x14ac:dyDescent="0.25">
      <c r="A31" s="31" t="s">
        <v>119</v>
      </c>
      <c r="B31" s="31" t="s">
        <v>120</v>
      </c>
      <c r="C31" s="3" t="s">
        <v>0</v>
      </c>
      <c r="D31" s="3" t="s">
        <v>1</v>
      </c>
      <c r="E31" s="3" t="s">
        <v>2</v>
      </c>
      <c r="F31" s="3" t="s">
        <v>3</v>
      </c>
      <c r="G31" s="3" t="s">
        <v>4</v>
      </c>
      <c r="H31" s="3" t="s">
        <v>5</v>
      </c>
      <c r="I31" s="3" t="s">
        <v>6</v>
      </c>
      <c r="J31" s="3" t="s">
        <v>7</v>
      </c>
      <c r="K31" s="10" t="s">
        <v>8</v>
      </c>
    </row>
    <row r="32" spans="1:23" x14ac:dyDescent="0.25">
      <c r="A32" s="187" t="s">
        <v>17</v>
      </c>
      <c r="B32" s="23" t="s">
        <v>18</v>
      </c>
      <c r="C32" s="8">
        <v>691</v>
      </c>
      <c r="D32" s="8">
        <v>93</v>
      </c>
      <c r="E32" s="8">
        <v>919</v>
      </c>
      <c r="F32" s="8">
        <v>483</v>
      </c>
      <c r="G32" s="8">
        <v>170</v>
      </c>
      <c r="H32" s="8" t="s">
        <v>116</v>
      </c>
      <c r="I32" s="8" t="s">
        <v>116</v>
      </c>
      <c r="J32" s="8">
        <v>462</v>
      </c>
      <c r="K32" s="8">
        <v>2901</v>
      </c>
      <c r="M32" s="8"/>
      <c r="N32" s="8"/>
      <c r="O32" s="8"/>
      <c r="P32" s="8"/>
      <c r="Q32" s="8"/>
      <c r="R32" s="8"/>
      <c r="S32" s="8"/>
      <c r="T32" s="8"/>
      <c r="U32" s="8"/>
      <c r="W32" s="120"/>
    </row>
    <row r="33" spans="1:21" x14ac:dyDescent="0.25">
      <c r="A33" s="187"/>
      <c r="B33" s="23" t="s">
        <v>19</v>
      </c>
      <c r="C33" s="8">
        <v>566</v>
      </c>
      <c r="D33" s="8">
        <v>420</v>
      </c>
      <c r="E33" s="8">
        <v>491</v>
      </c>
      <c r="F33" s="8">
        <v>355</v>
      </c>
      <c r="G33" s="8">
        <v>155</v>
      </c>
      <c r="H33" s="8" t="s">
        <v>116</v>
      </c>
      <c r="I33" s="8" t="s">
        <v>116</v>
      </c>
      <c r="J33" s="8">
        <v>21</v>
      </c>
      <c r="K33" s="8">
        <v>2161</v>
      </c>
      <c r="M33" s="8"/>
      <c r="N33" s="8"/>
      <c r="O33" s="8"/>
      <c r="P33" s="8"/>
      <c r="Q33" s="8"/>
      <c r="R33" s="8"/>
      <c r="S33" s="8"/>
      <c r="T33" s="8"/>
      <c r="U33" s="8"/>
    </row>
    <row r="34" spans="1:21" x14ac:dyDescent="0.25">
      <c r="A34" s="187"/>
      <c r="B34" s="23" t="s">
        <v>20</v>
      </c>
      <c r="C34" s="8">
        <v>60</v>
      </c>
      <c r="D34" s="29">
        <v>4</v>
      </c>
      <c r="E34" s="8">
        <v>11</v>
      </c>
      <c r="F34" s="29" t="s">
        <v>109</v>
      </c>
      <c r="G34" s="8">
        <v>6</v>
      </c>
      <c r="H34" s="8">
        <v>3</v>
      </c>
      <c r="I34" s="8" t="s">
        <v>109</v>
      </c>
      <c r="J34" s="8">
        <v>12</v>
      </c>
      <c r="K34" s="8">
        <v>96</v>
      </c>
      <c r="M34" s="8"/>
      <c r="N34" s="8"/>
      <c r="O34" s="8"/>
      <c r="P34" s="8"/>
      <c r="Q34" s="8"/>
      <c r="R34" s="8"/>
      <c r="S34" s="8"/>
      <c r="T34" s="8"/>
      <c r="U34" s="8"/>
    </row>
    <row r="35" spans="1:21" x14ac:dyDescent="0.25">
      <c r="A35" s="187"/>
      <c r="B35" s="27" t="s">
        <v>16</v>
      </c>
      <c r="C35" s="94">
        <v>1317</v>
      </c>
      <c r="D35" s="94">
        <v>517</v>
      </c>
      <c r="E35" s="94">
        <v>1421</v>
      </c>
      <c r="F35" s="94">
        <v>838</v>
      </c>
      <c r="G35" s="94">
        <v>331</v>
      </c>
      <c r="H35" s="94" t="s">
        <v>116</v>
      </c>
      <c r="I35" s="94" t="s">
        <v>116</v>
      </c>
      <c r="J35" s="94">
        <v>495</v>
      </c>
      <c r="K35" s="94">
        <v>5158</v>
      </c>
      <c r="M35" s="94"/>
      <c r="N35" s="94"/>
      <c r="O35" s="94"/>
      <c r="P35" s="94"/>
      <c r="Q35" s="94"/>
      <c r="R35" s="94"/>
      <c r="S35" s="94"/>
      <c r="T35" s="94"/>
      <c r="U35" s="94"/>
    </row>
    <row r="36" spans="1:21" x14ac:dyDescent="0.25">
      <c r="A36" s="187" t="s">
        <v>21</v>
      </c>
      <c r="B36" s="23" t="s">
        <v>18</v>
      </c>
      <c r="C36" s="8">
        <v>200</v>
      </c>
      <c r="D36" s="8">
        <v>20</v>
      </c>
      <c r="E36" s="8">
        <v>356</v>
      </c>
      <c r="F36" s="8">
        <v>136</v>
      </c>
      <c r="G36" s="8">
        <v>81</v>
      </c>
      <c r="H36" s="8" t="s">
        <v>116</v>
      </c>
      <c r="I36" s="8" t="s">
        <v>116</v>
      </c>
      <c r="J36" s="8">
        <v>129</v>
      </c>
      <c r="K36" s="8">
        <v>958</v>
      </c>
      <c r="M36" s="8"/>
      <c r="N36" s="8"/>
      <c r="O36" s="8"/>
      <c r="P36" s="8"/>
      <c r="Q36" s="8"/>
      <c r="R36" s="8"/>
      <c r="S36" s="8"/>
      <c r="T36" s="8"/>
      <c r="U36" s="8"/>
    </row>
    <row r="37" spans="1:21" x14ac:dyDescent="0.25">
      <c r="A37" s="187"/>
      <c r="B37" s="23" t="s">
        <v>19</v>
      </c>
      <c r="C37" s="8">
        <v>136</v>
      </c>
      <c r="D37" s="8">
        <v>64</v>
      </c>
      <c r="E37" s="8">
        <v>152</v>
      </c>
      <c r="F37" s="8">
        <v>100</v>
      </c>
      <c r="G37" s="8">
        <v>46</v>
      </c>
      <c r="H37" s="8" t="s">
        <v>116</v>
      </c>
      <c r="I37" s="8" t="s">
        <v>116</v>
      </c>
      <c r="J37" s="8">
        <v>3</v>
      </c>
      <c r="K37" s="8">
        <v>563</v>
      </c>
      <c r="M37" s="8"/>
      <c r="N37" s="8"/>
      <c r="O37" s="8"/>
      <c r="P37" s="8"/>
      <c r="Q37" s="8"/>
      <c r="R37" s="8"/>
      <c r="S37" s="8"/>
      <c r="T37" s="8"/>
      <c r="U37" s="8"/>
    </row>
    <row r="38" spans="1:21" x14ac:dyDescent="0.25">
      <c r="A38" s="187"/>
      <c r="B38" s="23" t="s">
        <v>20</v>
      </c>
      <c r="C38" s="8">
        <v>13</v>
      </c>
      <c r="D38" s="29" t="s">
        <v>109</v>
      </c>
      <c r="E38" s="8">
        <v>1</v>
      </c>
      <c r="F38" s="29" t="s">
        <v>109</v>
      </c>
      <c r="G38" s="29" t="s">
        <v>109</v>
      </c>
      <c r="H38" s="8">
        <v>1</v>
      </c>
      <c r="I38" s="8" t="s">
        <v>109</v>
      </c>
      <c r="J38" s="8">
        <v>4</v>
      </c>
      <c r="K38" s="8">
        <v>19</v>
      </c>
      <c r="M38" s="8"/>
      <c r="N38" s="8"/>
      <c r="O38" s="8"/>
      <c r="P38" s="8"/>
      <c r="Q38" s="8"/>
      <c r="R38" s="8"/>
      <c r="S38" s="8"/>
      <c r="T38" s="8"/>
      <c r="U38" s="8"/>
    </row>
    <row r="39" spans="1:21" x14ac:dyDescent="0.25">
      <c r="A39" s="187"/>
      <c r="B39" s="27" t="s">
        <v>16</v>
      </c>
      <c r="C39" s="94">
        <v>349</v>
      </c>
      <c r="D39" s="94">
        <v>84</v>
      </c>
      <c r="E39" s="94">
        <v>509</v>
      </c>
      <c r="F39" s="94">
        <v>236</v>
      </c>
      <c r="G39" s="94">
        <v>127</v>
      </c>
      <c r="H39" s="94" t="s">
        <v>116</v>
      </c>
      <c r="I39" s="94" t="s">
        <v>116</v>
      </c>
      <c r="J39" s="94">
        <v>136</v>
      </c>
      <c r="K39" s="94">
        <v>1540</v>
      </c>
      <c r="M39" s="94"/>
      <c r="N39" s="94"/>
      <c r="O39" s="94"/>
      <c r="P39" s="94"/>
      <c r="Q39" s="94"/>
      <c r="R39" s="94"/>
      <c r="S39" s="94"/>
      <c r="T39" s="94"/>
      <c r="U39" s="94"/>
    </row>
    <row r="40" spans="1:21" x14ac:dyDescent="0.25">
      <c r="A40" s="187" t="s">
        <v>20</v>
      </c>
      <c r="B40" s="23" t="s">
        <v>18</v>
      </c>
      <c r="C40" s="8">
        <v>1</v>
      </c>
      <c r="D40" s="29" t="s">
        <v>109</v>
      </c>
      <c r="E40" s="8">
        <v>1</v>
      </c>
      <c r="F40" s="29" t="s">
        <v>109</v>
      </c>
      <c r="G40" s="29" t="s">
        <v>109</v>
      </c>
      <c r="H40" s="29" t="s">
        <v>109</v>
      </c>
      <c r="I40" s="29" t="s">
        <v>109</v>
      </c>
      <c r="J40" s="29" t="s">
        <v>109</v>
      </c>
      <c r="K40" s="8">
        <v>2</v>
      </c>
      <c r="M40" s="8"/>
      <c r="N40" s="8"/>
      <c r="O40" s="8"/>
      <c r="P40" s="8"/>
      <c r="Q40" s="8"/>
      <c r="R40" s="8"/>
      <c r="S40" s="8"/>
      <c r="T40" s="8"/>
      <c r="U40" s="8"/>
    </row>
    <row r="41" spans="1:21" x14ac:dyDescent="0.25">
      <c r="A41" s="187"/>
      <c r="B41" s="23" t="s">
        <v>19</v>
      </c>
      <c r="C41" s="8">
        <v>1</v>
      </c>
      <c r="D41" s="29" t="s">
        <v>109</v>
      </c>
      <c r="E41" s="29">
        <v>2</v>
      </c>
      <c r="F41" s="29">
        <v>1</v>
      </c>
      <c r="G41" s="29" t="s">
        <v>109</v>
      </c>
      <c r="H41" s="8">
        <v>2</v>
      </c>
      <c r="I41" s="29" t="s">
        <v>109</v>
      </c>
      <c r="J41" s="29" t="s">
        <v>109</v>
      </c>
      <c r="K41" s="8">
        <v>6</v>
      </c>
      <c r="M41" s="8"/>
      <c r="N41" s="8"/>
      <c r="O41" s="8"/>
      <c r="P41" s="8"/>
      <c r="Q41" s="8"/>
      <c r="R41" s="8"/>
      <c r="S41" s="8"/>
      <c r="T41" s="8"/>
      <c r="U41" s="8"/>
    </row>
    <row r="42" spans="1:21" x14ac:dyDescent="0.25">
      <c r="A42" s="187"/>
      <c r="B42" s="23" t="s">
        <v>20</v>
      </c>
      <c r="C42" s="29" t="s">
        <v>109</v>
      </c>
      <c r="D42" s="29" t="s">
        <v>109</v>
      </c>
      <c r="E42" s="29" t="s">
        <v>109</v>
      </c>
      <c r="F42" s="29" t="s">
        <v>109</v>
      </c>
      <c r="G42" s="29">
        <v>1</v>
      </c>
      <c r="H42" s="8">
        <v>1</v>
      </c>
      <c r="I42" s="29" t="s">
        <v>109</v>
      </c>
      <c r="J42" s="8">
        <v>1</v>
      </c>
      <c r="K42" s="8">
        <v>3</v>
      </c>
      <c r="M42" s="8"/>
      <c r="N42" s="8"/>
      <c r="O42" s="8"/>
      <c r="P42" s="8"/>
      <c r="Q42" s="8"/>
      <c r="R42" s="8"/>
      <c r="S42" s="8"/>
      <c r="T42" s="8"/>
      <c r="U42" s="8"/>
    </row>
    <row r="43" spans="1:21" x14ac:dyDescent="0.25">
      <c r="A43" s="187"/>
      <c r="B43" s="27" t="s">
        <v>16</v>
      </c>
      <c r="C43" s="94">
        <v>2</v>
      </c>
      <c r="D43" s="94" t="s">
        <v>109</v>
      </c>
      <c r="E43" s="94">
        <v>3</v>
      </c>
      <c r="F43" s="94">
        <v>1</v>
      </c>
      <c r="G43" s="94">
        <v>1</v>
      </c>
      <c r="H43" s="94">
        <v>3</v>
      </c>
      <c r="I43" s="94" t="s">
        <v>109</v>
      </c>
      <c r="J43" s="94">
        <v>1</v>
      </c>
      <c r="K43" s="94">
        <v>11</v>
      </c>
      <c r="M43" s="94"/>
      <c r="N43" s="8"/>
      <c r="O43" s="94"/>
      <c r="P43" s="8"/>
      <c r="Q43" s="8"/>
      <c r="R43" s="94"/>
      <c r="S43" s="8"/>
      <c r="T43" s="94"/>
      <c r="U43" s="94"/>
    </row>
    <row r="44" spans="1:21" x14ac:dyDescent="0.25">
      <c r="A44" s="187" t="s">
        <v>16</v>
      </c>
      <c r="B44" s="23" t="s">
        <v>18</v>
      </c>
      <c r="C44" s="8">
        <v>892</v>
      </c>
      <c r="D44" s="8">
        <v>113</v>
      </c>
      <c r="E44" s="8">
        <v>1276</v>
      </c>
      <c r="F44" s="8">
        <v>619</v>
      </c>
      <c r="G44" s="8">
        <v>251</v>
      </c>
      <c r="H44" s="8" t="s">
        <v>116</v>
      </c>
      <c r="I44" s="8" t="s">
        <v>116</v>
      </c>
      <c r="J44" s="8">
        <v>591</v>
      </c>
      <c r="K44" s="8">
        <v>3861</v>
      </c>
      <c r="M44" s="8"/>
      <c r="N44" s="8"/>
      <c r="O44" s="8"/>
      <c r="P44" s="8"/>
      <c r="Q44" s="8"/>
      <c r="R44" s="8"/>
      <c r="S44" s="8"/>
      <c r="T44" s="8"/>
      <c r="U44" s="8"/>
    </row>
    <row r="45" spans="1:21" x14ac:dyDescent="0.25">
      <c r="A45" s="187"/>
      <c r="B45" s="23" t="s">
        <v>19</v>
      </c>
      <c r="C45" s="8">
        <v>703</v>
      </c>
      <c r="D45" s="8">
        <v>484</v>
      </c>
      <c r="E45" s="8">
        <v>645</v>
      </c>
      <c r="F45" s="8">
        <v>456</v>
      </c>
      <c r="G45" s="8">
        <v>201</v>
      </c>
      <c r="H45" s="8" t="s">
        <v>116</v>
      </c>
      <c r="I45" s="8" t="s">
        <v>116</v>
      </c>
      <c r="J45" s="8">
        <v>24</v>
      </c>
      <c r="K45" s="8">
        <v>2730</v>
      </c>
      <c r="M45" s="8"/>
      <c r="N45" s="8"/>
      <c r="O45" s="8"/>
      <c r="P45" s="8"/>
      <c r="Q45" s="8"/>
      <c r="R45" s="8"/>
      <c r="S45" s="8"/>
      <c r="T45" s="8"/>
      <c r="U45" s="8"/>
    </row>
    <row r="46" spans="1:21" x14ac:dyDescent="0.25">
      <c r="A46" s="187"/>
      <c r="B46" s="23" t="s">
        <v>20</v>
      </c>
      <c r="C46" s="8">
        <v>73</v>
      </c>
      <c r="D46" s="29">
        <v>4</v>
      </c>
      <c r="E46" s="8">
        <v>12</v>
      </c>
      <c r="F46" s="29" t="s">
        <v>109</v>
      </c>
      <c r="G46" s="8">
        <v>7</v>
      </c>
      <c r="H46" s="8">
        <v>5</v>
      </c>
      <c r="I46" s="8" t="s">
        <v>109</v>
      </c>
      <c r="J46" s="8">
        <v>17</v>
      </c>
      <c r="K46" s="8">
        <v>118</v>
      </c>
      <c r="M46" s="8"/>
      <c r="N46" s="8"/>
      <c r="O46" s="8"/>
      <c r="P46" s="8"/>
      <c r="Q46" s="8"/>
      <c r="R46" s="8"/>
      <c r="S46" s="8"/>
      <c r="T46" s="8"/>
      <c r="U46" s="8"/>
    </row>
    <row r="47" spans="1:21" x14ac:dyDescent="0.25">
      <c r="A47" s="187"/>
      <c r="B47" s="27" t="s">
        <v>16</v>
      </c>
      <c r="C47" s="94">
        <v>1668</v>
      </c>
      <c r="D47" s="94">
        <v>601</v>
      </c>
      <c r="E47" s="94">
        <v>1933</v>
      </c>
      <c r="F47" s="94">
        <v>1075</v>
      </c>
      <c r="G47" s="94">
        <v>459</v>
      </c>
      <c r="H47" s="94">
        <v>208</v>
      </c>
      <c r="I47" s="94">
        <v>133</v>
      </c>
      <c r="J47" s="94">
        <v>632</v>
      </c>
      <c r="K47" s="94">
        <v>6709</v>
      </c>
      <c r="M47" s="94"/>
      <c r="N47" s="94"/>
      <c r="O47" s="94"/>
      <c r="P47" s="94"/>
      <c r="Q47" s="94"/>
      <c r="R47" s="94"/>
      <c r="S47" s="94"/>
      <c r="T47" s="94"/>
      <c r="U47" s="94"/>
    </row>
    <row r="48" spans="1:21" ht="0.75" customHeight="1" x14ac:dyDescent="0.25">
      <c r="A48" s="33"/>
      <c r="B48" s="33"/>
      <c r="C48" s="33" t="s">
        <v>189</v>
      </c>
      <c r="D48" s="33" t="s">
        <v>189</v>
      </c>
      <c r="E48" s="33" t="s">
        <v>189</v>
      </c>
      <c r="F48" s="33" t="s">
        <v>189</v>
      </c>
      <c r="G48" s="33" t="s">
        <v>189</v>
      </c>
      <c r="H48" s="33" t="s">
        <v>189</v>
      </c>
      <c r="I48" s="33" t="s">
        <v>189</v>
      </c>
      <c r="J48" s="33" t="s">
        <v>189</v>
      </c>
      <c r="K48" s="33" t="s">
        <v>189</v>
      </c>
      <c r="M48" s="1" t="str">
        <f t="shared" ref="M48" si="0">IF(C48=0,"-",C48)</f>
        <v>-</v>
      </c>
      <c r="N48" s="1" t="str">
        <f t="shared" ref="N48" si="1">IF(D48=0,"-",D48)</f>
        <v>-</v>
      </c>
      <c r="O48" s="1" t="str">
        <f t="shared" ref="O48" si="2">IF(E48=0,"-",E48)</f>
        <v>-</v>
      </c>
      <c r="P48" s="1" t="str">
        <f t="shared" ref="P48" si="3">IF(F48=0,"-",F48)</f>
        <v>-</v>
      </c>
      <c r="Q48" s="1" t="str">
        <f t="shared" ref="Q48" si="4">IF(G48=0,"-",G48)</f>
        <v>-</v>
      </c>
      <c r="R48" s="1" t="str">
        <f t="shared" ref="R48" si="5">IF(H48=0,"-",H48)</f>
        <v>-</v>
      </c>
      <c r="S48" s="1" t="str">
        <f t="shared" ref="S48" si="6">IF(I48=0,"-",I48)</f>
        <v>-</v>
      </c>
      <c r="T48" s="1" t="str">
        <f t="shared" ref="T48" si="7">IF(J48=0,"-",J48)</f>
        <v>-</v>
      </c>
      <c r="U48" s="1" t="str">
        <f t="shared" ref="U48" si="8">IF(K48=0,"-",K48)</f>
        <v>-</v>
      </c>
    </row>
    <row r="49" spans="1:13" ht="13.5" customHeight="1" x14ac:dyDescent="0.25">
      <c r="A49" s="181" t="s">
        <v>22</v>
      </c>
      <c r="B49" s="181"/>
      <c r="C49" s="181"/>
      <c r="D49" s="181"/>
      <c r="E49" s="181"/>
      <c r="F49" s="181"/>
      <c r="G49" s="181"/>
      <c r="H49" s="181"/>
      <c r="I49" s="181"/>
      <c r="J49" s="181"/>
      <c r="K49" s="181"/>
      <c r="L49" s="181"/>
      <c r="M49" s="181"/>
    </row>
    <row r="50" spans="1:13" s="6" customFormat="1" ht="11.1" customHeight="1" x14ac:dyDescent="0.15">
      <c r="A50" s="6" t="s">
        <v>14</v>
      </c>
    </row>
    <row r="51" spans="1:13" s="6" customFormat="1" ht="11.1" customHeight="1" x14ac:dyDescent="0.15">
      <c r="A51" s="6" t="s">
        <v>263</v>
      </c>
    </row>
    <row r="52" spans="1:13" ht="12" customHeight="1" x14ac:dyDescent="0.25">
      <c r="A52" s="2"/>
    </row>
  </sheetData>
  <mergeCells count="15">
    <mergeCell ref="A1:K1"/>
    <mergeCell ref="A4:A7"/>
    <mergeCell ref="A8:A11"/>
    <mergeCell ref="A12:A15"/>
    <mergeCell ref="A16:A19"/>
    <mergeCell ref="A49:M49"/>
    <mergeCell ref="A29:K29"/>
    <mergeCell ref="A23:K23"/>
    <mergeCell ref="A21:K21"/>
    <mergeCell ref="A32:A35"/>
    <mergeCell ref="A36:A39"/>
    <mergeCell ref="A40:A43"/>
    <mergeCell ref="A44:A47"/>
    <mergeCell ref="A25:K25"/>
    <mergeCell ref="A24:K24"/>
  </mergeCells>
  <pageMargins left="0.08" right="0.08" top="1" bottom="1" header="0.5" footer="0.5"/>
  <pageSetup orientation="landscape" blackAndWhite="1"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43"/>
  <sheetViews>
    <sheetView zoomScaleNormal="100" workbookViewId="0">
      <selection sqref="A1:L1"/>
    </sheetView>
  </sheetViews>
  <sheetFormatPr defaultColWidth="9.140625" defaultRowHeight="15" x14ac:dyDescent="0.25"/>
  <cols>
    <col min="1" max="1" width="11.42578125" style="1" bestFit="1" customWidth="1"/>
    <col min="2" max="2" width="19.7109375" style="1" customWidth="1"/>
    <col min="3" max="10" width="11.42578125" style="1" bestFit="1" customWidth="1"/>
    <col min="11" max="11" width="11.42578125" style="1" customWidth="1"/>
    <col min="12" max="12" width="11.42578125" style="1" bestFit="1" customWidth="1"/>
    <col min="13" max="16384" width="9.140625" style="1"/>
  </cols>
  <sheetData>
    <row r="1" spans="1:23" ht="33.75" customHeight="1" x14ac:dyDescent="0.25">
      <c r="A1" s="189" t="s">
        <v>274</v>
      </c>
      <c r="B1" s="189"/>
      <c r="C1" s="189"/>
      <c r="D1" s="189"/>
      <c r="E1" s="189"/>
      <c r="F1" s="189"/>
      <c r="G1" s="189"/>
      <c r="H1" s="189"/>
      <c r="I1" s="189"/>
      <c r="J1" s="189"/>
      <c r="K1" s="189"/>
      <c r="L1" s="189"/>
    </row>
    <row r="2" spans="1:23" ht="2.25" customHeight="1" x14ac:dyDescent="0.25">
      <c r="A2" s="2"/>
    </row>
    <row r="3" spans="1:23" x14ac:dyDescent="0.25">
      <c r="A3" s="31" t="s">
        <v>119</v>
      </c>
      <c r="B3" s="31" t="s">
        <v>120</v>
      </c>
      <c r="C3" s="3" t="s">
        <v>0</v>
      </c>
      <c r="D3" s="3" t="s">
        <v>1</v>
      </c>
      <c r="E3" s="3" t="s">
        <v>2</v>
      </c>
      <c r="F3" s="3" t="s">
        <v>3</v>
      </c>
      <c r="G3" s="3" t="s">
        <v>4</v>
      </c>
      <c r="H3" s="3" t="s">
        <v>5</v>
      </c>
      <c r="I3" s="3" t="s">
        <v>6</v>
      </c>
      <c r="J3" s="3" t="s">
        <v>7</v>
      </c>
      <c r="K3" s="3" t="s">
        <v>8</v>
      </c>
    </row>
    <row r="4" spans="1:23" x14ac:dyDescent="0.25">
      <c r="A4" s="187" t="s">
        <v>17</v>
      </c>
      <c r="B4" s="23" t="s">
        <v>18</v>
      </c>
      <c r="C4" s="5">
        <v>92.754999999999995</v>
      </c>
      <c r="D4" s="5">
        <v>50.731000000000002</v>
      </c>
      <c r="E4" s="5">
        <v>155.643</v>
      </c>
      <c r="F4" s="5">
        <v>158.60300000000001</v>
      </c>
      <c r="G4" s="5">
        <v>140.536</v>
      </c>
      <c r="H4" s="5">
        <v>74.953999999999994</v>
      </c>
      <c r="I4" s="5">
        <v>167.833</v>
      </c>
      <c r="J4" s="5" t="s">
        <v>114</v>
      </c>
      <c r="K4" s="5">
        <v>119.52800000000001</v>
      </c>
      <c r="M4" s="5"/>
      <c r="N4" s="5"/>
      <c r="O4" s="5"/>
      <c r="P4" s="5"/>
      <c r="Q4" s="5"/>
      <c r="R4" s="5"/>
      <c r="S4" s="5"/>
      <c r="T4" s="5"/>
      <c r="U4" s="5"/>
      <c r="W4" s="127"/>
    </row>
    <row r="5" spans="1:23" x14ac:dyDescent="0.25">
      <c r="A5" s="187"/>
      <c r="B5" s="23" t="s">
        <v>19</v>
      </c>
      <c r="C5" s="5">
        <v>6.4260000000000002</v>
      </c>
      <c r="D5" s="5">
        <v>4.891</v>
      </c>
      <c r="E5" s="5">
        <v>7.4290000000000003</v>
      </c>
      <c r="F5" s="5">
        <v>8.3640000000000008</v>
      </c>
      <c r="G5" s="5">
        <v>6.1929999999999996</v>
      </c>
      <c r="H5" s="5">
        <v>16.905999999999999</v>
      </c>
      <c r="I5" s="5">
        <v>13.438000000000001</v>
      </c>
      <c r="J5" s="5" t="s">
        <v>114</v>
      </c>
      <c r="K5" s="5">
        <v>6.7359999999999998</v>
      </c>
      <c r="M5" s="5"/>
      <c r="N5" s="5"/>
      <c r="O5" s="5"/>
      <c r="P5" s="5"/>
      <c r="Q5" s="5"/>
      <c r="R5" s="5"/>
      <c r="S5" s="5"/>
      <c r="T5" s="5"/>
      <c r="U5" s="5"/>
    </row>
    <row r="6" spans="1:23" x14ac:dyDescent="0.25">
      <c r="A6" s="187"/>
      <c r="B6" s="27" t="s">
        <v>11</v>
      </c>
      <c r="C6" s="97">
        <v>13.356</v>
      </c>
      <c r="D6" s="97">
        <v>5.851</v>
      </c>
      <c r="E6" s="97">
        <v>20.475999999999999</v>
      </c>
      <c r="F6" s="97">
        <v>18.655999999999999</v>
      </c>
      <c r="G6" s="97">
        <v>13.596</v>
      </c>
      <c r="H6" s="97">
        <v>23.474</v>
      </c>
      <c r="I6" s="97">
        <v>18.78</v>
      </c>
      <c r="J6" s="97" t="s">
        <v>114</v>
      </c>
      <c r="K6" s="97">
        <v>13.925000000000001</v>
      </c>
      <c r="M6" s="97"/>
      <c r="N6" s="97"/>
      <c r="O6" s="97"/>
      <c r="P6" s="97"/>
      <c r="Q6" s="97"/>
      <c r="R6" s="97"/>
      <c r="S6" s="97"/>
      <c r="T6" s="97"/>
      <c r="U6" s="97"/>
    </row>
    <row r="7" spans="1:23" x14ac:dyDescent="0.25">
      <c r="A7" s="187" t="s">
        <v>21</v>
      </c>
      <c r="B7" s="23" t="s">
        <v>18</v>
      </c>
      <c r="C7" s="5">
        <v>32.959000000000003</v>
      </c>
      <c r="D7" s="5">
        <v>8.9749999999999996</v>
      </c>
      <c r="E7" s="5">
        <v>72.599000000000004</v>
      </c>
      <c r="F7" s="5">
        <v>47.398000000000003</v>
      </c>
      <c r="G7" s="5">
        <v>60.741</v>
      </c>
      <c r="H7" s="5">
        <v>49.511000000000003</v>
      </c>
      <c r="I7" s="5">
        <v>114.15900000000001</v>
      </c>
      <c r="J7" s="5" t="s">
        <v>114</v>
      </c>
      <c r="K7" s="5">
        <v>47.841999999999999</v>
      </c>
      <c r="M7" s="5"/>
      <c r="N7" s="5"/>
      <c r="O7" s="5"/>
      <c r="P7" s="5"/>
      <c r="Q7" s="5"/>
      <c r="R7" s="5"/>
      <c r="S7" s="5"/>
      <c r="T7" s="5"/>
      <c r="U7" s="5"/>
    </row>
    <row r="8" spans="1:23" x14ac:dyDescent="0.25">
      <c r="A8" s="187"/>
      <c r="B8" s="23" t="s">
        <v>19</v>
      </c>
      <c r="C8" s="5">
        <v>1.6679999999999999</v>
      </c>
      <c r="D8" s="5">
        <v>0.69499999999999995</v>
      </c>
      <c r="E8" s="5">
        <v>2.528</v>
      </c>
      <c r="F8" s="5">
        <v>2.331</v>
      </c>
      <c r="G8" s="5">
        <v>1.964</v>
      </c>
      <c r="H8" s="5">
        <v>6.5789999999999997</v>
      </c>
      <c r="I8" s="5">
        <v>5.5640000000000001</v>
      </c>
      <c r="J8" s="5" t="s">
        <v>114</v>
      </c>
      <c r="K8" s="5">
        <v>1.835</v>
      </c>
      <c r="M8" s="5"/>
      <c r="N8" s="5"/>
      <c r="O8" s="5"/>
      <c r="P8" s="5"/>
      <c r="Q8" s="5"/>
      <c r="R8" s="5"/>
      <c r="S8" s="5"/>
      <c r="T8" s="5"/>
      <c r="U8" s="5"/>
    </row>
    <row r="9" spans="1:23" x14ac:dyDescent="0.25">
      <c r="A9" s="187"/>
      <c r="B9" s="27" t="s">
        <v>11</v>
      </c>
      <c r="C9" s="97">
        <v>4.1230000000000002</v>
      </c>
      <c r="D9" s="97">
        <v>0.87</v>
      </c>
      <c r="E9" s="97">
        <v>8.7409999999999997</v>
      </c>
      <c r="F9" s="97">
        <v>5.4880000000000004</v>
      </c>
      <c r="G9" s="97">
        <v>5.1219999999999999</v>
      </c>
      <c r="H9" s="97">
        <v>11.489000000000001</v>
      </c>
      <c r="I9" s="97">
        <v>8.7949999999999999</v>
      </c>
      <c r="J9" s="97" t="s">
        <v>114</v>
      </c>
      <c r="K9" s="97">
        <v>4.7469999999999999</v>
      </c>
      <c r="M9" s="97"/>
      <c r="N9" s="97"/>
      <c r="O9" s="97"/>
      <c r="P9" s="97"/>
      <c r="Q9" s="97"/>
      <c r="R9" s="97"/>
      <c r="S9" s="97"/>
      <c r="T9" s="97"/>
      <c r="U9" s="97"/>
    </row>
    <row r="10" spans="1:23" x14ac:dyDescent="0.25">
      <c r="A10" s="187" t="s">
        <v>11</v>
      </c>
      <c r="B10" s="23" t="s">
        <v>18</v>
      </c>
      <c r="C10" s="5">
        <v>63.941000000000003</v>
      </c>
      <c r="D10" s="5">
        <v>30.193000000000001</v>
      </c>
      <c r="E10" s="5">
        <v>115.002</v>
      </c>
      <c r="F10" s="5">
        <v>103.889</v>
      </c>
      <c r="G10" s="5">
        <v>101.63</v>
      </c>
      <c r="H10" s="5">
        <v>62.59</v>
      </c>
      <c r="I10" s="5">
        <v>143.934</v>
      </c>
      <c r="J10" s="5" t="s">
        <v>114</v>
      </c>
      <c r="K10" s="5">
        <v>84.646000000000001</v>
      </c>
      <c r="M10" s="5"/>
      <c r="N10" s="5"/>
      <c r="O10" s="5"/>
      <c r="P10" s="5"/>
      <c r="Q10" s="5"/>
      <c r="R10" s="5"/>
      <c r="S10" s="5"/>
      <c r="T10" s="5"/>
      <c r="U10" s="5"/>
    </row>
    <row r="11" spans="1:23" x14ac:dyDescent="0.25">
      <c r="A11" s="187"/>
      <c r="B11" s="23" t="s">
        <v>19</v>
      </c>
      <c r="C11" s="5">
        <v>4.1280000000000001</v>
      </c>
      <c r="D11" s="5">
        <v>2.8490000000000002</v>
      </c>
      <c r="E11" s="5">
        <v>5.0640000000000001</v>
      </c>
      <c r="F11" s="5">
        <v>5.4329999999999998</v>
      </c>
      <c r="G11" s="5">
        <v>4.133</v>
      </c>
      <c r="H11" s="5">
        <v>12.07</v>
      </c>
      <c r="I11" s="5">
        <v>9.6270000000000007</v>
      </c>
      <c r="J11" s="5" t="s">
        <v>114</v>
      </c>
      <c r="K11" s="5">
        <v>4.3650000000000002</v>
      </c>
      <c r="M11" s="5"/>
      <c r="N11" s="5"/>
      <c r="O11" s="5"/>
      <c r="P11" s="5"/>
      <c r="Q11" s="5"/>
      <c r="R11" s="5"/>
      <c r="S11" s="5"/>
      <c r="T11" s="5"/>
      <c r="U11" s="5"/>
    </row>
    <row r="12" spans="1:23" x14ac:dyDescent="0.25">
      <c r="A12" s="187"/>
      <c r="B12" s="27" t="s">
        <v>11</v>
      </c>
      <c r="C12" s="97">
        <v>8.8919999999999995</v>
      </c>
      <c r="D12" s="97">
        <v>3.4260000000000002</v>
      </c>
      <c r="E12" s="97">
        <v>14.79</v>
      </c>
      <c r="F12" s="97">
        <v>12.252000000000001</v>
      </c>
      <c r="G12" s="97">
        <v>9.4969999999999999</v>
      </c>
      <c r="H12" s="97">
        <v>17.84</v>
      </c>
      <c r="I12" s="97">
        <v>13.96</v>
      </c>
      <c r="J12" s="97" t="s">
        <v>114</v>
      </c>
      <c r="K12" s="97">
        <v>9.4779999999999998</v>
      </c>
      <c r="M12" s="97"/>
      <c r="N12" s="97"/>
      <c r="O12" s="97"/>
      <c r="P12" s="97"/>
      <c r="Q12" s="97"/>
      <c r="R12" s="97"/>
      <c r="S12" s="97"/>
      <c r="T12" s="97"/>
      <c r="U12" s="97"/>
      <c r="W12" s="116"/>
    </row>
    <row r="13" spans="1:23" ht="3" customHeight="1" x14ac:dyDescent="0.25">
      <c r="A13" s="2"/>
      <c r="C13" s="57"/>
      <c r="D13" s="57"/>
      <c r="E13" s="57"/>
      <c r="F13" s="57"/>
      <c r="G13" s="57"/>
      <c r="H13" s="57"/>
      <c r="I13" s="57"/>
      <c r="J13" s="5" t="s">
        <v>114</v>
      </c>
      <c r="K13" s="57"/>
      <c r="W13" s="116"/>
    </row>
    <row r="14" spans="1:23" x14ac:dyDescent="0.25">
      <c r="A14" s="54" t="s">
        <v>23</v>
      </c>
      <c r="B14" s="54"/>
      <c r="C14" s="54"/>
      <c r="D14" s="54"/>
      <c r="E14" s="54"/>
      <c r="F14" s="54"/>
      <c r="G14" s="54"/>
      <c r="H14" s="54"/>
      <c r="I14" s="54"/>
      <c r="J14" s="54"/>
      <c r="K14" s="100"/>
    </row>
    <row r="15" spans="1:23" s="6" customFormat="1" ht="9" x14ac:dyDescent="0.15">
      <c r="A15" s="6" t="s">
        <v>24</v>
      </c>
    </row>
    <row r="16" spans="1:23" s="6" customFormat="1" ht="19.5" customHeight="1" x14ac:dyDescent="0.15">
      <c r="A16" s="186" t="s">
        <v>29</v>
      </c>
      <c r="B16" s="186"/>
      <c r="C16" s="186"/>
      <c r="D16" s="186"/>
      <c r="E16" s="186"/>
      <c r="F16" s="186"/>
      <c r="G16" s="186"/>
      <c r="H16" s="186"/>
      <c r="I16" s="186"/>
      <c r="J16" s="186"/>
      <c r="K16" s="186"/>
      <c r="L16" s="186"/>
    </row>
    <row r="17" spans="1:23" s="6" customFormat="1" ht="9" x14ac:dyDescent="0.15">
      <c r="A17" s="186" t="s">
        <v>271</v>
      </c>
      <c r="B17" s="186"/>
      <c r="C17" s="186"/>
      <c r="D17" s="186"/>
      <c r="E17" s="186"/>
      <c r="F17" s="186"/>
      <c r="G17" s="186"/>
      <c r="H17" s="186"/>
      <c r="I17" s="186"/>
      <c r="J17" s="186"/>
      <c r="K17" s="186"/>
      <c r="L17" s="186"/>
    </row>
    <row r="18" spans="1:23" s="6" customFormat="1" ht="9" x14ac:dyDescent="0.15">
      <c r="A18" s="6" t="s">
        <v>272</v>
      </c>
      <c r="B18" s="92"/>
      <c r="C18" s="92"/>
      <c r="D18" s="92"/>
      <c r="E18" s="92"/>
      <c r="F18" s="92"/>
      <c r="G18" s="92"/>
      <c r="H18" s="92"/>
      <c r="I18" s="92"/>
      <c r="J18" s="92"/>
      <c r="K18" s="92"/>
      <c r="L18" s="92"/>
    </row>
    <row r="19" spans="1:23" s="6" customFormat="1" ht="13.5" customHeight="1" x14ac:dyDescent="0.15">
      <c r="A19" s="92"/>
      <c r="B19" s="92"/>
      <c r="C19" s="92"/>
      <c r="D19" s="147"/>
      <c r="E19" s="148"/>
      <c r="F19" s="92"/>
      <c r="G19" s="92"/>
      <c r="H19" s="92"/>
      <c r="I19" s="92"/>
      <c r="J19" s="92"/>
      <c r="K19" s="92"/>
      <c r="L19" s="92"/>
    </row>
    <row r="20" spans="1:23" s="6" customFormat="1" ht="9" x14ac:dyDescent="0.15">
      <c r="A20" s="6" t="s">
        <v>204</v>
      </c>
    </row>
    <row r="21" spans="1:23" x14ac:dyDescent="0.25">
      <c r="A21" s="2"/>
    </row>
    <row r="22" spans="1:23" ht="33" customHeight="1" x14ac:dyDescent="0.25">
      <c r="A22" s="189" t="s">
        <v>275</v>
      </c>
      <c r="B22" s="189"/>
      <c r="C22" s="189"/>
      <c r="D22" s="189"/>
      <c r="E22" s="189"/>
      <c r="F22" s="189"/>
      <c r="G22" s="189"/>
      <c r="H22" s="189"/>
      <c r="I22" s="189"/>
      <c r="J22" s="189"/>
      <c r="K22" s="189"/>
      <c r="L22" s="189"/>
    </row>
    <row r="23" spans="1:23" ht="2.25" customHeight="1" x14ac:dyDescent="0.25">
      <c r="A23" s="2"/>
    </row>
    <row r="24" spans="1:23" x14ac:dyDescent="0.25">
      <c r="A24" s="31" t="s">
        <v>119</v>
      </c>
      <c r="B24" s="31" t="s">
        <v>120</v>
      </c>
      <c r="C24" s="3" t="s">
        <v>0</v>
      </c>
      <c r="D24" s="3" t="s">
        <v>1</v>
      </c>
      <c r="E24" s="3" t="s">
        <v>2</v>
      </c>
      <c r="F24" s="3" t="s">
        <v>3</v>
      </c>
      <c r="G24" s="3" t="s">
        <v>4</v>
      </c>
      <c r="H24" s="3" t="s">
        <v>5</v>
      </c>
      <c r="I24" s="3" t="s">
        <v>6</v>
      </c>
      <c r="J24" s="3" t="s">
        <v>7</v>
      </c>
      <c r="K24" s="3" t="s">
        <v>8</v>
      </c>
    </row>
    <row r="25" spans="1:23" x14ac:dyDescent="0.25">
      <c r="A25" s="187" t="s">
        <v>17</v>
      </c>
      <c r="B25" s="23" t="s">
        <v>18</v>
      </c>
      <c r="C25" s="5">
        <v>215.32900000000001</v>
      </c>
      <c r="D25" s="5">
        <v>131.10599999999999</v>
      </c>
      <c r="E25" s="5">
        <v>352.42500000000001</v>
      </c>
      <c r="F25" s="5">
        <v>457.25599999999997</v>
      </c>
      <c r="G25" s="5">
        <v>347.25799999999998</v>
      </c>
      <c r="H25" s="5">
        <v>162.93899999999999</v>
      </c>
      <c r="I25" s="5">
        <v>527.03700000000003</v>
      </c>
      <c r="J25" s="5">
        <v>785.11300000000006</v>
      </c>
      <c r="K25" s="5">
        <v>321.11799999999999</v>
      </c>
      <c r="M25" s="5"/>
      <c r="N25" s="5"/>
      <c r="O25" s="5"/>
      <c r="P25" s="5"/>
      <c r="Q25" s="5"/>
      <c r="R25" s="5"/>
      <c r="S25" s="5"/>
      <c r="T25" s="5"/>
      <c r="U25" s="5"/>
      <c r="W25" s="127"/>
    </row>
    <row r="26" spans="1:23" x14ac:dyDescent="0.25">
      <c r="A26" s="187"/>
      <c r="B26" s="23" t="s">
        <v>19</v>
      </c>
      <c r="C26" s="5">
        <v>14.279</v>
      </c>
      <c r="D26" s="5">
        <v>12.52</v>
      </c>
      <c r="E26" s="5">
        <v>17.989999999999998</v>
      </c>
      <c r="F26" s="5">
        <v>24.716000000000001</v>
      </c>
      <c r="G26" s="5">
        <v>17.937000000000001</v>
      </c>
      <c r="H26" s="5">
        <v>35.886000000000003</v>
      </c>
      <c r="I26" s="5">
        <v>37.781999999999996</v>
      </c>
      <c r="J26" s="5">
        <v>24.972000000000001</v>
      </c>
      <c r="K26" s="5">
        <v>16.818000000000001</v>
      </c>
      <c r="M26" s="5"/>
      <c r="N26" s="5"/>
      <c r="O26" s="5"/>
      <c r="P26" s="5"/>
      <c r="Q26" s="5"/>
      <c r="R26" s="5"/>
      <c r="S26" s="5"/>
      <c r="T26" s="5"/>
      <c r="U26" s="5"/>
    </row>
    <row r="27" spans="1:23" x14ac:dyDescent="0.25">
      <c r="A27" s="187"/>
      <c r="B27" s="27" t="s">
        <v>11</v>
      </c>
      <c r="C27" s="97">
        <v>30.738</v>
      </c>
      <c r="D27" s="97">
        <v>15.093</v>
      </c>
      <c r="E27" s="97">
        <v>47.524999999999999</v>
      </c>
      <c r="F27" s="97">
        <v>54.345999999999997</v>
      </c>
      <c r="G27" s="97">
        <v>36.25</v>
      </c>
      <c r="H27" s="97">
        <v>51.198</v>
      </c>
      <c r="I27" s="97">
        <v>54.712000000000003</v>
      </c>
      <c r="J27" s="97">
        <v>346.29899999999998</v>
      </c>
      <c r="K27" s="97">
        <v>37.505000000000003</v>
      </c>
      <c r="M27" s="97"/>
      <c r="N27" s="97"/>
      <c r="O27" s="97"/>
      <c r="P27" s="97"/>
      <c r="Q27" s="97"/>
      <c r="R27" s="97"/>
      <c r="S27" s="97"/>
      <c r="T27" s="97"/>
      <c r="U27" s="97"/>
    </row>
    <row r="28" spans="1:23" x14ac:dyDescent="0.25">
      <c r="A28" s="187" t="s">
        <v>21</v>
      </c>
      <c r="B28" s="23" t="s">
        <v>18</v>
      </c>
      <c r="C28" s="5">
        <v>66.825999999999993</v>
      </c>
      <c r="D28" s="5">
        <v>29.126999999999999</v>
      </c>
      <c r="E28" s="5">
        <v>142.26900000000001</v>
      </c>
      <c r="F28" s="5">
        <v>132.93600000000001</v>
      </c>
      <c r="G28" s="5">
        <v>173.89400000000001</v>
      </c>
      <c r="H28" s="5">
        <v>84.488</v>
      </c>
      <c r="I28" s="5">
        <v>225.71899999999999</v>
      </c>
      <c r="J28" s="5">
        <v>234.524</v>
      </c>
      <c r="K28" s="5">
        <v>111.846</v>
      </c>
      <c r="M28" s="5"/>
      <c r="N28" s="5"/>
      <c r="O28" s="5"/>
      <c r="P28" s="5"/>
      <c r="Q28" s="5"/>
      <c r="R28" s="5"/>
      <c r="S28" s="5"/>
      <c r="T28" s="5"/>
      <c r="U28" s="5"/>
    </row>
    <row r="29" spans="1:23" x14ac:dyDescent="0.25">
      <c r="A29" s="187"/>
      <c r="B29" s="23" t="s">
        <v>19</v>
      </c>
      <c r="C29" s="5">
        <v>3.6440000000000001</v>
      </c>
      <c r="D29" s="5">
        <v>2.012</v>
      </c>
      <c r="E29" s="5">
        <v>5.9039999999999999</v>
      </c>
      <c r="F29" s="5">
        <v>7.3630000000000004</v>
      </c>
      <c r="G29" s="5">
        <v>5.6070000000000002</v>
      </c>
      <c r="H29" s="5">
        <v>15.548</v>
      </c>
      <c r="I29" s="5">
        <v>16.363</v>
      </c>
      <c r="J29" s="29" t="s">
        <v>109</v>
      </c>
      <c r="K29" s="5">
        <v>4.6390000000000002</v>
      </c>
      <c r="M29" s="5"/>
      <c r="N29" s="5"/>
      <c r="O29" s="5"/>
      <c r="P29" s="5"/>
      <c r="Q29" s="5"/>
      <c r="R29" s="5"/>
      <c r="S29" s="5"/>
      <c r="T29" s="8"/>
      <c r="U29" s="5"/>
    </row>
    <row r="30" spans="1:23" x14ac:dyDescent="0.25">
      <c r="A30" s="187"/>
      <c r="B30" s="27" t="s">
        <v>11</v>
      </c>
      <c r="C30" s="97">
        <v>8.6560000000000006</v>
      </c>
      <c r="D30" s="97">
        <v>2.5840000000000001</v>
      </c>
      <c r="E30" s="97">
        <v>18.021000000000001</v>
      </c>
      <c r="F30" s="97">
        <v>16.158999999999999</v>
      </c>
      <c r="G30" s="97">
        <v>14.648999999999999</v>
      </c>
      <c r="H30" s="97">
        <v>23.742999999999999</v>
      </c>
      <c r="I30" s="97">
        <v>22.593</v>
      </c>
      <c r="J30" s="97">
        <v>102.371</v>
      </c>
      <c r="K30" s="97">
        <v>11.853999999999999</v>
      </c>
      <c r="M30" s="97"/>
      <c r="N30" s="97"/>
      <c r="O30" s="97"/>
      <c r="P30" s="97"/>
      <c r="Q30" s="97"/>
      <c r="R30" s="97"/>
      <c r="S30" s="97"/>
      <c r="T30" s="97"/>
      <c r="U30" s="97"/>
    </row>
    <row r="31" spans="1:23" x14ac:dyDescent="0.25">
      <c r="A31" s="187" t="s">
        <v>11</v>
      </c>
      <c r="B31" s="23" t="s">
        <v>18</v>
      </c>
      <c r="C31" s="5">
        <v>143.827</v>
      </c>
      <c r="D31" s="5">
        <v>80.945999999999998</v>
      </c>
      <c r="E31" s="5">
        <v>249.709</v>
      </c>
      <c r="F31" s="5">
        <v>297.68900000000002</v>
      </c>
      <c r="G31" s="5">
        <v>262.73099999999999</v>
      </c>
      <c r="H31" s="5">
        <v>124.815</v>
      </c>
      <c r="I31" s="5">
        <v>392.87299999999999</v>
      </c>
      <c r="J31" s="5">
        <v>519.10400000000004</v>
      </c>
      <c r="K31" s="5">
        <v>219.38200000000001</v>
      </c>
      <c r="M31" s="5"/>
      <c r="N31" s="5"/>
      <c r="O31" s="5"/>
      <c r="P31" s="5"/>
      <c r="Q31" s="5"/>
      <c r="R31" s="5"/>
      <c r="S31" s="5"/>
      <c r="T31" s="5"/>
      <c r="U31" s="5"/>
    </row>
    <row r="32" spans="1:23" x14ac:dyDescent="0.25">
      <c r="A32" s="187"/>
      <c r="B32" s="23" t="s">
        <v>19</v>
      </c>
      <c r="C32" s="5">
        <v>9.1340000000000003</v>
      </c>
      <c r="D32" s="5">
        <v>7.4050000000000002</v>
      </c>
      <c r="E32" s="5">
        <v>12.162000000000001</v>
      </c>
      <c r="F32" s="5">
        <v>16.318000000000001</v>
      </c>
      <c r="G32" s="5">
        <v>11.932</v>
      </c>
      <c r="H32" s="5">
        <v>26.483000000000001</v>
      </c>
      <c r="I32" s="5">
        <v>27.414999999999999</v>
      </c>
      <c r="J32" s="5">
        <v>14.82</v>
      </c>
      <c r="K32" s="5">
        <v>10.927</v>
      </c>
      <c r="M32" s="5"/>
      <c r="N32" s="5"/>
      <c r="O32" s="5"/>
      <c r="P32" s="5"/>
      <c r="Q32" s="5"/>
      <c r="R32" s="5"/>
      <c r="S32" s="5"/>
      <c r="T32" s="5"/>
      <c r="U32" s="5"/>
    </row>
    <row r="33" spans="1:21" x14ac:dyDescent="0.25">
      <c r="A33" s="187"/>
      <c r="B33" s="27" t="s">
        <v>11</v>
      </c>
      <c r="C33" s="97">
        <v>20.056999999999999</v>
      </c>
      <c r="D33" s="97">
        <v>9.0030000000000001</v>
      </c>
      <c r="E33" s="97">
        <v>33.244</v>
      </c>
      <c r="F33" s="97">
        <v>35.804000000000002</v>
      </c>
      <c r="G33" s="97">
        <v>25.786000000000001</v>
      </c>
      <c r="H33" s="97">
        <v>38.487000000000002</v>
      </c>
      <c r="I33" s="97">
        <v>39.206000000000003</v>
      </c>
      <c r="J33" s="97">
        <v>229.16</v>
      </c>
      <c r="K33" s="97">
        <v>25.085000000000001</v>
      </c>
      <c r="M33" s="97"/>
      <c r="N33" s="97"/>
      <c r="O33" s="97"/>
      <c r="P33" s="97"/>
      <c r="Q33" s="97"/>
      <c r="R33" s="97"/>
      <c r="S33" s="97"/>
      <c r="T33" s="97"/>
      <c r="U33" s="97"/>
    </row>
    <row r="34" spans="1:21" ht="2.25" customHeight="1" x14ac:dyDescent="0.25">
      <c r="A34" s="2"/>
    </row>
    <row r="35" spans="1:21" x14ac:dyDescent="0.25">
      <c r="A35" s="184" t="s">
        <v>23</v>
      </c>
      <c r="B35" s="184"/>
      <c r="C35" s="184"/>
      <c r="D35" s="184"/>
      <c r="E35" s="184"/>
      <c r="F35" s="184"/>
      <c r="G35" s="184"/>
      <c r="H35" s="184"/>
      <c r="I35" s="184"/>
      <c r="J35" s="184"/>
      <c r="K35" s="190"/>
      <c r="L35" s="181"/>
    </row>
    <row r="36" spans="1:21" s="6" customFormat="1" ht="9" x14ac:dyDescent="0.15">
      <c r="A36" s="6" t="s">
        <v>24</v>
      </c>
    </row>
    <row r="37" spans="1:21" s="6" customFormat="1" ht="9" x14ac:dyDescent="0.15">
      <c r="A37" s="6" t="s">
        <v>25</v>
      </c>
    </row>
    <row r="38" spans="1:21" s="6" customFormat="1" ht="18.75" customHeight="1" x14ac:dyDescent="0.15">
      <c r="A38" s="186" t="s">
        <v>27</v>
      </c>
      <c r="B38" s="186"/>
      <c r="C38" s="186"/>
      <c r="D38" s="186"/>
      <c r="E38" s="186"/>
      <c r="F38" s="186"/>
      <c r="G38" s="186"/>
      <c r="H38" s="186"/>
      <c r="I38" s="186"/>
      <c r="J38" s="186"/>
      <c r="K38" s="186"/>
      <c r="L38" s="186"/>
    </row>
    <row r="39" spans="1:21" s="6" customFormat="1" ht="9" x14ac:dyDescent="0.15">
      <c r="A39" s="6" t="s">
        <v>273</v>
      </c>
      <c r="B39" s="92"/>
      <c r="C39" s="92"/>
      <c r="D39" s="92"/>
      <c r="E39" s="92"/>
      <c r="F39" s="92"/>
      <c r="G39" s="92"/>
      <c r="H39" s="92"/>
      <c r="I39" s="92"/>
      <c r="J39" s="92"/>
      <c r="K39" s="92"/>
      <c r="L39" s="92"/>
    </row>
    <row r="40" spans="1:21" s="6" customFormat="1" ht="9" x14ac:dyDescent="0.15">
      <c r="A40" s="6" t="s">
        <v>272</v>
      </c>
      <c r="B40" s="92"/>
      <c r="C40" s="92"/>
      <c r="D40" s="92"/>
      <c r="E40" s="92"/>
      <c r="F40" s="92"/>
      <c r="G40" s="92"/>
      <c r="H40" s="92"/>
      <c r="I40" s="92"/>
      <c r="J40" s="92"/>
      <c r="K40" s="92"/>
      <c r="L40" s="92"/>
    </row>
    <row r="41" spans="1:21" s="6" customFormat="1" ht="9" x14ac:dyDescent="0.15">
      <c r="A41" s="6" t="s">
        <v>14</v>
      </c>
    </row>
    <row r="42" spans="1:21" s="6" customFormat="1" ht="9" x14ac:dyDescent="0.15">
      <c r="A42" s="6" t="s">
        <v>404</v>
      </c>
    </row>
    <row r="43" spans="1:21" x14ac:dyDescent="0.25">
      <c r="A43" s="2"/>
    </row>
  </sheetData>
  <mergeCells count="12">
    <mergeCell ref="A1:L1"/>
    <mergeCell ref="A4:A6"/>
    <mergeCell ref="A7:A9"/>
    <mergeCell ref="A10:A12"/>
    <mergeCell ref="A17:L17"/>
    <mergeCell ref="A16:L16"/>
    <mergeCell ref="A38:L38"/>
    <mergeCell ref="A22:L22"/>
    <mergeCell ref="A25:A27"/>
    <mergeCell ref="A28:A30"/>
    <mergeCell ref="A31:A33"/>
    <mergeCell ref="A35:L35"/>
  </mergeCells>
  <pageMargins left="0.08" right="0.08" top="1" bottom="1" header="0.5" footer="0.5"/>
  <pageSetup orientation="landscape" blackAndWhite="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76"/>
  <sheetViews>
    <sheetView zoomScaleNormal="100" workbookViewId="0">
      <selection sqref="A1:M1"/>
    </sheetView>
  </sheetViews>
  <sheetFormatPr defaultColWidth="9.140625" defaultRowHeight="15" x14ac:dyDescent="0.25"/>
  <cols>
    <col min="1" max="1" width="11.42578125" style="1" bestFit="1" customWidth="1"/>
    <col min="2" max="2" width="19.140625" style="1" customWidth="1"/>
    <col min="3" max="14" width="11.42578125" style="1" bestFit="1" customWidth="1"/>
    <col min="15" max="16384" width="9.140625" style="1"/>
  </cols>
  <sheetData>
    <row r="1" spans="1:27" ht="21" customHeight="1" x14ac:dyDescent="0.25">
      <c r="A1" s="183" t="s">
        <v>276</v>
      </c>
      <c r="B1" s="183"/>
      <c r="C1" s="183"/>
      <c r="D1" s="183"/>
      <c r="E1" s="183"/>
      <c r="F1" s="183"/>
      <c r="G1" s="183"/>
      <c r="H1" s="183"/>
      <c r="I1" s="183"/>
      <c r="J1" s="183"/>
      <c r="K1" s="183"/>
      <c r="L1" s="183"/>
      <c r="M1" s="183"/>
    </row>
    <row r="2" spans="1:27" ht="2.25" customHeight="1" x14ac:dyDescent="0.25">
      <c r="A2" s="2"/>
    </row>
    <row r="3" spans="1:27" ht="18.75" customHeight="1" x14ac:dyDescent="0.25">
      <c r="A3" s="31" t="s">
        <v>119</v>
      </c>
      <c r="B3" s="31" t="s">
        <v>120</v>
      </c>
      <c r="C3" s="3">
        <v>10</v>
      </c>
      <c r="D3" s="3">
        <v>11</v>
      </c>
      <c r="E3" s="3">
        <v>12</v>
      </c>
      <c r="F3" s="3">
        <v>13</v>
      </c>
      <c r="G3" s="3">
        <v>14</v>
      </c>
      <c r="H3" s="3">
        <v>15</v>
      </c>
      <c r="I3" s="3">
        <v>16</v>
      </c>
      <c r="J3" s="3">
        <v>17</v>
      </c>
      <c r="K3" s="34" t="s">
        <v>9</v>
      </c>
      <c r="L3" s="3" t="s">
        <v>10</v>
      </c>
      <c r="M3" s="3" t="s">
        <v>11</v>
      </c>
    </row>
    <row r="4" spans="1:27" ht="15" customHeight="1" x14ac:dyDescent="0.25">
      <c r="A4" s="187" t="s">
        <v>17</v>
      </c>
      <c r="B4" s="23" t="s">
        <v>18</v>
      </c>
      <c r="C4" s="5">
        <v>0.5</v>
      </c>
      <c r="D4" s="5">
        <v>2.6</v>
      </c>
      <c r="E4" s="5">
        <v>15.1</v>
      </c>
      <c r="F4" s="5">
        <v>38.6</v>
      </c>
      <c r="G4" s="5">
        <v>112.8</v>
      </c>
      <c r="H4" s="5">
        <v>229</v>
      </c>
      <c r="I4" s="5">
        <v>284.89999999999998</v>
      </c>
      <c r="J4" s="5">
        <v>326</v>
      </c>
      <c r="K4" s="26">
        <v>1009.5</v>
      </c>
      <c r="L4" s="5">
        <v>280.5</v>
      </c>
      <c r="M4" s="5">
        <v>1290.0999999999999</v>
      </c>
      <c r="O4" s="5"/>
      <c r="P4" s="5"/>
      <c r="Q4" s="5"/>
      <c r="R4" s="5"/>
      <c r="S4" s="5"/>
      <c r="T4" s="5"/>
      <c r="U4" s="5"/>
      <c r="V4" s="5"/>
      <c r="W4" s="26"/>
      <c r="X4" s="5"/>
      <c r="Y4" s="5"/>
      <c r="AA4" s="127"/>
    </row>
    <row r="5" spans="1:27" ht="15" customHeight="1" x14ac:dyDescent="0.25">
      <c r="A5" s="187"/>
      <c r="B5" s="23" t="s">
        <v>19</v>
      </c>
      <c r="C5" s="24">
        <v>0.1</v>
      </c>
      <c r="D5" s="24" t="s">
        <v>109</v>
      </c>
      <c r="E5" s="5">
        <v>1.2</v>
      </c>
      <c r="F5" s="5">
        <v>18.7</v>
      </c>
      <c r="G5" s="5">
        <v>65.7</v>
      </c>
      <c r="H5" s="5">
        <v>174</v>
      </c>
      <c r="I5" s="5">
        <v>280.60000000000002</v>
      </c>
      <c r="J5" s="5">
        <v>319.5</v>
      </c>
      <c r="K5" s="26">
        <v>859.9</v>
      </c>
      <c r="L5" s="5">
        <v>423.2</v>
      </c>
      <c r="M5" s="5">
        <v>1283.0999999999999</v>
      </c>
      <c r="O5" s="5"/>
      <c r="P5" s="5"/>
      <c r="Q5" s="5"/>
      <c r="R5" s="5"/>
      <c r="S5" s="5"/>
      <c r="T5" s="5"/>
      <c r="U5" s="5"/>
      <c r="V5" s="5"/>
      <c r="W5" s="26"/>
      <c r="X5" s="5"/>
      <c r="Y5" s="5"/>
    </row>
    <row r="6" spans="1:27" ht="15" customHeight="1" x14ac:dyDescent="0.25">
      <c r="A6" s="187"/>
      <c r="B6" s="23" t="s">
        <v>20</v>
      </c>
      <c r="C6" s="24" t="s">
        <v>109</v>
      </c>
      <c r="D6" s="24" t="s">
        <v>109</v>
      </c>
      <c r="E6" s="24" t="s">
        <v>109</v>
      </c>
      <c r="F6" s="5">
        <v>0.2</v>
      </c>
      <c r="G6" s="5">
        <v>1.1000000000000001</v>
      </c>
      <c r="H6" s="5">
        <v>5.4</v>
      </c>
      <c r="I6" s="5">
        <v>9.1</v>
      </c>
      <c r="J6" s="5">
        <v>10.1</v>
      </c>
      <c r="K6" s="26">
        <v>25.9</v>
      </c>
      <c r="L6" s="5">
        <v>3</v>
      </c>
      <c r="M6" s="5">
        <v>28.8</v>
      </c>
      <c r="O6" s="5"/>
      <c r="P6" s="5"/>
      <c r="Q6" s="5"/>
      <c r="R6" s="5"/>
      <c r="S6" s="5"/>
      <c r="T6" s="5"/>
      <c r="U6" s="5"/>
      <c r="V6" s="5"/>
      <c r="W6" s="26"/>
      <c r="X6" s="5"/>
      <c r="Y6" s="5"/>
    </row>
    <row r="7" spans="1:27" ht="15" customHeight="1" x14ac:dyDescent="0.25">
      <c r="A7" s="187"/>
      <c r="B7" s="27" t="s">
        <v>11</v>
      </c>
      <c r="C7" s="97">
        <v>0.6</v>
      </c>
      <c r="D7" s="97">
        <v>2.6</v>
      </c>
      <c r="E7" s="97">
        <v>16.399999999999999</v>
      </c>
      <c r="F7" s="97">
        <v>57.5</v>
      </c>
      <c r="G7" s="97">
        <v>179.6</v>
      </c>
      <c r="H7" s="97">
        <v>408.3</v>
      </c>
      <c r="I7" s="97">
        <v>574.6</v>
      </c>
      <c r="J7" s="97">
        <v>655.6</v>
      </c>
      <c r="K7" s="124">
        <v>1895.2</v>
      </c>
      <c r="L7" s="97">
        <v>706.8</v>
      </c>
      <c r="M7" s="97">
        <v>2602.1</v>
      </c>
      <c r="O7" s="97"/>
      <c r="P7" s="97"/>
      <c r="Q7" s="97"/>
      <c r="R7" s="97"/>
      <c r="S7" s="97"/>
      <c r="T7" s="97"/>
      <c r="U7" s="97"/>
      <c r="V7" s="97"/>
      <c r="W7" s="124"/>
      <c r="X7" s="97"/>
      <c r="Y7" s="97"/>
    </row>
    <row r="8" spans="1:27" ht="15" customHeight="1" x14ac:dyDescent="0.25">
      <c r="A8" s="187" t="s">
        <v>21</v>
      </c>
      <c r="B8" s="23" t="s">
        <v>18</v>
      </c>
      <c r="C8" s="24" t="s">
        <v>109</v>
      </c>
      <c r="D8" s="5">
        <v>0.1</v>
      </c>
      <c r="E8" s="5">
        <v>4.7</v>
      </c>
      <c r="F8" s="5">
        <v>16.5</v>
      </c>
      <c r="G8" s="5">
        <v>49</v>
      </c>
      <c r="H8" s="5">
        <v>101.5</v>
      </c>
      <c r="I8" s="5">
        <v>111.3</v>
      </c>
      <c r="J8" s="5">
        <v>100.3</v>
      </c>
      <c r="K8" s="26">
        <v>383.5</v>
      </c>
      <c r="L8" s="5">
        <v>68.599999999999994</v>
      </c>
      <c r="M8" s="5">
        <v>452.1</v>
      </c>
      <c r="O8" s="5"/>
      <c r="P8" s="5"/>
      <c r="Q8" s="5"/>
      <c r="R8" s="5"/>
      <c r="S8" s="5"/>
      <c r="T8" s="5"/>
      <c r="U8" s="5"/>
      <c r="V8" s="5"/>
      <c r="W8" s="26"/>
      <c r="X8" s="5"/>
      <c r="Y8" s="5"/>
    </row>
    <row r="9" spans="1:27" ht="15" customHeight="1" x14ac:dyDescent="0.25">
      <c r="A9" s="187"/>
      <c r="B9" s="23" t="s">
        <v>19</v>
      </c>
      <c r="C9" s="24">
        <v>0.1</v>
      </c>
      <c r="D9" s="5">
        <v>0.3</v>
      </c>
      <c r="E9" s="5">
        <v>1.1000000000000001</v>
      </c>
      <c r="F9" s="5">
        <v>5.7</v>
      </c>
      <c r="G9" s="5">
        <v>20.9</v>
      </c>
      <c r="H9" s="5">
        <v>55.9</v>
      </c>
      <c r="I9" s="5">
        <v>67.599999999999994</v>
      </c>
      <c r="J9" s="5">
        <v>69.599999999999994</v>
      </c>
      <c r="K9" s="26">
        <v>221.3</v>
      </c>
      <c r="L9" s="5">
        <v>72.5</v>
      </c>
      <c r="M9" s="5">
        <v>293.8</v>
      </c>
      <c r="O9" s="5"/>
      <c r="P9" s="5"/>
      <c r="Q9" s="5"/>
      <c r="R9" s="5"/>
      <c r="S9" s="5"/>
      <c r="T9" s="5"/>
      <c r="U9" s="5"/>
      <c r="V9" s="5"/>
      <c r="W9" s="26"/>
      <c r="X9" s="5"/>
      <c r="Y9" s="5"/>
    </row>
    <row r="10" spans="1:27" ht="15" customHeight="1" x14ac:dyDescent="0.25">
      <c r="A10" s="187"/>
      <c r="B10" s="23" t="s">
        <v>20</v>
      </c>
      <c r="C10" s="24" t="s">
        <v>109</v>
      </c>
      <c r="D10" s="24" t="s">
        <v>109</v>
      </c>
      <c r="E10" s="24">
        <v>0.1</v>
      </c>
      <c r="F10" s="24" t="s">
        <v>109</v>
      </c>
      <c r="G10" s="5">
        <v>0.7</v>
      </c>
      <c r="H10" s="5">
        <v>0.7</v>
      </c>
      <c r="I10" s="5">
        <v>1.9</v>
      </c>
      <c r="J10" s="5">
        <v>2.1</v>
      </c>
      <c r="K10" s="26">
        <v>5.6</v>
      </c>
      <c r="L10" s="5" t="s">
        <v>109</v>
      </c>
      <c r="M10" s="5">
        <v>5.6</v>
      </c>
      <c r="O10" s="5"/>
      <c r="P10" s="5"/>
      <c r="Q10" s="5"/>
      <c r="R10" s="5"/>
      <c r="S10" s="5"/>
      <c r="T10" s="5"/>
      <c r="U10" s="5"/>
      <c r="V10" s="5"/>
      <c r="W10" s="26"/>
      <c r="X10" s="5"/>
      <c r="Y10" s="5"/>
    </row>
    <row r="11" spans="1:27" ht="15" customHeight="1" x14ac:dyDescent="0.25">
      <c r="A11" s="187"/>
      <c r="B11" s="27" t="s">
        <v>11</v>
      </c>
      <c r="C11" s="97">
        <v>0.1</v>
      </c>
      <c r="D11" s="97">
        <v>0.4</v>
      </c>
      <c r="E11" s="97">
        <v>6</v>
      </c>
      <c r="F11" s="97">
        <v>22.1</v>
      </c>
      <c r="G11" s="97">
        <v>70.599999999999994</v>
      </c>
      <c r="H11" s="97">
        <v>158.19999999999999</v>
      </c>
      <c r="I11" s="97">
        <v>180.8</v>
      </c>
      <c r="J11" s="97">
        <v>172</v>
      </c>
      <c r="K11" s="124">
        <v>610.29999999999995</v>
      </c>
      <c r="L11" s="97">
        <v>141.1</v>
      </c>
      <c r="M11" s="97">
        <v>751.5</v>
      </c>
      <c r="O11" s="97"/>
      <c r="P11" s="97"/>
      <c r="Q11" s="97"/>
      <c r="R11" s="97"/>
      <c r="S11" s="97"/>
      <c r="T11" s="97"/>
      <c r="U11" s="97"/>
      <c r="V11" s="97"/>
      <c r="W11" s="124"/>
      <c r="X11" s="97"/>
      <c r="Y11" s="97"/>
    </row>
    <row r="12" spans="1:27" ht="15" customHeight="1" x14ac:dyDescent="0.25">
      <c r="A12" s="187" t="s">
        <v>20</v>
      </c>
      <c r="B12" s="23" t="s">
        <v>18</v>
      </c>
      <c r="C12" s="24" t="s">
        <v>109</v>
      </c>
      <c r="D12" s="24" t="s">
        <v>109</v>
      </c>
      <c r="E12" s="24" t="s">
        <v>109</v>
      </c>
      <c r="F12" s="24" t="s">
        <v>109</v>
      </c>
      <c r="G12" s="24" t="s">
        <v>109</v>
      </c>
      <c r="H12" s="24" t="s">
        <v>109</v>
      </c>
      <c r="I12" s="5">
        <v>0.4</v>
      </c>
      <c r="J12" s="24" t="s">
        <v>109</v>
      </c>
      <c r="K12" s="26">
        <v>0.4</v>
      </c>
      <c r="L12" s="5">
        <v>0.1</v>
      </c>
      <c r="M12" s="5">
        <v>0.5</v>
      </c>
      <c r="O12" s="5"/>
      <c r="P12" s="5"/>
      <c r="Q12" s="5"/>
      <c r="R12" s="5"/>
      <c r="S12" s="5"/>
      <c r="T12" s="5"/>
      <c r="U12" s="5"/>
      <c r="V12" s="5"/>
      <c r="W12" s="26"/>
      <c r="X12" s="5"/>
      <c r="Y12" s="5"/>
    </row>
    <row r="13" spans="1:27" ht="15" customHeight="1" x14ac:dyDescent="0.25">
      <c r="A13" s="187"/>
      <c r="B13" s="23" t="s">
        <v>19</v>
      </c>
      <c r="C13" s="24" t="s">
        <v>109</v>
      </c>
      <c r="D13" s="24" t="s">
        <v>109</v>
      </c>
      <c r="E13" s="24" t="s">
        <v>109</v>
      </c>
      <c r="F13" s="24" t="s">
        <v>109</v>
      </c>
      <c r="G13" s="5" t="s">
        <v>109</v>
      </c>
      <c r="H13" s="24">
        <v>0.2</v>
      </c>
      <c r="I13" s="24">
        <v>1</v>
      </c>
      <c r="J13" s="5">
        <v>1.1000000000000001</v>
      </c>
      <c r="K13" s="26">
        <v>2.2999999999999998</v>
      </c>
      <c r="L13" s="24">
        <v>1.4</v>
      </c>
      <c r="M13" s="5">
        <v>3.7</v>
      </c>
      <c r="O13" s="5"/>
      <c r="P13" s="5"/>
      <c r="Q13" s="5"/>
      <c r="R13" s="5"/>
      <c r="S13" s="5"/>
      <c r="T13" s="5"/>
      <c r="U13" s="5"/>
      <c r="V13" s="5"/>
      <c r="W13" s="26"/>
      <c r="X13" s="5"/>
      <c r="Y13" s="5"/>
    </row>
    <row r="14" spans="1:27" ht="15" customHeight="1" x14ac:dyDescent="0.25">
      <c r="A14" s="187"/>
      <c r="B14" s="23" t="s">
        <v>20</v>
      </c>
      <c r="C14" s="24" t="s">
        <v>109</v>
      </c>
      <c r="D14" s="24" t="s">
        <v>109</v>
      </c>
      <c r="E14" s="24" t="s">
        <v>109</v>
      </c>
      <c r="F14" s="24" t="s">
        <v>109</v>
      </c>
      <c r="G14" s="24" t="s">
        <v>109</v>
      </c>
      <c r="H14" s="24">
        <v>0.5</v>
      </c>
      <c r="I14" s="24" t="s">
        <v>109</v>
      </c>
      <c r="J14" s="5">
        <v>0.1</v>
      </c>
      <c r="K14" s="26">
        <v>0.6</v>
      </c>
      <c r="L14" s="24" t="s">
        <v>109</v>
      </c>
      <c r="M14" s="5">
        <v>0.6</v>
      </c>
      <c r="O14" s="5"/>
      <c r="P14" s="5"/>
      <c r="Q14" s="5"/>
      <c r="R14" s="5"/>
      <c r="S14" s="5"/>
      <c r="T14" s="5"/>
      <c r="U14" s="5"/>
      <c r="V14" s="5"/>
      <c r="W14" s="26"/>
      <c r="X14" s="5"/>
      <c r="Y14" s="5"/>
    </row>
    <row r="15" spans="1:27" ht="15" customHeight="1" x14ac:dyDescent="0.25">
      <c r="A15" s="187"/>
      <c r="B15" s="27" t="s">
        <v>11</v>
      </c>
      <c r="C15" s="97" t="s">
        <v>109</v>
      </c>
      <c r="D15" s="97" t="s">
        <v>109</v>
      </c>
      <c r="E15" s="97" t="s">
        <v>109</v>
      </c>
      <c r="F15" s="97" t="s">
        <v>109</v>
      </c>
      <c r="G15" s="97" t="s">
        <v>109</v>
      </c>
      <c r="H15" s="97">
        <v>0.7</v>
      </c>
      <c r="I15" s="97">
        <v>1.3</v>
      </c>
      <c r="J15" s="97">
        <v>1.3</v>
      </c>
      <c r="K15" s="124">
        <v>3.3</v>
      </c>
      <c r="L15" s="97">
        <v>1.6</v>
      </c>
      <c r="M15" s="97">
        <v>4.8</v>
      </c>
      <c r="O15" s="97"/>
      <c r="P15" s="97"/>
      <c r="Q15" s="97"/>
      <c r="R15" s="97"/>
      <c r="S15" s="97"/>
      <c r="T15" s="97"/>
      <c r="U15" s="97"/>
      <c r="V15" s="97"/>
      <c r="W15" s="124"/>
      <c r="X15" s="97"/>
      <c r="Y15" s="97"/>
    </row>
    <row r="16" spans="1:27" ht="15" customHeight="1" x14ac:dyDescent="0.25">
      <c r="A16" s="187" t="s">
        <v>11</v>
      </c>
      <c r="B16" s="23" t="s">
        <v>18</v>
      </c>
      <c r="C16" s="5">
        <v>0.5</v>
      </c>
      <c r="D16" s="5">
        <v>2.7</v>
      </c>
      <c r="E16" s="5">
        <v>19.899999999999999</v>
      </c>
      <c r="F16" s="5">
        <v>55.1</v>
      </c>
      <c r="G16" s="5">
        <v>161.9</v>
      </c>
      <c r="H16" s="5">
        <v>330.5</v>
      </c>
      <c r="I16" s="5">
        <v>396.6</v>
      </c>
      <c r="J16" s="5">
        <v>426.3</v>
      </c>
      <c r="K16" s="26">
        <v>1393.3</v>
      </c>
      <c r="L16" s="5">
        <v>349.3</v>
      </c>
      <c r="M16" s="5">
        <v>1742.7</v>
      </c>
      <c r="O16" s="5"/>
      <c r="P16" s="5"/>
      <c r="Q16" s="5"/>
      <c r="R16" s="5"/>
      <c r="S16" s="5"/>
      <c r="T16" s="5"/>
      <c r="U16" s="5"/>
      <c r="V16" s="5"/>
      <c r="W16" s="26"/>
      <c r="X16" s="5"/>
      <c r="Y16" s="5"/>
    </row>
    <row r="17" spans="1:25" ht="15" customHeight="1" x14ac:dyDescent="0.25">
      <c r="A17" s="187"/>
      <c r="B17" s="23" t="s">
        <v>19</v>
      </c>
      <c r="C17" s="24">
        <v>0.2</v>
      </c>
      <c r="D17" s="5">
        <v>0.3</v>
      </c>
      <c r="E17" s="5">
        <v>2.4</v>
      </c>
      <c r="F17" s="5">
        <v>24.4</v>
      </c>
      <c r="G17" s="5">
        <v>86.6</v>
      </c>
      <c r="H17" s="5">
        <v>230.1</v>
      </c>
      <c r="I17" s="5">
        <v>349.2</v>
      </c>
      <c r="J17" s="5">
        <v>390.3</v>
      </c>
      <c r="K17" s="26">
        <v>1083.4000000000001</v>
      </c>
      <c r="L17" s="5">
        <v>497.2</v>
      </c>
      <c r="M17" s="5">
        <v>1580.6</v>
      </c>
      <c r="O17" s="5"/>
      <c r="P17" s="5"/>
      <c r="Q17" s="5"/>
      <c r="R17" s="5"/>
      <c r="S17" s="5"/>
      <c r="T17" s="5"/>
      <c r="U17" s="5"/>
      <c r="V17" s="5"/>
      <c r="W17" s="26"/>
      <c r="X17" s="5"/>
      <c r="Y17" s="5"/>
    </row>
    <row r="18" spans="1:25" ht="15" customHeight="1" x14ac:dyDescent="0.25">
      <c r="A18" s="187"/>
      <c r="B18" s="23" t="s">
        <v>20</v>
      </c>
      <c r="C18" s="24" t="s">
        <v>109</v>
      </c>
      <c r="D18" s="24" t="s">
        <v>109</v>
      </c>
      <c r="E18" s="24">
        <v>0.1</v>
      </c>
      <c r="F18" s="5">
        <v>0.2</v>
      </c>
      <c r="G18" s="5">
        <v>1.8</v>
      </c>
      <c r="H18" s="5">
        <v>6.7</v>
      </c>
      <c r="I18" s="5">
        <v>11</v>
      </c>
      <c r="J18" s="5">
        <v>12.4</v>
      </c>
      <c r="K18" s="26">
        <v>32.1</v>
      </c>
      <c r="L18" s="5">
        <v>3</v>
      </c>
      <c r="M18" s="5">
        <v>35.1</v>
      </c>
      <c r="O18" s="5"/>
      <c r="P18" s="5"/>
      <c r="Q18" s="5"/>
      <c r="R18" s="5"/>
      <c r="S18" s="5"/>
      <c r="T18" s="5"/>
      <c r="U18" s="5"/>
      <c r="V18" s="5"/>
      <c r="W18" s="26"/>
      <c r="X18" s="5"/>
      <c r="Y18" s="5"/>
    </row>
    <row r="19" spans="1:25" ht="15" customHeight="1" x14ac:dyDescent="0.25">
      <c r="A19" s="187"/>
      <c r="B19" s="27" t="s">
        <v>11</v>
      </c>
      <c r="C19" s="97">
        <v>0.7</v>
      </c>
      <c r="D19" s="97">
        <v>3</v>
      </c>
      <c r="E19" s="97">
        <v>22.3</v>
      </c>
      <c r="F19" s="97">
        <v>79.7</v>
      </c>
      <c r="G19" s="97">
        <v>250.2</v>
      </c>
      <c r="H19" s="97">
        <v>567.20000000000005</v>
      </c>
      <c r="I19" s="97">
        <v>756.8</v>
      </c>
      <c r="J19" s="97">
        <v>828.9</v>
      </c>
      <c r="K19" s="124">
        <v>2508.8000000000002</v>
      </c>
      <c r="L19" s="97">
        <v>849.5</v>
      </c>
      <c r="M19" s="97">
        <v>3358.4</v>
      </c>
      <c r="O19" s="97"/>
      <c r="P19" s="97"/>
      <c r="Q19" s="97"/>
      <c r="R19" s="97"/>
      <c r="S19" s="97"/>
      <c r="T19" s="97"/>
      <c r="U19" s="97"/>
      <c r="V19" s="97"/>
      <c r="W19" s="124"/>
      <c r="X19" s="97"/>
      <c r="Y19" s="97"/>
    </row>
    <row r="20" spans="1:25" ht="1.5" customHeight="1" x14ac:dyDescent="0.25">
      <c r="A20" s="27"/>
      <c r="B20" s="23"/>
      <c r="C20" s="24"/>
      <c r="D20" s="24"/>
      <c r="E20" s="24"/>
      <c r="F20" s="24"/>
      <c r="G20" s="24"/>
      <c r="H20" s="24"/>
      <c r="I20" s="24"/>
      <c r="J20" s="24"/>
      <c r="K20" s="26"/>
      <c r="L20" s="24"/>
      <c r="M20" s="24"/>
      <c r="O20" s="129"/>
      <c r="P20" s="129"/>
      <c r="Q20" s="129"/>
      <c r="R20" s="129"/>
      <c r="S20" s="129"/>
      <c r="T20" s="129"/>
      <c r="U20" s="129"/>
      <c r="V20" s="129"/>
      <c r="W20" s="129"/>
      <c r="X20" s="129"/>
      <c r="Y20" s="129"/>
    </row>
    <row r="21" spans="1:25" ht="11.1" customHeight="1" x14ac:dyDescent="0.25">
      <c r="A21" s="184" t="s">
        <v>12</v>
      </c>
      <c r="B21" s="184"/>
      <c r="C21" s="184"/>
      <c r="D21" s="184"/>
      <c r="E21" s="184"/>
      <c r="F21" s="184"/>
      <c r="G21" s="184"/>
      <c r="H21" s="184"/>
      <c r="I21" s="184"/>
      <c r="J21" s="184"/>
      <c r="K21" s="184"/>
      <c r="L21" s="184"/>
      <c r="M21" s="184"/>
    </row>
    <row r="22" spans="1:25" s="6" customFormat="1" ht="11.1" customHeight="1" x14ac:dyDescent="0.15">
      <c r="A22" s="6" t="s">
        <v>13</v>
      </c>
    </row>
    <row r="23" spans="1:25" s="12" customFormat="1" ht="11.1" customHeight="1" x14ac:dyDescent="0.2">
      <c r="A23" s="6" t="s">
        <v>23</v>
      </c>
    </row>
    <row r="24" spans="1:25" s="6" customFormat="1" ht="11.1" customHeight="1" x14ac:dyDescent="0.15">
      <c r="A24" s="6" t="s">
        <v>28</v>
      </c>
    </row>
    <row r="25" spans="1:25" s="6" customFormat="1" ht="21" customHeight="1" x14ac:dyDescent="0.15">
      <c r="A25" s="186" t="s">
        <v>29</v>
      </c>
      <c r="B25" s="186"/>
      <c r="C25" s="186"/>
      <c r="D25" s="186"/>
      <c r="E25" s="186"/>
      <c r="F25" s="186"/>
      <c r="G25" s="186"/>
      <c r="H25" s="186"/>
      <c r="I25" s="186"/>
      <c r="J25" s="186"/>
      <c r="K25" s="186"/>
      <c r="L25" s="186"/>
      <c r="M25" s="186"/>
    </row>
    <row r="26" spans="1:25" s="6" customFormat="1" ht="11.25" customHeight="1" x14ac:dyDescent="0.15">
      <c r="A26" s="186" t="s">
        <v>271</v>
      </c>
      <c r="B26" s="186"/>
      <c r="C26" s="186"/>
      <c r="D26" s="186"/>
      <c r="E26" s="186"/>
      <c r="F26" s="186"/>
      <c r="G26" s="186"/>
      <c r="H26" s="186"/>
      <c r="I26" s="186"/>
      <c r="J26" s="186"/>
      <c r="K26" s="186"/>
      <c r="L26" s="186"/>
      <c r="M26" s="186"/>
    </row>
    <row r="27" spans="1:25" s="6" customFormat="1" ht="15" customHeight="1" x14ac:dyDescent="0.15">
      <c r="A27" s="92"/>
      <c r="B27" s="92"/>
      <c r="C27" s="92"/>
      <c r="D27" s="92"/>
      <c r="E27" s="92"/>
      <c r="F27" s="92"/>
      <c r="G27" s="92"/>
      <c r="H27" s="92"/>
      <c r="I27" s="92"/>
      <c r="J27" s="92"/>
      <c r="K27" s="92"/>
      <c r="L27" s="92"/>
      <c r="M27" s="92"/>
    </row>
    <row r="28" spans="1:25" s="6" customFormat="1" ht="11.1" customHeight="1" x14ac:dyDescent="0.15">
      <c r="A28" s="6" t="s">
        <v>263</v>
      </c>
    </row>
    <row r="29" spans="1:25" ht="12" customHeight="1" x14ac:dyDescent="0.25">
      <c r="A29" s="2"/>
    </row>
    <row r="30" spans="1:25" ht="27.95" customHeight="1" x14ac:dyDescent="0.25">
      <c r="A30" s="185" t="s">
        <v>226</v>
      </c>
      <c r="B30" s="185"/>
      <c r="C30" s="185"/>
      <c r="D30" s="185"/>
      <c r="E30" s="185"/>
      <c r="F30" s="185"/>
      <c r="G30" s="185"/>
      <c r="H30" s="185"/>
      <c r="I30" s="185"/>
      <c r="J30" s="185"/>
      <c r="K30" s="185"/>
      <c r="L30" s="185"/>
      <c r="M30" s="185"/>
      <c r="N30" s="185"/>
    </row>
    <row r="31" spans="1:25" ht="1.5" customHeight="1" x14ac:dyDescent="0.25">
      <c r="A31" s="2"/>
    </row>
    <row r="32" spans="1:25" x14ac:dyDescent="0.25">
      <c r="A32" s="31" t="s">
        <v>119</v>
      </c>
      <c r="B32" s="31" t="s">
        <v>120</v>
      </c>
      <c r="C32" s="3" t="s">
        <v>323</v>
      </c>
      <c r="D32" s="3">
        <v>12</v>
      </c>
      <c r="E32" s="35">
        <v>13</v>
      </c>
      <c r="F32" s="35">
        <v>14</v>
      </c>
      <c r="G32" s="35">
        <v>15</v>
      </c>
      <c r="H32" s="35">
        <v>16</v>
      </c>
      <c r="I32" s="35">
        <v>17</v>
      </c>
      <c r="J32" s="34" t="s">
        <v>9</v>
      </c>
      <c r="K32" s="35" t="s">
        <v>10</v>
      </c>
      <c r="L32" s="3" t="s">
        <v>11</v>
      </c>
    </row>
    <row r="33" spans="1:25" x14ac:dyDescent="0.25">
      <c r="A33" s="187" t="s">
        <v>17</v>
      </c>
      <c r="B33" s="23" t="s">
        <v>18</v>
      </c>
      <c r="C33" s="8">
        <v>17</v>
      </c>
      <c r="D33" s="8">
        <v>83</v>
      </c>
      <c r="E33" s="8">
        <v>182</v>
      </c>
      <c r="F33" s="8">
        <v>416</v>
      </c>
      <c r="G33" s="8">
        <v>627</v>
      </c>
      <c r="H33" s="8">
        <v>703</v>
      </c>
      <c r="I33" s="8">
        <v>873</v>
      </c>
      <c r="J33" s="8">
        <v>2901</v>
      </c>
      <c r="K33" s="8">
        <v>690</v>
      </c>
      <c r="L33" s="8">
        <v>3592</v>
      </c>
      <c r="N33" s="8"/>
      <c r="O33" s="8"/>
      <c r="P33" s="8"/>
      <c r="Q33" s="8"/>
      <c r="R33" s="8"/>
      <c r="S33" s="8"/>
      <c r="T33" s="8"/>
      <c r="U33" s="8"/>
      <c r="V33" s="8"/>
      <c r="W33" s="8"/>
      <c r="Y33" s="120"/>
    </row>
    <row r="34" spans="1:25" x14ac:dyDescent="0.25">
      <c r="A34" s="187"/>
      <c r="B34" s="23" t="s">
        <v>19</v>
      </c>
      <c r="C34" s="8">
        <v>1</v>
      </c>
      <c r="D34" s="8">
        <v>7</v>
      </c>
      <c r="E34" s="8">
        <v>77</v>
      </c>
      <c r="F34" s="8">
        <v>234</v>
      </c>
      <c r="G34" s="8">
        <v>490</v>
      </c>
      <c r="H34" s="8">
        <v>606</v>
      </c>
      <c r="I34" s="8">
        <v>746</v>
      </c>
      <c r="J34" s="8">
        <v>2161</v>
      </c>
      <c r="K34" s="8">
        <v>664</v>
      </c>
      <c r="L34" s="8">
        <v>2825</v>
      </c>
      <c r="N34" s="8"/>
      <c r="O34" s="8"/>
      <c r="P34" s="8"/>
      <c r="Q34" s="8"/>
      <c r="R34" s="8"/>
      <c r="S34" s="8"/>
      <c r="T34" s="8"/>
      <c r="U34" s="8"/>
      <c r="V34" s="8"/>
      <c r="W34" s="8"/>
    </row>
    <row r="35" spans="1:25" x14ac:dyDescent="0.25">
      <c r="A35" s="187"/>
      <c r="B35" s="23" t="s">
        <v>20</v>
      </c>
      <c r="C35" s="8" t="s">
        <v>109</v>
      </c>
      <c r="D35" s="8">
        <v>1</v>
      </c>
      <c r="E35" s="8">
        <v>2</v>
      </c>
      <c r="F35" s="8">
        <v>9</v>
      </c>
      <c r="G35" s="8">
        <v>19</v>
      </c>
      <c r="H35" s="8">
        <v>28</v>
      </c>
      <c r="I35" s="8">
        <v>37</v>
      </c>
      <c r="J35" s="8">
        <v>96</v>
      </c>
      <c r="K35" s="8">
        <v>19</v>
      </c>
      <c r="L35" s="8">
        <v>115</v>
      </c>
      <c r="N35" s="8"/>
      <c r="O35" s="8"/>
      <c r="P35" s="8"/>
      <c r="Q35" s="8"/>
      <c r="R35" s="8"/>
      <c r="S35" s="8"/>
      <c r="T35" s="8"/>
      <c r="U35" s="8"/>
      <c r="V35" s="8"/>
      <c r="W35" s="8"/>
    </row>
    <row r="36" spans="1:25" x14ac:dyDescent="0.25">
      <c r="A36" s="187"/>
      <c r="B36" s="30" t="s">
        <v>11</v>
      </c>
      <c r="C36" s="94">
        <v>18</v>
      </c>
      <c r="D36" s="94">
        <v>91</v>
      </c>
      <c r="E36" s="94">
        <v>261</v>
      </c>
      <c r="F36" s="94">
        <v>659</v>
      </c>
      <c r="G36" s="94">
        <v>1136</v>
      </c>
      <c r="H36" s="94">
        <v>1337</v>
      </c>
      <c r="I36" s="94">
        <v>1656</v>
      </c>
      <c r="J36" s="94">
        <v>5158</v>
      </c>
      <c r="K36" s="94">
        <v>1373</v>
      </c>
      <c r="L36" s="94">
        <v>6532</v>
      </c>
      <c r="N36" s="94"/>
      <c r="O36" s="94"/>
      <c r="P36" s="94"/>
      <c r="Q36" s="94"/>
      <c r="R36" s="94"/>
      <c r="S36" s="94"/>
      <c r="T36" s="94"/>
      <c r="U36" s="94"/>
      <c r="V36" s="94"/>
      <c r="W36" s="94"/>
      <c r="X36" s="120"/>
    </row>
    <row r="37" spans="1:25" x14ac:dyDescent="0.25">
      <c r="A37" s="187" t="s">
        <v>21</v>
      </c>
      <c r="B37" s="23" t="s">
        <v>18</v>
      </c>
      <c r="C37" s="8">
        <v>1</v>
      </c>
      <c r="D37" s="8">
        <v>21</v>
      </c>
      <c r="E37" s="8">
        <v>67</v>
      </c>
      <c r="F37" s="8">
        <v>169</v>
      </c>
      <c r="G37" s="8">
        <v>245</v>
      </c>
      <c r="H37" s="8">
        <v>243</v>
      </c>
      <c r="I37" s="8">
        <v>212</v>
      </c>
      <c r="J37" s="8">
        <v>958</v>
      </c>
      <c r="K37" s="8">
        <v>131</v>
      </c>
      <c r="L37" s="8">
        <v>1089</v>
      </c>
      <c r="N37" s="8"/>
      <c r="O37" s="8"/>
      <c r="P37" s="8"/>
      <c r="Q37" s="8"/>
      <c r="R37" s="8"/>
      <c r="S37" s="8"/>
      <c r="T37" s="8"/>
      <c r="U37" s="8"/>
      <c r="V37" s="8"/>
      <c r="W37" s="8"/>
    </row>
    <row r="38" spans="1:25" x14ac:dyDescent="0.25">
      <c r="A38" s="187"/>
      <c r="B38" s="23" t="s">
        <v>19</v>
      </c>
      <c r="C38" s="8">
        <v>1</v>
      </c>
      <c r="D38" s="8">
        <v>8</v>
      </c>
      <c r="E38" s="8">
        <v>25</v>
      </c>
      <c r="F38" s="8">
        <v>73</v>
      </c>
      <c r="G38" s="8">
        <v>147</v>
      </c>
      <c r="H38" s="8">
        <v>137</v>
      </c>
      <c r="I38" s="8">
        <v>172</v>
      </c>
      <c r="J38" s="8">
        <v>563</v>
      </c>
      <c r="K38" s="8">
        <v>83</v>
      </c>
      <c r="L38" s="8">
        <v>646</v>
      </c>
      <c r="N38" s="8"/>
      <c r="O38" s="8"/>
      <c r="P38" s="8"/>
      <c r="Q38" s="8"/>
      <c r="R38" s="8"/>
      <c r="S38" s="8"/>
      <c r="T38" s="8"/>
      <c r="U38" s="8"/>
      <c r="V38" s="8"/>
      <c r="W38" s="8"/>
    </row>
    <row r="39" spans="1:25" x14ac:dyDescent="0.25">
      <c r="A39" s="187"/>
      <c r="B39" s="23" t="s">
        <v>20</v>
      </c>
      <c r="C39" s="8" t="s">
        <v>109</v>
      </c>
      <c r="D39" s="8">
        <v>1</v>
      </c>
      <c r="E39" s="8" t="s">
        <v>109</v>
      </c>
      <c r="F39" s="8">
        <v>4</v>
      </c>
      <c r="G39" s="8">
        <v>4</v>
      </c>
      <c r="H39" s="8">
        <v>8</v>
      </c>
      <c r="I39" s="8">
        <v>2</v>
      </c>
      <c r="J39" s="8">
        <v>19</v>
      </c>
      <c r="K39" s="8">
        <v>2</v>
      </c>
      <c r="L39" s="8">
        <v>21</v>
      </c>
      <c r="N39" s="8"/>
      <c r="O39" s="8"/>
      <c r="P39" s="8"/>
      <c r="Q39" s="8"/>
      <c r="R39" s="8"/>
      <c r="S39" s="8"/>
      <c r="T39" s="8"/>
      <c r="U39" s="8"/>
      <c r="V39" s="8"/>
      <c r="W39" s="8"/>
    </row>
    <row r="40" spans="1:25" x14ac:dyDescent="0.25">
      <c r="A40" s="187"/>
      <c r="B40" s="30" t="s">
        <v>11</v>
      </c>
      <c r="C40" s="94">
        <v>2</v>
      </c>
      <c r="D40" s="94">
        <v>30</v>
      </c>
      <c r="E40" s="94">
        <v>92</v>
      </c>
      <c r="F40" s="94">
        <v>246</v>
      </c>
      <c r="G40" s="94">
        <v>396</v>
      </c>
      <c r="H40" s="94">
        <v>388</v>
      </c>
      <c r="I40" s="94">
        <v>386</v>
      </c>
      <c r="J40" s="94">
        <v>1540</v>
      </c>
      <c r="K40" s="94">
        <v>216</v>
      </c>
      <c r="L40" s="94">
        <v>1756</v>
      </c>
      <c r="N40" s="94"/>
      <c r="O40" s="94"/>
      <c r="P40" s="94"/>
      <c r="Q40" s="94"/>
      <c r="R40" s="94"/>
      <c r="S40" s="94"/>
      <c r="T40" s="94"/>
      <c r="U40" s="94"/>
      <c r="V40" s="94"/>
      <c r="W40" s="94"/>
    </row>
    <row r="41" spans="1:25" x14ac:dyDescent="0.25">
      <c r="A41" s="187" t="s">
        <v>20</v>
      </c>
      <c r="B41" s="23" t="s">
        <v>18</v>
      </c>
      <c r="C41" s="29" t="s">
        <v>109</v>
      </c>
      <c r="D41" s="29" t="s">
        <v>109</v>
      </c>
      <c r="E41" s="29" t="s">
        <v>109</v>
      </c>
      <c r="F41" s="29" t="s">
        <v>109</v>
      </c>
      <c r="G41" s="29" t="s">
        <v>109</v>
      </c>
      <c r="H41" s="29">
        <v>2</v>
      </c>
      <c r="I41" s="29" t="s">
        <v>109</v>
      </c>
      <c r="J41" s="29">
        <v>2</v>
      </c>
      <c r="K41" s="29">
        <v>1</v>
      </c>
      <c r="L41" s="29">
        <v>3</v>
      </c>
      <c r="N41" s="8"/>
      <c r="O41" s="8"/>
      <c r="P41" s="8"/>
      <c r="Q41" s="8"/>
      <c r="R41" s="8"/>
      <c r="S41" s="8"/>
      <c r="T41" s="8"/>
      <c r="U41" s="8"/>
      <c r="V41" s="8"/>
      <c r="W41" s="8"/>
    </row>
    <row r="42" spans="1:25" x14ac:dyDescent="0.25">
      <c r="A42" s="187"/>
      <c r="B42" s="23" t="s">
        <v>19</v>
      </c>
      <c r="C42" s="29" t="s">
        <v>109</v>
      </c>
      <c r="D42" s="29" t="s">
        <v>109</v>
      </c>
      <c r="E42" s="29" t="s">
        <v>109</v>
      </c>
      <c r="F42" s="29" t="s">
        <v>109</v>
      </c>
      <c r="G42" s="29">
        <v>1</v>
      </c>
      <c r="H42" s="29">
        <v>1</v>
      </c>
      <c r="I42" s="29">
        <v>4</v>
      </c>
      <c r="J42" s="29">
        <v>6</v>
      </c>
      <c r="K42" s="29" t="s">
        <v>109</v>
      </c>
      <c r="L42" s="29">
        <v>6</v>
      </c>
      <c r="N42" s="8"/>
      <c r="O42" s="8"/>
      <c r="P42" s="8"/>
      <c r="Q42" s="8"/>
      <c r="R42" s="8"/>
      <c r="S42" s="8"/>
      <c r="T42" s="8"/>
      <c r="U42" s="8"/>
      <c r="V42" s="8"/>
      <c r="W42" s="8"/>
    </row>
    <row r="43" spans="1:25" x14ac:dyDescent="0.25">
      <c r="A43" s="187"/>
      <c r="B43" s="23" t="s">
        <v>20</v>
      </c>
      <c r="C43" s="29" t="s">
        <v>109</v>
      </c>
      <c r="D43" s="29">
        <v>1</v>
      </c>
      <c r="E43" s="29" t="s">
        <v>109</v>
      </c>
      <c r="F43" s="29" t="s">
        <v>109</v>
      </c>
      <c r="G43" s="29">
        <v>1</v>
      </c>
      <c r="H43" s="29" t="s">
        <v>109</v>
      </c>
      <c r="I43" s="29">
        <v>1</v>
      </c>
      <c r="J43" s="29">
        <v>3</v>
      </c>
      <c r="K43" s="29">
        <v>1</v>
      </c>
      <c r="L43" s="29">
        <v>4</v>
      </c>
      <c r="N43" s="8"/>
      <c r="O43" s="8"/>
      <c r="P43" s="8"/>
      <c r="Q43" s="8"/>
      <c r="R43" s="8"/>
      <c r="S43" s="8"/>
      <c r="T43" s="8"/>
      <c r="U43" s="8"/>
      <c r="V43" s="8"/>
      <c r="W43" s="8"/>
    </row>
    <row r="44" spans="1:25" x14ac:dyDescent="0.25">
      <c r="A44" s="187"/>
      <c r="B44" s="30" t="s">
        <v>11</v>
      </c>
      <c r="C44" s="29" t="s">
        <v>109</v>
      </c>
      <c r="D44" s="94">
        <v>1</v>
      </c>
      <c r="E44" s="94" t="s">
        <v>109</v>
      </c>
      <c r="F44" s="94" t="s">
        <v>109</v>
      </c>
      <c r="G44" s="94">
        <v>2</v>
      </c>
      <c r="H44" s="94">
        <v>3</v>
      </c>
      <c r="I44" s="94">
        <v>5</v>
      </c>
      <c r="J44" s="94">
        <v>11</v>
      </c>
      <c r="K44" s="94">
        <v>2</v>
      </c>
      <c r="L44" s="94">
        <v>13</v>
      </c>
      <c r="N44" s="8"/>
      <c r="O44" s="8"/>
      <c r="P44" s="8"/>
      <c r="Q44" s="8"/>
      <c r="R44" s="8"/>
      <c r="S44" s="8"/>
      <c r="T44" s="8"/>
      <c r="U44" s="8"/>
      <c r="V44" s="8"/>
      <c r="W44" s="8"/>
      <c r="X44" s="120"/>
      <c r="Y44" s="120"/>
    </row>
    <row r="45" spans="1:25" x14ac:dyDescent="0.25">
      <c r="A45" s="191" t="s">
        <v>11</v>
      </c>
      <c r="B45" s="23" t="s">
        <v>18</v>
      </c>
      <c r="C45" s="8">
        <v>18</v>
      </c>
      <c r="D45" s="8">
        <v>104</v>
      </c>
      <c r="E45" s="8">
        <v>249</v>
      </c>
      <c r="F45" s="8">
        <v>585</v>
      </c>
      <c r="G45" s="8">
        <v>872</v>
      </c>
      <c r="H45" s="8">
        <v>948</v>
      </c>
      <c r="I45" s="8">
        <v>1085</v>
      </c>
      <c r="J45" s="8">
        <v>3861</v>
      </c>
      <c r="K45" s="8">
        <v>822</v>
      </c>
      <c r="L45" s="8">
        <v>4684</v>
      </c>
      <c r="N45" s="8"/>
      <c r="O45" s="8"/>
      <c r="P45" s="8"/>
      <c r="Q45" s="8"/>
      <c r="R45" s="8"/>
      <c r="S45" s="8"/>
      <c r="T45" s="8"/>
      <c r="U45" s="8"/>
      <c r="V45" s="8"/>
      <c r="W45" s="8"/>
    </row>
    <row r="46" spans="1:25" x14ac:dyDescent="0.25">
      <c r="A46" s="191"/>
      <c r="B46" s="23" t="s">
        <v>19</v>
      </c>
      <c r="C46" s="8">
        <v>2</v>
      </c>
      <c r="D46" s="8">
        <v>15</v>
      </c>
      <c r="E46" s="8">
        <v>102</v>
      </c>
      <c r="F46" s="8">
        <v>307</v>
      </c>
      <c r="G46" s="8">
        <v>638</v>
      </c>
      <c r="H46" s="8">
        <v>744</v>
      </c>
      <c r="I46" s="8">
        <v>922</v>
      </c>
      <c r="J46" s="8">
        <v>2730</v>
      </c>
      <c r="K46" s="8">
        <v>747</v>
      </c>
      <c r="L46" s="8">
        <v>3477</v>
      </c>
      <c r="N46" s="8"/>
      <c r="O46" s="8"/>
      <c r="P46" s="8"/>
      <c r="Q46" s="8"/>
      <c r="R46" s="8"/>
      <c r="S46" s="8"/>
      <c r="T46" s="8"/>
      <c r="U46" s="8"/>
      <c r="V46" s="8"/>
      <c r="W46" s="8"/>
    </row>
    <row r="47" spans="1:25" x14ac:dyDescent="0.25">
      <c r="A47" s="191"/>
      <c r="B47" s="23" t="s">
        <v>20</v>
      </c>
      <c r="C47" s="8" t="s">
        <v>109</v>
      </c>
      <c r="D47" s="8">
        <v>3</v>
      </c>
      <c r="E47" s="8">
        <v>2</v>
      </c>
      <c r="F47" s="8">
        <v>13</v>
      </c>
      <c r="G47" s="8">
        <v>24</v>
      </c>
      <c r="H47" s="8">
        <v>36</v>
      </c>
      <c r="I47" s="8">
        <v>40</v>
      </c>
      <c r="J47" s="8">
        <v>118</v>
      </c>
      <c r="K47" s="8">
        <v>22</v>
      </c>
      <c r="L47" s="8">
        <v>140</v>
      </c>
      <c r="N47" s="8"/>
      <c r="O47" s="8"/>
      <c r="P47" s="8"/>
      <c r="Q47" s="8"/>
      <c r="R47" s="8"/>
      <c r="S47" s="8"/>
      <c r="T47" s="8"/>
      <c r="U47" s="8"/>
      <c r="V47" s="8"/>
      <c r="W47" s="8"/>
    </row>
    <row r="48" spans="1:25" x14ac:dyDescent="0.25">
      <c r="A48" s="191"/>
      <c r="B48" s="30" t="s">
        <v>11</v>
      </c>
      <c r="C48" s="94">
        <v>20</v>
      </c>
      <c r="D48" s="94">
        <v>122</v>
      </c>
      <c r="E48" s="94">
        <v>353</v>
      </c>
      <c r="F48" s="94">
        <v>905</v>
      </c>
      <c r="G48" s="94">
        <v>1534</v>
      </c>
      <c r="H48" s="94">
        <v>1728</v>
      </c>
      <c r="I48" s="94">
        <v>2047</v>
      </c>
      <c r="J48" s="94">
        <v>6709</v>
      </c>
      <c r="K48" s="94">
        <v>1591</v>
      </c>
      <c r="L48" s="94">
        <v>8301</v>
      </c>
      <c r="N48" s="94"/>
      <c r="O48" s="94"/>
      <c r="P48" s="94"/>
      <c r="Q48" s="94"/>
      <c r="R48" s="94"/>
      <c r="S48" s="94"/>
      <c r="T48" s="94"/>
      <c r="U48" s="94"/>
      <c r="V48" s="94"/>
      <c r="W48" s="94"/>
    </row>
    <row r="49" spans="1:23" ht="1.5" customHeight="1" x14ac:dyDescent="0.25">
      <c r="A49" s="6"/>
      <c r="C49" s="1" t="s">
        <v>189</v>
      </c>
      <c r="D49" s="1" t="s">
        <v>189</v>
      </c>
      <c r="E49" s="1" t="s">
        <v>189</v>
      </c>
      <c r="F49" s="1" t="s">
        <v>189</v>
      </c>
      <c r="G49" s="1" t="s">
        <v>189</v>
      </c>
      <c r="H49" s="1" t="s">
        <v>189</v>
      </c>
      <c r="I49" s="1" t="s">
        <v>189</v>
      </c>
      <c r="J49" s="1" t="s">
        <v>189</v>
      </c>
      <c r="K49" s="33" t="s">
        <v>189</v>
      </c>
      <c r="L49" s="33" t="s">
        <v>189</v>
      </c>
      <c r="N49" s="120">
        <f t="shared" ref="N49" si="0">SUM(C46:C48)</f>
        <v>22</v>
      </c>
      <c r="O49" s="120"/>
      <c r="P49" s="120"/>
      <c r="Q49" s="120"/>
      <c r="R49" s="120"/>
      <c r="S49" s="120"/>
      <c r="T49" s="120"/>
      <c r="U49" s="120"/>
      <c r="V49" s="120"/>
      <c r="W49" s="120"/>
    </row>
    <row r="50" spans="1:23" ht="11.1" customHeight="1" x14ac:dyDescent="0.25">
      <c r="A50" s="36" t="s">
        <v>23</v>
      </c>
      <c r="B50" s="36"/>
      <c r="C50" s="36"/>
      <c r="D50" s="36"/>
      <c r="E50" s="36"/>
      <c r="F50" s="36"/>
      <c r="G50" s="36"/>
      <c r="H50" s="36"/>
      <c r="I50" s="36"/>
      <c r="J50" s="36"/>
      <c r="K50" s="6"/>
      <c r="L50" s="6"/>
      <c r="M50" s="6"/>
      <c r="N50" s="6"/>
    </row>
    <row r="51" spans="1:23" s="6" customFormat="1" ht="11.1" customHeight="1" x14ac:dyDescent="0.15">
      <c r="A51" s="6" t="s">
        <v>28</v>
      </c>
    </row>
    <row r="52" spans="1:23" s="6" customFormat="1" ht="11.1" customHeight="1" x14ac:dyDescent="0.15">
      <c r="A52" s="6" t="s">
        <v>30</v>
      </c>
    </row>
    <row r="53" spans="1:23" s="6" customFormat="1" ht="11.1" customHeight="1" x14ac:dyDescent="0.15"/>
    <row r="54" spans="1:23" s="6" customFormat="1" ht="11.1" customHeight="1" x14ac:dyDescent="0.15">
      <c r="A54" s="6" t="s">
        <v>263</v>
      </c>
    </row>
    <row r="55" spans="1:23" ht="12" customHeight="1" x14ac:dyDescent="0.25">
      <c r="A55" s="2"/>
    </row>
    <row r="61" spans="1:23" x14ac:dyDescent="0.25">
      <c r="G61" s="120"/>
      <c r="H61" s="120"/>
      <c r="L61" s="125"/>
      <c r="O61" s="125"/>
    </row>
    <row r="62" spans="1:23" x14ac:dyDescent="0.25">
      <c r="G62" s="120"/>
      <c r="H62" s="120"/>
      <c r="L62" s="125"/>
      <c r="O62" s="125"/>
    </row>
    <row r="63" spans="1:23" x14ac:dyDescent="0.25">
      <c r="G63" s="120"/>
      <c r="H63" s="120"/>
    </row>
    <row r="64" spans="1:23" x14ac:dyDescent="0.25">
      <c r="G64" s="120"/>
      <c r="H64" s="120"/>
      <c r="I64" s="125"/>
      <c r="J64" s="125"/>
      <c r="K64" s="125"/>
      <c r="L64" s="125"/>
      <c r="M64" s="125"/>
      <c r="O64" s="125"/>
    </row>
    <row r="65" spans="7:15" x14ac:dyDescent="0.25">
      <c r="G65" s="120"/>
      <c r="H65" s="120"/>
      <c r="O65" s="125"/>
    </row>
    <row r="66" spans="7:15" x14ac:dyDescent="0.25">
      <c r="G66" s="120"/>
      <c r="H66" s="120"/>
    </row>
    <row r="67" spans="7:15" x14ac:dyDescent="0.25">
      <c r="G67" s="120"/>
      <c r="H67" s="120"/>
    </row>
    <row r="68" spans="7:15" x14ac:dyDescent="0.25">
      <c r="G68" s="120"/>
      <c r="H68" s="120"/>
      <c r="L68" s="125"/>
      <c r="O68" s="125"/>
    </row>
    <row r="69" spans="7:15" x14ac:dyDescent="0.25">
      <c r="G69" s="120"/>
      <c r="H69" s="120"/>
    </row>
    <row r="70" spans="7:15" x14ac:dyDescent="0.25">
      <c r="G70" s="120"/>
      <c r="H70" s="120"/>
    </row>
    <row r="71" spans="7:15" x14ac:dyDescent="0.25">
      <c r="G71" s="120"/>
      <c r="H71" s="120"/>
    </row>
    <row r="72" spans="7:15" x14ac:dyDescent="0.25">
      <c r="G72" s="120"/>
      <c r="H72" s="120"/>
    </row>
    <row r="73" spans="7:15" x14ac:dyDescent="0.25">
      <c r="G73" s="120"/>
      <c r="H73" s="120"/>
      <c r="L73" s="125"/>
      <c r="O73" s="125"/>
    </row>
    <row r="74" spans="7:15" x14ac:dyDescent="0.25">
      <c r="G74" s="120"/>
      <c r="H74" s="120"/>
      <c r="L74" s="125"/>
      <c r="O74" s="125"/>
    </row>
    <row r="75" spans="7:15" x14ac:dyDescent="0.25">
      <c r="G75" s="120"/>
      <c r="H75" s="120"/>
    </row>
    <row r="76" spans="7:15" x14ac:dyDescent="0.25">
      <c r="G76" s="120"/>
      <c r="H76" s="120"/>
      <c r="I76" s="125"/>
      <c r="J76" s="125"/>
      <c r="K76" s="125"/>
      <c r="L76" s="125"/>
      <c r="M76" s="125"/>
      <c r="O76" s="125"/>
    </row>
  </sheetData>
  <mergeCells count="13">
    <mergeCell ref="A45:A48"/>
    <mergeCell ref="A1:M1"/>
    <mergeCell ref="A4:A7"/>
    <mergeCell ref="A8:A11"/>
    <mergeCell ref="A12:A15"/>
    <mergeCell ref="A16:A19"/>
    <mergeCell ref="A25:M25"/>
    <mergeCell ref="A21:M21"/>
    <mergeCell ref="A30:N30"/>
    <mergeCell ref="A33:A36"/>
    <mergeCell ref="A37:A40"/>
    <mergeCell ref="A41:A44"/>
    <mergeCell ref="A26:M26"/>
  </mergeCells>
  <pageMargins left="0.08" right="0.08" top="1" bottom="1" header="0.5" footer="0.5"/>
  <pageSetup orientation="landscape" blackAndWhite="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V54"/>
  <sheetViews>
    <sheetView showGridLines="0" zoomScaleNormal="100" workbookViewId="0">
      <selection sqref="A1:J1"/>
    </sheetView>
  </sheetViews>
  <sheetFormatPr defaultColWidth="9.140625" defaultRowHeight="15" x14ac:dyDescent="0.25"/>
  <cols>
    <col min="1" max="1" width="11.42578125" style="1" bestFit="1" customWidth="1"/>
    <col min="2" max="2" width="17.42578125" style="1" customWidth="1"/>
    <col min="3" max="10" width="11.42578125" style="1" bestFit="1" customWidth="1"/>
    <col min="11" max="16384" width="9.140625" style="1"/>
  </cols>
  <sheetData>
    <row r="1" spans="1:22" ht="30.75" customHeight="1" x14ac:dyDescent="0.25">
      <c r="A1" s="189" t="s">
        <v>399</v>
      </c>
      <c r="B1" s="189"/>
      <c r="C1" s="189"/>
      <c r="D1" s="189"/>
      <c r="E1" s="189"/>
      <c r="F1" s="189"/>
      <c r="G1" s="189"/>
      <c r="H1" s="189"/>
      <c r="I1" s="189"/>
      <c r="J1" s="189"/>
    </row>
    <row r="2" spans="1:22" ht="2.25" customHeight="1" x14ac:dyDescent="0.25">
      <c r="A2" s="2"/>
    </row>
    <row r="3" spans="1:22" x14ac:dyDescent="0.25">
      <c r="A3" s="31" t="s">
        <v>119</v>
      </c>
      <c r="B3" s="31" t="s">
        <v>120</v>
      </c>
      <c r="C3" s="3">
        <v>10</v>
      </c>
      <c r="D3" s="3">
        <v>11</v>
      </c>
      <c r="E3" s="3">
        <v>12</v>
      </c>
      <c r="F3" s="3">
        <v>13</v>
      </c>
      <c r="G3" s="3">
        <v>14</v>
      </c>
      <c r="H3" s="3">
        <v>15</v>
      </c>
      <c r="I3" s="3">
        <v>16</v>
      </c>
      <c r="J3" s="3">
        <v>17</v>
      </c>
    </row>
    <row r="4" spans="1:22" ht="15" customHeight="1" x14ac:dyDescent="0.25">
      <c r="A4" s="187" t="s">
        <v>17</v>
      </c>
      <c r="B4" s="23" t="s">
        <v>18</v>
      </c>
      <c r="C4" s="5">
        <v>0.438</v>
      </c>
      <c r="D4" s="5">
        <v>2.2719999999999998</v>
      </c>
      <c r="E4" s="5">
        <v>13.363</v>
      </c>
      <c r="F4" s="5">
        <v>34.543999999999997</v>
      </c>
      <c r="G4" s="5">
        <v>100.322</v>
      </c>
      <c r="H4" s="5">
        <v>201.07</v>
      </c>
      <c r="I4" s="5">
        <v>248.7</v>
      </c>
      <c r="J4" s="5">
        <v>287.298</v>
      </c>
      <c r="L4" s="5"/>
      <c r="M4" s="5"/>
      <c r="N4" s="5"/>
      <c r="O4" s="5"/>
      <c r="P4" s="5"/>
      <c r="Q4" s="5"/>
      <c r="R4" s="5"/>
      <c r="S4" s="5"/>
      <c r="T4" s="5"/>
      <c r="V4" s="127"/>
    </row>
    <row r="5" spans="1:22" ht="15" customHeight="1" x14ac:dyDescent="0.25">
      <c r="A5" s="187"/>
      <c r="B5" s="23" t="s">
        <v>19</v>
      </c>
      <c r="C5" s="51" t="s">
        <v>109</v>
      </c>
      <c r="D5" s="51" t="s">
        <v>109</v>
      </c>
      <c r="E5" s="5">
        <v>7.5999999999999998E-2</v>
      </c>
      <c r="F5" s="5">
        <v>1.1599999999999999</v>
      </c>
      <c r="G5" s="5">
        <v>4.0679999999999996</v>
      </c>
      <c r="H5" s="5">
        <v>10.759</v>
      </c>
      <c r="I5" s="5">
        <v>17.402999999999999</v>
      </c>
      <c r="J5" s="5">
        <v>19.808</v>
      </c>
      <c r="L5" s="74"/>
      <c r="M5" s="74"/>
      <c r="N5" s="5"/>
      <c r="O5" s="5"/>
      <c r="P5" s="5"/>
      <c r="Q5" s="5"/>
      <c r="R5" s="5"/>
      <c r="S5" s="5"/>
      <c r="T5" s="5"/>
    </row>
    <row r="6" spans="1:22" ht="15" customHeight="1" x14ac:dyDescent="0.25">
      <c r="A6" s="187"/>
      <c r="B6" s="27" t="s">
        <v>11</v>
      </c>
      <c r="C6" s="51" t="s">
        <v>109</v>
      </c>
      <c r="D6" s="97">
        <v>0.14899999999999999</v>
      </c>
      <c r="E6" s="97">
        <v>0.94299999999999995</v>
      </c>
      <c r="F6" s="97">
        <v>3.3319999999999999</v>
      </c>
      <c r="G6" s="97">
        <v>10.398</v>
      </c>
      <c r="H6" s="97">
        <v>23.59</v>
      </c>
      <c r="I6" s="97">
        <v>33.267000000000003</v>
      </c>
      <c r="J6" s="97">
        <v>37.975000000000001</v>
      </c>
      <c r="L6" s="74"/>
      <c r="M6" s="97"/>
      <c r="N6" s="97"/>
      <c r="O6" s="97"/>
      <c r="P6" s="97"/>
      <c r="Q6" s="97"/>
      <c r="R6" s="97"/>
      <c r="S6" s="97"/>
      <c r="T6" s="97"/>
    </row>
    <row r="7" spans="1:22" ht="15" customHeight="1" x14ac:dyDescent="0.25">
      <c r="A7" s="187" t="s">
        <v>21</v>
      </c>
      <c r="B7" s="23" t="s">
        <v>18</v>
      </c>
      <c r="C7" s="51" t="s">
        <v>109</v>
      </c>
      <c r="D7" s="5">
        <v>8.8999999999999996E-2</v>
      </c>
      <c r="E7" s="5">
        <v>4.4269999999999996</v>
      </c>
      <c r="F7" s="5">
        <v>15.304</v>
      </c>
      <c r="G7" s="5">
        <v>45.280999999999999</v>
      </c>
      <c r="H7" s="5">
        <v>92.926000000000002</v>
      </c>
      <c r="I7" s="5">
        <v>101.976</v>
      </c>
      <c r="J7" s="5">
        <v>92.222999999999999</v>
      </c>
      <c r="L7" s="74"/>
      <c r="M7" s="5"/>
      <c r="N7" s="5"/>
      <c r="O7" s="5"/>
      <c r="P7" s="5"/>
      <c r="Q7" s="5"/>
      <c r="R7" s="5"/>
      <c r="S7" s="5"/>
      <c r="T7" s="5"/>
    </row>
    <row r="8" spans="1:22" ht="15" customHeight="1" x14ac:dyDescent="0.25">
      <c r="A8" s="187"/>
      <c r="B8" s="23" t="s">
        <v>19</v>
      </c>
      <c r="C8" s="51" t="s">
        <v>109</v>
      </c>
      <c r="D8" s="51" t="s">
        <v>109</v>
      </c>
      <c r="E8" s="5">
        <v>7.3999999999999996E-2</v>
      </c>
      <c r="F8" s="5">
        <v>0.37</v>
      </c>
      <c r="G8" s="5">
        <v>1.367</v>
      </c>
      <c r="H8" s="5">
        <v>3.661</v>
      </c>
      <c r="I8" s="5">
        <v>4.4429999999999996</v>
      </c>
      <c r="J8" s="5">
        <v>4.5910000000000002</v>
      </c>
      <c r="L8" s="74"/>
      <c r="M8" s="74"/>
      <c r="N8" s="5"/>
      <c r="O8" s="5"/>
      <c r="P8" s="5"/>
      <c r="Q8" s="5"/>
      <c r="R8" s="5"/>
      <c r="S8" s="5"/>
      <c r="T8" s="5"/>
    </row>
    <row r="9" spans="1:22" ht="15" customHeight="1" x14ac:dyDescent="0.25">
      <c r="A9" s="187"/>
      <c r="B9" s="27" t="s">
        <v>11</v>
      </c>
      <c r="C9" s="51" t="s">
        <v>109</v>
      </c>
      <c r="D9" s="97" t="s">
        <v>109</v>
      </c>
      <c r="E9" s="97">
        <v>0.36499999999999999</v>
      </c>
      <c r="F9" s="97">
        <v>1.3540000000000001</v>
      </c>
      <c r="G9" s="97">
        <v>4.3140000000000001</v>
      </c>
      <c r="H9" s="97">
        <v>9.6620000000000008</v>
      </c>
      <c r="I9" s="97">
        <v>11.085000000000001</v>
      </c>
      <c r="J9" s="97">
        <v>10.582000000000001</v>
      </c>
      <c r="L9" s="74"/>
      <c r="M9" s="97"/>
      <c r="N9" s="97"/>
      <c r="O9" s="97"/>
      <c r="P9" s="97"/>
      <c r="Q9" s="97"/>
      <c r="R9" s="97"/>
      <c r="S9" s="97"/>
      <c r="T9" s="97"/>
    </row>
    <row r="10" spans="1:22" ht="15" customHeight="1" x14ac:dyDescent="0.25">
      <c r="A10" s="187" t="s">
        <v>11</v>
      </c>
      <c r="B10" s="23" t="s">
        <v>18</v>
      </c>
      <c r="C10" s="5">
        <v>0.22700000000000001</v>
      </c>
      <c r="D10" s="5">
        <v>1.226</v>
      </c>
      <c r="E10" s="5">
        <v>9.0220000000000002</v>
      </c>
      <c r="F10" s="5">
        <v>25.102</v>
      </c>
      <c r="G10" s="5">
        <v>73.326999999999998</v>
      </c>
      <c r="H10" s="5">
        <v>148.114</v>
      </c>
      <c r="I10" s="5">
        <v>177.28299999999999</v>
      </c>
      <c r="J10" s="5">
        <v>191.83199999999999</v>
      </c>
      <c r="L10" s="5"/>
      <c r="M10" s="5"/>
      <c r="N10" s="5"/>
      <c r="O10" s="5"/>
      <c r="P10" s="5"/>
      <c r="Q10" s="5"/>
      <c r="R10" s="5"/>
      <c r="S10" s="5"/>
      <c r="T10" s="5"/>
    </row>
    <row r="11" spans="1:22" ht="15" customHeight="1" x14ac:dyDescent="0.25">
      <c r="A11" s="187"/>
      <c r="B11" s="23" t="s">
        <v>19</v>
      </c>
      <c r="C11" s="51" t="s">
        <v>109</v>
      </c>
      <c r="D11" s="51" t="s">
        <v>109</v>
      </c>
      <c r="E11" s="5">
        <v>7.4999999999999997E-2</v>
      </c>
      <c r="F11" s="5">
        <v>0.77600000000000002</v>
      </c>
      <c r="G11" s="5">
        <v>2.7549999999999999</v>
      </c>
      <c r="H11" s="5">
        <v>7.3150000000000004</v>
      </c>
      <c r="I11" s="5">
        <v>11.14</v>
      </c>
      <c r="J11" s="5">
        <v>12.468999999999999</v>
      </c>
      <c r="L11" s="74"/>
      <c r="M11" s="74"/>
      <c r="N11" s="5"/>
      <c r="O11" s="5"/>
      <c r="P11" s="5"/>
      <c r="Q11" s="5"/>
      <c r="R11" s="5"/>
      <c r="S11" s="5"/>
      <c r="T11" s="5"/>
    </row>
    <row r="12" spans="1:22" ht="15" customHeight="1" x14ac:dyDescent="0.25">
      <c r="A12" s="187"/>
      <c r="B12" s="27" t="s">
        <v>11</v>
      </c>
      <c r="C12" s="51" t="s">
        <v>109</v>
      </c>
      <c r="D12" s="97">
        <v>8.8999999999999996E-2</v>
      </c>
      <c r="E12" s="97">
        <v>0.66200000000000003</v>
      </c>
      <c r="F12" s="97">
        <v>2.37</v>
      </c>
      <c r="G12" s="97">
        <v>7.4379999999999997</v>
      </c>
      <c r="H12" s="97">
        <v>16.838999999999999</v>
      </c>
      <c r="I12" s="97">
        <v>22.533000000000001</v>
      </c>
      <c r="J12" s="97">
        <v>24.727</v>
      </c>
      <c r="L12" s="74"/>
      <c r="M12" s="97"/>
      <c r="N12" s="97"/>
      <c r="O12" s="97"/>
      <c r="P12" s="97"/>
      <c r="Q12" s="97"/>
      <c r="R12" s="97"/>
      <c r="S12" s="97"/>
      <c r="T12" s="97"/>
    </row>
    <row r="13" spans="1:22" ht="0.75" customHeight="1" x14ac:dyDescent="0.25">
      <c r="A13" s="2"/>
      <c r="C13" s="1" t="s">
        <v>189</v>
      </c>
      <c r="D13" s="1" t="s">
        <v>189</v>
      </c>
      <c r="E13" s="1" t="s">
        <v>189</v>
      </c>
      <c r="F13" s="1" t="s">
        <v>189</v>
      </c>
      <c r="G13" s="1" t="s">
        <v>189</v>
      </c>
      <c r="H13" s="1" t="s">
        <v>189</v>
      </c>
      <c r="I13" s="1" t="s">
        <v>189</v>
      </c>
      <c r="J13" s="1" t="s">
        <v>189</v>
      </c>
    </row>
    <row r="14" spans="1:22" ht="11.1" customHeight="1" x14ac:dyDescent="0.25">
      <c r="A14" s="36" t="s">
        <v>23</v>
      </c>
      <c r="B14" s="36"/>
      <c r="C14" s="36"/>
      <c r="D14" s="36"/>
      <c r="E14" s="36"/>
      <c r="F14" s="36"/>
      <c r="G14" s="36"/>
      <c r="H14" s="36"/>
      <c r="I14" s="36"/>
      <c r="J14" s="36"/>
    </row>
    <row r="15" spans="1:22" s="6" customFormat="1" ht="19.5" customHeight="1" x14ac:dyDescent="0.15">
      <c r="A15" s="186" t="s">
        <v>31</v>
      </c>
      <c r="B15" s="186"/>
      <c r="C15" s="186"/>
      <c r="D15" s="186"/>
      <c r="E15" s="186"/>
      <c r="F15" s="186"/>
      <c r="G15" s="186"/>
      <c r="H15" s="186"/>
      <c r="I15" s="186"/>
      <c r="J15" s="186"/>
    </row>
    <row r="16" spans="1:22" s="6" customFormat="1" ht="11.1" customHeight="1" x14ac:dyDescent="0.15">
      <c r="A16" s="6" t="s">
        <v>32</v>
      </c>
    </row>
    <row r="17" spans="1:20" s="6" customFormat="1" ht="11.1" customHeight="1" x14ac:dyDescent="0.15">
      <c r="A17" s="6" t="s">
        <v>271</v>
      </c>
    </row>
    <row r="18" spans="1:20" s="6" customFormat="1" ht="11.1" customHeight="1" x14ac:dyDescent="0.15">
      <c r="A18" s="6" t="s">
        <v>14</v>
      </c>
    </row>
    <row r="19" spans="1:20" s="6" customFormat="1" ht="11.1" customHeight="1" x14ac:dyDescent="0.15">
      <c r="A19" s="6" t="s">
        <v>207</v>
      </c>
    </row>
    <row r="20" spans="1:20" ht="12" customHeight="1" x14ac:dyDescent="0.25">
      <c r="A20" s="2"/>
      <c r="M20" s="146"/>
    </row>
    <row r="21" spans="1:20" ht="42" customHeight="1" x14ac:dyDescent="0.25">
      <c r="A21" s="189" t="s">
        <v>400</v>
      </c>
      <c r="B21" s="189"/>
      <c r="C21" s="189"/>
      <c r="D21" s="189"/>
      <c r="E21" s="189"/>
      <c r="F21" s="189"/>
      <c r="G21" s="189"/>
      <c r="H21" s="189"/>
      <c r="I21" s="189"/>
      <c r="J21" s="189"/>
    </row>
    <row r="22" spans="1:20" ht="3.75" customHeight="1" x14ac:dyDescent="0.25">
      <c r="A22" s="2"/>
    </row>
    <row r="23" spans="1:20" x14ac:dyDescent="0.25">
      <c r="A23" s="31" t="s">
        <v>119</v>
      </c>
      <c r="B23" s="31" t="s">
        <v>120</v>
      </c>
      <c r="C23" s="68" t="s">
        <v>323</v>
      </c>
      <c r="D23" s="68">
        <v>12</v>
      </c>
      <c r="E23" s="3">
        <v>13</v>
      </c>
      <c r="F23" s="3">
        <v>14</v>
      </c>
      <c r="G23" s="3">
        <v>15</v>
      </c>
      <c r="H23" s="3">
        <v>16</v>
      </c>
      <c r="I23" s="3">
        <v>17</v>
      </c>
    </row>
    <row r="24" spans="1:20" ht="15" customHeight="1" x14ac:dyDescent="0.25">
      <c r="A24" s="187" t="s">
        <v>17</v>
      </c>
      <c r="B24" s="23" t="s">
        <v>18</v>
      </c>
      <c r="C24" s="5">
        <v>7.5129999999999999</v>
      </c>
      <c r="D24" s="5">
        <v>73.322000000000003</v>
      </c>
      <c r="E24" s="5">
        <v>162.71100000000001</v>
      </c>
      <c r="F24" s="5">
        <v>369.87599999999998</v>
      </c>
      <c r="G24" s="5">
        <v>550.62800000000004</v>
      </c>
      <c r="H24" s="5">
        <v>613.73299999999995</v>
      </c>
      <c r="I24" s="5">
        <v>769.4</v>
      </c>
      <c r="K24" s="5"/>
      <c r="L24" s="5"/>
      <c r="M24" s="5"/>
      <c r="N24" s="5"/>
      <c r="O24" s="5"/>
      <c r="P24" s="5"/>
      <c r="Q24" s="5"/>
      <c r="T24" s="146"/>
    </row>
    <row r="25" spans="1:20" ht="15" customHeight="1" x14ac:dyDescent="0.25">
      <c r="A25" s="187"/>
      <c r="B25" s="23" t="s">
        <v>19</v>
      </c>
      <c r="C25" s="5" t="s">
        <v>109</v>
      </c>
      <c r="D25" s="5">
        <v>0.43099999999999999</v>
      </c>
      <c r="E25" s="5">
        <v>4.7699999999999996</v>
      </c>
      <c r="F25" s="5">
        <v>14.49</v>
      </c>
      <c r="G25" s="5">
        <v>30.300999999999998</v>
      </c>
      <c r="H25" s="5">
        <v>37.579000000000001</v>
      </c>
      <c r="I25" s="5">
        <v>46.25</v>
      </c>
      <c r="K25" s="5"/>
      <c r="L25" s="5"/>
      <c r="M25" s="5"/>
      <c r="N25" s="5"/>
      <c r="O25" s="5"/>
      <c r="P25" s="5"/>
      <c r="Q25" s="5"/>
    </row>
    <row r="26" spans="1:20" ht="15" customHeight="1" x14ac:dyDescent="0.25">
      <c r="A26" s="187"/>
      <c r="B26" s="27" t="s">
        <v>11</v>
      </c>
      <c r="C26" s="97">
        <v>0.52300000000000002</v>
      </c>
      <c r="D26" s="97">
        <v>5.2430000000000003</v>
      </c>
      <c r="E26" s="97">
        <v>15.122</v>
      </c>
      <c r="F26" s="97">
        <v>38.149000000000001</v>
      </c>
      <c r="G26" s="97">
        <v>65.626999999999995</v>
      </c>
      <c r="H26" s="97">
        <v>77.411000000000001</v>
      </c>
      <c r="I26" s="97">
        <v>95.918999999999997</v>
      </c>
      <c r="K26" s="97"/>
      <c r="L26" s="97"/>
      <c r="M26" s="97"/>
      <c r="N26" s="97"/>
      <c r="O26" s="97"/>
      <c r="P26" s="97"/>
      <c r="Q26" s="97"/>
    </row>
    <row r="27" spans="1:20" ht="15" customHeight="1" x14ac:dyDescent="0.25">
      <c r="A27" s="187" t="s">
        <v>21</v>
      </c>
      <c r="B27" s="23" t="s">
        <v>18</v>
      </c>
      <c r="C27" s="5" t="s">
        <v>109</v>
      </c>
      <c r="D27" s="5">
        <v>19.637</v>
      </c>
      <c r="E27" s="5">
        <v>62.161000000000001</v>
      </c>
      <c r="F27" s="5">
        <v>156.113</v>
      </c>
      <c r="G27" s="5">
        <v>224.226</v>
      </c>
      <c r="H27" s="5">
        <v>222.64</v>
      </c>
      <c r="I27" s="5">
        <v>194.95099999999999</v>
      </c>
      <c r="K27" s="5"/>
      <c r="L27" s="5"/>
      <c r="M27" s="5"/>
      <c r="N27" s="5"/>
      <c r="O27" s="5"/>
      <c r="P27" s="5"/>
      <c r="Q27" s="5"/>
    </row>
    <row r="28" spans="1:20" ht="15" customHeight="1" x14ac:dyDescent="0.25">
      <c r="A28" s="187"/>
      <c r="B28" s="23" t="s">
        <v>19</v>
      </c>
      <c r="C28" s="5" t="s">
        <v>109</v>
      </c>
      <c r="D28" s="5">
        <v>0.52200000000000002</v>
      </c>
      <c r="E28" s="5">
        <v>1.637</v>
      </c>
      <c r="F28" s="5">
        <v>4.7750000000000004</v>
      </c>
      <c r="G28" s="5">
        <v>9.6180000000000003</v>
      </c>
      <c r="H28" s="5">
        <v>9</v>
      </c>
      <c r="I28" s="5">
        <v>11.337999999999999</v>
      </c>
      <c r="K28" s="5"/>
      <c r="L28" s="5"/>
      <c r="M28" s="5"/>
      <c r="N28" s="5"/>
      <c r="O28" s="5"/>
      <c r="P28" s="5"/>
      <c r="Q28" s="5"/>
    </row>
    <row r="29" spans="1:20" ht="15" customHeight="1" x14ac:dyDescent="0.25">
      <c r="A29" s="187"/>
      <c r="B29" s="27" t="s">
        <v>11</v>
      </c>
      <c r="C29" s="97" t="s">
        <v>109</v>
      </c>
      <c r="D29" s="97">
        <v>1.829</v>
      </c>
      <c r="E29" s="97">
        <v>5.6260000000000003</v>
      </c>
      <c r="F29" s="97">
        <v>15.026999999999999</v>
      </c>
      <c r="G29" s="97">
        <v>24.181999999999999</v>
      </c>
      <c r="H29" s="97">
        <v>23.783000000000001</v>
      </c>
      <c r="I29" s="97">
        <v>23.742999999999999</v>
      </c>
      <c r="K29" s="97"/>
      <c r="L29" s="97"/>
      <c r="M29" s="97"/>
      <c r="N29" s="97"/>
      <c r="O29" s="97"/>
      <c r="P29" s="97"/>
      <c r="Q29" s="97"/>
    </row>
    <row r="30" spans="1:20" ht="15" customHeight="1" x14ac:dyDescent="0.25">
      <c r="A30" s="187" t="s">
        <v>11</v>
      </c>
      <c r="B30" s="23" t="s">
        <v>18</v>
      </c>
      <c r="C30" s="5">
        <v>4.1399999999999997</v>
      </c>
      <c r="D30" s="5">
        <v>47.243000000000002</v>
      </c>
      <c r="E30" s="5">
        <v>113.367</v>
      </c>
      <c r="F30" s="5">
        <v>265.036</v>
      </c>
      <c r="G30" s="5">
        <v>390.79500000000002</v>
      </c>
      <c r="H30" s="5">
        <v>423.80099999999999</v>
      </c>
      <c r="I30" s="5">
        <v>488.27699999999999</v>
      </c>
      <c r="K30" s="5"/>
      <c r="L30" s="5"/>
      <c r="M30" s="5"/>
      <c r="N30" s="5"/>
      <c r="O30" s="5"/>
      <c r="P30" s="5"/>
      <c r="Q30" s="5"/>
    </row>
    <row r="31" spans="1:20" ht="15" customHeight="1" x14ac:dyDescent="0.25">
      <c r="A31" s="187"/>
      <c r="B31" s="23" t="s">
        <v>19</v>
      </c>
      <c r="C31" s="5" t="s">
        <v>109</v>
      </c>
      <c r="D31" s="5">
        <v>0.47499999999999998</v>
      </c>
      <c r="E31" s="5">
        <v>3.2469999999999999</v>
      </c>
      <c r="F31" s="5">
        <v>9.766</v>
      </c>
      <c r="G31" s="5">
        <v>20.283000000000001</v>
      </c>
      <c r="H31" s="5">
        <v>23.733000000000001</v>
      </c>
      <c r="I31" s="5">
        <v>29.457000000000001</v>
      </c>
      <c r="K31" s="5"/>
      <c r="L31" s="5"/>
      <c r="M31" s="5"/>
      <c r="N31" s="5"/>
      <c r="O31" s="5"/>
      <c r="P31" s="5"/>
      <c r="Q31" s="5"/>
    </row>
    <row r="32" spans="1:20" ht="15" customHeight="1" x14ac:dyDescent="0.25">
      <c r="A32" s="187"/>
      <c r="B32" s="27" t="s">
        <v>11</v>
      </c>
      <c r="C32" s="97">
        <v>0.29899999999999999</v>
      </c>
      <c r="D32" s="97">
        <v>3.6139999999999999</v>
      </c>
      <c r="E32" s="97">
        <v>10.502000000000001</v>
      </c>
      <c r="F32" s="97">
        <v>26.899000000000001</v>
      </c>
      <c r="G32" s="97">
        <v>45.537999999999997</v>
      </c>
      <c r="H32" s="97">
        <v>51.451000000000001</v>
      </c>
      <c r="I32" s="97">
        <v>61.064</v>
      </c>
      <c r="K32" s="97"/>
      <c r="L32" s="97"/>
      <c r="M32" s="97"/>
      <c r="N32" s="97"/>
      <c r="O32" s="97"/>
      <c r="P32" s="97"/>
      <c r="Q32" s="97"/>
    </row>
    <row r="33" spans="1:12" ht="3" customHeight="1" x14ac:dyDescent="0.25">
      <c r="A33" s="143"/>
      <c r="B33" s="33"/>
      <c r="C33" s="33"/>
      <c r="D33" s="33"/>
      <c r="E33" s="33"/>
      <c r="F33" s="33"/>
      <c r="G33" s="33"/>
      <c r="H33" s="33"/>
      <c r="I33" s="33"/>
    </row>
    <row r="34" spans="1:12" ht="11.1" customHeight="1" x14ac:dyDescent="0.25">
      <c r="A34" s="6" t="s">
        <v>23</v>
      </c>
      <c r="B34" s="6"/>
      <c r="C34" s="6"/>
      <c r="D34" s="6"/>
      <c r="E34" s="6"/>
      <c r="F34" s="6"/>
      <c r="G34" s="6"/>
      <c r="H34" s="6"/>
      <c r="I34" s="6"/>
      <c r="J34" s="6"/>
    </row>
    <row r="35" spans="1:12" s="6" customFormat="1" ht="18.75" customHeight="1" x14ac:dyDescent="0.15">
      <c r="A35" s="186" t="s">
        <v>34</v>
      </c>
      <c r="B35" s="186"/>
      <c r="C35" s="186"/>
      <c r="D35" s="186"/>
      <c r="E35" s="186"/>
      <c r="F35" s="186"/>
      <c r="G35" s="186"/>
      <c r="H35" s="186"/>
      <c r="I35" s="186"/>
      <c r="J35" s="186"/>
    </row>
    <row r="36" spans="1:12" s="6" customFormat="1" ht="11.1" customHeight="1" x14ac:dyDescent="0.15">
      <c r="A36" s="6" t="s">
        <v>32</v>
      </c>
    </row>
    <row r="37" spans="1:12" s="6" customFormat="1" ht="11.1" customHeight="1" x14ac:dyDescent="0.15">
      <c r="A37" s="6" t="s">
        <v>33</v>
      </c>
    </row>
    <row r="38" spans="1:12" s="6" customFormat="1" ht="11.1" customHeight="1" x14ac:dyDescent="0.15">
      <c r="A38" s="6" t="s">
        <v>14</v>
      </c>
    </row>
    <row r="39" spans="1:12" s="6" customFormat="1" ht="11.1" customHeight="1" x14ac:dyDescent="0.15">
      <c r="A39" s="6" t="s">
        <v>207</v>
      </c>
    </row>
    <row r="40" spans="1:12" ht="12" customHeight="1" x14ac:dyDescent="0.25">
      <c r="A40" s="2"/>
      <c r="L40" s="146"/>
    </row>
    <row r="41" spans="1:12" x14ac:dyDescent="0.25">
      <c r="L41" s="146"/>
    </row>
    <row r="42" spans="1:12" x14ac:dyDescent="0.25">
      <c r="F42"/>
      <c r="G42" s="126"/>
    </row>
    <row r="43" spans="1:12" x14ac:dyDescent="0.25">
      <c r="E43" s="153"/>
      <c r="F43"/>
      <c r="G43" s="126"/>
    </row>
    <row r="44" spans="1:12" x14ac:dyDescent="0.25">
      <c r="E44" s="153"/>
      <c r="G44" s="126"/>
    </row>
    <row r="45" spans="1:12" x14ac:dyDescent="0.25">
      <c r="E45" s="153"/>
      <c r="G45" s="126"/>
    </row>
    <row r="46" spans="1:12" x14ac:dyDescent="0.25">
      <c r="E46" s="153"/>
      <c r="G46" s="126"/>
    </row>
    <row r="47" spans="1:12" x14ac:dyDescent="0.25">
      <c r="E47" s="153"/>
      <c r="G47" s="126"/>
    </row>
    <row r="48" spans="1:12" x14ac:dyDescent="0.25">
      <c r="E48" s="153"/>
      <c r="G48" s="126"/>
    </row>
    <row r="49" spans="5:7" x14ac:dyDescent="0.25">
      <c r="E49" s="153"/>
      <c r="G49" s="126"/>
    </row>
    <row r="50" spans="5:7" x14ac:dyDescent="0.25">
      <c r="E50" s="153"/>
      <c r="G50" s="126"/>
    </row>
    <row r="51" spans="5:7" x14ac:dyDescent="0.25">
      <c r="E51" s="153"/>
    </row>
    <row r="52" spans="5:7" x14ac:dyDescent="0.25">
      <c r="E52" s="153"/>
    </row>
    <row r="53" spans="5:7" x14ac:dyDescent="0.25">
      <c r="E53" s="153"/>
    </row>
    <row r="54" spans="5:7" x14ac:dyDescent="0.25">
      <c r="E54" s="153"/>
    </row>
  </sheetData>
  <mergeCells count="10">
    <mergeCell ref="A1:J1"/>
    <mergeCell ref="A4:A6"/>
    <mergeCell ref="A7:A9"/>
    <mergeCell ref="A10:A12"/>
    <mergeCell ref="A15:J15"/>
    <mergeCell ref="A35:J35"/>
    <mergeCell ref="A21:J21"/>
    <mergeCell ref="A24:A26"/>
    <mergeCell ref="A27:A29"/>
    <mergeCell ref="A30:A32"/>
  </mergeCells>
  <pageMargins left="0.08" right="0.08" top="1" bottom="1" header="0.5" footer="0.5"/>
  <pageSetup orientation="landscape" blackAndWhite="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101"/>
  <sheetViews>
    <sheetView topLeftCell="A78" zoomScaleNormal="100" workbookViewId="0">
      <selection sqref="A1:K1"/>
    </sheetView>
  </sheetViews>
  <sheetFormatPr defaultColWidth="9.140625" defaultRowHeight="15" x14ac:dyDescent="0.25"/>
  <cols>
    <col min="1" max="1" width="20.140625" style="1" customWidth="1"/>
    <col min="2" max="11" width="11.42578125" style="1" bestFit="1" customWidth="1"/>
    <col min="12" max="12" width="11.42578125" style="1" customWidth="1"/>
    <col min="13" max="14" width="11.42578125" style="1" bestFit="1" customWidth="1"/>
    <col min="15" max="16384" width="9.140625" style="1"/>
  </cols>
  <sheetData>
    <row r="1" spans="1:23" ht="25.5" customHeight="1" x14ac:dyDescent="0.25">
      <c r="A1" s="183" t="s">
        <v>277</v>
      </c>
      <c r="B1" s="183"/>
      <c r="C1" s="183"/>
      <c r="D1" s="183"/>
      <c r="E1" s="183"/>
      <c r="F1" s="183"/>
      <c r="G1" s="183"/>
      <c r="H1" s="183"/>
      <c r="I1" s="183"/>
      <c r="J1" s="183"/>
      <c r="K1" s="183"/>
      <c r="L1" s="99"/>
    </row>
    <row r="2" spans="1:23" ht="3.75" customHeight="1" x14ac:dyDescent="0.25">
      <c r="A2" s="2"/>
    </row>
    <row r="3" spans="1:23" x14ac:dyDescent="0.25">
      <c r="A3" s="40" t="s">
        <v>120</v>
      </c>
      <c r="B3" s="40" t="s">
        <v>121</v>
      </c>
      <c r="C3" s="3" t="s">
        <v>0</v>
      </c>
      <c r="D3" s="3" t="s">
        <v>1</v>
      </c>
      <c r="E3" s="3" t="s">
        <v>2</v>
      </c>
      <c r="F3" s="3" t="s">
        <v>3</v>
      </c>
      <c r="G3" s="3" t="s">
        <v>4</v>
      </c>
      <c r="H3" s="3" t="s">
        <v>5</v>
      </c>
      <c r="I3" s="3" t="s">
        <v>6</v>
      </c>
      <c r="J3" s="3" t="s">
        <v>7</v>
      </c>
      <c r="K3" s="3" t="s">
        <v>8</v>
      </c>
      <c r="L3" s="101"/>
      <c r="M3" s="5"/>
      <c r="N3" s="5"/>
      <c r="O3" s="5"/>
      <c r="P3" s="5"/>
      <c r="Q3" s="5"/>
      <c r="R3" s="5"/>
      <c r="S3" s="5"/>
      <c r="T3" s="5"/>
      <c r="U3" s="5"/>
    </row>
    <row r="4" spans="1:23" x14ac:dyDescent="0.25">
      <c r="A4" s="187" t="s">
        <v>18</v>
      </c>
      <c r="B4" s="23" t="s">
        <v>142</v>
      </c>
      <c r="C4" s="5">
        <v>2.9</v>
      </c>
      <c r="D4" s="5">
        <v>0.4</v>
      </c>
      <c r="E4" s="5">
        <v>50.6</v>
      </c>
      <c r="F4" s="5">
        <v>15.4</v>
      </c>
      <c r="G4" s="5">
        <v>5.8</v>
      </c>
      <c r="H4" s="5">
        <v>1.6</v>
      </c>
      <c r="I4" s="5">
        <v>1.5</v>
      </c>
      <c r="J4" s="5" t="s">
        <v>114</v>
      </c>
      <c r="K4" s="5">
        <v>78.2</v>
      </c>
      <c r="L4" s="5"/>
      <c r="M4" s="5"/>
      <c r="N4" s="5"/>
      <c r="O4" s="5"/>
      <c r="P4" s="5"/>
      <c r="Q4" s="5"/>
      <c r="R4" s="5"/>
      <c r="S4" s="5"/>
      <c r="T4" s="5"/>
      <c r="U4" s="5"/>
      <c r="W4" s="127"/>
    </row>
    <row r="5" spans="1:23" x14ac:dyDescent="0.25">
      <c r="A5" s="187"/>
      <c r="B5" s="23" t="s">
        <v>143</v>
      </c>
      <c r="C5" s="5">
        <v>393.7</v>
      </c>
      <c r="D5" s="5">
        <v>41.8</v>
      </c>
      <c r="E5" s="5">
        <v>537</v>
      </c>
      <c r="F5" s="5">
        <v>200.6</v>
      </c>
      <c r="G5" s="5">
        <v>91.3</v>
      </c>
      <c r="H5" s="5">
        <v>36.5</v>
      </c>
      <c r="I5" s="5">
        <v>14.3</v>
      </c>
      <c r="J5" s="5" t="s">
        <v>114</v>
      </c>
      <c r="K5" s="5">
        <v>1315.2</v>
      </c>
      <c r="L5" s="5"/>
      <c r="M5" s="5"/>
      <c r="N5" s="5"/>
      <c r="O5" s="5"/>
      <c r="P5" s="5"/>
      <c r="Q5" s="5"/>
      <c r="R5" s="5"/>
      <c r="S5" s="5"/>
      <c r="T5" s="5"/>
      <c r="U5" s="5"/>
    </row>
    <row r="6" spans="1:23" x14ac:dyDescent="0.25">
      <c r="A6" s="187"/>
      <c r="B6" s="4" t="s">
        <v>35</v>
      </c>
      <c r="C6" s="5">
        <v>35.5</v>
      </c>
      <c r="D6" s="5">
        <v>36.4</v>
      </c>
      <c r="E6" s="5">
        <v>198.1</v>
      </c>
      <c r="F6" s="5">
        <v>43.4</v>
      </c>
      <c r="G6" s="5">
        <v>15.2</v>
      </c>
      <c r="H6" s="5">
        <v>15.5</v>
      </c>
      <c r="I6" s="5">
        <v>5.2</v>
      </c>
      <c r="J6" s="5" t="s">
        <v>114</v>
      </c>
      <c r="K6" s="5">
        <v>349.3</v>
      </c>
      <c r="L6" s="5"/>
      <c r="M6" s="5"/>
      <c r="N6" s="5"/>
      <c r="O6" s="5"/>
      <c r="P6" s="5"/>
      <c r="Q6" s="5"/>
      <c r="R6" s="5"/>
      <c r="S6" s="5"/>
      <c r="T6" s="5"/>
      <c r="U6" s="5"/>
    </row>
    <row r="7" spans="1:23" x14ac:dyDescent="0.25">
      <c r="A7" s="187"/>
      <c r="B7" s="27" t="s">
        <v>11</v>
      </c>
      <c r="C7" s="97">
        <v>432.1</v>
      </c>
      <c r="D7" s="97">
        <v>78.599999999999994</v>
      </c>
      <c r="E7" s="97">
        <v>785.7</v>
      </c>
      <c r="F7" s="97">
        <v>259.5</v>
      </c>
      <c r="G7" s="97">
        <v>112.3</v>
      </c>
      <c r="H7" s="97">
        <v>53.6</v>
      </c>
      <c r="I7" s="97">
        <v>20.9</v>
      </c>
      <c r="J7" s="97" t="s">
        <v>114</v>
      </c>
      <c r="K7" s="97">
        <v>1742.7</v>
      </c>
      <c r="L7" s="97"/>
      <c r="M7" s="97"/>
      <c r="N7" s="97"/>
      <c r="O7" s="97"/>
      <c r="P7" s="97"/>
      <c r="Q7" s="97"/>
      <c r="R7" s="97"/>
      <c r="S7" s="97"/>
      <c r="T7" s="5"/>
      <c r="U7" s="97"/>
    </row>
    <row r="8" spans="1:23" ht="15" customHeight="1" x14ac:dyDescent="0.25">
      <c r="A8" s="187" t="s">
        <v>19</v>
      </c>
      <c r="B8" s="23" t="s">
        <v>142</v>
      </c>
      <c r="C8" s="5">
        <v>2.5</v>
      </c>
      <c r="D8" s="5">
        <v>0.8</v>
      </c>
      <c r="E8" s="5">
        <v>14.2</v>
      </c>
      <c r="F8" s="5">
        <v>6.9</v>
      </c>
      <c r="G8" s="5">
        <v>1.2</v>
      </c>
      <c r="H8" s="5">
        <v>1.3</v>
      </c>
      <c r="I8" s="5">
        <v>0.3</v>
      </c>
      <c r="J8" s="5" t="s">
        <v>114</v>
      </c>
      <c r="K8" s="5">
        <v>27.2</v>
      </c>
      <c r="L8" s="5"/>
      <c r="M8" s="5"/>
      <c r="N8" s="5"/>
      <c r="O8" s="5"/>
      <c r="P8" s="5"/>
      <c r="Q8" s="5"/>
      <c r="R8" s="5"/>
      <c r="S8" s="5"/>
      <c r="T8" s="5"/>
      <c r="U8" s="5"/>
    </row>
    <row r="9" spans="1:23" x14ac:dyDescent="0.25">
      <c r="A9" s="187"/>
      <c r="B9" s="23" t="s">
        <v>143</v>
      </c>
      <c r="C9" s="5">
        <v>315.2</v>
      </c>
      <c r="D9" s="5">
        <v>185.4</v>
      </c>
      <c r="E9" s="5">
        <v>254.4</v>
      </c>
      <c r="F9" s="5">
        <v>145</v>
      </c>
      <c r="G9" s="5">
        <v>68.400000000000006</v>
      </c>
      <c r="H9" s="5">
        <v>56.6</v>
      </c>
      <c r="I9" s="5">
        <v>31.3</v>
      </c>
      <c r="J9" s="5" t="s">
        <v>114</v>
      </c>
      <c r="K9" s="5">
        <v>1056.2</v>
      </c>
      <c r="L9" s="5"/>
      <c r="M9" s="5"/>
      <c r="N9" s="5"/>
      <c r="O9" s="5"/>
      <c r="P9" s="5"/>
      <c r="Q9" s="5"/>
      <c r="R9" s="5"/>
      <c r="S9" s="5"/>
      <c r="T9" s="5"/>
      <c r="U9" s="5"/>
    </row>
    <row r="10" spans="1:23" x14ac:dyDescent="0.25">
      <c r="A10" s="187"/>
      <c r="B10" s="4" t="s">
        <v>35</v>
      </c>
      <c r="C10" s="5">
        <v>32.5</v>
      </c>
      <c r="D10" s="5">
        <v>154.19999999999999</v>
      </c>
      <c r="E10" s="5">
        <v>205.2</v>
      </c>
      <c r="F10" s="5">
        <v>33.6</v>
      </c>
      <c r="G10" s="5">
        <v>18.399999999999999</v>
      </c>
      <c r="H10" s="5">
        <v>35</v>
      </c>
      <c r="I10" s="5">
        <v>18.399999999999999</v>
      </c>
      <c r="J10" s="5" t="s">
        <v>114</v>
      </c>
      <c r="K10" s="5">
        <v>497.2</v>
      </c>
      <c r="L10" s="5"/>
      <c r="M10" s="5"/>
      <c r="N10" s="5"/>
      <c r="O10" s="5"/>
      <c r="P10" s="5"/>
      <c r="Q10" s="5"/>
      <c r="R10" s="5"/>
      <c r="S10" s="5"/>
      <c r="T10" s="5"/>
      <c r="U10" s="5"/>
    </row>
    <row r="11" spans="1:23" x14ac:dyDescent="0.25">
      <c r="A11" s="187"/>
      <c r="B11" s="27" t="s">
        <v>11</v>
      </c>
      <c r="C11" s="97">
        <v>350.2</v>
      </c>
      <c r="D11" s="97">
        <v>340.4</v>
      </c>
      <c r="E11" s="97">
        <v>473.8</v>
      </c>
      <c r="F11" s="97">
        <v>185.4</v>
      </c>
      <c r="G11" s="97">
        <v>88.1</v>
      </c>
      <c r="H11" s="97">
        <v>92.9</v>
      </c>
      <c r="I11" s="97">
        <v>50</v>
      </c>
      <c r="J11" s="97" t="s">
        <v>114</v>
      </c>
      <c r="K11" s="97">
        <v>1580.6</v>
      </c>
      <c r="L11" s="97"/>
      <c r="M11" s="97"/>
      <c r="N11" s="97"/>
      <c r="O11" s="97"/>
      <c r="P11" s="97"/>
      <c r="Q11" s="97"/>
      <c r="R11" s="97"/>
      <c r="S11" s="97"/>
      <c r="T11" s="5"/>
      <c r="U11" s="97"/>
    </row>
    <row r="12" spans="1:23" x14ac:dyDescent="0.25">
      <c r="A12" s="187" t="s">
        <v>20</v>
      </c>
      <c r="B12" s="23" t="s">
        <v>142</v>
      </c>
      <c r="C12" s="5">
        <v>0.2</v>
      </c>
      <c r="D12" s="5" t="s">
        <v>109</v>
      </c>
      <c r="E12" s="5" t="s">
        <v>109</v>
      </c>
      <c r="F12" s="5" t="s">
        <v>109</v>
      </c>
      <c r="G12" s="5" t="s">
        <v>109</v>
      </c>
      <c r="H12" s="5">
        <v>0.1</v>
      </c>
      <c r="I12" s="5" t="s">
        <v>109</v>
      </c>
      <c r="J12" s="5" t="s">
        <v>114</v>
      </c>
      <c r="K12" s="5">
        <v>0.3</v>
      </c>
      <c r="L12" s="5"/>
      <c r="M12" s="5"/>
      <c r="N12" s="5"/>
      <c r="O12" s="5"/>
      <c r="P12" s="5"/>
      <c r="Q12" s="5"/>
      <c r="R12" s="5"/>
      <c r="S12" s="5"/>
      <c r="T12" s="5"/>
      <c r="U12" s="5"/>
    </row>
    <row r="13" spans="1:23" x14ac:dyDescent="0.25">
      <c r="A13" s="187"/>
      <c r="B13" s="23" t="s">
        <v>143</v>
      </c>
      <c r="C13" s="5">
        <v>25.1</v>
      </c>
      <c r="D13" s="5">
        <v>0.4</v>
      </c>
      <c r="E13" s="5">
        <v>3.7</v>
      </c>
      <c r="F13" s="5" t="s">
        <v>109</v>
      </c>
      <c r="G13" s="5">
        <v>2.2999999999999998</v>
      </c>
      <c r="H13" s="5">
        <v>0.3</v>
      </c>
      <c r="I13" s="5" t="s">
        <v>109</v>
      </c>
      <c r="J13" s="5" t="s">
        <v>114</v>
      </c>
      <c r="K13" s="5">
        <v>31.8</v>
      </c>
      <c r="L13" s="5"/>
      <c r="M13" s="5"/>
      <c r="N13" s="5"/>
      <c r="O13" s="5"/>
      <c r="P13" s="5"/>
      <c r="Q13" s="5"/>
      <c r="R13" s="5"/>
      <c r="S13" s="5"/>
      <c r="T13" s="5"/>
      <c r="U13" s="5"/>
    </row>
    <row r="14" spans="1:23" x14ac:dyDescent="0.25">
      <c r="A14" s="187"/>
      <c r="B14" s="4" t="s">
        <v>35</v>
      </c>
      <c r="C14" s="5">
        <v>1.4</v>
      </c>
      <c r="D14" s="5" t="s">
        <v>109</v>
      </c>
      <c r="E14" s="5">
        <v>0.6</v>
      </c>
      <c r="F14" s="5" t="s">
        <v>109</v>
      </c>
      <c r="G14" s="5">
        <v>0.8</v>
      </c>
      <c r="H14" s="5">
        <v>0.3</v>
      </c>
      <c r="I14" s="5" t="s">
        <v>109</v>
      </c>
      <c r="J14" s="5" t="s">
        <v>114</v>
      </c>
      <c r="K14" s="5">
        <v>3</v>
      </c>
      <c r="L14" s="5"/>
      <c r="M14" s="5"/>
      <c r="N14" s="5"/>
      <c r="O14" s="5"/>
      <c r="P14" s="5"/>
      <c r="Q14" s="5"/>
      <c r="R14" s="5"/>
      <c r="S14" s="5"/>
      <c r="T14" s="5"/>
      <c r="U14" s="5"/>
    </row>
    <row r="15" spans="1:23" x14ac:dyDescent="0.25">
      <c r="A15" s="187"/>
      <c r="B15" s="27" t="s">
        <v>11</v>
      </c>
      <c r="C15" s="97">
        <v>26.6</v>
      </c>
      <c r="D15" s="97">
        <v>0.4</v>
      </c>
      <c r="E15" s="97">
        <v>4.3</v>
      </c>
      <c r="F15" s="97" t="s">
        <v>109</v>
      </c>
      <c r="G15" s="97">
        <v>3.1</v>
      </c>
      <c r="H15" s="97">
        <v>0.7</v>
      </c>
      <c r="I15" s="97" t="s">
        <v>109</v>
      </c>
      <c r="J15" s="97" t="s">
        <v>114</v>
      </c>
      <c r="K15" s="97">
        <v>35.1</v>
      </c>
      <c r="L15" s="97"/>
      <c r="M15" s="97"/>
      <c r="N15" s="97"/>
      <c r="O15" s="97"/>
      <c r="P15" s="97"/>
      <c r="Q15" s="97"/>
      <c r="R15" s="97"/>
      <c r="S15" s="97"/>
      <c r="T15" s="5"/>
      <c r="U15" s="97"/>
    </row>
    <row r="16" spans="1:23" x14ac:dyDescent="0.25">
      <c r="A16" s="187" t="s">
        <v>11</v>
      </c>
      <c r="B16" s="4" t="s">
        <v>142</v>
      </c>
      <c r="C16" s="5">
        <v>5.6</v>
      </c>
      <c r="D16" s="5">
        <v>1.2</v>
      </c>
      <c r="E16" s="5">
        <v>64.900000000000006</v>
      </c>
      <c r="F16" s="5">
        <v>22.3</v>
      </c>
      <c r="G16" s="5">
        <v>7</v>
      </c>
      <c r="H16" s="5">
        <v>3</v>
      </c>
      <c r="I16" s="5">
        <v>1.7</v>
      </c>
      <c r="J16" s="5" t="s">
        <v>114</v>
      </c>
      <c r="K16" s="5">
        <v>105.7</v>
      </c>
      <c r="L16" s="5"/>
      <c r="M16" s="5"/>
      <c r="N16" s="5"/>
      <c r="O16" s="5"/>
      <c r="P16" s="5"/>
      <c r="Q16" s="5"/>
      <c r="R16" s="5"/>
      <c r="S16" s="5"/>
      <c r="T16" s="5"/>
      <c r="U16" s="5"/>
    </row>
    <row r="17" spans="1:21" x14ac:dyDescent="0.25">
      <c r="A17" s="187"/>
      <c r="B17" s="4" t="s">
        <v>143</v>
      </c>
      <c r="C17" s="5">
        <v>733.9</v>
      </c>
      <c r="D17" s="5">
        <v>227.5</v>
      </c>
      <c r="E17" s="5">
        <v>795.1</v>
      </c>
      <c r="F17" s="5">
        <v>345.6</v>
      </c>
      <c r="G17" s="5">
        <v>162.1</v>
      </c>
      <c r="H17" s="5">
        <v>93.4</v>
      </c>
      <c r="I17" s="5">
        <v>45.6</v>
      </c>
      <c r="J17" s="5" t="s">
        <v>114</v>
      </c>
      <c r="K17" s="5">
        <v>2403.1999999999998</v>
      </c>
      <c r="L17" s="5"/>
      <c r="M17" s="5"/>
      <c r="N17" s="5"/>
      <c r="O17" s="5"/>
      <c r="P17" s="5"/>
      <c r="Q17" s="5"/>
      <c r="R17" s="5"/>
      <c r="S17" s="5"/>
      <c r="T17" s="5"/>
      <c r="U17" s="5"/>
    </row>
    <row r="18" spans="1:21" x14ac:dyDescent="0.25">
      <c r="A18" s="187"/>
      <c r="B18" s="4" t="s">
        <v>35</v>
      </c>
      <c r="C18" s="5">
        <v>69.400000000000006</v>
      </c>
      <c r="D18" s="5">
        <v>190.7</v>
      </c>
      <c r="E18" s="5">
        <v>403.8</v>
      </c>
      <c r="F18" s="5">
        <v>77</v>
      </c>
      <c r="G18" s="5">
        <v>34.4</v>
      </c>
      <c r="H18" s="5">
        <v>50.8</v>
      </c>
      <c r="I18" s="5">
        <v>23.5</v>
      </c>
      <c r="J18" s="5" t="s">
        <v>114</v>
      </c>
      <c r="K18" s="5">
        <v>849.5</v>
      </c>
      <c r="L18" s="5"/>
      <c r="M18" s="5"/>
      <c r="N18" s="5"/>
      <c r="O18" s="5"/>
      <c r="P18" s="5"/>
      <c r="Q18" s="5"/>
      <c r="R18" s="5"/>
      <c r="S18" s="5"/>
      <c r="T18" s="5"/>
      <c r="U18" s="5"/>
    </row>
    <row r="19" spans="1:21" x14ac:dyDescent="0.25">
      <c r="A19" s="187"/>
      <c r="B19" s="27" t="s">
        <v>11</v>
      </c>
      <c r="C19" s="97">
        <v>808.9</v>
      </c>
      <c r="D19" s="97">
        <v>419.4</v>
      </c>
      <c r="E19" s="97">
        <v>1263.8</v>
      </c>
      <c r="F19" s="97">
        <v>444.9</v>
      </c>
      <c r="G19" s="97">
        <v>203.4</v>
      </c>
      <c r="H19" s="97">
        <v>147.19999999999999</v>
      </c>
      <c r="I19" s="97">
        <v>70.900000000000006</v>
      </c>
      <c r="J19" s="97" t="s">
        <v>114</v>
      </c>
      <c r="K19" s="97">
        <v>3358.4</v>
      </c>
      <c r="L19" s="97"/>
      <c r="M19" s="97"/>
      <c r="N19" s="97"/>
      <c r="O19" s="97"/>
      <c r="P19" s="97"/>
      <c r="Q19" s="97"/>
      <c r="R19" s="97"/>
      <c r="S19" s="97"/>
      <c r="T19" s="5"/>
      <c r="U19" s="97"/>
    </row>
    <row r="20" spans="1:21" ht="1.5" customHeight="1" x14ac:dyDescent="0.25">
      <c r="A20" s="2"/>
      <c r="C20" s="1" t="s">
        <v>189</v>
      </c>
      <c r="D20" s="1" t="s">
        <v>189</v>
      </c>
      <c r="E20" s="1" t="s">
        <v>189</v>
      </c>
      <c r="F20" s="1" t="s">
        <v>189</v>
      </c>
      <c r="G20" s="1" t="s">
        <v>189</v>
      </c>
      <c r="H20" s="1" t="s">
        <v>189</v>
      </c>
      <c r="I20" s="1" t="s">
        <v>189</v>
      </c>
      <c r="J20" s="1" t="s">
        <v>189</v>
      </c>
      <c r="K20" s="1" t="s">
        <v>189</v>
      </c>
      <c r="M20" s="129"/>
      <c r="N20" s="129"/>
      <c r="O20" s="129"/>
      <c r="P20" s="129"/>
      <c r="Q20" s="129"/>
      <c r="R20" s="129"/>
      <c r="S20" s="129"/>
      <c r="T20" s="129"/>
      <c r="U20" s="129"/>
    </row>
    <row r="21" spans="1:21" ht="11.1" customHeight="1" x14ac:dyDescent="0.25">
      <c r="A21" s="184" t="s">
        <v>12</v>
      </c>
      <c r="B21" s="184"/>
      <c r="C21" s="184"/>
      <c r="D21" s="184"/>
      <c r="E21" s="184"/>
      <c r="F21" s="184"/>
      <c r="G21" s="184"/>
      <c r="H21" s="184"/>
      <c r="I21" s="184"/>
      <c r="J21" s="184"/>
      <c r="K21" s="184"/>
      <c r="L21" s="76"/>
    </row>
    <row r="22" spans="1:21" s="6" customFormat="1" ht="11.1" customHeight="1" x14ac:dyDescent="0.15">
      <c r="A22" s="6" t="s">
        <v>13</v>
      </c>
    </row>
    <row r="23" spans="1:21" s="12" customFormat="1" ht="11.1" customHeight="1" x14ac:dyDescent="0.2">
      <c r="A23" s="39" t="s">
        <v>23</v>
      </c>
    </row>
    <row r="24" spans="1:21" s="6" customFormat="1" ht="11.1" customHeight="1" x14ac:dyDescent="0.15">
      <c r="A24" s="6" t="s">
        <v>139</v>
      </c>
    </row>
    <row r="25" spans="1:21" s="6" customFormat="1" ht="18.75" customHeight="1" x14ac:dyDescent="0.15">
      <c r="A25" s="186" t="s">
        <v>29</v>
      </c>
      <c r="B25" s="186"/>
      <c r="C25" s="186"/>
      <c r="D25" s="186"/>
      <c r="E25" s="186"/>
      <c r="F25" s="186"/>
      <c r="G25" s="186"/>
      <c r="H25" s="186"/>
      <c r="I25" s="186"/>
      <c r="J25" s="186"/>
      <c r="K25" s="186"/>
      <c r="L25" s="92"/>
    </row>
    <row r="26" spans="1:21" s="6" customFormat="1" ht="11.1" customHeight="1" x14ac:dyDescent="0.15">
      <c r="A26" s="6" t="s">
        <v>271</v>
      </c>
    </row>
    <row r="27" spans="1:21" s="6" customFormat="1" ht="11.1" customHeight="1" x14ac:dyDescent="0.15"/>
    <row r="28" spans="1:21" s="6" customFormat="1" ht="11.1" customHeight="1" x14ac:dyDescent="0.15">
      <c r="A28" s="6" t="s">
        <v>263</v>
      </c>
    </row>
    <row r="29" spans="1:21" ht="12" customHeight="1" x14ac:dyDescent="0.25">
      <c r="A29" s="2"/>
    </row>
    <row r="30" spans="1:21" ht="27.95" customHeight="1" x14ac:dyDescent="0.25">
      <c r="A30" s="185" t="s">
        <v>278</v>
      </c>
      <c r="B30" s="185"/>
      <c r="C30" s="185"/>
      <c r="D30" s="185"/>
      <c r="E30" s="185"/>
      <c r="F30" s="185"/>
      <c r="G30" s="185"/>
      <c r="H30" s="185"/>
      <c r="I30" s="185"/>
      <c r="J30" s="185"/>
      <c r="K30" s="185"/>
      <c r="L30" s="185"/>
      <c r="M30" s="185"/>
      <c r="N30" s="185"/>
    </row>
    <row r="31" spans="1:21" ht="3" customHeight="1" x14ac:dyDescent="0.25">
      <c r="A31" s="2"/>
    </row>
    <row r="32" spans="1:21" x14ac:dyDescent="0.25">
      <c r="A32" s="40" t="s">
        <v>120</v>
      </c>
      <c r="B32" s="40" t="s">
        <v>121</v>
      </c>
      <c r="C32" s="3" t="s">
        <v>0</v>
      </c>
      <c r="D32" s="3" t="s">
        <v>1</v>
      </c>
      <c r="E32" s="3" t="s">
        <v>2</v>
      </c>
      <c r="F32" s="3" t="s">
        <v>3</v>
      </c>
      <c r="G32" s="3" t="s">
        <v>4</v>
      </c>
      <c r="H32" s="3" t="s">
        <v>5</v>
      </c>
      <c r="I32" s="3" t="s">
        <v>6</v>
      </c>
      <c r="J32" s="3" t="s">
        <v>7</v>
      </c>
      <c r="K32" s="3" t="s">
        <v>8</v>
      </c>
      <c r="L32" s="101"/>
    </row>
    <row r="33" spans="1:23" x14ac:dyDescent="0.25">
      <c r="A33" s="187" t="s">
        <v>18</v>
      </c>
      <c r="B33" s="23" t="s">
        <v>142</v>
      </c>
      <c r="C33" s="8">
        <v>16</v>
      </c>
      <c r="D33" s="8">
        <v>4</v>
      </c>
      <c r="E33" s="8">
        <v>147</v>
      </c>
      <c r="F33" s="8">
        <v>83</v>
      </c>
      <c r="G33" s="8">
        <v>29</v>
      </c>
      <c r="H33" s="8" t="s">
        <v>116</v>
      </c>
      <c r="I33" s="8" t="s">
        <v>116</v>
      </c>
      <c r="J33" s="8">
        <v>83</v>
      </c>
      <c r="K33" s="8">
        <v>371</v>
      </c>
      <c r="L33" s="8"/>
      <c r="M33" s="8"/>
      <c r="N33" s="8"/>
      <c r="O33" s="8"/>
      <c r="P33" s="8"/>
      <c r="Q33" s="8"/>
      <c r="R33" s="8"/>
      <c r="S33" s="8"/>
      <c r="T33" s="8"/>
      <c r="U33" s="8"/>
      <c r="W33" s="120"/>
    </row>
    <row r="34" spans="1:23" x14ac:dyDescent="0.25">
      <c r="A34" s="187"/>
      <c r="B34" s="23" t="s">
        <v>143</v>
      </c>
      <c r="C34" s="8">
        <v>876</v>
      </c>
      <c r="D34" s="8">
        <v>109</v>
      </c>
      <c r="E34" s="8">
        <v>1129</v>
      </c>
      <c r="F34" s="8">
        <v>536</v>
      </c>
      <c r="G34" s="8">
        <v>222</v>
      </c>
      <c r="H34" s="8">
        <v>72</v>
      </c>
      <c r="I34" s="8">
        <v>38</v>
      </c>
      <c r="J34" s="8">
        <v>508</v>
      </c>
      <c r="K34" s="8">
        <v>3490</v>
      </c>
      <c r="L34" s="8"/>
      <c r="M34" s="8"/>
      <c r="N34" s="8"/>
      <c r="O34" s="8"/>
      <c r="P34" s="8"/>
      <c r="Q34" s="8"/>
      <c r="R34" s="8"/>
      <c r="S34" s="8"/>
      <c r="T34" s="8"/>
      <c r="U34" s="8"/>
    </row>
    <row r="35" spans="1:23" x14ac:dyDescent="0.25">
      <c r="A35" s="187"/>
      <c r="B35" s="4" t="s">
        <v>35</v>
      </c>
      <c r="C35" s="8">
        <v>42</v>
      </c>
      <c r="D35" s="8">
        <v>81</v>
      </c>
      <c r="E35" s="8">
        <v>267</v>
      </c>
      <c r="F35" s="8">
        <v>59</v>
      </c>
      <c r="G35" s="8">
        <v>28</v>
      </c>
      <c r="H35" s="8" t="s">
        <v>116</v>
      </c>
      <c r="I35" s="8" t="s">
        <v>116</v>
      </c>
      <c r="J35" s="8">
        <v>326</v>
      </c>
      <c r="K35" s="8">
        <v>822</v>
      </c>
      <c r="L35" s="8"/>
      <c r="M35" s="8"/>
      <c r="N35" s="8"/>
      <c r="O35" s="8"/>
      <c r="P35" s="8"/>
      <c r="Q35" s="8"/>
      <c r="R35" s="8"/>
      <c r="S35" s="8"/>
      <c r="T35" s="8"/>
      <c r="U35" s="8"/>
    </row>
    <row r="36" spans="1:23" x14ac:dyDescent="0.25">
      <c r="A36" s="187"/>
      <c r="B36" s="30" t="s">
        <v>11</v>
      </c>
      <c r="C36" s="94">
        <v>934</v>
      </c>
      <c r="D36" s="94">
        <v>194</v>
      </c>
      <c r="E36" s="94">
        <v>1543</v>
      </c>
      <c r="F36" s="94">
        <v>679</v>
      </c>
      <c r="G36" s="94">
        <v>279</v>
      </c>
      <c r="H36" s="94">
        <v>90</v>
      </c>
      <c r="I36" s="94">
        <v>48</v>
      </c>
      <c r="J36" s="94">
        <v>917</v>
      </c>
      <c r="K36" s="94">
        <v>4684</v>
      </c>
      <c r="L36" s="94"/>
      <c r="M36" s="94"/>
      <c r="N36" s="94"/>
      <c r="O36" s="94"/>
      <c r="P36" s="94"/>
      <c r="Q36" s="94"/>
      <c r="R36" s="94"/>
      <c r="S36" s="94"/>
      <c r="T36" s="94"/>
      <c r="U36" s="94"/>
    </row>
    <row r="37" spans="1:23" ht="15" customHeight="1" x14ac:dyDescent="0.25">
      <c r="A37" s="187" t="s">
        <v>19</v>
      </c>
      <c r="B37" s="23" t="s">
        <v>142</v>
      </c>
      <c r="C37" s="8">
        <v>11</v>
      </c>
      <c r="D37" s="8">
        <v>8</v>
      </c>
      <c r="E37" s="8">
        <v>55</v>
      </c>
      <c r="F37" s="8">
        <v>25</v>
      </c>
      <c r="G37" s="8">
        <v>11</v>
      </c>
      <c r="H37" s="8" t="s">
        <v>116</v>
      </c>
      <c r="I37" s="8" t="s">
        <v>116</v>
      </c>
      <c r="J37" s="8">
        <v>1</v>
      </c>
      <c r="K37" s="8">
        <v>119</v>
      </c>
      <c r="L37" s="8"/>
      <c r="M37" s="8"/>
      <c r="N37" s="8"/>
      <c r="O37" s="8"/>
      <c r="P37" s="8"/>
      <c r="Q37" s="8"/>
      <c r="R37" s="8"/>
      <c r="S37" s="8"/>
      <c r="T37" s="8"/>
      <c r="U37" s="8"/>
    </row>
    <row r="38" spans="1:23" x14ac:dyDescent="0.25">
      <c r="A38" s="187"/>
      <c r="B38" s="23" t="s">
        <v>143</v>
      </c>
      <c r="C38" s="8">
        <v>692</v>
      </c>
      <c r="D38" s="8">
        <v>476</v>
      </c>
      <c r="E38" s="8">
        <v>590</v>
      </c>
      <c r="F38" s="8">
        <v>431</v>
      </c>
      <c r="G38" s="8">
        <v>190</v>
      </c>
      <c r="H38" s="8">
        <v>122</v>
      </c>
      <c r="I38" s="8">
        <v>87</v>
      </c>
      <c r="J38" s="8">
        <v>23</v>
      </c>
      <c r="K38" s="8">
        <v>2611</v>
      </c>
      <c r="L38" s="8"/>
      <c r="M38" s="8"/>
      <c r="N38" s="8"/>
      <c r="O38" s="8"/>
      <c r="P38" s="8"/>
      <c r="Q38" s="8"/>
      <c r="R38" s="8"/>
      <c r="S38" s="8"/>
      <c r="T38" s="8"/>
      <c r="U38" s="8"/>
    </row>
    <row r="39" spans="1:23" x14ac:dyDescent="0.25">
      <c r="A39" s="187"/>
      <c r="B39" s="4" t="s">
        <v>35</v>
      </c>
      <c r="C39" s="8">
        <v>29</v>
      </c>
      <c r="D39" s="8">
        <v>317</v>
      </c>
      <c r="E39" s="8">
        <v>255</v>
      </c>
      <c r="F39" s="8">
        <v>42</v>
      </c>
      <c r="G39" s="8">
        <v>34</v>
      </c>
      <c r="H39" s="8" t="s">
        <v>116</v>
      </c>
      <c r="I39" s="8" t="s">
        <v>116</v>
      </c>
      <c r="J39" s="8">
        <v>20</v>
      </c>
      <c r="K39" s="8">
        <v>747</v>
      </c>
      <c r="L39" s="8"/>
      <c r="M39" s="8"/>
      <c r="N39" s="8"/>
      <c r="O39" s="8"/>
      <c r="P39" s="8"/>
      <c r="Q39" s="8"/>
      <c r="R39" s="8"/>
      <c r="S39" s="8"/>
      <c r="T39" s="8"/>
      <c r="U39" s="8"/>
    </row>
    <row r="40" spans="1:23" x14ac:dyDescent="0.25">
      <c r="A40" s="187"/>
      <c r="B40" s="9" t="s">
        <v>11</v>
      </c>
      <c r="C40" s="94">
        <v>732</v>
      </c>
      <c r="D40" s="94">
        <v>801</v>
      </c>
      <c r="E40" s="94">
        <v>900</v>
      </c>
      <c r="F40" s="94">
        <v>498</v>
      </c>
      <c r="G40" s="94">
        <v>235</v>
      </c>
      <c r="H40" s="94">
        <v>161</v>
      </c>
      <c r="I40" s="94">
        <v>106</v>
      </c>
      <c r="J40" s="94">
        <v>44</v>
      </c>
      <c r="K40" s="94">
        <v>3477</v>
      </c>
      <c r="L40" s="94"/>
      <c r="M40" s="94"/>
      <c r="N40" s="94"/>
      <c r="O40" s="94"/>
      <c r="P40" s="94"/>
      <c r="Q40" s="94"/>
      <c r="R40" s="94"/>
      <c r="S40" s="94"/>
      <c r="T40" s="94"/>
      <c r="U40" s="94"/>
    </row>
    <row r="41" spans="1:23" x14ac:dyDescent="0.25">
      <c r="A41" s="187" t="s">
        <v>20</v>
      </c>
      <c r="B41" s="23" t="s">
        <v>142</v>
      </c>
      <c r="C41" s="8">
        <v>1</v>
      </c>
      <c r="D41" s="8" t="s">
        <v>109</v>
      </c>
      <c r="E41" s="8" t="s">
        <v>109</v>
      </c>
      <c r="F41" s="8" t="s">
        <v>109</v>
      </c>
      <c r="G41" s="8" t="s">
        <v>109</v>
      </c>
      <c r="H41" s="8">
        <v>1</v>
      </c>
      <c r="I41" s="8" t="s">
        <v>109</v>
      </c>
      <c r="J41" s="8">
        <v>3</v>
      </c>
      <c r="K41" s="8">
        <v>5</v>
      </c>
      <c r="L41" s="8"/>
      <c r="M41" s="8"/>
      <c r="N41" s="8"/>
      <c r="O41" s="8"/>
      <c r="P41" s="8"/>
      <c r="Q41" s="8"/>
      <c r="R41" s="8"/>
      <c r="S41" s="8"/>
      <c r="T41" s="8"/>
      <c r="U41" s="8"/>
    </row>
    <row r="42" spans="1:23" x14ac:dyDescent="0.25">
      <c r="A42" s="187"/>
      <c r="B42" s="23" t="s">
        <v>143</v>
      </c>
      <c r="C42" s="8">
        <v>72</v>
      </c>
      <c r="D42" s="8">
        <v>4</v>
      </c>
      <c r="E42" s="8">
        <v>12</v>
      </c>
      <c r="F42" s="8" t="s">
        <v>109</v>
      </c>
      <c r="G42" s="8">
        <v>7</v>
      </c>
      <c r="H42" s="8">
        <v>4</v>
      </c>
      <c r="I42" s="8" t="s">
        <v>109</v>
      </c>
      <c r="J42" s="8">
        <v>14</v>
      </c>
      <c r="K42" s="8">
        <v>113</v>
      </c>
      <c r="L42" s="8"/>
      <c r="M42" s="8"/>
      <c r="N42" s="8"/>
      <c r="O42" s="8"/>
      <c r="P42" s="8"/>
      <c r="Q42" s="8"/>
      <c r="R42" s="8"/>
      <c r="S42" s="8"/>
      <c r="T42" s="8"/>
      <c r="U42" s="8"/>
    </row>
    <row r="43" spans="1:23" x14ac:dyDescent="0.25">
      <c r="A43" s="187"/>
      <c r="B43" s="4" t="s">
        <v>35</v>
      </c>
      <c r="C43" s="8">
        <v>2</v>
      </c>
      <c r="D43" s="8" t="s">
        <v>109</v>
      </c>
      <c r="E43" s="8">
        <v>1</v>
      </c>
      <c r="F43" s="8" t="s">
        <v>109</v>
      </c>
      <c r="G43" s="8">
        <v>1</v>
      </c>
      <c r="H43" s="8">
        <v>1</v>
      </c>
      <c r="I43" s="8" t="s">
        <v>109</v>
      </c>
      <c r="J43" s="8">
        <v>17</v>
      </c>
      <c r="K43" s="8">
        <v>22</v>
      </c>
      <c r="L43" s="8"/>
      <c r="M43" s="8"/>
      <c r="N43" s="8"/>
      <c r="O43" s="8"/>
      <c r="P43" s="8"/>
      <c r="Q43" s="8"/>
      <c r="R43" s="8"/>
      <c r="S43" s="8"/>
      <c r="T43" s="8"/>
      <c r="U43" s="8"/>
    </row>
    <row r="44" spans="1:23" x14ac:dyDescent="0.25">
      <c r="A44" s="187"/>
      <c r="B44" s="9" t="s">
        <v>11</v>
      </c>
      <c r="C44" s="94">
        <v>75</v>
      </c>
      <c r="D44" s="94">
        <v>4</v>
      </c>
      <c r="E44" s="94">
        <v>13</v>
      </c>
      <c r="F44" s="8" t="s">
        <v>109</v>
      </c>
      <c r="G44" s="94">
        <v>8</v>
      </c>
      <c r="H44" s="94">
        <v>6</v>
      </c>
      <c r="I44" s="8" t="s">
        <v>109</v>
      </c>
      <c r="J44" s="94">
        <v>34</v>
      </c>
      <c r="K44" s="94">
        <v>140</v>
      </c>
      <c r="L44" s="94"/>
      <c r="M44" s="94"/>
      <c r="N44" s="94"/>
      <c r="O44" s="94"/>
      <c r="P44" s="8"/>
      <c r="Q44" s="94"/>
      <c r="R44" s="94"/>
      <c r="S44" s="8"/>
      <c r="T44" s="94"/>
      <c r="U44" s="94"/>
    </row>
    <row r="45" spans="1:23" x14ac:dyDescent="0.25">
      <c r="A45" s="191" t="s">
        <v>11</v>
      </c>
      <c r="B45" s="23" t="s">
        <v>142</v>
      </c>
      <c r="C45" s="8">
        <v>28</v>
      </c>
      <c r="D45" s="8">
        <v>12</v>
      </c>
      <c r="E45" s="8">
        <v>202</v>
      </c>
      <c r="F45" s="8">
        <v>108</v>
      </c>
      <c r="G45" s="8">
        <v>40</v>
      </c>
      <c r="H45" s="8">
        <v>10</v>
      </c>
      <c r="I45" s="8">
        <v>8</v>
      </c>
      <c r="J45" s="8">
        <v>87</v>
      </c>
      <c r="K45" s="8">
        <v>495</v>
      </c>
      <c r="L45" s="8"/>
      <c r="M45" s="8"/>
      <c r="N45" s="8"/>
      <c r="O45" s="8"/>
      <c r="P45" s="8"/>
      <c r="Q45" s="8"/>
      <c r="R45" s="8"/>
      <c r="S45" s="8"/>
      <c r="T45" s="8"/>
      <c r="U45" s="8"/>
    </row>
    <row r="46" spans="1:23" x14ac:dyDescent="0.25">
      <c r="A46" s="191"/>
      <c r="B46" s="23" t="s">
        <v>143</v>
      </c>
      <c r="C46" s="8">
        <v>1640</v>
      </c>
      <c r="D46" s="8">
        <v>589</v>
      </c>
      <c r="E46" s="8">
        <v>1731</v>
      </c>
      <c r="F46" s="8">
        <v>967</v>
      </c>
      <c r="G46" s="8">
        <v>419</v>
      </c>
      <c r="H46" s="8">
        <v>198</v>
      </c>
      <c r="I46" s="8">
        <v>125</v>
      </c>
      <c r="J46" s="8">
        <v>545</v>
      </c>
      <c r="K46" s="8">
        <v>6214</v>
      </c>
      <c r="L46" s="8"/>
      <c r="M46" s="8"/>
      <c r="N46" s="8"/>
      <c r="O46" s="8"/>
      <c r="P46" s="8"/>
      <c r="Q46" s="8"/>
      <c r="R46" s="8"/>
      <c r="S46" s="8"/>
      <c r="T46" s="8"/>
      <c r="U46" s="8"/>
    </row>
    <row r="47" spans="1:23" x14ac:dyDescent="0.25">
      <c r="A47" s="191"/>
      <c r="B47" s="4" t="s">
        <v>35</v>
      </c>
      <c r="C47" s="8">
        <v>73</v>
      </c>
      <c r="D47" s="8">
        <v>398</v>
      </c>
      <c r="E47" s="8">
        <v>523</v>
      </c>
      <c r="F47" s="8">
        <v>101</v>
      </c>
      <c r="G47" s="8">
        <v>63</v>
      </c>
      <c r="H47" s="8">
        <v>49</v>
      </c>
      <c r="I47" s="8">
        <v>21</v>
      </c>
      <c r="J47" s="8">
        <v>363</v>
      </c>
      <c r="K47" s="8">
        <v>1591</v>
      </c>
      <c r="L47" s="8"/>
      <c r="M47" s="8"/>
      <c r="N47" s="8"/>
      <c r="O47" s="8"/>
      <c r="P47" s="8"/>
      <c r="Q47" s="8"/>
      <c r="R47" s="8"/>
      <c r="S47" s="8"/>
      <c r="T47" s="8"/>
      <c r="U47" s="8"/>
    </row>
    <row r="48" spans="1:23" x14ac:dyDescent="0.25">
      <c r="A48" s="191"/>
      <c r="B48" s="95" t="s">
        <v>11</v>
      </c>
      <c r="C48" s="94">
        <v>1741</v>
      </c>
      <c r="D48" s="94">
        <v>999</v>
      </c>
      <c r="E48" s="94">
        <v>2456</v>
      </c>
      <c r="F48" s="94">
        <v>1177</v>
      </c>
      <c r="G48" s="94">
        <v>522</v>
      </c>
      <c r="H48" s="94">
        <v>257</v>
      </c>
      <c r="I48" s="94">
        <v>154</v>
      </c>
      <c r="J48" s="94">
        <v>995</v>
      </c>
      <c r="K48" s="94">
        <v>8301</v>
      </c>
      <c r="L48" s="94"/>
      <c r="M48" s="94"/>
      <c r="N48" s="94"/>
      <c r="O48" s="94"/>
      <c r="P48" s="94"/>
      <c r="Q48" s="94"/>
      <c r="R48" s="94"/>
      <c r="S48" s="94"/>
      <c r="T48" s="94"/>
      <c r="U48" s="94"/>
    </row>
    <row r="49" spans="1:23" ht="3.75" customHeight="1" x14ac:dyDescent="0.25">
      <c r="A49" s="194"/>
      <c r="B49" s="88"/>
      <c r="C49" s="80"/>
      <c r="D49" s="80"/>
      <c r="E49" s="80"/>
      <c r="F49" s="80"/>
      <c r="G49" s="80"/>
      <c r="H49" s="80"/>
      <c r="I49" s="80"/>
      <c r="J49" s="80"/>
      <c r="K49" s="80"/>
      <c r="L49" s="102"/>
    </row>
    <row r="50" spans="1:23" ht="10.5" customHeight="1" x14ac:dyDescent="0.25">
      <c r="A50" s="6" t="s">
        <v>213</v>
      </c>
      <c r="B50" s="9"/>
      <c r="C50" s="102"/>
      <c r="D50" s="102"/>
      <c r="E50" s="102"/>
      <c r="F50" s="102"/>
      <c r="G50" s="102"/>
      <c r="H50" s="102"/>
      <c r="I50" s="102"/>
      <c r="J50" s="102"/>
      <c r="K50" s="102"/>
      <c r="L50" s="102"/>
    </row>
    <row r="51" spans="1:23" ht="11.1" customHeight="1" x14ac:dyDescent="0.25">
      <c r="A51" s="192" t="s">
        <v>23</v>
      </c>
      <c r="B51" s="192"/>
      <c r="C51" s="192"/>
      <c r="D51" s="192"/>
      <c r="E51" s="192"/>
      <c r="F51" s="192"/>
      <c r="G51" s="192"/>
      <c r="H51" s="192"/>
      <c r="I51" s="192"/>
      <c r="J51" s="192"/>
      <c r="K51" s="192"/>
      <c r="L51" s="192"/>
      <c r="M51" s="192"/>
      <c r="N51" s="192"/>
    </row>
    <row r="52" spans="1:23" s="6" customFormat="1" ht="11.1" customHeight="1" x14ac:dyDescent="0.15">
      <c r="A52" s="6" t="s">
        <v>139</v>
      </c>
    </row>
    <row r="53" spans="1:23" s="6" customFormat="1" ht="18.75" customHeight="1" x14ac:dyDescent="0.15">
      <c r="A53" s="186" t="s">
        <v>30</v>
      </c>
      <c r="B53" s="186"/>
      <c r="C53" s="186"/>
      <c r="D53" s="186"/>
      <c r="E53" s="186"/>
      <c r="F53" s="186"/>
      <c r="G53" s="186"/>
      <c r="H53" s="186"/>
      <c r="I53" s="186"/>
      <c r="J53" s="186"/>
      <c r="K53" s="186"/>
      <c r="L53" s="92"/>
    </row>
    <row r="54" spans="1:23" s="6" customFormat="1" ht="11.1" customHeight="1" x14ac:dyDescent="0.15">
      <c r="A54" s="96"/>
    </row>
    <row r="55" spans="1:23" s="6" customFormat="1" ht="11.1" customHeight="1" x14ac:dyDescent="0.15">
      <c r="A55" s="6" t="s">
        <v>263</v>
      </c>
    </row>
    <row r="56" spans="1:23" ht="12" customHeight="1" x14ac:dyDescent="0.25">
      <c r="A56" s="2"/>
    </row>
    <row r="57" spans="1:23" ht="27.95" customHeight="1" x14ac:dyDescent="0.25">
      <c r="A57" s="185" t="s">
        <v>279</v>
      </c>
      <c r="B57" s="185"/>
      <c r="C57" s="185"/>
      <c r="D57" s="185"/>
      <c r="E57" s="185"/>
      <c r="F57" s="185"/>
      <c r="G57" s="185"/>
      <c r="H57" s="185"/>
      <c r="I57" s="185"/>
      <c r="J57" s="185"/>
      <c r="K57" s="185"/>
      <c r="L57" s="185"/>
      <c r="M57" s="185"/>
      <c r="N57" s="185"/>
    </row>
    <row r="58" spans="1:23" ht="1.5" customHeight="1" x14ac:dyDescent="0.25">
      <c r="A58" s="2"/>
    </row>
    <row r="59" spans="1:23" x14ac:dyDescent="0.25">
      <c r="A59" s="40" t="s">
        <v>120</v>
      </c>
      <c r="B59" s="40" t="s">
        <v>121</v>
      </c>
      <c r="C59" s="3" t="s">
        <v>0</v>
      </c>
      <c r="D59" s="3" t="s">
        <v>1</v>
      </c>
      <c r="E59" s="3" t="s">
        <v>2</v>
      </c>
      <c r="F59" s="3" t="s">
        <v>3</v>
      </c>
      <c r="G59" s="3" t="s">
        <v>4</v>
      </c>
      <c r="H59" s="3" t="s">
        <v>5</v>
      </c>
      <c r="I59" s="3" t="s">
        <v>6</v>
      </c>
      <c r="J59" s="3" t="s">
        <v>7</v>
      </c>
      <c r="K59" s="3" t="s">
        <v>8</v>
      </c>
      <c r="L59" s="101"/>
      <c r="N59" s="120"/>
    </row>
    <row r="60" spans="1:23" x14ac:dyDescent="0.25">
      <c r="A60" s="187" t="s">
        <v>18</v>
      </c>
      <c r="B60" s="23" t="s">
        <v>142</v>
      </c>
      <c r="C60" s="5">
        <v>0.93</v>
      </c>
      <c r="D60" s="5">
        <v>0.56499999999999995</v>
      </c>
      <c r="E60" s="5">
        <v>20.132999999999999</v>
      </c>
      <c r="F60" s="5">
        <v>14.923999999999999</v>
      </c>
      <c r="G60" s="5">
        <v>12.43</v>
      </c>
      <c r="H60" s="5">
        <v>5.4420000000000002</v>
      </c>
      <c r="I60" s="5">
        <v>40.518999999999998</v>
      </c>
      <c r="J60" s="5" t="s">
        <v>114</v>
      </c>
      <c r="K60" s="5">
        <v>9.6120000000000001</v>
      </c>
      <c r="M60" s="5"/>
      <c r="N60" s="5"/>
      <c r="O60" s="5"/>
      <c r="P60" s="5"/>
      <c r="Q60" s="5"/>
      <c r="R60" s="5"/>
      <c r="S60" s="5"/>
      <c r="T60" s="5"/>
      <c r="U60" s="5"/>
      <c r="W60" s="127"/>
    </row>
    <row r="61" spans="1:23" x14ac:dyDescent="0.25">
      <c r="A61" s="187"/>
      <c r="B61" s="23" t="s">
        <v>143</v>
      </c>
      <c r="C61" s="5">
        <v>126.88</v>
      </c>
      <c r="D61" s="5">
        <v>59.415999999999997</v>
      </c>
      <c r="E61" s="5">
        <v>206.977</v>
      </c>
      <c r="F61" s="5">
        <v>191.71899999999999</v>
      </c>
      <c r="G61" s="5">
        <v>186.52099999999999</v>
      </c>
      <c r="H61" s="5">
        <v>114.32</v>
      </c>
      <c r="I61" s="5">
        <v>194.93600000000001</v>
      </c>
      <c r="J61" s="5" t="s">
        <v>114</v>
      </c>
      <c r="K61" s="5">
        <v>157.90600000000001</v>
      </c>
      <c r="M61" s="5"/>
      <c r="N61" s="5"/>
      <c r="O61" s="5"/>
      <c r="P61" s="5"/>
      <c r="Q61" s="5"/>
      <c r="R61" s="5"/>
      <c r="S61" s="5"/>
      <c r="T61" s="5"/>
      <c r="U61" s="5"/>
    </row>
    <row r="62" spans="1:23" x14ac:dyDescent="0.25">
      <c r="A62" s="187"/>
      <c r="B62" s="27" t="s">
        <v>144</v>
      </c>
      <c r="C62" s="97">
        <v>63.941000000000003</v>
      </c>
      <c r="D62" s="97">
        <v>30.193000000000001</v>
      </c>
      <c r="E62" s="97">
        <v>115.002</v>
      </c>
      <c r="F62" s="97">
        <v>103.889</v>
      </c>
      <c r="G62" s="97">
        <v>101.63</v>
      </c>
      <c r="H62" s="97">
        <v>62.59</v>
      </c>
      <c r="I62" s="97">
        <v>143.934</v>
      </c>
      <c r="J62" s="97" t="s">
        <v>114</v>
      </c>
      <c r="K62" s="97">
        <v>84.646000000000001</v>
      </c>
      <c r="M62" s="97"/>
      <c r="N62" s="97"/>
      <c r="O62" s="97"/>
      <c r="P62" s="97"/>
      <c r="Q62" s="97"/>
      <c r="R62" s="97"/>
      <c r="S62" s="97"/>
      <c r="T62" s="97"/>
      <c r="U62" s="97"/>
    </row>
    <row r="63" spans="1:23" ht="15" customHeight="1" x14ac:dyDescent="0.25">
      <c r="A63" s="187" t="s">
        <v>19</v>
      </c>
      <c r="B63" s="23" t="s">
        <v>142</v>
      </c>
      <c r="C63" s="24">
        <v>6.6000000000000003E-2</v>
      </c>
      <c r="D63" s="24" t="s">
        <v>109</v>
      </c>
      <c r="E63" s="5">
        <v>0.54300000000000004</v>
      </c>
      <c r="F63" s="5">
        <v>0.48799999999999999</v>
      </c>
      <c r="G63" s="5">
        <v>0.14199999999999999</v>
      </c>
      <c r="H63" s="5">
        <v>0.56699999999999995</v>
      </c>
      <c r="I63" s="5">
        <v>0.23599999999999999</v>
      </c>
      <c r="J63" s="5" t="s">
        <v>114</v>
      </c>
      <c r="K63" s="5">
        <v>0.22</v>
      </c>
      <c r="M63" s="5"/>
      <c r="N63" s="5"/>
      <c r="O63" s="5"/>
      <c r="P63" s="5"/>
      <c r="Q63" s="5"/>
      <c r="R63" s="5"/>
      <c r="S63" s="5"/>
      <c r="T63" s="5"/>
      <c r="U63" s="5"/>
    </row>
    <row r="64" spans="1:23" x14ac:dyDescent="0.25">
      <c r="A64" s="187"/>
      <c r="B64" s="23" t="s">
        <v>143</v>
      </c>
      <c r="C64" s="5">
        <v>8.1890000000000001</v>
      </c>
      <c r="D64" s="5">
        <v>5.7149999999999999</v>
      </c>
      <c r="E64" s="5">
        <v>9.4740000000000002</v>
      </c>
      <c r="F64" s="5">
        <v>10.439</v>
      </c>
      <c r="G64" s="5">
        <v>8.0670000000000002</v>
      </c>
      <c r="H64" s="5">
        <v>23.01</v>
      </c>
      <c r="I64" s="5">
        <v>14.489000000000001</v>
      </c>
      <c r="J64" s="5" t="s">
        <v>114</v>
      </c>
      <c r="K64" s="5">
        <v>8.4659999999999993</v>
      </c>
      <c r="M64" s="5"/>
      <c r="N64" s="5"/>
      <c r="O64" s="5"/>
      <c r="P64" s="5"/>
      <c r="Q64" s="5"/>
      <c r="R64" s="5"/>
      <c r="S64" s="5"/>
      <c r="T64" s="5"/>
      <c r="U64" s="5"/>
    </row>
    <row r="65" spans="1:21" x14ac:dyDescent="0.25">
      <c r="A65" s="187"/>
      <c r="B65" s="27" t="s">
        <v>144</v>
      </c>
      <c r="C65" s="97">
        <v>4.1280000000000001</v>
      </c>
      <c r="D65" s="97">
        <v>2.8490000000000002</v>
      </c>
      <c r="E65" s="97">
        <v>5.0640000000000001</v>
      </c>
      <c r="F65" s="97">
        <v>5.4329999999999998</v>
      </c>
      <c r="G65" s="97">
        <v>4.133</v>
      </c>
      <c r="H65" s="97">
        <v>12.07</v>
      </c>
      <c r="I65" s="97">
        <v>9.6489999999999991</v>
      </c>
      <c r="J65" s="97" t="s">
        <v>114</v>
      </c>
      <c r="K65" s="97">
        <v>4.3650000000000002</v>
      </c>
      <c r="M65" s="97"/>
      <c r="N65" s="97"/>
      <c r="O65" s="97"/>
      <c r="P65" s="97"/>
      <c r="Q65" s="97"/>
      <c r="R65" s="97"/>
      <c r="S65" s="97"/>
      <c r="T65" s="97"/>
      <c r="U65" s="97"/>
    </row>
    <row r="66" spans="1:21" x14ac:dyDescent="0.25">
      <c r="A66" s="187" t="s">
        <v>11</v>
      </c>
      <c r="B66" s="23" t="s">
        <v>142</v>
      </c>
      <c r="C66" s="5">
        <v>0.13400000000000001</v>
      </c>
      <c r="D66" s="24" t="s">
        <v>109</v>
      </c>
      <c r="E66" s="5">
        <v>2.2599999999999998</v>
      </c>
      <c r="F66" s="5">
        <v>1.476</v>
      </c>
      <c r="G66" s="5">
        <v>0.79100000000000004</v>
      </c>
      <c r="H66" s="5">
        <v>1.149</v>
      </c>
      <c r="I66" s="5">
        <v>1.504</v>
      </c>
      <c r="J66" s="5" t="s">
        <v>114</v>
      </c>
      <c r="K66" s="5">
        <v>0.80300000000000005</v>
      </c>
      <c r="M66" s="5"/>
      <c r="N66" s="5"/>
      <c r="O66" s="5"/>
      <c r="P66" s="5"/>
      <c r="Q66" s="5"/>
      <c r="R66" s="5"/>
      <c r="S66" s="5"/>
      <c r="T66" s="5"/>
      <c r="U66" s="5"/>
    </row>
    <row r="67" spans="1:21" x14ac:dyDescent="0.25">
      <c r="A67" s="187"/>
      <c r="B67" s="23" t="s">
        <v>143</v>
      </c>
      <c r="C67" s="5">
        <v>17.646000000000001</v>
      </c>
      <c r="D67" s="5">
        <v>6.8650000000000002</v>
      </c>
      <c r="E67" s="5">
        <v>27.004000000000001</v>
      </c>
      <c r="F67" s="5">
        <v>23.14</v>
      </c>
      <c r="G67" s="5">
        <v>18.062999999999999</v>
      </c>
      <c r="H67" s="5">
        <v>33.627000000000002</v>
      </c>
      <c r="I67" s="5">
        <v>20.402999999999999</v>
      </c>
      <c r="J67" s="5" t="s">
        <v>114</v>
      </c>
      <c r="K67" s="5">
        <v>18.056999999999999</v>
      </c>
      <c r="M67" s="5"/>
      <c r="N67" s="5"/>
      <c r="O67" s="5"/>
      <c r="P67" s="5"/>
      <c r="Q67" s="5"/>
      <c r="R67" s="5"/>
      <c r="S67" s="5"/>
      <c r="T67" s="5"/>
      <c r="U67" s="5"/>
    </row>
    <row r="68" spans="1:21" x14ac:dyDescent="0.25">
      <c r="A68" s="187"/>
      <c r="B68" s="95" t="s">
        <v>144</v>
      </c>
      <c r="C68" s="97">
        <v>8.8919999999999995</v>
      </c>
      <c r="D68" s="97">
        <v>3.4260000000000002</v>
      </c>
      <c r="E68" s="97">
        <v>14.79</v>
      </c>
      <c r="F68" s="97">
        <v>12.252000000000001</v>
      </c>
      <c r="G68" s="97">
        <v>9.4969999999999999</v>
      </c>
      <c r="H68" s="97">
        <v>17.84</v>
      </c>
      <c r="I68" s="97">
        <v>13.991</v>
      </c>
      <c r="J68" s="97" t="s">
        <v>114</v>
      </c>
      <c r="K68" s="97">
        <v>9.4789999999999992</v>
      </c>
      <c r="M68" s="97"/>
      <c r="N68" s="97"/>
      <c r="O68" s="97"/>
      <c r="P68" s="97"/>
      <c r="Q68" s="97"/>
      <c r="R68" s="97"/>
      <c r="S68" s="97"/>
      <c r="T68" s="97"/>
      <c r="U68" s="97"/>
    </row>
    <row r="69" spans="1:21" ht="4.5" customHeight="1" x14ac:dyDescent="0.25">
      <c r="A69" s="193"/>
      <c r="B69" s="93"/>
      <c r="C69" s="89"/>
      <c r="D69" s="89"/>
      <c r="E69" s="89"/>
      <c r="F69" s="89"/>
      <c r="G69" s="89"/>
      <c r="H69" s="89"/>
      <c r="I69" s="89"/>
      <c r="J69" s="89"/>
      <c r="K69" s="89"/>
      <c r="L69" s="28"/>
    </row>
    <row r="70" spans="1:21" ht="4.5" customHeight="1" x14ac:dyDescent="0.25">
      <c r="A70" s="2"/>
      <c r="M70" s="1" t="str">
        <f t="shared" ref="M70" si="0">IF(C70&lt;0.05,"-",C70)</f>
        <v>-</v>
      </c>
    </row>
    <row r="71" spans="1:21" ht="11.1" customHeight="1" x14ac:dyDescent="0.25">
      <c r="A71" s="192" t="s">
        <v>23</v>
      </c>
      <c r="B71" s="192"/>
      <c r="C71" s="192"/>
      <c r="D71" s="192"/>
      <c r="E71" s="192"/>
      <c r="F71" s="192"/>
      <c r="G71" s="192"/>
      <c r="H71" s="192"/>
      <c r="I71" s="192"/>
      <c r="J71" s="192"/>
      <c r="K71" s="192"/>
      <c r="L71" s="192"/>
      <c r="M71" s="192"/>
      <c r="N71" s="192"/>
    </row>
    <row r="72" spans="1:21" s="6" customFormat="1" ht="19.5" customHeight="1" x14ac:dyDescent="0.15">
      <c r="A72" s="186" t="s">
        <v>31</v>
      </c>
      <c r="B72" s="186"/>
      <c r="C72" s="186"/>
      <c r="D72" s="186"/>
      <c r="E72" s="186"/>
      <c r="F72" s="186"/>
      <c r="G72" s="186"/>
      <c r="H72" s="186"/>
      <c r="I72" s="186"/>
      <c r="J72" s="186"/>
      <c r="K72" s="186"/>
      <c r="L72" s="92"/>
    </row>
    <row r="73" spans="1:21" s="6" customFormat="1" ht="11.1" customHeight="1" x14ac:dyDescent="0.15">
      <c r="A73" s="6" t="s">
        <v>32</v>
      </c>
    </row>
    <row r="74" spans="1:21" s="6" customFormat="1" ht="11.1" customHeight="1" x14ac:dyDescent="0.15">
      <c r="A74" s="6" t="s">
        <v>271</v>
      </c>
    </row>
    <row r="75" spans="1:21" s="6" customFormat="1" ht="11.1" customHeight="1" x14ac:dyDescent="0.15">
      <c r="A75" s="6" t="s">
        <v>280</v>
      </c>
      <c r="M75" s="142"/>
      <c r="N75" s="142"/>
      <c r="O75" s="142"/>
      <c r="P75" s="142"/>
      <c r="Q75" s="142"/>
      <c r="R75" s="142"/>
      <c r="S75" s="142"/>
      <c r="T75" s="142"/>
      <c r="U75" s="142"/>
    </row>
    <row r="76" spans="1:21" s="6" customFormat="1" ht="11.1" customHeight="1" x14ac:dyDescent="0.15">
      <c r="A76" s="6" t="s">
        <v>14</v>
      </c>
    </row>
    <row r="77" spans="1:21" s="6" customFormat="1" ht="11.1" customHeight="1" x14ac:dyDescent="0.15">
      <c r="A77" s="6" t="s">
        <v>208</v>
      </c>
    </row>
    <row r="78" spans="1:21" ht="12" customHeight="1" x14ac:dyDescent="0.25">
      <c r="A78" s="2"/>
    </row>
    <row r="79" spans="1:21" ht="27.95" customHeight="1" x14ac:dyDescent="0.25">
      <c r="A79" s="185" t="s">
        <v>281</v>
      </c>
      <c r="B79" s="185"/>
      <c r="C79" s="185"/>
      <c r="D79" s="185"/>
      <c r="E79" s="185"/>
      <c r="F79" s="185"/>
      <c r="G79" s="185"/>
      <c r="H79" s="185"/>
      <c r="I79" s="185"/>
      <c r="J79" s="185"/>
      <c r="K79" s="185"/>
      <c r="L79" s="185"/>
      <c r="M79" s="185"/>
      <c r="N79" s="185"/>
    </row>
    <row r="80" spans="1:21" ht="3" customHeight="1" x14ac:dyDescent="0.25">
      <c r="A80" s="2"/>
    </row>
    <row r="81" spans="1:24" x14ac:dyDescent="0.25">
      <c r="A81" s="40" t="s">
        <v>120</v>
      </c>
      <c r="B81" s="40" t="s">
        <v>121</v>
      </c>
      <c r="C81" s="3" t="s">
        <v>0</v>
      </c>
      <c r="D81" s="3" t="s">
        <v>1</v>
      </c>
      <c r="E81" s="3" t="s">
        <v>2</v>
      </c>
      <c r="F81" s="3" t="s">
        <v>3</v>
      </c>
      <c r="G81" s="3" t="s">
        <v>4</v>
      </c>
      <c r="H81" s="3" t="s">
        <v>5</v>
      </c>
      <c r="I81" s="3" t="s">
        <v>6</v>
      </c>
      <c r="J81" s="3" t="s">
        <v>7</v>
      </c>
      <c r="K81" s="3" t="s">
        <v>8</v>
      </c>
    </row>
    <row r="82" spans="1:24" x14ac:dyDescent="0.25">
      <c r="A82" s="187" t="s">
        <v>18</v>
      </c>
      <c r="B82" s="23" t="s">
        <v>142</v>
      </c>
      <c r="C82" s="5">
        <v>5.1630000000000003</v>
      </c>
      <c r="D82" s="24" t="s">
        <v>109</v>
      </c>
      <c r="E82" s="5">
        <v>58.44</v>
      </c>
      <c r="F82" s="5">
        <v>80.347999999999999</v>
      </c>
      <c r="G82" s="5">
        <v>62.252000000000002</v>
      </c>
      <c r="H82" s="24" t="s">
        <v>109</v>
      </c>
      <c r="I82" s="8" t="s">
        <v>116</v>
      </c>
      <c r="J82" s="5">
        <v>145.15600000000001</v>
      </c>
      <c r="K82" s="5">
        <v>42.625</v>
      </c>
      <c r="M82" s="5"/>
      <c r="N82" s="5"/>
      <c r="O82" s="5"/>
      <c r="P82" s="5"/>
      <c r="Q82" s="5"/>
      <c r="R82" s="5"/>
      <c r="S82" s="5"/>
      <c r="T82" s="5"/>
      <c r="U82" s="5"/>
      <c r="X82" s="127"/>
    </row>
    <row r="83" spans="1:24" x14ac:dyDescent="0.25">
      <c r="A83" s="187"/>
      <c r="B83" s="23" t="s">
        <v>143</v>
      </c>
      <c r="C83" s="5">
        <v>282.33</v>
      </c>
      <c r="D83" s="5">
        <v>155.09399999999999</v>
      </c>
      <c r="E83" s="5">
        <v>435.14299999999997</v>
      </c>
      <c r="F83" s="5">
        <v>512.25699999999995</v>
      </c>
      <c r="G83" s="5">
        <v>453.524</v>
      </c>
      <c r="H83" s="5">
        <v>225.28200000000001</v>
      </c>
      <c r="I83" s="5">
        <v>518.41700000000003</v>
      </c>
      <c r="J83" s="5">
        <v>896.41800000000001</v>
      </c>
      <c r="K83" s="5">
        <v>392.33100000000002</v>
      </c>
      <c r="M83" s="5"/>
      <c r="N83" s="5"/>
      <c r="O83" s="5"/>
      <c r="P83" s="5"/>
      <c r="Q83" s="5"/>
      <c r="R83" s="5"/>
      <c r="S83" s="5"/>
      <c r="T83" s="5"/>
      <c r="U83" s="5"/>
    </row>
    <row r="84" spans="1:24" x14ac:dyDescent="0.25">
      <c r="A84" s="187"/>
      <c r="B84" s="27" t="s">
        <v>144</v>
      </c>
      <c r="C84" s="97">
        <v>143.827</v>
      </c>
      <c r="D84" s="97">
        <v>80.945999999999998</v>
      </c>
      <c r="E84" s="97">
        <v>249.709</v>
      </c>
      <c r="F84" s="97">
        <v>297.68900000000002</v>
      </c>
      <c r="G84" s="97">
        <v>262.73099999999999</v>
      </c>
      <c r="H84" s="97">
        <v>124.815</v>
      </c>
      <c r="I84" s="97">
        <v>392.87299999999999</v>
      </c>
      <c r="J84" s="97">
        <v>519.10400000000004</v>
      </c>
      <c r="K84" s="97">
        <v>219.38200000000001</v>
      </c>
      <c r="M84" s="97"/>
      <c r="N84" s="97"/>
      <c r="O84" s="97"/>
      <c r="P84" s="97"/>
      <c r="Q84" s="97"/>
      <c r="R84" s="97"/>
      <c r="S84" s="97"/>
      <c r="T84" s="97"/>
      <c r="U84" s="97"/>
    </row>
    <row r="85" spans="1:24" ht="15" customHeight="1" x14ac:dyDescent="0.25">
      <c r="A85" s="187" t="s">
        <v>19</v>
      </c>
      <c r="B85" s="23" t="s">
        <v>142</v>
      </c>
      <c r="C85" s="5">
        <v>0.28599999999999998</v>
      </c>
      <c r="D85" s="5">
        <v>0.24299999999999999</v>
      </c>
      <c r="E85" s="5">
        <v>2.1</v>
      </c>
      <c r="F85" s="5">
        <v>1.778</v>
      </c>
      <c r="G85" s="5">
        <v>1.3149999999999999</v>
      </c>
      <c r="H85" s="8" t="s">
        <v>116</v>
      </c>
      <c r="I85" s="24" t="s">
        <v>109</v>
      </c>
      <c r="J85" s="24" t="s">
        <v>109</v>
      </c>
      <c r="K85" s="5">
        <v>0.95699999999999996</v>
      </c>
      <c r="M85" s="5"/>
      <c r="N85" s="5"/>
      <c r="O85" s="5"/>
      <c r="P85" s="5"/>
      <c r="Q85" s="5"/>
      <c r="R85" s="5"/>
      <c r="S85" s="5"/>
      <c r="T85" s="5"/>
      <c r="U85" s="5"/>
    </row>
    <row r="86" spans="1:24" x14ac:dyDescent="0.25">
      <c r="A86" s="187"/>
      <c r="B86" s="23" t="s">
        <v>143</v>
      </c>
      <c r="C86" s="5">
        <v>17.981000000000002</v>
      </c>
      <c r="D86" s="5">
        <v>14.675000000000001</v>
      </c>
      <c r="E86" s="5">
        <v>21.974</v>
      </c>
      <c r="F86" s="5">
        <v>31.035</v>
      </c>
      <c r="G86" s="5">
        <v>22.396999999999998</v>
      </c>
      <c r="H86" s="5">
        <v>49.636000000000003</v>
      </c>
      <c r="I86" s="5">
        <v>40.22</v>
      </c>
      <c r="J86" s="5">
        <v>30.443000000000001</v>
      </c>
      <c r="K86" s="5">
        <v>20.802</v>
      </c>
      <c r="M86" s="5"/>
      <c r="N86" s="5"/>
      <c r="O86" s="5"/>
      <c r="P86" s="5"/>
      <c r="Q86" s="5"/>
      <c r="R86" s="5"/>
      <c r="S86" s="5"/>
      <c r="T86" s="5"/>
      <c r="U86" s="5"/>
    </row>
    <row r="87" spans="1:24" x14ac:dyDescent="0.25">
      <c r="A87" s="187"/>
      <c r="B87" s="27" t="s">
        <v>144</v>
      </c>
      <c r="C87" s="97">
        <v>9.1340000000000003</v>
      </c>
      <c r="D87" s="97">
        <v>7.4050000000000002</v>
      </c>
      <c r="E87" s="97">
        <v>12.162000000000001</v>
      </c>
      <c r="F87" s="97">
        <v>16.318000000000001</v>
      </c>
      <c r="G87" s="97">
        <v>11.932</v>
      </c>
      <c r="H87" s="97">
        <v>26.483000000000001</v>
      </c>
      <c r="I87" s="97">
        <v>27.478999999999999</v>
      </c>
      <c r="J87" s="97">
        <v>14.82</v>
      </c>
      <c r="K87" s="97">
        <v>10.927</v>
      </c>
      <c r="M87" s="97"/>
      <c r="N87" s="97"/>
      <c r="O87" s="97"/>
      <c r="P87" s="97"/>
      <c r="Q87" s="97"/>
      <c r="R87" s="97"/>
      <c r="S87" s="97"/>
      <c r="T87" s="97"/>
      <c r="U87" s="97"/>
    </row>
    <row r="88" spans="1:24" x14ac:dyDescent="0.25">
      <c r="A88" s="187" t="s">
        <v>11</v>
      </c>
      <c r="B88" s="23" t="s">
        <v>142</v>
      </c>
      <c r="C88" s="5">
        <v>0.67300000000000004</v>
      </c>
      <c r="D88" s="5">
        <v>0.35699999999999998</v>
      </c>
      <c r="E88" s="5">
        <v>7.0380000000000003</v>
      </c>
      <c r="F88" s="5">
        <v>7.157</v>
      </c>
      <c r="G88" s="5">
        <v>4.5309999999999997</v>
      </c>
      <c r="H88" s="5">
        <v>3.8069999999999999</v>
      </c>
      <c r="I88" s="5">
        <v>6.9669999999999996</v>
      </c>
      <c r="J88" s="5">
        <v>60.597999999999999</v>
      </c>
      <c r="K88" s="5">
        <v>3.7210000000000001</v>
      </c>
      <c r="M88" s="5"/>
      <c r="N88" s="5"/>
      <c r="O88" s="5"/>
      <c r="P88" s="5"/>
      <c r="Q88" s="5"/>
      <c r="R88" s="5"/>
      <c r="S88" s="5"/>
      <c r="T88" s="5"/>
      <c r="U88" s="5"/>
    </row>
    <row r="89" spans="1:24" x14ac:dyDescent="0.25">
      <c r="A89" s="187"/>
      <c r="B89" s="23" t="s">
        <v>143</v>
      </c>
      <c r="C89" s="5">
        <v>39.433999999999997</v>
      </c>
      <c r="D89" s="5">
        <v>17.774000000000001</v>
      </c>
      <c r="E89" s="5">
        <v>58.789000000000001</v>
      </c>
      <c r="F89" s="5">
        <v>64.751999999999995</v>
      </c>
      <c r="G89" s="5">
        <v>46.697000000000003</v>
      </c>
      <c r="H89" s="5">
        <v>71.287000000000006</v>
      </c>
      <c r="I89" s="5">
        <v>55.893000000000001</v>
      </c>
      <c r="J89" s="5">
        <v>412.19200000000001</v>
      </c>
      <c r="K89" s="5">
        <v>46.23</v>
      </c>
      <c r="M89" s="5"/>
      <c r="N89" s="5"/>
      <c r="O89" s="5"/>
      <c r="P89" s="5"/>
      <c r="Q89" s="5"/>
      <c r="R89" s="5"/>
      <c r="S89" s="5"/>
      <c r="T89" s="5"/>
      <c r="U89" s="5"/>
    </row>
    <row r="90" spans="1:24" x14ac:dyDescent="0.25">
      <c r="A90" s="187"/>
      <c r="B90" s="27" t="s">
        <v>144</v>
      </c>
      <c r="C90" s="97">
        <v>20.056999999999999</v>
      </c>
      <c r="D90" s="97">
        <v>9.0030000000000001</v>
      </c>
      <c r="E90" s="97">
        <v>33.244</v>
      </c>
      <c r="F90" s="97">
        <v>35.804000000000002</v>
      </c>
      <c r="G90" s="97">
        <v>25.786000000000001</v>
      </c>
      <c r="H90" s="97">
        <v>38.487000000000002</v>
      </c>
      <c r="I90" s="97">
        <v>39.293999999999997</v>
      </c>
      <c r="J90" s="97">
        <v>229.16</v>
      </c>
      <c r="K90" s="97">
        <v>25.085999999999999</v>
      </c>
      <c r="M90" s="97"/>
      <c r="N90" s="97"/>
      <c r="O90" s="97"/>
      <c r="P90" s="97"/>
      <c r="Q90" s="97"/>
      <c r="R90" s="97"/>
      <c r="S90" s="97"/>
      <c r="T90" s="97"/>
      <c r="U90" s="97"/>
    </row>
    <row r="91" spans="1:24" ht="6" customHeight="1" x14ac:dyDescent="0.25">
      <c r="A91" s="193"/>
      <c r="B91" s="78"/>
      <c r="C91" s="89"/>
      <c r="D91" s="89"/>
      <c r="E91" s="89"/>
      <c r="F91" s="89"/>
      <c r="G91" s="89"/>
      <c r="H91" s="89"/>
      <c r="I91" s="89"/>
      <c r="J91" s="89"/>
      <c r="K91" s="89"/>
      <c r="L91" s="28"/>
    </row>
    <row r="92" spans="1:24" ht="15.75" customHeight="1" x14ac:dyDescent="0.25">
      <c r="A92" s="6" t="s">
        <v>213</v>
      </c>
      <c r="B92" s="27"/>
      <c r="C92" s="28"/>
      <c r="D92" s="28"/>
      <c r="E92" s="28"/>
      <c r="F92" s="28"/>
      <c r="G92" s="28"/>
      <c r="H92" s="28"/>
      <c r="I92" s="28"/>
      <c r="J92" s="28"/>
      <c r="K92" s="28"/>
      <c r="L92" s="28"/>
    </row>
    <row r="93" spans="1:24" ht="11.1" customHeight="1" x14ac:dyDescent="0.25">
      <c r="A93" s="192" t="s">
        <v>23</v>
      </c>
      <c r="B93" s="192"/>
      <c r="C93" s="192"/>
      <c r="D93" s="192"/>
      <c r="E93" s="192"/>
      <c r="F93" s="192"/>
      <c r="G93" s="192"/>
      <c r="H93" s="192"/>
      <c r="I93" s="192"/>
      <c r="J93" s="192"/>
      <c r="K93" s="192"/>
      <c r="L93" s="192"/>
      <c r="M93" s="192"/>
      <c r="N93" s="192"/>
    </row>
    <row r="94" spans="1:24" s="6" customFormat="1" ht="20.25" customHeight="1" x14ac:dyDescent="0.15">
      <c r="A94" s="186" t="s">
        <v>34</v>
      </c>
      <c r="B94" s="186"/>
      <c r="C94" s="186"/>
      <c r="D94" s="186"/>
      <c r="E94" s="186"/>
      <c r="F94" s="186"/>
      <c r="G94" s="186"/>
      <c r="H94" s="186"/>
      <c r="I94" s="186"/>
      <c r="J94" s="186"/>
      <c r="K94" s="186"/>
      <c r="L94" s="92"/>
    </row>
    <row r="95" spans="1:24" s="6" customFormat="1" ht="11.1" customHeight="1" x14ac:dyDescent="0.15">
      <c r="A95" s="6" t="s">
        <v>32</v>
      </c>
    </row>
    <row r="96" spans="1:24" s="6" customFormat="1" ht="11.1" customHeight="1" x14ac:dyDescent="0.15">
      <c r="A96" s="6" t="s">
        <v>33</v>
      </c>
    </row>
    <row r="97" spans="1:20" s="6" customFormat="1" ht="11.1" customHeight="1" x14ac:dyDescent="0.15">
      <c r="A97" s="6" t="s">
        <v>282</v>
      </c>
    </row>
    <row r="98" spans="1:20" s="6" customFormat="1" ht="11.1" customHeight="1" x14ac:dyDescent="0.15">
      <c r="A98" s="6" t="s">
        <v>272</v>
      </c>
    </row>
    <row r="99" spans="1:20" s="6" customFormat="1" ht="11.1" customHeight="1" x14ac:dyDescent="0.15"/>
    <row r="100" spans="1:20" s="6" customFormat="1" ht="11.1" customHeight="1" x14ac:dyDescent="0.15">
      <c r="A100" s="6" t="s">
        <v>409</v>
      </c>
    </row>
    <row r="101" spans="1:20" ht="12" customHeight="1" x14ac:dyDescent="0.25">
      <c r="A101" s="2"/>
      <c r="L101" s="116"/>
      <c r="M101" s="116"/>
      <c r="N101" s="116"/>
      <c r="O101" s="116"/>
      <c r="P101" s="116"/>
      <c r="Q101" s="116"/>
      <c r="R101" s="116"/>
      <c r="S101" s="116"/>
      <c r="T101" s="116"/>
    </row>
  </sheetData>
  <mergeCells count="26">
    <mergeCell ref="A1:K1"/>
    <mergeCell ref="A4:A7"/>
    <mergeCell ref="A8:A11"/>
    <mergeCell ref="A12:A15"/>
    <mergeCell ref="A16:A19"/>
    <mergeCell ref="A21:K21"/>
    <mergeCell ref="A30:N30"/>
    <mergeCell ref="A33:A36"/>
    <mergeCell ref="A37:A40"/>
    <mergeCell ref="A41:A44"/>
    <mergeCell ref="A93:N93"/>
    <mergeCell ref="A72:K72"/>
    <mergeCell ref="A94:K94"/>
    <mergeCell ref="A53:K53"/>
    <mergeCell ref="A25:K25"/>
    <mergeCell ref="A71:N71"/>
    <mergeCell ref="A79:N79"/>
    <mergeCell ref="A82:A84"/>
    <mergeCell ref="A85:A87"/>
    <mergeCell ref="A88:A91"/>
    <mergeCell ref="A51:N51"/>
    <mergeCell ref="A57:N57"/>
    <mergeCell ref="A60:A62"/>
    <mergeCell ref="A63:A65"/>
    <mergeCell ref="A66:A69"/>
    <mergeCell ref="A45:A49"/>
  </mergeCells>
  <pageMargins left="0.08" right="0.08" top="1" bottom="1" header="0.5" footer="0.5"/>
  <pageSetup orientation="landscape" blackAndWhite="1"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X62"/>
  <sheetViews>
    <sheetView zoomScaleNormal="100" workbookViewId="0">
      <selection activeCell="O8" sqref="O8"/>
    </sheetView>
  </sheetViews>
  <sheetFormatPr defaultColWidth="9.140625" defaultRowHeight="15" x14ac:dyDescent="0.25"/>
  <cols>
    <col min="1" max="13" width="11.42578125" style="1" bestFit="1" customWidth="1"/>
    <col min="14" max="14" width="17.85546875" style="1" bestFit="1" customWidth="1"/>
    <col min="15" max="16384" width="9.140625" style="1"/>
  </cols>
  <sheetData>
    <row r="1" spans="1:23" ht="33.75" customHeight="1" x14ac:dyDescent="0.25">
      <c r="A1" s="188" t="s">
        <v>318</v>
      </c>
      <c r="B1" s="188"/>
      <c r="C1" s="188"/>
      <c r="D1" s="188"/>
      <c r="E1" s="188"/>
      <c r="F1" s="188"/>
      <c r="G1" s="188"/>
      <c r="H1" s="188"/>
      <c r="I1" s="188"/>
      <c r="J1" s="188"/>
      <c r="K1" s="188"/>
    </row>
    <row r="2" spans="1:23" ht="3.75" customHeight="1" x14ac:dyDescent="0.25">
      <c r="A2" s="2"/>
    </row>
    <row r="3" spans="1:23" x14ac:dyDescent="0.25">
      <c r="A3" s="31" t="s">
        <v>119</v>
      </c>
      <c r="B3" s="31" t="s">
        <v>122</v>
      </c>
      <c r="C3" s="3">
        <v>10</v>
      </c>
      <c r="D3" s="3">
        <v>11</v>
      </c>
      <c r="E3" s="3">
        <v>12</v>
      </c>
      <c r="F3" s="3">
        <v>13</v>
      </c>
      <c r="G3" s="3">
        <v>14</v>
      </c>
      <c r="H3" s="3">
        <v>15</v>
      </c>
      <c r="I3" s="3">
        <v>16</v>
      </c>
      <c r="J3" s="3">
        <v>17</v>
      </c>
      <c r="K3" s="34" t="s">
        <v>9</v>
      </c>
    </row>
    <row r="4" spans="1:23" x14ac:dyDescent="0.25">
      <c r="A4" s="187" t="s">
        <v>17</v>
      </c>
      <c r="B4" s="4" t="s">
        <v>191</v>
      </c>
      <c r="C4" s="5">
        <v>0.9</v>
      </c>
      <c r="D4" s="5">
        <v>6.2</v>
      </c>
      <c r="E4" s="5">
        <v>20.9</v>
      </c>
      <c r="F4" s="5">
        <v>69.3</v>
      </c>
      <c r="G4" s="5">
        <v>200.9</v>
      </c>
      <c r="H4" s="5">
        <v>450.6</v>
      </c>
      <c r="I4" s="5">
        <v>620</v>
      </c>
      <c r="J4" s="5">
        <v>784.5</v>
      </c>
      <c r="K4" s="26">
        <v>2153.1999999999998</v>
      </c>
      <c r="M4" s="5"/>
      <c r="N4" s="5"/>
      <c r="O4" s="5"/>
      <c r="P4" s="5"/>
      <c r="Q4" s="5"/>
      <c r="R4" s="5"/>
      <c r="S4" s="5"/>
      <c r="T4" s="5"/>
      <c r="U4" s="26"/>
      <c r="V4" s="26"/>
      <c r="W4" s="127"/>
    </row>
    <row r="5" spans="1:23" x14ac:dyDescent="0.25">
      <c r="A5" s="187"/>
      <c r="B5" s="4" t="s">
        <v>192</v>
      </c>
      <c r="C5" s="5">
        <v>0.3</v>
      </c>
      <c r="D5" s="5">
        <v>3.2</v>
      </c>
      <c r="E5" s="5">
        <v>21.6</v>
      </c>
      <c r="F5" s="5">
        <v>65.8</v>
      </c>
      <c r="G5" s="5">
        <v>192</v>
      </c>
      <c r="H5" s="5">
        <v>379.6</v>
      </c>
      <c r="I5" s="5">
        <v>611.6</v>
      </c>
      <c r="J5" s="5">
        <v>752.3</v>
      </c>
      <c r="K5" s="26">
        <v>2026.3</v>
      </c>
      <c r="M5" s="5"/>
      <c r="N5" s="5"/>
      <c r="O5" s="5"/>
      <c r="P5" s="5"/>
      <c r="Q5" s="5"/>
      <c r="R5" s="5"/>
      <c r="S5" s="5"/>
      <c r="T5" s="5"/>
      <c r="U5" s="26"/>
      <c r="V5" s="26"/>
    </row>
    <row r="6" spans="1:23" x14ac:dyDescent="0.25">
      <c r="A6" s="187"/>
      <c r="B6" s="4" t="s">
        <v>193</v>
      </c>
      <c r="C6" s="5">
        <v>1.1000000000000001</v>
      </c>
      <c r="D6" s="5">
        <v>4.3</v>
      </c>
      <c r="E6" s="5">
        <v>14.2</v>
      </c>
      <c r="F6" s="5">
        <v>75.5</v>
      </c>
      <c r="G6" s="5">
        <v>201</v>
      </c>
      <c r="H6" s="5">
        <v>417.4</v>
      </c>
      <c r="I6" s="5">
        <v>565.6</v>
      </c>
      <c r="J6" s="5">
        <v>711.5</v>
      </c>
      <c r="K6" s="26">
        <v>1990.6</v>
      </c>
      <c r="M6" s="5"/>
      <c r="N6" s="5"/>
      <c r="O6" s="5"/>
      <c r="P6" s="5"/>
      <c r="Q6" s="5"/>
      <c r="R6" s="5"/>
      <c r="S6" s="5"/>
      <c r="T6" s="5"/>
      <c r="U6" s="26"/>
      <c r="V6" s="26"/>
    </row>
    <row r="7" spans="1:23" x14ac:dyDescent="0.25">
      <c r="A7" s="187"/>
      <c r="B7" s="4" t="s">
        <v>194</v>
      </c>
      <c r="C7" s="5">
        <v>0.3</v>
      </c>
      <c r="D7" s="5">
        <v>4.4000000000000004</v>
      </c>
      <c r="E7" s="5">
        <v>17.399999999999999</v>
      </c>
      <c r="F7" s="5">
        <v>68.5</v>
      </c>
      <c r="G7" s="5">
        <v>186.4</v>
      </c>
      <c r="H7" s="5">
        <v>428.2</v>
      </c>
      <c r="I7" s="5">
        <v>562.1</v>
      </c>
      <c r="J7" s="5">
        <v>689.5</v>
      </c>
      <c r="K7" s="26">
        <v>1956.9</v>
      </c>
      <c r="M7" s="5"/>
      <c r="N7" s="5"/>
      <c r="O7" s="5"/>
      <c r="P7" s="5"/>
      <c r="Q7" s="5"/>
      <c r="R7" s="5"/>
      <c r="S7" s="5"/>
      <c r="T7" s="5"/>
      <c r="U7" s="26"/>
      <c r="V7" s="26"/>
    </row>
    <row r="8" spans="1:23" x14ac:dyDescent="0.25">
      <c r="A8" s="187"/>
      <c r="B8" s="4" t="s">
        <v>284</v>
      </c>
      <c r="C8" s="5">
        <v>0.6</v>
      </c>
      <c r="D8" s="5">
        <v>2.6</v>
      </c>
      <c r="E8" s="5">
        <v>16.399999999999999</v>
      </c>
      <c r="F8" s="5">
        <v>57.5</v>
      </c>
      <c r="G8" s="5">
        <v>179.6</v>
      </c>
      <c r="H8" s="5">
        <v>408.3</v>
      </c>
      <c r="I8" s="5">
        <v>574.6</v>
      </c>
      <c r="J8" s="5">
        <v>655.6</v>
      </c>
      <c r="K8" s="26">
        <v>1895.2</v>
      </c>
      <c r="M8" s="5"/>
      <c r="N8" s="5"/>
      <c r="O8" s="5"/>
      <c r="P8" s="5"/>
      <c r="Q8" s="5"/>
      <c r="R8" s="5"/>
      <c r="S8" s="5"/>
      <c r="T8" s="5"/>
      <c r="U8" s="26"/>
      <c r="V8" s="26"/>
    </row>
    <row r="9" spans="1:23" x14ac:dyDescent="0.25">
      <c r="A9" s="187" t="s">
        <v>21</v>
      </c>
      <c r="B9" s="4" t="s">
        <v>191</v>
      </c>
      <c r="C9" s="5" t="s">
        <v>109</v>
      </c>
      <c r="D9" s="5">
        <v>0.9</v>
      </c>
      <c r="E9" s="5">
        <v>6.3</v>
      </c>
      <c r="F9" s="5">
        <v>23.9</v>
      </c>
      <c r="G9" s="5">
        <v>85.2</v>
      </c>
      <c r="H9" s="5">
        <v>145.5</v>
      </c>
      <c r="I9" s="5">
        <v>190.3</v>
      </c>
      <c r="J9" s="5">
        <v>187.3</v>
      </c>
      <c r="K9" s="26">
        <v>639.4</v>
      </c>
      <c r="M9" s="5"/>
      <c r="N9" s="5"/>
      <c r="O9" s="5"/>
      <c r="P9" s="5"/>
      <c r="Q9" s="5"/>
      <c r="R9" s="5"/>
      <c r="S9" s="5"/>
      <c r="T9" s="5"/>
      <c r="U9" s="26"/>
      <c r="V9" s="26"/>
    </row>
    <row r="10" spans="1:23" x14ac:dyDescent="0.25">
      <c r="A10" s="187"/>
      <c r="B10" s="4" t="s">
        <v>192</v>
      </c>
      <c r="C10" s="24" t="s">
        <v>109</v>
      </c>
      <c r="D10" s="5">
        <v>0.6</v>
      </c>
      <c r="E10" s="5">
        <v>7.4</v>
      </c>
      <c r="F10" s="5">
        <v>35.1</v>
      </c>
      <c r="G10" s="5">
        <v>80.2</v>
      </c>
      <c r="H10" s="5">
        <v>146.19999999999999</v>
      </c>
      <c r="I10" s="5">
        <v>179.2</v>
      </c>
      <c r="J10" s="5">
        <v>177.3</v>
      </c>
      <c r="K10" s="26">
        <v>626.1</v>
      </c>
      <c r="M10" s="5"/>
      <c r="N10" s="5"/>
      <c r="O10" s="5"/>
      <c r="P10" s="5"/>
      <c r="Q10" s="5"/>
      <c r="R10" s="5"/>
      <c r="S10" s="5"/>
      <c r="T10" s="5"/>
      <c r="U10" s="26"/>
      <c r="V10" s="26"/>
    </row>
    <row r="11" spans="1:23" x14ac:dyDescent="0.25">
      <c r="A11" s="187"/>
      <c r="B11" s="4" t="s">
        <v>193</v>
      </c>
      <c r="C11" s="24" t="s">
        <v>109</v>
      </c>
      <c r="D11" s="5">
        <v>1.2</v>
      </c>
      <c r="E11" s="5">
        <v>7.7</v>
      </c>
      <c r="F11" s="5">
        <v>35.5</v>
      </c>
      <c r="G11" s="5">
        <v>85.7</v>
      </c>
      <c r="H11" s="5">
        <v>148.1</v>
      </c>
      <c r="I11" s="5">
        <v>169.7</v>
      </c>
      <c r="J11" s="5">
        <v>161.9</v>
      </c>
      <c r="K11" s="26">
        <v>609.79999999999995</v>
      </c>
      <c r="M11" s="5"/>
      <c r="N11" s="5"/>
      <c r="O11" s="5"/>
      <c r="P11" s="5"/>
      <c r="Q11" s="5"/>
      <c r="R11" s="5"/>
      <c r="S11" s="5"/>
      <c r="T11" s="5"/>
      <c r="U11" s="26"/>
      <c r="V11" s="26"/>
    </row>
    <row r="12" spans="1:23" x14ac:dyDescent="0.25">
      <c r="A12" s="187"/>
      <c r="B12" s="4" t="s">
        <v>194</v>
      </c>
      <c r="C12" s="24" t="s">
        <v>109</v>
      </c>
      <c r="D12" s="5">
        <v>1.3</v>
      </c>
      <c r="E12" s="5">
        <v>5.4</v>
      </c>
      <c r="F12" s="5">
        <v>29.8</v>
      </c>
      <c r="G12" s="5">
        <v>81.5</v>
      </c>
      <c r="H12" s="5">
        <v>161.4</v>
      </c>
      <c r="I12" s="5">
        <v>201.8</v>
      </c>
      <c r="J12" s="5">
        <v>174.2</v>
      </c>
      <c r="K12" s="26">
        <v>655.4</v>
      </c>
      <c r="M12" s="5"/>
      <c r="N12" s="5"/>
      <c r="O12" s="5"/>
      <c r="P12" s="5"/>
      <c r="Q12" s="5"/>
      <c r="R12" s="5"/>
      <c r="S12" s="5"/>
      <c r="T12" s="5"/>
      <c r="U12" s="26"/>
      <c r="V12" s="26"/>
    </row>
    <row r="13" spans="1:23" x14ac:dyDescent="0.25">
      <c r="A13" s="187"/>
      <c r="B13" s="4" t="s">
        <v>284</v>
      </c>
      <c r="C13" s="24">
        <v>0.1</v>
      </c>
      <c r="D13" s="5">
        <v>0.4</v>
      </c>
      <c r="E13" s="5">
        <v>6</v>
      </c>
      <c r="F13" s="5">
        <v>22.1</v>
      </c>
      <c r="G13" s="5">
        <v>70.599999999999994</v>
      </c>
      <c r="H13" s="5">
        <v>158.19999999999999</v>
      </c>
      <c r="I13" s="5">
        <v>180.8</v>
      </c>
      <c r="J13" s="5">
        <v>172</v>
      </c>
      <c r="K13" s="26">
        <v>610.29999999999995</v>
      </c>
      <c r="M13" s="5"/>
      <c r="N13" s="5"/>
      <c r="O13" s="5"/>
      <c r="P13" s="5"/>
      <c r="Q13" s="5"/>
      <c r="R13" s="5"/>
      <c r="S13" s="5"/>
      <c r="T13" s="5"/>
      <c r="U13" s="26"/>
      <c r="V13" s="26"/>
    </row>
    <row r="14" spans="1:23" x14ac:dyDescent="0.25">
      <c r="A14" s="187" t="s">
        <v>20</v>
      </c>
      <c r="B14" s="4" t="s">
        <v>191</v>
      </c>
      <c r="C14" s="24" t="s">
        <v>109</v>
      </c>
      <c r="D14" s="24" t="s">
        <v>109</v>
      </c>
      <c r="E14" s="24" t="s">
        <v>109</v>
      </c>
      <c r="F14" s="24" t="s">
        <v>109</v>
      </c>
      <c r="G14" s="5" t="s">
        <v>109</v>
      </c>
      <c r="H14" s="5">
        <v>0.3</v>
      </c>
      <c r="I14" s="5">
        <v>0.4</v>
      </c>
      <c r="J14" s="5" t="s">
        <v>109</v>
      </c>
      <c r="K14" s="26">
        <v>0.7</v>
      </c>
      <c r="M14" s="5"/>
      <c r="N14" s="5"/>
      <c r="O14" s="5"/>
      <c r="P14" s="5"/>
      <c r="Q14" s="5"/>
      <c r="R14" s="5"/>
      <c r="S14" s="5"/>
      <c r="T14" s="5"/>
      <c r="U14" s="26"/>
      <c r="V14" s="26"/>
    </row>
    <row r="15" spans="1:23" x14ac:dyDescent="0.25">
      <c r="A15" s="187"/>
      <c r="B15" s="4" t="s">
        <v>192</v>
      </c>
      <c r="C15" s="24" t="s">
        <v>109</v>
      </c>
      <c r="D15" s="24" t="s">
        <v>109</v>
      </c>
      <c r="E15" s="24" t="s">
        <v>109</v>
      </c>
      <c r="F15" s="24" t="s">
        <v>109</v>
      </c>
      <c r="G15" s="24" t="s">
        <v>109</v>
      </c>
      <c r="H15" s="5">
        <v>0.5</v>
      </c>
      <c r="I15" s="5">
        <v>2.1</v>
      </c>
      <c r="J15" s="24">
        <v>0.2</v>
      </c>
      <c r="K15" s="26">
        <v>2.8</v>
      </c>
      <c r="M15" s="5"/>
      <c r="N15" s="5"/>
      <c r="O15" s="5"/>
      <c r="P15" s="5"/>
      <c r="Q15" s="5"/>
      <c r="R15" s="5"/>
      <c r="S15" s="5"/>
      <c r="T15" s="5"/>
      <c r="U15" s="26"/>
      <c r="V15" s="26"/>
    </row>
    <row r="16" spans="1:23" x14ac:dyDescent="0.25">
      <c r="A16" s="187"/>
      <c r="B16" s="4" t="s">
        <v>193</v>
      </c>
      <c r="C16" s="24" t="s">
        <v>109</v>
      </c>
      <c r="D16" s="24" t="s">
        <v>109</v>
      </c>
      <c r="E16" s="24" t="s">
        <v>109</v>
      </c>
      <c r="F16" s="24" t="s">
        <v>109</v>
      </c>
      <c r="G16" s="24">
        <v>0.6</v>
      </c>
      <c r="H16" s="5" t="s">
        <v>109</v>
      </c>
      <c r="I16" s="5">
        <v>0.4</v>
      </c>
      <c r="J16" s="5">
        <v>1.2</v>
      </c>
      <c r="K16" s="26">
        <v>2.2000000000000002</v>
      </c>
      <c r="M16" s="5"/>
      <c r="N16" s="5"/>
      <c r="O16" s="5"/>
      <c r="P16" s="5"/>
      <c r="Q16" s="5"/>
      <c r="R16" s="5"/>
      <c r="S16" s="5"/>
      <c r="T16" s="5"/>
      <c r="U16" s="26"/>
      <c r="V16" s="26"/>
    </row>
    <row r="17" spans="1:22" x14ac:dyDescent="0.25">
      <c r="A17" s="187"/>
      <c r="B17" s="4" t="s">
        <v>194</v>
      </c>
      <c r="C17" s="24" t="s">
        <v>109</v>
      </c>
      <c r="D17" s="24" t="s">
        <v>109</v>
      </c>
      <c r="E17" s="24" t="s">
        <v>109</v>
      </c>
      <c r="F17" s="24" t="s">
        <v>109</v>
      </c>
      <c r="G17" s="5">
        <v>0.3</v>
      </c>
      <c r="H17" s="24" t="s">
        <v>109</v>
      </c>
      <c r="I17" s="5">
        <v>0.6</v>
      </c>
      <c r="J17" s="5">
        <v>0.2</v>
      </c>
      <c r="K17" s="26">
        <v>1.2</v>
      </c>
      <c r="M17" s="5"/>
      <c r="N17" s="5"/>
      <c r="O17" s="5"/>
      <c r="P17" s="5"/>
      <c r="Q17" s="5"/>
      <c r="R17" s="5"/>
      <c r="S17" s="5"/>
      <c r="T17" s="5"/>
      <c r="U17" s="26"/>
      <c r="V17" s="26"/>
    </row>
    <row r="18" spans="1:22" x14ac:dyDescent="0.25">
      <c r="A18" s="187"/>
      <c r="B18" s="4" t="s">
        <v>284</v>
      </c>
      <c r="C18" s="24" t="s">
        <v>109</v>
      </c>
      <c r="D18" s="24" t="s">
        <v>109</v>
      </c>
      <c r="E18" s="24" t="s">
        <v>109</v>
      </c>
      <c r="F18" s="24" t="s">
        <v>109</v>
      </c>
      <c r="G18" s="5" t="s">
        <v>109</v>
      </c>
      <c r="H18" s="24">
        <v>0.7</v>
      </c>
      <c r="I18" s="5">
        <v>1.3</v>
      </c>
      <c r="J18" s="5">
        <v>1.3</v>
      </c>
      <c r="K18" s="26">
        <v>3.3</v>
      </c>
      <c r="M18" s="5"/>
      <c r="N18" s="5"/>
      <c r="O18" s="5"/>
      <c r="P18" s="5"/>
      <c r="Q18" s="5"/>
      <c r="R18" s="5"/>
      <c r="S18" s="5"/>
      <c r="T18" s="5"/>
      <c r="U18" s="26"/>
      <c r="V18" s="26"/>
    </row>
    <row r="19" spans="1:22" x14ac:dyDescent="0.25">
      <c r="A19" s="187" t="s">
        <v>11</v>
      </c>
      <c r="B19" s="4" t="s">
        <v>191</v>
      </c>
      <c r="C19" s="5">
        <v>0.9</v>
      </c>
      <c r="D19" s="5">
        <v>7</v>
      </c>
      <c r="E19" s="5">
        <v>27.2</v>
      </c>
      <c r="F19" s="5">
        <v>93.3</v>
      </c>
      <c r="G19" s="5">
        <v>286</v>
      </c>
      <c r="H19" s="5">
        <v>596.4</v>
      </c>
      <c r="I19" s="5">
        <v>810.7</v>
      </c>
      <c r="J19" s="5">
        <v>971.8</v>
      </c>
      <c r="K19" s="26">
        <v>2793.3</v>
      </c>
      <c r="M19" s="5"/>
      <c r="N19" s="5"/>
      <c r="O19" s="5"/>
      <c r="P19" s="5"/>
      <c r="Q19" s="5"/>
      <c r="R19" s="5"/>
      <c r="S19" s="5"/>
      <c r="T19" s="5"/>
      <c r="U19" s="26"/>
      <c r="V19" s="26"/>
    </row>
    <row r="20" spans="1:22" x14ac:dyDescent="0.25">
      <c r="A20" s="187"/>
      <c r="B20" s="4" t="s">
        <v>192</v>
      </c>
      <c r="C20" s="5">
        <v>0.3</v>
      </c>
      <c r="D20" s="5">
        <v>3.8</v>
      </c>
      <c r="E20" s="5">
        <v>29</v>
      </c>
      <c r="F20" s="5">
        <v>101</v>
      </c>
      <c r="G20" s="5">
        <v>272.2</v>
      </c>
      <c r="H20" s="5">
        <v>526.4</v>
      </c>
      <c r="I20" s="5">
        <v>792.8</v>
      </c>
      <c r="J20" s="5">
        <v>929.8</v>
      </c>
      <c r="K20" s="26">
        <v>2655.2</v>
      </c>
      <c r="M20" s="5"/>
      <c r="N20" s="5"/>
      <c r="O20" s="5"/>
      <c r="P20" s="5"/>
      <c r="Q20" s="5"/>
      <c r="R20" s="5"/>
      <c r="S20" s="5"/>
      <c r="T20" s="5"/>
      <c r="U20" s="26"/>
      <c r="V20" s="26"/>
    </row>
    <row r="21" spans="1:22" x14ac:dyDescent="0.25">
      <c r="A21" s="187"/>
      <c r="B21" s="4" t="s">
        <v>193</v>
      </c>
      <c r="C21" s="5">
        <v>1.1000000000000001</v>
      </c>
      <c r="D21" s="5">
        <v>5.5</v>
      </c>
      <c r="E21" s="5">
        <v>21.9</v>
      </c>
      <c r="F21" s="5">
        <v>111</v>
      </c>
      <c r="G21" s="5">
        <v>287.3</v>
      </c>
      <c r="H21" s="5">
        <v>565.5</v>
      </c>
      <c r="I21" s="5">
        <v>735.7</v>
      </c>
      <c r="J21" s="5">
        <v>874.5</v>
      </c>
      <c r="K21" s="26">
        <v>2602.5</v>
      </c>
      <c r="M21" s="5"/>
      <c r="N21" s="5"/>
      <c r="O21" s="5"/>
      <c r="P21" s="5"/>
      <c r="Q21" s="5"/>
      <c r="R21" s="5"/>
      <c r="S21" s="5"/>
      <c r="T21" s="5"/>
      <c r="U21" s="26"/>
      <c r="V21" s="26"/>
    </row>
    <row r="22" spans="1:22" x14ac:dyDescent="0.25">
      <c r="A22" s="187"/>
      <c r="B22" s="4" t="s">
        <v>194</v>
      </c>
      <c r="C22" s="5">
        <v>0.3</v>
      </c>
      <c r="D22" s="5">
        <v>5.7</v>
      </c>
      <c r="E22" s="5">
        <v>22.8</v>
      </c>
      <c r="F22" s="5">
        <v>98.3</v>
      </c>
      <c r="G22" s="5">
        <v>268.2</v>
      </c>
      <c r="H22" s="5">
        <v>589.70000000000005</v>
      </c>
      <c r="I22" s="5">
        <v>764.5</v>
      </c>
      <c r="J22" s="5">
        <v>864</v>
      </c>
      <c r="K22" s="26">
        <v>2613.4</v>
      </c>
      <c r="M22" s="5"/>
      <c r="N22" s="5"/>
      <c r="O22" s="5"/>
      <c r="P22" s="5"/>
      <c r="Q22" s="5"/>
      <c r="R22" s="5"/>
      <c r="S22" s="5"/>
      <c r="T22" s="5"/>
      <c r="U22" s="26"/>
      <c r="V22" s="26"/>
    </row>
    <row r="23" spans="1:22" x14ac:dyDescent="0.25">
      <c r="A23" s="187"/>
      <c r="B23" s="4" t="s">
        <v>284</v>
      </c>
      <c r="C23" s="5">
        <v>0.7</v>
      </c>
      <c r="D23" s="5">
        <v>3</v>
      </c>
      <c r="E23" s="5">
        <v>22.3</v>
      </c>
      <c r="F23" s="5">
        <v>79.7</v>
      </c>
      <c r="G23" s="5">
        <v>250.2</v>
      </c>
      <c r="H23" s="5">
        <v>567.20000000000005</v>
      </c>
      <c r="I23" s="5">
        <v>756.8</v>
      </c>
      <c r="J23" s="5">
        <v>828.9</v>
      </c>
      <c r="K23" s="26">
        <v>2508.8000000000002</v>
      </c>
      <c r="M23" s="5"/>
      <c r="N23" s="5"/>
      <c r="O23" s="5"/>
      <c r="P23" s="5"/>
      <c r="Q23" s="5"/>
      <c r="R23" s="5"/>
      <c r="S23" s="5"/>
      <c r="T23" s="5"/>
      <c r="U23" s="26"/>
      <c r="V23" s="26"/>
    </row>
    <row r="24" spans="1:22" ht="3" customHeight="1" x14ac:dyDescent="0.25">
      <c r="A24" s="2"/>
      <c r="M24" s="129"/>
      <c r="N24" s="127"/>
    </row>
    <row r="25" spans="1:22" ht="11.1" customHeight="1" x14ac:dyDescent="0.25">
      <c r="A25" s="184" t="s">
        <v>12</v>
      </c>
      <c r="B25" s="184"/>
      <c r="C25" s="184"/>
      <c r="D25" s="184"/>
      <c r="E25" s="184"/>
      <c r="F25" s="184"/>
      <c r="G25" s="184"/>
      <c r="H25" s="184"/>
      <c r="I25" s="184"/>
      <c r="J25" s="184"/>
      <c r="K25" s="184"/>
    </row>
    <row r="26" spans="1:22" ht="11.1" customHeight="1" x14ac:dyDescent="0.25">
      <c r="A26" s="76" t="s">
        <v>319</v>
      </c>
      <c r="B26" s="76"/>
      <c r="C26" s="76"/>
      <c r="D26" s="76"/>
      <c r="E26" s="76"/>
      <c r="F26" s="76"/>
      <c r="G26" s="76"/>
      <c r="H26" s="76"/>
      <c r="I26" s="76"/>
      <c r="J26" s="76"/>
      <c r="K26" s="76"/>
    </row>
    <row r="27" spans="1:22" s="12" customFormat="1" ht="11.1" customHeight="1" x14ac:dyDescent="0.2">
      <c r="A27" s="39" t="s">
        <v>23</v>
      </c>
    </row>
    <row r="28" spans="1:22" s="6" customFormat="1" ht="18" customHeight="1" x14ac:dyDescent="0.15">
      <c r="A28" s="186" t="s">
        <v>31</v>
      </c>
      <c r="B28" s="186"/>
      <c r="C28" s="186"/>
      <c r="D28" s="186"/>
      <c r="E28" s="186"/>
      <c r="F28" s="186"/>
      <c r="G28" s="186"/>
      <c r="H28" s="186"/>
      <c r="I28" s="186"/>
      <c r="J28" s="186"/>
      <c r="K28" s="186"/>
    </row>
    <row r="29" spans="1:22" s="6" customFormat="1" ht="11.1" customHeight="1" x14ac:dyDescent="0.15">
      <c r="A29" s="6" t="s">
        <v>36</v>
      </c>
    </row>
    <row r="30" spans="1:22" s="6" customFormat="1" ht="11.1" customHeight="1" x14ac:dyDescent="0.15">
      <c r="A30" s="6" t="s">
        <v>14</v>
      </c>
    </row>
    <row r="31" spans="1:22" s="6" customFormat="1" ht="11.1" customHeight="1" x14ac:dyDescent="0.15">
      <c r="A31" s="6" t="s">
        <v>263</v>
      </c>
    </row>
    <row r="32" spans="1:22" ht="12" customHeight="1" x14ac:dyDescent="0.25">
      <c r="A32" s="2"/>
      <c r="N32" s="127"/>
    </row>
    <row r="33" spans="1:24" ht="27.95" customHeight="1" x14ac:dyDescent="0.25">
      <c r="A33" s="185" t="s">
        <v>320</v>
      </c>
      <c r="B33" s="185"/>
      <c r="C33" s="185"/>
      <c r="D33" s="185"/>
      <c r="E33" s="185"/>
      <c r="F33" s="185"/>
      <c r="G33" s="185"/>
      <c r="H33" s="185"/>
      <c r="I33" s="185"/>
      <c r="J33" s="185"/>
      <c r="K33" s="185"/>
      <c r="L33" s="185"/>
      <c r="M33" s="185"/>
    </row>
    <row r="34" spans="1:24" ht="12" hidden="1" customHeight="1" x14ac:dyDescent="0.25">
      <c r="A34" s="2"/>
    </row>
    <row r="35" spans="1:24" x14ac:dyDescent="0.25">
      <c r="A35" s="31" t="s">
        <v>119</v>
      </c>
      <c r="B35" s="31" t="s">
        <v>122</v>
      </c>
      <c r="C35" s="3">
        <v>10</v>
      </c>
      <c r="D35" s="3">
        <v>11</v>
      </c>
      <c r="E35" s="3">
        <v>12</v>
      </c>
      <c r="F35" s="3">
        <v>13</v>
      </c>
      <c r="G35" s="3">
        <v>14</v>
      </c>
      <c r="H35" s="3">
        <v>15</v>
      </c>
      <c r="I35" s="3">
        <v>16</v>
      </c>
      <c r="J35" s="3">
        <v>17</v>
      </c>
      <c r="K35" s="34" t="s">
        <v>9</v>
      </c>
    </row>
    <row r="36" spans="1:24" x14ac:dyDescent="0.25">
      <c r="A36" s="187" t="s">
        <v>17</v>
      </c>
      <c r="B36" s="4" t="s">
        <v>191</v>
      </c>
      <c r="C36" s="8">
        <v>6</v>
      </c>
      <c r="D36" s="8">
        <v>21</v>
      </c>
      <c r="E36" s="8">
        <v>77</v>
      </c>
      <c r="F36" s="8">
        <v>247</v>
      </c>
      <c r="G36" s="8">
        <v>625</v>
      </c>
      <c r="H36" s="8">
        <v>1102</v>
      </c>
      <c r="I36" s="8">
        <v>1359</v>
      </c>
      <c r="J36" s="8">
        <v>1752</v>
      </c>
      <c r="K36" s="117">
        <v>5189</v>
      </c>
      <c r="M36" s="8"/>
      <c r="N36" s="8"/>
      <c r="O36" s="8"/>
      <c r="P36" s="8"/>
      <c r="Q36" s="8"/>
      <c r="R36" s="8"/>
      <c r="S36" s="8"/>
      <c r="T36" s="8"/>
      <c r="U36" s="117"/>
      <c r="X36" s="120"/>
    </row>
    <row r="37" spans="1:24" x14ac:dyDescent="0.25">
      <c r="A37" s="187"/>
      <c r="B37" s="4" t="s">
        <v>192</v>
      </c>
      <c r="C37" s="8">
        <v>5</v>
      </c>
      <c r="D37" s="8">
        <v>17</v>
      </c>
      <c r="E37" s="8">
        <v>79</v>
      </c>
      <c r="F37" s="8">
        <v>234</v>
      </c>
      <c r="G37" s="8">
        <v>612</v>
      </c>
      <c r="H37" s="8">
        <v>1013</v>
      </c>
      <c r="I37" s="8">
        <v>1408</v>
      </c>
      <c r="J37" s="8">
        <v>1594</v>
      </c>
      <c r="K37" s="117">
        <v>4962</v>
      </c>
      <c r="M37" s="8"/>
      <c r="N37" s="8"/>
      <c r="O37" s="8"/>
      <c r="P37" s="8"/>
      <c r="Q37" s="8"/>
      <c r="R37" s="8"/>
      <c r="S37" s="8"/>
      <c r="T37" s="8"/>
      <c r="U37" s="117"/>
    </row>
    <row r="38" spans="1:24" x14ac:dyDescent="0.25">
      <c r="A38" s="187"/>
      <c r="B38" s="4" t="s">
        <v>193</v>
      </c>
      <c r="C38" s="8">
        <v>7</v>
      </c>
      <c r="D38" s="8">
        <v>35</v>
      </c>
      <c r="E38" s="8">
        <v>84</v>
      </c>
      <c r="F38" s="8">
        <v>265</v>
      </c>
      <c r="G38" s="8">
        <v>636</v>
      </c>
      <c r="H38" s="8">
        <v>1066</v>
      </c>
      <c r="I38" s="8">
        <v>1330</v>
      </c>
      <c r="J38" s="8">
        <v>1615</v>
      </c>
      <c r="K38" s="117">
        <v>5038</v>
      </c>
      <c r="M38" s="8"/>
      <c r="N38" s="8"/>
      <c r="O38" s="8"/>
      <c r="P38" s="8"/>
      <c r="Q38" s="8"/>
      <c r="R38" s="8"/>
      <c r="S38" s="8"/>
      <c r="T38" s="8"/>
      <c r="U38" s="117"/>
    </row>
    <row r="39" spans="1:24" x14ac:dyDescent="0.25">
      <c r="A39" s="187"/>
      <c r="B39" s="4" t="s">
        <v>194</v>
      </c>
      <c r="C39" s="8">
        <v>4</v>
      </c>
      <c r="D39" s="8">
        <v>15</v>
      </c>
      <c r="E39" s="8">
        <v>84</v>
      </c>
      <c r="F39" s="8">
        <v>294</v>
      </c>
      <c r="G39" s="8">
        <v>615</v>
      </c>
      <c r="H39" s="8">
        <v>1153</v>
      </c>
      <c r="I39" s="8">
        <v>1338</v>
      </c>
      <c r="J39" s="8">
        <v>1548</v>
      </c>
      <c r="K39" s="117">
        <v>5051</v>
      </c>
      <c r="M39" s="8"/>
      <c r="N39" s="8"/>
      <c r="O39" s="8"/>
      <c r="P39" s="8"/>
      <c r="Q39" s="8"/>
      <c r="R39" s="8"/>
      <c r="S39" s="8"/>
      <c r="T39" s="8"/>
      <c r="U39" s="117"/>
    </row>
    <row r="40" spans="1:24" x14ac:dyDescent="0.25">
      <c r="A40" s="187"/>
      <c r="B40" s="4" t="s">
        <v>284</v>
      </c>
      <c r="C40" s="8">
        <v>2</v>
      </c>
      <c r="D40" s="8">
        <v>16</v>
      </c>
      <c r="E40" s="8">
        <v>91</v>
      </c>
      <c r="F40" s="8">
        <v>261</v>
      </c>
      <c r="G40" s="8">
        <v>659</v>
      </c>
      <c r="H40" s="8">
        <v>1136</v>
      </c>
      <c r="I40" s="8">
        <v>1337</v>
      </c>
      <c r="J40" s="8">
        <v>1656</v>
      </c>
      <c r="K40" s="117">
        <v>5158</v>
      </c>
      <c r="M40" s="8"/>
      <c r="N40" s="8"/>
      <c r="O40" s="8"/>
      <c r="P40" s="8"/>
      <c r="Q40" s="8"/>
      <c r="R40" s="8"/>
      <c r="S40" s="8"/>
      <c r="T40" s="8"/>
      <c r="U40" s="117"/>
    </row>
    <row r="41" spans="1:24" x14ac:dyDescent="0.25">
      <c r="A41" s="187" t="s">
        <v>21</v>
      </c>
      <c r="B41" s="4" t="s">
        <v>191</v>
      </c>
      <c r="C41" s="8" t="s">
        <v>109</v>
      </c>
      <c r="D41" s="8">
        <v>2</v>
      </c>
      <c r="E41" s="8">
        <v>23</v>
      </c>
      <c r="F41" s="8">
        <v>93</v>
      </c>
      <c r="G41" s="8">
        <v>237</v>
      </c>
      <c r="H41" s="8">
        <v>347</v>
      </c>
      <c r="I41" s="8">
        <v>369</v>
      </c>
      <c r="J41" s="8">
        <v>376</v>
      </c>
      <c r="K41" s="117">
        <v>1447</v>
      </c>
      <c r="M41" s="8"/>
      <c r="N41" s="8"/>
      <c r="O41" s="8"/>
      <c r="P41" s="8"/>
      <c r="Q41" s="8"/>
      <c r="R41" s="8"/>
      <c r="S41" s="8"/>
      <c r="T41" s="8"/>
      <c r="U41" s="117"/>
    </row>
    <row r="42" spans="1:24" x14ac:dyDescent="0.25">
      <c r="A42" s="187"/>
      <c r="B42" s="4" t="s">
        <v>192</v>
      </c>
      <c r="C42" s="29" t="s">
        <v>109</v>
      </c>
      <c r="D42" s="8">
        <v>5</v>
      </c>
      <c r="E42" s="8">
        <v>40</v>
      </c>
      <c r="F42" s="8">
        <v>101</v>
      </c>
      <c r="G42" s="8">
        <v>232</v>
      </c>
      <c r="H42" s="8">
        <v>338</v>
      </c>
      <c r="I42" s="8">
        <v>364</v>
      </c>
      <c r="J42" s="8">
        <v>326</v>
      </c>
      <c r="K42" s="117">
        <v>1406</v>
      </c>
      <c r="M42" s="8"/>
      <c r="N42" s="8"/>
      <c r="O42" s="8"/>
      <c r="P42" s="8"/>
      <c r="Q42" s="8"/>
      <c r="R42" s="8"/>
      <c r="S42" s="8"/>
      <c r="T42" s="8"/>
      <c r="U42" s="117"/>
    </row>
    <row r="43" spans="1:24" x14ac:dyDescent="0.25">
      <c r="A43" s="187"/>
      <c r="B43" s="4" t="s">
        <v>193</v>
      </c>
      <c r="C43" s="29" t="s">
        <v>109</v>
      </c>
      <c r="D43" s="8">
        <v>5</v>
      </c>
      <c r="E43" s="8">
        <v>42</v>
      </c>
      <c r="F43" s="8">
        <v>113</v>
      </c>
      <c r="G43" s="8">
        <v>236</v>
      </c>
      <c r="H43" s="8">
        <v>381</v>
      </c>
      <c r="I43" s="8">
        <v>354</v>
      </c>
      <c r="J43" s="8">
        <v>341</v>
      </c>
      <c r="K43" s="117">
        <v>1472</v>
      </c>
      <c r="M43" s="8"/>
      <c r="N43" s="8"/>
      <c r="O43" s="8"/>
      <c r="P43" s="8"/>
      <c r="Q43" s="8"/>
      <c r="R43" s="8"/>
      <c r="S43" s="8"/>
      <c r="T43" s="8"/>
      <c r="U43" s="117"/>
    </row>
    <row r="44" spans="1:24" x14ac:dyDescent="0.25">
      <c r="A44" s="187"/>
      <c r="B44" s="4" t="s">
        <v>194</v>
      </c>
      <c r="C44" s="29">
        <v>1</v>
      </c>
      <c r="D44" s="8">
        <v>4</v>
      </c>
      <c r="E44" s="8">
        <v>29</v>
      </c>
      <c r="F44" s="8">
        <v>102</v>
      </c>
      <c r="G44" s="8">
        <v>274</v>
      </c>
      <c r="H44" s="8">
        <v>362</v>
      </c>
      <c r="I44" s="8">
        <v>439</v>
      </c>
      <c r="J44" s="8">
        <v>341</v>
      </c>
      <c r="K44" s="117">
        <v>1552</v>
      </c>
      <c r="M44" s="8"/>
      <c r="N44" s="8"/>
      <c r="O44" s="8"/>
      <c r="P44" s="8"/>
      <c r="Q44" s="8"/>
      <c r="R44" s="8"/>
      <c r="S44" s="8"/>
      <c r="T44" s="8"/>
      <c r="U44" s="117"/>
    </row>
    <row r="45" spans="1:24" x14ac:dyDescent="0.25">
      <c r="A45" s="187"/>
      <c r="B45" s="4" t="s">
        <v>284</v>
      </c>
      <c r="C45" s="8">
        <v>1</v>
      </c>
      <c r="D45" s="8">
        <v>1</v>
      </c>
      <c r="E45" s="8">
        <v>30</v>
      </c>
      <c r="F45" s="8">
        <v>92</v>
      </c>
      <c r="G45" s="8">
        <v>246</v>
      </c>
      <c r="H45" s="8">
        <v>396</v>
      </c>
      <c r="I45" s="8">
        <v>388</v>
      </c>
      <c r="J45" s="8">
        <v>386</v>
      </c>
      <c r="K45" s="117">
        <v>1540</v>
      </c>
      <c r="M45" s="8"/>
      <c r="N45" s="8"/>
      <c r="O45" s="8"/>
      <c r="P45" s="8"/>
      <c r="Q45" s="8"/>
      <c r="R45" s="8"/>
      <c r="S45" s="8"/>
      <c r="T45" s="8"/>
      <c r="U45" s="117"/>
    </row>
    <row r="46" spans="1:24" x14ac:dyDescent="0.25">
      <c r="A46" s="187" t="s">
        <v>20</v>
      </c>
      <c r="B46" s="4" t="s">
        <v>191</v>
      </c>
      <c r="C46" s="29" t="s">
        <v>109</v>
      </c>
      <c r="D46" s="29" t="s">
        <v>109</v>
      </c>
      <c r="E46" s="29" t="s">
        <v>109</v>
      </c>
      <c r="F46" s="8" t="s">
        <v>109</v>
      </c>
      <c r="G46" s="8" t="s">
        <v>109</v>
      </c>
      <c r="H46" s="8">
        <v>1</v>
      </c>
      <c r="I46" s="29" t="s">
        <v>109</v>
      </c>
      <c r="J46" s="8" t="s">
        <v>109</v>
      </c>
      <c r="K46" s="117">
        <v>1</v>
      </c>
      <c r="M46" s="8"/>
      <c r="N46" s="8"/>
      <c r="O46" s="8"/>
      <c r="P46" s="8"/>
      <c r="Q46" s="8"/>
      <c r="R46" s="8"/>
      <c r="S46" s="8"/>
      <c r="T46" s="8"/>
      <c r="U46" s="117"/>
    </row>
    <row r="47" spans="1:24" x14ac:dyDescent="0.25">
      <c r="A47" s="187"/>
      <c r="B47" s="4" t="s">
        <v>192</v>
      </c>
      <c r="C47" s="29" t="s">
        <v>109</v>
      </c>
      <c r="D47" s="29" t="s">
        <v>109</v>
      </c>
      <c r="E47" s="29" t="s">
        <v>109</v>
      </c>
      <c r="F47" s="29" t="s">
        <v>109</v>
      </c>
      <c r="G47" s="29" t="s">
        <v>109</v>
      </c>
      <c r="H47" s="8">
        <v>1</v>
      </c>
      <c r="I47" s="29">
        <v>3</v>
      </c>
      <c r="J47" s="29">
        <v>1</v>
      </c>
      <c r="K47" s="117">
        <v>5</v>
      </c>
      <c r="M47" s="8"/>
      <c r="N47" s="8"/>
      <c r="O47" s="8"/>
      <c r="P47" s="8"/>
      <c r="Q47" s="8"/>
      <c r="R47" s="8"/>
      <c r="S47" s="8"/>
      <c r="T47" s="8"/>
      <c r="U47" s="117"/>
    </row>
    <row r="48" spans="1:24" x14ac:dyDescent="0.25">
      <c r="A48" s="187"/>
      <c r="B48" s="4" t="s">
        <v>193</v>
      </c>
      <c r="C48" s="29" t="s">
        <v>109</v>
      </c>
      <c r="D48" s="29">
        <v>1</v>
      </c>
      <c r="E48" s="29" t="s">
        <v>109</v>
      </c>
      <c r="F48" s="29" t="s">
        <v>109</v>
      </c>
      <c r="G48" s="29">
        <v>2</v>
      </c>
      <c r="H48" s="8">
        <v>1</v>
      </c>
      <c r="I48" s="8">
        <v>3</v>
      </c>
      <c r="J48" s="8">
        <v>1</v>
      </c>
      <c r="K48" s="117">
        <v>8</v>
      </c>
      <c r="M48" s="8"/>
      <c r="N48" s="8"/>
      <c r="O48" s="8"/>
      <c r="P48" s="8"/>
      <c r="Q48" s="8"/>
      <c r="R48" s="8"/>
      <c r="S48" s="8"/>
      <c r="T48" s="8"/>
      <c r="U48" s="117"/>
    </row>
    <row r="49" spans="1:21" x14ac:dyDescent="0.25">
      <c r="A49" s="187"/>
      <c r="B49" s="4" t="s">
        <v>194</v>
      </c>
      <c r="C49" s="29" t="s">
        <v>109</v>
      </c>
      <c r="D49" s="8" t="s">
        <v>109</v>
      </c>
      <c r="E49" s="29" t="s">
        <v>109</v>
      </c>
      <c r="F49" s="29" t="s">
        <v>109</v>
      </c>
      <c r="G49" s="8">
        <v>1</v>
      </c>
      <c r="H49" s="8" t="s">
        <v>109</v>
      </c>
      <c r="I49" s="8">
        <v>2</v>
      </c>
      <c r="J49" s="8">
        <v>4</v>
      </c>
      <c r="K49" s="117">
        <v>7</v>
      </c>
      <c r="M49" s="8"/>
      <c r="N49" s="8"/>
      <c r="O49" s="8"/>
      <c r="P49" s="8"/>
      <c r="Q49" s="8"/>
      <c r="R49" s="8"/>
      <c r="S49" s="8"/>
      <c r="T49" s="8"/>
      <c r="U49" s="117"/>
    </row>
    <row r="50" spans="1:21" x14ac:dyDescent="0.25">
      <c r="A50" s="187"/>
      <c r="B50" s="4" t="s">
        <v>284</v>
      </c>
      <c r="C50" s="29" t="s">
        <v>109</v>
      </c>
      <c r="D50" s="29" t="s">
        <v>109</v>
      </c>
      <c r="E50" s="29">
        <v>1</v>
      </c>
      <c r="F50" s="29" t="s">
        <v>109</v>
      </c>
      <c r="G50" s="8" t="s">
        <v>109</v>
      </c>
      <c r="H50" s="29">
        <v>2</v>
      </c>
      <c r="I50" s="8">
        <v>3</v>
      </c>
      <c r="J50" s="8">
        <v>5</v>
      </c>
      <c r="K50" s="117">
        <v>11</v>
      </c>
      <c r="M50" s="8"/>
      <c r="N50" s="8"/>
      <c r="O50" s="8"/>
      <c r="P50" s="8"/>
      <c r="Q50" s="8"/>
      <c r="R50" s="8"/>
      <c r="S50" s="8"/>
      <c r="T50" s="8"/>
      <c r="U50" s="117"/>
    </row>
    <row r="51" spans="1:21" x14ac:dyDescent="0.25">
      <c r="A51" s="196" t="s">
        <v>11</v>
      </c>
      <c r="B51" s="4" t="s">
        <v>191</v>
      </c>
      <c r="C51" s="8">
        <v>6</v>
      </c>
      <c r="D51" s="8">
        <v>23</v>
      </c>
      <c r="E51" s="8">
        <v>100</v>
      </c>
      <c r="F51" s="8">
        <v>340</v>
      </c>
      <c r="G51" s="8">
        <v>862</v>
      </c>
      <c r="H51" s="8">
        <v>1450</v>
      </c>
      <c r="I51" s="8">
        <v>1728</v>
      </c>
      <c r="J51" s="8">
        <v>2128</v>
      </c>
      <c r="K51" s="117">
        <v>6637</v>
      </c>
      <c r="M51" s="8"/>
      <c r="N51" s="8"/>
      <c r="O51" s="8"/>
      <c r="P51" s="8"/>
      <c r="Q51" s="8"/>
      <c r="R51" s="8"/>
      <c r="S51" s="8"/>
      <c r="T51" s="8"/>
      <c r="U51" s="117"/>
    </row>
    <row r="52" spans="1:21" x14ac:dyDescent="0.25">
      <c r="A52" s="196"/>
      <c r="B52" s="4" t="s">
        <v>192</v>
      </c>
      <c r="C52" s="8">
        <v>5</v>
      </c>
      <c r="D52" s="8">
        <v>22</v>
      </c>
      <c r="E52" s="8">
        <v>119</v>
      </c>
      <c r="F52" s="8">
        <v>335</v>
      </c>
      <c r="G52" s="8">
        <v>844</v>
      </c>
      <c r="H52" s="8">
        <v>1352</v>
      </c>
      <c r="I52" s="8">
        <v>1775</v>
      </c>
      <c r="J52" s="8">
        <v>1921</v>
      </c>
      <c r="K52" s="117">
        <v>6373</v>
      </c>
      <c r="M52" s="8"/>
      <c r="N52" s="8"/>
      <c r="O52" s="8"/>
      <c r="P52" s="8"/>
      <c r="Q52" s="8"/>
      <c r="R52" s="8"/>
      <c r="S52" s="8"/>
      <c r="T52" s="8"/>
      <c r="U52" s="117"/>
    </row>
    <row r="53" spans="1:21" x14ac:dyDescent="0.25">
      <c r="A53" s="196"/>
      <c r="B53" s="4" t="s">
        <v>193</v>
      </c>
      <c r="C53" s="8">
        <v>7</v>
      </c>
      <c r="D53" s="8">
        <v>41</v>
      </c>
      <c r="E53" s="8">
        <v>126</v>
      </c>
      <c r="F53" s="8">
        <v>378</v>
      </c>
      <c r="G53" s="8">
        <v>874</v>
      </c>
      <c r="H53" s="8">
        <v>1448</v>
      </c>
      <c r="I53" s="8">
        <v>1687</v>
      </c>
      <c r="J53" s="8">
        <v>1957</v>
      </c>
      <c r="K53" s="117">
        <v>6518</v>
      </c>
      <c r="M53" s="8"/>
      <c r="N53" s="8"/>
      <c r="O53" s="8"/>
      <c r="P53" s="8"/>
      <c r="Q53" s="8"/>
      <c r="R53" s="8"/>
      <c r="S53" s="8"/>
      <c r="T53" s="8"/>
      <c r="U53" s="117"/>
    </row>
    <row r="54" spans="1:21" x14ac:dyDescent="0.25">
      <c r="A54" s="196"/>
      <c r="B54" s="4" t="s">
        <v>194</v>
      </c>
      <c r="C54" s="8">
        <v>5</v>
      </c>
      <c r="D54" s="8">
        <v>19</v>
      </c>
      <c r="E54" s="8">
        <v>113</v>
      </c>
      <c r="F54" s="8">
        <v>396</v>
      </c>
      <c r="G54" s="8">
        <v>890</v>
      </c>
      <c r="H54" s="8">
        <v>1515</v>
      </c>
      <c r="I54" s="8">
        <v>1779</v>
      </c>
      <c r="J54" s="8">
        <v>1893</v>
      </c>
      <c r="K54" s="117">
        <v>6610</v>
      </c>
      <c r="M54" s="8"/>
      <c r="N54" s="8"/>
      <c r="O54" s="8"/>
      <c r="P54" s="8"/>
      <c r="Q54" s="8"/>
      <c r="R54" s="8"/>
      <c r="S54" s="8"/>
      <c r="T54" s="8"/>
      <c r="U54" s="117"/>
    </row>
    <row r="55" spans="1:21" x14ac:dyDescent="0.25">
      <c r="A55" s="196"/>
      <c r="B55" s="4" t="s">
        <v>284</v>
      </c>
      <c r="C55" s="8">
        <v>3</v>
      </c>
      <c r="D55" s="8">
        <v>17</v>
      </c>
      <c r="E55" s="8">
        <v>122</v>
      </c>
      <c r="F55" s="8">
        <v>353</v>
      </c>
      <c r="G55" s="8">
        <v>905</v>
      </c>
      <c r="H55" s="8">
        <v>1534</v>
      </c>
      <c r="I55" s="8">
        <v>1728</v>
      </c>
      <c r="J55" s="8">
        <v>2047</v>
      </c>
      <c r="K55" s="117">
        <v>6709</v>
      </c>
      <c r="M55" s="8"/>
      <c r="N55" s="8"/>
      <c r="O55" s="8"/>
      <c r="P55" s="8"/>
      <c r="Q55" s="8"/>
      <c r="R55" s="8"/>
      <c r="S55" s="8"/>
      <c r="T55" s="8"/>
      <c r="U55" s="117"/>
    </row>
    <row r="56" spans="1:21" ht="3" customHeight="1" x14ac:dyDescent="0.25">
      <c r="A56" s="2"/>
    </row>
    <row r="57" spans="1:21" ht="11.1" customHeight="1" x14ac:dyDescent="0.25">
      <c r="A57" s="195" t="s">
        <v>23</v>
      </c>
      <c r="B57" s="195"/>
      <c r="C57" s="195"/>
      <c r="D57" s="195"/>
      <c r="E57" s="195"/>
      <c r="F57" s="195"/>
      <c r="G57" s="195"/>
      <c r="H57" s="195"/>
      <c r="I57" s="195"/>
      <c r="J57" s="195"/>
      <c r="K57" s="195"/>
      <c r="L57" s="192"/>
      <c r="M57" s="192"/>
    </row>
    <row r="58" spans="1:21" s="6" customFormat="1" ht="18" customHeight="1" x14ac:dyDescent="0.15">
      <c r="A58" s="186" t="s">
        <v>34</v>
      </c>
      <c r="B58" s="186"/>
      <c r="C58" s="186"/>
      <c r="D58" s="186"/>
      <c r="E58" s="186"/>
      <c r="F58" s="186"/>
      <c r="G58" s="186"/>
      <c r="H58" s="186"/>
      <c r="I58" s="186"/>
      <c r="J58" s="186"/>
      <c r="K58" s="186"/>
    </row>
    <row r="59" spans="1:21" s="6" customFormat="1" ht="11.1" customHeight="1" x14ac:dyDescent="0.15">
      <c r="A59" s="6" t="s">
        <v>36</v>
      </c>
    </row>
    <row r="60" spans="1:21" s="6" customFormat="1" ht="11.1" customHeight="1" x14ac:dyDescent="0.15">
      <c r="A60" s="6" t="s">
        <v>14</v>
      </c>
    </row>
    <row r="61" spans="1:21" s="6" customFormat="1" ht="11.1" customHeight="1" x14ac:dyDescent="0.15">
      <c r="A61" s="6" t="s">
        <v>263</v>
      </c>
    </row>
    <row r="62" spans="1:21" ht="12" customHeight="1" x14ac:dyDescent="0.25">
      <c r="A62" s="2"/>
      <c r="M62" s="120"/>
    </row>
  </sheetData>
  <mergeCells count="14">
    <mergeCell ref="A1:K1"/>
    <mergeCell ref="A4:A8"/>
    <mergeCell ref="A9:A13"/>
    <mergeCell ref="A14:A18"/>
    <mergeCell ref="A19:A23"/>
    <mergeCell ref="A57:M57"/>
    <mergeCell ref="A28:K28"/>
    <mergeCell ref="A58:K58"/>
    <mergeCell ref="A25:K25"/>
    <mergeCell ref="A33:M33"/>
    <mergeCell ref="A36:A40"/>
    <mergeCell ref="A41:A45"/>
    <mergeCell ref="A46:A50"/>
    <mergeCell ref="A51:A55"/>
  </mergeCells>
  <pageMargins left="0.08" right="0.08" top="1" bottom="1" header="0.5" footer="0.5"/>
  <pageSetup orientation="landscape" blackAndWhite="1"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W55"/>
  <sheetViews>
    <sheetView zoomScaleNormal="100" workbookViewId="0">
      <selection sqref="A1:K1"/>
    </sheetView>
  </sheetViews>
  <sheetFormatPr defaultColWidth="9.140625" defaultRowHeight="15" x14ac:dyDescent="0.25"/>
  <cols>
    <col min="1" max="11" width="11.42578125" style="1" bestFit="1" customWidth="1"/>
    <col min="12" max="16384" width="9.140625" style="1"/>
  </cols>
  <sheetData>
    <row r="1" spans="1:23" ht="27.95" customHeight="1" x14ac:dyDescent="0.25">
      <c r="A1" s="189" t="s">
        <v>321</v>
      </c>
      <c r="B1" s="189"/>
      <c r="C1" s="189"/>
      <c r="D1" s="189"/>
      <c r="E1" s="189"/>
      <c r="F1" s="189"/>
      <c r="G1" s="189"/>
      <c r="H1" s="189"/>
      <c r="I1" s="189"/>
      <c r="J1" s="189"/>
      <c r="K1" s="189"/>
    </row>
    <row r="2" spans="1:23" ht="3" customHeight="1" x14ac:dyDescent="0.25">
      <c r="A2" s="2"/>
    </row>
    <row r="3" spans="1:23" x14ac:dyDescent="0.25">
      <c r="A3" s="31" t="s">
        <v>119</v>
      </c>
      <c r="B3" s="31" t="s">
        <v>122</v>
      </c>
      <c r="C3" s="35">
        <v>10</v>
      </c>
      <c r="D3" s="35">
        <v>11</v>
      </c>
      <c r="E3" s="35">
        <v>12</v>
      </c>
      <c r="F3" s="35">
        <v>13</v>
      </c>
      <c r="G3" s="35">
        <v>14</v>
      </c>
      <c r="H3" s="35">
        <v>15</v>
      </c>
      <c r="I3" s="35">
        <v>16</v>
      </c>
      <c r="J3" s="35">
        <v>17</v>
      </c>
      <c r="K3" s="34" t="s">
        <v>9</v>
      </c>
    </row>
    <row r="4" spans="1:23" x14ac:dyDescent="0.25">
      <c r="A4" s="187" t="s">
        <v>17</v>
      </c>
      <c r="B4" s="4" t="s">
        <v>191</v>
      </c>
      <c r="C4" s="24">
        <v>5.7000000000000002E-2</v>
      </c>
      <c r="D4" s="5">
        <v>0.374</v>
      </c>
      <c r="E4" s="5">
        <v>1.2649999999999999</v>
      </c>
      <c r="F4" s="5">
        <v>4.2210000000000001</v>
      </c>
      <c r="G4" s="5">
        <v>12.531000000000001</v>
      </c>
      <c r="H4" s="5">
        <v>29.192</v>
      </c>
      <c r="I4" s="5">
        <v>41.253</v>
      </c>
      <c r="J4" s="5">
        <v>53.119</v>
      </c>
      <c r="K4" s="26">
        <v>16.914999999999999</v>
      </c>
      <c r="M4" s="5"/>
      <c r="N4" s="5"/>
      <c r="O4" s="5"/>
      <c r="P4" s="5"/>
      <c r="Q4" s="5"/>
      <c r="R4" s="5"/>
      <c r="S4" s="5"/>
      <c r="T4" s="5"/>
      <c r="U4" s="26"/>
      <c r="W4" s="127"/>
    </row>
    <row r="5" spans="1:23" x14ac:dyDescent="0.25">
      <c r="A5" s="187"/>
      <c r="B5" s="4" t="s">
        <v>192</v>
      </c>
      <c r="C5" s="5" t="s">
        <v>109</v>
      </c>
      <c r="D5" s="5">
        <v>0.191</v>
      </c>
      <c r="E5" s="5">
        <v>1.296</v>
      </c>
      <c r="F5" s="5">
        <v>3.9729999999999999</v>
      </c>
      <c r="G5" s="5">
        <v>11.638</v>
      </c>
      <c r="H5" s="5">
        <v>23.591000000000001</v>
      </c>
      <c r="I5" s="5">
        <v>39.484999999999999</v>
      </c>
      <c r="J5" s="5">
        <v>49.927999999999997</v>
      </c>
      <c r="K5" s="26">
        <v>15.645</v>
      </c>
      <c r="M5" s="5"/>
      <c r="N5" s="5"/>
      <c r="O5" s="5"/>
      <c r="P5" s="5"/>
      <c r="Q5" s="5"/>
      <c r="R5" s="5"/>
      <c r="S5" s="5"/>
      <c r="T5" s="5"/>
      <c r="U5" s="26"/>
    </row>
    <row r="6" spans="1:23" x14ac:dyDescent="0.25">
      <c r="A6" s="187"/>
      <c r="B6" s="4" t="s">
        <v>193</v>
      </c>
      <c r="C6" s="24">
        <v>6.8000000000000005E-2</v>
      </c>
      <c r="D6" s="5">
        <v>0.25600000000000001</v>
      </c>
      <c r="E6" s="5">
        <v>0.84799999999999998</v>
      </c>
      <c r="F6" s="5">
        <v>4.4989999999999997</v>
      </c>
      <c r="G6" s="5">
        <v>12.022</v>
      </c>
      <c r="H6" s="5">
        <v>25.064</v>
      </c>
      <c r="I6" s="5">
        <v>34.804000000000002</v>
      </c>
      <c r="J6" s="5">
        <v>45.334000000000003</v>
      </c>
      <c r="K6" s="26">
        <v>15.041</v>
      </c>
      <c r="M6" s="5"/>
      <c r="N6" s="5"/>
      <c r="O6" s="5"/>
      <c r="P6" s="5"/>
      <c r="Q6" s="5"/>
      <c r="R6" s="5"/>
      <c r="S6" s="5"/>
      <c r="T6" s="5"/>
      <c r="U6" s="26"/>
    </row>
    <row r="7" spans="1:23" x14ac:dyDescent="0.25">
      <c r="A7" s="187"/>
      <c r="B7" s="4" t="s">
        <v>194</v>
      </c>
      <c r="C7" s="5" t="s">
        <v>109</v>
      </c>
      <c r="D7" s="5">
        <v>0.26300000000000001</v>
      </c>
      <c r="E7" s="5">
        <v>1.03</v>
      </c>
      <c r="F7" s="5">
        <v>4.0469999999999997</v>
      </c>
      <c r="G7" s="5">
        <v>10.991</v>
      </c>
      <c r="H7" s="5">
        <v>25.318999999999999</v>
      </c>
      <c r="I7" s="5">
        <v>33.335999999999999</v>
      </c>
      <c r="J7" s="5">
        <v>41.725999999999999</v>
      </c>
      <c r="K7" s="26">
        <v>14.558</v>
      </c>
      <c r="M7" s="5"/>
      <c r="N7" s="5"/>
      <c r="O7" s="5"/>
      <c r="P7" s="5"/>
      <c r="Q7" s="5"/>
      <c r="R7" s="5"/>
      <c r="S7" s="5"/>
      <c r="T7" s="5"/>
      <c r="U7" s="26"/>
    </row>
    <row r="8" spans="1:23" x14ac:dyDescent="0.25">
      <c r="A8" s="187"/>
      <c r="B8" s="4" t="s">
        <v>284</v>
      </c>
      <c r="C8" s="24" t="s">
        <v>109</v>
      </c>
      <c r="D8" s="5">
        <v>0.154</v>
      </c>
      <c r="E8" s="5">
        <v>0.95299999999999996</v>
      </c>
      <c r="F8" s="5">
        <v>3.3690000000000002</v>
      </c>
      <c r="G8" s="5">
        <v>10.509</v>
      </c>
      <c r="H8" s="5">
        <v>23.834</v>
      </c>
      <c r="I8" s="5">
        <v>33.606000000000002</v>
      </c>
      <c r="J8" s="5">
        <v>38.353000000000002</v>
      </c>
      <c r="K8" s="26">
        <v>13.927</v>
      </c>
      <c r="M8" s="5"/>
      <c r="N8" s="5"/>
      <c r="O8" s="5"/>
      <c r="P8" s="5"/>
      <c r="Q8" s="5"/>
      <c r="R8" s="5"/>
      <c r="S8" s="5"/>
      <c r="T8" s="5"/>
      <c r="U8" s="26"/>
    </row>
    <row r="9" spans="1:23" x14ac:dyDescent="0.25">
      <c r="A9" s="187" t="s">
        <v>21</v>
      </c>
      <c r="B9" s="4" t="s">
        <v>191</v>
      </c>
      <c r="C9" s="24" t="s">
        <v>109</v>
      </c>
      <c r="D9" s="5">
        <v>5.5E-2</v>
      </c>
      <c r="E9" s="5">
        <v>0.40699999999999997</v>
      </c>
      <c r="F9" s="5">
        <v>1.548</v>
      </c>
      <c r="G9" s="5">
        <v>5.6550000000000002</v>
      </c>
      <c r="H9" s="5">
        <v>10.042999999999999</v>
      </c>
      <c r="I9" s="5">
        <v>13.510999999999999</v>
      </c>
      <c r="J9" s="5">
        <v>13.433</v>
      </c>
      <c r="K9" s="26">
        <v>5.3289999999999997</v>
      </c>
      <c r="M9" s="5"/>
      <c r="N9" s="5"/>
      <c r="O9" s="5"/>
      <c r="P9" s="5"/>
      <c r="Q9" s="5"/>
      <c r="R9" s="5"/>
      <c r="S9" s="5"/>
      <c r="T9" s="5"/>
      <c r="U9" s="26"/>
    </row>
    <row r="10" spans="1:23" x14ac:dyDescent="0.25">
      <c r="A10" s="187"/>
      <c r="B10" s="4" t="s">
        <v>192</v>
      </c>
      <c r="C10" s="24" t="s">
        <v>109</v>
      </c>
      <c r="D10" s="5" t="s">
        <v>109</v>
      </c>
      <c r="E10" s="5">
        <v>0.47099999999999997</v>
      </c>
      <c r="F10" s="5">
        <v>2.2469999999999999</v>
      </c>
      <c r="G10" s="5">
        <v>5.1710000000000003</v>
      </c>
      <c r="H10" s="5">
        <v>9.6809999999999992</v>
      </c>
      <c r="I10" s="5">
        <v>12.332000000000001</v>
      </c>
      <c r="J10" s="5">
        <v>12.551</v>
      </c>
      <c r="K10" s="26">
        <v>5.1289999999999996</v>
      </c>
      <c r="M10" s="5"/>
      <c r="N10" s="5"/>
      <c r="O10" s="5"/>
      <c r="P10" s="5"/>
      <c r="Q10" s="5"/>
      <c r="R10" s="5"/>
      <c r="S10" s="5"/>
      <c r="T10" s="5"/>
      <c r="U10" s="26"/>
    </row>
    <row r="11" spans="1:23" x14ac:dyDescent="0.25">
      <c r="A11" s="187"/>
      <c r="B11" s="4" t="s">
        <v>193</v>
      </c>
      <c r="C11" s="24" t="s">
        <v>109</v>
      </c>
      <c r="D11" s="24">
        <v>7.8E-2</v>
      </c>
      <c r="E11" s="5">
        <v>0.48299999999999998</v>
      </c>
      <c r="F11" s="5">
        <v>2.2360000000000002</v>
      </c>
      <c r="G11" s="5">
        <v>5.4329999999999998</v>
      </c>
      <c r="H11" s="5">
        <v>9.452</v>
      </c>
      <c r="I11" s="5">
        <v>11.12</v>
      </c>
      <c r="J11" s="5">
        <v>10.984999999999999</v>
      </c>
      <c r="K11" s="26">
        <v>4.8819999999999997</v>
      </c>
      <c r="M11" s="5"/>
      <c r="N11" s="5"/>
      <c r="O11" s="5"/>
      <c r="P11" s="5"/>
      <c r="Q11" s="5"/>
      <c r="R11" s="5"/>
      <c r="S11" s="5"/>
      <c r="T11" s="5"/>
      <c r="U11" s="26"/>
    </row>
    <row r="12" spans="1:23" x14ac:dyDescent="0.25">
      <c r="A12" s="187"/>
      <c r="B12" s="4" t="s">
        <v>194</v>
      </c>
      <c r="C12" s="24" t="s">
        <v>109</v>
      </c>
      <c r="D12" s="5">
        <v>8.1000000000000003E-2</v>
      </c>
      <c r="E12" s="5">
        <v>0.33700000000000002</v>
      </c>
      <c r="F12" s="5">
        <v>1.8560000000000001</v>
      </c>
      <c r="G12" s="5">
        <v>5.0819999999999999</v>
      </c>
      <c r="H12" s="5">
        <v>10.108000000000001</v>
      </c>
      <c r="I12" s="5">
        <v>12.709</v>
      </c>
      <c r="J12" s="5">
        <v>11.211</v>
      </c>
      <c r="K12" s="26">
        <v>5.1630000000000003</v>
      </c>
      <c r="M12" s="5"/>
      <c r="N12" s="5"/>
      <c r="O12" s="5"/>
      <c r="P12" s="5"/>
      <c r="Q12" s="5"/>
      <c r="R12" s="5"/>
      <c r="S12" s="5"/>
      <c r="T12" s="5"/>
      <c r="U12" s="26"/>
    </row>
    <row r="13" spans="1:23" x14ac:dyDescent="0.25">
      <c r="A13" s="187"/>
      <c r="B13" s="4" t="s">
        <v>284</v>
      </c>
      <c r="C13" s="24" t="s">
        <v>109</v>
      </c>
      <c r="D13" s="5" t="s">
        <v>109</v>
      </c>
      <c r="E13" s="5">
        <v>0.36899999999999999</v>
      </c>
      <c r="F13" s="5">
        <v>1.369</v>
      </c>
      <c r="G13" s="5">
        <v>4.3579999999999997</v>
      </c>
      <c r="H13" s="5">
        <v>9.7579999999999991</v>
      </c>
      <c r="I13" s="5">
        <v>11.195</v>
      </c>
      <c r="J13" s="5">
        <v>10.683999999999999</v>
      </c>
      <c r="K13" s="26">
        <v>4.7460000000000004</v>
      </c>
      <c r="M13" s="5"/>
      <c r="N13" s="5"/>
      <c r="O13" s="5"/>
      <c r="P13" s="5"/>
      <c r="Q13" s="5"/>
      <c r="R13" s="5"/>
      <c r="S13" s="5"/>
      <c r="T13" s="5"/>
      <c r="U13" s="26"/>
    </row>
    <row r="14" spans="1:23" x14ac:dyDescent="0.25">
      <c r="A14" s="187" t="s">
        <v>11</v>
      </c>
      <c r="B14" s="4" t="s">
        <v>191</v>
      </c>
      <c r="C14" s="24" t="s">
        <v>109</v>
      </c>
      <c r="D14" s="5">
        <v>0.218</v>
      </c>
      <c r="E14" s="5">
        <v>0.84799999999999998</v>
      </c>
      <c r="F14" s="5">
        <v>2.9249999999999998</v>
      </c>
      <c r="G14" s="5">
        <v>9.2010000000000005</v>
      </c>
      <c r="H14" s="5">
        <v>19.931999999999999</v>
      </c>
      <c r="I14" s="5">
        <v>27.846</v>
      </c>
      <c r="J14" s="5">
        <v>33.845999999999997</v>
      </c>
      <c r="K14" s="26">
        <v>11.297000000000001</v>
      </c>
      <c r="M14" s="5"/>
      <c r="N14" s="5"/>
      <c r="O14" s="5"/>
      <c r="P14" s="5"/>
      <c r="Q14" s="5"/>
      <c r="R14" s="5"/>
      <c r="S14" s="5"/>
      <c r="T14" s="5"/>
      <c r="U14" s="26"/>
    </row>
    <row r="15" spans="1:23" x14ac:dyDescent="0.25">
      <c r="A15" s="187"/>
      <c r="B15" s="4" t="s">
        <v>192</v>
      </c>
      <c r="C15" s="24" t="s">
        <v>109</v>
      </c>
      <c r="D15" s="5">
        <v>0.11600000000000001</v>
      </c>
      <c r="E15" s="5">
        <v>0.89500000000000002</v>
      </c>
      <c r="F15" s="5">
        <v>3.1349999999999998</v>
      </c>
      <c r="G15" s="5">
        <v>8.5039999999999996</v>
      </c>
      <c r="H15" s="5">
        <v>16.873000000000001</v>
      </c>
      <c r="I15" s="5">
        <v>26.411000000000001</v>
      </c>
      <c r="J15" s="5">
        <v>31.850999999999999</v>
      </c>
      <c r="K15" s="26">
        <v>10.553000000000001</v>
      </c>
      <c r="M15" s="5"/>
      <c r="N15" s="5"/>
      <c r="O15" s="5"/>
      <c r="P15" s="5"/>
      <c r="Q15" s="5"/>
      <c r="R15" s="5"/>
      <c r="S15" s="5"/>
      <c r="T15" s="5"/>
      <c r="U15" s="26"/>
    </row>
    <row r="16" spans="1:23" x14ac:dyDescent="0.25">
      <c r="A16" s="187"/>
      <c r="B16" s="4" t="s">
        <v>193</v>
      </c>
      <c r="C16" s="24" t="s">
        <v>109</v>
      </c>
      <c r="D16" s="5">
        <v>0.16900000000000001</v>
      </c>
      <c r="E16" s="5">
        <v>0.67</v>
      </c>
      <c r="F16" s="5">
        <v>3.399</v>
      </c>
      <c r="G16" s="5">
        <v>8.843</v>
      </c>
      <c r="H16" s="5">
        <v>17.497</v>
      </c>
      <c r="I16" s="5">
        <v>23.344000000000001</v>
      </c>
      <c r="J16" s="5">
        <v>28.739000000000001</v>
      </c>
      <c r="K16" s="26">
        <v>10.117000000000001</v>
      </c>
      <c r="M16" s="5"/>
      <c r="N16" s="5"/>
      <c r="O16" s="5"/>
      <c r="P16" s="5"/>
      <c r="Q16" s="5"/>
      <c r="R16" s="5"/>
      <c r="S16" s="5"/>
      <c r="T16" s="5"/>
      <c r="U16" s="26"/>
    </row>
    <row r="17" spans="1:23" x14ac:dyDescent="0.25">
      <c r="A17" s="187"/>
      <c r="B17" s="4" t="s">
        <v>194</v>
      </c>
      <c r="C17" s="24" t="s">
        <v>109</v>
      </c>
      <c r="D17" s="5">
        <v>0.17399999999999999</v>
      </c>
      <c r="E17" s="5">
        <v>0.69299999999999995</v>
      </c>
      <c r="F17" s="5">
        <v>2.9809999999999999</v>
      </c>
      <c r="G17" s="5">
        <v>8.1270000000000007</v>
      </c>
      <c r="H17" s="5">
        <v>17.934000000000001</v>
      </c>
      <c r="I17" s="5">
        <v>23.352</v>
      </c>
      <c r="J17" s="5">
        <v>26.946000000000002</v>
      </c>
      <c r="K17" s="26">
        <v>10</v>
      </c>
      <c r="M17" s="5"/>
      <c r="N17" s="5"/>
      <c r="O17" s="5"/>
      <c r="P17" s="5"/>
      <c r="Q17" s="5"/>
      <c r="R17" s="5"/>
      <c r="S17" s="5"/>
      <c r="T17" s="5"/>
      <c r="U17" s="26"/>
    </row>
    <row r="18" spans="1:23" x14ac:dyDescent="0.25">
      <c r="A18" s="187"/>
      <c r="B18" s="4" t="s">
        <v>284</v>
      </c>
      <c r="C18" s="24" t="s">
        <v>109</v>
      </c>
      <c r="D18" s="5">
        <v>9.0999999999999998E-2</v>
      </c>
      <c r="E18" s="5">
        <v>0.66900000000000004</v>
      </c>
      <c r="F18" s="5">
        <v>2.3959999999999999</v>
      </c>
      <c r="G18" s="5">
        <v>7.516</v>
      </c>
      <c r="H18" s="5">
        <v>17.010000000000002</v>
      </c>
      <c r="I18" s="5">
        <v>22.759</v>
      </c>
      <c r="J18" s="5">
        <v>24.97</v>
      </c>
      <c r="K18" s="26">
        <v>9.4789999999999992</v>
      </c>
      <c r="M18" s="5"/>
      <c r="N18" s="5"/>
      <c r="O18" s="5"/>
      <c r="P18" s="5"/>
      <c r="Q18" s="5"/>
      <c r="R18" s="5"/>
      <c r="S18" s="5"/>
      <c r="T18" s="5"/>
      <c r="U18" s="26"/>
    </row>
    <row r="19" spans="1:23" ht="2.25" customHeight="1" x14ac:dyDescent="0.25">
      <c r="A19" s="2"/>
      <c r="C19" s="1" t="s">
        <v>189</v>
      </c>
      <c r="D19" s="1" t="s">
        <v>189</v>
      </c>
      <c r="E19" s="1" t="s">
        <v>189</v>
      </c>
      <c r="F19" s="1" t="s">
        <v>189</v>
      </c>
      <c r="G19" s="1" t="s">
        <v>189</v>
      </c>
      <c r="H19" s="1" t="s">
        <v>189</v>
      </c>
      <c r="I19" s="1" t="s">
        <v>189</v>
      </c>
      <c r="J19" s="1" t="s">
        <v>189</v>
      </c>
      <c r="K19" s="1" t="s">
        <v>189</v>
      </c>
      <c r="M19" s="1" t="str">
        <f t="shared" ref="M19" si="0">IF(C19&lt;0.05,"-",C19)</f>
        <v>-</v>
      </c>
      <c r="N19" s="1" t="str">
        <f t="shared" ref="N19:U19" si="1">IF(D19&lt;0.05,"-",D19)</f>
        <v>-</v>
      </c>
      <c r="O19" s="1" t="str">
        <f t="shared" si="1"/>
        <v>-</v>
      </c>
      <c r="P19" s="1" t="str">
        <f t="shared" si="1"/>
        <v>-</v>
      </c>
      <c r="Q19" s="1" t="str">
        <f t="shared" si="1"/>
        <v>-</v>
      </c>
      <c r="R19" s="1" t="str">
        <f t="shared" si="1"/>
        <v>-</v>
      </c>
      <c r="S19" s="1" t="str">
        <f t="shared" si="1"/>
        <v>-</v>
      </c>
      <c r="T19" s="1" t="str">
        <f t="shared" si="1"/>
        <v>-</v>
      </c>
      <c r="U19" s="1" t="str">
        <f t="shared" si="1"/>
        <v>-</v>
      </c>
    </row>
    <row r="20" spans="1:23" x14ac:dyDescent="0.25">
      <c r="A20" s="190" t="s">
        <v>209</v>
      </c>
      <c r="B20" s="190"/>
      <c r="C20" s="190"/>
      <c r="D20" s="190"/>
      <c r="E20" s="190"/>
      <c r="F20" s="190"/>
      <c r="G20" s="190"/>
      <c r="H20" s="190"/>
      <c r="I20" s="190"/>
      <c r="J20" s="190"/>
      <c r="K20" s="190"/>
    </row>
    <row r="21" spans="1:23" ht="11.1" customHeight="1" x14ac:dyDescent="0.25">
      <c r="A21" s="192" t="s">
        <v>23</v>
      </c>
      <c r="B21" s="192"/>
      <c r="C21" s="192"/>
      <c r="D21" s="192"/>
      <c r="E21" s="192"/>
      <c r="F21" s="192"/>
      <c r="G21" s="192"/>
      <c r="H21" s="192"/>
      <c r="I21" s="192"/>
      <c r="J21" s="192"/>
      <c r="K21" s="192"/>
    </row>
    <row r="22" spans="1:23" s="6" customFormat="1" ht="20.25" customHeight="1" x14ac:dyDescent="0.15">
      <c r="A22" s="186" t="s">
        <v>31</v>
      </c>
      <c r="B22" s="186"/>
      <c r="C22" s="186"/>
      <c r="D22" s="186"/>
      <c r="E22" s="186"/>
      <c r="F22" s="186"/>
      <c r="G22" s="186"/>
      <c r="H22" s="186"/>
      <c r="I22" s="186"/>
      <c r="J22" s="186"/>
      <c r="K22" s="186"/>
    </row>
    <row r="23" spans="1:23" s="6" customFormat="1" ht="11.1" customHeight="1" x14ac:dyDescent="0.15">
      <c r="A23" s="6" t="s">
        <v>36</v>
      </c>
    </row>
    <row r="24" spans="1:23" s="6" customFormat="1" ht="11.1" customHeight="1" x14ac:dyDescent="0.15">
      <c r="A24" s="6" t="s">
        <v>37</v>
      </c>
    </row>
    <row r="25" spans="1:23" s="6" customFormat="1" ht="11.1" customHeight="1" x14ac:dyDescent="0.15">
      <c r="A25" s="6" t="s">
        <v>280</v>
      </c>
    </row>
    <row r="26" spans="1:23" s="6" customFormat="1" ht="11.1" customHeight="1" x14ac:dyDescent="0.15">
      <c r="A26" s="6" t="s">
        <v>14</v>
      </c>
    </row>
    <row r="27" spans="1:23" s="6" customFormat="1" ht="11.1" customHeight="1" x14ac:dyDescent="0.15">
      <c r="A27" s="6" t="s">
        <v>39</v>
      </c>
    </row>
    <row r="28" spans="1:23" ht="12" customHeight="1" x14ac:dyDescent="0.25">
      <c r="A28" s="2"/>
    </row>
    <row r="29" spans="1:23" ht="27.95" customHeight="1" x14ac:dyDescent="0.25">
      <c r="A29" s="189" t="s">
        <v>322</v>
      </c>
      <c r="B29" s="189"/>
      <c r="C29" s="189"/>
      <c r="D29" s="189"/>
      <c r="E29" s="189"/>
      <c r="F29" s="189"/>
      <c r="G29" s="189"/>
      <c r="H29" s="189"/>
      <c r="I29" s="189"/>
      <c r="J29" s="189"/>
      <c r="K29" s="189"/>
    </row>
    <row r="30" spans="1:23" ht="2.25" customHeight="1" x14ac:dyDescent="0.25">
      <c r="A30" s="2"/>
    </row>
    <row r="31" spans="1:23" x14ac:dyDescent="0.25">
      <c r="A31" s="31" t="s">
        <v>119</v>
      </c>
      <c r="B31" s="31" t="s">
        <v>122</v>
      </c>
      <c r="C31" s="35">
        <v>10</v>
      </c>
      <c r="D31" s="35">
        <v>11</v>
      </c>
      <c r="E31" s="35">
        <v>12</v>
      </c>
      <c r="F31" s="35">
        <v>13</v>
      </c>
      <c r="G31" s="35">
        <v>14</v>
      </c>
      <c r="H31" s="35">
        <v>15</v>
      </c>
      <c r="I31" s="35">
        <v>16</v>
      </c>
      <c r="J31" s="35">
        <v>17</v>
      </c>
      <c r="K31" s="34" t="s">
        <v>9</v>
      </c>
    </row>
    <row r="32" spans="1:23" x14ac:dyDescent="0.25">
      <c r="A32" s="187" t="s">
        <v>17</v>
      </c>
      <c r="B32" s="4" t="s">
        <v>191</v>
      </c>
      <c r="C32" s="24">
        <v>0.35899999999999999</v>
      </c>
      <c r="D32" s="5">
        <v>1.254</v>
      </c>
      <c r="E32" s="5">
        <v>4.617</v>
      </c>
      <c r="F32" s="5">
        <v>14.881</v>
      </c>
      <c r="G32" s="5">
        <v>38.594999999999999</v>
      </c>
      <c r="H32" s="5">
        <v>70.652000000000001</v>
      </c>
      <c r="I32" s="5">
        <v>89.471000000000004</v>
      </c>
      <c r="J32" s="5">
        <v>117.371</v>
      </c>
      <c r="K32" s="26">
        <v>40.332000000000001</v>
      </c>
      <c r="M32" s="5"/>
      <c r="N32" s="5"/>
      <c r="O32" s="5"/>
      <c r="P32" s="5"/>
      <c r="Q32" s="5"/>
      <c r="R32" s="5"/>
      <c r="S32" s="5"/>
      <c r="T32" s="5"/>
      <c r="U32" s="26"/>
      <c r="W32" s="127"/>
    </row>
    <row r="33" spans="1:21" x14ac:dyDescent="0.25">
      <c r="A33" s="187"/>
      <c r="B33" s="4" t="s">
        <v>192</v>
      </c>
      <c r="C33" s="5">
        <v>0.29899999999999999</v>
      </c>
      <c r="D33" s="5">
        <v>1.0129999999999999</v>
      </c>
      <c r="E33" s="5">
        <v>4.6980000000000004</v>
      </c>
      <c r="F33" s="5">
        <v>13.973000000000001</v>
      </c>
      <c r="G33" s="5">
        <v>36.720999999999997</v>
      </c>
      <c r="H33" s="5">
        <v>62.323</v>
      </c>
      <c r="I33" s="5">
        <v>89.980999999999995</v>
      </c>
      <c r="J33" s="5">
        <v>104.688</v>
      </c>
      <c r="K33" s="26">
        <v>37.911000000000001</v>
      </c>
      <c r="M33" s="5"/>
      <c r="N33" s="5"/>
      <c r="O33" s="5"/>
      <c r="P33" s="5"/>
      <c r="Q33" s="5"/>
      <c r="R33" s="5"/>
      <c r="S33" s="5"/>
      <c r="T33" s="5"/>
      <c r="U33" s="26"/>
    </row>
    <row r="34" spans="1:21" x14ac:dyDescent="0.25">
      <c r="A34" s="187"/>
      <c r="B34" s="4" t="s">
        <v>193</v>
      </c>
      <c r="C34" s="24">
        <v>0.41199999999999998</v>
      </c>
      <c r="D34" s="5">
        <v>2.0720000000000001</v>
      </c>
      <c r="E34" s="5">
        <v>4.9610000000000003</v>
      </c>
      <c r="F34" s="5">
        <v>15.63</v>
      </c>
      <c r="G34" s="5">
        <v>37.649000000000001</v>
      </c>
      <c r="H34" s="5">
        <v>63.366999999999997</v>
      </c>
      <c r="I34" s="5">
        <v>81.048000000000002</v>
      </c>
      <c r="J34" s="5">
        <v>101.879</v>
      </c>
      <c r="K34" s="26">
        <v>37.673000000000002</v>
      </c>
      <c r="M34" s="5"/>
      <c r="N34" s="5"/>
      <c r="O34" s="5"/>
      <c r="P34" s="5"/>
      <c r="Q34" s="5"/>
      <c r="R34" s="5"/>
      <c r="S34" s="5"/>
      <c r="T34" s="5"/>
      <c r="U34" s="26"/>
    </row>
    <row r="35" spans="1:21" x14ac:dyDescent="0.25">
      <c r="A35" s="187"/>
      <c r="B35" s="4" t="s">
        <v>194</v>
      </c>
      <c r="C35" s="5" t="s">
        <v>109</v>
      </c>
      <c r="D35" s="5">
        <v>0.89800000000000002</v>
      </c>
      <c r="E35" s="5">
        <v>4.9160000000000004</v>
      </c>
      <c r="F35" s="5">
        <v>17.184000000000001</v>
      </c>
      <c r="G35" s="5">
        <v>35.899000000000001</v>
      </c>
      <c r="H35" s="5">
        <v>67.488</v>
      </c>
      <c r="I35" s="5">
        <v>78.575999999999993</v>
      </c>
      <c r="J35" s="5">
        <v>92.778000000000006</v>
      </c>
      <c r="K35" s="26">
        <v>37.29</v>
      </c>
      <c r="M35" s="5"/>
      <c r="N35" s="5"/>
      <c r="O35" s="5"/>
      <c r="P35" s="5"/>
      <c r="Q35" s="5"/>
      <c r="R35" s="5"/>
      <c r="S35" s="5"/>
      <c r="T35" s="5"/>
      <c r="U35" s="26"/>
    </row>
    <row r="36" spans="1:21" x14ac:dyDescent="0.25">
      <c r="A36" s="187"/>
      <c r="B36" s="4" t="s">
        <v>284</v>
      </c>
      <c r="C36" s="24" t="s">
        <v>109</v>
      </c>
      <c r="D36" s="5">
        <v>0.94199999999999995</v>
      </c>
      <c r="E36" s="5">
        <v>5.2439999999999998</v>
      </c>
      <c r="F36" s="5">
        <v>15.125</v>
      </c>
      <c r="G36" s="5">
        <v>38.156999999999996</v>
      </c>
      <c r="H36" s="5">
        <v>65.64</v>
      </c>
      <c r="I36" s="5">
        <v>77.427000000000007</v>
      </c>
      <c r="J36" s="5">
        <v>95.936999999999998</v>
      </c>
      <c r="K36" s="26">
        <v>37.511000000000003</v>
      </c>
      <c r="M36" s="5"/>
      <c r="N36" s="5"/>
      <c r="O36" s="5"/>
      <c r="P36" s="5"/>
      <c r="Q36" s="5"/>
      <c r="R36" s="5"/>
      <c r="S36" s="5"/>
      <c r="T36" s="5"/>
      <c r="U36" s="26"/>
    </row>
    <row r="37" spans="1:21" x14ac:dyDescent="0.25">
      <c r="A37" s="187" t="s">
        <v>21</v>
      </c>
      <c r="B37" s="4" t="s">
        <v>191</v>
      </c>
      <c r="C37" s="24" t="s">
        <v>109</v>
      </c>
      <c r="D37" s="5" t="s">
        <v>109</v>
      </c>
      <c r="E37" s="5">
        <v>1.4610000000000001</v>
      </c>
      <c r="F37" s="5">
        <v>5.952</v>
      </c>
      <c r="G37" s="5">
        <v>15.574999999999999</v>
      </c>
      <c r="H37" s="5">
        <v>23.706</v>
      </c>
      <c r="I37" s="5">
        <v>25.923999999999999</v>
      </c>
      <c r="J37" s="5">
        <v>26.686</v>
      </c>
      <c r="K37" s="26">
        <v>11.935</v>
      </c>
      <c r="M37" s="5"/>
      <c r="N37" s="5"/>
      <c r="O37" s="5"/>
      <c r="P37" s="5"/>
      <c r="Q37" s="5"/>
      <c r="R37" s="5"/>
      <c r="S37" s="5"/>
      <c r="T37" s="5"/>
      <c r="U37" s="26"/>
    </row>
    <row r="38" spans="1:21" x14ac:dyDescent="0.25">
      <c r="A38" s="187"/>
      <c r="B38" s="4" t="s">
        <v>192</v>
      </c>
      <c r="C38" s="24" t="s">
        <v>109</v>
      </c>
      <c r="D38" s="5">
        <v>0.314</v>
      </c>
      <c r="E38" s="5">
        <v>2.516</v>
      </c>
      <c r="F38" s="5">
        <v>6.3949999999999996</v>
      </c>
      <c r="G38" s="5">
        <v>14.803000000000001</v>
      </c>
      <c r="H38" s="5">
        <v>22.149000000000001</v>
      </c>
      <c r="I38" s="5">
        <v>24.794</v>
      </c>
      <c r="J38" s="5">
        <v>22.844000000000001</v>
      </c>
      <c r="K38" s="26">
        <v>11.398</v>
      </c>
      <c r="M38" s="5"/>
      <c r="N38" s="5"/>
      <c r="O38" s="5"/>
      <c r="P38" s="5"/>
      <c r="Q38" s="5"/>
      <c r="R38" s="5"/>
      <c r="S38" s="5"/>
      <c r="T38" s="5"/>
      <c r="U38" s="26"/>
    </row>
    <row r="39" spans="1:21" x14ac:dyDescent="0.25">
      <c r="A39" s="187"/>
      <c r="B39" s="4" t="s">
        <v>193</v>
      </c>
      <c r="C39" s="24" t="s">
        <v>109</v>
      </c>
      <c r="D39" s="24">
        <v>0.312</v>
      </c>
      <c r="E39" s="5">
        <v>2.617</v>
      </c>
      <c r="F39" s="5">
        <v>7.0460000000000003</v>
      </c>
      <c r="G39" s="5">
        <v>14.813000000000001</v>
      </c>
      <c r="H39" s="5">
        <v>24.077999999999999</v>
      </c>
      <c r="I39" s="5">
        <v>22.959</v>
      </c>
      <c r="J39" s="5">
        <v>22.908999999999999</v>
      </c>
      <c r="K39" s="26">
        <v>11.664</v>
      </c>
      <c r="M39" s="5"/>
      <c r="N39" s="5"/>
      <c r="O39" s="5"/>
      <c r="P39" s="5"/>
      <c r="Q39" s="5"/>
      <c r="R39" s="5"/>
      <c r="S39" s="5"/>
      <c r="T39" s="5"/>
      <c r="U39" s="26"/>
    </row>
    <row r="40" spans="1:21" x14ac:dyDescent="0.25">
      <c r="A40" s="187"/>
      <c r="B40" s="4" t="s">
        <v>194</v>
      </c>
      <c r="C40" s="24" t="s">
        <v>109</v>
      </c>
      <c r="D40" s="5" t="s">
        <v>109</v>
      </c>
      <c r="E40" s="5">
        <v>1.7909999999999999</v>
      </c>
      <c r="F40" s="5">
        <v>6.2910000000000004</v>
      </c>
      <c r="G40" s="5">
        <v>16.905999999999999</v>
      </c>
      <c r="H40" s="5">
        <v>22.443999999999999</v>
      </c>
      <c r="I40" s="5">
        <v>27.384</v>
      </c>
      <c r="J40" s="5">
        <v>21.736999999999998</v>
      </c>
      <c r="K40" s="26">
        <v>12.135</v>
      </c>
      <c r="M40" s="5"/>
      <c r="N40" s="5"/>
      <c r="O40" s="5"/>
      <c r="P40" s="5"/>
      <c r="Q40" s="5"/>
      <c r="R40" s="5"/>
      <c r="S40" s="5"/>
      <c r="T40" s="5"/>
      <c r="U40" s="26"/>
    </row>
    <row r="41" spans="1:21" x14ac:dyDescent="0.25">
      <c r="A41" s="187"/>
      <c r="B41" s="4" t="s">
        <v>284</v>
      </c>
      <c r="C41" s="24" t="s">
        <v>109</v>
      </c>
      <c r="D41" s="5" t="s">
        <v>109</v>
      </c>
      <c r="E41" s="5">
        <v>1.829</v>
      </c>
      <c r="F41" s="5">
        <v>5.6269999999999998</v>
      </c>
      <c r="G41" s="5">
        <v>15.03</v>
      </c>
      <c r="H41" s="5">
        <v>24.186</v>
      </c>
      <c r="I41" s="5">
        <v>23.786999999999999</v>
      </c>
      <c r="J41" s="5">
        <v>23.747</v>
      </c>
      <c r="K41" s="26">
        <v>11.852</v>
      </c>
      <c r="M41" s="5"/>
      <c r="N41" s="5"/>
      <c r="O41" s="5"/>
      <c r="P41" s="5"/>
      <c r="Q41" s="5"/>
      <c r="R41" s="5"/>
      <c r="S41" s="5"/>
      <c r="T41" s="5"/>
      <c r="U41" s="26"/>
    </row>
    <row r="42" spans="1:21" x14ac:dyDescent="0.25">
      <c r="A42" s="187" t="s">
        <v>11</v>
      </c>
      <c r="B42" s="4" t="s">
        <v>191</v>
      </c>
      <c r="C42" s="24">
        <v>0.184</v>
      </c>
      <c r="D42" s="5">
        <v>0.70599999999999996</v>
      </c>
      <c r="E42" s="5">
        <v>3.085</v>
      </c>
      <c r="F42" s="5">
        <v>10.551</v>
      </c>
      <c r="G42" s="5">
        <v>27.443000000000001</v>
      </c>
      <c r="H42" s="5">
        <v>47.957000000000001</v>
      </c>
      <c r="I42" s="5">
        <v>58.73</v>
      </c>
      <c r="J42" s="5">
        <v>73.335999999999999</v>
      </c>
      <c r="K42" s="26">
        <v>26.559000000000001</v>
      </c>
      <c r="M42" s="5"/>
      <c r="N42" s="5"/>
      <c r="O42" s="5"/>
      <c r="P42" s="5"/>
      <c r="Q42" s="5"/>
      <c r="R42" s="5"/>
      <c r="S42" s="5"/>
      <c r="T42" s="5"/>
      <c r="U42" s="26"/>
    </row>
    <row r="43" spans="1:21" x14ac:dyDescent="0.25">
      <c r="A43" s="187"/>
      <c r="B43" s="4" t="s">
        <v>192</v>
      </c>
      <c r="C43" s="24">
        <v>0.153</v>
      </c>
      <c r="D43" s="5">
        <v>0.67300000000000004</v>
      </c>
      <c r="E43" s="5">
        <v>3.637</v>
      </c>
      <c r="F43" s="5">
        <v>10.295</v>
      </c>
      <c r="G43" s="5">
        <v>26.099</v>
      </c>
      <c r="H43" s="5">
        <v>42.901000000000003</v>
      </c>
      <c r="I43" s="5">
        <v>58.524999999999999</v>
      </c>
      <c r="J43" s="5">
        <v>65.126000000000005</v>
      </c>
      <c r="K43" s="26">
        <v>25.067</v>
      </c>
      <c r="M43" s="5"/>
      <c r="N43" s="5"/>
      <c r="O43" s="5"/>
      <c r="P43" s="5"/>
      <c r="Q43" s="5"/>
      <c r="R43" s="5"/>
      <c r="S43" s="5"/>
      <c r="T43" s="5"/>
      <c r="U43" s="26"/>
    </row>
    <row r="44" spans="1:21" x14ac:dyDescent="0.25">
      <c r="A44" s="187"/>
      <c r="B44" s="4" t="s">
        <v>193</v>
      </c>
      <c r="C44" s="24">
        <v>0.21199999999999999</v>
      </c>
      <c r="D44" s="5">
        <v>1.246</v>
      </c>
      <c r="E44" s="5">
        <v>3.82</v>
      </c>
      <c r="F44" s="5">
        <v>11.457000000000001</v>
      </c>
      <c r="G44" s="5">
        <v>26.626000000000001</v>
      </c>
      <c r="H44" s="5">
        <v>44.353999999999999</v>
      </c>
      <c r="I44" s="5">
        <v>53.002000000000002</v>
      </c>
      <c r="J44" s="5">
        <v>63.668999999999997</v>
      </c>
      <c r="K44" s="26">
        <v>25.076000000000001</v>
      </c>
      <c r="M44" s="5"/>
      <c r="N44" s="5"/>
      <c r="O44" s="5"/>
      <c r="P44" s="5"/>
      <c r="Q44" s="5"/>
      <c r="R44" s="5"/>
      <c r="S44" s="5"/>
      <c r="T44" s="5"/>
      <c r="U44" s="26"/>
    </row>
    <row r="45" spans="1:21" x14ac:dyDescent="0.25">
      <c r="A45" s="187"/>
      <c r="B45" s="4" t="s">
        <v>194</v>
      </c>
      <c r="C45" s="24">
        <v>0.155</v>
      </c>
      <c r="D45" s="5">
        <v>0.58499999999999996</v>
      </c>
      <c r="E45" s="5">
        <v>3.3959999999999999</v>
      </c>
      <c r="F45" s="5">
        <v>11.884</v>
      </c>
      <c r="G45" s="5">
        <v>26.696000000000002</v>
      </c>
      <c r="H45" s="5">
        <v>45.615000000000002</v>
      </c>
      <c r="I45" s="5">
        <v>53.811999999999998</v>
      </c>
      <c r="J45" s="5">
        <v>58.475999999999999</v>
      </c>
      <c r="K45" s="26">
        <v>25.1</v>
      </c>
      <c r="M45" s="5"/>
      <c r="N45" s="5"/>
      <c r="O45" s="5"/>
      <c r="P45" s="5"/>
      <c r="Q45" s="5"/>
      <c r="R45" s="5"/>
      <c r="S45" s="5"/>
      <c r="T45" s="5"/>
      <c r="U45" s="26"/>
    </row>
    <row r="46" spans="1:21" x14ac:dyDescent="0.25">
      <c r="A46" s="187"/>
      <c r="B46" s="4" t="s">
        <v>284</v>
      </c>
      <c r="C46" s="24" t="s">
        <v>109</v>
      </c>
      <c r="D46" s="5">
        <v>0.51500000000000001</v>
      </c>
      <c r="E46" s="5">
        <v>3.6150000000000002</v>
      </c>
      <c r="F46" s="5">
        <v>10.504</v>
      </c>
      <c r="G46" s="5">
        <v>26.904</v>
      </c>
      <c r="H46" s="5">
        <v>45.545999999999999</v>
      </c>
      <c r="I46" s="5">
        <v>51.460999999999999</v>
      </c>
      <c r="J46" s="5">
        <v>61.075000000000003</v>
      </c>
      <c r="K46" s="26">
        <v>25.085999999999999</v>
      </c>
      <c r="M46" s="5"/>
      <c r="N46" s="5"/>
      <c r="O46" s="5"/>
      <c r="P46" s="5"/>
      <c r="Q46" s="5"/>
      <c r="R46" s="5"/>
      <c r="S46" s="5"/>
      <c r="T46" s="5"/>
      <c r="U46" s="26"/>
    </row>
    <row r="47" spans="1:21" ht="0.75" customHeight="1" x14ac:dyDescent="0.25">
      <c r="A47" s="41"/>
      <c r="B47" s="41"/>
      <c r="C47" s="42"/>
      <c r="D47" s="42"/>
      <c r="E47" s="42"/>
      <c r="F47" s="42"/>
      <c r="G47" s="42"/>
      <c r="H47" s="42"/>
      <c r="I47" s="42"/>
      <c r="J47" s="42"/>
      <c r="K47" s="43"/>
    </row>
    <row r="48" spans="1:21" ht="11.1" customHeight="1" x14ac:dyDescent="0.25">
      <c r="A48" s="192" t="s">
        <v>23</v>
      </c>
      <c r="B48" s="192"/>
      <c r="C48" s="192"/>
      <c r="D48" s="192"/>
      <c r="E48" s="192"/>
      <c r="F48" s="192"/>
      <c r="G48" s="192"/>
      <c r="H48" s="192"/>
      <c r="I48" s="192"/>
      <c r="J48" s="192"/>
      <c r="K48" s="192"/>
    </row>
    <row r="49" spans="1:11" s="6" customFormat="1" ht="19.5" customHeight="1" x14ac:dyDescent="0.15">
      <c r="A49" s="186" t="s">
        <v>34</v>
      </c>
      <c r="B49" s="186"/>
      <c r="C49" s="186"/>
      <c r="D49" s="186"/>
      <c r="E49" s="186"/>
      <c r="F49" s="186"/>
      <c r="G49" s="186"/>
      <c r="H49" s="186"/>
      <c r="I49" s="186"/>
      <c r="J49" s="186"/>
      <c r="K49" s="186"/>
    </row>
    <row r="50" spans="1:11" s="6" customFormat="1" ht="11.1" customHeight="1" x14ac:dyDescent="0.15">
      <c r="A50" s="6" t="s">
        <v>36</v>
      </c>
    </row>
    <row r="51" spans="1:11" s="6" customFormat="1" ht="11.1" customHeight="1" x14ac:dyDescent="0.15">
      <c r="A51" s="6" t="s">
        <v>37</v>
      </c>
    </row>
    <row r="52" spans="1:11" s="6" customFormat="1" ht="11.1" customHeight="1" x14ac:dyDescent="0.15">
      <c r="A52" s="6" t="s">
        <v>38</v>
      </c>
    </row>
    <row r="53" spans="1:11" s="6" customFormat="1" ht="11.1" customHeight="1" x14ac:dyDescent="0.15">
      <c r="A53" s="6" t="s">
        <v>14</v>
      </c>
    </row>
    <row r="54" spans="1:11" s="6" customFormat="1" ht="11.1" customHeight="1" x14ac:dyDescent="0.15">
      <c r="A54" s="6" t="s">
        <v>40</v>
      </c>
    </row>
    <row r="55" spans="1:11" ht="12" customHeight="1" x14ac:dyDescent="0.25">
      <c r="A55" s="2"/>
    </row>
  </sheetData>
  <mergeCells count="13">
    <mergeCell ref="A1:K1"/>
    <mergeCell ref="A4:A8"/>
    <mergeCell ref="A9:A13"/>
    <mergeCell ref="A14:A18"/>
    <mergeCell ref="A21:K21"/>
    <mergeCell ref="A20:K20"/>
    <mergeCell ref="A22:K22"/>
    <mergeCell ref="A49:K49"/>
    <mergeCell ref="A29:K29"/>
    <mergeCell ref="A32:A36"/>
    <mergeCell ref="A37:A41"/>
    <mergeCell ref="A42:A46"/>
    <mergeCell ref="A48:K48"/>
  </mergeCells>
  <pageMargins left="0.08" right="0.08" top="1" bottom="1" header="0.5" footer="0.5"/>
  <pageSetup orientation="landscape" blackAndWhite="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Y103"/>
  <sheetViews>
    <sheetView zoomScaleNormal="100" workbookViewId="0">
      <selection sqref="A1:L1"/>
    </sheetView>
  </sheetViews>
  <sheetFormatPr defaultColWidth="9.140625" defaultRowHeight="15" x14ac:dyDescent="0.25"/>
  <cols>
    <col min="1" max="1" width="11.42578125" style="1" bestFit="1" customWidth="1"/>
    <col min="2" max="2" width="18.140625" style="1" customWidth="1"/>
    <col min="3" max="10" width="11.42578125" style="1" bestFit="1" customWidth="1"/>
    <col min="11" max="11" width="10.7109375" style="1" customWidth="1"/>
    <col min="12" max="14" width="11.42578125" style="1" bestFit="1" customWidth="1"/>
    <col min="15" max="16384" width="9.140625" style="1"/>
  </cols>
  <sheetData>
    <row r="1" spans="1:25" ht="33.75" customHeight="1" x14ac:dyDescent="0.25">
      <c r="A1" s="188" t="s">
        <v>283</v>
      </c>
      <c r="B1" s="188"/>
      <c r="C1" s="188"/>
      <c r="D1" s="188"/>
      <c r="E1" s="188"/>
      <c r="F1" s="188"/>
      <c r="G1" s="188"/>
      <c r="H1" s="188"/>
      <c r="I1" s="188"/>
      <c r="J1" s="188"/>
      <c r="K1" s="188"/>
      <c r="L1" s="188"/>
    </row>
    <row r="2" spans="1:25" ht="12" hidden="1" customHeight="1" x14ac:dyDescent="0.25">
      <c r="A2" s="2"/>
    </row>
    <row r="3" spans="1:25" ht="23.25" x14ac:dyDescent="0.25">
      <c r="A3" s="31" t="s">
        <v>122</v>
      </c>
      <c r="B3" s="31" t="s">
        <v>120</v>
      </c>
      <c r="C3" s="3" t="s">
        <v>0</v>
      </c>
      <c r="D3" s="3" t="s">
        <v>1</v>
      </c>
      <c r="E3" s="3" t="s">
        <v>2</v>
      </c>
      <c r="F3" s="3" t="s">
        <v>3</v>
      </c>
      <c r="G3" s="3" t="s">
        <v>4</v>
      </c>
      <c r="H3" s="3" t="s">
        <v>5</v>
      </c>
      <c r="I3" s="3" t="s">
        <v>6</v>
      </c>
      <c r="J3" s="3" t="s">
        <v>7</v>
      </c>
      <c r="K3" s="3" t="s">
        <v>199</v>
      </c>
      <c r="L3" s="3" t="s">
        <v>8</v>
      </c>
    </row>
    <row r="4" spans="1:25" ht="15" customHeight="1" x14ac:dyDescent="0.25">
      <c r="A4" s="197" t="s">
        <v>195</v>
      </c>
      <c r="B4" s="4" t="s">
        <v>18</v>
      </c>
      <c r="C4" s="5">
        <v>504.3</v>
      </c>
      <c r="D4" s="5">
        <v>113.3</v>
      </c>
      <c r="E4" s="5">
        <v>628.29999999999995</v>
      </c>
      <c r="F4" s="5">
        <v>360.7</v>
      </c>
      <c r="G4" s="5">
        <v>105.6</v>
      </c>
      <c r="H4" s="5">
        <v>23</v>
      </c>
      <c r="I4" s="5">
        <v>14.9</v>
      </c>
      <c r="J4" s="5">
        <v>90.7</v>
      </c>
      <c r="K4" s="5">
        <v>1750.1</v>
      </c>
      <c r="L4" s="5">
        <v>1840.8</v>
      </c>
      <c r="N4" s="5"/>
      <c r="O4" s="5"/>
      <c r="P4" s="5"/>
      <c r="Q4" s="5"/>
      <c r="R4" s="5"/>
      <c r="S4" s="5"/>
      <c r="T4" s="5"/>
      <c r="U4" s="5"/>
      <c r="V4" s="5"/>
      <c r="W4" s="5"/>
      <c r="Y4" s="127"/>
    </row>
    <row r="5" spans="1:25" ht="15" customHeight="1" x14ac:dyDescent="0.25">
      <c r="A5" s="197"/>
      <c r="B5" s="4" t="s">
        <v>19</v>
      </c>
      <c r="C5" s="5">
        <v>541.4</v>
      </c>
      <c r="D5" s="5">
        <v>472.2</v>
      </c>
      <c r="E5" s="5">
        <v>483.5</v>
      </c>
      <c r="F5" s="5">
        <v>200</v>
      </c>
      <c r="G5" s="5">
        <v>103.8</v>
      </c>
      <c r="H5" s="5">
        <v>52.6</v>
      </c>
      <c r="I5" s="5">
        <v>41.6</v>
      </c>
      <c r="J5" s="5">
        <v>4.9000000000000004</v>
      </c>
      <c r="K5" s="5">
        <v>1894.9</v>
      </c>
      <c r="L5" s="5">
        <v>1899.9</v>
      </c>
      <c r="N5" s="5"/>
      <c r="O5" s="5"/>
      <c r="P5" s="5"/>
      <c r="Q5" s="5"/>
      <c r="R5" s="5"/>
      <c r="S5" s="5"/>
      <c r="T5" s="5"/>
      <c r="U5" s="5"/>
      <c r="V5" s="5"/>
      <c r="W5" s="5"/>
    </row>
    <row r="6" spans="1:25" ht="15" customHeight="1" x14ac:dyDescent="0.25">
      <c r="A6" s="197"/>
      <c r="B6" s="4" t="s">
        <v>20</v>
      </c>
      <c r="C6" s="5">
        <v>45.1</v>
      </c>
      <c r="D6" s="5">
        <v>0.1</v>
      </c>
      <c r="E6" s="5">
        <v>7.9</v>
      </c>
      <c r="F6" s="24" t="s">
        <v>109</v>
      </c>
      <c r="G6" s="5">
        <v>0.6</v>
      </c>
      <c r="H6" s="5">
        <v>1.5</v>
      </c>
      <c r="I6" s="24" t="s">
        <v>109</v>
      </c>
      <c r="J6" s="5">
        <v>7</v>
      </c>
      <c r="K6" s="5">
        <v>55.1</v>
      </c>
      <c r="L6" s="5">
        <v>62.1</v>
      </c>
      <c r="N6" s="5"/>
      <c r="O6" s="5"/>
      <c r="P6" s="5"/>
      <c r="Q6" s="5"/>
      <c r="R6" s="5"/>
      <c r="S6" s="5"/>
      <c r="T6" s="5"/>
      <c r="U6" s="5"/>
      <c r="V6" s="5"/>
      <c r="W6" s="5"/>
    </row>
    <row r="7" spans="1:25" ht="15" customHeight="1" x14ac:dyDescent="0.25">
      <c r="A7" s="197"/>
      <c r="B7" s="95" t="s">
        <v>11</v>
      </c>
      <c r="C7" s="97">
        <v>1090.7</v>
      </c>
      <c r="D7" s="97">
        <v>585.5</v>
      </c>
      <c r="E7" s="97">
        <v>1119.7</v>
      </c>
      <c r="F7" s="97">
        <v>560.70000000000005</v>
      </c>
      <c r="G7" s="97">
        <v>210</v>
      </c>
      <c r="H7" s="97">
        <v>77</v>
      </c>
      <c r="I7" s="97">
        <v>56.5</v>
      </c>
      <c r="J7" s="97">
        <v>102.6</v>
      </c>
      <c r="K7" s="97">
        <v>3700.1</v>
      </c>
      <c r="L7" s="97">
        <v>3802.7</v>
      </c>
      <c r="N7" s="97"/>
      <c r="O7" s="97"/>
      <c r="P7" s="97"/>
      <c r="Q7" s="97"/>
      <c r="R7" s="97"/>
      <c r="S7" s="97"/>
      <c r="T7" s="97"/>
      <c r="U7" s="97"/>
      <c r="V7" s="97"/>
      <c r="W7" s="97"/>
      <c r="X7" s="129"/>
    </row>
    <row r="8" spans="1:25" ht="15" customHeight="1" x14ac:dyDescent="0.25">
      <c r="A8" s="197" t="s">
        <v>196</v>
      </c>
      <c r="B8" s="4" t="s">
        <v>18</v>
      </c>
      <c r="C8" s="5">
        <v>461.7</v>
      </c>
      <c r="D8" s="5">
        <v>102.6</v>
      </c>
      <c r="E8" s="5">
        <v>634.79999999999995</v>
      </c>
      <c r="F8" s="5">
        <v>357.5</v>
      </c>
      <c r="G8" s="5">
        <v>115.6</v>
      </c>
      <c r="H8" s="5">
        <v>20</v>
      </c>
      <c r="I8" s="5">
        <v>13.8</v>
      </c>
      <c r="J8" s="5">
        <v>104.7</v>
      </c>
      <c r="K8" s="5">
        <v>1705.9</v>
      </c>
      <c r="L8" s="5">
        <v>1810.6</v>
      </c>
      <c r="N8" s="5"/>
      <c r="O8" s="5"/>
      <c r="P8" s="5"/>
      <c r="Q8" s="5"/>
      <c r="R8" s="5"/>
      <c r="S8" s="5"/>
      <c r="T8" s="5"/>
      <c r="U8" s="5"/>
      <c r="V8" s="5"/>
      <c r="W8" s="5"/>
    </row>
    <row r="9" spans="1:25" ht="15" customHeight="1" x14ac:dyDescent="0.25">
      <c r="A9" s="197"/>
      <c r="B9" s="4" t="s">
        <v>19</v>
      </c>
      <c r="C9" s="5">
        <v>486.9</v>
      </c>
      <c r="D9" s="5">
        <v>421.5</v>
      </c>
      <c r="E9" s="5">
        <v>462.9</v>
      </c>
      <c r="F9" s="5">
        <v>193.2</v>
      </c>
      <c r="G9" s="5">
        <v>99.8</v>
      </c>
      <c r="H9" s="5">
        <v>53.1</v>
      </c>
      <c r="I9" s="5">
        <v>40.6</v>
      </c>
      <c r="J9" s="5">
        <v>3.5</v>
      </c>
      <c r="K9" s="5">
        <v>1757.9</v>
      </c>
      <c r="L9" s="5">
        <v>1761.3</v>
      </c>
      <c r="N9" s="5"/>
      <c r="O9" s="5"/>
      <c r="P9" s="5"/>
      <c r="Q9" s="5"/>
      <c r="R9" s="5"/>
      <c r="S9" s="5"/>
      <c r="T9" s="5"/>
      <c r="U9" s="5"/>
      <c r="V9" s="5"/>
      <c r="W9" s="5"/>
    </row>
    <row r="10" spans="1:25" ht="15" customHeight="1" x14ac:dyDescent="0.25">
      <c r="A10" s="197"/>
      <c r="B10" s="4" t="s">
        <v>20</v>
      </c>
      <c r="C10" s="5">
        <v>38.9</v>
      </c>
      <c r="D10" s="5">
        <v>0.7</v>
      </c>
      <c r="E10" s="5">
        <v>3.5</v>
      </c>
      <c r="F10" s="24" t="s">
        <v>109</v>
      </c>
      <c r="G10" s="5">
        <v>0.5</v>
      </c>
      <c r="H10" s="5">
        <v>3.8</v>
      </c>
      <c r="I10" s="24" t="s">
        <v>109</v>
      </c>
      <c r="J10" s="5">
        <v>6.9</v>
      </c>
      <c r="K10" s="5">
        <v>47.3</v>
      </c>
      <c r="L10" s="5">
        <v>54.3</v>
      </c>
      <c r="N10" s="5"/>
      <c r="O10" s="5"/>
      <c r="P10" s="5"/>
      <c r="Q10" s="5"/>
      <c r="R10" s="5"/>
      <c r="S10" s="5"/>
      <c r="T10" s="5"/>
      <c r="U10" s="5"/>
      <c r="V10" s="5"/>
      <c r="W10" s="5"/>
    </row>
    <row r="11" spans="1:25" ht="15" customHeight="1" x14ac:dyDescent="0.25">
      <c r="A11" s="197"/>
      <c r="B11" s="95" t="s">
        <v>11</v>
      </c>
      <c r="C11" s="97">
        <v>987.4</v>
      </c>
      <c r="D11" s="97">
        <v>524.70000000000005</v>
      </c>
      <c r="E11" s="97">
        <v>1101.2</v>
      </c>
      <c r="F11" s="97">
        <v>550.6</v>
      </c>
      <c r="G11" s="97">
        <v>215.9</v>
      </c>
      <c r="H11" s="97">
        <v>76.900000000000006</v>
      </c>
      <c r="I11" s="97">
        <v>54.4</v>
      </c>
      <c r="J11" s="97">
        <v>115</v>
      </c>
      <c r="K11" s="97">
        <v>3511.1</v>
      </c>
      <c r="L11" s="97">
        <v>3626.1</v>
      </c>
      <c r="N11" s="97"/>
      <c r="O11" s="97"/>
      <c r="P11" s="97"/>
      <c r="Q11" s="97"/>
      <c r="R11" s="97"/>
      <c r="S11" s="97"/>
      <c r="T11" s="97"/>
      <c r="U11" s="97"/>
      <c r="V11" s="97"/>
      <c r="W11" s="97"/>
    </row>
    <row r="12" spans="1:25" ht="15" customHeight="1" x14ac:dyDescent="0.25">
      <c r="A12" s="197" t="s">
        <v>197</v>
      </c>
      <c r="B12" s="4" t="s">
        <v>18</v>
      </c>
      <c r="C12" s="5">
        <v>435.4</v>
      </c>
      <c r="D12" s="5">
        <v>91.7</v>
      </c>
      <c r="E12" s="5">
        <v>718.4</v>
      </c>
      <c r="F12" s="5">
        <v>355</v>
      </c>
      <c r="G12" s="5">
        <v>87.8</v>
      </c>
      <c r="H12" s="5">
        <v>27.7</v>
      </c>
      <c r="I12" s="5">
        <v>20.100000000000001</v>
      </c>
      <c r="J12" s="5">
        <v>93.6</v>
      </c>
      <c r="K12" s="5">
        <v>1736</v>
      </c>
      <c r="L12" s="5">
        <v>1829.5</v>
      </c>
      <c r="N12" s="5"/>
      <c r="O12" s="5"/>
      <c r="P12" s="5"/>
      <c r="Q12" s="5"/>
      <c r="R12" s="5"/>
      <c r="S12" s="5"/>
      <c r="T12" s="5"/>
      <c r="U12" s="5"/>
      <c r="V12" s="5"/>
      <c r="W12" s="5"/>
    </row>
    <row r="13" spans="1:25" ht="15" customHeight="1" x14ac:dyDescent="0.25">
      <c r="A13" s="197"/>
      <c r="B13" s="4" t="s">
        <v>19</v>
      </c>
      <c r="C13" s="5">
        <v>469</v>
      </c>
      <c r="D13" s="5">
        <v>415.5</v>
      </c>
      <c r="E13" s="5">
        <v>513.5</v>
      </c>
      <c r="F13" s="5">
        <v>192.8</v>
      </c>
      <c r="G13" s="5">
        <v>92.2</v>
      </c>
      <c r="H13" s="5">
        <v>61.8</v>
      </c>
      <c r="I13" s="5">
        <v>55</v>
      </c>
      <c r="J13" s="5">
        <v>3.8</v>
      </c>
      <c r="K13" s="5">
        <v>1799.8</v>
      </c>
      <c r="L13" s="5">
        <v>1803.5</v>
      </c>
      <c r="N13" s="5"/>
      <c r="O13" s="5"/>
      <c r="P13" s="5"/>
      <c r="Q13" s="5"/>
      <c r="R13" s="5"/>
      <c r="S13" s="5"/>
      <c r="T13" s="5"/>
      <c r="U13" s="5"/>
      <c r="V13" s="5"/>
      <c r="W13" s="5"/>
    </row>
    <row r="14" spans="1:25" ht="15" customHeight="1" x14ac:dyDescent="0.25">
      <c r="A14" s="197"/>
      <c r="B14" s="4" t="s">
        <v>20</v>
      </c>
      <c r="C14" s="5">
        <v>49.6</v>
      </c>
      <c r="D14" s="5">
        <v>1</v>
      </c>
      <c r="E14" s="5">
        <v>6.4</v>
      </c>
      <c r="F14" s="24" t="s">
        <v>109</v>
      </c>
      <c r="G14" s="5">
        <v>1.3</v>
      </c>
      <c r="H14" s="5">
        <v>4.9000000000000004</v>
      </c>
      <c r="I14" s="24" t="s">
        <v>109</v>
      </c>
      <c r="J14" s="5">
        <v>3.6</v>
      </c>
      <c r="K14" s="5">
        <v>63.1</v>
      </c>
      <c r="L14" s="5">
        <v>66.7</v>
      </c>
      <c r="N14" s="5"/>
      <c r="O14" s="5"/>
      <c r="P14" s="5"/>
      <c r="Q14" s="5"/>
      <c r="R14" s="5"/>
      <c r="S14" s="5"/>
      <c r="T14" s="5"/>
      <c r="U14" s="5"/>
      <c r="V14" s="5"/>
      <c r="W14" s="5"/>
    </row>
    <row r="15" spans="1:25" ht="15" customHeight="1" x14ac:dyDescent="0.25">
      <c r="A15" s="197"/>
      <c r="B15" s="95" t="s">
        <v>11</v>
      </c>
      <c r="C15" s="97">
        <v>954</v>
      </c>
      <c r="D15" s="97">
        <v>508.2</v>
      </c>
      <c r="E15" s="97">
        <v>1238.3</v>
      </c>
      <c r="F15" s="97">
        <v>547.79999999999995</v>
      </c>
      <c r="G15" s="97">
        <v>181.2</v>
      </c>
      <c r="H15" s="97">
        <v>94.3</v>
      </c>
      <c r="I15" s="97">
        <v>75.099999999999994</v>
      </c>
      <c r="J15" s="97">
        <v>100.9</v>
      </c>
      <c r="K15" s="97">
        <v>3598.9</v>
      </c>
      <c r="L15" s="97">
        <v>3699.8</v>
      </c>
      <c r="N15" s="97"/>
      <c r="O15" s="97"/>
      <c r="P15" s="97"/>
      <c r="Q15" s="97"/>
      <c r="R15" s="97"/>
      <c r="S15" s="97"/>
      <c r="T15" s="97"/>
      <c r="U15" s="97"/>
      <c r="V15" s="97"/>
      <c r="W15" s="97"/>
    </row>
    <row r="16" spans="1:25" ht="15" customHeight="1" x14ac:dyDescent="0.25">
      <c r="A16" s="197" t="s">
        <v>198</v>
      </c>
      <c r="B16" s="4" t="s">
        <v>18</v>
      </c>
      <c r="C16" s="5">
        <v>433.2</v>
      </c>
      <c r="D16" s="5">
        <v>84.8</v>
      </c>
      <c r="E16" s="5">
        <v>792.4</v>
      </c>
      <c r="F16" s="5">
        <v>326</v>
      </c>
      <c r="G16" s="5">
        <v>75.3</v>
      </c>
      <c r="H16" s="5">
        <v>31.7</v>
      </c>
      <c r="I16" s="5">
        <v>13.1</v>
      </c>
      <c r="J16" s="5">
        <v>101.4</v>
      </c>
      <c r="K16" s="5">
        <v>1756.6</v>
      </c>
      <c r="L16" s="5">
        <v>1858</v>
      </c>
      <c r="N16" s="5"/>
      <c r="O16" s="5"/>
      <c r="P16" s="5"/>
      <c r="Q16" s="5"/>
      <c r="R16" s="5"/>
      <c r="S16" s="5"/>
      <c r="T16" s="5"/>
      <c r="U16" s="5"/>
      <c r="V16" s="5"/>
      <c r="W16" s="5"/>
    </row>
    <row r="17" spans="1:23" ht="15" customHeight="1" x14ac:dyDescent="0.25">
      <c r="A17" s="197"/>
      <c r="B17" s="4" t="s">
        <v>19</v>
      </c>
      <c r="C17" s="5">
        <v>511.7</v>
      </c>
      <c r="D17" s="5">
        <v>396.2</v>
      </c>
      <c r="E17" s="5">
        <v>468.6</v>
      </c>
      <c r="F17" s="5">
        <v>223.3</v>
      </c>
      <c r="G17" s="5">
        <v>80</v>
      </c>
      <c r="H17" s="5">
        <v>68.5</v>
      </c>
      <c r="I17" s="5">
        <v>41.8</v>
      </c>
      <c r="J17" s="5">
        <v>4.5999999999999996</v>
      </c>
      <c r="K17" s="5">
        <v>1790</v>
      </c>
      <c r="L17" s="5">
        <v>1794.6</v>
      </c>
      <c r="N17" s="5"/>
      <c r="O17" s="5"/>
      <c r="P17" s="5"/>
      <c r="Q17" s="5"/>
      <c r="R17" s="5"/>
      <c r="S17" s="5"/>
      <c r="T17" s="5"/>
      <c r="U17" s="5"/>
      <c r="V17" s="5"/>
      <c r="W17" s="5"/>
    </row>
    <row r="18" spans="1:23" ht="15" customHeight="1" x14ac:dyDescent="0.25">
      <c r="A18" s="197"/>
      <c r="B18" s="4" t="s">
        <v>20</v>
      </c>
      <c r="C18" s="5">
        <v>34.299999999999997</v>
      </c>
      <c r="D18" s="5" t="s">
        <v>109</v>
      </c>
      <c r="E18" s="5">
        <v>4.8</v>
      </c>
      <c r="F18" s="24" t="s">
        <v>109</v>
      </c>
      <c r="G18" s="5">
        <v>1</v>
      </c>
      <c r="H18" s="5">
        <v>8.6</v>
      </c>
      <c r="I18" s="24" t="s">
        <v>109</v>
      </c>
      <c r="J18" s="5">
        <v>2</v>
      </c>
      <c r="K18" s="5">
        <v>48.6</v>
      </c>
      <c r="L18" s="5">
        <v>50.7</v>
      </c>
      <c r="N18" s="5"/>
      <c r="O18" s="5"/>
      <c r="P18" s="5"/>
      <c r="Q18" s="5"/>
      <c r="R18" s="5"/>
      <c r="S18" s="5"/>
      <c r="T18" s="5"/>
      <c r="U18" s="5"/>
      <c r="V18" s="5"/>
      <c r="W18" s="5"/>
    </row>
    <row r="19" spans="1:23" ht="15" customHeight="1" x14ac:dyDescent="0.25">
      <c r="A19" s="197"/>
      <c r="B19" s="95" t="s">
        <v>11</v>
      </c>
      <c r="C19" s="97">
        <v>979.1</v>
      </c>
      <c r="D19" s="97">
        <v>480.9</v>
      </c>
      <c r="E19" s="97">
        <v>1265.8</v>
      </c>
      <c r="F19" s="97">
        <v>549.4</v>
      </c>
      <c r="G19" s="97">
        <v>156.30000000000001</v>
      </c>
      <c r="H19" s="97">
        <v>108.8</v>
      </c>
      <c r="I19" s="97">
        <v>54.9</v>
      </c>
      <c r="J19" s="97">
        <v>108</v>
      </c>
      <c r="K19" s="97">
        <v>3595.2</v>
      </c>
      <c r="L19" s="97">
        <v>3703.2</v>
      </c>
      <c r="N19" s="97"/>
      <c r="O19" s="97"/>
      <c r="P19" s="97"/>
      <c r="Q19" s="97"/>
      <c r="R19" s="97"/>
      <c r="S19" s="97"/>
      <c r="T19" s="97"/>
      <c r="U19" s="97"/>
      <c r="V19" s="97"/>
      <c r="W19" s="97"/>
    </row>
    <row r="20" spans="1:23" ht="15" customHeight="1" x14ac:dyDescent="0.25">
      <c r="A20" s="197" t="s">
        <v>190</v>
      </c>
      <c r="B20" s="4" t="s">
        <v>18</v>
      </c>
      <c r="C20" s="5">
        <v>427.6</v>
      </c>
      <c r="D20" s="5">
        <v>69.900000000000006</v>
      </c>
      <c r="E20" s="5">
        <v>695.8</v>
      </c>
      <c r="F20" s="5">
        <v>288.2</v>
      </c>
      <c r="G20" s="5">
        <v>81.599999999999994</v>
      </c>
      <c r="H20" s="5">
        <v>34.700000000000003</v>
      </c>
      <c r="I20" s="5">
        <v>10.4</v>
      </c>
      <c r="J20" s="5">
        <v>101.2</v>
      </c>
      <c r="K20" s="5">
        <v>1608.3</v>
      </c>
      <c r="L20" s="5">
        <v>1709.4</v>
      </c>
      <c r="N20" s="5"/>
      <c r="O20" s="5"/>
      <c r="P20" s="5"/>
      <c r="Q20" s="5"/>
      <c r="R20" s="5"/>
      <c r="S20" s="5"/>
      <c r="T20" s="5"/>
      <c r="U20" s="5"/>
      <c r="V20" s="5"/>
      <c r="W20" s="5"/>
    </row>
    <row r="21" spans="1:23" ht="15" customHeight="1" x14ac:dyDescent="0.25">
      <c r="A21" s="197"/>
      <c r="B21" s="4" t="s">
        <v>19</v>
      </c>
      <c r="C21" s="5">
        <v>475.5</v>
      </c>
      <c r="D21" s="5">
        <v>369.1</v>
      </c>
      <c r="E21" s="5">
        <v>387</v>
      </c>
      <c r="F21" s="5">
        <v>212</v>
      </c>
      <c r="G21" s="5">
        <v>85.8</v>
      </c>
      <c r="H21" s="5">
        <v>58.7</v>
      </c>
      <c r="I21" s="5">
        <v>39.4</v>
      </c>
      <c r="J21" s="5">
        <v>5.4</v>
      </c>
      <c r="K21" s="5">
        <v>1627.5</v>
      </c>
      <c r="L21" s="5">
        <v>1632.9</v>
      </c>
      <c r="N21" s="5"/>
      <c r="O21" s="5"/>
      <c r="P21" s="5"/>
      <c r="Q21" s="5"/>
      <c r="R21" s="5"/>
      <c r="S21" s="5"/>
      <c r="T21" s="5"/>
      <c r="U21" s="5"/>
      <c r="V21" s="5"/>
      <c r="W21" s="5"/>
    </row>
    <row r="22" spans="1:23" ht="15" customHeight="1" x14ac:dyDescent="0.25">
      <c r="A22" s="197"/>
      <c r="B22" s="4" t="s">
        <v>20</v>
      </c>
      <c r="C22" s="5">
        <v>39.4</v>
      </c>
      <c r="D22" s="24" t="s">
        <v>109</v>
      </c>
      <c r="E22" s="5">
        <v>3.2</v>
      </c>
      <c r="F22" s="24" t="s">
        <v>109</v>
      </c>
      <c r="G22" s="5">
        <v>1.5</v>
      </c>
      <c r="H22" s="5">
        <v>7.5</v>
      </c>
      <c r="I22" s="24" t="s">
        <v>109</v>
      </c>
      <c r="J22" s="5">
        <v>0.9</v>
      </c>
      <c r="K22" s="5">
        <v>51.6</v>
      </c>
      <c r="L22" s="5">
        <v>52.4</v>
      </c>
      <c r="N22" s="5"/>
      <c r="O22" s="5"/>
      <c r="P22" s="5"/>
      <c r="Q22" s="5"/>
      <c r="R22" s="5"/>
      <c r="S22" s="5"/>
      <c r="T22" s="5"/>
      <c r="U22" s="5"/>
      <c r="V22" s="5"/>
      <c r="W22" s="5"/>
    </row>
    <row r="23" spans="1:23" ht="15" customHeight="1" x14ac:dyDescent="0.25">
      <c r="A23" s="197"/>
      <c r="B23" s="95" t="s">
        <v>11</v>
      </c>
      <c r="C23" s="97">
        <v>942.5</v>
      </c>
      <c r="D23" s="97">
        <v>439</v>
      </c>
      <c r="E23" s="97">
        <v>1086.0999999999999</v>
      </c>
      <c r="F23" s="97">
        <v>500.2</v>
      </c>
      <c r="G23" s="97">
        <v>168.9</v>
      </c>
      <c r="H23" s="97">
        <v>100.9</v>
      </c>
      <c r="I23" s="97">
        <v>49.8</v>
      </c>
      <c r="J23" s="97">
        <v>107.5</v>
      </c>
      <c r="K23" s="97">
        <v>3287.3</v>
      </c>
      <c r="L23" s="97">
        <v>3394.8</v>
      </c>
      <c r="N23" s="97"/>
      <c r="O23" s="97"/>
      <c r="P23" s="97"/>
      <c r="Q23" s="97"/>
      <c r="R23" s="97"/>
      <c r="S23" s="97"/>
      <c r="T23" s="97"/>
      <c r="U23" s="97"/>
      <c r="V23" s="97"/>
      <c r="W23" s="97"/>
    </row>
    <row r="24" spans="1:23" ht="15" customHeight="1" x14ac:dyDescent="0.25">
      <c r="A24" s="197" t="s">
        <v>191</v>
      </c>
      <c r="B24" s="4" t="s">
        <v>18</v>
      </c>
      <c r="C24" s="5">
        <v>391.2</v>
      </c>
      <c r="D24" s="5">
        <v>64.3</v>
      </c>
      <c r="E24" s="5">
        <v>599.29999999999995</v>
      </c>
      <c r="F24" s="5">
        <v>208.3</v>
      </c>
      <c r="G24" s="5">
        <v>63.2</v>
      </c>
      <c r="H24" s="5">
        <v>23.8</v>
      </c>
      <c r="I24" s="5">
        <v>6.5</v>
      </c>
      <c r="J24" s="5">
        <v>66.099999999999994</v>
      </c>
      <c r="K24" s="5">
        <v>1356.6</v>
      </c>
      <c r="L24" s="5">
        <v>1422.6</v>
      </c>
      <c r="N24" s="5"/>
      <c r="O24" s="5"/>
      <c r="P24" s="5"/>
      <c r="Q24" s="5"/>
      <c r="R24" s="5"/>
      <c r="S24" s="5"/>
      <c r="T24" s="5"/>
      <c r="U24" s="5"/>
      <c r="V24" s="5"/>
      <c r="W24" s="5"/>
    </row>
    <row r="25" spans="1:23" ht="15" customHeight="1" x14ac:dyDescent="0.25">
      <c r="A25" s="197"/>
      <c r="B25" s="4" t="s">
        <v>19</v>
      </c>
      <c r="C25" s="5">
        <v>470</v>
      </c>
      <c r="D25" s="5">
        <v>288.89999999999998</v>
      </c>
      <c r="E25" s="5">
        <v>318.10000000000002</v>
      </c>
      <c r="F25" s="5">
        <v>152.6</v>
      </c>
      <c r="G25" s="5">
        <v>74.400000000000006</v>
      </c>
      <c r="H25" s="5">
        <v>46.9</v>
      </c>
      <c r="I25" s="5">
        <v>42.1</v>
      </c>
      <c r="J25" s="5">
        <v>3.9</v>
      </c>
      <c r="K25" s="5">
        <v>1393</v>
      </c>
      <c r="L25" s="5">
        <v>1396.9</v>
      </c>
      <c r="N25" s="5"/>
      <c r="O25" s="5"/>
      <c r="P25" s="5"/>
      <c r="Q25" s="5"/>
      <c r="R25" s="5"/>
      <c r="S25" s="5"/>
      <c r="T25" s="5"/>
      <c r="U25" s="5"/>
      <c r="V25" s="5"/>
      <c r="W25" s="5"/>
    </row>
    <row r="26" spans="1:23" ht="15" customHeight="1" x14ac:dyDescent="0.25">
      <c r="A26" s="197"/>
      <c r="B26" s="4" t="s">
        <v>20</v>
      </c>
      <c r="C26" s="5">
        <v>38.200000000000003</v>
      </c>
      <c r="D26" s="24">
        <v>0.1</v>
      </c>
      <c r="E26" s="5">
        <v>3.2</v>
      </c>
      <c r="F26" s="24" t="s">
        <v>109</v>
      </c>
      <c r="G26" s="5">
        <v>0.6</v>
      </c>
      <c r="H26" s="5">
        <v>1.8</v>
      </c>
      <c r="I26" s="24" t="s">
        <v>109</v>
      </c>
      <c r="J26" s="5">
        <v>0.7</v>
      </c>
      <c r="K26" s="5">
        <v>43.8</v>
      </c>
      <c r="L26" s="5">
        <v>44.5</v>
      </c>
      <c r="N26" s="5"/>
      <c r="O26" s="5"/>
      <c r="P26" s="5"/>
      <c r="Q26" s="5"/>
      <c r="R26" s="5"/>
      <c r="S26" s="5"/>
      <c r="T26" s="5"/>
      <c r="U26" s="5"/>
      <c r="V26" s="5"/>
      <c r="W26" s="5"/>
    </row>
    <row r="27" spans="1:23" ht="15" customHeight="1" x14ac:dyDescent="0.25">
      <c r="A27" s="197"/>
      <c r="B27" s="95" t="s">
        <v>11</v>
      </c>
      <c r="C27" s="97">
        <v>899.3</v>
      </c>
      <c r="D27" s="97">
        <v>353.3</v>
      </c>
      <c r="E27" s="97">
        <v>920.6</v>
      </c>
      <c r="F27" s="97">
        <v>360.9</v>
      </c>
      <c r="G27" s="97">
        <v>138.19999999999999</v>
      </c>
      <c r="H27" s="97">
        <v>72.400000000000006</v>
      </c>
      <c r="I27" s="97">
        <v>48.6</v>
      </c>
      <c r="J27" s="97">
        <v>70.599999999999994</v>
      </c>
      <c r="K27" s="97">
        <v>2793.3</v>
      </c>
      <c r="L27" s="97">
        <v>2864</v>
      </c>
      <c r="N27" s="97"/>
      <c r="O27" s="97"/>
      <c r="P27" s="97"/>
      <c r="Q27" s="97"/>
      <c r="R27" s="97"/>
      <c r="S27" s="97"/>
      <c r="T27" s="97"/>
      <c r="U27" s="97"/>
      <c r="V27" s="97"/>
      <c r="W27" s="97"/>
    </row>
    <row r="28" spans="1:23" ht="15" customHeight="1" x14ac:dyDescent="0.25">
      <c r="A28" s="197" t="s">
        <v>192</v>
      </c>
      <c r="B28" s="4" t="s">
        <v>18</v>
      </c>
      <c r="C28" s="5">
        <v>369.4</v>
      </c>
      <c r="D28" s="5">
        <v>50.4</v>
      </c>
      <c r="E28" s="5">
        <v>599.6</v>
      </c>
      <c r="F28" s="5">
        <v>236.4</v>
      </c>
      <c r="G28" s="5">
        <v>70.2</v>
      </c>
      <c r="H28" s="5">
        <v>20.6</v>
      </c>
      <c r="I28" s="5">
        <v>4.8</v>
      </c>
      <c r="J28" s="5">
        <v>93.5</v>
      </c>
      <c r="K28" s="5">
        <v>1351.5</v>
      </c>
      <c r="L28" s="5">
        <v>1445</v>
      </c>
      <c r="N28" s="5"/>
      <c r="O28" s="5"/>
      <c r="P28" s="5"/>
      <c r="Q28" s="5"/>
      <c r="R28" s="5"/>
      <c r="S28" s="5"/>
      <c r="T28" s="5"/>
      <c r="U28" s="5"/>
      <c r="V28" s="5"/>
      <c r="W28" s="5"/>
    </row>
    <row r="29" spans="1:23" ht="15" customHeight="1" x14ac:dyDescent="0.25">
      <c r="A29" s="197"/>
      <c r="B29" s="4" t="s">
        <v>19</v>
      </c>
      <c r="C29" s="5">
        <v>418.4</v>
      </c>
      <c r="D29" s="5">
        <v>238</v>
      </c>
      <c r="E29" s="5">
        <v>315.39999999999998</v>
      </c>
      <c r="F29" s="5">
        <v>149.30000000000001</v>
      </c>
      <c r="G29" s="5">
        <v>80</v>
      </c>
      <c r="H29" s="5">
        <v>36.9</v>
      </c>
      <c r="I29" s="5">
        <v>34.200000000000003</v>
      </c>
      <c r="J29" s="5">
        <v>5.6</v>
      </c>
      <c r="K29" s="5">
        <v>1272.3</v>
      </c>
      <c r="L29" s="5">
        <v>1277.8</v>
      </c>
      <c r="N29" s="5"/>
      <c r="O29" s="5"/>
      <c r="P29" s="5"/>
      <c r="Q29" s="5"/>
      <c r="R29" s="5"/>
      <c r="S29" s="5"/>
      <c r="T29" s="5"/>
      <c r="U29" s="5"/>
      <c r="V29" s="5"/>
      <c r="W29" s="5"/>
    </row>
    <row r="30" spans="1:23" ht="15" customHeight="1" x14ac:dyDescent="0.25">
      <c r="A30" s="197"/>
      <c r="B30" s="4" t="s">
        <v>20</v>
      </c>
      <c r="C30" s="5">
        <v>29.3</v>
      </c>
      <c r="D30" s="5" t="s">
        <v>109</v>
      </c>
      <c r="E30" s="5">
        <v>1.5</v>
      </c>
      <c r="F30" s="24" t="s">
        <v>109</v>
      </c>
      <c r="G30" s="5">
        <v>0.4</v>
      </c>
      <c r="H30" s="5">
        <v>0.2</v>
      </c>
      <c r="I30" s="24" t="s">
        <v>109</v>
      </c>
      <c r="J30" s="5">
        <v>2.5</v>
      </c>
      <c r="K30" s="5">
        <v>31.4</v>
      </c>
      <c r="L30" s="5">
        <v>33.9</v>
      </c>
      <c r="N30" s="5"/>
      <c r="O30" s="5"/>
      <c r="P30" s="5"/>
      <c r="Q30" s="5"/>
      <c r="R30" s="5"/>
      <c r="S30" s="5"/>
      <c r="T30" s="5"/>
      <c r="U30" s="5"/>
      <c r="V30" s="5"/>
      <c r="W30" s="5"/>
    </row>
    <row r="31" spans="1:23" ht="15" customHeight="1" x14ac:dyDescent="0.25">
      <c r="A31" s="197"/>
      <c r="B31" s="95" t="s">
        <v>11</v>
      </c>
      <c r="C31" s="97">
        <v>817.2</v>
      </c>
      <c r="D31" s="97">
        <v>288.39999999999998</v>
      </c>
      <c r="E31" s="97">
        <v>916.5</v>
      </c>
      <c r="F31" s="97">
        <v>385.7</v>
      </c>
      <c r="G31" s="97">
        <v>150.6</v>
      </c>
      <c r="H31" s="97">
        <v>57.7</v>
      </c>
      <c r="I31" s="97">
        <v>39</v>
      </c>
      <c r="J31" s="97">
        <v>101.6</v>
      </c>
      <c r="K31" s="97">
        <v>2655.2</v>
      </c>
      <c r="L31" s="97">
        <v>2756.8</v>
      </c>
      <c r="N31" s="97"/>
      <c r="O31" s="97"/>
      <c r="P31" s="97"/>
      <c r="Q31" s="97"/>
      <c r="R31" s="97"/>
      <c r="S31" s="97"/>
      <c r="T31" s="97"/>
      <c r="U31" s="97"/>
      <c r="V31" s="97"/>
      <c r="W31" s="97"/>
    </row>
    <row r="32" spans="1:23" ht="15" customHeight="1" x14ac:dyDescent="0.25">
      <c r="A32" s="197" t="s">
        <v>193</v>
      </c>
      <c r="B32" s="4" t="s">
        <v>18</v>
      </c>
      <c r="C32" s="5">
        <v>381.1</v>
      </c>
      <c r="D32" s="5">
        <v>37.4</v>
      </c>
      <c r="E32" s="5">
        <v>587.5</v>
      </c>
      <c r="F32" s="5">
        <v>286.7</v>
      </c>
      <c r="G32" s="5">
        <v>87.3</v>
      </c>
      <c r="H32" s="5">
        <v>20.6</v>
      </c>
      <c r="I32" s="5">
        <v>7.4</v>
      </c>
      <c r="J32" s="5">
        <v>159.1</v>
      </c>
      <c r="K32" s="5">
        <v>1408.1</v>
      </c>
      <c r="L32" s="5">
        <v>1567.2</v>
      </c>
      <c r="N32" s="5"/>
      <c r="O32" s="5"/>
      <c r="P32" s="5"/>
      <c r="Q32" s="5"/>
      <c r="R32" s="5"/>
      <c r="S32" s="5"/>
      <c r="T32" s="5"/>
      <c r="U32" s="5"/>
      <c r="V32" s="5"/>
      <c r="W32" s="5"/>
    </row>
    <row r="33" spans="1:23" ht="15" customHeight="1" x14ac:dyDescent="0.25">
      <c r="A33" s="197"/>
      <c r="B33" s="4" t="s">
        <v>19</v>
      </c>
      <c r="C33" s="5">
        <v>326.89999999999998</v>
      </c>
      <c r="D33" s="5">
        <v>198</v>
      </c>
      <c r="E33" s="5">
        <v>297.8</v>
      </c>
      <c r="F33" s="5">
        <v>163.9</v>
      </c>
      <c r="G33" s="5">
        <v>96.2</v>
      </c>
      <c r="H33" s="5">
        <v>45.5</v>
      </c>
      <c r="I33" s="5">
        <v>33.6</v>
      </c>
      <c r="J33" s="5">
        <v>4.9000000000000004</v>
      </c>
      <c r="K33" s="5">
        <v>1161.9000000000001</v>
      </c>
      <c r="L33" s="5">
        <v>1166.8</v>
      </c>
      <c r="N33" s="5"/>
      <c r="O33" s="5"/>
      <c r="P33" s="5"/>
      <c r="Q33" s="5"/>
      <c r="R33" s="5"/>
      <c r="S33" s="5"/>
      <c r="T33" s="5"/>
      <c r="U33" s="5"/>
      <c r="V33" s="5"/>
      <c r="W33" s="5"/>
    </row>
    <row r="34" spans="1:23" ht="15" customHeight="1" x14ac:dyDescent="0.25">
      <c r="A34" s="197"/>
      <c r="B34" s="4" t="s">
        <v>20</v>
      </c>
      <c r="C34" s="5">
        <v>28.2</v>
      </c>
      <c r="D34" s="24" t="s">
        <v>109</v>
      </c>
      <c r="E34" s="5">
        <v>1.7</v>
      </c>
      <c r="F34" s="24" t="s">
        <v>109</v>
      </c>
      <c r="G34" s="5">
        <v>1.6</v>
      </c>
      <c r="H34" s="5">
        <v>0.6</v>
      </c>
      <c r="I34" s="24">
        <v>0.4</v>
      </c>
      <c r="J34" s="5">
        <v>3.6</v>
      </c>
      <c r="K34" s="5">
        <v>32.5</v>
      </c>
      <c r="L34" s="5">
        <v>36</v>
      </c>
      <c r="N34" s="5"/>
      <c r="O34" s="5"/>
      <c r="P34" s="5"/>
      <c r="Q34" s="5"/>
      <c r="R34" s="5"/>
      <c r="S34" s="5"/>
      <c r="T34" s="5"/>
      <c r="U34" s="5"/>
      <c r="V34" s="5"/>
      <c r="W34" s="5"/>
    </row>
    <row r="35" spans="1:23" ht="15" customHeight="1" x14ac:dyDescent="0.25">
      <c r="A35" s="197"/>
      <c r="B35" s="95" t="s">
        <v>11</v>
      </c>
      <c r="C35" s="97">
        <v>736.1</v>
      </c>
      <c r="D35" s="97">
        <v>235.4</v>
      </c>
      <c r="E35" s="97">
        <v>887</v>
      </c>
      <c r="F35" s="97">
        <v>450.6</v>
      </c>
      <c r="G35" s="97">
        <v>185.1</v>
      </c>
      <c r="H35" s="97">
        <v>66.8</v>
      </c>
      <c r="I35" s="97">
        <v>41.4</v>
      </c>
      <c r="J35" s="97">
        <v>167.6</v>
      </c>
      <c r="K35" s="97">
        <v>2602.5</v>
      </c>
      <c r="L35" s="97">
        <v>2770.1</v>
      </c>
      <c r="N35" s="97"/>
      <c r="O35" s="97"/>
      <c r="P35" s="97"/>
      <c r="Q35" s="97"/>
      <c r="R35" s="97"/>
      <c r="S35" s="97"/>
      <c r="T35" s="97"/>
      <c r="U35" s="97"/>
      <c r="V35" s="97"/>
      <c r="W35" s="97"/>
    </row>
    <row r="36" spans="1:23" ht="15" customHeight="1" x14ac:dyDescent="0.25">
      <c r="A36" s="197" t="s">
        <v>194</v>
      </c>
      <c r="B36" s="4" t="s">
        <v>18</v>
      </c>
      <c r="C36" s="5">
        <v>386.6</v>
      </c>
      <c r="D36" s="5">
        <v>38.1</v>
      </c>
      <c r="E36" s="5">
        <v>607.5</v>
      </c>
      <c r="F36" s="5">
        <v>259.5</v>
      </c>
      <c r="G36" s="5">
        <v>118.1</v>
      </c>
      <c r="H36" s="5">
        <v>28.7</v>
      </c>
      <c r="I36" s="5">
        <v>13.3</v>
      </c>
      <c r="J36" s="5" t="s">
        <v>114</v>
      </c>
      <c r="K36" s="5">
        <v>1451.9</v>
      </c>
      <c r="L36" s="5" t="s">
        <v>114</v>
      </c>
      <c r="N36" s="5"/>
      <c r="O36" s="5"/>
      <c r="P36" s="5"/>
      <c r="Q36" s="5"/>
      <c r="R36" s="5"/>
      <c r="S36" s="5"/>
      <c r="T36" s="5"/>
      <c r="U36" s="5"/>
      <c r="V36" s="5"/>
      <c r="W36" s="5"/>
    </row>
    <row r="37" spans="1:23" ht="15" customHeight="1" x14ac:dyDescent="0.25">
      <c r="A37" s="197"/>
      <c r="B37" s="4" t="s">
        <v>19</v>
      </c>
      <c r="C37" s="5">
        <v>311.5</v>
      </c>
      <c r="D37" s="5">
        <v>178.5</v>
      </c>
      <c r="E37" s="5">
        <v>287.10000000000002</v>
      </c>
      <c r="F37" s="5">
        <v>170</v>
      </c>
      <c r="G37" s="5">
        <v>96.3</v>
      </c>
      <c r="H37" s="5">
        <v>49.5</v>
      </c>
      <c r="I37" s="5">
        <v>40.799999999999997</v>
      </c>
      <c r="J37" s="5" t="s">
        <v>114</v>
      </c>
      <c r="K37" s="5">
        <v>1133.8</v>
      </c>
      <c r="L37" s="5" t="s">
        <v>114</v>
      </c>
      <c r="N37" s="5"/>
      <c r="O37" s="5"/>
      <c r="P37" s="5"/>
      <c r="Q37" s="5"/>
      <c r="R37" s="5"/>
      <c r="S37" s="5"/>
      <c r="T37" s="5"/>
      <c r="U37" s="5"/>
      <c r="V37" s="5"/>
      <c r="W37" s="5"/>
    </row>
    <row r="38" spans="1:23" ht="15" customHeight="1" x14ac:dyDescent="0.25">
      <c r="A38" s="197"/>
      <c r="B38" s="4" t="s">
        <v>20</v>
      </c>
      <c r="C38" s="5">
        <v>25.3</v>
      </c>
      <c r="D38" s="24" t="s">
        <v>109</v>
      </c>
      <c r="E38" s="5">
        <v>1.4</v>
      </c>
      <c r="F38" s="24" t="s">
        <v>109</v>
      </c>
      <c r="G38" s="5">
        <v>0.6</v>
      </c>
      <c r="H38" s="5">
        <v>0.4</v>
      </c>
      <c r="I38" s="5">
        <v>0.1</v>
      </c>
      <c r="J38" s="5" t="s">
        <v>114</v>
      </c>
      <c r="K38" s="5">
        <v>27.8</v>
      </c>
      <c r="L38" s="5" t="s">
        <v>114</v>
      </c>
      <c r="N38" s="5"/>
      <c r="O38" s="5"/>
      <c r="P38" s="5"/>
      <c r="Q38" s="5"/>
      <c r="R38" s="5"/>
      <c r="S38" s="5"/>
      <c r="T38" s="5"/>
      <c r="U38" s="5"/>
      <c r="V38" s="5"/>
      <c r="W38" s="5"/>
    </row>
    <row r="39" spans="1:23" ht="15" customHeight="1" x14ac:dyDescent="0.25">
      <c r="A39" s="197"/>
      <c r="B39" s="95" t="s">
        <v>11</v>
      </c>
      <c r="C39" s="97">
        <v>723.5</v>
      </c>
      <c r="D39" s="97">
        <v>216.6</v>
      </c>
      <c r="E39" s="97">
        <v>896</v>
      </c>
      <c r="F39" s="97">
        <v>429.5</v>
      </c>
      <c r="G39" s="97">
        <v>215</v>
      </c>
      <c r="H39" s="97">
        <v>78.599999999999994</v>
      </c>
      <c r="I39" s="97">
        <v>54.2</v>
      </c>
      <c r="J39" s="97" t="s">
        <v>114</v>
      </c>
      <c r="K39" s="97">
        <v>2613.4</v>
      </c>
      <c r="L39" s="97" t="s">
        <v>114</v>
      </c>
      <c r="N39" s="97"/>
      <c r="O39" s="97"/>
      <c r="P39" s="97"/>
      <c r="Q39" s="97"/>
      <c r="R39" s="97"/>
      <c r="S39" s="97"/>
      <c r="T39" s="97"/>
      <c r="U39" s="97"/>
      <c r="V39" s="97"/>
      <c r="W39" s="97"/>
    </row>
    <row r="40" spans="1:23" ht="15" customHeight="1" x14ac:dyDescent="0.25">
      <c r="A40" s="197" t="s">
        <v>284</v>
      </c>
      <c r="B40" s="4" t="s">
        <v>18</v>
      </c>
      <c r="C40" s="5">
        <v>396.6</v>
      </c>
      <c r="D40" s="5">
        <v>42.1</v>
      </c>
      <c r="E40" s="5">
        <v>587.70000000000005</v>
      </c>
      <c r="F40" s="5">
        <v>216</v>
      </c>
      <c r="G40" s="5">
        <v>97.1</v>
      </c>
      <c r="H40" s="5">
        <v>38.1</v>
      </c>
      <c r="I40" s="5">
        <v>15.8</v>
      </c>
      <c r="J40" s="5" t="s">
        <v>114</v>
      </c>
      <c r="K40" s="5">
        <v>1393.3</v>
      </c>
      <c r="L40" s="5" t="s">
        <v>114</v>
      </c>
      <c r="N40" s="5"/>
      <c r="O40" s="5"/>
      <c r="P40" s="5"/>
      <c r="Q40" s="5"/>
      <c r="R40" s="5"/>
      <c r="S40" s="5"/>
      <c r="T40" s="5"/>
      <c r="U40" s="5"/>
      <c r="V40" s="5"/>
      <c r="W40" s="5"/>
    </row>
    <row r="41" spans="1:23" ht="15" customHeight="1" x14ac:dyDescent="0.25">
      <c r="A41" s="197"/>
      <c r="B41" s="4" t="s">
        <v>19</v>
      </c>
      <c r="C41" s="5">
        <v>317.7</v>
      </c>
      <c r="D41" s="5">
        <v>186.2</v>
      </c>
      <c r="E41" s="5">
        <v>268.60000000000002</v>
      </c>
      <c r="F41" s="5">
        <v>151.80000000000001</v>
      </c>
      <c r="G41" s="5">
        <v>69.599999999999994</v>
      </c>
      <c r="H41" s="5">
        <v>57.9</v>
      </c>
      <c r="I41" s="5">
        <v>31.6</v>
      </c>
      <c r="J41" s="5" t="s">
        <v>114</v>
      </c>
      <c r="K41" s="5">
        <v>1083.4000000000001</v>
      </c>
      <c r="L41" s="5" t="s">
        <v>114</v>
      </c>
      <c r="N41" s="5"/>
      <c r="O41" s="5"/>
      <c r="P41" s="5"/>
      <c r="Q41" s="5"/>
      <c r="R41" s="5"/>
      <c r="S41" s="5"/>
      <c r="T41" s="5"/>
      <c r="U41" s="5"/>
      <c r="V41" s="5"/>
      <c r="W41" s="5"/>
    </row>
    <row r="42" spans="1:23" ht="15" customHeight="1" x14ac:dyDescent="0.25">
      <c r="A42" s="197"/>
      <c r="B42" s="4" t="s">
        <v>20</v>
      </c>
      <c r="C42" s="5">
        <v>25.2</v>
      </c>
      <c r="D42" s="24">
        <v>0.4</v>
      </c>
      <c r="E42" s="5">
        <v>3.7</v>
      </c>
      <c r="F42" s="24" t="s">
        <v>109</v>
      </c>
      <c r="G42" s="5">
        <v>2.2999999999999998</v>
      </c>
      <c r="H42" s="5">
        <v>0.4</v>
      </c>
      <c r="I42" s="5" t="s">
        <v>109</v>
      </c>
      <c r="J42" s="5" t="s">
        <v>114</v>
      </c>
      <c r="K42" s="5">
        <v>32.1</v>
      </c>
      <c r="L42" s="5" t="s">
        <v>114</v>
      </c>
      <c r="N42" s="5"/>
      <c r="O42" s="5"/>
      <c r="P42" s="5"/>
      <c r="Q42" s="5"/>
      <c r="R42" s="5"/>
      <c r="S42" s="5"/>
      <c r="T42" s="5"/>
      <c r="U42" s="5"/>
      <c r="V42" s="5"/>
      <c r="W42" s="5"/>
    </row>
    <row r="43" spans="1:23" ht="15" customHeight="1" x14ac:dyDescent="0.25">
      <c r="A43" s="197"/>
      <c r="B43" s="95" t="s">
        <v>11</v>
      </c>
      <c r="C43" s="97">
        <v>739.5</v>
      </c>
      <c r="D43" s="97">
        <v>228.7</v>
      </c>
      <c r="E43" s="97">
        <v>860</v>
      </c>
      <c r="F43" s="97">
        <v>367.8</v>
      </c>
      <c r="G43" s="97">
        <v>169.1</v>
      </c>
      <c r="H43" s="97">
        <v>96.4</v>
      </c>
      <c r="I43" s="97">
        <v>47.4</v>
      </c>
      <c r="J43" s="97" t="s">
        <v>114</v>
      </c>
      <c r="K43" s="97">
        <v>2508.8000000000002</v>
      </c>
      <c r="L43" s="97" t="s">
        <v>114</v>
      </c>
      <c r="N43" s="97"/>
      <c r="O43" s="97"/>
      <c r="P43" s="97"/>
      <c r="Q43" s="97"/>
      <c r="R43" s="97"/>
      <c r="S43" s="97"/>
      <c r="T43" s="97"/>
      <c r="U43" s="97"/>
      <c r="V43" s="97"/>
      <c r="W43" s="97"/>
    </row>
    <row r="44" spans="1:23" ht="1.5" customHeight="1" x14ac:dyDescent="0.25">
      <c r="A44" s="27"/>
      <c r="B44" s="95"/>
      <c r="C44" s="97" t="s">
        <v>189</v>
      </c>
      <c r="D44" s="97" t="s">
        <v>189</v>
      </c>
      <c r="E44" s="97" t="s">
        <v>189</v>
      </c>
      <c r="F44" s="97" t="s">
        <v>189</v>
      </c>
      <c r="G44" s="97" t="s">
        <v>189</v>
      </c>
      <c r="H44" s="97" t="s">
        <v>189</v>
      </c>
      <c r="I44" s="97" t="s">
        <v>189</v>
      </c>
      <c r="J44" s="97" t="s">
        <v>189</v>
      </c>
      <c r="K44" s="97" t="s">
        <v>189</v>
      </c>
      <c r="L44" s="97" t="s">
        <v>189</v>
      </c>
      <c r="N44" s="129"/>
      <c r="O44" s="129"/>
      <c r="P44" s="129"/>
      <c r="Q44" s="129"/>
      <c r="R44" s="129"/>
      <c r="S44" s="129"/>
      <c r="T44" s="129"/>
      <c r="U44" s="129"/>
      <c r="V44" s="129"/>
      <c r="W44" s="129"/>
    </row>
    <row r="45" spans="1:23" ht="11.1" customHeight="1" x14ac:dyDescent="0.25">
      <c r="A45" s="184" t="s">
        <v>12</v>
      </c>
      <c r="B45" s="184"/>
      <c r="C45" s="184"/>
      <c r="D45" s="184"/>
      <c r="E45" s="184"/>
      <c r="F45" s="184"/>
      <c r="G45" s="184"/>
      <c r="H45" s="184"/>
      <c r="I45" s="184"/>
      <c r="J45" s="184"/>
      <c r="K45" s="190"/>
      <c r="L45" s="184"/>
      <c r="N45" s="129"/>
      <c r="O45" s="129"/>
      <c r="P45" s="129"/>
      <c r="Q45" s="129"/>
      <c r="R45" s="129"/>
      <c r="S45" s="129"/>
      <c r="T45" s="129"/>
      <c r="U45" s="129"/>
      <c r="V45" s="129"/>
      <c r="W45" s="129"/>
    </row>
    <row r="46" spans="1:23" s="6" customFormat="1" ht="11.1" customHeight="1" x14ac:dyDescent="0.15">
      <c r="A46" s="6" t="s">
        <v>13</v>
      </c>
    </row>
    <row r="47" spans="1:23" s="12" customFormat="1" ht="11.1" customHeight="1" x14ac:dyDescent="0.2">
      <c r="A47" s="39" t="s">
        <v>23</v>
      </c>
    </row>
    <row r="48" spans="1:23" s="6" customFormat="1" ht="11.1" customHeight="1" x14ac:dyDescent="0.15">
      <c r="A48" s="6" t="s">
        <v>41</v>
      </c>
    </row>
    <row r="49" spans="1:25" s="6" customFormat="1" ht="18" customHeight="1" x14ac:dyDescent="0.15">
      <c r="A49" s="186" t="s">
        <v>29</v>
      </c>
      <c r="B49" s="186"/>
      <c r="C49" s="186"/>
      <c r="D49" s="186"/>
      <c r="E49" s="186"/>
      <c r="F49" s="186"/>
      <c r="G49" s="186"/>
      <c r="H49" s="186"/>
      <c r="I49" s="186"/>
      <c r="J49" s="186"/>
      <c r="K49" s="186"/>
      <c r="L49" s="186"/>
    </row>
    <row r="50" spans="1:25" s="6" customFormat="1" ht="9" x14ac:dyDescent="0.15">
      <c r="A50" s="186" t="s">
        <v>285</v>
      </c>
      <c r="B50" s="186"/>
      <c r="C50" s="186"/>
      <c r="D50" s="186"/>
      <c r="E50" s="186"/>
      <c r="F50" s="186"/>
      <c r="G50" s="186"/>
      <c r="H50" s="186"/>
      <c r="I50" s="186"/>
      <c r="J50" s="186"/>
      <c r="K50" s="186"/>
      <c r="L50" s="186"/>
    </row>
    <row r="51" spans="1:25" s="6" customFormat="1" ht="11.1" customHeight="1" x14ac:dyDescent="0.15">
      <c r="A51" s="6" t="s">
        <v>14</v>
      </c>
    </row>
    <row r="52" spans="1:25" s="6" customFormat="1" ht="11.1" customHeight="1" x14ac:dyDescent="0.15">
      <c r="A52" s="6" t="s">
        <v>263</v>
      </c>
    </row>
    <row r="53" spans="1:25" ht="12" customHeight="1" x14ac:dyDescent="0.25">
      <c r="A53" s="2"/>
    </row>
    <row r="54" spans="1:25" ht="27.95" customHeight="1" x14ac:dyDescent="0.25">
      <c r="A54" s="189" t="s">
        <v>286</v>
      </c>
      <c r="B54" s="189"/>
      <c r="C54" s="189"/>
      <c r="D54" s="189"/>
      <c r="E54" s="189"/>
      <c r="F54" s="189"/>
      <c r="G54" s="189"/>
      <c r="H54" s="189"/>
      <c r="I54" s="189"/>
      <c r="J54" s="189"/>
      <c r="K54" s="189"/>
      <c r="L54" s="189"/>
      <c r="M54" s="32"/>
      <c r="N54" s="32"/>
    </row>
    <row r="55" spans="1:25" ht="12" hidden="1" customHeight="1" x14ac:dyDescent="0.25">
      <c r="A55" s="2"/>
    </row>
    <row r="56" spans="1:25" x14ac:dyDescent="0.25">
      <c r="A56" s="31" t="s">
        <v>122</v>
      </c>
      <c r="B56" s="31" t="s">
        <v>120</v>
      </c>
      <c r="C56" s="3" t="s">
        <v>0</v>
      </c>
      <c r="D56" s="3" t="s">
        <v>1</v>
      </c>
      <c r="E56" s="3" t="s">
        <v>2</v>
      </c>
      <c r="F56" s="3" t="s">
        <v>3</v>
      </c>
      <c r="G56" s="3" t="s">
        <v>4</v>
      </c>
      <c r="H56" s="3" t="s">
        <v>5</v>
      </c>
      <c r="I56" s="3" t="s">
        <v>6</v>
      </c>
      <c r="J56" s="3" t="s">
        <v>7</v>
      </c>
      <c r="K56" s="3" t="s">
        <v>8</v>
      </c>
    </row>
    <row r="57" spans="1:25" x14ac:dyDescent="0.25">
      <c r="A57" s="197" t="s">
        <v>195</v>
      </c>
      <c r="B57" s="4" t="s">
        <v>18</v>
      </c>
      <c r="C57" s="8">
        <v>1008</v>
      </c>
      <c r="D57" s="8">
        <v>245</v>
      </c>
      <c r="E57" s="8">
        <v>1345</v>
      </c>
      <c r="F57" s="8">
        <v>926</v>
      </c>
      <c r="G57" s="8">
        <v>245</v>
      </c>
      <c r="H57" s="8">
        <v>37</v>
      </c>
      <c r="I57" s="8">
        <v>35</v>
      </c>
      <c r="J57" s="8">
        <v>247</v>
      </c>
      <c r="K57" s="8">
        <v>4088</v>
      </c>
      <c r="M57" s="120"/>
      <c r="N57" s="8"/>
      <c r="O57" s="8"/>
      <c r="P57" s="8"/>
      <c r="Q57" s="8"/>
      <c r="R57" s="8"/>
      <c r="S57" s="8"/>
      <c r="T57" s="8"/>
      <c r="U57" s="8"/>
      <c r="V57" s="8"/>
      <c r="Y57" s="120"/>
    </row>
    <row r="58" spans="1:25" x14ac:dyDescent="0.25">
      <c r="A58" s="197"/>
      <c r="B58" s="4" t="s">
        <v>19</v>
      </c>
      <c r="C58" s="8">
        <v>1151</v>
      </c>
      <c r="D58" s="8">
        <v>1088</v>
      </c>
      <c r="E58" s="8">
        <v>1032</v>
      </c>
      <c r="F58" s="8">
        <v>573</v>
      </c>
      <c r="G58" s="8">
        <v>256</v>
      </c>
      <c r="H58" s="8">
        <v>107</v>
      </c>
      <c r="I58" s="8">
        <v>98</v>
      </c>
      <c r="J58" s="8">
        <v>17</v>
      </c>
      <c r="K58" s="8">
        <v>4322</v>
      </c>
      <c r="M58" s="120"/>
      <c r="N58" s="8"/>
      <c r="O58" s="8"/>
      <c r="P58" s="8"/>
      <c r="Q58" s="8"/>
      <c r="R58" s="8"/>
      <c r="S58" s="8"/>
      <c r="T58" s="8"/>
      <c r="U58" s="8"/>
      <c r="V58" s="8"/>
    </row>
    <row r="59" spans="1:25" x14ac:dyDescent="0.25">
      <c r="A59" s="197"/>
      <c r="B59" s="4" t="s">
        <v>20</v>
      </c>
      <c r="C59" s="8">
        <v>121</v>
      </c>
      <c r="D59" s="8">
        <v>1</v>
      </c>
      <c r="E59" s="8">
        <v>20</v>
      </c>
      <c r="F59" s="29" t="s">
        <v>109</v>
      </c>
      <c r="G59" s="8">
        <v>1</v>
      </c>
      <c r="H59" s="8">
        <v>5</v>
      </c>
      <c r="I59" s="29" t="s">
        <v>109</v>
      </c>
      <c r="J59" s="8">
        <v>16</v>
      </c>
      <c r="K59" s="8">
        <v>164</v>
      </c>
      <c r="M59" s="120"/>
      <c r="N59" s="8"/>
      <c r="O59" s="8"/>
      <c r="P59" s="8"/>
      <c r="Q59" s="8"/>
      <c r="R59" s="8"/>
      <c r="S59" s="8"/>
      <c r="T59" s="8"/>
      <c r="U59" s="8"/>
      <c r="V59" s="8"/>
    </row>
    <row r="60" spans="1:25" x14ac:dyDescent="0.25">
      <c r="A60" s="197"/>
      <c r="B60" s="9" t="s">
        <v>11</v>
      </c>
      <c r="C60" s="94">
        <v>2280</v>
      </c>
      <c r="D60" s="94">
        <v>1334</v>
      </c>
      <c r="E60" s="94">
        <v>2397</v>
      </c>
      <c r="F60" s="94">
        <v>1499</v>
      </c>
      <c r="G60" s="94">
        <v>502</v>
      </c>
      <c r="H60" s="94">
        <v>149</v>
      </c>
      <c r="I60" s="94">
        <v>133</v>
      </c>
      <c r="J60" s="94">
        <v>280</v>
      </c>
      <c r="K60" s="94">
        <v>8574</v>
      </c>
      <c r="M60" s="120"/>
      <c r="N60" s="94"/>
      <c r="O60" s="94"/>
      <c r="P60" s="94"/>
      <c r="Q60" s="94"/>
      <c r="R60" s="94"/>
      <c r="S60" s="94"/>
      <c r="T60" s="94"/>
      <c r="U60" s="94"/>
      <c r="V60" s="94"/>
    </row>
    <row r="61" spans="1:25" x14ac:dyDescent="0.25">
      <c r="A61" s="197" t="s">
        <v>196</v>
      </c>
      <c r="B61" s="4" t="s">
        <v>18</v>
      </c>
      <c r="C61" s="8">
        <v>963</v>
      </c>
      <c r="D61" s="8">
        <v>226</v>
      </c>
      <c r="E61" s="8">
        <v>1300</v>
      </c>
      <c r="F61" s="8">
        <v>917</v>
      </c>
      <c r="G61" s="8">
        <v>249</v>
      </c>
      <c r="H61" s="8">
        <v>49</v>
      </c>
      <c r="I61" s="8">
        <v>35</v>
      </c>
      <c r="J61" s="8">
        <v>254</v>
      </c>
      <c r="K61" s="8">
        <v>3993</v>
      </c>
      <c r="M61" s="120"/>
      <c r="N61" s="8"/>
      <c r="O61" s="8"/>
      <c r="P61" s="8"/>
      <c r="Q61" s="8"/>
      <c r="R61" s="8"/>
      <c r="S61" s="8"/>
      <c r="T61" s="8"/>
      <c r="U61" s="8"/>
      <c r="V61" s="8"/>
    </row>
    <row r="62" spans="1:25" x14ac:dyDescent="0.25">
      <c r="A62" s="197"/>
      <c r="B62" s="4" t="s">
        <v>19</v>
      </c>
      <c r="C62" s="8">
        <v>1063</v>
      </c>
      <c r="D62" s="8">
        <v>1000</v>
      </c>
      <c r="E62" s="8">
        <v>982</v>
      </c>
      <c r="F62" s="8">
        <v>548</v>
      </c>
      <c r="G62" s="8">
        <v>240</v>
      </c>
      <c r="H62" s="8">
        <v>115</v>
      </c>
      <c r="I62" s="8">
        <v>92</v>
      </c>
      <c r="J62" s="8">
        <v>11</v>
      </c>
      <c r="K62" s="8">
        <v>4051</v>
      </c>
      <c r="M62" s="120"/>
      <c r="N62" s="8"/>
      <c r="O62" s="8"/>
      <c r="P62" s="8"/>
      <c r="Q62" s="8"/>
      <c r="R62" s="8"/>
      <c r="S62" s="8"/>
      <c r="T62" s="8"/>
      <c r="U62" s="8"/>
      <c r="V62" s="8"/>
    </row>
    <row r="63" spans="1:25" x14ac:dyDescent="0.25">
      <c r="A63" s="197"/>
      <c r="B63" s="4" t="s">
        <v>20</v>
      </c>
      <c r="C63" s="8">
        <v>107</v>
      </c>
      <c r="D63" s="8">
        <v>1</v>
      </c>
      <c r="E63" s="8">
        <v>14</v>
      </c>
      <c r="F63" s="29" t="s">
        <v>109</v>
      </c>
      <c r="G63" s="8">
        <v>2</v>
      </c>
      <c r="H63" s="8">
        <v>10</v>
      </c>
      <c r="I63" s="29" t="s">
        <v>109</v>
      </c>
      <c r="J63" s="8">
        <v>15</v>
      </c>
      <c r="K63" s="8">
        <v>149</v>
      </c>
      <c r="M63" s="120"/>
      <c r="N63" s="8"/>
      <c r="O63" s="8"/>
      <c r="P63" s="8"/>
      <c r="Q63" s="8"/>
      <c r="R63" s="8"/>
      <c r="S63" s="8"/>
      <c r="T63" s="8"/>
      <c r="U63" s="8"/>
      <c r="V63" s="8"/>
    </row>
    <row r="64" spans="1:25" x14ac:dyDescent="0.25">
      <c r="A64" s="197"/>
      <c r="B64" s="9" t="s">
        <v>11</v>
      </c>
      <c r="C64" s="94">
        <v>2133</v>
      </c>
      <c r="D64" s="94">
        <v>1227</v>
      </c>
      <c r="E64" s="94">
        <v>2296</v>
      </c>
      <c r="F64" s="94">
        <v>1465</v>
      </c>
      <c r="G64" s="94">
        <v>491</v>
      </c>
      <c r="H64" s="94">
        <v>174</v>
      </c>
      <c r="I64" s="94">
        <v>127</v>
      </c>
      <c r="J64" s="94">
        <v>280</v>
      </c>
      <c r="K64" s="94">
        <v>8193</v>
      </c>
      <c r="M64" s="120"/>
      <c r="N64" s="94"/>
      <c r="O64" s="94"/>
      <c r="P64" s="94"/>
      <c r="Q64" s="94"/>
      <c r="R64" s="94"/>
      <c r="S64" s="94"/>
      <c r="T64" s="94"/>
      <c r="U64" s="94"/>
      <c r="V64" s="94"/>
    </row>
    <row r="65" spans="1:22" x14ac:dyDescent="0.25">
      <c r="A65" s="197" t="s">
        <v>197</v>
      </c>
      <c r="B65" s="4" t="s">
        <v>18</v>
      </c>
      <c r="C65" s="8">
        <v>920</v>
      </c>
      <c r="D65" s="8">
        <v>198</v>
      </c>
      <c r="E65" s="8">
        <v>1466</v>
      </c>
      <c r="F65" s="8">
        <v>868</v>
      </c>
      <c r="G65" s="8">
        <v>213</v>
      </c>
      <c r="H65" s="8">
        <v>50</v>
      </c>
      <c r="I65" s="8">
        <v>39</v>
      </c>
      <c r="J65" s="8">
        <v>226</v>
      </c>
      <c r="K65" s="8">
        <v>3980</v>
      </c>
      <c r="M65" s="120"/>
      <c r="N65" s="8"/>
      <c r="O65" s="8"/>
      <c r="P65" s="8"/>
      <c r="Q65" s="8"/>
      <c r="R65" s="8"/>
      <c r="S65" s="8"/>
      <c r="T65" s="8"/>
      <c r="U65" s="8"/>
      <c r="V65" s="8"/>
    </row>
    <row r="66" spans="1:22" x14ac:dyDescent="0.25">
      <c r="A66" s="197"/>
      <c r="B66" s="4" t="s">
        <v>19</v>
      </c>
      <c r="C66" s="8">
        <v>1027</v>
      </c>
      <c r="D66" s="8">
        <v>956</v>
      </c>
      <c r="E66" s="8">
        <v>1041</v>
      </c>
      <c r="F66" s="8">
        <v>579</v>
      </c>
      <c r="G66" s="8">
        <v>231</v>
      </c>
      <c r="H66" s="8">
        <v>119</v>
      </c>
      <c r="I66" s="8">
        <v>105</v>
      </c>
      <c r="J66" s="8">
        <v>6</v>
      </c>
      <c r="K66" s="8">
        <v>4064</v>
      </c>
      <c r="M66" s="120"/>
      <c r="N66" s="8"/>
      <c r="O66" s="8"/>
      <c r="P66" s="8"/>
      <c r="Q66" s="8"/>
      <c r="R66" s="8"/>
      <c r="S66" s="8"/>
      <c r="T66" s="8"/>
      <c r="U66" s="8"/>
      <c r="V66" s="8"/>
    </row>
    <row r="67" spans="1:22" x14ac:dyDescent="0.25">
      <c r="A67" s="197"/>
      <c r="B67" s="4" t="s">
        <v>20</v>
      </c>
      <c r="C67" s="8">
        <v>112</v>
      </c>
      <c r="D67" s="8">
        <v>1</v>
      </c>
      <c r="E67" s="8">
        <v>18</v>
      </c>
      <c r="F67" s="29" t="s">
        <v>109</v>
      </c>
      <c r="G67" s="8">
        <v>2</v>
      </c>
      <c r="H67" s="8">
        <v>14</v>
      </c>
      <c r="I67" s="29" t="s">
        <v>109</v>
      </c>
      <c r="J67" s="8">
        <v>10</v>
      </c>
      <c r="K67" s="8">
        <v>157</v>
      </c>
      <c r="M67" s="120"/>
      <c r="N67" s="8"/>
      <c r="O67" s="8"/>
      <c r="P67" s="8"/>
      <c r="Q67" s="8"/>
      <c r="R67" s="8"/>
      <c r="S67" s="8"/>
      <c r="T67" s="8"/>
      <c r="U67" s="8"/>
      <c r="V67" s="8"/>
    </row>
    <row r="68" spans="1:22" x14ac:dyDescent="0.25">
      <c r="A68" s="197"/>
      <c r="B68" s="9" t="s">
        <v>11</v>
      </c>
      <c r="C68" s="94">
        <v>2059</v>
      </c>
      <c r="D68" s="94">
        <v>1155</v>
      </c>
      <c r="E68" s="94">
        <v>2525</v>
      </c>
      <c r="F68" s="94">
        <v>1447</v>
      </c>
      <c r="G68" s="94">
        <v>446</v>
      </c>
      <c r="H68" s="94">
        <v>183</v>
      </c>
      <c r="I68" s="94">
        <v>144</v>
      </c>
      <c r="J68" s="94">
        <v>242</v>
      </c>
      <c r="K68" s="94">
        <v>8201</v>
      </c>
      <c r="M68" s="120"/>
      <c r="N68" s="94"/>
      <c r="O68" s="94"/>
      <c r="P68" s="94"/>
      <c r="Q68" s="94"/>
      <c r="R68" s="94"/>
      <c r="S68" s="94"/>
      <c r="T68" s="94"/>
      <c r="U68" s="94"/>
      <c r="V68" s="94"/>
    </row>
    <row r="69" spans="1:22" x14ac:dyDescent="0.25">
      <c r="A69" s="197" t="s">
        <v>198</v>
      </c>
      <c r="B69" s="4" t="s">
        <v>18</v>
      </c>
      <c r="C69" s="8">
        <v>915</v>
      </c>
      <c r="D69" s="8">
        <v>181</v>
      </c>
      <c r="E69" s="8">
        <v>1560</v>
      </c>
      <c r="F69" s="8">
        <v>809</v>
      </c>
      <c r="G69" s="8">
        <v>185</v>
      </c>
      <c r="H69" s="8">
        <v>58</v>
      </c>
      <c r="I69" s="8">
        <v>33</v>
      </c>
      <c r="J69" s="8">
        <v>256</v>
      </c>
      <c r="K69" s="8">
        <v>3997</v>
      </c>
      <c r="M69" s="120"/>
      <c r="N69" s="8"/>
      <c r="O69" s="8"/>
      <c r="P69" s="8"/>
      <c r="Q69" s="8"/>
      <c r="R69" s="8"/>
      <c r="S69" s="8"/>
      <c r="T69" s="8"/>
      <c r="U69" s="8"/>
      <c r="V69" s="8"/>
    </row>
    <row r="70" spans="1:22" x14ac:dyDescent="0.25">
      <c r="A70" s="197"/>
      <c r="B70" s="4" t="s">
        <v>19</v>
      </c>
      <c r="C70" s="8">
        <v>1074</v>
      </c>
      <c r="D70" s="8">
        <v>910</v>
      </c>
      <c r="E70" s="8">
        <v>1016</v>
      </c>
      <c r="F70" s="8">
        <v>633</v>
      </c>
      <c r="G70" s="8">
        <v>204</v>
      </c>
      <c r="H70" s="8">
        <v>126</v>
      </c>
      <c r="I70" s="8">
        <v>102</v>
      </c>
      <c r="J70" s="8">
        <v>11</v>
      </c>
      <c r="K70" s="8">
        <v>4076</v>
      </c>
      <c r="M70" s="120"/>
      <c r="N70" s="8"/>
      <c r="O70" s="8"/>
      <c r="P70" s="8"/>
      <c r="Q70" s="8"/>
      <c r="R70" s="8"/>
      <c r="S70" s="8"/>
      <c r="T70" s="8"/>
      <c r="U70" s="8"/>
      <c r="V70" s="8"/>
    </row>
    <row r="71" spans="1:22" x14ac:dyDescent="0.25">
      <c r="A71" s="197"/>
      <c r="B71" s="4" t="s">
        <v>20</v>
      </c>
      <c r="C71" s="8">
        <v>100</v>
      </c>
      <c r="D71" s="8" t="s">
        <v>109</v>
      </c>
      <c r="E71" s="8">
        <v>16</v>
      </c>
      <c r="F71" s="29" t="s">
        <v>109</v>
      </c>
      <c r="G71" s="8">
        <v>2</v>
      </c>
      <c r="H71" s="8">
        <v>20</v>
      </c>
      <c r="I71" s="29" t="s">
        <v>109</v>
      </c>
      <c r="J71" s="8">
        <v>6</v>
      </c>
      <c r="K71" s="8">
        <v>144</v>
      </c>
      <c r="M71" s="120"/>
      <c r="N71" s="8"/>
      <c r="O71" s="8"/>
      <c r="P71" s="8"/>
      <c r="Q71" s="8"/>
      <c r="R71" s="8"/>
      <c r="S71" s="8"/>
      <c r="T71" s="8"/>
      <c r="U71" s="8"/>
      <c r="V71" s="8"/>
    </row>
    <row r="72" spans="1:22" x14ac:dyDescent="0.25">
      <c r="A72" s="197"/>
      <c r="B72" s="9" t="s">
        <v>11</v>
      </c>
      <c r="C72" s="94">
        <v>2089</v>
      </c>
      <c r="D72" s="94">
        <v>1091</v>
      </c>
      <c r="E72" s="94">
        <v>2592</v>
      </c>
      <c r="F72" s="94">
        <v>1442</v>
      </c>
      <c r="G72" s="94">
        <v>391</v>
      </c>
      <c r="H72" s="94">
        <v>204</v>
      </c>
      <c r="I72" s="94">
        <v>135</v>
      </c>
      <c r="J72" s="94">
        <v>273</v>
      </c>
      <c r="K72" s="94">
        <v>8217</v>
      </c>
      <c r="M72" s="120"/>
      <c r="N72" s="94"/>
      <c r="O72" s="94"/>
      <c r="P72" s="94"/>
      <c r="Q72" s="94"/>
      <c r="R72" s="94"/>
      <c r="S72" s="94"/>
      <c r="T72" s="94"/>
      <c r="U72" s="94"/>
      <c r="V72" s="94"/>
    </row>
    <row r="73" spans="1:22" x14ac:dyDescent="0.25">
      <c r="A73" s="197" t="s">
        <v>190</v>
      </c>
      <c r="B73" s="4" t="s">
        <v>18</v>
      </c>
      <c r="C73" s="8">
        <v>863</v>
      </c>
      <c r="D73" s="8">
        <v>161</v>
      </c>
      <c r="E73" s="8">
        <v>1315</v>
      </c>
      <c r="F73" s="8">
        <v>728</v>
      </c>
      <c r="G73" s="8">
        <v>174</v>
      </c>
      <c r="H73" s="8">
        <v>62</v>
      </c>
      <c r="I73" s="8">
        <v>31</v>
      </c>
      <c r="J73" s="8">
        <v>240</v>
      </c>
      <c r="K73" s="8">
        <v>3574</v>
      </c>
      <c r="M73" s="120"/>
      <c r="N73" s="8"/>
      <c r="O73" s="8"/>
      <c r="P73" s="8"/>
      <c r="Q73" s="8"/>
      <c r="R73" s="8"/>
      <c r="S73" s="8"/>
      <c r="T73" s="8"/>
      <c r="U73" s="8"/>
      <c r="V73" s="8"/>
    </row>
    <row r="74" spans="1:22" x14ac:dyDescent="0.25">
      <c r="A74" s="197"/>
      <c r="B74" s="4" t="s">
        <v>19</v>
      </c>
      <c r="C74" s="8">
        <v>1052</v>
      </c>
      <c r="D74" s="8">
        <v>881</v>
      </c>
      <c r="E74" s="8">
        <v>814</v>
      </c>
      <c r="F74" s="8">
        <v>576</v>
      </c>
      <c r="G74" s="8">
        <v>205</v>
      </c>
      <c r="H74" s="8">
        <v>114</v>
      </c>
      <c r="I74" s="8">
        <v>91</v>
      </c>
      <c r="J74" s="8">
        <v>12</v>
      </c>
      <c r="K74" s="8">
        <v>3745</v>
      </c>
      <c r="M74" s="120"/>
      <c r="N74" s="8"/>
      <c r="O74" s="8"/>
      <c r="P74" s="8"/>
      <c r="Q74" s="8"/>
      <c r="R74" s="8"/>
      <c r="S74" s="8"/>
      <c r="T74" s="8"/>
      <c r="U74" s="8"/>
      <c r="V74" s="8"/>
    </row>
    <row r="75" spans="1:22" x14ac:dyDescent="0.25">
      <c r="A75" s="197"/>
      <c r="B75" s="4" t="s">
        <v>20</v>
      </c>
      <c r="C75" s="8">
        <v>93</v>
      </c>
      <c r="D75" s="29" t="s">
        <v>109</v>
      </c>
      <c r="E75" s="8">
        <v>10</v>
      </c>
      <c r="F75" s="29" t="s">
        <v>109</v>
      </c>
      <c r="G75" s="8">
        <v>4</v>
      </c>
      <c r="H75" s="8">
        <v>17</v>
      </c>
      <c r="I75" s="29" t="s">
        <v>109</v>
      </c>
      <c r="J75" s="8">
        <v>4</v>
      </c>
      <c r="K75" s="8">
        <v>128</v>
      </c>
      <c r="M75" s="120"/>
      <c r="N75" s="8"/>
      <c r="O75" s="8"/>
      <c r="P75" s="8"/>
      <c r="Q75" s="8"/>
      <c r="R75" s="8"/>
      <c r="S75" s="8"/>
      <c r="T75" s="8"/>
      <c r="U75" s="8"/>
      <c r="V75" s="8"/>
    </row>
    <row r="76" spans="1:22" x14ac:dyDescent="0.25">
      <c r="A76" s="197"/>
      <c r="B76" s="9" t="s">
        <v>11</v>
      </c>
      <c r="C76" s="94">
        <v>2008</v>
      </c>
      <c r="D76" s="94">
        <v>1042</v>
      </c>
      <c r="E76" s="94">
        <v>2139</v>
      </c>
      <c r="F76" s="94">
        <v>1304</v>
      </c>
      <c r="G76" s="94">
        <v>383</v>
      </c>
      <c r="H76" s="94">
        <v>193</v>
      </c>
      <c r="I76" s="94">
        <v>122</v>
      </c>
      <c r="J76" s="94">
        <v>256</v>
      </c>
      <c r="K76" s="94">
        <v>7447</v>
      </c>
      <c r="M76" s="120"/>
      <c r="N76" s="94"/>
      <c r="O76" s="94"/>
      <c r="P76" s="94"/>
      <c r="Q76" s="94"/>
      <c r="R76" s="94"/>
      <c r="S76" s="94"/>
      <c r="T76" s="94"/>
      <c r="U76" s="94"/>
      <c r="V76" s="94"/>
    </row>
    <row r="77" spans="1:22" x14ac:dyDescent="0.25">
      <c r="A77" s="197" t="s">
        <v>191</v>
      </c>
      <c r="B77" s="4" t="s">
        <v>18</v>
      </c>
      <c r="C77" s="8">
        <v>796</v>
      </c>
      <c r="D77" s="8">
        <v>141</v>
      </c>
      <c r="E77" s="8">
        <v>1215</v>
      </c>
      <c r="F77" s="8">
        <v>602</v>
      </c>
      <c r="G77" s="8">
        <v>163</v>
      </c>
      <c r="H77" s="8">
        <v>60</v>
      </c>
      <c r="I77" s="8">
        <v>19</v>
      </c>
      <c r="J77" s="8">
        <v>205</v>
      </c>
      <c r="K77" s="8">
        <v>3201</v>
      </c>
      <c r="M77" s="120"/>
      <c r="N77" s="8"/>
      <c r="O77" s="8"/>
      <c r="P77" s="8"/>
      <c r="Q77" s="8"/>
      <c r="R77" s="8"/>
      <c r="S77" s="8"/>
      <c r="T77" s="8"/>
      <c r="U77" s="8"/>
      <c r="V77" s="8"/>
    </row>
    <row r="78" spans="1:22" x14ac:dyDescent="0.25">
      <c r="A78" s="197"/>
      <c r="B78" s="4" t="s">
        <v>19</v>
      </c>
      <c r="C78" s="8">
        <v>1018</v>
      </c>
      <c r="D78" s="8">
        <v>692</v>
      </c>
      <c r="E78" s="8">
        <v>735</v>
      </c>
      <c r="F78" s="8">
        <v>462</v>
      </c>
      <c r="G78" s="8">
        <v>198</v>
      </c>
      <c r="H78" s="8">
        <v>99</v>
      </c>
      <c r="I78" s="8">
        <v>88</v>
      </c>
      <c r="J78" s="8">
        <v>13</v>
      </c>
      <c r="K78" s="8">
        <v>3305</v>
      </c>
      <c r="M78" s="120"/>
      <c r="N78" s="8"/>
      <c r="O78" s="8"/>
      <c r="P78" s="8"/>
      <c r="Q78" s="8"/>
      <c r="R78" s="8"/>
      <c r="S78" s="8"/>
      <c r="T78" s="8"/>
      <c r="U78" s="8"/>
      <c r="V78" s="8"/>
    </row>
    <row r="79" spans="1:22" x14ac:dyDescent="0.25">
      <c r="A79" s="197"/>
      <c r="B79" s="4" t="s">
        <v>20</v>
      </c>
      <c r="C79" s="8">
        <v>105</v>
      </c>
      <c r="D79" s="29">
        <v>1</v>
      </c>
      <c r="E79" s="8">
        <v>10</v>
      </c>
      <c r="F79" s="29" t="s">
        <v>109</v>
      </c>
      <c r="G79" s="8">
        <v>2</v>
      </c>
      <c r="H79" s="8">
        <v>8</v>
      </c>
      <c r="I79" s="29" t="s">
        <v>109</v>
      </c>
      <c r="J79" s="8">
        <v>5</v>
      </c>
      <c r="K79" s="8">
        <v>131</v>
      </c>
      <c r="M79" s="120"/>
      <c r="N79" s="8"/>
      <c r="O79" s="8"/>
      <c r="P79" s="8"/>
      <c r="Q79" s="8"/>
      <c r="R79" s="8"/>
      <c r="S79" s="8"/>
      <c r="T79" s="8"/>
      <c r="U79" s="8"/>
      <c r="V79" s="8"/>
    </row>
    <row r="80" spans="1:22" x14ac:dyDescent="0.25">
      <c r="A80" s="197"/>
      <c r="B80" s="9" t="s">
        <v>11</v>
      </c>
      <c r="C80" s="94">
        <v>1919</v>
      </c>
      <c r="D80" s="94">
        <v>834</v>
      </c>
      <c r="E80" s="94">
        <v>1960</v>
      </c>
      <c r="F80" s="94">
        <v>1064</v>
      </c>
      <c r="G80" s="94">
        <v>363</v>
      </c>
      <c r="H80" s="94">
        <v>167</v>
      </c>
      <c r="I80" s="94">
        <v>107</v>
      </c>
      <c r="J80" s="94">
        <v>223</v>
      </c>
      <c r="K80" s="94">
        <v>6637</v>
      </c>
      <c r="M80" s="120"/>
      <c r="N80" s="94"/>
      <c r="O80" s="94"/>
      <c r="P80" s="94"/>
      <c r="Q80" s="94"/>
      <c r="R80" s="94"/>
      <c r="S80" s="94"/>
      <c r="T80" s="94"/>
      <c r="U80" s="94"/>
      <c r="V80" s="94"/>
    </row>
    <row r="81" spans="1:22" x14ac:dyDescent="0.25">
      <c r="A81" s="197" t="s">
        <v>192</v>
      </c>
      <c r="B81" s="4" t="s">
        <v>18</v>
      </c>
      <c r="C81" s="8">
        <v>795</v>
      </c>
      <c r="D81" s="8">
        <v>115</v>
      </c>
      <c r="E81" s="8">
        <v>1236</v>
      </c>
      <c r="F81" s="8">
        <v>644</v>
      </c>
      <c r="G81" s="8">
        <v>174</v>
      </c>
      <c r="H81" s="8">
        <v>38</v>
      </c>
      <c r="I81" s="8">
        <v>18</v>
      </c>
      <c r="J81" s="8">
        <v>267</v>
      </c>
      <c r="K81" s="8">
        <v>3287</v>
      </c>
      <c r="M81" s="120"/>
      <c r="N81" s="8"/>
      <c r="O81" s="8"/>
      <c r="P81" s="8"/>
      <c r="Q81" s="8"/>
      <c r="R81" s="8"/>
      <c r="S81" s="8"/>
      <c r="T81" s="8"/>
      <c r="U81" s="8"/>
      <c r="V81" s="8"/>
    </row>
    <row r="82" spans="1:22" x14ac:dyDescent="0.25">
      <c r="A82" s="197"/>
      <c r="B82" s="4" t="s">
        <v>19</v>
      </c>
      <c r="C82" s="8">
        <v>897</v>
      </c>
      <c r="D82" s="8">
        <v>556</v>
      </c>
      <c r="E82" s="8">
        <v>717</v>
      </c>
      <c r="F82" s="8">
        <v>448</v>
      </c>
      <c r="G82" s="8">
        <v>188</v>
      </c>
      <c r="H82" s="8">
        <v>87</v>
      </c>
      <c r="I82" s="8">
        <v>79</v>
      </c>
      <c r="J82" s="8">
        <v>14</v>
      </c>
      <c r="K82" s="8">
        <v>2986</v>
      </c>
      <c r="M82" s="120"/>
      <c r="N82" s="8"/>
      <c r="O82" s="8"/>
      <c r="P82" s="8"/>
      <c r="Q82" s="8"/>
      <c r="R82" s="8"/>
      <c r="S82" s="8"/>
      <c r="T82" s="8"/>
      <c r="U82" s="8"/>
      <c r="V82" s="8"/>
    </row>
    <row r="83" spans="1:22" x14ac:dyDescent="0.25">
      <c r="A83" s="197"/>
      <c r="B83" s="4" t="s">
        <v>20</v>
      </c>
      <c r="C83" s="8">
        <v>80</v>
      </c>
      <c r="D83" s="8" t="s">
        <v>109</v>
      </c>
      <c r="E83" s="8">
        <v>9</v>
      </c>
      <c r="F83" s="29" t="s">
        <v>109</v>
      </c>
      <c r="G83" s="8">
        <v>3</v>
      </c>
      <c r="H83" s="8">
        <v>3</v>
      </c>
      <c r="I83" s="29" t="s">
        <v>109</v>
      </c>
      <c r="J83" s="8">
        <v>5</v>
      </c>
      <c r="K83" s="8">
        <v>100</v>
      </c>
      <c r="M83" s="120"/>
      <c r="N83" s="8"/>
      <c r="O83" s="8"/>
      <c r="P83" s="8"/>
      <c r="Q83" s="8"/>
      <c r="R83" s="8"/>
      <c r="S83" s="8"/>
      <c r="T83" s="8"/>
      <c r="U83" s="8"/>
      <c r="V83" s="8"/>
    </row>
    <row r="84" spans="1:22" x14ac:dyDescent="0.25">
      <c r="A84" s="197"/>
      <c r="B84" s="9" t="s">
        <v>11</v>
      </c>
      <c r="C84" s="94">
        <v>1772</v>
      </c>
      <c r="D84" s="94">
        <v>671</v>
      </c>
      <c r="E84" s="94">
        <v>1962</v>
      </c>
      <c r="F84" s="94">
        <v>1092</v>
      </c>
      <c r="G84" s="94">
        <v>365</v>
      </c>
      <c r="H84" s="94">
        <v>128</v>
      </c>
      <c r="I84" s="94">
        <v>97</v>
      </c>
      <c r="J84" s="94">
        <v>286</v>
      </c>
      <c r="K84" s="94">
        <v>6373</v>
      </c>
      <c r="M84" s="120"/>
      <c r="N84" s="94"/>
      <c r="O84" s="94"/>
      <c r="P84" s="94"/>
      <c r="Q84" s="94"/>
      <c r="R84" s="94"/>
      <c r="S84" s="94"/>
      <c r="T84" s="94"/>
      <c r="U84" s="94"/>
      <c r="V84" s="94"/>
    </row>
    <row r="85" spans="1:22" x14ac:dyDescent="0.25">
      <c r="A85" s="197" t="s">
        <v>193</v>
      </c>
      <c r="B85" s="4" t="s">
        <v>18</v>
      </c>
      <c r="C85" s="8">
        <v>824</v>
      </c>
      <c r="D85" s="8">
        <v>101</v>
      </c>
      <c r="E85" s="8">
        <v>1256</v>
      </c>
      <c r="F85" s="8">
        <v>714</v>
      </c>
      <c r="G85" s="8">
        <v>221</v>
      </c>
      <c r="H85" s="8">
        <v>48</v>
      </c>
      <c r="I85" s="8">
        <v>24</v>
      </c>
      <c r="J85" s="8">
        <v>365</v>
      </c>
      <c r="K85" s="8">
        <v>3553</v>
      </c>
      <c r="M85" s="120"/>
      <c r="N85" s="8"/>
      <c r="O85" s="8"/>
      <c r="P85" s="8"/>
      <c r="Q85" s="8"/>
      <c r="R85" s="8"/>
      <c r="S85" s="8"/>
      <c r="T85" s="8"/>
      <c r="U85" s="8"/>
      <c r="V85" s="8"/>
    </row>
    <row r="86" spans="1:22" x14ac:dyDescent="0.25">
      <c r="A86" s="197"/>
      <c r="B86" s="4" t="s">
        <v>19</v>
      </c>
      <c r="C86" s="8">
        <v>763</v>
      </c>
      <c r="D86" s="8">
        <v>481</v>
      </c>
      <c r="E86" s="8">
        <v>683</v>
      </c>
      <c r="F86" s="8">
        <v>498</v>
      </c>
      <c r="G86" s="8">
        <v>245</v>
      </c>
      <c r="H86" s="8">
        <v>94</v>
      </c>
      <c r="I86" s="8">
        <v>83</v>
      </c>
      <c r="J86" s="8">
        <v>13</v>
      </c>
      <c r="K86" s="8">
        <v>2860</v>
      </c>
      <c r="M86" s="120"/>
      <c r="N86" s="8"/>
      <c r="O86" s="8"/>
      <c r="P86" s="8"/>
      <c r="Q86" s="8"/>
      <c r="R86" s="8"/>
      <c r="S86" s="8"/>
      <c r="T86" s="8"/>
      <c r="U86" s="8"/>
      <c r="V86" s="8"/>
    </row>
    <row r="87" spans="1:22" x14ac:dyDescent="0.25">
      <c r="A87" s="197"/>
      <c r="B87" s="4" t="s">
        <v>20</v>
      </c>
      <c r="C87" s="8">
        <v>78</v>
      </c>
      <c r="D87" s="29" t="s">
        <v>109</v>
      </c>
      <c r="E87" s="8">
        <v>6</v>
      </c>
      <c r="F87" s="29" t="s">
        <v>109</v>
      </c>
      <c r="G87" s="8">
        <v>4</v>
      </c>
      <c r="H87" s="8">
        <v>2</v>
      </c>
      <c r="I87" s="29">
        <v>2</v>
      </c>
      <c r="J87" s="8">
        <v>13</v>
      </c>
      <c r="K87" s="8">
        <v>105</v>
      </c>
      <c r="M87" s="120"/>
      <c r="N87" s="8"/>
      <c r="O87" s="8"/>
      <c r="P87" s="8"/>
      <c r="Q87" s="8"/>
      <c r="R87" s="8"/>
      <c r="S87" s="8"/>
      <c r="T87" s="8"/>
      <c r="U87" s="8"/>
      <c r="V87" s="8"/>
    </row>
    <row r="88" spans="1:22" x14ac:dyDescent="0.25">
      <c r="A88" s="197"/>
      <c r="B88" s="9" t="s">
        <v>11</v>
      </c>
      <c r="C88" s="94">
        <v>1665</v>
      </c>
      <c r="D88" s="94">
        <v>582</v>
      </c>
      <c r="E88" s="94">
        <v>1945</v>
      </c>
      <c r="F88" s="94">
        <v>1212</v>
      </c>
      <c r="G88" s="94">
        <v>470</v>
      </c>
      <c r="H88" s="94">
        <v>144</v>
      </c>
      <c r="I88" s="94">
        <v>109</v>
      </c>
      <c r="J88" s="94">
        <v>391</v>
      </c>
      <c r="K88" s="94">
        <v>6518</v>
      </c>
      <c r="M88" s="120"/>
      <c r="N88" s="94"/>
      <c r="O88" s="94"/>
      <c r="P88" s="94"/>
      <c r="Q88" s="94"/>
      <c r="R88" s="94"/>
      <c r="S88" s="94"/>
      <c r="T88" s="94"/>
      <c r="U88" s="94"/>
      <c r="V88" s="94"/>
    </row>
    <row r="89" spans="1:22" x14ac:dyDescent="0.25">
      <c r="A89" s="197" t="s">
        <v>194</v>
      </c>
      <c r="B89" s="4" t="s">
        <v>18</v>
      </c>
      <c r="C89" s="8">
        <v>849</v>
      </c>
      <c r="D89" s="8">
        <v>98</v>
      </c>
      <c r="E89" s="8">
        <v>1305</v>
      </c>
      <c r="F89" s="8">
        <v>695</v>
      </c>
      <c r="G89" s="8">
        <v>258</v>
      </c>
      <c r="H89" s="8">
        <v>54</v>
      </c>
      <c r="I89" s="8">
        <v>40</v>
      </c>
      <c r="J89" s="8">
        <v>480</v>
      </c>
      <c r="K89" s="8">
        <v>3779</v>
      </c>
      <c r="M89" s="120"/>
      <c r="N89" s="8"/>
      <c r="O89" s="8"/>
      <c r="P89" s="8"/>
      <c r="Q89" s="8"/>
      <c r="R89" s="8"/>
      <c r="S89" s="8"/>
      <c r="T89" s="8"/>
      <c r="U89" s="8"/>
      <c r="V89" s="8"/>
    </row>
    <row r="90" spans="1:22" x14ac:dyDescent="0.25">
      <c r="A90" s="197"/>
      <c r="B90" s="4" t="s">
        <v>19</v>
      </c>
      <c r="C90" s="8">
        <v>708</v>
      </c>
      <c r="D90" s="8">
        <v>434</v>
      </c>
      <c r="E90" s="8">
        <v>650</v>
      </c>
      <c r="F90" s="8">
        <v>482</v>
      </c>
      <c r="G90" s="8">
        <v>229</v>
      </c>
      <c r="H90" s="8">
        <v>112</v>
      </c>
      <c r="I90" s="8">
        <v>94</v>
      </c>
      <c r="J90" s="8">
        <v>23</v>
      </c>
      <c r="K90" s="8">
        <v>2732</v>
      </c>
      <c r="M90" s="120"/>
      <c r="N90" s="8"/>
      <c r="O90" s="8"/>
      <c r="P90" s="8"/>
      <c r="Q90" s="8"/>
      <c r="R90" s="8"/>
      <c r="S90" s="8"/>
      <c r="T90" s="8"/>
      <c r="U90" s="8"/>
      <c r="V90" s="8"/>
    </row>
    <row r="91" spans="1:22" x14ac:dyDescent="0.25">
      <c r="A91" s="197"/>
      <c r="B91" s="4" t="s">
        <v>20</v>
      </c>
      <c r="C91" s="8">
        <v>72</v>
      </c>
      <c r="D91" s="29" t="s">
        <v>109</v>
      </c>
      <c r="E91" s="8">
        <v>6</v>
      </c>
      <c r="F91" s="29" t="s">
        <v>109</v>
      </c>
      <c r="G91" s="8">
        <v>3</v>
      </c>
      <c r="H91" s="8">
        <v>1</v>
      </c>
      <c r="I91" s="8">
        <v>2</v>
      </c>
      <c r="J91" s="8">
        <v>15</v>
      </c>
      <c r="K91" s="8">
        <v>99</v>
      </c>
      <c r="M91" s="120"/>
      <c r="N91" s="8"/>
      <c r="O91" s="8"/>
      <c r="P91" s="8"/>
      <c r="Q91" s="8"/>
      <c r="R91" s="8"/>
      <c r="S91" s="8"/>
      <c r="T91" s="8"/>
      <c r="U91" s="8"/>
      <c r="V91" s="8"/>
    </row>
    <row r="92" spans="1:22" x14ac:dyDescent="0.25">
      <c r="A92" s="197"/>
      <c r="B92" s="9" t="s">
        <v>11</v>
      </c>
      <c r="C92" s="94">
        <v>1629</v>
      </c>
      <c r="D92" s="94">
        <v>532</v>
      </c>
      <c r="E92" s="94">
        <v>1961</v>
      </c>
      <c r="F92" s="94">
        <v>1177</v>
      </c>
      <c r="G92" s="94">
        <v>490</v>
      </c>
      <c r="H92" s="94">
        <v>167</v>
      </c>
      <c r="I92" s="94">
        <v>136</v>
      </c>
      <c r="J92" s="94">
        <v>518</v>
      </c>
      <c r="K92" s="94">
        <v>6610</v>
      </c>
      <c r="M92" s="120"/>
      <c r="N92" s="94"/>
      <c r="O92" s="94"/>
      <c r="P92" s="94"/>
      <c r="Q92" s="94"/>
      <c r="R92" s="94"/>
      <c r="S92" s="94"/>
      <c r="T92" s="94"/>
      <c r="U92" s="94"/>
      <c r="V92" s="94"/>
    </row>
    <row r="93" spans="1:22" x14ac:dyDescent="0.25">
      <c r="A93" s="197" t="s">
        <v>284</v>
      </c>
      <c r="B93" s="4" t="s">
        <v>18</v>
      </c>
      <c r="C93" s="8">
        <v>892</v>
      </c>
      <c r="D93" s="8">
        <v>113</v>
      </c>
      <c r="E93" s="8">
        <v>1276</v>
      </c>
      <c r="F93" s="8">
        <v>619</v>
      </c>
      <c r="G93" s="8">
        <v>251</v>
      </c>
      <c r="H93" s="8">
        <v>76</v>
      </c>
      <c r="I93" s="8">
        <v>43</v>
      </c>
      <c r="J93" s="8">
        <v>591</v>
      </c>
      <c r="K93" s="8">
        <v>3861</v>
      </c>
      <c r="M93" s="120"/>
      <c r="N93" s="8"/>
      <c r="O93" s="8"/>
      <c r="P93" s="8"/>
      <c r="Q93" s="8"/>
      <c r="R93" s="8"/>
      <c r="S93" s="8"/>
      <c r="T93" s="8"/>
      <c r="U93" s="8"/>
      <c r="V93" s="8"/>
    </row>
    <row r="94" spans="1:22" x14ac:dyDescent="0.25">
      <c r="A94" s="197"/>
      <c r="B94" s="4" t="s">
        <v>19</v>
      </c>
      <c r="C94" s="8">
        <v>703</v>
      </c>
      <c r="D94" s="8">
        <v>484</v>
      </c>
      <c r="E94" s="8">
        <v>645</v>
      </c>
      <c r="F94" s="8">
        <v>456</v>
      </c>
      <c r="G94" s="8">
        <v>201</v>
      </c>
      <c r="H94" s="8">
        <v>127</v>
      </c>
      <c r="I94" s="8">
        <v>90</v>
      </c>
      <c r="J94" s="8">
        <v>24</v>
      </c>
      <c r="K94" s="8">
        <v>2730</v>
      </c>
      <c r="M94" s="120"/>
      <c r="N94" s="8"/>
      <c r="O94" s="8"/>
      <c r="P94" s="8"/>
      <c r="Q94" s="8"/>
      <c r="R94" s="8"/>
      <c r="S94" s="8"/>
      <c r="T94" s="8"/>
      <c r="U94" s="8"/>
      <c r="V94" s="8"/>
    </row>
    <row r="95" spans="1:22" x14ac:dyDescent="0.25">
      <c r="A95" s="197"/>
      <c r="B95" s="4" t="s">
        <v>20</v>
      </c>
      <c r="C95" s="8">
        <v>73</v>
      </c>
      <c r="D95" s="29">
        <v>4</v>
      </c>
      <c r="E95" s="8">
        <v>12</v>
      </c>
      <c r="F95" s="29" t="s">
        <v>109</v>
      </c>
      <c r="G95" s="8">
        <v>7</v>
      </c>
      <c r="H95" s="8">
        <v>5</v>
      </c>
      <c r="I95" s="8" t="s">
        <v>109</v>
      </c>
      <c r="J95" s="8">
        <v>17</v>
      </c>
      <c r="K95" s="8">
        <v>118</v>
      </c>
      <c r="M95" s="120"/>
      <c r="N95" s="8"/>
      <c r="O95" s="8"/>
      <c r="P95" s="8"/>
      <c r="Q95" s="8"/>
      <c r="R95" s="8"/>
      <c r="S95" s="8"/>
      <c r="T95" s="8"/>
      <c r="U95" s="8"/>
      <c r="V95" s="8"/>
    </row>
    <row r="96" spans="1:22" x14ac:dyDescent="0.25">
      <c r="A96" s="197"/>
      <c r="B96" s="9" t="s">
        <v>11</v>
      </c>
      <c r="C96" s="94">
        <v>1668</v>
      </c>
      <c r="D96" s="94">
        <v>601</v>
      </c>
      <c r="E96" s="94">
        <v>1933</v>
      </c>
      <c r="F96" s="94">
        <v>1075</v>
      </c>
      <c r="G96" s="94">
        <v>459</v>
      </c>
      <c r="H96" s="94">
        <v>208</v>
      </c>
      <c r="I96" s="94">
        <v>133</v>
      </c>
      <c r="J96" s="94">
        <v>632</v>
      </c>
      <c r="K96" s="94">
        <v>6709</v>
      </c>
      <c r="M96" s="120"/>
      <c r="N96" s="94"/>
      <c r="O96" s="94"/>
      <c r="P96" s="94"/>
      <c r="Q96" s="94"/>
      <c r="R96" s="94"/>
      <c r="S96" s="94"/>
      <c r="T96" s="94"/>
      <c r="U96" s="94"/>
      <c r="V96" s="94"/>
    </row>
    <row r="97" spans="1:14" ht="0.75" customHeight="1" x14ac:dyDescent="0.25">
      <c r="C97" s="1" t="s">
        <v>189</v>
      </c>
      <c r="D97" s="1" t="s">
        <v>189</v>
      </c>
      <c r="E97" s="1" t="s">
        <v>189</v>
      </c>
      <c r="F97" s="1" t="s">
        <v>189</v>
      </c>
      <c r="G97" s="1" t="s">
        <v>189</v>
      </c>
      <c r="H97" s="1" t="s">
        <v>189</v>
      </c>
      <c r="I97" s="1" t="s">
        <v>189</v>
      </c>
      <c r="J97" s="1" t="s">
        <v>189</v>
      </c>
      <c r="K97" s="1" t="s">
        <v>189</v>
      </c>
      <c r="M97" s="120"/>
      <c r="N97" s="120"/>
    </row>
    <row r="98" spans="1:14" ht="11.1" customHeight="1" x14ac:dyDescent="0.25">
      <c r="A98" s="103" t="s">
        <v>23</v>
      </c>
      <c r="B98" s="103"/>
      <c r="C98" s="103"/>
      <c r="D98" s="103"/>
      <c r="E98" s="103"/>
      <c r="F98" s="103"/>
      <c r="G98" s="103"/>
      <c r="H98" s="103"/>
      <c r="I98" s="103"/>
      <c r="J98" s="103"/>
      <c r="K98" s="104"/>
      <c r="L98" s="105"/>
      <c r="M98" s="120"/>
      <c r="N98" s="120"/>
    </row>
    <row r="99" spans="1:14" s="6" customFormat="1" ht="11.1" customHeight="1" x14ac:dyDescent="0.15">
      <c r="A99" s="6" t="s">
        <v>41</v>
      </c>
    </row>
    <row r="100" spans="1:14" s="6" customFormat="1" ht="20.25" customHeight="1" x14ac:dyDescent="0.15">
      <c r="A100" s="186" t="s">
        <v>141</v>
      </c>
      <c r="B100" s="186"/>
      <c r="C100" s="186"/>
      <c r="D100" s="186"/>
      <c r="E100" s="186"/>
      <c r="F100" s="186"/>
      <c r="G100" s="186"/>
      <c r="H100" s="186"/>
      <c r="I100" s="186"/>
      <c r="J100" s="186"/>
      <c r="K100" s="186"/>
      <c r="L100" s="106"/>
    </row>
    <row r="101" spans="1:14" s="6" customFormat="1" ht="11.1" customHeight="1" x14ac:dyDescent="0.15">
      <c r="A101" s="6" t="s">
        <v>14</v>
      </c>
    </row>
    <row r="102" spans="1:14" s="6" customFormat="1" ht="11.1" customHeight="1" x14ac:dyDescent="0.15">
      <c r="A102" s="6" t="s">
        <v>263</v>
      </c>
    </row>
    <row r="103" spans="1:14" ht="12" customHeight="1" x14ac:dyDescent="0.25">
      <c r="A103" s="2"/>
    </row>
  </sheetData>
  <mergeCells count="26">
    <mergeCell ref="A40:A43"/>
    <mergeCell ref="A1:L1"/>
    <mergeCell ref="A4:A7"/>
    <mergeCell ref="A8:A11"/>
    <mergeCell ref="A12:A15"/>
    <mergeCell ref="A16:A19"/>
    <mergeCell ref="A20:A23"/>
    <mergeCell ref="A24:A27"/>
    <mergeCell ref="A28:A31"/>
    <mergeCell ref="A32:A35"/>
    <mergeCell ref="A36:A39"/>
    <mergeCell ref="A45:L45"/>
    <mergeCell ref="A57:A60"/>
    <mergeCell ref="A61:A64"/>
    <mergeCell ref="A65:A68"/>
    <mergeCell ref="A69:A72"/>
    <mergeCell ref="A50:L50"/>
    <mergeCell ref="A49:L49"/>
    <mergeCell ref="A54:L54"/>
    <mergeCell ref="A73:A76"/>
    <mergeCell ref="A100:K100"/>
    <mergeCell ref="A77:A80"/>
    <mergeCell ref="A81:A84"/>
    <mergeCell ref="A85:A88"/>
    <mergeCell ref="A89:A92"/>
    <mergeCell ref="A93:A96"/>
  </mergeCells>
  <pageMargins left="0.08" right="0.08" top="1" bottom="1" header="0.5" footer="0.5"/>
  <pageSetup orientation="landscape" blackAndWhite="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Y145"/>
  <sheetViews>
    <sheetView zoomScaleNormal="100" workbookViewId="0">
      <selection sqref="A1:L1"/>
    </sheetView>
  </sheetViews>
  <sheetFormatPr defaultColWidth="9.140625" defaultRowHeight="15" x14ac:dyDescent="0.25"/>
  <cols>
    <col min="1" max="1" width="11.42578125" style="1" bestFit="1" customWidth="1"/>
    <col min="2" max="2" width="16.5703125" style="1" customWidth="1"/>
    <col min="3" max="10" width="11.42578125" style="1" bestFit="1" customWidth="1"/>
    <col min="11" max="11" width="11" style="1" customWidth="1"/>
    <col min="12" max="14" width="11.42578125" style="1" bestFit="1" customWidth="1"/>
    <col min="15" max="16384" width="9.140625" style="1"/>
  </cols>
  <sheetData>
    <row r="1" spans="1:25" ht="27" customHeight="1" x14ac:dyDescent="0.25">
      <c r="A1" s="188" t="s">
        <v>287</v>
      </c>
      <c r="B1" s="188"/>
      <c r="C1" s="188"/>
      <c r="D1" s="188"/>
      <c r="E1" s="188"/>
      <c r="F1" s="188"/>
      <c r="G1" s="188"/>
      <c r="H1" s="188"/>
      <c r="I1" s="188"/>
      <c r="J1" s="188"/>
      <c r="K1" s="188"/>
      <c r="L1" s="188"/>
    </row>
    <row r="2" spans="1:25" ht="2.25" customHeight="1" x14ac:dyDescent="0.25">
      <c r="A2" s="2"/>
    </row>
    <row r="3" spans="1:25" ht="23.25" x14ac:dyDescent="0.25">
      <c r="A3" s="31" t="s">
        <v>122</v>
      </c>
      <c r="B3" s="31" t="s">
        <v>120</v>
      </c>
      <c r="C3" s="3" t="s">
        <v>0</v>
      </c>
      <c r="D3" s="3" t="s">
        <v>1</v>
      </c>
      <c r="E3" s="3" t="s">
        <v>2</v>
      </c>
      <c r="F3" s="3" t="s">
        <v>3</v>
      </c>
      <c r="G3" s="3" t="s">
        <v>4</v>
      </c>
      <c r="H3" s="3" t="s">
        <v>5</v>
      </c>
      <c r="I3" s="3" t="s">
        <v>6</v>
      </c>
      <c r="J3" s="3" t="s">
        <v>7</v>
      </c>
      <c r="K3" s="3" t="s">
        <v>199</v>
      </c>
      <c r="L3" s="3" t="s">
        <v>8</v>
      </c>
    </row>
    <row r="4" spans="1:25" ht="15" customHeight="1" x14ac:dyDescent="0.25">
      <c r="A4" s="197" t="s">
        <v>195</v>
      </c>
      <c r="B4" s="4" t="s">
        <v>18</v>
      </c>
      <c r="C4" s="5">
        <v>543.9</v>
      </c>
      <c r="D4" s="5">
        <v>156.5</v>
      </c>
      <c r="E4" s="5">
        <v>691.4</v>
      </c>
      <c r="F4" s="5">
        <v>408</v>
      </c>
      <c r="G4" s="5">
        <v>127.4</v>
      </c>
      <c r="H4" s="5">
        <v>31.4</v>
      </c>
      <c r="I4" s="5">
        <v>17.7</v>
      </c>
      <c r="J4" s="5">
        <v>133.1</v>
      </c>
      <c r="K4" s="5">
        <v>1976.3</v>
      </c>
      <c r="L4" s="5">
        <v>2109.4</v>
      </c>
      <c r="N4" s="5"/>
      <c r="O4" s="5"/>
      <c r="P4" s="5"/>
      <c r="Q4" s="5"/>
      <c r="R4" s="5"/>
      <c r="S4" s="5"/>
      <c r="T4" s="5"/>
      <c r="U4" s="5"/>
      <c r="V4" s="5"/>
      <c r="W4" s="5"/>
      <c r="Y4" s="127"/>
    </row>
    <row r="5" spans="1:25" ht="15" customHeight="1" x14ac:dyDescent="0.25">
      <c r="A5" s="197"/>
      <c r="B5" s="4" t="s">
        <v>19</v>
      </c>
      <c r="C5" s="5">
        <v>613.6</v>
      </c>
      <c r="D5" s="5">
        <v>767</v>
      </c>
      <c r="E5" s="5">
        <v>583.70000000000005</v>
      </c>
      <c r="F5" s="5">
        <v>235.8</v>
      </c>
      <c r="G5" s="5">
        <v>133.69999999999999</v>
      </c>
      <c r="H5" s="5">
        <v>98.7</v>
      </c>
      <c r="I5" s="5">
        <v>47.1</v>
      </c>
      <c r="J5" s="5">
        <v>10.1</v>
      </c>
      <c r="K5" s="5">
        <v>2479.6999999999998</v>
      </c>
      <c r="L5" s="5">
        <v>2489.6999999999998</v>
      </c>
      <c r="N5" s="5"/>
      <c r="O5" s="5"/>
      <c r="P5" s="5"/>
      <c r="Q5" s="5"/>
      <c r="R5" s="5"/>
      <c r="S5" s="5"/>
      <c r="T5" s="5"/>
      <c r="U5" s="5"/>
      <c r="V5" s="5"/>
      <c r="W5" s="5"/>
    </row>
    <row r="6" spans="1:25" ht="15" customHeight="1" x14ac:dyDescent="0.25">
      <c r="A6" s="197"/>
      <c r="B6" s="4" t="s">
        <v>20</v>
      </c>
      <c r="C6" s="5">
        <v>50.7</v>
      </c>
      <c r="D6" s="5">
        <v>1.4</v>
      </c>
      <c r="E6" s="5">
        <v>9.1</v>
      </c>
      <c r="F6" s="24" t="s">
        <v>109</v>
      </c>
      <c r="G6" s="5">
        <v>0.6</v>
      </c>
      <c r="H6" s="5">
        <v>1.9</v>
      </c>
      <c r="I6" s="24" t="s">
        <v>109</v>
      </c>
      <c r="J6" s="5">
        <v>13.3</v>
      </c>
      <c r="K6" s="5">
        <v>63.7</v>
      </c>
      <c r="L6" s="5">
        <v>77.099999999999994</v>
      </c>
      <c r="N6" s="5"/>
      <c r="O6" s="5"/>
      <c r="P6" s="5"/>
      <c r="Q6" s="5"/>
      <c r="R6" s="5"/>
      <c r="S6" s="5"/>
      <c r="T6" s="5"/>
      <c r="U6" s="5"/>
      <c r="V6" s="5"/>
      <c r="W6" s="5"/>
    </row>
    <row r="7" spans="1:25" ht="15" customHeight="1" x14ac:dyDescent="0.25">
      <c r="A7" s="197"/>
      <c r="B7" s="95" t="s">
        <v>11</v>
      </c>
      <c r="C7" s="97">
        <v>1208.2</v>
      </c>
      <c r="D7" s="97">
        <v>925</v>
      </c>
      <c r="E7" s="97">
        <v>1284.2</v>
      </c>
      <c r="F7" s="97">
        <v>643.79999999999995</v>
      </c>
      <c r="G7" s="97">
        <v>261.7</v>
      </c>
      <c r="H7" s="97">
        <v>132.1</v>
      </c>
      <c r="I7" s="97">
        <v>64.8</v>
      </c>
      <c r="J7" s="97">
        <v>156.5</v>
      </c>
      <c r="K7" s="97">
        <v>4519.7</v>
      </c>
      <c r="L7" s="97">
        <v>4676.2</v>
      </c>
      <c r="N7" s="97"/>
      <c r="O7" s="97"/>
      <c r="P7" s="97"/>
      <c r="Q7" s="97"/>
      <c r="R7" s="97"/>
      <c r="S7" s="97"/>
      <c r="T7" s="97"/>
      <c r="U7" s="97"/>
      <c r="V7" s="97"/>
      <c r="W7" s="97"/>
    </row>
    <row r="8" spans="1:25" ht="15" customHeight="1" x14ac:dyDescent="0.25">
      <c r="A8" s="197" t="s">
        <v>196</v>
      </c>
      <c r="B8" s="4" t="s">
        <v>18</v>
      </c>
      <c r="C8" s="5">
        <v>507.2</v>
      </c>
      <c r="D8" s="5">
        <v>147.4</v>
      </c>
      <c r="E8" s="5">
        <v>676.3</v>
      </c>
      <c r="F8" s="5">
        <v>411.6</v>
      </c>
      <c r="G8" s="5">
        <v>136.69999999999999</v>
      </c>
      <c r="H8" s="5">
        <v>26</v>
      </c>
      <c r="I8" s="5">
        <v>14.6</v>
      </c>
      <c r="J8" s="5">
        <v>150.6</v>
      </c>
      <c r="K8" s="5">
        <v>1919.8</v>
      </c>
      <c r="L8" s="5">
        <v>2070.4</v>
      </c>
      <c r="N8" s="5"/>
      <c r="O8" s="5"/>
      <c r="P8" s="5"/>
      <c r="Q8" s="5"/>
      <c r="R8" s="5"/>
      <c r="S8" s="5"/>
      <c r="T8" s="5"/>
      <c r="U8" s="5"/>
      <c r="V8" s="5"/>
      <c r="W8" s="5"/>
    </row>
    <row r="9" spans="1:25" ht="15" customHeight="1" x14ac:dyDescent="0.25">
      <c r="A9" s="197"/>
      <c r="B9" s="4" t="s">
        <v>19</v>
      </c>
      <c r="C9" s="5">
        <v>557.79999999999995</v>
      </c>
      <c r="D9" s="5">
        <v>703.8</v>
      </c>
      <c r="E9" s="5">
        <v>557.20000000000005</v>
      </c>
      <c r="F9" s="5">
        <v>227.9</v>
      </c>
      <c r="G9" s="5">
        <v>129.80000000000001</v>
      </c>
      <c r="H9" s="5">
        <v>91.9</v>
      </c>
      <c r="I9" s="5">
        <v>51.5</v>
      </c>
      <c r="J9" s="5">
        <v>8</v>
      </c>
      <c r="K9" s="5">
        <v>2320.1</v>
      </c>
      <c r="L9" s="5">
        <v>2328.1</v>
      </c>
      <c r="N9" s="5"/>
      <c r="O9" s="5"/>
      <c r="P9" s="5"/>
      <c r="Q9" s="5"/>
      <c r="R9" s="5"/>
      <c r="S9" s="5"/>
      <c r="T9" s="5"/>
      <c r="U9" s="5"/>
      <c r="V9" s="5"/>
      <c r="W9" s="5"/>
    </row>
    <row r="10" spans="1:25" ht="15" customHeight="1" x14ac:dyDescent="0.25">
      <c r="A10" s="197"/>
      <c r="B10" s="4" t="s">
        <v>20</v>
      </c>
      <c r="C10" s="5">
        <v>45</v>
      </c>
      <c r="D10" s="5">
        <v>1.4</v>
      </c>
      <c r="E10" s="5">
        <v>6.2</v>
      </c>
      <c r="F10" s="24" t="s">
        <v>109</v>
      </c>
      <c r="G10" s="5">
        <v>1.2</v>
      </c>
      <c r="H10" s="5">
        <v>4.9000000000000004</v>
      </c>
      <c r="I10" s="24" t="s">
        <v>109</v>
      </c>
      <c r="J10" s="5">
        <v>13.4</v>
      </c>
      <c r="K10" s="5">
        <v>58.8</v>
      </c>
      <c r="L10" s="5">
        <v>72.099999999999994</v>
      </c>
      <c r="N10" s="5"/>
      <c r="O10" s="5"/>
      <c r="P10" s="5"/>
      <c r="Q10" s="5"/>
      <c r="R10" s="5"/>
      <c r="S10" s="5"/>
      <c r="T10" s="5"/>
      <c r="U10" s="5"/>
      <c r="V10" s="5"/>
      <c r="W10" s="5"/>
    </row>
    <row r="11" spans="1:25" ht="15" customHeight="1" x14ac:dyDescent="0.25">
      <c r="A11" s="197"/>
      <c r="B11" s="95" t="s">
        <v>11</v>
      </c>
      <c r="C11" s="97">
        <v>1110.0999999999999</v>
      </c>
      <c r="D11" s="97">
        <v>852.7</v>
      </c>
      <c r="E11" s="97">
        <v>1239.7</v>
      </c>
      <c r="F11" s="97">
        <v>639.5</v>
      </c>
      <c r="G11" s="97">
        <v>267.7</v>
      </c>
      <c r="H11" s="97">
        <v>122.8</v>
      </c>
      <c r="I11" s="97">
        <v>66.2</v>
      </c>
      <c r="J11" s="97">
        <v>171.9</v>
      </c>
      <c r="K11" s="97">
        <v>4298.7</v>
      </c>
      <c r="L11" s="97">
        <v>4470.7</v>
      </c>
      <c r="N11" s="97"/>
      <c r="O11" s="97"/>
      <c r="P11" s="97"/>
      <c r="Q11" s="97"/>
      <c r="R11" s="97"/>
      <c r="S11" s="97"/>
      <c r="T11" s="97"/>
      <c r="U11" s="97"/>
      <c r="V11" s="97"/>
      <c r="W11" s="97"/>
    </row>
    <row r="12" spans="1:25" ht="15" customHeight="1" x14ac:dyDescent="0.25">
      <c r="A12" s="197" t="s">
        <v>197</v>
      </c>
      <c r="B12" s="4" t="s">
        <v>18</v>
      </c>
      <c r="C12" s="5">
        <v>487.6</v>
      </c>
      <c r="D12" s="5">
        <v>132.1</v>
      </c>
      <c r="E12" s="5">
        <v>787.4</v>
      </c>
      <c r="F12" s="5">
        <v>407.6</v>
      </c>
      <c r="G12" s="5">
        <v>111.2</v>
      </c>
      <c r="H12" s="5">
        <v>33.5</v>
      </c>
      <c r="I12" s="5">
        <v>22.7</v>
      </c>
      <c r="J12" s="5">
        <v>141.4</v>
      </c>
      <c r="K12" s="5">
        <v>1982.1</v>
      </c>
      <c r="L12" s="5">
        <v>2123.6</v>
      </c>
      <c r="N12" s="5"/>
      <c r="O12" s="5"/>
      <c r="P12" s="5"/>
      <c r="Q12" s="5"/>
      <c r="R12" s="5"/>
      <c r="S12" s="5"/>
      <c r="T12" s="5"/>
      <c r="U12" s="5"/>
      <c r="V12" s="5"/>
      <c r="W12" s="5"/>
    </row>
    <row r="13" spans="1:25" ht="15" customHeight="1" x14ac:dyDescent="0.25">
      <c r="A13" s="197"/>
      <c r="B13" s="4" t="s">
        <v>19</v>
      </c>
      <c r="C13" s="5">
        <v>545.6</v>
      </c>
      <c r="D13" s="5">
        <v>702.2</v>
      </c>
      <c r="E13" s="5">
        <v>624.70000000000005</v>
      </c>
      <c r="F13" s="5">
        <v>230.5</v>
      </c>
      <c r="G13" s="5">
        <v>121.5</v>
      </c>
      <c r="H13" s="5">
        <v>84.6</v>
      </c>
      <c r="I13" s="5">
        <v>65.400000000000006</v>
      </c>
      <c r="J13" s="5">
        <v>9.4</v>
      </c>
      <c r="K13" s="5">
        <v>2374.5</v>
      </c>
      <c r="L13" s="5">
        <v>2383.9</v>
      </c>
      <c r="N13" s="5"/>
      <c r="O13" s="5"/>
      <c r="P13" s="5"/>
      <c r="Q13" s="5"/>
      <c r="R13" s="5"/>
      <c r="S13" s="5"/>
      <c r="T13" s="5"/>
      <c r="U13" s="5"/>
      <c r="V13" s="5"/>
      <c r="W13" s="5"/>
    </row>
    <row r="14" spans="1:25" ht="15" customHeight="1" x14ac:dyDescent="0.25">
      <c r="A14" s="197"/>
      <c r="B14" s="4" t="s">
        <v>20</v>
      </c>
      <c r="C14" s="5">
        <v>58.4</v>
      </c>
      <c r="D14" s="5">
        <v>1.2</v>
      </c>
      <c r="E14" s="5">
        <v>8.6</v>
      </c>
      <c r="F14" s="24" t="s">
        <v>109</v>
      </c>
      <c r="G14" s="5">
        <v>1.6</v>
      </c>
      <c r="H14" s="5">
        <v>5.5</v>
      </c>
      <c r="I14" s="24" t="s">
        <v>109</v>
      </c>
      <c r="J14" s="5">
        <v>9.1999999999999993</v>
      </c>
      <c r="K14" s="5">
        <v>75.400000000000006</v>
      </c>
      <c r="L14" s="5">
        <v>84.5</v>
      </c>
      <c r="N14" s="5"/>
      <c r="O14" s="5"/>
      <c r="P14" s="5"/>
      <c r="Q14" s="5"/>
      <c r="R14" s="5"/>
      <c r="S14" s="5"/>
      <c r="T14" s="5"/>
      <c r="U14" s="5"/>
      <c r="V14" s="5"/>
      <c r="W14" s="5"/>
    </row>
    <row r="15" spans="1:25" ht="15" customHeight="1" x14ac:dyDescent="0.25">
      <c r="A15" s="197"/>
      <c r="B15" s="95" t="s">
        <v>11</v>
      </c>
      <c r="C15" s="97">
        <v>1091.7</v>
      </c>
      <c r="D15" s="97">
        <v>835.5</v>
      </c>
      <c r="E15" s="97">
        <v>1420.7</v>
      </c>
      <c r="F15" s="97">
        <v>638.20000000000005</v>
      </c>
      <c r="G15" s="97">
        <v>234.3</v>
      </c>
      <c r="H15" s="97">
        <v>123.6</v>
      </c>
      <c r="I15" s="97">
        <v>88.1</v>
      </c>
      <c r="J15" s="97">
        <v>160</v>
      </c>
      <c r="K15" s="97">
        <v>4432.1000000000004</v>
      </c>
      <c r="L15" s="97">
        <v>4592</v>
      </c>
      <c r="N15" s="97"/>
      <c r="O15" s="97"/>
      <c r="P15" s="97"/>
      <c r="Q15" s="97"/>
      <c r="R15" s="97"/>
      <c r="S15" s="97"/>
      <c r="T15" s="97"/>
      <c r="U15" s="97"/>
      <c r="V15" s="97"/>
      <c r="W15" s="97"/>
    </row>
    <row r="16" spans="1:25" ht="15" customHeight="1" x14ac:dyDescent="0.25">
      <c r="A16" s="197" t="s">
        <v>198</v>
      </c>
      <c r="B16" s="4" t="s">
        <v>18</v>
      </c>
      <c r="C16" s="5">
        <v>480.1</v>
      </c>
      <c r="D16" s="5">
        <v>120.1</v>
      </c>
      <c r="E16" s="5">
        <v>972.6</v>
      </c>
      <c r="F16" s="5">
        <v>369.4</v>
      </c>
      <c r="G16" s="5">
        <v>93.9</v>
      </c>
      <c r="H16" s="5">
        <v>38.4</v>
      </c>
      <c r="I16" s="5">
        <v>15.5</v>
      </c>
      <c r="J16" s="5">
        <v>163.80000000000001</v>
      </c>
      <c r="K16" s="5">
        <v>2089.9</v>
      </c>
      <c r="L16" s="5">
        <v>2253.6999999999998</v>
      </c>
      <c r="N16" s="5"/>
      <c r="O16" s="5"/>
      <c r="P16" s="5"/>
      <c r="Q16" s="5"/>
      <c r="R16" s="5"/>
      <c r="S16" s="5"/>
      <c r="T16" s="5"/>
      <c r="U16" s="5"/>
      <c r="V16" s="5"/>
      <c r="W16" s="5"/>
    </row>
    <row r="17" spans="1:23" ht="15" customHeight="1" x14ac:dyDescent="0.25">
      <c r="A17" s="197"/>
      <c r="B17" s="4" t="s">
        <v>19</v>
      </c>
      <c r="C17" s="5">
        <v>584.20000000000005</v>
      </c>
      <c r="D17" s="5">
        <v>646.1</v>
      </c>
      <c r="E17" s="5">
        <v>708.6</v>
      </c>
      <c r="F17" s="5">
        <v>269.39999999999998</v>
      </c>
      <c r="G17" s="5">
        <v>105.2</v>
      </c>
      <c r="H17" s="5">
        <v>93.1</v>
      </c>
      <c r="I17" s="5">
        <v>53.4</v>
      </c>
      <c r="J17" s="5">
        <v>8.9</v>
      </c>
      <c r="K17" s="5">
        <v>2459.9</v>
      </c>
      <c r="L17" s="5">
        <v>2468.8000000000002</v>
      </c>
      <c r="N17" s="5"/>
      <c r="O17" s="5"/>
      <c r="P17" s="5"/>
      <c r="Q17" s="5"/>
      <c r="R17" s="5"/>
      <c r="S17" s="5"/>
      <c r="T17" s="5"/>
      <c r="U17" s="5"/>
      <c r="V17" s="5"/>
      <c r="W17" s="5"/>
    </row>
    <row r="18" spans="1:23" ht="15" customHeight="1" x14ac:dyDescent="0.25">
      <c r="A18" s="197"/>
      <c r="B18" s="4" t="s">
        <v>20</v>
      </c>
      <c r="C18" s="5">
        <v>40.5</v>
      </c>
      <c r="D18" s="5">
        <v>0.1</v>
      </c>
      <c r="E18" s="5">
        <v>7.7</v>
      </c>
      <c r="F18" s="24" t="s">
        <v>109</v>
      </c>
      <c r="G18" s="5">
        <v>1</v>
      </c>
      <c r="H18" s="5">
        <v>12.3</v>
      </c>
      <c r="I18" s="24" t="s">
        <v>109</v>
      </c>
      <c r="J18" s="5">
        <v>9.6</v>
      </c>
      <c r="K18" s="5">
        <v>61.6</v>
      </c>
      <c r="L18" s="5">
        <v>71.2</v>
      </c>
      <c r="N18" s="5"/>
      <c r="O18" s="5"/>
      <c r="P18" s="5"/>
      <c r="Q18" s="5"/>
      <c r="R18" s="5"/>
      <c r="S18" s="5"/>
      <c r="T18" s="5"/>
      <c r="U18" s="5"/>
      <c r="V18" s="5"/>
      <c r="W18" s="5"/>
    </row>
    <row r="19" spans="1:23" ht="15" customHeight="1" x14ac:dyDescent="0.25">
      <c r="A19" s="197"/>
      <c r="B19" s="95" t="s">
        <v>11</v>
      </c>
      <c r="C19" s="97">
        <v>1104.7</v>
      </c>
      <c r="D19" s="97">
        <v>766.3</v>
      </c>
      <c r="E19" s="97">
        <v>1688.9</v>
      </c>
      <c r="F19" s="97">
        <v>638.79999999999995</v>
      </c>
      <c r="G19" s="97">
        <v>200.1</v>
      </c>
      <c r="H19" s="97">
        <v>143.69999999999999</v>
      </c>
      <c r="I19" s="97">
        <v>68.8</v>
      </c>
      <c r="J19" s="97">
        <v>182.2</v>
      </c>
      <c r="K19" s="97">
        <v>4611.3999999999996</v>
      </c>
      <c r="L19" s="97">
        <v>4793.6000000000004</v>
      </c>
      <c r="N19" s="97"/>
      <c r="O19" s="97"/>
      <c r="P19" s="97"/>
      <c r="Q19" s="97"/>
      <c r="R19" s="97"/>
      <c r="S19" s="97"/>
      <c r="T19" s="97"/>
      <c r="U19" s="97"/>
      <c r="V19" s="97"/>
      <c r="W19" s="97"/>
    </row>
    <row r="20" spans="1:23" ht="15" customHeight="1" x14ac:dyDescent="0.25">
      <c r="A20" s="197" t="s">
        <v>190</v>
      </c>
      <c r="B20" s="4" t="s">
        <v>18</v>
      </c>
      <c r="C20" s="5">
        <v>472.3</v>
      </c>
      <c r="D20" s="5">
        <v>106.8</v>
      </c>
      <c r="E20" s="5">
        <v>911.3</v>
      </c>
      <c r="F20" s="5">
        <v>330</v>
      </c>
      <c r="G20" s="5">
        <v>102.9</v>
      </c>
      <c r="H20" s="5">
        <v>41.3</v>
      </c>
      <c r="I20" s="5">
        <v>11.4</v>
      </c>
      <c r="J20" s="5">
        <v>178.5</v>
      </c>
      <c r="K20" s="5">
        <v>1976.1</v>
      </c>
      <c r="L20" s="5">
        <v>2154.5</v>
      </c>
      <c r="N20" s="5"/>
      <c r="O20" s="5"/>
      <c r="P20" s="5"/>
      <c r="Q20" s="5"/>
      <c r="R20" s="5"/>
      <c r="S20" s="5"/>
      <c r="T20" s="5"/>
      <c r="U20" s="5"/>
      <c r="V20" s="5"/>
      <c r="W20" s="5"/>
    </row>
    <row r="21" spans="1:23" ht="15" customHeight="1" x14ac:dyDescent="0.25">
      <c r="A21" s="197"/>
      <c r="B21" s="4" t="s">
        <v>19</v>
      </c>
      <c r="C21" s="5">
        <v>536.1</v>
      </c>
      <c r="D21" s="5">
        <v>640.79999999999995</v>
      </c>
      <c r="E21" s="5">
        <v>651.20000000000005</v>
      </c>
      <c r="F21" s="5">
        <v>247.3</v>
      </c>
      <c r="G21" s="5">
        <v>114.3</v>
      </c>
      <c r="H21" s="5">
        <v>78.8</v>
      </c>
      <c r="I21" s="5">
        <v>44.3</v>
      </c>
      <c r="J21" s="5">
        <v>11.2</v>
      </c>
      <c r="K21" s="5">
        <v>2312.8000000000002</v>
      </c>
      <c r="L21" s="5">
        <v>2324</v>
      </c>
      <c r="N21" s="5"/>
      <c r="O21" s="5"/>
      <c r="P21" s="5"/>
      <c r="Q21" s="5"/>
      <c r="R21" s="5"/>
      <c r="S21" s="5"/>
      <c r="T21" s="5"/>
      <c r="U21" s="5"/>
      <c r="V21" s="5"/>
      <c r="W21" s="5"/>
    </row>
    <row r="22" spans="1:23" ht="15" customHeight="1" x14ac:dyDescent="0.25">
      <c r="A22" s="197"/>
      <c r="B22" s="4" t="s">
        <v>20</v>
      </c>
      <c r="C22" s="5">
        <v>43.1</v>
      </c>
      <c r="D22" s="5" t="s">
        <v>109</v>
      </c>
      <c r="E22" s="5">
        <v>6.8</v>
      </c>
      <c r="F22" s="24" t="s">
        <v>109</v>
      </c>
      <c r="G22" s="5">
        <v>1.6</v>
      </c>
      <c r="H22" s="5">
        <v>10.7</v>
      </c>
      <c r="I22" s="24" t="s">
        <v>109</v>
      </c>
      <c r="J22" s="5">
        <v>5.9</v>
      </c>
      <c r="K22" s="5">
        <v>62.3</v>
      </c>
      <c r="L22" s="5">
        <v>68.2</v>
      </c>
      <c r="N22" s="5"/>
      <c r="O22" s="5"/>
      <c r="P22" s="5"/>
      <c r="Q22" s="5"/>
      <c r="R22" s="5"/>
      <c r="S22" s="5"/>
      <c r="T22" s="5"/>
      <c r="U22" s="5"/>
      <c r="V22" s="5"/>
      <c r="W22" s="5"/>
    </row>
    <row r="23" spans="1:23" ht="15" customHeight="1" x14ac:dyDescent="0.25">
      <c r="A23" s="197"/>
      <c r="B23" s="95" t="s">
        <v>11</v>
      </c>
      <c r="C23" s="97">
        <v>1051.5</v>
      </c>
      <c r="D23" s="97">
        <v>747.6</v>
      </c>
      <c r="E23" s="97">
        <v>1569.3</v>
      </c>
      <c r="F23" s="97">
        <v>577.20000000000005</v>
      </c>
      <c r="G23" s="97">
        <v>218.9</v>
      </c>
      <c r="H23" s="97">
        <v>130.80000000000001</v>
      </c>
      <c r="I23" s="97">
        <v>55.7</v>
      </c>
      <c r="J23" s="97">
        <v>195.6</v>
      </c>
      <c r="K23" s="97">
        <v>4351.1000000000004</v>
      </c>
      <c r="L23" s="97">
        <v>4546.7</v>
      </c>
      <c r="N23" s="97"/>
      <c r="O23" s="97"/>
      <c r="P23" s="97"/>
      <c r="Q23" s="97"/>
      <c r="R23" s="97"/>
      <c r="S23" s="97"/>
      <c r="T23" s="97"/>
      <c r="U23" s="97"/>
      <c r="V23" s="97"/>
      <c r="W23" s="97"/>
    </row>
    <row r="24" spans="1:23" ht="15" customHeight="1" x14ac:dyDescent="0.25">
      <c r="A24" s="197" t="s">
        <v>191</v>
      </c>
      <c r="B24" s="4" t="s">
        <v>18</v>
      </c>
      <c r="C24" s="5">
        <v>427.4</v>
      </c>
      <c r="D24" s="5">
        <v>104.7</v>
      </c>
      <c r="E24" s="5">
        <v>817.1</v>
      </c>
      <c r="F24" s="5">
        <v>251</v>
      </c>
      <c r="G24" s="5">
        <v>84.1</v>
      </c>
      <c r="H24" s="5">
        <v>36.6</v>
      </c>
      <c r="I24" s="5">
        <v>9.8000000000000007</v>
      </c>
      <c r="J24" s="5">
        <v>136.4</v>
      </c>
      <c r="K24" s="5">
        <v>1730.7</v>
      </c>
      <c r="L24" s="5">
        <v>1867.1</v>
      </c>
      <c r="N24" s="5"/>
      <c r="O24" s="5"/>
      <c r="P24" s="5"/>
      <c r="Q24" s="5"/>
      <c r="R24" s="5"/>
      <c r="S24" s="5"/>
      <c r="T24" s="5"/>
      <c r="U24" s="5"/>
      <c r="V24" s="5"/>
      <c r="W24" s="5"/>
    </row>
    <row r="25" spans="1:23" ht="15" customHeight="1" x14ac:dyDescent="0.25">
      <c r="A25" s="197"/>
      <c r="B25" s="4" t="s">
        <v>19</v>
      </c>
      <c r="C25" s="5">
        <v>516.6</v>
      </c>
      <c r="D25" s="5">
        <v>582.4</v>
      </c>
      <c r="E25" s="5">
        <v>553.79999999999995</v>
      </c>
      <c r="F25" s="5">
        <v>195.9</v>
      </c>
      <c r="G25" s="5">
        <v>105.4</v>
      </c>
      <c r="H25" s="5">
        <v>67.900000000000006</v>
      </c>
      <c r="I25" s="5">
        <v>50</v>
      </c>
      <c r="J25" s="5">
        <v>9.1999999999999993</v>
      </c>
      <c r="K25" s="5">
        <v>2072</v>
      </c>
      <c r="L25" s="5">
        <v>2081.1999999999998</v>
      </c>
      <c r="N25" s="5"/>
      <c r="O25" s="5"/>
      <c r="P25" s="5"/>
      <c r="Q25" s="5"/>
      <c r="R25" s="5"/>
      <c r="S25" s="5"/>
      <c r="T25" s="5"/>
      <c r="U25" s="5"/>
      <c r="V25" s="5"/>
      <c r="W25" s="5"/>
    </row>
    <row r="26" spans="1:23" ht="15" customHeight="1" x14ac:dyDescent="0.25">
      <c r="A26" s="197"/>
      <c r="B26" s="4" t="s">
        <v>20</v>
      </c>
      <c r="C26" s="5">
        <v>41.3</v>
      </c>
      <c r="D26" s="24">
        <v>0.1</v>
      </c>
      <c r="E26" s="5">
        <v>6.5</v>
      </c>
      <c r="F26" s="24" t="s">
        <v>109</v>
      </c>
      <c r="G26" s="5">
        <v>1.2</v>
      </c>
      <c r="H26" s="5">
        <v>4.8</v>
      </c>
      <c r="I26" s="24" t="s">
        <v>109</v>
      </c>
      <c r="J26" s="5">
        <v>5.3</v>
      </c>
      <c r="K26" s="5">
        <v>53.9</v>
      </c>
      <c r="L26" s="5">
        <v>59.2</v>
      </c>
      <c r="N26" s="5"/>
      <c r="O26" s="5"/>
      <c r="P26" s="5"/>
      <c r="Q26" s="5"/>
      <c r="R26" s="5"/>
      <c r="S26" s="5"/>
      <c r="T26" s="5"/>
      <c r="U26" s="5"/>
      <c r="V26" s="5"/>
      <c r="W26" s="5"/>
    </row>
    <row r="27" spans="1:23" ht="15" customHeight="1" x14ac:dyDescent="0.25">
      <c r="A27" s="197"/>
      <c r="B27" s="95" t="s">
        <v>11</v>
      </c>
      <c r="C27" s="97">
        <v>985.3</v>
      </c>
      <c r="D27" s="97">
        <v>687.2</v>
      </c>
      <c r="E27" s="97">
        <v>1377.4</v>
      </c>
      <c r="F27" s="97">
        <v>446.9</v>
      </c>
      <c r="G27" s="97">
        <v>190.7</v>
      </c>
      <c r="H27" s="97">
        <v>109.3</v>
      </c>
      <c r="I27" s="97">
        <v>59.8</v>
      </c>
      <c r="J27" s="97">
        <v>150.9</v>
      </c>
      <c r="K27" s="94">
        <v>3856.6</v>
      </c>
      <c r="L27" s="97">
        <v>4007.5</v>
      </c>
      <c r="N27" s="97"/>
      <c r="O27" s="97"/>
      <c r="P27" s="97"/>
      <c r="Q27" s="97"/>
      <c r="R27" s="97"/>
      <c r="S27" s="97"/>
      <c r="T27" s="97"/>
      <c r="U27" s="97"/>
      <c r="V27" s="97"/>
      <c r="W27" s="97"/>
    </row>
    <row r="28" spans="1:23" ht="15" customHeight="1" x14ac:dyDescent="0.25">
      <c r="A28" s="197" t="s">
        <v>192</v>
      </c>
      <c r="B28" s="4" t="s">
        <v>18</v>
      </c>
      <c r="C28" s="5">
        <v>404.8</v>
      </c>
      <c r="D28" s="5">
        <v>90.4</v>
      </c>
      <c r="E28" s="5">
        <v>805</v>
      </c>
      <c r="F28" s="5">
        <v>269.5</v>
      </c>
      <c r="G28" s="5">
        <v>86.8</v>
      </c>
      <c r="H28" s="5">
        <v>32.200000000000003</v>
      </c>
      <c r="I28" s="5">
        <v>9.8000000000000007</v>
      </c>
      <c r="J28" s="5">
        <v>176.1</v>
      </c>
      <c r="K28" s="5">
        <v>1698.3</v>
      </c>
      <c r="L28" s="5">
        <v>1874.4</v>
      </c>
      <c r="N28" s="5"/>
      <c r="O28" s="5"/>
      <c r="P28" s="5"/>
      <c r="Q28" s="5"/>
      <c r="R28" s="5"/>
      <c r="S28" s="5"/>
      <c r="T28" s="5"/>
      <c r="U28" s="5"/>
      <c r="V28" s="5"/>
      <c r="W28" s="5"/>
    </row>
    <row r="29" spans="1:23" ht="15" customHeight="1" x14ac:dyDescent="0.25">
      <c r="A29" s="197"/>
      <c r="B29" s="4" t="s">
        <v>19</v>
      </c>
      <c r="C29" s="5">
        <v>465.5</v>
      </c>
      <c r="D29" s="5">
        <v>520.9</v>
      </c>
      <c r="E29" s="5">
        <v>532.29999999999995</v>
      </c>
      <c r="F29" s="5">
        <v>184.4</v>
      </c>
      <c r="G29" s="5">
        <v>111.5</v>
      </c>
      <c r="H29" s="5">
        <v>55.5</v>
      </c>
      <c r="I29" s="5">
        <v>43.8</v>
      </c>
      <c r="J29" s="5">
        <v>11.7</v>
      </c>
      <c r="K29" s="5">
        <v>1913.8</v>
      </c>
      <c r="L29" s="5">
        <v>1925.5</v>
      </c>
      <c r="N29" s="5"/>
      <c r="O29" s="5"/>
      <c r="P29" s="5"/>
      <c r="Q29" s="5"/>
      <c r="R29" s="5"/>
      <c r="S29" s="5"/>
      <c r="T29" s="5"/>
      <c r="U29" s="5"/>
      <c r="V29" s="5"/>
      <c r="W29" s="5"/>
    </row>
    <row r="30" spans="1:23" ht="15" customHeight="1" x14ac:dyDescent="0.25">
      <c r="A30" s="197"/>
      <c r="B30" s="4" t="s">
        <v>20</v>
      </c>
      <c r="C30" s="5">
        <v>33.4</v>
      </c>
      <c r="D30" s="5" t="s">
        <v>109</v>
      </c>
      <c r="E30" s="5">
        <v>4.8</v>
      </c>
      <c r="F30" s="24" t="s">
        <v>109</v>
      </c>
      <c r="G30" s="5">
        <v>1.6</v>
      </c>
      <c r="H30" s="5">
        <v>0.3</v>
      </c>
      <c r="I30" s="24" t="s">
        <v>109</v>
      </c>
      <c r="J30" s="5">
        <v>6.7</v>
      </c>
      <c r="K30" s="5">
        <v>40.1</v>
      </c>
      <c r="L30" s="5">
        <v>46.8</v>
      </c>
      <c r="N30" s="5"/>
      <c r="O30" s="5"/>
      <c r="P30" s="5"/>
      <c r="Q30" s="5"/>
      <c r="R30" s="5"/>
      <c r="S30" s="5"/>
      <c r="T30" s="5"/>
      <c r="U30" s="5"/>
      <c r="V30" s="5"/>
      <c r="W30" s="5"/>
    </row>
    <row r="31" spans="1:23" ht="15" customHeight="1" x14ac:dyDescent="0.25">
      <c r="A31" s="197"/>
      <c r="B31" s="95" t="s">
        <v>11</v>
      </c>
      <c r="C31" s="97">
        <v>903.6</v>
      </c>
      <c r="D31" s="97">
        <v>611.29999999999995</v>
      </c>
      <c r="E31" s="97">
        <v>1342.1</v>
      </c>
      <c r="F31" s="97">
        <v>453.9</v>
      </c>
      <c r="G31" s="97">
        <v>199.9</v>
      </c>
      <c r="H31" s="97">
        <v>88</v>
      </c>
      <c r="I31" s="97">
        <v>53.5</v>
      </c>
      <c r="J31" s="97">
        <v>194.5</v>
      </c>
      <c r="K31" s="97">
        <v>3652.2</v>
      </c>
      <c r="L31" s="97">
        <v>3846.7</v>
      </c>
      <c r="N31" s="97"/>
      <c r="O31" s="97"/>
      <c r="P31" s="97"/>
      <c r="Q31" s="97"/>
      <c r="R31" s="97"/>
      <c r="S31" s="97"/>
      <c r="T31" s="97"/>
      <c r="U31" s="97"/>
      <c r="V31" s="97"/>
      <c r="W31" s="97"/>
    </row>
    <row r="32" spans="1:23" ht="15" customHeight="1" x14ac:dyDescent="0.25">
      <c r="A32" s="197" t="s">
        <v>193</v>
      </c>
      <c r="B32" s="4" t="s">
        <v>18</v>
      </c>
      <c r="C32" s="5">
        <v>414.8</v>
      </c>
      <c r="D32" s="5">
        <v>85.7</v>
      </c>
      <c r="E32" s="5">
        <v>780.4</v>
      </c>
      <c r="F32" s="5">
        <v>332.4</v>
      </c>
      <c r="G32" s="5">
        <v>101.2</v>
      </c>
      <c r="H32" s="5">
        <v>29.4</v>
      </c>
      <c r="I32" s="5">
        <v>10.1</v>
      </c>
      <c r="J32" s="5">
        <v>271.7</v>
      </c>
      <c r="K32" s="5">
        <v>1754.1</v>
      </c>
      <c r="L32" s="5">
        <v>2025.8</v>
      </c>
      <c r="N32" s="5"/>
      <c r="O32" s="5"/>
      <c r="P32" s="5"/>
      <c r="Q32" s="5"/>
      <c r="R32" s="5"/>
      <c r="S32" s="5"/>
      <c r="T32" s="5"/>
      <c r="U32" s="5"/>
      <c r="V32" s="5"/>
      <c r="W32" s="5"/>
    </row>
    <row r="33" spans="1:23" ht="15" customHeight="1" x14ac:dyDescent="0.25">
      <c r="A33" s="197"/>
      <c r="B33" s="4" t="s">
        <v>19</v>
      </c>
      <c r="C33" s="5">
        <v>361.4</v>
      </c>
      <c r="D33" s="5">
        <v>405.2</v>
      </c>
      <c r="E33" s="5">
        <v>504.3</v>
      </c>
      <c r="F33" s="5">
        <v>194.7</v>
      </c>
      <c r="G33" s="5">
        <v>124.4</v>
      </c>
      <c r="H33" s="5">
        <v>65.599999999999994</v>
      </c>
      <c r="I33" s="5">
        <v>44.4</v>
      </c>
      <c r="J33" s="5">
        <v>13.4</v>
      </c>
      <c r="K33" s="5">
        <v>1699.9</v>
      </c>
      <c r="L33" s="5">
        <v>1713.3</v>
      </c>
      <c r="N33" s="5"/>
      <c r="O33" s="5"/>
      <c r="P33" s="5"/>
      <c r="Q33" s="5"/>
      <c r="R33" s="5"/>
      <c r="S33" s="5"/>
      <c r="T33" s="5"/>
      <c r="U33" s="5"/>
      <c r="V33" s="5"/>
      <c r="W33" s="5"/>
    </row>
    <row r="34" spans="1:23" ht="15" customHeight="1" x14ac:dyDescent="0.25">
      <c r="A34" s="197"/>
      <c r="B34" s="4" t="s">
        <v>20</v>
      </c>
      <c r="C34" s="5">
        <v>31.8</v>
      </c>
      <c r="D34" s="24" t="s">
        <v>109</v>
      </c>
      <c r="E34" s="5">
        <v>2.9</v>
      </c>
      <c r="F34" s="24" t="s">
        <v>109</v>
      </c>
      <c r="G34" s="5">
        <v>1.6</v>
      </c>
      <c r="H34" s="5">
        <v>0.6</v>
      </c>
      <c r="I34" s="24">
        <v>0.8</v>
      </c>
      <c r="J34" s="5">
        <v>10.7</v>
      </c>
      <c r="K34" s="5">
        <v>37.700000000000003</v>
      </c>
      <c r="L34" s="5">
        <v>48.4</v>
      </c>
      <c r="N34" s="5"/>
      <c r="O34" s="5"/>
      <c r="P34" s="5"/>
      <c r="Q34" s="5"/>
      <c r="R34" s="5"/>
      <c r="S34" s="5"/>
      <c r="T34" s="5"/>
      <c r="U34" s="5"/>
      <c r="V34" s="5"/>
      <c r="W34" s="5"/>
    </row>
    <row r="35" spans="1:23" ht="15" customHeight="1" x14ac:dyDescent="0.25">
      <c r="A35" s="197"/>
      <c r="B35" s="95" t="s">
        <v>11</v>
      </c>
      <c r="C35" s="97">
        <v>807.9</v>
      </c>
      <c r="D35" s="97">
        <v>490.9</v>
      </c>
      <c r="E35" s="97">
        <v>1287.5999999999999</v>
      </c>
      <c r="F35" s="97">
        <v>527.1</v>
      </c>
      <c r="G35" s="97">
        <v>227.3</v>
      </c>
      <c r="H35" s="97">
        <v>95.6</v>
      </c>
      <c r="I35" s="97">
        <v>55.3</v>
      </c>
      <c r="J35" s="97">
        <v>295.7</v>
      </c>
      <c r="K35" s="97">
        <v>3491.7</v>
      </c>
      <c r="L35" s="97">
        <v>3787.4</v>
      </c>
      <c r="N35" s="97"/>
      <c r="O35" s="97"/>
      <c r="P35" s="97"/>
      <c r="Q35" s="97"/>
      <c r="R35" s="97"/>
      <c r="S35" s="97"/>
      <c r="T35" s="97"/>
      <c r="U35" s="97"/>
      <c r="V35" s="97"/>
      <c r="W35" s="97"/>
    </row>
    <row r="36" spans="1:23" ht="15" customHeight="1" x14ac:dyDescent="0.25">
      <c r="A36" s="197" t="s">
        <v>194</v>
      </c>
      <c r="B36" s="4" t="s">
        <v>18</v>
      </c>
      <c r="C36" s="5">
        <v>427.3</v>
      </c>
      <c r="D36" s="5">
        <v>70.2</v>
      </c>
      <c r="E36" s="5">
        <v>789.7</v>
      </c>
      <c r="F36" s="5">
        <v>312.8</v>
      </c>
      <c r="G36" s="5">
        <v>136.9</v>
      </c>
      <c r="H36" s="5">
        <v>37.4</v>
      </c>
      <c r="I36" s="5">
        <v>17</v>
      </c>
      <c r="J36" s="5" t="s">
        <v>114</v>
      </c>
      <c r="K36" s="5">
        <v>1791.3</v>
      </c>
      <c r="L36" s="5" t="s">
        <v>114</v>
      </c>
      <c r="N36" s="5"/>
      <c r="O36" s="5"/>
      <c r="P36" s="5"/>
      <c r="Q36" s="5"/>
      <c r="R36" s="5"/>
      <c r="S36" s="5"/>
      <c r="T36" s="5"/>
      <c r="U36" s="5"/>
      <c r="V36" s="5"/>
      <c r="W36" s="5"/>
    </row>
    <row r="37" spans="1:23" ht="15" customHeight="1" x14ac:dyDescent="0.25">
      <c r="A37" s="197"/>
      <c r="B37" s="4" t="s">
        <v>19</v>
      </c>
      <c r="C37" s="5">
        <v>341.6</v>
      </c>
      <c r="D37" s="5">
        <v>353.4</v>
      </c>
      <c r="E37" s="5">
        <v>490.2</v>
      </c>
      <c r="F37" s="5">
        <v>202.5</v>
      </c>
      <c r="G37" s="5">
        <v>125</v>
      </c>
      <c r="H37" s="5">
        <v>69.3</v>
      </c>
      <c r="I37" s="5">
        <v>54.8</v>
      </c>
      <c r="J37" s="5" t="s">
        <v>114</v>
      </c>
      <c r="K37" s="5">
        <v>1636.8</v>
      </c>
      <c r="L37" s="5" t="s">
        <v>114</v>
      </c>
      <c r="N37" s="5"/>
      <c r="O37" s="5"/>
      <c r="P37" s="5"/>
      <c r="Q37" s="5"/>
      <c r="R37" s="5"/>
      <c r="S37" s="5"/>
      <c r="T37" s="5"/>
      <c r="U37" s="5"/>
      <c r="V37" s="5"/>
      <c r="W37" s="5"/>
    </row>
    <row r="38" spans="1:23" ht="15" customHeight="1" x14ac:dyDescent="0.25">
      <c r="A38" s="197"/>
      <c r="B38" s="4" t="s">
        <v>20</v>
      </c>
      <c r="C38" s="5">
        <v>27.9</v>
      </c>
      <c r="D38" s="5" t="s">
        <v>109</v>
      </c>
      <c r="E38" s="5">
        <v>2.5</v>
      </c>
      <c r="F38" s="24" t="s">
        <v>109</v>
      </c>
      <c r="G38" s="5">
        <v>0.6</v>
      </c>
      <c r="H38" s="5">
        <v>0.4</v>
      </c>
      <c r="I38" s="5">
        <v>0.4</v>
      </c>
      <c r="J38" s="5" t="s">
        <v>114</v>
      </c>
      <c r="K38" s="5">
        <v>31.8</v>
      </c>
      <c r="L38" s="5" t="s">
        <v>114</v>
      </c>
      <c r="N38" s="5"/>
      <c r="O38" s="5"/>
      <c r="P38" s="5"/>
      <c r="Q38" s="5"/>
      <c r="R38" s="5"/>
      <c r="S38" s="5"/>
      <c r="T38" s="5"/>
      <c r="U38" s="5"/>
      <c r="V38" s="5"/>
      <c r="W38" s="5"/>
    </row>
    <row r="39" spans="1:23" ht="15" customHeight="1" x14ac:dyDescent="0.25">
      <c r="A39" s="197"/>
      <c r="B39" s="95" t="s">
        <v>11</v>
      </c>
      <c r="C39" s="97">
        <v>796.8</v>
      </c>
      <c r="D39" s="97">
        <v>423.6</v>
      </c>
      <c r="E39" s="97">
        <v>1282.4000000000001</v>
      </c>
      <c r="F39" s="97">
        <v>515.29999999999995</v>
      </c>
      <c r="G39" s="97">
        <v>262.60000000000002</v>
      </c>
      <c r="H39" s="97">
        <v>107.1</v>
      </c>
      <c r="I39" s="97">
        <v>72.099999999999994</v>
      </c>
      <c r="J39" s="97" t="s">
        <v>114</v>
      </c>
      <c r="K39" s="94">
        <v>3460</v>
      </c>
      <c r="L39" s="97" t="s">
        <v>114</v>
      </c>
      <c r="N39" s="97"/>
      <c r="O39" s="97"/>
      <c r="P39" s="97"/>
      <c r="Q39" s="97"/>
      <c r="R39" s="97"/>
      <c r="S39" s="97"/>
      <c r="T39" s="97"/>
      <c r="U39" s="97"/>
      <c r="V39" s="97"/>
      <c r="W39" s="97"/>
    </row>
    <row r="40" spans="1:23" ht="15" customHeight="1" x14ac:dyDescent="0.25">
      <c r="A40" s="197" t="s">
        <v>284</v>
      </c>
      <c r="B40" s="4" t="s">
        <v>18</v>
      </c>
      <c r="C40" s="5">
        <v>432.1</v>
      </c>
      <c r="D40" s="5">
        <v>78.599999999999994</v>
      </c>
      <c r="E40" s="5">
        <v>785.7</v>
      </c>
      <c r="F40" s="5">
        <v>259.5</v>
      </c>
      <c r="G40" s="5">
        <v>112.3</v>
      </c>
      <c r="H40" s="5">
        <v>53.6</v>
      </c>
      <c r="I40" s="5">
        <v>20.9</v>
      </c>
      <c r="J40" s="5" t="s">
        <v>114</v>
      </c>
      <c r="K40" s="5">
        <v>1742.7</v>
      </c>
      <c r="L40" s="5" t="s">
        <v>114</v>
      </c>
      <c r="N40" s="5"/>
      <c r="O40" s="5"/>
      <c r="P40" s="5"/>
      <c r="Q40" s="5"/>
      <c r="R40" s="5"/>
      <c r="S40" s="5"/>
      <c r="T40" s="5"/>
      <c r="U40" s="5"/>
      <c r="V40" s="5"/>
      <c r="W40" s="5"/>
    </row>
    <row r="41" spans="1:23" ht="15" customHeight="1" x14ac:dyDescent="0.25">
      <c r="A41" s="197"/>
      <c r="B41" s="4" t="s">
        <v>19</v>
      </c>
      <c r="C41" s="5">
        <v>350.2</v>
      </c>
      <c r="D41" s="5">
        <v>340.4</v>
      </c>
      <c r="E41" s="5">
        <v>473.8</v>
      </c>
      <c r="F41" s="5">
        <v>185.4</v>
      </c>
      <c r="G41" s="5">
        <v>88.1</v>
      </c>
      <c r="H41" s="5">
        <v>92.9</v>
      </c>
      <c r="I41" s="5">
        <v>50</v>
      </c>
      <c r="J41" s="5" t="s">
        <v>114</v>
      </c>
      <c r="K41" s="5">
        <v>1580.6</v>
      </c>
      <c r="L41" s="5" t="s">
        <v>114</v>
      </c>
      <c r="N41" s="5"/>
      <c r="O41" s="5"/>
      <c r="P41" s="5"/>
      <c r="Q41" s="5"/>
      <c r="R41" s="5"/>
      <c r="S41" s="5"/>
      <c r="T41" s="5"/>
      <c r="U41" s="5"/>
      <c r="V41" s="5"/>
      <c r="W41" s="5"/>
    </row>
    <row r="42" spans="1:23" ht="15" customHeight="1" x14ac:dyDescent="0.25">
      <c r="A42" s="197"/>
      <c r="B42" s="4" t="s">
        <v>20</v>
      </c>
      <c r="C42" s="5">
        <v>26.6</v>
      </c>
      <c r="D42" s="5">
        <v>0.4</v>
      </c>
      <c r="E42" s="5">
        <v>4.3</v>
      </c>
      <c r="F42" s="24" t="s">
        <v>109</v>
      </c>
      <c r="G42" s="5">
        <v>3.1</v>
      </c>
      <c r="H42" s="5">
        <v>0.7</v>
      </c>
      <c r="I42" s="5" t="s">
        <v>109</v>
      </c>
      <c r="J42" s="5" t="s">
        <v>114</v>
      </c>
      <c r="K42" s="5">
        <v>35.1</v>
      </c>
      <c r="L42" s="5" t="s">
        <v>114</v>
      </c>
      <c r="N42" s="5"/>
      <c r="O42" s="5"/>
      <c r="P42" s="5"/>
      <c r="Q42" s="5"/>
      <c r="R42" s="5"/>
      <c r="S42" s="5"/>
      <c r="T42" s="5"/>
      <c r="U42" s="5"/>
      <c r="V42" s="5"/>
      <c r="W42" s="5"/>
    </row>
    <row r="43" spans="1:23" ht="15" customHeight="1" x14ac:dyDescent="0.25">
      <c r="A43" s="197"/>
      <c r="B43" s="95" t="s">
        <v>11</v>
      </c>
      <c r="C43" s="97">
        <v>808.9</v>
      </c>
      <c r="D43" s="97">
        <v>419.4</v>
      </c>
      <c r="E43" s="97">
        <v>1263.8</v>
      </c>
      <c r="F43" s="97">
        <v>444.9</v>
      </c>
      <c r="G43" s="97">
        <v>203.4</v>
      </c>
      <c r="H43" s="97">
        <v>147.19999999999999</v>
      </c>
      <c r="I43" s="97">
        <v>70.900000000000006</v>
      </c>
      <c r="J43" s="97" t="s">
        <v>114</v>
      </c>
      <c r="K43" s="94">
        <v>3358.4</v>
      </c>
      <c r="L43" s="97" t="s">
        <v>114</v>
      </c>
      <c r="M43" s="127"/>
      <c r="N43" s="97"/>
      <c r="O43" s="97"/>
      <c r="P43" s="97"/>
      <c r="Q43" s="97"/>
      <c r="R43" s="97"/>
      <c r="S43" s="97"/>
      <c r="T43" s="97"/>
      <c r="U43" s="97"/>
      <c r="V43" s="97"/>
      <c r="W43" s="97"/>
    </row>
    <row r="44" spans="1:23" ht="2.25" customHeight="1" x14ac:dyDescent="0.25">
      <c r="A44" s="2"/>
      <c r="N44" s="129"/>
      <c r="O44" s="129"/>
      <c r="P44" s="129"/>
      <c r="Q44" s="129"/>
      <c r="R44" s="129"/>
      <c r="S44" s="129"/>
      <c r="T44" s="129"/>
      <c r="U44" s="129"/>
      <c r="V44" s="129"/>
      <c r="W44" s="129"/>
    </row>
    <row r="45" spans="1:23" ht="11.1" customHeight="1" x14ac:dyDescent="0.25">
      <c r="A45" s="184" t="s">
        <v>12</v>
      </c>
      <c r="B45" s="184"/>
      <c r="C45" s="184"/>
      <c r="D45" s="184"/>
      <c r="E45" s="184"/>
      <c r="F45" s="184"/>
      <c r="G45" s="184"/>
      <c r="H45" s="184"/>
      <c r="I45" s="184"/>
      <c r="J45" s="184"/>
      <c r="K45" s="190"/>
      <c r="L45" s="184"/>
      <c r="N45" s="129"/>
      <c r="O45" s="129"/>
      <c r="P45" s="129"/>
      <c r="Q45" s="129"/>
      <c r="R45" s="129"/>
      <c r="S45" s="129"/>
      <c r="T45" s="129"/>
      <c r="U45" s="129"/>
      <c r="V45" s="129"/>
      <c r="W45" s="129"/>
    </row>
    <row r="46" spans="1:23" s="6" customFormat="1" ht="11.1" customHeight="1" x14ac:dyDescent="0.15">
      <c r="A46" s="6" t="s">
        <v>13</v>
      </c>
    </row>
    <row r="47" spans="1:23" s="12" customFormat="1" ht="11.1" customHeight="1" x14ac:dyDescent="0.2">
      <c r="A47" s="39" t="s">
        <v>200</v>
      </c>
    </row>
    <row r="48" spans="1:23" s="12" customFormat="1" ht="11.1" customHeight="1" x14ac:dyDescent="0.2">
      <c r="A48" s="39" t="s">
        <v>41</v>
      </c>
    </row>
    <row r="49" spans="1:24" s="12" customFormat="1" ht="11.1" customHeight="1" x14ac:dyDescent="0.2">
      <c r="A49" s="39" t="s">
        <v>288</v>
      </c>
    </row>
    <row r="50" spans="1:24" s="6" customFormat="1" ht="11.1" customHeight="1" x14ac:dyDescent="0.15">
      <c r="A50" s="6" t="s">
        <v>14</v>
      </c>
    </row>
    <row r="51" spans="1:24" s="6" customFormat="1" ht="11.1" customHeight="1" x14ac:dyDescent="0.15">
      <c r="A51" s="6" t="s">
        <v>263</v>
      </c>
    </row>
    <row r="52" spans="1:24" ht="12" customHeight="1" x14ac:dyDescent="0.25">
      <c r="A52" s="2"/>
    </row>
    <row r="53" spans="1:24" ht="27.95" customHeight="1" x14ac:dyDescent="0.25">
      <c r="A53" s="185" t="s">
        <v>289</v>
      </c>
      <c r="B53" s="185"/>
      <c r="C53" s="185"/>
      <c r="D53" s="185"/>
      <c r="E53" s="185"/>
      <c r="F53" s="185"/>
      <c r="G53" s="185"/>
      <c r="H53" s="185"/>
      <c r="I53" s="185"/>
      <c r="J53" s="185"/>
      <c r="K53" s="185"/>
      <c r="L53" s="185"/>
      <c r="M53" s="185"/>
      <c r="N53" s="185"/>
    </row>
    <row r="54" spans="1:24" ht="3" customHeight="1" x14ac:dyDescent="0.25">
      <c r="A54" s="2"/>
    </row>
    <row r="55" spans="1:24" x14ac:dyDescent="0.25">
      <c r="A55" s="31" t="s">
        <v>122</v>
      </c>
      <c r="B55" s="31" t="s">
        <v>120</v>
      </c>
      <c r="C55" s="3" t="s">
        <v>0</v>
      </c>
      <c r="D55" s="3" t="s">
        <v>1</v>
      </c>
      <c r="E55" s="3" t="s">
        <v>2</v>
      </c>
      <c r="F55" s="3" t="s">
        <v>3</v>
      </c>
      <c r="G55" s="3" t="s">
        <v>4</v>
      </c>
      <c r="H55" s="3" t="s">
        <v>5</v>
      </c>
      <c r="I55" s="3" t="s">
        <v>6</v>
      </c>
      <c r="J55" s="3" t="s">
        <v>7</v>
      </c>
      <c r="K55" s="3" t="s">
        <v>8</v>
      </c>
    </row>
    <row r="56" spans="1:24" x14ac:dyDescent="0.25">
      <c r="A56" s="197" t="s">
        <v>195</v>
      </c>
      <c r="B56" s="4" t="s">
        <v>18</v>
      </c>
      <c r="C56" s="8">
        <v>1054</v>
      </c>
      <c r="D56" s="8">
        <v>325</v>
      </c>
      <c r="E56" s="8">
        <v>1414</v>
      </c>
      <c r="F56" s="8">
        <v>981</v>
      </c>
      <c r="G56" s="8">
        <v>278</v>
      </c>
      <c r="H56" s="8" t="s">
        <v>116</v>
      </c>
      <c r="I56" s="8" t="s">
        <v>116</v>
      </c>
      <c r="J56" s="8">
        <v>313</v>
      </c>
      <c r="K56" s="8">
        <v>4455</v>
      </c>
      <c r="M56" s="8"/>
      <c r="N56" s="8"/>
      <c r="O56" s="8"/>
      <c r="P56" s="8"/>
      <c r="Q56" s="8"/>
      <c r="R56" s="8"/>
      <c r="S56" s="8"/>
      <c r="T56" s="8"/>
      <c r="U56" s="8"/>
      <c r="V56" s="8"/>
      <c r="X56" s="120"/>
    </row>
    <row r="57" spans="1:24" x14ac:dyDescent="0.25">
      <c r="A57" s="197"/>
      <c r="B57" s="4" t="s">
        <v>19</v>
      </c>
      <c r="C57" s="8">
        <v>1237</v>
      </c>
      <c r="D57" s="8">
        <v>1662</v>
      </c>
      <c r="E57" s="8">
        <v>1145</v>
      </c>
      <c r="F57" s="8">
        <v>632</v>
      </c>
      <c r="G57" s="8">
        <v>312</v>
      </c>
      <c r="H57" s="8" t="s">
        <v>116</v>
      </c>
      <c r="I57" s="8" t="s">
        <v>116</v>
      </c>
      <c r="J57" s="8">
        <v>24</v>
      </c>
      <c r="K57" s="8">
        <v>5290</v>
      </c>
      <c r="M57" s="8"/>
      <c r="N57" s="8"/>
      <c r="O57" s="8"/>
      <c r="P57" s="8"/>
      <c r="Q57" s="8"/>
      <c r="R57" s="8"/>
      <c r="S57" s="8"/>
      <c r="T57" s="8"/>
      <c r="U57" s="8"/>
      <c r="V57" s="8"/>
    </row>
    <row r="58" spans="1:24" x14ac:dyDescent="0.25">
      <c r="A58" s="197"/>
      <c r="B58" s="4" t="s">
        <v>20</v>
      </c>
      <c r="C58" s="8">
        <v>131</v>
      </c>
      <c r="D58" s="8">
        <v>3</v>
      </c>
      <c r="E58" s="8">
        <v>24</v>
      </c>
      <c r="F58" s="29" t="s">
        <v>109</v>
      </c>
      <c r="G58" s="8">
        <v>1</v>
      </c>
      <c r="H58" s="8">
        <v>6</v>
      </c>
      <c r="I58" s="8" t="s">
        <v>109</v>
      </c>
      <c r="J58" s="8">
        <v>25</v>
      </c>
      <c r="K58" s="8">
        <v>190</v>
      </c>
      <c r="M58" s="8"/>
      <c r="N58" s="8"/>
      <c r="O58" s="8"/>
      <c r="P58" s="8"/>
      <c r="Q58" s="8"/>
      <c r="R58" s="8"/>
      <c r="S58" s="8"/>
      <c r="T58" s="8"/>
      <c r="U58" s="8"/>
      <c r="V58" s="8"/>
    </row>
    <row r="59" spans="1:24" x14ac:dyDescent="0.25">
      <c r="A59" s="197"/>
      <c r="B59" s="9" t="s">
        <v>11</v>
      </c>
      <c r="C59" s="94">
        <v>2422</v>
      </c>
      <c r="D59" s="94">
        <v>1990</v>
      </c>
      <c r="E59" s="94">
        <v>2583</v>
      </c>
      <c r="F59" s="94">
        <v>1613</v>
      </c>
      <c r="G59" s="94">
        <v>591</v>
      </c>
      <c r="H59" s="94">
        <v>231</v>
      </c>
      <c r="I59" s="94">
        <v>143</v>
      </c>
      <c r="J59" s="94">
        <v>362</v>
      </c>
      <c r="K59" s="94">
        <v>9935</v>
      </c>
      <c r="M59" s="94"/>
      <c r="N59" s="94"/>
      <c r="O59" s="94"/>
      <c r="P59" s="94"/>
      <c r="Q59" s="94"/>
      <c r="R59" s="94"/>
      <c r="S59" s="94"/>
      <c r="T59" s="94"/>
      <c r="U59" s="94"/>
      <c r="V59" s="94"/>
    </row>
    <row r="60" spans="1:24" x14ac:dyDescent="0.25">
      <c r="A60" s="197" t="s">
        <v>196</v>
      </c>
      <c r="B60" s="4" t="s">
        <v>18</v>
      </c>
      <c r="C60" s="8">
        <v>1003</v>
      </c>
      <c r="D60" s="8">
        <v>311</v>
      </c>
      <c r="E60" s="8">
        <v>1347</v>
      </c>
      <c r="F60" s="8">
        <v>980</v>
      </c>
      <c r="G60" s="8">
        <v>289</v>
      </c>
      <c r="H60" s="8" t="s">
        <v>116</v>
      </c>
      <c r="I60" s="8" t="s">
        <v>116</v>
      </c>
      <c r="J60" s="8">
        <v>322</v>
      </c>
      <c r="K60" s="8">
        <v>4343</v>
      </c>
      <c r="M60" s="8"/>
      <c r="N60" s="8"/>
      <c r="O60" s="8"/>
      <c r="P60" s="8"/>
      <c r="Q60" s="8"/>
      <c r="R60" s="8"/>
      <c r="S60" s="8"/>
      <c r="T60" s="8"/>
      <c r="U60" s="8"/>
      <c r="V60" s="8"/>
    </row>
    <row r="61" spans="1:24" x14ac:dyDescent="0.25">
      <c r="A61" s="197"/>
      <c r="B61" s="4" t="s">
        <v>19</v>
      </c>
      <c r="C61" s="8">
        <v>1130</v>
      </c>
      <c r="D61" s="8">
        <v>1541</v>
      </c>
      <c r="E61" s="8">
        <v>1092</v>
      </c>
      <c r="F61" s="8">
        <v>595</v>
      </c>
      <c r="G61" s="8">
        <v>288</v>
      </c>
      <c r="H61" s="8" t="s">
        <v>116</v>
      </c>
      <c r="I61" s="8" t="s">
        <v>116</v>
      </c>
      <c r="J61" s="8">
        <v>16</v>
      </c>
      <c r="K61" s="8">
        <v>4933</v>
      </c>
      <c r="M61" s="8"/>
      <c r="N61" s="8"/>
      <c r="O61" s="8"/>
      <c r="P61" s="8"/>
      <c r="Q61" s="8"/>
      <c r="R61" s="8"/>
      <c r="S61" s="8"/>
      <c r="T61" s="8"/>
      <c r="U61" s="8"/>
      <c r="V61" s="8"/>
    </row>
    <row r="62" spans="1:24" x14ac:dyDescent="0.25">
      <c r="A62" s="197"/>
      <c r="B62" s="4" t="s">
        <v>20</v>
      </c>
      <c r="C62" s="8">
        <v>112</v>
      </c>
      <c r="D62" s="8">
        <v>2</v>
      </c>
      <c r="E62" s="8">
        <v>15</v>
      </c>
      <c r="F62" s="29" t="s">
        <v>109</v>
      </c>
      <c r="G62" s="8">
        <v>3</v>
      </c>
      <c r="H62" s="8">
        <v>10</v>
      </c>
      <c r="I62" s="8" t="s">
        <v>109</v>
      </c>
      <c r="J62" s="8">
        <v>22</v>
      </c>
      <c r="K62" s="8">
        <v>164</v>
      </c>
      <c r="M62" s="8"/>
      <c r="N62" s="8"/>
      <c r="O62" s="8"/>
      <c r="P62" s="8"/>
      <c r="Q62" s="8"/>
      <c r="R62" s="8"/>
      <c r="S62" s="8"/>
      <c r="T62" s="8"/>
      <c r="U62" s="8"/>
      <c r="V62" s="8"/>
    </row>
    <row r="63" spans="1:24" x14ac:dyDescent="0.25">
      <c r="A63" s="197"/>
      <c r="B63" s="9" t="s">
        <v>11</v>
      </c>
      <c r="C63" s="94">
        <v>2245</v>
      </c>
      <c r="D63" s="94">
        <v>1854</v>
      </c>
      <c r="E63" s="94">
        <v>2454</v>
      </c>
      <c r="F63" s="94">
        <v>1575</v>
      </c>
      <c r="G63" s="94">
        <v>580</v>
      </c>
      <c r="H63" s="94">
        <v>231</v>
      </c>
      <c r="I63" s="94">
        <v>141</v>
      </c>
      <c r="J63" s="94">
        <v>360</v>
      </c>
      <c r="K63" s="94">
        <v>9440</v>
      </c>
      <c r="M63" s="94"/>
      <c r="N63" s="94"/>
      <c r="O63" s="94"/>
      <c r="P63" s="94"/>
      <c r="Q63" s="94"/>
      <c r="R63" s="94"/>
      <c r="S63" s="94"/>
      <c r="T63" s="94"/>
      <c r="U63" s="94"/>
      <c r="V63" s="94"/>
    </row>
    <row r="64" spans="1:24" x14ac:dyDescent="0.25">
      <c r="A64" s="197" t="s">
        <v>197</v>
      </c>
      <c r="B64" s="4" t="s">
        <v>18</v>
      </c>
      <c r="C64" s="8">
        <v>979</v>
      </c>
      <c r="D64" s="8">
        <v>274</v>
      </c>
      <c r="E64" s="8">
        <v>1530</v>
      </c>
      <c r="F64" s="8">
        <v>950</v>
      </c>
      <c r="G64" s="8">
        <v>241</v>
      </c>
      <c r="H64" s="8" t="s">
        <v>116</v>
      </c>
      <c r="I64" s="8" t="s">
        <v>116</v>
      </c>
      <c r="J64" s="8">
        <v>298</v>
      </c>
      <c r="K64" s="8">
        <v>4372</v>
      </c>
      <c r="M64" s="8"/>
      <c r="N64" s="8"/>
      <c r="O64" s="8"/>
      <c r="P64" s="8"/>
      <c r="Q64" s="8"/>
      <c r="R64" s="8"/>
      <c r="S64" s="8"/>
      <c r="T64" s="8"/>
      <c r="U64" s="8"/>
      <c r="V64" s="8"/>
    </row>
    <row r="65" spans="1:22" x14ac:dyDescent="0.25">
      <c r="A65" s="197"/>
      <c r="B65" s="4" t="s">
        <v>19</v>
      </c>
      <c r="C65" s="8">
        <v>1123</v>
      </c>
      <c r="D65" s="8">
        <v>1486</v>
      </c>
      <c r="E65" s="8">
        <v>1161</v>
      </c>
      <c r="F65" s="8">
        <v>625</v>
      </c>
      <c r="G65" s="8">
        <v>276</v>
      </c>
      <c r="H65" s="8" t="s">
        <v>116</v>
      </c>
      <c r="I65" s="8" t="s">
        <v>116</v>
      </c>
      <c r="J65" s="8">
        <v>14</v>
      </c>
      <c r="K65" s="8">
        <v>4958</v>
      </c>
      <c r="M65" s="8"/>
      <c r="N65" s="8"/>
      <c r="O65" s="8"/>
      <c r="P65" s="8"/>
      <c r="Q65" s="8"/>
      <c r="R65" s="8"/>
      <c r="S65" s="8"/>
      <c r="T65" s="8"/>
      <c r="U65" s="8"/>
      <c r="V65" s="8"/>
    </row>
    <row r="66" spans="1:22" x14ac:dyDescent="0.25">
      <c r="A66" s="197"/>
      <c r="B66" s="4" t="s">
        <v>20</v>
      </c>
      <c r="C66" s="8">
        <v>121</v>
      </c>
      <c r="D66" s="8">
        <v>2</v>
      </c>
      <c r="E66" s="8">
        <v>22</v>
      </c>
      <c r="F66" s="29" t="s">
        <v>109</v>
      </c>
      <c r="G66" s="8">
        <v>3</v>
      </c>
      <c r="H66" s="8">
        <v>16</v>
      </c>
      <c r="I66" s="8" t="s">
        <v>109</v>
      </c>
      <c r="J66" s="8">
        <v>16</v>
      </c>
      <c r="K66" s="8">
        <v>180</v>
      </c>
      <c r="M66" s="8"/>
      <c r="N66" s="8"/>
      <c r="O66" s="8"/>
      <c r="P66" s="8"/>
      <c r="Q66" s="8"/>
      <c r="R66" s="8"/>
      <c r="S66" s="8"/>
      <c r="T66" s="8"/>
      <c r="U66" s="8"/>
      <c r="V66" s="67"/>
    </row>
    <row r="67" spans="1:22" x14ac:dyDescent="0.25">
      <c r="A67" s="197"/>
      <c r="B67" s="9" t="s">
        <v>11</v>
      </c>
      <c r="C67" s="94">
        <v>2223</v>
      </c>
      <c r="D67" s="94">
        <v>1762</v>
      </c>
      <c r="E67" s="94">
        <v>2713</v>
      </c>
      <c r="F67" s="94">
        <v>1575</v>
      </c>
      <c r="G67" s="94">
        <v>520</v>
      </c>
      <c r="H67" s="94">
        <v>232</v>
      </c>
      <c r="I67" s="94">
        <v>157</v>
      </c>
      <c r="J67" s="94">
        <v>328</v>
      </c>
      <c r="K67" s="94">
        <v>9510</v>
      </c>
      <c r="M67" s="94"/>
      <c r="N67" s="94"/>
      <c r="O67" s="94"/>
      <c r="P67" s="94"/>
      <c r="Q67" s="94"/>
      <c r="R67" s="94"/>
      <c r="S67" s="94"/>
      <c r="T67" s="94"/>
      <c r="U67" s="94"/>
      <c r="V67" s="94"/>
    </row>
    <row r="68" spans="1:22" x14ac:dyDescent="0.25">
      <c r="A68" s="197" t="s">
        <v>198</v>
      </c>
      <c r="B68" s="4" t="s">
        <v>18</v>
      </c>
      <c r="C68" s="8">
        <v>978</v>
      </c>
      <c r="D68" s="8">
        <v>257</v>
      </c>
      <c r="E68" s="8">
        <v>1750</v>
      </c>
      <c r="F68" s="8">
        <v>881</v>
      </c>
      <c r="G68" s="8">
        <v>212</v>
      </c>
      <c r="H68" s="8">
        <v>66</v>
      </c>
      <c r="I68" s="8">
        <v>38</v>
      </c>
      <c r="J68" s="8">
        <v>332</v>
      </c>
      <c r="K68" s="8">
        <v>4514</v>
      </c>
      <c r="M68" s="8"/>
      <c r="N68" s="8"/>
      <c r="O68" s="8"/>
      <c r="P68" s="8"/>
      <c r="Q68" s="8"/>
      <c r="R68" s="8"/>
      <c r="S68" s="8"/>
      <c r="T68" s="8"/>
      <c r="U68" s="8"/>
      <c r="V68" s="8"/>
    </row>
    <row r="69" spans="1:22" x14ac:dyDescent="0.25">
      <c r="A69" s="197"/>
      <c r="B69" s="4" t="s">
        <v>19</v>
      </c>
      <c r="C69" s="8">
        <v>1156</v>
      </c>
      <c r="D69" s="8">
        <v>1400</v>
      </c>
      <c r="E69" s="8">
        <v>1278</v>
      </c>
      <c r="F69" s="8">
        <v>680</v>
      </c>
      <c r="G69" s="8">
        <v>249</v>
      </c>
      <c r="H69" s="8">
        <v>155</v>
      </c>
      <c r="I69" s="8">
        <v>122</v>
      </c>
      <c r="J69" s="8">
        <v>16</v>
      </c>
      <c r="K69" s="8">
        <v>5056</v>
      </c>
      <c r="M69" s="8"/>
      <c r="N69" s="8"/>
      <c r="O69" s="8"/>
      <c r="P69" s="8"/>
      <c r="Q69" s="8"/>
      <c r="R69" s="8"/>
      <c r="S69" s="8"/>
      <c r="T69" s="8"/>
      <c r="U69" s="8"/>
      <c r="V69" s="8"/>
    </row>
    <row r="70" spans="1:22" x14ac:dyDescent="0.25">
      <c r="A70" s="197"/>
      <c r="B70" s="4" t="s">
        <v>20</v>
      </c>
      <c r="C70" s="8">
        <v>111</v>
      </c>
      <c r="D70" s="8">
        <v>1</v>
      </c>
      <c r="E70" s="8">
        <v>20</v>
      </c>
      <c r="F70" s="29" t="s">
        <v>109</v>
      </c>
      <c r="G70" s="8">
        <v>2</v>
      </c>
      <c r="H70" s="8">
        <v>23</v>
      </c>
      <c r="I70" s="8" t="s">
        <v>109</v>
      </c>
      <c r="J70" s="8">
        <v>16</v>
      </c>
      <c r="K70" s="8">
        <v>173</v>
      </c>
      <c r="M70" s="8"/>
      <c r="N70" s="8"/>
      <c r="O70" s="8"/>
      <c r="P70" s="8"/>
      <c r="Q70" s="8"/>
      <c r="R70" s="8"/>
      <c r="S70" s="8"/>
      <c r="T70" s="8"/>
      <c r="U70" s="8"/>
      <c r="V70" s="8"/>
    </row>
    <row r="71" spans="1:22" x14ac:dyDescent="0.25">
      <c r="A71" s="197"/>
      <c r="B71" s="9" t="s">
        <v>11</v>
      </c>
      <c r="C71" s="94">
        <v>2245</v>
      </c>
      <c r="D71" s="94">
        <v>1658</v>
      </c>
      <c r="E71" s="94">
        <v>3048</v>
      </c>
      <c r="F71" s="94">
        <v>1561</v>
      </c>
      <c r="G71" s="94">
        <v>463</v>
      </c>
      <c r="H71" s="94">
        <v>244</v>
      </c>
      <c r="I71" s="94">
        <v>160</v>
      </c>
      <c r="J71" s="94">
        <v>364</v>
      </c>
      <c r="K71" s="94">
        <v>9743</v>
      </c>
      <c r="M71" s="94"/>
      <c r="N71" s="94"/>
      <c r="O71" s="94"/>
      <c r="P71" s="94"/>
      <c r="Q71" s="94"/>
      <c r="R71" s="94"/>
      <c r="S71" s="94"/>
      <c r="T71" s="94"/>
      <c r="U71" s="94"/>
      <c r="V71" s="94"/>
    </row>
    <row r="72" spans="1:22" x14ac:dyDescent="0.25">
      <c r="A72" s="197" t="s">
        <v>190</v>
      </c>
      <c r="B72" s="4" t="s">
        <v>18</v>
      </c>
      <c r="C72" s="8">
        <v>927</v>
      </c>
      <c r="D72" s="8">
        <v>222</v>
      </c>
      <c r="E72" s="8">
        <v>1594</v>
      </c>
      <c r="F72" s="8">
        <v>776</v>
      </c>
      <c r="G72" s="8">
        <v>205</v>
      </c>
      <c r="H72" s="8" t="s">
        <v>116</v>
      </c>
      <c r="I72" s="8" t="s">
        <v>116</v>
      </c>
      <c r="J72" s="8">
        <v>328</v>
      </c>
      <c r="K72" s="8">
        <v>4153</v>
      </c>
      <c r="M72" s="8"/>
      <c r="N72" s="8"/>
      <c r="O72" s="8"/>
      <c r="P72" s="8"/>
      <c r="Q72" s="8"/>
      <c r="R72" s="8"/>
      <c r="S72" s="8"/>
      <c r="T72" s="8"/>
      <c r="U72" s="8"/>
      <c r="V72" s="8"/>
    </row>
    <row r="73" spans="1:22" x14ac:dyDescent="0.25">
      <c r="A73" s="197"/>
      <c r="B73" s="4" t="s">
        <v>19</v>
      </c>
      <c r="C73" s="8">
        <v>1127</v>
      </c>
      <c r="D73" s="8">
        <v>1405</v>
      </c>
      <c r="E73" s="8">
        <v>1139</v>
      </c>
      <c r="F73" s="8">
        <v>625</v>
      </c>
      <c r="G73" s="8">
        <v>247</v>
      </c>
      <c r="H73" s="8" t="s">
        <v>116</v>
      </c>
      <c r="I73" s="8" t="s">
        <v>116</v>
      </c>
      <c r="J73" s="8">
        <v>19</v>
      </c>
      <c r="K73" s="8">
        <v>4803</v>
      </c>
      <c r="M73" s="8"/>
      <c r="N73" s="8"/>
      <c r="O73" s="8"/>
      <c r="P73" s="8"/>
      <c r="Q73" s="8"/>
      <c r="R73" s="8"/>
      <c r="S73" s="8"/>
      <c r="T73" s="8"/>
      <c r="U73" s="8"/>
      <c r="V73" s="8"/>
    </row>
    <row r="74" spans="1:22" x14ac:dyDescent="0.25">
      <c r="A74" s="197"/>
      <c r="B74" s="4" t="s">
        <v>20</v>
      </c>
      <c r="C74" s="8">
        <v>100</v>
      </c>
      <c r="D74" s="8" t="s">
        <v>109</v>
      </c>
      <c r="E74" s="8">
        <v>15</v>
      </c>
      <c r="F74" s="29" t="s">
        <v>109</v>
      </c>
      <c r="G74" s="8">
        <v>4</v>
      </c>
      <c r="H74" s="8">
        <v>21</v>
      </c>
      <c r="I74" s="8" t="s">
        <v>109</v>
      </c>
      <c r="J74" s="8">
        <v>11</v>
      </c>
      <c r="K74" s="8">
        <v>151</v>
      </c>
      <c r="M74" s="8"/>
      <c r="N74" s="8"/>
      <c r="O74" s="8"/>
      <c r="P74" s="8"/>
      <c r="Q74" s="8"/>
      <c r="R74" s="8"/>
      <c r="S74" s="8"/>
      <c r="T74" s="8"/>
      <c r="U74" s="8"/>
      <c r="V74" s="8"/>
    </row>
    <row r="75" spans="1:22" x14ac:dyDescent="0.25">
      <c r="A75" s="197"/>
      <c r="B75" s="9" t="s">
        <v>11</v>
      </c>
      <c r="C75" s="94">
        <v>2154</v>
      </c>
      <c r="D75" s="94">
        <v>1627</v>
      </c>
      <c r="E75" s="94">
        <v>2748</v>
      </c>
      <c r="F75" s="94">
        <v>1401</v>
      </c>
      <c r="G75" s="94">
        <v>456</v>
      </c>
      <c r="H75" s="94">
        <v>230</v>
      </c>
      <c r="I75" s="94">
        <v>133</v>
      </c>
      <c r="J75" s="94">
        <v>358</v>
      </c>
      <c r="K75" s="94">
        <v>9107</v>
      </c>
      <c r="M75" s="94"/>
      <c r="N75" s="94"/>
      <c r="O75" s="94"/>
      <c r="P75" s="94"/>
      <c r="Q75" s="94"/>
      <c r="R75" s="94"/>
      <c r="S75" s="94"/>
      <c r="T75" s="94"/>
      <c r="U75" s="94"/>
      <c r="V75" s="94"/>
    </row>
    <row r="76" spans="1:22" x14ac:dyDescent="0.25">
      <c r="A76" s="197" t="s">
        <v>191</v>
      </c>
      <c r="B76" s="4" t="s">
        <v>18</v>
      </c>
      <c r="C76" s="8">
        <v>837</v>
      </c>
      <c r="D76" s="8">
        <v>213</v>
      </c>
      <c r="E76" s="8">
        <v>1503</v>
      </c>
      <c r="F76" s="8">
        <v>659</v>
      </c>
      <c r="G76" s="8">
        <v>191</v>
      </c>
      <c r="H76" s="8" t="s">
        <v>116</v>
      </c>
      <c r="I76" s="8" t="s">
        <v>116</v>
      </c>
      <c r="J76" s="8">
        <v>303</v>
      </c>
      <c r="K76" s="8">
        <v>3804</v>
      </c>
      <c r="M76" s="8"/>
      <c r="N76" s="8"/>
      <c r="O76" s="8"/>
      <c r="P76" s="8"/>
      <c r="Q76" s="8"/>
      <c r="R76" s="8"/>
      <c r="S76" s="8"/>
      <c r="T76" s="8"/>
      <c r="U76" s="8"/>
      <c r="V76" s="8"/>
    </row>
    <row r="77" spans="1:22" x14ac:dyDescent="0.25">
      <c r="A77" s="197"/>
      <c r="B77" s="4" t="s">
        <v>19</v>
      </c>
      <c r="C77" s="8">
        <v>1074</v>
      </c>
      <c r="D77" s="8">
        <v>1241</v>
      </c>
      <c r="E77" s="8">
        <v>1068</v>
      </c>
      <c r="F77" s="8">
        <v>496</v>
      </c>
      <c r="G77" s="8">
        <v>249</v>
      </c>
      <c r="H77" s="8" t="s">
        <v>116</v>
      </c>
      <c r="I77" s="8" t="s">
        <v>116</v>
      </c>
      <c r="J77" s="8">
        <v>21</v>
      </c>
      <c r="K77" s="8">
        <v>4371</v>
      </c>
      <c r="M77" s="8"/>
      <c r="N77" s="8"/>
      <c r="O77" s="8"/>
      <c r="P77" s="8"/>
      <c r="Q77" s="8"/>
      <c r="R77" s="8"/>
      <c r="S77" s="8"/>
      <c r="T77" s="8"/>
      <c r="U77" s="8"/>
      <c r="V77" s="8"/>
    </row>
    <row r="78" spans="1:22" x14ac:dyDescent="0.25">
      <c r="A78" s="197"/>
      <c r="B78" s="4" t="s">
        <v>20</v>
      </c>
      <c r="C78" s="8">
        <v>109</v>
      </c>
      <c r="D78" s="29">
        <v>1</v>
      </c>
      <c r="E78" s="8">
        <v>15</v>
      </c>
      <c r="F78" s="29" t="s">
        <v>109</v>
      </c>
      <c r="G78" s="8">
        <v>4</v>
      </c>
      <c r="H78" s="8">
        <v>13</v>
      </c>
      <c r="I78" s="8" t="s">
        <v>109</v>
      </c>
      <c r="J78" s="8">
        <v>10</v>
      </c>
      <c r="K78" s="8">
        <v>152</v>
      </c>
      <c r="M78" s="8"/>
      <c r="N78" s="8"/>
      <c r="O78" s="8"/>
      <c r="P78" s="8"/>
      <c r="Q78" s="8"/>
      <c r="R78" s="8"/>
      <c r="S78" s="8"/>
      <c r="T78" s="8"/>
      <c r="U78" s="8"/>
      <c r="V78" s="8"/>
    </row>
    <row r="79" spans="1:22" x14ac:dyDescent="0.25">
      <c r="A79" s="197"/>
      <c r="B79" s="9" t="s">
        <v>11</v>
      </c>
      <c r="C79" s="94">
        <v>2020</v>
      </c>
      <c r="D79" s="94">
        <v>1455</v>
      </c>
      <c r="E79" s="94">
        <v>2586</v>
      </c>
      <c r="F79" s="94">
        <v>1155</v>
      </c>
      <c r="G79" s="94">
        <v>444</v>
      </c>
      <c r="H79" s="94">
        <v>216</v>
      </c>
      <c r="I79" s="94">
        <v>117</v>
      </c>
      <c r="J79" s="94">
        <v>334</v>
      </c>
      <c r="K79" s="94">
        <v>8327</v>
      </c>
      <c r="M79" s="94"/>
      <c r="N79" s="94"/>
      <c r="O79" s="94"/>
      <c r="P79" s="94"/>
      <c r="Q79" s="94"/>
      <c r="R79" s="94"/>
      <c r="S79" s="94"/>
      <c r="T79" s="94"/>
      <c r="U79" s="94"/>
      <c r="V79" s="94"/>
    </row>
    <row r="80" spans="1:22" x14ac:dyDescent="0.25">
      <c r="A80" s="197" t="s">
        <v>192</v>
      </c>
      <c r="B80" s="4" t="s">
        <v>18</v>
      </c>
      <c r="C80" s="8">
        <v>830</v>
      </c>
      <c r="D80" s="8">
        <v>182</v>
      </c>
      <c r="E80" s="8">
        <v>1494</v>
      </c>
      <c r="F80" s="8">
        <v>699</v>
      </c>
      <c r="G80" s="8">
        <v>200</v>
      </c>
      <c r="H80" s="8">
        <v>56</v>
      </c>
      <c r="I80" s="8">
        <v>24</v>
      </c>
      <c r="J80" s="8">
        <v>367</v>
      </c>
      <c r="K80" s="8">
        <v>3852</v>
      </c>
      <c r="M80" s="8"/>
      <c r="N80" s="8"/>
      <c r="O80" s="8"/>
      <c r="P80" s="8"/>
      <c r="Q80" s="8"/>
      <c r="R80" s="8"/>
      <c r="S80" s="8"/>
      <c r="T80" s="8"/>
      <c r="U80" s="8"/>
      <c r="V80" s="8"/>
    </row>
    <row r="81" spans="1:22" x14ac:dyDescent="0.25">
      <c r="A81" s="197"/>
      <c r="B81" s="4" t="s">
        <v>19</v>
      </c>
      <c r="C81" s="8">
        <v>949</v>
      </c>
      <c r="D81" s="8">
        <v>1106</v>
      </c>
      <c r="E81" s="8">
        <v>986</v>
      </c>
      <c r="F81" s="8">
        <v>502</v>
      </c>
      <c r="G81" s="8">
        <v>239</v>
      </c>
      <c r="H81" s="8">
        <v>120</v>
      </c>
      <c r="I81" s="8">
        <v>92</v>
      </c>
      <c r="J81" s="8">
        <v>21</v>
      </c>
      <c r="K81" s="8">
        <v>4015</v>
      </c>
      <c r="M81" s="8"/>
      <c r="N81" s="8"/>
      <c r="O81" s="8"/>
      <c r="P81" s="8"/>
      <c r="Q81" s="8"/>
      <c r="R81" s="8"/>
      <c r="S81" s="8"/>
      <c r="T81" s="8"/>
      <c r="U81" s="8"/>
      <c r="V81" s="8"/>
    </row>
    <row r="82" spans="1:22" x14ac:dyDescent="0.25">
      <c r="A82" s="197"/>
      <c r="B82" s="4" t="s">
        <v>20</v>
      </c>
      <c r="C82" s="8">
        <v>87</v>
      </c>
      <c r="D82" s="8" t="s">
        <v>109</v>
      </c>
      <c r="E82" s="8">
        <v>12</v>
      </c>
      <c r="F82" s="29" t="s">
        <v>109</v>
      </c>
      <c r="G82" s="8">
        <v>4</v>
      </c>
      <c r="H82" s="8">
        <v>4</v>
      </c>
      <c r="I82" s="8" t="s">
        <v>109</v>
      </c>
      <c r="J82" s="8">
        <v>10</v>
      </c>
      <c r="K82" s="8">
        <v>117</v>
      </c>
      <c r="M82" s="8"/>
      <c r="N82" s="8"/>
      <c r="O82" s="8"/>
      <c r="P82" s="8"/>
      <c r="Q82" s="8"/>
      <c r="R82" s="8"/>
      <c r="S82" s="8"/>
      <c r="T82" s="8"/>
      <c r="U82" s="8"/>
      <c r="V82" s="8"/>
    </row>
    <row r="83" spans="1:22" x14ac:dyDescent="0.25">
      <c r="A83" s="197"/>
      <c r="B83" s="9" t="s">
        <v>11</v>
      </c>
      <c r="C83" s="94">
        <v>1866</v>
      </c>
      <c r="D83" s="94">
        <v>1288</v>
      </c>
      <c r="E83" s="94">
        <v>2492</v>
      </c>
      <c r="F83" s="94">
        <v>1201</v>
      </c>
      <c r="G83" s="94">
        <v>443</v>
      </c>
      <c r="H83" s="94">
        <v>180</v>
      </c>
      <c r="I83" s="94">
        <v>116</v>
      </c>
      <c r="J83" s="94">
        <v>398</v>
      </c>
      <c r="K83" s="94">
        <v>7984</v>
      </c>
      <c r="M83" s="94"/>
      <c r="N83" s="94"/>
      <c r="O83" s="94"/>
      <c r="P83" s="94"/>
      <c r="Q83" s="94"/>
      <c r="R83" s="94"/>
      <c r="S83" s="94"/>
      <c r="T83" s="94"/>
      <c r="U83" s="94"/>
      <c r="V83" s="94"/>
    </row>
    <row r="84" spans="1:22" x14ac:dyDescent="0.25">
      <c r="A84" s="197" t="s">
        <v>193</v>
      </c>
      <c r="B84" s="4" t="s">
        <v>18</v>
      </c>
      <c r="C84" s="8">
        <v>866</v>
      </c>
      <c r="D84" s="8">
        <v>185</v>
      </c>
      <c r="E84" s="8">
        <v>1522</v>
      </c>
      <c r="F84" s="8">
        <v>763</v>
      </c>
      <c r="G84" s="8">
        <v>245</v>
      </c>
      <c r="H84" s="8" t="s">
        <v>116</v>
      </c>
      <c r="I84" s="8" t="s">
        <v>116</v>
      </c>
      <c r="J84" s="8">
        <v>493</v>
      </c>
      <c r="K84" s="8">
        <v>4164</v>
      </c>
      <c r="M84" s="8"/>
      <c r="N84" s="8"/>
      <c r="O84" s="8"/>
      <c r="P84" s="8"/>
      <c r="Q84" s="8"/>
      <c r="R84" s="8"/>
      <c r="S84" s="8"/>
      <c r="T84" s="8"/>
      <c r="U84" s="8"/>
      <c r="V84" s="8"/>
    </row>
    <row r="85" spans="1:22" x14ac:dyDescent="0.25">
      <c r="A85" s="197"/>
      <c r="B85" s="4" t="s">
        <v>19</v>
      </c>
      <c r="C85" s="8">
        <v>799</v>
      </c>
      <c r="D85" s="8">
        <v>917</v>
      </c>
      <c r="E85" s="8">
        <v>936</v>
      </c>
      <c r="F85" s="8">
        <v>530</v>
      </c>
      <c r="G85" s="8">
        <v>291</v>
      </c>
      <c r="H85" s="8" t="s">
        <v>116</v>
      </c>
      <c r="I85" s="8" t="s">
        <v>116</v>
      </c>
      <c r="J85" s="8">
        <v>19</v>
      </c>
      <c r="K85" s="8">
        <v>3706</v>
      </c>
      <c r="M85" s="8"/>
      <c r="N85" s="8"/>
      <c r="O85" s="8"/>
      <c r="P85" s="8"/>
      <c r="Q85" s="8"/>
      <c r="R85" s="8"/>
      <c r="S85" s="8"/>
      <c r="T85" s="8"/>
      <c r="U85" s="8"/>
      <c r="V85" s="8"/>
    </row>
    <row r="86" spans="1:22" x14ac:dyDescent="0.25">
      <c r="A86" s="197"/>
      <c r="B86" s="4" t="s">
        <v>20</v>
      </c>
      <c r="C86" s="8">
        <v>81</v>
      </c>
      <c r="D86" s="29" t="s">
        <v>109</v>
      </c>
      <c r="E86" s="8">
        <v>10</v>
      </c>
      <c r="F86" s="29" t="s">
        <v>109</v>
      </c>
      <c r="G86" s="8">
        <v>4</v>
      </c>
      <c r="H86" s="8">
        <v>2</v>
      </c>
      <c r="I86" s="8">
        <v>2</v>
      </c>
      <c r="J86" s="8">
        <v>22</v>
      </c>
      <c r="K86" s="8">
        <v>121</v>
      </c>
      <c r="M86" s="8"/>
      <c r="N86" s="8"/>
      <c r="O86" s="8"/>
      <c r="P86" s="8"/>
      <c r="Q86" s="8"/>
      <c r="R86" s="8"/>
      <c r="S86" s="8"/>
      <c r="T86" s="8"/>
      <c r="U86" s="8"/>
      <c r="V86" s="8"/>
    </row>
    <row r="87" spans="1:22" x14ac:dyDescent="0.25">
      <c r="A87" s="197"/>
      <c r="B87" s="9" t="s">
        <v>11</v>
      </c>
      <c r="C87" s="94">
        <v>1746</v>
      </c>
      <c r="D87" s="94">
        <v>1102</v>
      </c>
      <c r="E87" s="94">
        <v>2468</v>
      </c>
      <c r="F87" s="94">
        <v>1293</v>
      </c>
      <c r="G87" s="94">
        <v>540</v>
      </c>
      <c r="H87" s="94">
        <v>184</v>
      </c>
      <c r="I87" s="94">
        <v>124</v>
      </c>
      <c r="J87" s="94">
        <v>534</v>
      </c>
      <c r="K87" s="94">
        <v>7991</v>
      </c>
      <c r="M87" s="94"/>
      <c r="N87" s="94"/>
      <c r="O87" s="94"/>
      <c r="P87" s="94"/>
      <c r="Q87" s="94"/>
      <c r="R87" s="94"/>
      <c r="S87" s="94"/>
      <c r="T87" s="94"/>
      <c r="U87" s="94"/>
      <c r="V87" s="94"/>
    </row>
    <row r="88" spans="1:22" x14ac:dyDescent="0.25">
      <c r="A88" s="197" t="s">
        <v>194</v>
      </c>
      <c r="B88" s="4" t="s">
        <v>18</v>
      </c>
      <c r="C88" s="8">
        <v>895</v>
      </c>
      <c r="D88" s="8">
        <v>165</v>
      </c>
      <c r="E88" s="8">
        <v>1548</v>
      </c>
      <c r="F88" s="8">
        <v>754</v>
      </c>
      <c r="G88" s="8">
        <v>283</v>
      </c>
      <c r="H88" s="8" t="s">
        <v>116</v>
      </c>
      <c r="I88" s="8" t="s">
        <v>116</v>
      </c>
      <c r="J88" s="8">
        <v>683</v>
      </c>
      <c r="K88" s="8">
        <v>4436</v>
      </c>
      <c r="M88" s="8"/>
      <c r="N88" s="8"/>
      <c r="O88" s="8"/>
      <c r="P88" s="8"/>
      <c r="Q88" s="8"/>
      <c r="R88" s="8"/>
      <c r="S88" s="8"/>
      <c r="T88" s="8"/>
      <c r="U88" s="8"/>
      <c r="V88" s="8"/>
    </row>
    <row r="89" spans="1:22" x14ac:dyDescent="0.25">
      <c r="A89" s="197"/>
      <c r="B89" s="4" t="s">
        <v>19</v>
      </c>
      <c r="C89" s="8">
        <v>742</v>
      </c>
      <c r="D89" s="8">
        <v>773</v>
      </c>
      <c r="E89" s="8">
        <v>916</v>
      </c>
      <c r="F89" s="8">
        <v>522</v>
      </c>
      <c r="G89" s="8">
        <v>274</v>
      </c>
      <c r="H89" s="8" t="s">
        <v>116</v>
      </c>
      <c r="I89" s="8" t="s">
        <v>116</v>
      </c>
      <c r="J89" s="8">
        <v>37</v>
      </c>
      <c r="K89" s="8">
        <v>3510</v>
      </c>
      <c r="M89" s="8"/>
      <c r="N89" s="8"/>
      <c r="O89" s="8"/>
      <c r="P89" s="8"/>
      <c r="Q89" s="8"/>
      <c r="R89" s="8"/>
      <c r="S89" s="8"/>
      <c r="T89" s="8"/>
      <c r="U89" s="8"/>
      <c r="V89" s="8"/>
    </row>
    <row r="90" spans="1:22" x14ac:dyDescent="0.25">
      <c r="A90" s="197"/>
      <c r="B90" s="4" t="s">
        <v>20</v>
      </c>
      <c r="C90" s="8">
        <v>75</v>
      </c>
      <c r="D90" s="8" t="s">
        <v>109</v>
      </c>
      <c r="E90" s="8">
        <v>8</v>
      </c>
      <c r="F90" s="29" t="s">
        <v>109</v>
      </c>
      <c r="G90" s="8">
        <v>3</v>
      </c>
      <c r="H90" s="8">
        <v>1</v>
      </c>
      <c r="I90" s="8">
        <v>3</v>
      </c>
      <c r="J90" s="8">
        <v>28</v>
      </c>
      <c r="K90" s="8">
        <v>118</v>
      </c>
      <c r="M90" s="8"/>
      <c r="N90" s="8"/>
      <c r="O90" s="8"/>
      <c r="P90" s="8"/>
      <c r="Q90" s="8"/>
      <c r="R90" s="8"/>
      <c r="S90" s="8"/>
      <c r="T90" s="8"/>
      <c r="U90" s="8"/>
      <c r="V90" s="8"/>
    </row>
    <row r="91" spans="1:22" x14ac:dyDescent="0.25">
      <c r="A91" s="197"/>
      <c r="B91" s="9" t="s">
        <v>11</v>
      </c>
      <c r="C91" s="94">
        <v>1712</v>
      </c>
      <c r="D91" s="94">
        <v>938</v>
      </c>
      <c r="E91" s="94">
        <v>2472</v>
      </c>
      <c r="F91" s="94">
        <v>1276</v>
      </c>
      <c r="G91" s="94">
        <v>560</v>
      </c>
      <c r="H91" s="94">
        <v>206</v>
      </c>
      <c r="I91" s="94">
        <v>152</v>
      </c>
      <c r="J91" s="94">
        <v>748</v>
      </c>
      <c r="K91" s="94">
        <v>8064</v>
      </c>
      <c r="M91" s="94"/>
      <c r="N91" s="94"/>
      <c r="O91" s="94"/>
      <c r="P91" s="94"/>
      <c r="Q91" s="94"/>
      <c r="R91" s="94"/>
      <c r="S91" s="94"/>
      <c r="T91" s="94"/>
      <c r="U91" s="94"/>
      <c r="V91" s="94"/>
    </row>
    <row r="92" spans="1:22" x14ac:dyDescent="0.25">
      <c r="A92" s="197" t="s">
        <v>284</v>
      </c>
      <c r="B92" s="4" t="s">
        <v>18</v>
      </c>
      <c r="C92" s="8">
        <v>934</v>
      </c>
      <c r="D92" s="8">
        <v>194</v>
      </c>
      <c r="E92" s="8">
        <v>1543</v>
      </c>
      <c r="F92" s="8">
        <v>679</v>
      </c>
      <c r="G92" s="8">
        <v>279</v>
      </c>
      <c r="H92" s="8">
        <v>90</v>
      </c>
      <c r="I92" s="8">
        <v>48</v>
      </c>
      <c r="J92" s="8">
        <v>917</v>
      </c>
      <c r="K92" s="8">
        <v>4684</v>
      </c>
      <c r="M92" s="8"/>
      <c r="N92" s="8"/>
      <c r="O92" s="8"/>
      <c r="P92" s="8"/>
      <c r="Q92" s="8"/>
      <c r="R92" s="8"/>
      <c r="S92" s="8"/>
      <c r="T92" s="8"/>
      <c r="U92" s="8"/>
      <c r="V92" s="8"/>
    </row>
    <row r="93" spans="1:22" x14ac:dyDescent="0.25">
      <c r="A93" s="197"/>
      <c r="B93" s="4" t="s">
        <v>19</v>
      </c>
      <c r="C93" s="8">
        <v>732</v>
      </c>
      <c r="D93" s="8">
        <v>801</v>
      </c>
      <c r="E93" s="8">
        <v>900</v>
      </c>
      <c r="F93" s="8">
        <v>498</v>
      </c>
      <c r="G93" s="8">
        <v>235</v>
      </c>
      <c r="H93" s="8">
        <v>161</v>
      </c>
      <c r="I93" s="8">
        <v>106</v>
      </c>
      <c r="J93" s="8">
        <v>44</v>
      </c>
      <c r="K93" s="8">
        <v>3477</v>
      </c>
      <c r="M93" s="8"/>
      <c r="N93" s="8"/>
      <c r="O93" s="8"/>
      <c r="P93" s="8"/>
      <c r="Q93" s="8"/>
      <c r="R93" s="8"/>
      <c r="S93" s="8"/>
      <c r="T93" s="8"/>
      <c r="U93" s="8"/>
      <c r="V93" s="8"/>
    </row>
    <row r="94" spans="1:22" x14ac:dyDescent="0.25">
      <c r="A94" s="197"/>
      <c r="B94" s="4" t="s">
        <v>20</v>
      </c>
      <c r="C94" s="8">
        <v>75</v>
      </c>
      <c r="D94" s="8">
        <v>4</v>
      </c>
      <c r="E94" s="8">
        <v>13</v>
      </c>
      <c r="F94" s="29" t="s">
        <v>109</v>
      </c>
      <c r="G94" s="8">
        <v>8</v>
      </c>
      <c r="H94" s="8">
        <v>6</v>
      </c>
      <c r="I94" s="8" t="s">
        <v>109</v>
      </c>
      <c r="J94" s="8">
        <v>34</v>
      </c>
      <c r="K94" s="8">
        <v>140</v>
      </c>
      <c r="M94" s="8"/>
      <c r="N94" s="8"/>
      <c r="O94" s="8"/>
      <c r="P94" s="8"/>
      <c r="Q94" s="8"/>
      <c r="R94" s="8"/>
      <c r="S94" s="8"/>
      <c r="T94" s="8"/>
      <c r="U94" s="8"/>
      <c r="V94" s="8"/>
    </row>
    <row r="95" spans="1:22" ht="15" customHeight="1" x14ac:dyDescent="0.25">
      <c r="A95" s="197"/>
      <c r="B95" s="9" t="s">
        <v>11</v>
      </c>
      <c r="C95" s="94">
        <v>1741</v>
      </c>
      <c r="D95" s="94">
        <v>999</v>
      </c>
      <c r="E95" s="94">
        <v>2456</v>
      </c>
      <c r="F95" s="94">
        <v>1177</v>
      </c>
      <c r="G95" s="94">
        <v>522</v>
      </c>
      <c r="H95" s="94">
        <v>257</v>
      </c>
      <c r="I95" s="94">
        <v>154</v>
      </c>
      <c r="J95" s="94">
        <v>995</v>
      </c>
      <c r="K95" s="94">
        <v>8301</v>
      </c>
      <c r="M95" s="94"/>
      <c r="N95" s="94"/>
      <c r="O95" s="94"/>
      <c r="P95" s="94"/>
      <c r="Q95" s="94"/>
      <c r="R95" s="94"/>
      <c r="S95" s="94"/>
      <c r="T95" s="94"/>
      <c r="U95" s="94"/>
      <c r="V95" s="94"/>
    </row>
    <row r="96" spans="1:22" ht="4.5" customHeight="1" x14ac:dyDescent="0.25">
      <c r="A96" s="98"/>
      <c r="B96" s="78"/>
      <c r="C96" s="80"/>
      <c r="D96" s="80"/>
      <c r="E96" s="80"/>
      <c r="F96" s="80"/>
      <c r="G96" s="80"/>
      <c r="H96" s="79"/>
      <c r="I96" s="79"/>
      <c r="J96" s="79"/>
      <c r="K96" s="79"/>
      <c r="M96" s="120"/>
      <c r="N96" s="120"/>
      <c r="O96" s="120"/>
      <c r="P96" s="120"/>
      <c r="Q96" s="120"/>
      <c r="R96" s="120"/>
      <c r="S96" s="120"/>
      <c r="T96" s="120"/>
      <c r="U96" s="120"/>
      <c r="V96" s="120"/>
    </row>
    <row r="97" spans="1:14" ht="14.25" customHeight="1" x14ac:dyDescent="0.25">
      <c r="A97" s="6" t="s">
        <v>213</v>
      </c>
      <c r="B97" s="27"/>
      <c r="C97" s="102"/>
      <c r="D97" s="102"/>
      <c r="E97" s="102"/>
      <c r="F97" s="102"/>
      <c r="G97" s="102"/>
      <c r="H97" s="38"/>
      <c r="I97" s="38"/>
      <c r="J97" s="38"/>
      <c r="K97" s="38"/>
    </row>
    <row r="98" spans="1:14" ht="13.5" customHeight="1" x14ac:dyDescent="0.25">
      <c r="A98" s="6" t="s">
        <v>42</v>
      </c>
    </row>
    <row r="99" spans="1:14" ht="11.1" customHeight="1" x14ac:dyDescent="0.25">
      <c r="A99" s="192"/>
      <c r="B99" s="192"/>
      <c r="C99" s="192"/>
      <c r="D99" s="192"/>
      <c r="E99" s="192"/>
      <c r="F99" s="192"/>
      <c r="G99" s="192"/>
      <c r="H99" s="192"/>
      <c r="I99" s="192"/>
      <c r="J99" s="192"/>
      <c r="K99" s="192"/>
      <c r="L99" s="192"/>
      <c r="M99" s="192"/>
      <c r="N99" s="192"/>
    </row>
    <row r="100" spans="1:14" s="6" customFormat="1" ht="11.1" customHeight="1" x14ac:dyDescent="0.15">
      <c r="A100" s="6" t="s">
        <v>263</v>
      </c>
    </row>
    <row r="101" spans="1:14" ht="12" customHeight="1" x14ac:dyDescent="0.25">
      <c r="A101" s="2"/>
    </row>
    <row r="105" spans="1:14" x14ac:dyDescent="0.25">
      <c r="H105" s="120"/>
    </row>
    <row r="106" spans="1:14" x14ac:dyDescent="0.25">
      <c r="F106" s="197"/>
      <c r="G106" s="4"/>
      <c r="H106" s="120"/>
    </row>
    <row r="107" spans="1:14" x14ac:dyDescent="0.25">
      <c r="F107" s="197"/>
      <c r="G107" s="4"/>
    </row>
    <row r="108" spans="1:14" x14ac:dyDescent="0.25">
      <c r="F108" s="197"/>
      <c r="G108" s="4"/>
    </row>
    <row r="109" spans="1:14" x14ac:dyDescent="0.25">
      <c r="F109" s="197"/>
      <c r="G109" s="9"/>
    </row>
    <row r="110" spans="1:14" x14ac:dyDescent="0.25">
      <c r="F110" s="197"/>
      <c r="G110" s="4"/>
    </row>
    <row r="111" spans="1:14" x14ac:dyDescent="0.25">
      <c r="F111" s="197"/>
      <c r="G111" s="4"/>
    </row>
    <row r="112" spans="1:14" x14ac:dyDescent="0.25">
      <c r="F112" s="197"/>
      <c r="G112" s="4"/>
    </row>
    <row r="113" spans="6:7" x14ac:dyDescent="0.25">
      <c r="F113" s="197"/>
      <c r="G113" s="9"/>
    </row>
    <row r="114" spans="6:7" x14ac:dyDescent="0.25">
      <c r="F114" s="197"/>
      <c r="G114" s="4"/>
    </row>
    <row r="115" spans="6:7" x14ac:dyDescent="0.25">
      <c r="F115" s="197"/>
      <c r="G115" s="4"/>
    </row>
    <row r="116" spans="6:7" x14ac:dyDescent="0.25">
      <c r="F116" s="197"/>
      <c r="G116" s="4"/>
    </row>
    <row r="117" spans="6:7" x14ac:dyDescent="0.25">
      <c r="F117" s="197"/>
      <c r="G117" s="9"/>
    </row>
    <row r="118" spans="6:7" x14ac:dyDescent="0.25">
      <c r="F118" s="197"/>
      <c r="G118" s="4"/>
    </row>
    <row r="119" spans="6:7" x14ac:dyDescent="0.25">
      <c r="F119" s="197"/>
      <c r="G119" s="4"/>
    </row>
    <row r="120" spans="6:7" x14ac:dyDescent="0.25">
      <c r="F120" s="197"/>
      <c r="G120" s="4"/>
    </row>
    <row r="121" spans="6:7" x14ac:dyDescent="0.25">
      <c r="F121" s="197"/>
      <c r="G121" s="9"/>
    </row>
    <row r="122" spans="6:7" x14ac:dyDescent="0.25">
      <c r="F122" s="197"/>
      <c r="G122" s="4"/>
    </row>
    <row r="123" spans="6:7" x14ac:dyDescent="0.25">
      <c r="F123" s="197"/>
      <c r="G123" s="4"/>
    </row>
    <row r="124" spans="6:7" x14ac:dyDescent="0.25">
      <c r="F124" s="197"/>
      <c r="G124" s="4"/>
    </row>
    <row r="125" spans="6:7" x14ac:dyDescent="0.25">
      <c r="F125" s="197"/>
      <c r="G125" s="9"/>
    </row>
    <row r="126" spans="6:7" x14ac:dyDescent="0.25">
      <c r="F126" s="197"/>
      <c r="G126" s="4"/>
    </row>
    <row r="127" spans="6:7" x14ac:dyDescent="0.25">
      <c r="F127" s="197"/>
      <c r="G127" s="4"/>
    </row>
    <row r="128" spans="6:7" x14ac:dyDescent="0.25">
      <c r="F128" s="197"/>
      <c r="G128" s="4"/>
    </row>
    <row r="129" spans="6:7" x14ac:dyDescent="0.25">
      <c r="F129" s="197"/>
      <c r="G129" s="9"/>
    </row>
    <row r="130" spans="6:7" x14ac:dyDescent="0.25">
      <c r="F130" s="197"/>
      <c r="G130" s="4"/>
    </row>
    <row r="131" spans="6:7" x14ac:dyDescent="0.25">
      <c r="F131" s="197"/>
      <c r="G131" s="4"/>
    </row>
    <row r="132" spans="6:7" x14ac:dyDescent="0.25">
      <c r="F132" s="197"/>
      <c r="G132" s="4"/>
    </row>
    <row r="133" spans="6:7" x14ac:dyDescent="0.25">
      <c r="F133" s="197"/>
      <c r="G133" s="9"/>
    </row>
    <row r="134" spans="6:7" x14ac:dyDescent="0.25">
      <c r="F134" s="197"/>
      <c r="G134" s="4"/>
    </row>
    <row r="135" spans="6:7" x14ac:dyDescent="0.25">
      <c r="F135" s="197"/>
      <c r="G135" s="4"/>
    </row>
    <row r="136" spans="6:7" x14ac:dyDescent="0.25">
      <c r="F136" s="197"/>
      <c r="G136" s="4"/>
    </row>
    <row r="137" spans="6:7" x14ac:dyDescent="0.25">
      <c r="F137" s="197"/>
      <c r="G137" s="9"/>
    </row>
    <row r="138" spans="6:7" x14ac:dyDescent="0.25">
      <c r="F138" s="197"/>
      <c r="G138" s="4"/>
    </row>
    <row r="139" spans="6:7" x14ac:dyDescent="0.25">
      <c r="F139" s="197"/>
      <c r="G139" s="4"/>
    </row>
    <row r="140" spans="6:7" x14ac:dyDescent="0.25">
      <c r="F140" s="197"/>
      <c r="G140" s="4"/>
    </row>
    <row r="141" spans="6:7" x14ac:dyDescent="0.25">
      <c r="F141" s="197"/>
      <c r="G141" s="9"/>
    </row>
    <row r="142" spans="6:7" x14ac:dyDescent="0.25">
      <c r="F142" s="197"/>
      <c r="G142" s="4"/>
    </row>
    <row r="143" spans="6:7" x14ac:dyDescent="0.25">
      <c r="F143" s="197"/>
      <c r="G143" s="4"/>
    </row>
    <row r="144" spans="6:7" x14ac:dyDescent="0.25">
      <c r="F144" s="197"/>
      <c r="G144" s="4"/>
    </row>
    <row r="145" spans="6:7" x14ac:dyDescent="0.25">
      <c r="F145" s="197"/>
      <c r="G145" s="9"/>
    </row>
  </sheetData>
  <mergeCells count="34">
    <mergeCell ref="A40:A43"/>
    <mergeCell ref="A1:L1"/>
    <mergeCell ref="A4:A7"/>
    <mergeCell ref="A8:A11"/>
    <mergeCell ref="A12:A15"/>
    <mergeCell ref="A16:A19"/>
    <mergeCell ref="A20:A23"/>
    <mergeCell ref="A24:A27"/>
    <mergeCell ref="A28:A31"/>
    <mergeCell ref="A32:A35"/>
    <mergeCell ref="A36:A39"/>
    <mergeCell ref="A99:N99"/>
    <mergeCell ref="A45:L45"/>
    <mergeCell ref="A53:N53"/>
    <mergeCell ref="A56:A59"/>
    <mergeCell ref="A60:A63"/>
    <mergeCell ref="A64:A67"/>
    <mergeCell ref="A68:A71"/>
    <mergeCell ref="A72:A75"/>
    <mergeCell ref="A76:A79"/>
    <mergeCell ref="A80:A83"/>
    <mergeCell ref="A84:A87"/>
    <mergeCell ref="A88:A91"/>
    <mergeCell ref="A92:A95"/>
    <mergeCell ref="F106:F109"/>
    <mergeCell ref="F110:F113"/>
    <mergeCell ref="F114:F117"/>
    <mergeCell ref="F118:F121"/>
    <mergeCell ref="F122:F125"/>
    <mergeCell ref="F126:F129"/>
    <mergeCell ref="F130:F133"/>
    <mergeCell ref="F134:F137"/>
    <mergeCell ref="F138:F141"/>
    <mergeCell ref="F142:F145"/>
  </mergeCells>
  <pageMargins left="0.08" right="0.08" top="1" bottom="1" header="0.5" footer="0.5"/>
  <pageSetup orientation="landscape" blackAndWhite="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Y82"/>
  <sheetViews>
    <sheetView zoomScaleNormal="100" workbookViewId="0">
      <selection sqref="A1:K1"/>
    </sheetView>
  </sheetViews>
  <sheetFormatPr defaultColWidth="9.140625" defaultRowHeight="15" x14ac:dyDescent="0.25"/>
  <cols>
    <col min="1" max="1" width="11.42578125" style="1" bestFit="1" customWidth="1"/>
    <col min="2" max="2" width="16" style="1" customWidth="1"/>
    <col min="3" max="11" width="11.42578125" style="1" bestFit="1" customWidth="1"/>
    <col min="12" max="16384" width="9.140625" style="1"/>
  </cols>
  <sheetData>
    <row r="1" spans="1:25" ht="32.25" customHeight="1" x14ac:dyDescent="0.25">
      <c r="A1" s="189" t="s">
        <v>291</v>
      </c>
      <c r="B1" s="189"/>
      <c r="C1" s="189"/>
      <c r="D1" s="189"/>
      <c r="E1" s="189"/>
      <c r="F1" s="189"/>
      <c r="G1" s="189"/>
      <c r="H1" s="189"/>
      <c r="I1" s="189"/>
      <c r="J1" s="189"/>
      <c r="K1" s="189"/>
    </row>
    <row r="2" spans="1:25" ht="3.75" customHeight="1" x14ac:dyDescent="0.25">
      <c r="A2" s="2"/>
    </row>
    <row r="3" spans="1:25" ht="23.25" x14ac:dyDescent="0.25">
      <c r="A3" s="31" t="s">
        <v>122</v>
      </c>
      <c r="B3" s="31" t="s">
        <v>120</v>
      </c>
      <c r="C3" s="3" t="s">
        <v>0</v>
      </c>
      <c r="D3" s="3" t="s">
        <v>1</v>
      </c>
      <c r="E3" s="3" t="s">
        <v>2</v>
      </c>
      <c r="F3" s="3" t="s">
        <v>3</v>
      </c>
      <c r="G3" s="3" t="s">
        <v>4</v>
      </c>
      <c r="H3" s="3" t="s">
        <v>5</v>
      </c>
      <c r="I3" s="3" t="s">
        <v>6</v>
      </c>
      <c r="J3" s="3" t="s">
        <v>7</v>
      </c>
      <c r="K3" s="3" t="s">
        <v>199</v>
      </c>
      <c r="L3" s="3" t="s">
        <v>8</v>
      </c>
    </row>
    <row r="4" spans="1:25" ht="15" customHeight="1" x14ac:dyDescent="0.25">
      <c r="A4" s="27" t="s">
        <v>150</v>
      </c>
      <c r="B4" s="23" t="s">
        <v>18</v>
      </c>
      <c r="C4" s="5">
        <v>85.950999999999993</v>
      </c>
      <c r="D4" s="5">
        <v>89.552000000000007</v>
      </c>
      <c r="E4" s="5">
        <v>150.714</v>
      </c>
      <c r="F4" s="5">
        <v>199.01</v>
      </c>
      <c r="G4" s="5">
        <v>149.923</v>
      </c>
      <c r="H4" s="5">
        <v>38.122</v>
      </c>
      <c r="I4" s="5">
        <v>98.418000000000006</v>
      </c>
      <c r="J4" s="5">
        <v>86.870999999999995</v>
      </c>
      <c r="K4" s="8">
        <v>122.199</v>
      </c>
      <c r="L4" s="5">
        <v>119.392</v>
      </c>
      <c r="N4" s="5"/>
      <c r="O4" s="5"/>
      <c r="P4" s="5"/>
      <c r="Q4" s="5"/>
      <c r="R4" s="5"/>
      <c r="S4" s="5"/>
      <c r="T4" s="5"/>
      <c r="U4" s="5"/>
      <c r="V4" s="8"/>
      <c r="W4" s="5"/>
      <c r="Y4" s="127"/>
    </row>
    <row r="5" spans="1:25" ht="15" customHeight="1" x14ac:dyDescent="0.25">
      <c r="A5" s="27"/>
      <c r="B5" s="23" t="s">
        <v>19</v>
      </c>
      <c r="C5" s="5">
        <v>7.1539999999999999</v>
      </c>
      <c r="D5" s="5">
        <v>7.5190000000000001</v>
      </c>
      <c r="E5" s="5">
        <v>10.211</v>
      </c>
      <c r="F5" s="5">
        <v>8.4130000000000003</v>
      </c>
      <c r="G5" s="5">
        <v>6.5919999999999996</v>
      </c>
      <c r="H5" s="5">
        <v>11.826000000000001</v>
      </c>
      <c r="I5" s="5">
        <v>11.621</v>
      </c>
      <c r="J5" s="5">
        <v>2.6240000000000001</v>
      </c>
      <c r="K5" s="5">
        <v>8.1560000000000006</v>
      </c>
      <c r="L5" s="5">
        <v>8.1219999999999999</v>
      </c>
      <c r="N5" s="5"/>
      <c r="O5" s="5"/>
      <c r="P5" s="5"/>
      <c r="Q5" s="5"/>
      <c r="R5" s="5"/>
      <c r="S5" s="5"/>
      <c r="T5" s="5"/>
      <c r="U5" s="5"/>
      <c r="V5" s="5"/>
      <c r="W5" s="5"/>
    </row>
    <row r="6" spans="1:25" ht="15" customHeight="1" x14ac:dyDescent="0.25">
      <c r="A6" s="27"/>
      <c r="B6" s="27" t="s">
        <v>11</v>
      </c>
      <c r="C6" s="97">
        <v>13.446999999999999</v>
      </c>
      <c r="D6" s="97">
        <v>9.1720000000000006</v>
      </c>
      <c r="E6" s="97">
        <v>22.227</v>
      </c>
      <c r="F6" s="97">
        <v>22.244</v>
      </c>
      <c r="G6" s="97">
        <v>13.569000000000001</v>
      </c>
      <c r="H6" s="97">
        <v>15.335000000000001</v>
      </c>
      <c r="I6" s="97">
        <v>14.978</v>
      </c>
      <c r="J6" s="97">
        <v>45.554000000000002</v>
      </c>
      <c r="K6" s="97">
        <v>15.3</v>
      </c>
      <c r="L6" s="97">
        <v>15.629</v>
      </c>
      <c r="N6" s="97"/>
      <c r="O6" s="97"/>
      <c r="P6" s="97"/>
      <c r="Q6" s="97"/>
      <c r="R6" s="97"/>
      <c r="S6" s="97"/>
      <c r="T6" s="97"/>
      <c r="U6" s="97"/>
      <c r="V6" s="97"/>
      <c r="W6" s="97"/>
    </row>
    <row r="7" spans="1:25" ht="15" customHeight="1" x14ac:dyDescent="0.25">
      <c r="A7" s="27" t="s">
        <v>151</v>
      </c>
      <c r="B7" s="23" t="s">
        <v>18</v>
      </c>
      <c r="C7" s="5">
        <v>78.802999999999997</v>
      </c>
      <c r="D7" s="5">
        <v>77.328000000000003</v>
      </c>
      <c r="E7" s="5">
        <v>163.91200000000001</v>
      </c>
      <c r="F7" s="5">
        <v>192.13399999999999</v>
      </c>
      <c r="G7" s="5">
        <v>109.967</v>
      </c>
      <c r="H7" s="5">
        <v>50.712000000000003</v>
      </c>
      <c r="I7" s="5">
        <v>141.18600000000001</v>
      </c>
      <c r="J7" s="5">
        <v>77.591999999999999</v>
      </c>
      <c r="K7" s="5">
        <v>120.325</v>
      </c>
      <c r="L7" s="5">
        <v>117.03</v>
      </c>
      <c r="N7" s="5"/>
      <c r="O7" s="5"/>
      <c r="P7" s="5"/>
      <c r="Q7" s="5"/>
      <c r="R7" s="5"/>
      <c r="S7" s="5"/>
      <c r="T7" s="5"/>
      <c r="U7" s="5"/>
      <c r="V7" s="5"/>
      <c r="W7" s="5"/>
    </row>
    <row r="8" spans="1:25" ht="15" customHeight="1" x14ac:dyDescent="0.25">
      <c r="A8" s="27"/>
      <c r="B8" s="23" t="s">
        <v>19</v>
      </c>
      <c r="C8" s="5">
        <v>6.7949999999999999</v>
      </c>
      <c r="D8" s="5">
        <v>7.2640000000000002</v>
      </c>
      <c r="E8" s="5">
        <v>11.115</v>
      </c>
      <c r="F8" s="5">
        <v>8.24</v>
      </c>
      <c r="G8" s="5">
        <v>6.0430000000000001</v>
      </c>
      <c r="H8" s="5">
        <v>13.702999999999999</v>
      </c>
      <c r="I8" s="5">
        <v>15.211</v>
      </c>
      <c r="J8" s="5">
        <v>2.7829999999999999</v>
      </c>
      <c r="K8" s="5">
        <v>8.2110000000000003</v>
      </c>
      <c r="L8" s="5">
        <v>8.1780000000000008</v>
      </c>
      <c r="N8" s="5"/>
      <c r="O8" s="5"/>
      <c r="P8" s="5"/>
      <c r="Q8" s="5"/>
      <c r="R8" s="5"/>
      <c r="S8" s="5"/>
      <c r="T8" s="5"/>
      <c r="U8" s="5"/>
      <c r="V8" s="5"/>
      <c r="W8" s="5"/>
    </row>
    <row r="9" spans="1:25" ht="15" customHeight="1" x14ac:dyDescent="0.25">
      <c r="A9" s="27"/>
      <c r="B9" s="27" t="s">
        <v>11</v>
      </c>
      <c r="C9" s="97">
        <v>12.795999999999999</v>
      </c>
      <c r="D9" s="97">
        <v>8.7050000000000001</v>
      </c>
      <c r="E9" s="97">
        <v>24.48</v>
      </c>
      <c r="F9" s="97">
        <v>21.702999999999999</v>
      </c>
      <c r="G9" s="97">
        <v>11.287000000000001</v>
      </c>
      <c r="H9" s="97">
        <v>18.672000000000001</v>
      </c>
      <c r="I9" s="97">
        <v>19.978999999999999</v>
      </c>
      <c r="J9" s="97">
        <v>39.475000000000001</v>
      </c>
      <c r="K9" s="97">
        <v>15.404999999999999</v>
      </c>
      <c r="L9" s="97">
        <v>15.664999999999999</v>
      </c>
      <c r="N9" s="97"/>
      <c r="O9" s="97"/>
      <c r="P9" s="97"/>
      <c r="Q9" s="97"/>
      <c r="R9" s="97"/>
      <c r="S9" s="97"/>
      <c r="T9" s="97"/>
      <c r="U9" s="97"/>
      <c r="V9" s="97"/>
      <c r="W9" s="97"/>
    </row>
    <row r="10" spans="1:25" ht="15" customHeight="1" x14ac:dyDescent="0.25">
      <c r="A10" s="27" t="s">
        <v>145</v>
      </c>
      <c r="B10" s="23" t="s">
        <v>18</v>
      </c>
      <c r="C10" s="5">
        <v>76.478999999999999</v>
      </c>
      <c r="D10" s="5">
        <v>69.256</v>
      </c>
      <c r="E10" s="5">
        <v>174.541</v>
      </c>
      <c r="F10" s="5">
        <v>171.13300000000001</v>
      </c>
      <c r="G10" s="5">
        <v>90.706999999999994</v>
      </c>
      <c r="H10" s="5">
        <v>55.88</v>
      </c>
      <c r="I10" s="5">
        <v>90.566999999999993</v>
      </c>
      <c r="J10" s="5">
        <v>84.287999999999997</v>
      </c>
      <c r="K10" s="5">
        <v>118.078</v>
      </c>
      <c r="L10" s="5">
        <v>115.55</v>
      </c>
      <c r="N10" s="5"/>
      <c r="O10" s="5"/>
      <c r="P10" s="5"/>
      <c r="Q10" s="5"/>
      <c r="R10" s="5"/>
      <c r="S10" s="5"/>
      <c r="T10" s="5"/>
      <c r="U10" s="5"/>
      <c r="V10" s="5"/>
      <c r="W10" s="5"/>
    </row>
    <row r="11" spans="1:25" ht="15" customHeight="1" x14ac:dyDescent="0.25">
      <c r="A11" s="27"/>
      <c r="B11" s="23" t="s">
        <v>19</v>
      </c>
      <c r="C11" s="5">
        <v>7.3049999999999997</v>
      </c>
      <c r="D11" s="5">
        <v>6.7859999999999996</v>
      </c>
      <c r="E11" s="5">
        <v>9.9450000000000003</v>
      </c>
      <c r="F11" s="5">
        <v>9.3439999999999994</v>
      </c>
      <c r="G11" s="5">
        <v>5.1849999999999996</v>
      </c>
      <c r="H11" s="5">
        <v>15.041</v>
      </c>
      <c r="I11" s="5">
        <v>11.202</v>
      </c>
      <c r="J11" s="5">
        <v>3.3180000000000001</v>
      </c>
      <c r="K11" s="5">
        <v>8.0220000000000002</v>
      </c>
      <c r="L11" s="5">
        <v>7.9930000000000003</v>
      </c>
      <c r="N11" s="5"/>
      <c r="O11" s="5"/>
      <c r="P11" s="5"/>
      <c r="Q11" s="5"/>
      <c r="R11" s="5"/>
      <c r="S11" s="5"/>
      <c r="T11" s="5"/>
      <c r="U11" s="5"/>
      <c r="V11" s="5"/>
      <c r="W11" s="5"/>
    </row>
    <row r="12" spans="1:25" ht="15" customHeight="1" x14ac:dyDescent="0.25">
      <c r="A12" s="27"/>
      <c r="B12" s="27" t="s">
        <v>11</v>
      </c>
      <c r="C12" s="97">
        <v>12.933</v>
      </c>
      <c r="D12" s="97">
        <v>8.0690000000000008</v>
      </c>
      <c r="E12" s="97">
        <v>24.504999999999999</v>
      </c>
      <c r="F12" s="97">
        <v>21.289000000000001</v>
      </c>
      <c r="G12" s="97">
        <v>9.6150000000000002</v>
      </c>
      <c r="H12" s="97">
        <v>21.241</v>
      </c>
      <c r="I12" s="97">
        <v>14.157999999999999</v>
      </c>
      <c r="J12" s="97">
        <v>41.734999999999999</v>
      </c>
      <c r="K12" s="97">
        <v>15.103999999999999</v>
      </c>
      <c r="L12" s="97">
        <v>15.391</v>
      </c>
      <c r="N12" s="97"/>
      <c r="O12" s="97"/>
      <c r="P12" s="97"/>
      <c r="Q12" s="97"/>
      <c r="R12" s="97"/>
      <c r="S12" s="97"/>
      <c r="T12" s="97"/>
      <c r="U12" s="97"/>
      <c r="V12" s="97"/>
      <c r="W12" s="97"/>
    </row>
    <row r="13" spans="1:25" ht="15" customHeight="1" x14ac:dyDescent="0.25">
      <c r="A13" s="27" t="s">
        <v>146</v>
      </c>
      <c r="B13" s="23" t="s">
        <v>18</v>
      </c>
      <c r="C13" s="5">
        <v>73.75</v>
      </c>
      <c r="D13" s="5">
        <v>55.664000000000001</v>
      </c>
      <c r="E13" s="5">
        <v>148.417</v>
      </c>
      <c r="F13" s="5">
        <v>147.09800000000001</v>
      </c>
      <c r="G13" s="5">
        <v>94.486000000000004</v>
      </c>
      <c r="H13" s="5">
        <v>59.082000000000001</v>
      </c>
      <c r="I13" s="5">
        <v>71.563000000000002</v>
      </c>
      <c r="J13" s="5">
        <v>84.46</v>
      </c>
      <c r="K13" s="5">
        <v>105.127</v>
      </c>
      <c r="L13" s="5">
        <v>103.626</v>
      </c>
      <c r="N13" s="5"/>
      <c r="O13" s="5"/>
      <c r="P13" s="5"/>
      <c r="Q13" s="5"/>
      <c r="R13" s="5"/>
      <c r="S13" s="5"/>
      <c r="T13" s="5"/>
      <c r="U13" s="5"/>
      <c r="V13" s="5"/>
      <c r="W13" s="5"/>
    </row>
    <row r="14" spans="1:25" ht="15" customHeight="1" x14ac:dyDescent="0.25">
      <c r="A14" s="27"/>
      <c r="B14" s="23" t="s">
        <v>19</v>
      </c>
      <c r="C14" s="5">
        <v>6.673</v>
      </c>
      <c r="D14" s="5">
        <v>6.19</v>
      </c>
      <c r="E14" s="5">
        <v>8.0410000000000004</v>
      </c>
      <c r="F14" s="5">
        <v>8.6349999999999998</v>
      </c>
      <c r="G14" s="5">
        <v>5.4820000000000002</v>
      </c>
      <c r="H14" s="5">
        <v>12.711</v>
      </c>
      <c r="I14" s="5">
        <v>10.252000000000001</v>
      </c>
      <c r="J14" s="5">
        <v>3.859</v>
      </c>
      <c r="K14" s="5">
        <v>7.1479999999999997</v>
      </c>
      <c r="L14" s="5">
        <v>7.1280000000000001</v>
      </c>
      <c r="N14" s="5"/>
      <c r="O14" s="5"/>
      <c r="P14" s="5"/>
      <c r="Q14" s="5"/>
      <c r="R14" s="5"/>
      <c r="S14" s="5"/>
      <c r="T14" s="5"/>
      <c r="U14" s="5"/>
      <c r="V14" s="5"/>
      <c r="W14" s="5"/>
    </row>
    <row r="15" spans="1:25" ht="15" customHeight="1" x14ac:dyDescent="0.25">
      <c r="A15" s="27"/>
      <c r="B15" s="27" t="s">
        <v>11</v>
      </c>
      <c r="C15" s="97">
        <v>12.231999999999999</v>
      </c>
      <c r="D15" s="97">
        <v>7.2110000000000003</v>
      </c>
      <c r="E15" s="97">
        <v>20.562000000000001</v>
      </c>
      <c r="F15" s="97">
        <v>18.870999999999999</v>
      </c>
      <c r="G15" s="97">
        <v>10.221</v>
      </c>
      <c r="H15" s="97">
        <v>19.379000000000001</v>
      </c>
      <c r="I15" s="97">
        <v>12.483000000000001</v>
      </c>
      <c r="J15" s="97">
        <v>41.332999999999998</v>
      </c>
      <c r="K15" s="97">
        <v>13.53</v>
      </c>
      <c r="L15" s="97">
        <v>13.824</v>
      </c>
      <c r="N15" s="97"/>
      <c r="O15" s="97"/>
      <c r="P15" s="97"/>
      <c r="Q15" s="97"/>
      <c r="R15" s="97"/>
      <c r="S15" s="97"/>
      <c r="T15" s="97"/>
      <c r="U15" s="97"/>
      <c r="V15" s="97"/>
      <c r="W15" s="97"/>
    </row>
    <row r="16" spans="1:25" ht="15" customHeight="1" x14ac:dyDescent="0.25">
      <c r="A16" s="27" t="s">
        <v>147</v>
      </c>
      <c r="B16" s="23" t="s">
        <v>18</v>
      </c>
      <c r="C16" s="5">
        <v>65.989999999999995</v>
      </c>
      <c r="D16" s="5">
        <v>49.872</v>
      </c>
      <c r="E16" s="5">
        <v>124.139</v>
      </c>
      <c r="F16" s="5">
        <v>103.748</v>
      </c>
      <c r="G16" s="5">
        <v>70.869</v>
      </c>
      <c r="H16" s="5">
        <v>39.515000000000001</v>
      </c>
      <c r="I16" s="5">
        <v>45.317</v>
      </c>
      <c r="J16" s="5">
        <v>55.47</v>
      </c>
      <c r="K16" s="5">
        <v>86.462000000000003</v>
      </c>
      <c r="L16" s="5">
        <v>84.275999999999996</v>
      </c>
      <c r="M16" s="75"/>
      <c r="N16" s="5"/>
      <c r="O16" s="5"/>
      <c r="P16" s="5"/>
      <c r="Q16" s="5"/>
      <c r="R16" s="5"/>
      <c r="S16" s="5"/>
      <c r="T16" s="5"/>
      <c r="U16" s="5"/>
      <c r="V16" s="5"/>
      <c r="W16" s="5"/>
    </row>
    <row r="17" spans="1:23" ht="15" customHeight="1" x14ac:dyDescent="0.25">
      <c r="A17" s="27"/>
      <c r="B17" s="23" t="s">
        <v>19</v>
      </c>
      <c r="C17" s="5">
        <v>6.4969999999999999</v>
      </c>
      <c r="D17" s="5">
        <v>4.7889999999999997</v>
      </c>
      <c r="E17" s="5">
        <v>6.4749999999999996</v>
      </c>
      <c r="F17" s="5">
        <v>6.0410000000000004</v>
      </c>
      <c r="G17" s="5">
        <v>4.6879999999999997</v>
      </c>
      <c r="H17" s="5">
        <v>10.013999999999999</v>
      </c>
      <c r="I17" s="5">
        <v>10.602</v>
      </c>
      <c r="J17" s="5">
        <v>2.6890000000000001</v>
      </c>
      <c r="K17" s="5">
        <v>6.0149999999999997</v>
      </c>
      <c r="L17" s="5">
        <v>5.9950000000000001</v>
      </c>
      <c r="N17" s="5"/>
      <c r="O17" s="5"/>
      <c r="P17" s="5"/>
      <c r="Q17" s="5"/>
      <c r="R17" s="5"/>
      <c r="S17" s="5"/>
      <c r="T17" s="5"/>
      <c r="U17" s="5"/>
      <c r="V17" s="5"/>
      <c r="W17" s="5"/>
    </row>
    <row r="18" spans="1:23" ht="15" customHeight="1" x14ac:dyDescent="0.25">
      <c r="A18" s="27"/>
      <c r="B18" s="27" t="s">
        <v>11</v>
      </c>
      <c r="C18" s="97">
        <v>11.49</v>
      </c>
      <c r="D18" s="97">
        <v>5.734</v>
      </c>
      <c r="E18" s="97">
        <v>17.061</v>
      </c>
      <c r="F18" s="97">
        <v>13.234999999999999</v>
      </c>
      <c r="G18" s="97">
        <v>8.2449999999999992</v>
      </c>
      <c r="H18" s="97">
        <v>13.708</v>
      </c>
      <c r="I18" s="97">
        <v>11.819000000000001</v>
      </c>
      <c r="J18" s="97">
        <v>26.794</v>
      </c>
      <c r="K18" s="97">
        <v>11.297000000000001</v>
      </c>
      <c r="L18" s="97">
        <v>11.461</v>
      </c>
      <c r="N18" s="97"/>
      <c r="O18" s="97"/>
      <c r="P18" s="97"/>
      <c r="Q18" s="97"/>
      <c r="R18" s="97"/>
      <c r="S18" s="97"/>
      <c r="T18" s="97"/>
      <c r="U18" s="97"/>
      <c r="V18" s="97"/>
      <c r="W18" s="97"/>
    </row>
    <row r="19" spans="1:23" ht="15" customHeight="1" x14ac:dyDescent="0.25">
      <c r="A19" s="27" t="s">
        <v>148</v>
      </c>
      <c r="B19" s="23" t="s">
        <v>18</v>
      </c>
      <c r="C19" s="5">
        <v>61.097000000000001</v>
      </c>
      <c r="D19" s="5">
        <v>38.191000000000003</v>
      </c>
      <c r="E19" s="5">
        <v>120.988</v>
      </c>
      <c r="F19" s="5">
        <v>115.379</v>
      </c>
      <c r="G19" s="5">
        <v>76.677999999999997</v>
      </c>
      <c r="H19" s="5">
        <v>33.613999999999997</v>
      </c>
      <c r="I19" s="5">
        <v>33.070999999999998</v>
      </c>
      <c r="J19" s="5">
        <v>79.400000000000006</v>
      </c>
      <c r="K19" s="5">
        <v>84.231999999999999</v>
      </c>
      <c r="L19" s="5">
        <v>83.902000000000001</v>
      </c>
      <c r="N19" s="5"/>
      <c r="O19" s="5"/>
      <c r="P19" s="5"/>
      <c r="Q19" s="5"/>
      <c r="R19" s="5"/>
      <c r="S19" s="5"/>
      <c r="T19" s="5"/>
      <c r="U19" s="5"/>
      <c r="V19" s="5"/>
      <c r="W19" s="5"/>
    </row>
    <row r="20" spans="1:23" ht="15" customHeight="1" x14ac:dyDescent="0.25">
      <c r="A20" s="27"/>
      <c r="B20" s="23" t="s">
        <v>19</v>
      </c>
      <c r="C20" s="5">
        <v>5.69</v>
      </c>
      <c r="D20" s="5">
        <v>3.895</v>
      </c>
      <c r="E20" s="5">
        <v>6.29</v>
      </c>
      <c r="F20" s="5">
        <v>5.7679999999999998</v>
      </c>
      <c r="G20" s="5">
        <v>4.9809999999999999</v>
      </c>
      <c r="H20" s="5">
        <v>7.7939999999999996</v>
      </c>
      <c r="I20" s="5">
        <v>8.3670000000000009</v>
      </c>
      <c r="J20" s="5">
        <v>3.7869999999999999</v>
      </c>
      <c r="K20" s="5">
        <v>5.4009999999999998</v>
      </c>
      <c r="L20" s="5">
        <v>5.391</v>
      </c>
      <c r="N20" s="5"/>
      <c r="O20" s="5"/>
      <c r="P20" s="5"/>
      <c r="Q20" s="5"/>
      <c r="R20" s="5"/>
      <c r="S20" s="5"/>
      <c r="T20" s="5"/>
      <c r="U20" s="5"/>
      <c r="V20" s="5"/>
      <c r="W20" s="5"/>
    </row>
    <row r="21" spans="1:23" ht="15" customHeight="1" x14ac:dyDescent="0.25">
      <c r="A21" s="27"/>
      <c r="B21" s="27" t="s">
        <v>11</v>
      </c>
      <c r="C21" s="97">
        <v>10.268000000000001</v>
      </c>
      <c r="D21" s="97">
        <v>4.6210000000000004</v>
      </c>
      <c r="E21" s="97">
        <v>16.632999999999999</v>
      </c>
      <c r="F21" s="97">
        <v>13.811</v>
      </c>
      <c r="G21" s="97">
        <v>8.8759999999999994</v>
      </c>
      <c r="H21" s="97">
        <v>10.784000000000001</v>
      </c>
      <c r="I21" s="97">
        <v>9.2070000000000007</v>
      </c>
      <c r="J21" s="97">
        <v>38.375</v>
      </c>
      <c r="K21" s="97">
        <v>10.553000000000001</v>
      </c>
      <c r="L21" s="97">
        <v>10.843</v>
      </c>
      <c r="N21" s="97"/>
      <c r="O21" s="97"/>
      <c r="P21" s="97"/>
      <c r="Q21" s="97"/>
      <c r="R21" s="97"/>
      <c r="S21" s="97"/>
      <c r="T21" s="97"/>
      <c r="U21" s="97"/>
      <c r="V21" s="97"/>
      <c r="W21" s="97"/>
    </row>
    <row r="22" spans="1:23" ht="15" customHeight="1" x14ac:dyDescent="0.25">
      <c r="A22" s="187" t="s">
        <v>149</v>
      </c>
      <c r="B22" s="23" t="s">
        <v>18</v>
      </c>
      <c r="C22" s="5">
        <v>62.046999999999997</v>
      </c>
      <c r="D22" s="5">
        <v>27.631</v>
      </c>
      <c r="E22" s="5">
        <v>116.262</v>
      </c>
      <c r="F22" s="5">
        <v>138.33699999999999</v>
      </c>
      <c r="G22" s="5">
        <v>93.218999999999994</v>
      </c>
      <c r="H22" s="5">
        <v>33.381</v>
      </c>
      <c r="I22" s="5">
        <v>50.633000000000003</v>
      </c>
      <c r="J22" s="5">
        <v>136.62899999999999</v>
      </c>
      <c r="K22" s="5">
        <v>86.256</v>
      </c>
      <c r="L22" s="5">
        <v>89.61</v>
      </c>
      <c r="N22" s="5"/>
      <c r="O22" s="5"/>
      <c r="P22" s="5"/>
      <c r="Q22" s="5"/>
      <c r="R22" s="5"/>
      <c r="S22" s="5"/>
      <c r="T22" s="5"/>
      <c r="U22" s="5"/>
      <c r="V22" s="5"/>
      <c r="W22" s="5"/>
    </row>
    <row r="23" spans="1:23" ht="15" customHeight="1" x14ac:dyDescent="0.25">
      <c r="A23" s="187"/>
      <c r="B23" s="23" t="s">
        <v>19</v>
      </c>
      <c r="C23" s="5">
        <v>4.3570000000000002</v>
      </c>
      <c r="D23" s="5">
        <v>3.161</v>
      </c>
      <c r="E23" s="5">
        <v>5.8070000000000004</v>
      </c>
      <c r="F23" s="5">
        <v>6.157</v>
      </c>
      <c r="G23" s="5">
        <v>5.8730000000000002</v>
      </c>
      <c r="H23" s="5">
        <v>9.5169999999999995</v>
      </c>
      <c r="I23" s="5">
        <v>8.0139999999999993</v>
      </c>
      <c r="J23" s="5">
        <v>3.2280000000000002</v>
      </c>
      <c r="K23" s="5">
        <v>4.8230000000000004</v>
      </c>
      <c r="L23" s="5">
        <v>4.8129999999999997</v>
      </c>
      <c r="N23" s="5"/>
      <c r="O23" s="5"/>
      <c r="P23" s="5"/>
      <c r="Q23" s="5"/>
      <c r="R23" s="5"/>
      <c r="S23" s="5"/>
      <c r="T23" s="5"/>
      <c r="U23" s="5"/>
      <c r="V23" s="5"/>
      <c r="W23" s="5"/>
    </row>
    <row r="24" spans="1:23" ht="15" customHeight="1" x14ac:dyDescent="0.25">
      <c r="A24" s="187"/>
      <c r="B24" s="27" t="s">
        <v>11</v>
      </c>
      <c r="C24" s="97">
        <v>9.07</v>
      </c>
      <c r="D24" s="97">
        <v>3.68</v>
      </c>
      <c r="E24" s="97">
        <v>15.743</v>
      </c>
      <c r="F24" s="97">
        <v>15.702</v>
      </c>
      <c r="G24" s="97">
        <v>10.69</v>
      </c>
      <c r="H24" s="97">
        <v>12.368</v>
      </c>
      <c r="I24" s="97">
        <v>9.5359999999999996</v>
      </c>
      <c r="J24" s="97">
        <v>62.344999999999999</v>
      </c>
      <c r="K24" s="97">
        <v>10.117000000000001</v>
      </c>
      <c r="L24" s="97">
        <v>10.657</v>
      </c>
      <c r="N24" s="97"/>
      <c r="O24" s="97"/>
      <c r="P24" s="97"/>
      <c r="Q24" s="97"/>
      <c r="R24" s="97"/>
      <c r="S24" s="97"/>
      <c r="T24" s="97"/>
      <c r="U24" s="97"/>
      <c r="V24" s="97"/>
      <c r="W24" s="97"/>
    </row>
    <row r="25" spans="1:23" ht="15" customHeight="1" x14ac:dyDescent="0.25">
      <c r="A25" s="197" t="s">
        <v>215</v>
      </c>
      <c r="B25" s="23" t="s">
        <v>18</v>
      </c>
      <c r="C25" s="5">
        <v>62.41</v>
      </c>
      <c r="D25" s="5">
        <v>27.501999999999999</v>
      </c>
      <c r="E25" s="5">
        <v>119.154</v>
      </c>
      <c r="F25" s="5">
        <v>124.801</v>
      </c>
      <c r="G25" s="5">
        <v>124.402</v>
      </c>
      <c r="H25" s="5">
        <v>46.615000000000002</v>
      </c>
      <c r="I25" s="5">
        <v>121.89100000000001</v>
      </c>
      <c r="J25" s="5" t="s">
        <v>114</v>
      </c>
      <c r="K25" s="5">
        <v>88.346000000000004</v>
      </c>
      <c r="L25" s="5" t="s">
        <v>114</v>
      </c>
      <c r="N25" s="5"/>
      <c r="O25" s="5"/>
      <c r="P25" s="5"/>
      <c r="Q25" s="5"/>
      <c r="R25" s="5"/>
      <c r="S25" s="5"/>
      <c r="T25" s="5"/>
      <c r="U25" s="5"/>
      <c r="V25" s="5"/>
      <c r="W25" s="5"/>
    </row>
    <row r="26" spans="1:23" ht="15" customHeight="1" x14ac:dyDescent="0.25">
      <c r="A26" s="187"/>
      <c r="B26" s="23" t="s">
        <v>19</v>
      </c>
      <c r="C26" s="5">
        <v>4.085</v>
      </c>
      <c r="D26" s="5">
        <v>2.7789999999999999</v>
      </c>
      <c r="E26" s="5">
        <v>5.4829999999999997</v>
      </c>
      <c r="F26" s="5">
        <v>6.202</v>
      </c>
      <c r="G26" s="5">
        <v>5.7720000000000002</v>
      </c>
      <c r="H26" s="5">
        <v>10.32</v>
      </c>
      <c r="I26" s="5">
        <v>12.819000000000001</v>
      </c>
      <c r="J26" s="5" t="s">
        <v>114</v>
      </c>
      <c r="K26" s="5">
        <v>4.6289999999999996</v>
      </c>
      <c r="L26" s="5" t="s">
        <v>114</v>
      </c>
      <c r="N26" s="5"/>
      <c r="O26" s="5"/>
      <c r="P26" s="5"/>
      <c r="Q26" s="5"/>
      <c r="R26" s="5"/>
      <c r="S26" s="5"/>
      <c r="T26" s="5"/>
      <c r="U26" s="5"/>
      <c r="V26" s="5"/>
      <c r="W26" s="5"/>
    </row>
    <row r="27" spans="1:23" ht="15" customHeight="1" x14ac:dyDescent="0.25">
      <c r="A27" s="187"/>
      <c r="B27" s="27" t="s">
        <v>11</v>
      </c>
      <c r="C27" s="97">
        <v>8.7750000000000004</v>
      </c>
      <c r="D27" s="97">
        <v>3.3010000000000002</v>
      </c>
      <c r="E27" s="97">
        <v>15.595000000000001</v>
      </c>
      <c r="F27" s="97">
        <v>14.565</v>
      </c>
      <c r="G27" s="97">
        <v>12.191000000000001</v>
      </c>
      <c r="H27" s="97">
        <v>14.52</v>
      </c>
      <c r="I27" s="97">
        <v>16.454999999999998</v>
      </c>
      <c r="J27" s="97" t="s">
        <v>114</v>
      </c>
      <c r="K27" s="97">
        <v>10</v>
      </c>
      <c r="L27" s="97" t="s">
        <v>114</v>
      </c>
      <c r="N27" s="97"/>
      <c r="O27" s="97"/>
      <c r="P27" s="97"/>
      <c r="Q27" s="97"/>
      <c r="R27" s="97"/>
      <c r="S27" s="97"/>
      <c r="T27" s="97"/>
      <c r="U27" s="97"/>
      <c r="V27" s="97"/>
      <c r="W27" s="97"/>
    </row>
    <row r="28" spans="1:23" ht="15" customHeight="1" x14ac:dyDescent="0.25">
      <c r="A28" s="197" t="s">
        <v>290</v>
      </c>
      <c r="B28" s="23" t="s">
        <v>18</v>
      </c>
      <c r="C28" s="5">
        <v>63.941000000000003</v>
      </c>
      <c r="D28" s="5">
        <v>30.193000000000001</v>
      </c>
      <c r="E28" s="5">
        <v>115.002</v>
      </c>
      <c r="F28" s="5">
        <v>103.889</v>
      </c>
      <c r="G28" s="5">
        <v>101.63</v>
      </c>
      <c r="H28" s="5">
        <v>62.59</v>
      </c>
      <c r="I28" s="5">
        <v>143.934</v>
      </c>
      <c r="J28" s="5" t="s">
        <v>114</v>
      </c>
      <c r="K28" s="5">
        <v>84.646000000000001</v>
      </c>
      <c r="L28" s="5" t="s">
        <v>114</v>
      </c>
      <c r="M28" s="75"/>
      <c r="N28" s="5"/>
      <c r="O28" s="5"/>
      <c r="P28" s="5"/>
      <c r="Q28" s="5"/>
      <c r="R28" s="5"/>
      <c r="S28" s="5"/>
      <c r="T28" s="5"/>
      <c r="U28" s="5"/>
      <c r="V28" s="5"/>
      <c r="W28" s="5"/>
    </row>
    <row r="29" spans="1:23" ht="15" customHeight="1" x14ac:dyDescent="0.25">
      <c r="A29" s="187"/>
      <c r="B29" s="23" t="s">
        <v>19</v>
      </c>
      <c r="C29" s="5">
        <v>4.1280000000000001</v>
      </c>
      <c r="D29" s="5">
        <v>2.8490000000000002</v>
      </c>
      <c r="E29" s="5">
        <v>5.0640000000000001</v>
      </c>
      <c r="F29" s="5">
        <v>5.4329999999999998</v>
      </c>
      <c r="G29" s="5">
        <v>4.133</v>
      </c>
      <c r="H29" s="5">
        <v>12.07</v>
      </c>
      <c r="I29" s="5">
        <v>9.6489999999999991</v>
      </c>
      <c r="J29" s="5" t="s">
        <v>114</v>
      </c>
      <c r="K29" s="5">
        <v>4.3650000000000002</v>
      </c>
      <c r="L29" s="5" t="s">
        <v>114</v>
      </c>
      <c r="N29" s="5"/>
      <c r="O29" s="5"/>
      <c r="P29" s="5"/>
      <c r="Q29" s="5"/>
      <c r="R29" s="5"/>
      <c r="S29" s="5"/>
      <c r="T29" s="5"/>
      <c r="U29" s="5"/>
      <c r="V29" s="5"/>
      <c r="W29" s="5"/>
    </row>
    <row r="30" spans="1:23" ht="15" customHeight="1" x14ac:dyDescent="0.25">
      <c r="A30" s="187"/>
      <c r="B30" s="27" t="s">
        <v>11</v>
      </c>
      <c r="C30" s="97">
        <v>8.8919999999999995</v>
      </c>
      <c r="D30" s="97">
        <v>3.4260000000000002</v>
      </c>
      <c r="E30" s="97">
        <v>14.79</v>
      </c>
      <c r="F30" s="97">
        <v>12.252000000000001</v>
      </c>
      <c r="G30" s="97">
        <v>9.4969999999999999</v>
      </c>
      <c r="H30" s="97">
        <v>17.84</v>
      </c>
      <c r="I30" s="97">
        <v>13.991</v>
      </c>
      <c r="J30" s="97" t="s">
        <v>114</v>
      </c>
      <c r="K30" s="97">
        <v>9.4789999999999992</v>
      </c>
      <c r="L30" s="97" t="s">
        <v>114</v>
      </c>
      <c r="N30" s="97"/>
      <c r="O30" s="97"/>
      <c r="P30" s="97"/>
      <c r="Q30" s="97"/>
      <c r="R30" s="97"/>
      <c r="S30" s="97"/>
      <c r="T30" s="97"/>
      <c r="U30" s="97"/>
      <c r="V30" s="97"/>
      <c r="W30" s="97"/>
    </row>
    <row r="31" spans="1:23" ht="1.5" customHeight="1" x14ac:dyDescent="0.25">
      <c r="A31" s="2"/>
      <c r="L31" s="33"/>
    </row>
    <row r="32" spans="1:23" ht="11.1" customHeight="1" x14ac:dyDescent="0.25">
      <c r="A32" s="195" t="s">
        <v>23</v>
      </c>
      <c r="B32" s="195"/>
      <c r="C32" s="195"/>
      <c r="D32" s="195"/>
      <c r="E32" s="195"/>
      <c r="F32" s="195"/>
      <c r="G32" s="195"/>
      <c r="H32" s="195"/>
      <c r="I32" s="195"/>
      <c r="J32" s="195"/>
      <c r="K32" s="195"/>
    </row>
    <row r="33" spans="1:23" s="6" customFormat="1" ht="19.5" customHeight="1" x14ac:dyDescent="0.15">
      <c r="A33" s="186" t="s">
        <v>31</v>
      </c>
      <c r="B33" s="186"/>
      <c r="C33" s="186"/>
      <c r="D33" s="186"/>
      <c r="E33" s="186"/>
      <c r="F33" s="186"/>
      <c r="G33" s="186"/>
      <c r="H33" s="186"/>
      <c r="I33" s="186"/>
      <c r="J33" s="186"/>
      <c r="K33" s="186"/>
    </row>
    <row r="34" spans="1:23" s="6" customFormat="1" ht="11.1" customHeight="1" x14ac:dyDescent="0.15">
      <c r="A34" s="6" t="s">
        <v>36</v>
      </c>
    </row>
    <row r="35" spans="1:23" s="6" customFormat="1" ht="11.1" customHeight="1" x14ac:dyDescent="0.15">
      <c r="A35" s="6" t="s">
        <v>37</v>
      </c>
    </row>
    <row r="36" spans="1:23" s="6" customFormat="1" ht="11.1" customHeight="1" x14ac:dyDescent="0.15">
      <c r="A36" s="6" t="s">
        <v>303</v>
      </c>
    </row>
    <row r="37" spans="1:23" s="6" customFormat="1" ht="11.1" customHeight="1" x14ac:dyDescent="0.15">
      <c r="A37" s="6" t="s">
        <v>272</v>
      </c>
    </row>
    <row r="38" spans="1:23" s="6" customFormat="1" ht="11.1" customHeight="1" x14ac:dyDescent="0.15">
      <c r="A38" s="6" t="s">
        <v>14</v>
      </c>
    </row>
    <row r="39" spans="1:23" s="6" customFormat="1" ht="11.1" customHeight="1" x14ac:dyDescent="0.15">
      <c r="A39" s="6" t="s">
        <v>178</v>
      </c>
    </row>
    <row r="40" spans="1:23" ht="12" customHeight="1" x14ac:dyDescent="0.25">
      <c r="A40" s="2"/>
    </row>
    <row r="41" spans="1:23" ht="33.75" customHeight="1" x14ac:dyDescent="0.25">
      <c r="A41" s="189" t="s">
        <v>292</v>
      </c>
      <c r="B41" s="189"/>
      <c r="C41" s="189"/>
      <c r="D41" s="189"/>
      <c r="E41" s="189"/>
      <c r="F41" s="189"/>
      <c r="G41" s="189"/>
      <c r="H41" s="189"/>
      <c r="I41" s="189"/>
      <c r="J41" s="189"/>
      <c r="K41" s="189"/>
    </row>
    <row r="42" spans="1:23" ht="1.5" customHeight="1" x14ac:dyDescent="0.25">
      <c r="A42" s="2"/>
    </row>
    <row r="43" spans="1:23" x14ac:dyDescent="0.25">
      <c r="A43" s="31" t="s">
        <v>122</v>
      </c>
      <c r="B43" s="31" t="s">
        <v>120</v>
      </c>
      <c r="C43" s="3" t="s">
        <v>0</v>
      </c>
      <c r="D43" s="3" t="s">
        <v>1</v>
      </c>
      <c r="E43" s="3" t="s">
        <v>2</v>
      </c>
      <c r="F43" s="3" t="s">
        <v>3</v>
      </c>
      <c r="G43" s="3" t="s">
        <v>4</v>
      </c>
      <c r="H43" s="3" t="s">
        <v>5</v>
      </c>
      <c r="I43" s="3" t="s">
        <v>6</v>
      </c>
      <c r="J43" s="3" t="s">
        <v>7</v>
      </c>
      <c r="K43" s="3" t="s">
        <v>8</v>
      </c>
    </row>
    <row r="44" spans="1:23" ht="15" customHeight="1" x14ac:dyDescent="0.25">
      <c r="A44" s="27" t="s">
        <v>150</v>
      </c>
      <c r="B44" s="23" t="s">
        <v>18</v>
      </c>
      <c r="C44" s="5">
        <v>179.27600000000001</v>
      </c>
      <c r="D44" s="5">
        <v>197.345</v>
      </c>
      <c r="E44" s="5">
        <v>308.63099999999997</v>
      </c>
      <c r="F44" s="5">
        <v>510.52199999999999</v>
      </c>
      <c r="G44" s="5">
        <v>322.99900000000002</v>
      </c>
      <c r="H44" s="5">
        <v>93.591999999999999</v>
      </c>
      <c r="I44" s="5">
        <v>249.28800000000001</v>
      </c>
      <c r="J44" s="5">
        <v>210.82300000000001</v>
      </c>
      <c r="K44" s="5">
        <v>263.30700000000002</v>
      </c>
      <c r="M44" s="5"/>
      <c r="N44" s="5"/>
      <c r="O44" s="5"/>
      <c r="P44" s="5"/>
      <c r="Q44" s="5"/>
      <c r="R44" s="5"/>
      <c r="S44" s="5"/>
      <c r="T44" s="5"/>
      <c r="U44" s="5"/>
      <c r="W44" s="127"/>
    </row>
    <row r="45" spans="1:23" ht="15" customHeight="1" x14ac:dyDescent="0.25">
      <c r="A45" s="27"/>
      <c r="B45" s="23" t="s">
        <v>19</v>
      </c>
      <c r="C45" s="5">
        <v>15.619</v>
      </c>
      <c r="D45" s="5">
        <v>17.838999999999999</v>
      </c>
      <c r="E45" s="5">
        <v>21.663</v>
      </c>
      <c r="F45" s="5">
        <v>23.87</v>
      </c>
      <c r="G45" s="5">
        <v>15.851000000000001</v>
      </c>
      <c r="H45" s="5">
        <v>25.599</v>
      </c>
      <c r="I45" s="5">
        <v>26.364999999999998</v>
      </c>
      <c r="J45" s="5">
        <v>8.3290000000000006</v>
      </c>
      <c r="K45" s="5">
        <v>18.681000000000001</v>
      </c>
      <c r="M45" s="5"/>
      <c r="N45" s="5"/>
      <c r="O45" s="5"/>
      <c r="P45" s="5"/>
      <c r="Q45" s="5"/>
      <c r="R45" s="5"/>
      <c r="S45" s="5"/>
      <c r="T45" s="5"/>
      <c r="U45" s="5"/>
    </row>
    <row r="46" spans="1:23" ht="15" customHeight="1" x14ac:dyDescent="0.25">
      <c r="A46" s="27"/>
      <c r="B46" s="27" t="s">
        <v>11</v>
      </c>
      <c r="C46" s="97">
        <v>29.047999999999998</v>
      </c>
      <c r="D46" s="97">
        <v>21.45</v>
      </c>
      <c r="E46" s="97">
        <v>46.344000000000001</v>
      </c>
      <c r="F46" s="97">
        <v>59.183</v>
      </c>
      <c r="G46" s="97">
        <v>30.856999999999999</v>
      </c>
      <c r="H46" s="97">
        <v>34.69</v>
      </c>
      <c r="I46" s="97">
        <v>34.987000000000002</v>
      </c>
      <c r="J46" s="97">
        <v>110.869</v>
      </c>
      <c r="K46" s="97">
        <v>35.313000000000002</v>
      </c>
      <c r="M46" s="97"/>
      <c r="N46" s="97"/>
      <c r="O46" s="97"/>
      <c r="P46" s="97"/>
      <c r="Q46" s="97"/>
      <c r="R46" s="97"/>
      <c r="S46" s="97"/>
      <c r="T46" s="97"/>
      <c r="U46" s="97"/>
    </row>
    <row r="47" spans="1:23" ht="15" customHeight="1" x14ac:dyDescent="0.25">
      <c r="A47" s="27" t="s">
        <v>151</v>
      </c>
      <c r="B47" s="23" t="s">
        <v>18</v>
      </c>
      <c r="C47" s="5">
        <v>166.52500000000001</v>
      </c>
      <c r="D47" s="5">
        <v>166.96899999999999</v>
      </c>
      <c r="E47" s="5">
        <v>334.505</v>
      </c>
      <c r="F47" s="5">
        <v>469.74799999999999</v>
      </c>
      <c r="G47" s="5">
        <v>266.88400000000001</v>
      </c>
      <c r="H47" s="5">
        <v>91.542000000000002</v>
      </c>
      <c r="I47" s="5">
        <v>274.262</v>
      </c>
      <c r="J47" s="5">
        <v>187.44300000000001</v>
      </c>
      <c r="K47" s="5">
        <v>254.58699999999999</v>
      </c>
      <c r="M47" s="5"/>
      <c r="N47" s="5"/>
      <c r="O47" s="5"/>
      <c r="P47" s="5"/>
      <c r="Q47" s="5"/>
      <c r="R47" s="5"/>
      <c r="S47" s="5"/>
      <c r="T47" s="5"/>
      <c r="U47" s="5"/>
    </row>
    <row r="48" spans="1:23" ht="15" customHeight="1" x14ac:dyDescent="0.25">
      <c r="A48" s="27"/>
      <c r="B48" s="23" t="s">
        <v>19</v>
      </c>
      <c r="C48" s="5">
        <v>14.878</v>
      </c>
      <c r="D48" s="5">
        <v>16.713999999999999</v>
      </c>
      <c r="E48" s="5">
        <v>22.532</v>
      </c>
      <c r="F48" s="5">
        <v>24.751000000000001</v>
      </c>
      <c r="G48" s="5">
        <v>15.138</v>
      </c>
      <c r="H48" s="5">
        <v>26.405999999999999</v>
      </c>
      <c r="I48" s="5">
        <v>29.047000000000001</v>
      </c>
      <c r="J48" s="5">
        <v>4.4429999999999996</v>
      </c>
      <c r="K48" s="5">
        <v>18.427</v>
      </c>
      <c r="M48" s="5"/>
      <c r="N48" s="5"/>
      <c r="O48" s="5"/>
      <c r="P48" s="5"/>
      <c r="Q48" s="5"/>
      <c r="R48" s="5"/>
      <c r="S48" s="5"/>
      <c r="T48" s="5"/>
      <c r="U48" s="5"/>
    </row>
    <row r="49" spans="1:21" ht="15" customHeight="1" x14ac:dyDescent="0.25">
      <c r="A49" s="27"/>
      <c r="B49" s="27" t="s">
        <v>11</v>
      </c>
      <c r="C49" s="97">
        <v>27.617999999999999</v>
      </c>
      <c r="D49" s="97">
        <v>19.783000000000001</v>
      </c>
      <c r="E49" s="97">
        <v>49.917999999999999</v>
      </c>
      <c r="F49" s="97">
        <v>57.329000000000001</v>
      </c>
      <c r="G49" s="97">
        <v>27.776</v>
      </c>
      <c r="H49" s="97">
        <v>36.218000000000004</v>
      </c>
      <c r="I49" s="97">
        <v>38.328000000000003</v>
      </c>
      <c r="J49" s="97">
        <v>94.671999999999997</v>
      </c>
      <c r="K49" s="97">
        <v>34.722999999999999</v>
      </c>
      <c r="M49" s="97"/>
      <c r="N49" s="97"/>
      <c r="O49" s="97"/>
      <c r="P49" s="97"/>
      <c r="Q49" s="97"/>
      <c r="R49" s="97"/>
      <c r="S49" s="97"/>
      <c r="T49" s="97"/>
      <c r="U49" s="97"/>
    </row>
    <row r="50" spans="1:21" ht="15" customHeight="1" x14ac:dyDescent="0.25">
      <c r="A50" s="27" t="s">
        <v>145</v>
      </c>
      <c r="B50" s="23" t="s">
        <v>18</v>
      </c>
      <c r="C50" s="5">
        <v>161.541</v>
      </c>
      <c r="D50" s="5">
        <v>147.858</v>
      </c>
      <c r="E50" s="5">
        <v>343.60500000000002</v>
      </c>
      <c r="F50" s="5">
        <v>424.65</v>
      </c>
      <c r="G50" s="5">
        <v>222.798</v>
      </c>
      <c r="H50" s="5">
        <v>102.113</v>
      </c>
      <c r="I50" s="5">
        <v>228.374</v>
      </c>
      <c r="J50" s="5">
        <v>212.846</v>
      </c>
      <c r="K50" s="5">
        <v>248.583</v>
      </c>
      <c r="M50" s="5"/>
      <c r="N50" s="5"/>
      <c r="O50" s="5"/>
      <c r="P50" s="5"/>
      <c r="Q50" s="5"/>
      <c r="R50" s="5"/>
      <c r="S50" s="5"/>
      <c r="T50" s="5"/>
      <c r="U50" s="5"/>
    </row>
    <row r="51" spans="1:21" ht="15" customHeight="1" x14ac:dyDescent="0.25">
      <c r="A51" s="27"/>
      <c r="B51" s="23" t="s">
        <v>19</v>
      </c>
      <c r="C51" s="5">
        <v>15.333</v>
      </c>
      <c r="D51" s="5">
        <v>15.587999999999999</v>
      </c>
      <c r="E51" s="5">
        <v>21.565000000000001</v>
      </c>
      <c r="F51" s="5">
        <v>26.484999999999999</v>
      </c>
      <c r="G51" s="5">
        <v>13.226000000000001</v>
      </c>
      <c r="H51" s="5">
        <v>27.663</v>
      </c>
      <c r="I51" s="5">
        <v>27.315000000000001</v>
      </c>
      <c r="J51" s="5">
        <v>7.9409999999999998</v>
      </c>
      <c r="K51" s="5">
        <v>18.152999999999999</v>
      </c>
      <c r="M51" s="5"/>
      <c r="N51" s="5"/>
      <c r="O51" s="5"/>
      <c r="P51" s="5"/>
      <c r="Q51" s="5"/>
      <c r="R51" s="5"/>
      <c r="S51" s="5"/>
      <c r="T51" s="5"/>
      <c r="U51" s="5"/>
    </row>
    <row r="52" spans="1:21" ht="15" customHeight="1" x14ac:dyDescent="0.25">
      <c r="A52" s="27"/>
      <c r="B52" s="27" t="s">
        <v>11</v>
      </c>
      <c r="C52" s="97">
        <v>27.593</v>
      </c>
      <c r="D52" s="97">
        <v>18.303999999999998</v>
      </c>
      <c r="E52" s="97">
        <v>50.180999999999997</v>
      </c>
      <c r="F52" s="97">
        <v>55.88</v>
      </c>
      <c r="G52" s="97">
        <v>24.055</v>
      </c>
      <c r="H52" s="97">
        <v>39.822000000000003</v>
      </c>
      <c r="I52" s="97">
        <v>34.805</v>
      </c>
      <c r="J52" s="97">
        <v>105.48699999999999</v>
      </c>
      <c r="K52" s="97">
        <v>34.15</v>
      </c>
      <c r="M52" s="97"/>
      <c r="N52" s="97"/>
      <c r="O52" s="97"/>
      <c r="P52" s="97"/>
      <c r="Q52" s="97"/>
      <c r="R52" s="97"/>
      <c r="S52" s="97"/>
      <c r="T52" s="97"/>
      <c r="U52" s="97"/>
    </row>
    <row r="53" spans="1:21" ht="15" customHeight="1" x14ac:dyDescent="0.25">
      <c r="A53" s="27" t="s">
        <v>146</v>
      </c>
      <c r="B53" s="23" t="s">
        <v>18</v>
      </c>
      <c r="C53" s="5">
        <v>148.82900000000001</v>
      </c>
      <c r="D53" s="5">
        <v>128.16399999999999</v>
      </c>
      <c r="E53" s="5">
        <v>280.488</v>
      </c>
      <c r="F53" s="5">
        <v>371.57100000000003</v>
      </c>
      <c r="G53" s="5">
        <v>201.541</v>
      </c>
      <c r="H53" s="5">
        <v>105.55</v>
      </c>
      <c r="I53" s="5">
        <v>213.572</v>
      </c>
      <c r="J53" s="5">
        <v>200.334</v>
      </c>
      <c r="K53" s="5">
        <v>216.65600000000001</v>
      </c>
      <c r="M53" s="5"/>
      <c r="N53" s="5"/>
      <c r="O53" s="5"/>
      <c r="P53" s="5"/>
      <c r="Q53" s="5"/>
      <c r="R53" s="5"/>
      <c r="S53" s="5"/>
      <c r="T53" s="5"/>
      <c r="U53" s="5"/>
    </row>
    <row r="54" spans="1:21" ht="15" customHeight="1" x14ac:dyDescent="0.25">
      <c r="A54" s="27"/>
      <c r="B54" s="23" t="s">
        <v>19</v>
      </c>
      <c r="C54" s="5">
        <v>14.765000000000001</v>
      </c>
      <c r="D54" s="5">
        <v>14.776999999999999</v>
      </c>
      <c r="E54" s="5">
        <v>16.911999999999999</v>
      </c>
      <c r="F54" s="5">
        <v>23.468</v>
      </c>
      <c r="G54" s="5">
        <v>13.090999999999999</v>
      </c>
      <c r="H54" s="5">
        <v>24.684999999999999</v>
      </c>
      <c r="I54" s="5">
        <v>23.672000000000001</v>
      </c>
      <c r="J54" s="5">
        <v>8.5559999999999992</v>
      </c>
      <c r="K54" s="5">
        <v>16.349</v>
      </c>
      <c r="M54" s="5"/>
      <c r="N54" s="5"/>
      <c r="O54" s="5"/>
      <c r="P54" s="5"/>
      <c r="Q54" s="5"/>
      <c r="R54" s="5"/>
      <c r="S54" s="5"/>
      <c r="T54" s="5"/>
      <c r="U54" s="5"/>
    </row>
    <row r="55" spans="1:21" ht="15" customHeight="1" x14ac:dyDescent="0.25">
      <c r="A55" s="27"/>
      <c r="B55" s="27" t="s">
        <v>11</v>
      </c>
      <c r="C55" s="97">
        <v>26.061</v>
      </c>
      <c r="D55" s="97">
        <v>17.116</v>
      </c>
      <c r="E55" s="97">
        <v>40.497</v>
      </c>
      <c r="F55" s="97">
        <v>49.201000000000001</v>
      </c>
      <c r="G55" s="97">
        <v>23.18</v>
      </c>
      <c r="H55" s="97">
        <v>37.076000000000001</v>
      </c>
      <c r="I55" s="97">
        <v>30.582000000000001</v>
      </c>
      <c r="J55" s="97">
        <v>98.442999999999998</v>
      </c>
      <c r="K55" s="97">
        <v>30.326000000000001</v>
      </c>
      <c r="M55" s="97"/>
      <c r="N55" s="97"/>
      <c r="O55" s="97"/>
      <c r="P55" s="97"/>
      <c r="Q55" s="97"/>
      <c r="R55" s="97"/>
      <c r="S55" s="97"/>
      <c r="T55" s="97"/>
      <c r="U55" s="97"/>
    </row>
    <row r="56" spans="1:21" ht="15" customHeight="1" x14ac:dyDescent="0.25">
      <c r="A56" s="27" t="s">
        <v>147</v>
      </c>
      <c r="B56" s="23" t="s">
        <v>18</v>
      </c>
      <c r="C56" s="5">
        <v>134.28899999999999</v>
      </c>
      <c r="D56" s="5">
        <v>109.374</v>
      </c>
      <c r="E56" s="5">
        <v>251.67500000000001</v>
      </c>
      <c r="F56" s="5">
        <v>299.80099999999999</v>
      </c>
      <c r="G56" s="5">
        <v>182.77600000000001</v>
      </c>
      <c r="H56" s="5">
        <v>99.742000000000004</v>
      </c>
      <c r="I56" s="5">
        <v>131.80699999999999</v>
      </c>
      <c r="J56" s="5">
        <v>172.15299999999999</v>
      </c>
      <c r="K56" s="5">
        <v>189.626</v>
      </c>
      <c r="M56" s="5"/>
      <c r="N56" s="5"/>
      <c r="O56" s="5"/>
      <c r="P56" s="5"/>
      <c r="Q56" s="5"/>
      <c r="R56" s="5"/>
      <c r="S56" s="5"/>
      <c r="T56" s="5"/>
      <c r="U56" s="5"/>
    </row>
    <row r="57" spans="1:21" ht="15" customHeight="1" x14ac:dyDescent="0.25">
      <c r="A57" s="27"/>
      <c r="B57" s="23" t="s">
        <v>19</v>
      </c>
      <c r="C57" s="5">
        <v>14.071999999999999</v>
      </c>
      <c r="D57" s="5">
        <v>11.472</v>
      </c>
      <c r="E57" s="5">
        <v>14.96</v>
      </c>
      <c r="F57" s="5">
        <v>18.286000000000001</v>
      </c>
      <c r="G57" s="5">
        <v>12.48</v>
      </c>
      <c r="H57" s="5">
        <v>21.152999999999999</v>
      </c>
      <c r="I57" s="5">
        <v>22.181000000000001</v>
      </c>
      <c r="J57" s="5">
        <v>8.9969999999999999</v>
      </c>
      <c r="K57" s="5">
        <v>14.183</v>
      </c>
      <c r="M57" s="5"/>
      <c r="N57" s="5"/>
      <c r="O57" s="5"/>
      <c r="P57" s="5"/>
      <c r="Q57" s="5"/>
      <c r="R57" s="5"/>
      <c r="S57" s="5"/>
      <c r="T57" s="5"/>
      <c r="U57" s="5"/>
    </row>
    <row r="58" spans="1:21" ht="15" customHeight="1" x14ac:dyDescent="0.25">
      <c r="A58" s="27"/>
      <c r="B58" s="27" t="s">
        <v>11</v>
      </c>
      <c r="C58" s="97">
        <v>24.518000000000001</v>
      </c>
      <c r="D58" s="97">
        <v>13.537000000000001</v>
      </c>
      <c r="E58" s="97">
        <v>36.323</v>
      </c>
      <c r="F58" s="97">
        <v>39.012999999999998</v>
      </c>
      <c r="G58" s="97">
        <v>21.661999999999999</v>
      </c>
      <c r="H58" s="97">
        <v>31.617999999999999</v>
      </c>
      <c r="I58" s="97">
        <v>26.024999999999999</v>
      </c>
      <c r="J58" s="97">
        <v>84.603999999999999</v>
      </c>
      <c r="K58" s="97">
        <v>26.559000000000001</v>
      </c>
      <c r="M58" s="97"/>
      <c r="N58" s="97"/>
      <c r="O58" s="97"/>
      <c r="P58" s="97"/>
      <c r="Q58" s="97"/>
      <c r="R58" s="97"/>
      <c r="S58" s="97"/>
      <c r="T58" s="97"/>
      <c r="U58" s="97"/>
    </row>
    <row r="59" spans="1:21" ht="15" customHeight="1" x14ac:dyDescent="0.25">
      <c r="A59" s="27" t="s">
        <v>148</v>
      </c>
      <c r="B59" s="23" t="s">
        <v>18</v>
      </c>
      <c r="C59" s="5">
        <v>131.47300000000001</v>
      </c>
      <c r="D59" s="5">
        <v>87.097999999999999</v>
      </c>
      <c r="E59" s="5">
        <v>249.41</v>
      </c>
      <c r="F59" s="5">
        <v>314.25400000000002</v>
      </c>
      <c r="G59" s="5">
        <v>189.93600000000001</v>
      </c>
      <c r="H59" s="5">
        <v>62.040999999999997</v>
      </c>
      <c r="I59" s="5">
        <v>124.95699999999999</v>
      </c>
      <c r="J59" s="5">
        <v>226.655</v>
      </c>
      <c r="K59" s="5">
        <v>190.851</v>
      </c>
      <c r="M59" s="5"/>
      <c r="N59" s="5"/>
      <c r="O59" s="5"/>
      <c r="P59" s="5"/>
      <c r="Q59" s="5"/>
      <c r="R59" s="5"/>
      <c r="S59" s="5"/>
      <c r="T59" s="5"/>
      <c r="U59" s="5"/>
    </row>
    <row r="60" spans="1:21" ht="15" customHeight="1" x14ac:dyDescent="0.25">
      <c r="A60" s="27"/>
      <c r="B60" s="23" t="s">
        <v>19</v>
      </c>
      <c r="C60" s="5">
        <v>12.196999999999999</v>
      </c>
      <c r="D60" s="5">
        <v>9.1</v>
      </c>
      <c r="E60" s="5">
        <v>14.298</v>
      </c>
      <c r="F60" s="5">
        <v>17.311</v>
      </c>
      <c r="G60" s="5">
        <v>11.709</v>
      </c>
      <c r="H60" s="5">
        <v>18.37</v>
      </c>
      <c r="I60" s="5">
        <v>19.308</v>
      </c>
      <c r="J60" s="5">
        <v>9.5289999999999999</v>
      </c>
      <c r="K60" s="5">
        <v>12.598000000000001</v>
      </c>
      <c r="M60" s="5"/>
      <c r="N60" s="5"/>
      <c r="O60" s="5"/>
      <c r="P60" s="5"/>
      <c r="Q60" s="5"/>
      <c r="R60" s="5"/>
      <c r="S60" s="5"/>
      <c r="T60" s="5"/>
      <c r="U60" s="5"/>
    </row>
    <row r="61" spans="1:21" ht="15" customHeight="1" x14ac:dyDescent="0.25">
      <c r="A61" s="27"/>
      <c r="B61" s="27" t="s">
        <v>11</v>
      </c>
      <c r="C61" s="97">
        <v>22.265000000000001</v>
      </c>
      <c r="D61" s="97">
        <v>10.75</v>
      </c>
      <c r="E61" s="97">
        <v>35.606000000000002</v>
      </c>
      <c r="F61" s="97">
        <v>39.098999999999997</v>
      </c>
      <c r="G61" s="97">
        <v>21.504999999999999</v>
      </c>
      <c r="H61" s="97">
        <v>23.931000000000001</v>
      </c>
      <c r="I61" s="97">
        <v>22.901</v>
      </c>
      <c r="J61" s="97">
        <v>108.039</v>
      </c>
      <c r="K61" s="97">
        <v>25.067</v>
      </c>
      <c r="M61" s="97"/>
      <c r="N61" s="97"/>
      <c r="O61" s="97"/>
      <c r="P61" s="97"/>
      <c r="Q61" s="97"/>
      <c r="R61" s="97"/>
      <c r="S61" s="97"/>
      <c r="T61" s="97"/>
      <c r="U61" s="97"/>
    </row>
    <row r="62" spans="1:21" ht="15" customHeight="1" x14ac:dyDescent="0.25">
      <c r="A62" s="27" t="s">
        <v>149</v>
      </c>
      <c r="B62" s="23" t="s">
        <v>18</v>
      </c>
      <c r="C62" s="5">
        <v>134.15199999999999</v>
      </c>
      <c r="D62" s="5">
        <v>74.528000000000006</v>
      </c>
      <c r="E62" s="5">
        <v>248.53800000000001</v>
      </c>
      <c r="F62" s="5">
        <v>344.57</v>
      </c>
      <c r="G62" s="5">
        <v>235.97200000000001</v>
      </c>
      <c r="H62" s="5">
        <v>77.606999999999999</v>
      </c>
      <c r="I62" s="5">
        <v>163.59899999999999</v>
      </c>
      <c r="J62" s="5">
        <v>313.49299999999999</v>
      </c>
      <c r="K62" s="5">
        <v>203.15299999999999</v>
      </c>
      <c r="M62" s="5"/>
      <c r="N62" s="5"/>
      <c r="O62" s="5"/>
      <c r="P62" s="5"/>
      <c r="Q62" s="5"/>
      <c r="R62" s="5"/>
      <c r="S62" s="5"/>
      <c r="T62" s="5"/>
      <c r="U62" s="5"/>
    </row>
    <row r="63" spans="1:21" ht="15" customHeight="1" x14ac:dyDescent="0.25">
      <c r="A63" s="27"/>
      <c r="B63" s="23" t="s">
        <v>19</v>
      </c>
      <c r="C63" s="5">
        <v>10.170999999999999</v>
      </c>
      <c r="D63" s="5">
        <v>7.681</v>
      </c>
      <c r="E63" s="5">
        <v>13.316000000000001</v>
      </c>
      <c r="F63" s="5">
        <v>18.704999999999998</v>
      </c>
      <c r="G63" s="5">
        <v>14.957000000000001</v>
      </c>
      <c r="H63" s="5">
        <v>19.655999999999999</v>
      </c>
      <c r="I63" s="5">
        <v>19.780999999999999</v>
      </c>
      <c r="J63" s="5">
        <v>8.5340000000000007</v>
      </c>
      <c r="K63" s="5">
        <v>11.797000000000001</v>
      </c>
      <c r="M63" s="5"/>
      <c r="N63" s="5"/>
      <c r="O63" s="5"/>
      <c r="P63" s="5"/>
      <c r="Q63" s="5"/>
      <c r="R63" s="5"/>
      <c r="S63" s="5"/>
      <c r="T63" s="5"/>
      <c r="U63" s="5"/>
    </row>
    <row r="64" spans="1:21" ht="15" customHeight="1" x14ac:dyDescent="0.25">
      <c r="A64" s="27"/>
      <c r="B64" s="27" t="s">
        <v>11</v>
      </c>
      <c r="C64" s="97">
        <v>20.515000000000001</v>
      </c>
      <c r="D64" s="97">
        <v>9.0960000000000001</v>
      </c>
      <c r="E64" s="97">
        <v>34.520000000000003</v>
      </c>
      <c r="F64" s="97">
        <v>42.235999999999997</v>
      </c>
      <c r="G64" s="97">
        <v>27.141999999999999</v>
      </c>
      <c r="H64" s="97">
        <v>26.663</v>
      </c>
      <c r="I64" s="97">
        <v>25.1</v>
      </c>
      <c r="J64" s="97">
        <v>145.47800000000001</v>
      </c>
      <c r="K64" s="97">
        <v>25.076000000000001</v>
      </c>
      <c r="M64" s="97"/>
      <c r="N64" s="97"/>
      <c r="O64" s="97"/>
      <c r="P64" s="97"/>
      <c r="Q64" s="97"/>
      <c r="R64" s="97"/>
      <c r="S64" s="97"/>
      <c r="T64" s="97"/>
      <c r="U64" s="97"/>
    </row>
    <row r="65" spans="1:21" ht="15" customHeight="1" x14ac:dyDescent="0.25">
      <c r="A65" s="197" t="s">
        <v>194</v>
      </c>
      <c r="B65" s="23" t="s">
        <v>18</v>
      </c>
      <c r="C65" s="5">
        <v>137.04</v>
      </c>
      <c r="D65" s="5">
        <v>70.688999999999993</v>
      </c>
      <c r="E65" s="5">
        <v>255.94</v>
      </c>
      <c r="F65" s="5">
        <v>334.279</v>
      </c>
      <c r="G65" s="5">
        <v>271.83600000000001</v>
      </c>
      <c r="H65" s="5">
        <v>87.605000000000004</v>
      </c>
      <c r="I65" s="5">
        <v>366.80399999999997</v>
      </c>
      <c r="J65" s="5">
        <v>557.13499999999999</v>
      </c>
      <c r="K65" s="5">
        <v>218.494</v>
      </c>
      <c r="M65" s="5"/>
      <c r="N65" s="5"/>
      <c r="O65" s="5"/>
      <c r="P65" s="5"/>
      <c r="Q65" s="5"/>
      <c r="R65" s="5"/>
      <c r="S65" s="5"/>
      <c r="T65" s="5"/>
      <c r="U65" s="5"/>
    </row>
    <row r="66" spans="1:21" ht="15" customHeight="1" x14ac:dyDescent="0.25">
      <c r="A66" s="187"/>
      <c r="B66" s="23" t="s">
        <v>19</v>
      </c>
      <c r="C66" s="5">
        <v>9.2850000000000001</v>
      </c>
      <c r="D66" s="5">
        <v>6.7569999999999997</v>
      </c>
      <c r="E66" s="5">
        <v>12.414</v>
      </c>
      <c r="F66" s="5">
        <v>17.587</v>
      </c>
      <c r="G66" s="5">
        <v>13.721</v>
      </c>
      <c r="H66" s="5">
        <v>23.353000000000002</v>
      </c>
      <c r="I66" s="5">
        <v>29.504000000000001</v>
      </c>
      <c r="J66" s="5">
        <v>20.244</v>
      </c>
      <c r="K66" s="5">
        <v>11.103</v>
      </c>
      <c r="M66" s="5"/>
      <c r="N66" s="5"/>
      <c r="O66" s="5"/>
      <c r="P66" s="5"/>
      <c r="Q66" s="5"/>
      <c r="R66" s="5"/>
      <c r="S66" s="5"/>
      <c r="T66" s="5"/>
      <c r="U66" s="5"/>
    </row>
    <row r="67" spans="1:21" ht="15" customHeight="1" x14ac:dyDescent="0.25">
      <c r="A67" s="187"/>
      <c r="B67" s="27" t="s">
        <v>11</v>
      </c>
      <c r="C67" s="97">
        <v>19.757999999999999</v>
      </c>
      <c r="D67" s="97">
        <v>8.1080000000000005</v>
      </c>
      <c r="E67" s="97">
        <v>34.128999999999998</v>
      </c>
      <c r="F67" s="97">
        <v>39.918999999999997</v>
      </c>
      <c r="G67" s="97">
        <v>27.779</v>
      </c>
      <c r="H67" s="97">
        <v>30.856000000000002</v>
      </c>
      <c r="I67" s="97">
        <v>41.273000000000003</v>
      </c>
      <c r="J67" s="97">
        <v>259.298</v>
      </c>
      <c r="K67" s="97">
        <v>25.1</v>
      </c>
      <c r="M67" s="97"/>
      <c r="N67" s="97"/>
      <c r="O67" s="97"/>
      <c r="P67" s="97"/>
      <c r="Q67" s="97"/>
      <c r="R67" s="97"/>
      <c r="S67" s="97"/>
      <c r="T67" s="97"/>
      <c r="U67" s="97"/>
    </row>
    <row r="68" spans="1:21" ht="15" customHeight="1" x14ac:dyDescent="0.25">
      <c r="A68" s="197" t="s">
        <v>284</v>
      </c>
      <c r="B68" s="23" t="s">
        <v>18</v>
      </c>
      <c r="C68" s="5">
        <v>143.827</v>
      </c>
      <c r="D68" s="5">
        <v>80.945999999999998</v>
      </c>
      <c r="E68" s="5">
        <v>249.709</v>
      </c>
      <c r="F68" s="5">
        <v>297.68900000000002</v>
      </c>
      <c r="G68" s="5">
        <v>262.73099999999999</v>
      </c>
      <c r="H68" s="5">
        <v>124.815</v>
      </c>
      <c r="I68" s="5">
        <v>392.87299999999999</v>
      </c>
      <c r="J68" s="5">
        <v>519.10400000000004</v>
      </c>
      <c r="K68" s="5">
        <v>219.38200000000001</v>
      </c>
      <c r="M68" s="5"/>
      <c r="N68" s="5"/>
      <c r="O68" s="5"/>
      <c r="P68" s="5"/>
      <c r="Q68" s="5"/>
      <c r="R68" s="5"/>
      <c r="S68" s="5"/>
      <c r="T68" s="5"/>
      <c r="U68" s="5"/>
    </row>
    <row r="69" spans="1:21" ht="15" customHeight="1" x14ac:dyDescent="0.25">
      <c r="A69" s="187"/>
      <c r="B69" s="23" t="s">
        <v>19</v>
      </c>
      <c r="C69" s="5">
        <v>9.1340000000000003</v>
      </c>
      <c r="D69" s="5">
        <v>7.4050000000000002</v>
      </c>
      <c r="E69" s="5">
        <v>12.162000000000001</v>
      </c>
      <c r="F69" s="5">
        <v>16.318000000000001</v>
      </c>
      <c r="G69" s="5">
        <v>11.932</v>
      </c>
      <c r="H69" s="5">
        <v>26.483000000000001</v>
      </c>
      <c r="I69" s="5">
        <v>27.478999999999999</v>
      </c>
      <c r="J69" s="5">
        <v>14.82</v>
      </c>
      <c r="K69" s="5">
        <v>10.927</v>
      </c>
      <c r="M69" s="5"/>
      <c r="N69" s="5"/>
      <c r="O69" s="5"/>
      <c r="P69" s="5"/>
      <c r="Q69" s="5"/>
      <c r="R69" s="5"/>
      <c r="S69" s="5"/>
      <c r="T69" s="5"/>
      <c r="U69" s="5"/>
    </row>
    <row r="70" spans="1:21" ht="15" customHeight="1" x14ac:dyDescent="0.25">
      <c r="A70" s="187"/>
      <c r="B70" s="27" t="s">
        <v>11</v>
      </c>
      <c r="C70" s="97">
        <v>20.056999999999999</v>
      </c>
      <c r="D70" s="97">
        <v>9.0030000000000001</v>
      </c>
      <c r="E70" s="97">
        <v>33.244</v>
      </c>
      <c r="F70" s="97">
        <v>35.804000000000002</v>
      </c>
      <c r="G70" s="97">
        <v>25.786000000000001</v>
      </c>
      <c r="H70" s="97">
        <v>38.487000000000002</v>
      </c>
      <c r="I70" s="97">
        <v>39.293999999999997</v>
      </c>
      <c r="J70" s="97">
        <v>229.16</v>
      </c>
      <c r="K70" s="97">
        <v>25.085999999999999</v>
      </c>
      <c r="M70" s="97"/>
      <c r="N70" s="97"/>
      <c r="O70" s="97"/>
      <c r="P70" s="97"/>
      <c r="Q70" s="97"/>
      <c r="R70" s="97"/>
      <c r="S70" s="97"/>
      <c r="T70" s="97"/>
      <c r="U70" s="97"/>
    </row>
    <row r="71" spans="1:21" ht="2.25" customHeight="1" x14ac:dyDescent="0.25">
      <c r="A71" s="2"/>
    </row>
    <row r="72" spans="1:21" ht="11.1" customHeight="1" x14ac:dyDescent="0.25">
      <c r="A72" s="195" t="s">
        <v>23</v>
      </c>
      <c r="B72" s="195"/>
      <c r="C72" s="195"/>
      <c r="D72" s="195"/>
      <c r="E72" s="195"/>
      <c r="F72" s="195"/>
      <c r="G72" s="195"/>
      <c r="H72" s="195"/>
      <c r="I72" s="195"/>
      <c r="J72" s="195"/>
      <c r="K72" s="195"/>
    </row>
    <row r="73" spans="1:21" ht="21.75" customHeight="1" x14ac:dyDescent="0.25">
      <c r="A73" s="186" t="s">
        <v>34</v>
      </c>
      <c r="B73" s="186"/>
      <c r="C73" s="186"/>
      <c r="D73" s="186"/>
      <c r="E73" s="186"/>
      <c r="F73" s="186"/>
      <c r="G73" s="186"/>
      <c r="H73" s="186"/>
      <c r="I73" s="186"/>
      <c r="J73" s="186"/>
      <c r="K73" s="186"/>
    </row>
    <row r="74" spans="1:21" ht="11.1" customHeight="1" x14ac:dyDescent="0.25">
      <c r="A74" s="6" t="s">
        <v>36</v>
      </c>
      <c r="B74" s="6"/>
      <c r="C74" s="6"/>
      <c r="D74" s="6"/>
      <c r="E74" s="6"/>
      <c r="F74" s="6"/>
      <c r="G74" s="6"/>
      <c r="H74" s="6"/>
      <c r="I74" s="6"/>
      <c r="J74" s="6"/>
      <c r="K74" s="6"/>
    </row>
    <row r="75" spans="1:21" ht="11.1" customHeight="1" x14ac:dyDescent="0.25">
      <c r="A75" s="6" t="s">
        <v>37</v>
      </c>
      <c r="B75" s="6"/>
      <c r="C75" s="6"/>
      <c r="D75" s="6"/>
      <c r="E75" s="6"/>
      <c r="F75" s="6"/>
      <c r="G75" s="6"/>
      <c r="H75" s="6"/>
      <c r="I75" s="6"/>
      <c r="J75" s="6"/>
      <c r="K75" s="6"/>
    </row>
    <row r="76" spans="1:21" ht="11.1" customHeight="1" x14ac:dyDescent="0.25">
      <c r="A76" s="6" t="s">
        <v>38</v>
      </c>
      <c r="B76" s="6"/>
      <c r="C76" s="6"/>
      <c r="D76" s="6"/>
      <c r="E76" s="6"/>
      <c r="F76" s="6"/>
      <c r="G76" s="6"/>
      <c r="H76" s="6"/>
      <c r="I76" s="6"/>
      <c r="J76" s="6"/>
      <c r="K76" s="6"/>
    </row>
    <row r="77" spans="1:21" ht="11.1" customHeight="1" x14ac:dyDescent="0.25">
      <c r="A77" s="6" t="s">
        <v>205</v>
      </c>
      <c r="B77" s="6"/>
      <c r="C77" s="6"/>
      <c r="D77" s="6"/>
      <c r="E77" s="6"/>
      <c r="F77" s="6"/>
      <c r="G77" s="6"/>
      <c r="H77" s="6"/>
      <c r="I77" s="6"/>
      <c r="J77" s="6"/>
      <c r="K77" s="6"/>
    </row>
    <row r="78" spans="1:21" ht="11.1" customHeight="1" x14ac:dyDescent="0.25">
      <c r="A78" s="6" t="s">
        <v>293</v>
      </c>
      <c r="B78" s="6"/>
      <c r="C78" s="6"/>
      <c r="D78" s="6"/>
      <c r="E78" s="6"/>
      <c r="F78" s="6"/>
      <c r="G78" s="6"/>
      <c r="H78" s="6"/>
      <c r="I78" s="6"/>
      <c r="J78" s="6"/>
      <c r="K78" s="6"/>
    </row>
    <row r="79" spans="1:21" s="6" customFormat="1" ht="11.1" customHeight="1" x14ac:dyDescent="0.15">
      <c r="A79" s="6" t="s">
        <v>294</v>
      </c>
    </row>
    <row r="80" spans="1:21" s="6" customFormat="1" ht="11.1" customHeight="1" x14ac:dyDescent="0.15"/>
    <row r="81" spans="1:1" s="6" customFormat="1" ht="11.1" customHeight="1" x14ac:dyDescent="0.15">
      <c r="A81" s="6" t="s">
        <v>179</v>
      </c>
    </row>
    <row r="82" spans="1:1" ht="12" customHeight="1" x14ac:dyDescent="0.25">
      <c r="A82" s="2"/>
    </row>
  </sheetData>
  <mergeCells count="11">
    <mergeCell ref="A28:A30"/>
    <mergeCell ref="A68:A70"/>
    <mergeCell ref="A73:K73"/>
    <mergeCell ref="A1:K1"/>
    <mergeCell ref="A65:A67"/>
    <mergeCell ref="A72:K72"/>
    <mergeCell ref="A22:A24"/>
    <mergeCell ref="A25:A27"/>
    <mergeCell ref="A32:K32"/>
    <mergeCell ref="A41:K41"/>
    <mergeCell ref="A33:K33"/>
  </mergeCells>
  <pageMargins left="0.08" right="0.08" top="1" bottom="1" header="0.5" footer="0.5"/>
  <pageSetup orientation="landscape" blackAndWhite="1"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103"/>
  <sheetViews>
    <sheetView zoomScaleNormal="100" workbookViewId="0">
      <selection sqref="A1:L1"/>
    </sheetView>
  </sheetViews>
  <sheetFormatPr defaultColWidth="9.140625" defaultRowHeight="15" x14ac:dyDescent="0.25"/>
  <cols>
    <col min="1" max="10" width="11.42578125" style="1" bestFit="1" customWidth="1"/>
    <col min="11" max="11" width="10.42578125" style="1" customWidth="1"/>
    <col min="12" max="12" width="11.42578125" style="1" bestFit="1" customWidth="1"/>
    <col min="13" max="16384" width="9.140625" style="1"/>
  </cols>
  <sheetData>
    <row r="1" spans="1:25" ht="30.75" customHeight="1" x14ac:dyDescent="0.25">
      <c r="A1" s="188" t="s">
        <v>295</v>
      </c>
      <c r="B1" s="188"/>
      <c r="C1" s="188"/>
      <c r="D1" s="188"/>
      <c r="E1" s="188"/>
      <c r="F1" s="188"/>
      <c r="G1" s="188"/>
      <c r="H1" s="188"/>
      <c r="I1" s="188"/>
      <c r="J1" s="188"/>
      <c r="K1" s="188"/>
      <c r="L1" s="188"/>
    </row>
    <row r="2" spans="1:25" ht="3" customHeight="1" x14ac:dyDescent="0.25">
      <c r="A2" s="2"/>
    </row>
    <row r="3" spans="1:25" ht="23.25" x14ac:dyDescent="0.25">
      <c r="A3" s="44" t="s">
        <v>122</v>
      </c>
      <c r="B3" s="44" t="s">
        <v>119</v>
      </c>
      <c r="C3" s="3" t="s">
        <v>0</v>
      </c>
      <c r="D3" s="3" t="s">
        <v>1</v>
      </c>
      <c r="E3" s="3" t="s">
        <v>2</v>
      </c>
      <c r="F3" s="3" t="s">
        <v>3</v>
      </c>
      <c r="G3" s="3" t="s">
        <v>4</v>
      </c>
      <c r="H3" s="3" t="s">
        <v>5</v>
      </c>
      <c r="I3" s="3" t="s">
        <v>6</v>
      </c>
      <c r="J3" s="3" t="s">
        <v>7</v>
      </c>
      <c r="K3" s="3" t="s">
        <v>199</v>
      </c>
      <c r="L3" s="3" t="s">
        <v>8</v>
      </c>
    </row>
    <row r="4" spans="1:25" x14ac:dyDescent="0.25">
      <c r="A4" s="197" t="s">
        <v>195</v>
      </c>
      <c r="B4" s="4" t="s">
        <v>17</v>
      </c>
      <c r="C4" s="5">
        <v>865.5</v>
      </c>
      <c r="D4" s="5">
        <v>479.8</v>
      </c>
      <c r="E4" s="5">
        <v>858</v>
      </c>
      <c r="F4" s="5">
        <v>466.7</v>
      </c>
      <c r="G4" s="5">
        <v>168.7</v>
      </c>
      <c r="H4" s="5">
        <v>63</v>
      </c>
      <c r="I4" s="5">
        <v>41.4</v>
      </c>
      <c r="J4" s="5">
        <v>79.8</v>
      </c>
      <c r="K4" s="5">
        <v>2943.1</v>
      </c>
      <c r="L4" s="5">
        <v>3022.9</v>
      </c>
      <c r="N4" s="5"/>
      <c r="O4" s="5"/>
      <c r="P4" s="5"/>
      <c r="Q4" s="5"/>
      <c r="R4" s="5"/>
      <c r="S4" s="5"/>
      <c r="T4" s="5"/>
      <c r="U4" s="5"/>
      <c r="V4" s="5"/>
      <c r="W4" s="5"/>
      <c r="Y4" s="127"/>
    </row>
    <row r="5" spans="1:25" x14ac:dyDescent="0.25">
      <c r="A5" s="197"/>
      <c r="B5" s="4" t="s">
        <v>21</v>
      </c>
      <c r="C5" s="5">
        <v>225.2</v>
      </c>
      <c r="D5" s="5">
        <v>105.7</v>
      </c>
      <c r="E5" s="5">
        <v>260.7</v>
      </c>
      <c r="F5" s="5">
        <v>94</v>
      </c>
      <c r="G5" s="5">
        <v>41.3</v>
      </c>
      <c r="H5" s="5">
        <v>14.1</v>
      </c>
      <c r="I5" s="5">
        <v>15</v>
      </c>
      <c r="J5" s="5">
        <v>22.8</v>
      </c>
      <c r="K5" s="5">
        <v>756</v>
      </c>
      <c r="L5" s="5">
        <v>778.8</v>
      </c>
      <c r="N5" s="5"/>
      <c r="O5" s="5"/>
      <c r="P5" s="5"/>
      <c r="Q5" s="5"/>
      <c r="R5" s="5"/>
      <c r="S5" s="5"/>
      <c r="T5" s="5"/>
      <c r="U5" s="5"/>
      <c r="V5" s="5"/>
      <c r="W5" s="5"/>
    </row>
    <row r="6" spans="1:25" x14ac:dyDescent="0.25">
      <c r="A6" s="197"/>
      <c r="B6" s="4" t="s">
        <v>20</v>
      </c>
      <c r="C6" s="29" t="s">
        <v>109</v>
      </c>
      <c r="D6" s="29" t="s">
        <v>109</v>
      </c>
      <c r="E6" s="5">
        <v>1</v>
      </c>
      <c r="F6" s="5">
        <v>0.1</v>
      </c>
      <c r="G6" s="29" t="s">
        <v>109</v>
      </c>
      <c r="H6" s="29" t="s">
        <v>109</v>
      </c>
      <c r="I6" s="29" t="s">
        <v>109</v>
      </c>
      <c r="J6" s="29" t="s">
        <v>109</v>
      </c>
      <c r="K6" s="5">
        <v>1</v>
      </c>
      <c r="L6" s="5">
        <v>1</v>
      </c>
      <c r="N6" s="5"/>
      <c r="O6" s="5"/>
      <c r="P6" s="5"/>
      <c r="Q6" s="5"/>
      <c r="R6" s="5"/>
      <c r="S6" s="5"/>
      <c r="T6" s="5"/>
      <c r="U6" s="5"/>
      <c r="V6" s="5"/>
      <c r="W6" s="5"/>
    </row>
    <row r="7" spans="1:25" x14ac:dyDescent="0.25">
      <c r="A7" s="197"/>
      <c r="B7" s="95" t="s">
        <v>11</v>
      </c>
      <c r="C7" s="97">
        <v>1090.7</v>
      </c>
      <c r="D7" s="97">
        <v>585.5</v>
      </c>
      <c r="E7" s="97">
        <v>1119.7</v>
      </c>
      <c r="F7" s="97">
        <v>560.70000000000005</v>
      </c>
      <c r="G7" s="97">
        <v>210</v>
      </c>
      <c r="H7" s="97">
        <v>77</v>
      </c>
      <c r="I7" s="97">
        <v>56.5</v>
      </c>
      <c r="J7" s="97">
        <v>102.6</v>
      </c>
      <c r="K7" s="97">
        <v>3700.1</v>
      </c>
      <c r="L7" s="97">
        <v>3802.7</v>
      </c>
      <c r="N7" s="97"/>
      <c r="O7" s="97"/>
      <c r="P7" s="97"/>
      <c r="Q7" s="97"/>
      <c r="R7" s="97"/>
      <c r="S7" s="97"/>
      <c r="T7" s="97"/>
      <c r="U7" s="97"/>
      <c r="V7" s="97"/>
      <c r="W7" s="97"/>
    </row>
    <row r="8" spans="1:25" x14ac:dyDescent="0.25">
      <c r="A8" s="197" t="s">
        <v>196</v>
      </c>
      <c r="B8" s="4" t="s">
        <v>17</v>
      </c>
      <c r="C8" s="5">
        <v>774.9</v>
      </c>
      <c r="D8" s="5">
        <v>421.3</v>
      </c>
      <c r="E8" s="5">
        <v>818.7</v>
      </c>
      <c r="F8" s="5">
        <v>458.6</v>
      </c>
      <c r="G8" s="5">
        <v>168.2</v>
      </c>
      <c r="H8" s="5">
        <v>57.7</v>
      </c>
      <c r="I8" s="5">
        <v>41.9</v>
      </c>
      <c r="J8" s="5">
        <v>87.9</v>
      </c>
      <c r="K8" s="5">
        <v>2741.4</v>
      </c>
      <c r="L8" s="5">
        <v>2829.3</v>
      </c>
      <c r="N8" s="5"/>
      <c r="O8" s="5"/>
      <c r="P8" s="5"/>
      <c r="Q8" s="5"/>
      <c r="R8" s="5"/>
      <c r="S8" s="5"/>
      <c r="T8" s="5"/>
      <c r="U8" s="5"/>
      <c r="V8" s="5"/>
      <c r="W8" s="5"/>
    </row>
    <row r="9" spans="1:25" x14ac:dyDescent="0.25">
      <c r="A9" s="197"/>
      <c r="B9" s="4" t="s">
        <v>21</v>
      </c>
      <c r="C9" s="5">
        <v>212.5</v>
      </c>
      <c r="D9" s="5">
        <v>103.4</v>
      </c>
      <c r="E9" s="5">
        <v>282.39999999999998</v>
      </c>
      <c r="F9" s="5">
        <v>92</v>
      </c>
      <c r="G9" s="5">
        <v>47.7</v>
      </c>
      <c r="H9" s="5">
        <v>19.3</v>
      </c>
      <c r="I9" s="5">
        <v>12.4</v>
      </c>
      <c r="J9" s="5">
        <v>27.1</v>
      </c>
      <c r="K9" s="5">
        <v>769.7</v>
      </c>
      <c r="L9" s="5">
        <v>796.8</v>
      </c>
      <c r="N9" s="5"/>
      <c r="O9" s="5"/>
      <c r="P9" s="5"/>
      <c r="Q9" s="5"/>
      <c r="R9" s="5"/>
      <c r="S9" s="5"/>
      <c r="T9" s="5"/>
      <c r="U9" s="5"/>
      <c r="V9" s="5"/>
      <c r="W9" s="5"/>
    </row>
    <row r="10" spans="1:25" x14ac:dyDescent="0.25">
      <c r="A10" s="197"/>
      <c r="B10" s="4" t="s">
        <v>20</v>
      </c>
      <c r="C10" s="29" t="s">
        <v>109</v>
      </c>
      <c r="D10" s="29" t="s">
        <v>109</v>
      </c>
      <c r="E10" s="29" t="s">
        <v>109</v>
      </c>
      <c r="F10" s="29" t="s">
        <v>109</v>
      </c>
      <c r="G10" s="29" t="s">
        <v>109</v>
      </c>
      <c r="H10" s="29" t="s">
        <v>109</v>
      </c>
      <c r="I10" s="29" t="s">
        <v>109</v>
      </c>
      <c r="J10" s="29" t="s">
        <v>109</v>
      </c>
      <c r="K10" s="29" t="s">
        <v>109</v>
      </c>
      <c r="L10" s="29" t="s">
        <v>109</v>
      </c>
      <c r="N10" s="5"/>
      <c r="O10" s="5"/>
      <c r="P10" s="5"/>
      <c r="Q10" s="5"/>
      <c r="R10" s="5"/>
      <c r="S10" s="5"/>
      <c r="T10" s="5"/>
      <c r="U10" s="5"/>
      <c r="V10" s="5"/>
      <c r="W10" s="5"/>
    </row>
    <row r="11" spans="1:25" x14ac:dyDescent="0.25">
      <c r="A11" s="197"/>
      <c r="B11" s="95" t="s">
        <v>11</v>
      </c>
      <c r="C11" s="97">
        <v>987.4</v>
      </c>
      <c r="D11" s="97">
        <v>524.70000000000005</v>
      </c>
      <c r="E11" s="97">
        <v>1101.2</v>
      </c>
      <c r="F11" s="97">
        <v>550.6</v>
      </c>
      <c r="G11" s="97">
        <v>215.9</v>
      </c>
      <c r="H11" s="97">
        <v>76.900000000000006</v>
      </c>
      <c r="I11" s="97">
        <v>54.4</v>
      </c>
      <c r="J11" s="97">
        <v>115</v>
      </c>
      <c r="K11" s="97">
        <v>3511.1</v>
      </c>
      <c r="L11" s="97">
        <v>3626.1</v>
      </c>
      <c r="N11" s="97"/>
      <c r="O11" s="97"/>
      <c r="P11" s="97"/>
      <c r="Q11" s="97"/>
      <c r="R11" s="97"/>
      <c r="S11" s="97"/>
      <c r="T11" s="97"/>
      <c r="U11" s="97"/>
      <c r="V11" s="97"/>
      <c r="W11" s="97"/>
    </row>
    <row r="12" spans="1:25" x14ac:dyDescent="0.25">
      <c r="A12" s="197" t="s">
        <v>197</v>
      </c>
      <c r="B12" s="4" t="s">
        <v>17</v>
      </c>
      <c r="C12" s="5">
        <v>734.4</v>
      </c>
      <c r="D12" s="5">
        <v>412</v>
      </c>
      <c r="E12" s="5">
        <v>931.3</v>
      </c>
      <c r="F12" s="5">
        <v>456.6</v>
      </c>
      <c r="G12" s="5">
        <v>149</v>
      </c>
      <c r="H12" s="5">
        <v>66.400000000000006</v>
      </c>
      <c r="I12" s="5">
        <v>53</v>
      </c>
      <c r="J12" s="5">
        <v>82.1</v>
      </c>
      <c r="K12" s="5">
        <v>2802.7</v>
      </c>
      <c r="L12" s="5">
        <v>2884.9</v>
      </c>
      <c r="N12" s="5"/>
      <c r="O12" s="5"/>
      <c r="P12" s="5"/>
      <c r="Q12" s="5"/>
      <c r="R12" s="5"/>
      <c r="S12" s="5"/>
      <c r="T12" s="5"/>
      <c r="U12" s="5"/>
      <c r="V12" s="5"/>
      <c r="W12" s="5"/>
    </row>
    <row r="13" spans="1:25" x14ac:dyDescent="0.25">
      <c r="A13" s="197"/>
      <c r="B13" s="4" t="s">
        <v>21</v>
      </c>
      <c r="C13" s="5">
        <v>219.6</v>
      </c>
      <c r="D13" s="5">
        <v>96.2</v>
      </c>
      <c r="E13" s="5">
        <v>306.8</v>
      </c>
      <c r="F13" s="5">
        <v>91.2</v>
      </c>
      <c r="G13" s="5">
        <v>32.200000000000003</v>
      </c>
      <c r="H13" s="5">
        <v>27.9</v>
      </c>
      <c r="I13" s="5">
        <v>22.1</v>
      </c>
      <c r="J13" s="5">
        <v>18.8</v>
      </c>
      <c r="K13" s="5">
        <v>795.9</v>
      </c>
      <c r="L13" s="5">
        <v>814.7</v>
      </c>
      <c r="N13" s="5"/>
      <c r="O13" s="5"/>
      <c r="P13" s="5"/>
      <c r="Q13" s="5"/>
      <c r="R13" s="5"/>
      <c r="S13" s="5"/>
      <c r="T13" s="5"/>
      <c r="U13" s="5"/>
      <c r="V13" s="5"/>
      <c r="W13" s="5"/>
    </row>
    <row r="14" spans="1:25" x14ac:dyDescent="0.25">
      <c r="A14" s="197"/>
      <c r="B14" s="4" t="s">
        <v>20</v>
      </c>
      <c r="C14" s="29" t="s">
        <v>109</v>
      </c>
      <c r="D14" s="29" t="s">
        <v>109</v>
      </c>
      <c r="E14" s="24">
        <v>0.2</v>
      </c>
      <c r="F14" s="29" t="s">
        <v>109</v>
      </c>
      <c r="G14" s="29" t="s">
        <v>109</v>
      </c>
      <c r="H14" s="29" t="s">
        <v>109</v>
      </c>
      <c r="I14" s="29" t="s">
        <v>109</v>
      </c>
      <c r="J14" s="29" t="s">
        <v>109</v>
      </c>
      <c r="K14" s="24">
        <v>0.2</v>
      </c>
      <c r="L14" s="24">
        <v>0.2</v>
      </c>
      <c r="N14" s="5"/>
      <c r="O14" s="5"/>
      <c r="P14" s="5"/>
      <c r="Q14" s="5"/>
      <c r="R14" s="5"/>
      <c r="S14" s="5"/>
      <c r="T14" s="5"/>
      <c r="U14" s="5"/>
      <c r="V14" s="5"/>
      <c r="W14" s="5"/>
    </row>
    <row r="15" spans="1:25" x14ac:dyDescent="0.25">
      <c r="A15" s="197"/>
      <c r="B15" s="95" t="s">
        <v>11</v>
      </c>
      <c r="C15" s="97">
        <v>954</v>
      </c>
      <c r="D15" s="97">
        <v>508.2</v>
      </c>
      <c r="E15" s="97">
        <v>1238.3</v>
      </c>
      <c r="F15" s="97">
        <v>547.79999999999995</v>
      </c>
      <c r="G15" s="97">
        <v>181.2</v>
      </c>
      <c r="H15" s="97">
        <v>94.3</v>
      </c>
      <c r="I15" s="97">
        <v>75.099999999999994</v>
      </c>
      <c r="J15" s="97">
        <v>100.9</v>
      </c>
      <c r="K15" s="97">
        <v>3598.9</v>
      </c>
      <c r="L15" s="97">
        <v>3699.8</v>
      </c>
      <c r="N15" s="97"/>
      <c r="O15" s="97"/>
      <c r="P15" s="97"/>
      <c r="Q15" s="97"/>
      <c r="R15" s="97"/>
      <c r="S15" s="97"/>
      <c r="T15" s="97"/>
      <c r="U15" s="97"/>
      <c r="V15" s="97"/>
      <c r="W15" s="97"/>
    </row>
    <row r="16" spans="1:25" x14ac:dyDescent="0.25">
      <c r="A16" s="197" t="s">
        <v>198</v>
      </c>
      <c r="B16" s="4" t="s">
        <v>17</v>
      </c>
      <c r="C16" s="5">
        <v>733</v>
      </c>
      <c r="D16" s="5">
        <v>385.9</v>
      </c>
      <c r="E16" s="5">
        <v>933.4</v>
      </c>
      <c r="F16" s="5">
        <v>439.6</v>
      </c>
      <c r="G16" s="5">
        <v>130.4</v>
      </c>
      <c r="H16" s="5">
        <v>79.599999999999994</v>
      </c>
      <c r="I16" s="5">
        <v>41.5</v>
      </c>
      <c r="J16" s="5">
        <v>90.5</v>
      </c>
      <c r="K16" s="5">
        <v>2743.4</v>
      </c>
      <c r="L16" s="5">
        <v>2833.8</v>
      </c>
      <c r="N16" s="5"/>
      <c r="O16" s="5"/>
      <c r="P16" s="5"/>
      <c r="Q16" s="5"/>
      <c r="R16" s="5"/>
      <c r="S16" s="5"/>
      <c r="T16" s="5"/>
      <c r="U16" s="5"/>
      <c r="V16" s="5"/>
      <c r="W16" s="5"/>
    </row>
    <row r="17" spans="1:23" x14ac:dyDescent="0.25">
      <c r="A17" s="197"/>
      <c r="B17" s="4" t="s">
        <v>21</v>
      </c>
      <c r="C17" s="5">
        <v>246.2</v>
      </c>
      <c r="D17" s="5">
        <v>94.7</v>
      </c>
      <c r="E17" s="5">
        <v>332.2</v>
      </c>
      <c r="F17" s="5">
        <v>109.5</v>
      </c>
      <c r="G17" s="5">
        <v>25.9</v>
      </c>
      <c r="H17" s="5">
        <v>29.2</v>
      </c>
      <c r="I17" s="5">
        <v>13.5</v>
      </c>
      <c r="J17" s="5">
        <v>17.5</v>
      </c>
      <c r="K17" s="5">
        <v>851.2</v>
      </c>
      <c r="L17" s="5">
        <v>868.7</v>
      </c>
      <c r="N17" s="5"/>
      <c r="O17" s="5"/>
      <c r="P17" s="5"/>
      <c r="Q17" s="5"/>
      <c r="R17" s="5"/>
      <c r="S17" s="5"/>
      <c r="T17" s="5"/>
      <c r="U17" s="5"/>
      <c r="V17" s="5"/>
      <c r="W17" s="5"/>
    </row>
    <row r="18" spans="1:23" x14ac:dyDescent="0.25">
      <c r="A18" s="197"/>
      <c r="B18" s="4" t="s">
        <v>20</v>
      </c>
      <c r="C18" s="29" t="s">
        <v>109</v>
      </c>
      <c r="D18" s="24">
        <v>0.3</v>
      </c>
      <c r="E18" s="5">
        <v>0.1</v>
      </c>
      <c r="F18" s="24">
        <v>0.3</v>
      </c>
      <c r="G18" s="29" t="s">
        <v>109</v>
      </c>
      <c r="H18" s="29" t="s">
        <v>109</v>
      </c>
      <c r="I18" s="29" t="s">
        <v>109</v>
      </c>
      <c r="J18" s="29" t="s">
        <v>109</v>
      </c>
      <c r="K18" s="5">
        <v>0.7</v>
      </c>
      <c r="L18" s="5">
        <v>0.7</v>
      </c>
      <c r="N18" s="5"/>
      <c r="O18" s="5"/>
      <c r="P18" s="5"/>
      <c r="Q18" s="5"/>
      <c r="R18" s="5"/>
      <c r="S18" s="5"/>
      <c r="T18" s="5"/>
      <c r="U18" s="5"/>
      <c r="V18" s="5"/>
      <c r="W18" s="5"/>
    </row>
    <row r="19" spans="1:23" x14ac:dyDescent="0.25">
      <c r="A19" s="197"/>
      <c r="B19" s="95" t="s">
        <v>11</v>
      </c>
      <c r="C19" s="97">
        <v>979.1</v>
      </c>
      <c r="D19" s="97">
        <v>480.9</v>
      </c>
      <c r="E19" s="97">
        <v>1265.8</v>
      </c>
      <c r="F19" s="97">
        <v>549.4</v>
      </c>
      <c r="G19" s="97">
        <v>156.30000000000001</v>
      </c>
      <c r="H19" s="97">
        <v>108.8</v>
      </c>
      <c r="I19" s="97">
        <v>54.9</v>
      </c>
      <c r="J19" s="97">
        <v>108</v>
      </c>
      <c r="K19" s="97">
        <v>3595.2</v>
      </c>
      <c r="L19" s="97">
        <v>3703.2</v>
      </c>
      <c r="N19" s="97"/>
      <c r="O19" s="97"/>
      <c r="P19" s="97"/>
      <c r="Q19" s="97"/>
      <c r="R19" s="97"/>
      <c r="S19" s="97"/>
      <c r="T19" s="97"/>
      <c r="U19" s="97"/>
      <c r="V19" s="97"/>
      <c r="W19" s="97"/>
    </row>
    <row r="20" spans="1:23" x14ac:dyDescent="0.25">
      <c r="A20" s="197" t="s">
        <v>190</v>
      </c>
      <c r="B20" s="4" t="s">
        <v>17</v>
      </c>
      <c r="C20" s="5">
        <v>717.8</v>
      </c>
      <c r="D20" s="5">
        <v>340</v>
      </c>
      <c r="E20" s="5">
        <v>778.3</v>
      </c>
      <c r="F20" s="5">
        <v>391.5</v>
      </c>
      <c r="G20" s="5">
        <v>141.9</v>
      </c>
      <c r="H20" s="5">
        <v>72.400000000000006</v>
      </c>
      <c r="I20" s="5">
        <v>37.200000000000003</v>
      </c>
      <c r="J20" s="5">
        <v>91.9</v>
      </c>
      <c r="K20" s="5">
        <v>2479.1</v>
      </c>
      <c r="L20" s="5">
        <v>2571</v>
      </c>
      <c r="N20" s="5"/>
      <c r="O20" s="5"/>
      <c r="P20" s="5"/>
      <c r="Q20" s="5"/>
      <c r="R20" s="5"/>
      <c r="S20" s="5"/>
      <c r="T20" s="5"/>
      <c r="U20" s="5"/>
      <c r="V20" s="5"/>
      <c r="W20" s="5"/>
    </row>
    <row r="21" spans="1:23" x14ac:dyDescent="0.25">
      <c r="A21" s="197"/>
      <c r="B21" s="4" t="s">
        <v>21</v>
      </c>
      <c r="C21" s="5">
        <v>224.1</v>
      </c>
      <c r="D21" s="5">
        <v>98.9</v>
      </c>
      <c r="E21" s="5">
        <v>307.39999999999998</v>
      </c>
      <c r="F21" s="5">
        <v>108.1</v>
      </c>
      <c r="G21" s="5">
        <v>27</v>
      </c>
      <c r="H21" s="5">
        <v>28.5</v>
      </c>
      <c r="I21" s="5">
        <v>12.6</v>
      </c>
      <c r="J21" s="5">
        <v>15.6</v>
      </c>
      <c r="K21" s="5">
        <v>806.6</v>
      </c>
      <c r="L21" s="5">
        <v>822.2</v>
      </c>
      <c r="N21" s="5"/>
      <c r="O21" s="5"/>
      <c r="P21" s="5"/>
      <c r="Q21" s="5"/>
      <c r="R21" s="5"/>
      <c r="S21" s="5"/>
      <c r="T21" s="5"/>
      <c r="U21" s="5"/>
      <c r="V21" s="5"/>
      <c r="W21" s="5"/>
    </row>
    <row r="22" spans="1:23" x14ac:dyDescent="0.25">
      <c r="A22" s="197"/>
      <c r="B22" s="4" t="s">
        <v>20</v>
      </c>
      <c r="C22" s="24">
        <v>0.5</v>
      </c>
      <c r="D22" s="5">
        <v>0.1</v>
      </c>
      <c r="E22" s="5">
        <v>0.4</v>
      </c>
      <c r="F22" s="5">
        <v>0.6</v>
      </c>
      <c r="G22" s="29" t="s">
        <v>109</v>
      </c>
      <c r="H22" s="29" t="s">
        <v>109</v>
      </c>
      <c r="I22" s="29" t="s">
        <v>109</v>
      </c>
      <c r="J22" s="29" t="s">
        <v>109</v>
      </c>
      <c r="K22" s="5">
        <v>1.6</v>
      </c>
      <c r="L22" s="5">
        <v>1.6</v>
      </c>
      <c r="N22" s="5"/>
      <c r="O22" s="5"/>
      <c r="P22" s="5"/>
      <c r="Q22" s="5"/>
      <c r="R22" s="5"/>
      <c r="S22" s="5"/>
      <c r="T22" s="5"/>
      <c r="U22" s="5"/>
      <c r="V22" s="5"/>
      <c r="W22" s="5"/>
    </row>
    <row r="23" spans="1:23" x14ac:dyDescent="0.25">
      <c r="A23" s="197"/>
      <c r="B23" s="95" t="s">
        <v>11</v>
      </c>
      <c r="C23" s="97">
        <v>942.5</v>
      </c>
      <c r="D23" s="97">
        <v>439</v>
      </c>
      <c r="E23" s="97">
        <v>1086.0999999999999</v>
      </c>
      <c r="F23" s="97">
        <v>500.2</v>
      </c>
      <c r="G23" s="97">
        <v>168.9</v>
      </c>
      <c r="H23" s="97">
        <v>100.9</v>
      </c>
      <c r="I23" s="97">
        <v>49.8</v>
      </c>
      <c r="J23" s="97">
        <v>107.5</v>
      </c>
      <c r="K23" s="97">
        <v>3287.3</v>
      </c>
      <c r="L23" s="97">
        <v>3394.8</v>
      </c>
      <c r="N23" s="97"/>
      <c r="O23" s="97"/>
      <c r="P23" s="97"/>
      <c r="Q23" s="97"/>
      <c r="R23" s="97"/>
      <c r="S23" s="97"/>
      <c r="T23" s="97"/>
      <c r="U23" s="97"/>
      <c r="V23" s="97"/>
      <c r="W23" s="97"/>
    </row>
    <row r="24" spans="1:23" x14ac:dyDescent="0.25">
      <c r="A24" s="197" t="s">
        <v>191</v>
      </c>
      <c r="B24" s="4" t="s">
        <v>17</v>
      </c>
      <c r="C24" s="5">
        <v>708.8</v>
      </c>
      <c r="D24" s="5">
        <v>287.5</v>
      </c>
      <c r="E24" s="5">
        <v>668.2</v>
      </c>
      <c r="F24" s="5">
        <v>292.8</v>
      </c>
      <c r="G24" s="5">
        <v>109</v>
      </c>
      <c r="H24" s="5">
        <v>52.2</v>
      </c>
      <c r="I24" s="5">
        <v>34.799999999999997</v>
      </c>
      <c r="J24" s="5">
        <v>60.2</v>
      </c>
      <c r="K24" s="5">
        <v>2153.1999999999998</v>
      </c>
      <c r="L24" s="5">
        <v>2213.4</v>
      </c>
      <c r="N24" s="5"/>
      <c r="O24" s="5"/>
      <c r="P24" s="5"/>
      <c r="Q24" s="5"/>
      <c r="R24" s="5"/>
      <c r="S24" s="5"/>
      <c r="T24" s="5"/>
      <c r="U24" s="5"/>
      <c r="V24" s="5"/>
      <c r="W24" s="5"/>
    </row>
    <row r="25" spans="1:23" x14ac:dyDescent="0.25">
      <c r="A25" s="197"/>
      <c r="B25" s="4" t="s">
        <v>21</v>
      </c>
      <c r="C25" s="5">
        <v>189.8</v>
      </c>
      <c r="D25" s="5">
        <v>65.8</v>
      </c>
      <c r="E25" s="5">
        <v>252.4</v>
      </c>
      <c r="F25" s="5">
        <v>68.2</v>
      </c>
      <c r="G25" s="5">
        <v>29.2</v>
      </c>
      <c r="H25" s="5">
        <v>20.2</v>
      </c>
      <c r="I25" s="5">
        <v>13.8</v>
      </c>
      <c r="J25" s="5">
        <v>10.5</v>
      </c>
      <c r="K25" s="5">
        <v>639.4</v>
      </c>
      <c r="L25" s="5">
        <v>649.79999999999995</v>
      </c>
      <c r="N25" s="5"/>
      <c r="O25" s="5"/>
      <c r="P25" s="5"/>
      <c r="Q25" s="5"/>
      <c r="R25" s="5"/>
      <c r="S25" s="5"/>
      <c r="T25" s="5"/>
      <c r="U25" s="5"/>
      <c r="V25" s="5"/>
      <c r="W25" s="5"/>
    </row>
    <row r="26" spans="1:23" x14ac:dyDescent="0.25">
      <c r="A26" s="197"/>
      <c r="B26" s="4" t="s">
        <v>20</v>
      </c>
      <c r="C26" s="5">
        <v>0.7</v>
      </c>
      <c r="D26" s="29" t="s">
        <v>109</v>
      </c>
      <c r="E26" s="29" t="s">
        <v>109</v>
      </c>
      <c r="F26" s="29" t="s">
        <v>109</v>
      </c>
      <c r="G26" s="29" t="s">
        <v>109</v>
      </c>
      <c r="H26" s="29" t="s">
        <v>109</v>
      </c>
      <c r="I26" s="29" t="s">
        <v>109</v>
      </c>
      <c r="J26" s="29" t="s">
        <v>109</v>
      </c>
      <c r="K26" s="5">
        <v>0.7</v>
      </c>
      <c r="L26" s="5">
        <v>0.7</v>
      </c>
      <c r="N26" s="5"/>
      <c r="O26" s="5"/>
      <c r="P26" s="5"/>
      <c r="Q26" s="5"/>
      <c r="R26" s="5"/>
      <c r="S26" s="5"/>
      <c r="T26" s="5"/>
      <c r="U26" s="5"/>
      <c r="V26" s="5"/>
      <c r="W26" s="5"/>
    </row>
    <row r="27" spans="1:23" x14ac:dyDescent="0.25">
      <c r="A27" s="197"/>
      <c r="B27" s="95" t="s">
        <v>11</v>
      </c>
      <c r="C27" s="97">
        <v>899.3</v>
      </c>
      <c r="D27" s="97">
        <v>353.3</v>
      </c>
      <c r="E27" s="97">
        <v>920.6</v>
      </c>
      <c r="F27" s="97">
        <v>360.9</v>
      </c>
      <c r="G27" s="97">
        <v>138.19999999999999</v>
      </c>
      <c r="H27" s="97">
        <v>72.400000000000006</v>
      </c>
      <c r="I27" s="97">
        <v>48.6</v>
      </c>
      <c r="J27" s="97">
        <v>70.599999999999994</v>
      </c>
      <c r="K27" s="97">
        <v>2793.3</v>
      </c>
      <c r="L27" s="97">
        <v>2864</v>
      </c>
      <c r="N27" s="97"/>
      <c r="O27" s="97"/>
      <c r="P27" s="97"/>
      <c r="Q27" s="97"/>
      <c r="R27" s="97"/>
      <c r="S27" s="97"/>
      <c r="T27" s="97"/>
      <c r="U27" s="97"/>
      <c r="V27" s="97"/>
      <c r="W27" s="97"/>
    </row>
    <row r="28" spans="1:23" x14ac:dyDescent="0.25">
      <c r="A28" s="197" t="s">
        <v>192</v>
      </c>
      <c r="B28" s="4" t="s">
        <v>17</v>
      </c>
      <c r="C28" s="5">
        <v>648.6</v>
      </c>
      <c r="D28" s="5">
        <v>234.9</v>
      </c>
      <c r="E28" s="5">
        <v>654.1</v>
      </c>
      <c r="F28" s="5">
        <v>306.10000000000002</v>
      </c>
      <c r="G28" s="5">
        <v>120.8</v>
      </c>
      <c r="H28" s="5">
        <v>37.799999999999997</v>
      </c>
      <c r="I28" s="5">
        <v>24</v>
      </c>
      <c r="J28" s="5">
        <v>84.4</v>
      </c>
      <c r="K28" s="5">
        <v>2026.3</v>
      </c>
      <c r="L28" s="5">
        <v>2110.6999999999998</v>
      </c>
      <c r="N28" s="5"/>
      <c r="O28" s="5"/>
      <c r="P28" s="5"/>
      <c r="Q28" s="5"/>
      <c r="R28" s="5"/>
      <c r="S28" s="5"/>
      <c r="T28" s="5"/>
      <c r="U28" s="5"/>
      <c r="V28" s="5"/>
      <c r="W28" s="5"/>
    </row>
    <row r="29" spans="1:23" x14ac:dyDescent="0.25">
      <c r="A29" s="197"/>
      <c r="B29" s="4" t="s">
        <v>21</v>
      </c>
      <c r="C29" s="5">
        <v>167.2</v>
      </c>
      <c r="D29" s="5">
        <v>53</v>
      </c>
      <c r="E29" s="5">
        <v>261.5</v>
      </c>
      <c r="F29" s="5">
        <v>79.599999999999994</v>
      </c>
      <c r="G29" s="5">
        <v>29.9</v>
      </c>
      <c r="H29" s="5">
        <v>19.899999999999999</v>
      </c>
      <c r="I29" s="5">
        <v>15</v>
      </c>
      <c r="J29" s="5">
        <v>17.100000000000001</v>
      </c>
      <c r="K29" s="5">
        <v>626.1</v>
      </c>
      <c r="L29" s="5">
        <v>643.20000000000005</v>
      </c>
      <c r="N29" s="5"/>
      <c r="O29" s="5"/>
      <c r="P29" s="5"/>
      <c r="Q29" s="5"/>
      <c r="R29" s="5"/>
      <c r="S29" s="5"/>
      <c r="T29" s="5"/>
      <c r="U29" s="5"/>
      <c r="V29" s="5"/>
      <c r="W29" s="5"/>
    </row>
    <row r="30" spans="1:23" x14ac:dyDescent="0.25">
      <c r="A30" s="197"/>
      <c r="B30" s="4" t="s">
        <v>20</v>
      </c>
      <c r="C30" s="5">
        <v>1.4</v>
      </c>
      <c r="D30" s="24">
        <v>0.5</v>
      </c>
      <c r="E30" s="24">
        <v>0.9</v>
      </c>
      <c r="F30" s="29" t="s">
        <v>109</v>
      </c>
      <c r="G30" s="29" t="s">
        <v>109</v>
      </c>
      <c r="H30" s="29" t="s">
        <v>109</v>
      </c>
      <c r="I30" s="29" t="s">
        <v>109</v>
      </c>
      <c r="J30" s="29" t="s">
        <v>109</v>
      </c>
      <c r="K30" s="5">
        <v>2.8</v>
      </c>
      <c r="L30" s="5">
        <v>2.8</v>
      </c>
      <c r="N30" s="5"/>
      <c r="O30" s="5"/>
      <c r="P30" s="5"/>
      <c r="Q30" s="5"/>
      <c r="R30" s="5"/>
      <c r="S30" s="5"/>
      <c r="T30" s="5"/>
      <c r="U30" s="5"/>
      <c r="V30" s="5"/>
      <c r="W30" s="5"/>
    </row>
    <row r="31" spans="1:23" x14ac:dyDescent="0.25">
      <c r="A31" s="197"/>
      <c r="B31" s="95" t="s">
        <v>11</v>
      </c>
      <c r="C31" s="97">
        <v>817.2</v>
      </c>
      <c r="D31" s="97">
        <v>288.39999999999998</v>
      </c>
      <c r="E31" s="97">
        <v>916.5</v>
      </c>
      <c r="F31" s="97">
        <v>385.7</v>
      </c>
      <c r="G31" s="97">
        <v>150.6</v>
      </c>
      <c r="H31" s="97">
        <v>57.7</v>
      </c>
      <c r="I31" s="97">
        <v>39</v>
      </c>
      <c r="J31" s="97">
        <v>101.6</v>
      </c>
      <c r="K31" s="97">
        <v>2655.2</v>
      </c>
      <c r="L31" s="97">
        <v>2756.8</v>
      </c>
      <c r="N31" s="97"/>
      <c r="O31" s="97"/>
      <c r="P31" s="97"/>
      <c r="Q31" s="97"/>
      <c r="R31" s="97"/>
      <c r="S31" s="97"/>
      <c r="T31" s="97"/>
      <c r="U31" s="97"/>
      <c r="V31" s="97"/>
      <c r="W31" s="97"/>
    </row>
    <row r="32" spans="1:23" x14ac:dyDescent="0.25">
      <c r="A32" s="197" t="s">
        <v>193</v>
      </c>
      <c r="B32" s="4" t="s">
        <v>17</v>
      </c>
      <c r="C32" s="5">
        <v>586.4</v>
      </c>
      <c r="D32" s="5">
        <v>200.6</v>
      </c>
      <c r="E32" s="5">
        <v>646.6</v>
      </c>
      <c r="F32" s="5">
        <v>348.5</v>
      </c>
      <c r="G32" s="5">
        <v>137.1</v>
      </c>
      <c r="H32" s="5">
        <v>44.7</v>
      </c>
      <c r="I32" s="5">
        <v>26.7</v>
      </c>
      <c r="J32" s="5">
        <v>136.30000000000001</v>
      </c>
      <c r="K32" s="5">
        <v>1990.6</v>
      </c>
      <c r="L32" s="5">
        <v>2126.9</v>
      </c>
      <c r="N32" s="5"/>
      <c r="O32" s="5"/>
      <c r="P32" s="5"/>
      <c r="Q32" s="5"/>
      <c r="R32" s="5"/>
      <c r="S32" s="5"/>
      <c r="T32" s="5"/>
      <c r="U32" s="5"/>
      <c r="V32" s="5"/>
      <c r="W32" s="5"/>
    </row>
    <row r="33" spans="1:23" x14ac:dyDescent="0.25">
      <c r="A33" s="197"/>
      <c r="B33" s="4" t="s">
        <v>21</v>
      </c>
      <c r="C33" s="5">
        <v>149</v>
      </c>
      <c r="D33" s="5">
        <v>34.6</v>
      </c>
      <c r="E33" s="5">
        <v>239.4</v>
      </c>
      <c r="F33" s="5">
        <v>102.1</v>
      </c>
      <c r="G33" s="5">
        <v>47.8</v>
      </c>
      <c r="H33" s="5">
        <v>22.1</v>
      </c>
      <c r="I33" s="5">
        <v>14.7</v>
      </c>
      <c r="J33" s="5">
        <v>30.9</v>
      </c>
      <c r="K33" s="5">
        <v>609.79999999999995</v>
      </c>
      <c r="L33" s="5">
        <v>640.70000000000005</v>
      </c>
      <c r="N33" s="5"/>
      <c r="O33" s="5"/>
      <c r="P33" s="5"/>
      <c r="Q33" s="5"/>
      <c r="R33" s="5"/>
      <c r="S33" s="5"/>
      <c r="T33" s="5"/>
      <c r="U33" s="5"/>
      <c r="V33" s="5"/>
      <c r="W33" s="5"/>
    </row>
    <row r="34" spans="1:23" x14ac:dyDescent="0.25">
      <c r="A34" s="197"/>
      <c r="B34" s="4" t="s">
        <v>20</v>
      </c>
      <c r="C34" s="5">
        <v>0.8</v>
      </c>
      <c r="D34" s="5">
        <v>0.2</v>
      </c>
      <c r="E34" s="5">
        <v>1</v>
      </c>
      <c r="F34" s="29" t="s">
        <v>109</v>
      </c>
      <c r="G34" s="24">
        <v>0.2</v>
      </c>
      <c r="H34" s="29" t="s">
        <v>109</v>
      </c>
      <c r="I34" s="29" t="s">
        <v>109</v>
      </c>
      <c r="J34" s="24">
        <v>0.3</v>
      </c>
      <c r="K34" s="5">
        <v>2.2000000000000002</v>
      </c>
      <c r="L34" s="5">
        <v>2.5</v>
      </c>
      <c r="N34" s="5"/>
      <c r="O34" s="5"/>
      <c r="P34" s="5"/>
      <c r="Q34" s="5"/>
      <c r="R34" s="5"/>
      <c r="S34" s="5"/>
      <c r="T34" s="5"/>
      <c r="U34" s="5"/>
      <c r="V34" s="5"/>
      <c r="W34" s="5"/>
    </row>
    <row r="35" spans="1:23" x14ac:dyDescent="0.25">
      <c r="A35" s="197"/>
      <c r="B35" s="95" t="s">
        <v>11</v>
      </c>
      <c r="C35" s="97">
        <v>736.1</v>
      </c>
      <c r="D35" s="97">
        <v>235.4</v>
      </c>
      <c r="E35" s="97">
        <v>887</v>
      </c>
      <c r="F35" s="97">
        <v>450.6</v>
      </c>
      <c r="G35" s="97">
        <v>185.1</v>
      </c>
      <c r="H35" s="97">
        <v>66.8</v>
      </c>
      <c r="I35" s="97">
        <v>41.4</v>
      </c>
      <c r="J35" s="97">
        <v>167.6</v>
      </c>
      <c r="K35" s="97">
        <v>2602.5</v>
      </c>
      <c r="L35" s="97">
        <v>2770.1</v>
      </c>
      <c r="N35" s="97"/>
      <c r="O35" s="97"/>
      <c r="P35" s="97"/>
      <c r="Q35" s="97"/>
      <c r="R35" s="97"/>
      <c r="S35" s="97"/>
      <c r="T35" s="97"/>
      <c r="U35" s="97"/>
      <c r="V35" s="97"/>
      <c r="W35" s="97"/>
    </row>
    <row r="36" spans="1:23" x14ac:dyDescent="0.25">
      <c r="A36" s="197" t="s">
        <v>194</v>
      </c>
      <c r="B36" s="4" t="s">
        <v>17</v>
      </c>
      <c r="C36" s="5">
        <v>562.6</v>
      </c>
      <c r="D36" s="5">
        <v>184.3</v>
      </c>
      <c r="E36" s="5">
        <v>644.5</v>
      </c>
      <c r="F36" s="5">
        <v>326.39999999999998</v>
      </c>
      <c r="G36" s="5">
        <v>150.6</v>
      </c>
      <c r="H36" s="5">
        <v>54.6</v>
      </c>
      <c r="I36" s="5">
        <v>33.799999999999997</v>
      </c>
      <c r="J36" s="5" t="s">
        <v>114</v>
      </c>
      <c r="K36" s="5">
        <v>1956.9</v>
      </c>
      <c r="L36" s="5" t="s">
        <v>114</v>
      </c>
      <c r="N36" s="5"/>
      <c r="O36" s="5"/>
      <c r="P36" s="5"/>
      <c r="Q36" s="5"/>
      <c r="R36" s="5"/>
      <c r="S36" s="5"/>
      <c r="T36" s="5"/>
      <c r="U36" s="5"/>
      <c r="V36" s="5"/>
      <c r="W36" s="5"/>
    </row>
    <row r="37" spans="1:23" x14ac:dyDescent="0.25">
      <c r="A37" s="197"/>
      <c r="B37" s="4" t="s">
        <v>21</v>
      </c>
      <c r="C37" s="5">
        <v>160.4</v>
      </c>
      <c r="D37" s="5">
        <v>32.299999999999997</v>
      </c>
      <c r="E37" s="5">
        <v>251.1</v>
      </c>
      <c r="F37" s="5">
        <v>103</v>
      </c>
      <c r="G37" s="5">
        <v>64.400000000000006</v>
      </c>
      <c r="H37" s="5">
        <v>23.8</v>
      </c>
      <c r="I37" s="5">
        <v>20.5</v>
      </c>
      <c r="J37" s="5" t="s">
        <v>114</v>
      </c>
      <c r="K37" s="5">
        <v>655.4</v>
      </c>
      <c r="L37" s="5" t="s">
        <v>114</v>
      </c>
      <c r="N37" s="5"/>
      <c r="O37" s="5"/>
      <c r="P37" s="5"/>
      <c r="Q37" s="5"/>
      <c r="R37" s="5"/>
      <c r="S37" s="5"/>
      <c r="T37" s="5"/>
      <c r="U37" s="5"/>
      <c r="V37" s="5"/>
      <c r="W37" s="5"/>
    </row>
    <row r="38" spans="1:23" x14ac:dyDescent="0.25">
      <c r="A38" s="197"/>
      <c r="B38" s="4" t="s">
        <v>20</v>
      </c>
      <c r="C38" s="5">
        <v>0.5</v>
      </c>
      <c r="D38" s="29" t="s">
        <v>109</v>
      </c>
      <c r="E38" s="5">
        <v>0.5</v>
      </c>
      <c r="F38" s="29" t="s">
        <v>109</v>
      </c>
      <c r="G38" s="29" t="s">
        <v>109</v>
      </c>
      <c r="H38" s="24">
        <v>0.2</v>
      </c>
      <c r="I38" s="29" t="s">
        <v>109</v>
      </c>
      <c r="J38" s="5" t="s">
        <v>114</v>
      </c>
      <c r="K38" s="5">
        <v>1.2</v>
      </c>
      <c r="L38" s="5" t="s">
        <v>114</v>
      </c>
      <c r="N38" s="5"/>
      <c r="O38" s="5"/>
      <c r="P38" s="5"/>
      <c r="Q38" s="5"/>
      <c r="R38" s="5"/>
      <c r="S38" s="5"/>
      <c r="T38" s="5"/>
      <c r="U38" s="5"/>
      <c r="V38" s="5"/>
      <c r="W38" s="5"/>
    </row>
    <row r="39" spans="1:23" x14ac:dyDescent="0.25">
      <c r="A39" s="197"/>
      <c r="B39" s="95" t="s">
        <v>11</v>
      </c>
      <c r="C39" s="97">
        <v>723.5</v>
      </c>
      <c r="D39" s="97">
        <v>216.6</v>
      </c>
      <c r="E39" s="97">
        <v>896</v>
      </c>
      <c r="F39" s="97">
        <v>429.5</v>
      </c>
      <c r="G39" s="97">
        <v>215</v>
      </c>
      <c r="H39" s="97">
        <v>78.599999999999994</v>
      </c>
      <c r="I39" s="97">
        <v>54.2</v>
      </c>
      <c r="J39" s="97" t="s">
        <v>114</v>
      </c>
      <c r="K39" s="97">
        <v>2613.4</v>
      </c>
      <c r="L39" s="97" t="s">
        <v>114</v>
      </c>
      <c r="N39" s="97"/>
      <c r="O39" s="97"/>
      <c r="P39" s="97"/>
      <c r="Q39" s="97"/>
      <c r="R39" s="97"/>
      <c r="S39" s="97"/>
      <c r="T39" s="97"/>
      <c r="U39" s="97"/>
      <c r="V39" s="97"/>
      <c r="W39" s="97"/>
    </row>
    <row r="40" spans="1:23" x14ac:dyDescent="0.25">
      <c r="A40" s="197" t="s">
        <v>284</v>
      </c>
      <c r="B40" s="4" t="s">
        <v>17</v>
      </c>
      <c r="C40" s="5">
        <v>572.20000000000005</v>
      </c>
      <c r="D40" s="5">
        <v>200.4</v>
      </c>
      <c r="E40" s="5">
        <v>612.20000000000005</v>
      </c>
      <c r="F40" s="5">
        <v>287.7</v>
      </c>
      <c r="G40" s="5">
        <v>124.2</v>
      </c>
      <c r="H40" s="5">
        <v>65.599999999999994</v>
      </c>
      <c r="I40" s="5">
        <v>33</v>
      </c>
      <c r="J40" s="5" t="s">
        <v>114</v>
      </c>
      <c r="K40" s="5">
        <v>1895.2</v>
      </c>
      <c r="L40" s="5" t="s">
        <v>114</v>
      </c>
      <c r="N40" s="5"/>
      <c r="O40" s="5"/>
      <c r="P40" s="5"/>
      <c r="Q40" s="5"/>
      <c r="R40" s="5"/>
      <c r="S40" s="5"/>
      <c r="T40" s="5"/>
      <c r="U40" s="5"/>
      <c r="V40" s="5"/>
      <c r="W40" s="5"/>
    </row>
    <row r="41" spans="1:23" x14ac:dyDescent="0.25">
      <c r="A41" s="197"/>
      <c r="B41" s="4" t="s">
        <v>21</v>
      </c>
      <c r="C41" s="5">
        <v>166.2</v>
      </c>
      <c r="D41" s="5">
        <v>28.3</v>
      </c>
      <c r="E41" s="5">
        <v>246.9</v>
      </c>
      <c r="F41" s="5">
        <v>80.099999999999994</v>
      </c>
      <c r="G41" s="5">
        <v>44.4</v>
      </c>
      <c r="H41" s="5">
        <v>30</v>
      </c>
      <c r="I41" s="5">
        <v>14.4</v>
      </c>
      <c r="J41" s="5" t="s">
        <v>114</v>
      </c>
      <c r="K41" s="5">
        <v>610.29999999999995</v>
      </c>
      <c r="L41" s="5" t="s">
        <v>114</v>
      </c>
      <c r="N41" s="5"/>
      <c r="O41" s="5"/>
      <c r="P41" s="5"/>
      <c r="Q41" s="5"/>
      <c r="R41" s="5"/>
      <c r="S41" s="5"/>
      <c r="T41" s="5"/>
      <c r="U41" s="5"/>
      <c r="V41" s="5"/>
      <c r="W41" s="5"/>
    </row>
    <row r="42" spans="1:23" x14ac:dyDescent="0.25">
      <c r="A42" s="197"/>
      <c r="B42" s="4" t="s">
        <v>20</v>
      </c>
      <c r="C42" s="5">
        <v>1</v>
      </c>
      <c r="D42" s="29" t="s">
        <v>109</v>
      </c>
      <c r="E42" s="24">
        <v>0.9</v>
      </c>
      <c r="F42" s="29" t="s">
        <v>109</v>
      </c>
      <c r="G42" s="24">
        <v>0.5</v>
      </c>
      <c r="H42" s="5">
        <v>0.8</v>
      </c>
      <c r="I42" s="29" t="s">
        <v>109</v>
      </c>
      <c r="J42" s="5" t="s">
        <v>114</v>
      </c>
      <c r="K42" s="5">
        <v>3.3</v>
      </c>
      <c r="L42" s="5" t="s">
        <v>114</v>
      </c>
      <c r="N42" s="5"/>
      <c r="O42" s="5"/>
      <c r="P42" s="5"/>
      <c r="Q42" s="5"/>
      <c r="R42" s="5"/>
      <c r="S42" s="5"/>
      <c r="T42" s="5"/>
      <c r="U42" s="5"/>
      <c r="V42" s="5"/>
      <c r="W42" s="5"/>
    </row>
    <row r="43" spans="1:23" x14ac:dyDescent="0.25">
      <c r="A43" s="197"/>
      <c r="B43" s="95" t="s">
        <v>11</v>
      </c>
      <c r="C43" s="97">
        <v>739.5</v>
      </c>
      <c r="D43" s="97">
        <v>228.7</v>
      </c>
      <c r="E43" s="97">
        <v>860</v>
      </c>
      <c r="F43" s="97">
        <v>367.8</v>
      </c>
      <c r="G43" s="97">
        <v>169.1</v>
      </c>
      <c r="H43" s="97">
        <v>96.4</v>
      </c>
      <c r="I43" s="97">
        <v>47.4</v>
      </c>
      <c r="J43" s="97" t="s">
        <v>114</v>
      </c>
      <c r="K43" s="97">
        <v>2508.8000000000002</v>
      </c>
      <c r="L43" s="97" t="s">
        <v>114</v>
      </c>
      <c r="N43" s="97"/>
      <c r="O43" s="97"/>
      <c r="P43" s="97"/>
      <c r="Q43" s="97"/>
      <c r="R43" s="97"/>
      <c r="S43" s="97"/>
      <c r="T43" s="97"/>
      <c r="U43" s="97"/>
      <c r="V43" s="97"/>
      <c r="W43" s="97"/>
    </row>
    <row r="44" spans="1:23" ht="0.75" customHeight="1" x14ac:dyDescent="0.25">
      <c r="A44" s="2"/>
      <c r="C44" s="1" t="s">
        <v>189</v>
      </c>
      <c r="D44" s="1" t="s">
        <v>189</v>
      </c>
      <c r="E44" s="1" t="s">
        <v>189</v>
      </c>
      <c r="F44" s="1" t="s">
        <v>189</v>
      </c>
      <c r="G44" s="1" t="s">
        <v>189</v>
      </c>
      <c r="H44" s="1" t="s">
        <v>189</v>
      </c>
      <c r="I44" s="1" t="s">
        <v>189</v>
      </c>
      <c r="J44" s="1" t="s">
        <v>189</v>
      </c>
      <c r="K44" s="1" t="s">
        <v>189</v>
      </c>
      <c r="L44" s="1" t="s">
        <v>189</v>
      </c>
      <c r="N44" s="129">
        <f t="shared" ref="N44" si="0">SUM(C41:C43)</f>
        <v>906.7</v>
      </c>
      <c r="O44" s="129">
        <f t="shared" ref="O44" si="1">SUM(D41:D43)</f>
        <v>257</v>
      </c>
      <c r="P44" s="129">
        <f t="shared" ref="P44" si="2">SUM(E41:E43)</f>
        <v>1107.8</v>
      </c>
      <c r="Q44" s="129">
        <f t="shared" ref="Q44" si="3">SUM(F41:F43)</f>
        <v>447.9</v>
      </c>
      <c r="R44" s="129">
        <f t="shared" ref="R44" si="4">SUM(G41:G43)</f>
        <v>214</v>
      </c>
      <c r="S44" s="129">
        <f t="shared" ref="S44" si="5">SUM(H41:H43)</f>
        <v>127.2</v>
      </c>
      <c r="T44" s="129">
        <f t="shared" ref="T44" si="6">SUM(I41:I43)</f>
        <v>61.8</v>
      </c>
      <c r="U44" s="129">
        <f t="shared" ref="U44" si="7">SUM(J41:J43)</f>
        <v>0</v>
      </c>
      <c r="V44" s="129">
        <f t="shared" ref="V44" si="8">SUM(K41:K43)</f>
        <v>3122.4</v>
      </c>
      <c r="W44" s="129">
        <f t="shared" ref="W44" si="9">SUM(L41:L43)</f>
        <v>0</v>
      </c>
    </row>
    <row r="45" spans="1:23" ht="11.1" customHeight="1" x14ac:dyDescent="0.25">
      <c r="A45" s="184" t="s">
        <v>12</v>
      </c>
      <c r="B45" s="184"/>
      <c r="C45" s="184"/>
      <c r="D45" s="184"/>
      <c r="E45" s="184"/>
      <c r="F45" s="184"/>
      <c r="G45" s="184"/>
      <c r="H45" s="184"/>
      <c r="I45" s="184"/>
      <c r="J45" s="184"/>
      <c r="K45" s="190"/>
      <c r="L45" s="184"/>
    </row>
    <row r="46" spans="1:23" s="6" customFormat="1" ht="11.1" customHeight="1" x14ac:dyDescent="0.15">
      <c r="A46" s="6" t="s">
        <v>13</v>
      </c>
    </row>
    <row r="47" spans="1:23" s="12" customFormat="1" ht="11.1" customHeight="1" x14ac:dyDescent="0.2">
      <c r="A47" s="39" t="s">
        <v>23</v>
      </c>
    </row>
    <row r="48" spans="1:23" s="6" customFormat="1" ht="11.1" customHeight="1" x14ac:dyDescent="0.15">
      <c r="A48" s="6" t="s">
        <v>41</v>
      </c>
    </row>
    <row r="49" spans="1:24" s="6" customFormat="1" ht="19.5" customHeight="1" x14ac:dyDescent="0.15">
      <c r="A49" s="186" t="s">
        <v>141</v>
      </c>
      <c r="B49" s="186"/>
      <c r="C49" s="186"/>
      <c r="D49" s="186"/>
      <c r="E49" s="186"/>
      <c r="F49" s="186"/>
      <c r="G49" s="186"/>
      <c r="H49" s="186"/>
      <c r="I49" s="186"/>
      <c r="J49" s="186"/>
      <c r="K49" s="186"/>
      <c r="L49" s="186"/>
    </row>
    <row r="50" spans="1:24" s="6" customFormat="1" ht="11.25" customHeight="1" x14ac:dyDescent="0.15">
      <c r="A50" s="186" t="s">
        <v>285</v>
      </c>
      <c r="B50" s="186"/>
      <c r="C50" s="186"/>
      <c r="D50" s="186"/>
      <c r="E50" s="186"/>
      <c r="F50" s="186"/>
      <c r="G50" s="186"/>
      <c r="H50" s="186"/>
      <c r="I50" s="186"/>
      <c r="J50" s="186"/>
      <c r="K50" s="186"/>
      <c r="L50" s="186"/>
    </row>
    <row r="51" spans="1:24" s="6" customFormat="1" ht="11.1" customHeight="1" x14ac:dyDescent="0.15">
      <c r="A51" s="6" t="s">
        <v>14</v>
      </c>
    </row>
    <row r="52" spans="1:24" s="6" customFormat="1" ht="11.1" customHeight="1" x14ac:dyDescent="0.15">
      <c r="A52" s="6" t="s">
        <v>263</v>
      </c>
    </row>
    <row r="53" spans="1:24" ht="12" customHeight="1" x14ac:dyDescent="0.25">
      <c r="A53" s="2"/>
    </row>
    <row r="54" spans="1:24" ht="27.95" customHeight="1" x14ac:dyDescent="0.25">
      <c r="A54" s="189" t="s">
        <v>296</v>
      </c>
      <c r="B54" s="189"/>
      <c r="C54" s="189"/>
      <c r="D54" s="189"/>
      <c r="E54" s="189"/>
      <c r="F54" s="189"/>
      <c r="G54" s="189"/>
      <c r="H54" s="189"/>
      <c r="I54" s="189"/>
      <c r="J54" s="189"/>
      <c r="K54" s="189"/>
      <c r="L54" s="189"/>
    </row>
    <row r="55" spans="1:24" ht="2.25" customHeight="1" x14ac:dyDescent="0.25">
      <c r="A55" s="2"/>
    </row>
    <row r="56" spans="1:24" x14ac:dyDescent="0.25">
      <c r="A56" s="44" t="s">
        <v>122</v>
      </c>
      <c r="B56" s="44" t="s">
        <v>119</v>
      </c>
      <c r="C56" s="3" t="s">
        <v>0</v>
      </c>
      <c r="D56" s="3" t="s">
        <v>1</v>
      </c>
      <c r="E56" s="3" t="s">
        <v>2</v>
      </c>
      <c r="F56" s="3" t="s">
        <v>3</v>
      </c>
      <c r="G56" s="3" t="s">
        <v>4</v>
      </c>
      <c r="H56" s="3" t="s">
        <v>5</v>
      </c>
      <c r="I56" s="3" t="s">
        <v>6</v>
      </c>
      <c r="J56" s="3" t="s">
        <v>7</v>
      </c>
      <c r="K56" s="3" t="s">
        <v>8</v>
      </c>
    </row>
    <row r="57" spans="1:24" x14ac:dyDescent="0.25">
      <c r="A57" s="197" t="s">
        <v>195</v>
      </c>
      <c r="B57" s="4" t="s">
        <v>17</v>
      </c>
      <c r="C57" s="8">
        <v>1828</v>
      </c>
      <c r="D57" s="8">
        <v>1081</v>
      </c>
      <c r="E57" s="8">
        <v>1824</v>
      </c>
      <c r="F57" s="8">
        <v>1237</v>
      </c>
      <c r="G57" s="8">
        <v>402</v>
      </c>
      <c r="H57" s="8">
        <v>122</v>
      </c>
      <c r="I57" s="8">
        <v>100</v>
      </c>
      <c r="J57" s="8">
        <v>220</v>
      </c>
      <c r="K57" s="8">
        <v>6814</v>
      </c>
      <c r="M57" s="8"/>
      <c r="N57" s="8"/>
      <c r="O57" s="8"/>
      <c r="P57" s="8"/>
      <c r="Q57" s="8"/>
      <c r="R57" s="8"/>
      <c r="S57" s="8"/>
      <c r="T57" s="8"/>
      <c r="U57" s="8"/>
      <c r="X57" s="120"/>
    </row>
    <row r="58" spans="1:24" x14ac:dyDescent="0.25">
      <c r="A58" s="197"/>
      <c r="B58" s="4" t="s">
        <v>21</v>
      </c>
      <c r="C58" s="8">
        <v>452</v>
      </c>
      <c r="D58" s="8">
        <v>253</v>
      </c>
      <c r="E58" s="8">
        <v>572</v>
      </c>
      <c r="F58" s="8">
        <v>261</v>
      </c>
      <c r="G58" s="8">
        <v>100</v>
      </c>
      <c r="H58" s="8">
        <v>27</v>
      </c>
      <c r="I58" s="8">
        <v>33</v>
      </c>
      <c r="J58" s="8">
        <v>60</v>
      </c>
      <c r="K58" s="8">
        <v>1758</v>
      </c>
      <c r="M58" s="8"/>
      <c r="N58" s="8"/>
      <c r="O58" s="8"/>
      <c r="P58" s="8"/>
      <c r="Q58" s="8"/>
      <c r="R58" s="8"/>
      <c r="S58" s="8"/>
      <c r="T58" s="8"/>
      <c r="U58" s="8"/>
    </row>
    <row r="59" spans="1:24" x14ac:dyDescent="0.25">
      <c r="A59" s="197"/>
      <c r="B59" s="4" t="s">
        <v>20</v>
      </c>
      <c r="C59" s="29" t="s">
        <v>109</v>
      </c>
      <c r="D59" s="29" t="s">
        <v>109</v>
      </c>
      <c r="E59" s="8">
        <v>1</v>
      </c>
      <c r="F59" s="8">
        <v>1</v>
      </c>
      <c r="G59" s="29" t="s">
        <v>109</v>
      </c>
      <c r="H59" s="29" t="s">
        <v>109</v>
      </c>
      <c r="I59" s="29" t="s">
        <v>109</v>
      </c>
      <c r="J59" s="29" t="s">
        <v>109</v>
      </c>
      <c r="K59" s="8">
        <v>2</v>
      </c>
      <c r="M59" s="8"/>
      <c r="N59" s="8"/>
      <c r="O59" s="8"/>
      <c r="P59" s="8"/>
      <c r="Q59" s="8"/>
      <c r="R59" s="8"/>
      <c r="S59" s="8"/>
      <c r="T59" s="8"/>
      <c r="U59" s="8"/>
    </row>
    <row r="60" spans="1:24" x14ac:dyDescent="0.25">
      <c r="A60" s="197"/>
      <c r="B60" s="9" t="s">
        <v>11</v>
      </c>
      <c r="C60" s="94">
        <v>2280</v>
      </c>
      <c r="D60" s="94">
        <v>1334</v>
      </c>
      <c r="E60" s="94">
        <v>2397</v>
      </c>
      <c r="F60" s="94">
        <v>1499</v>
      </c>
      <c r="G60" s="94">
        <v>502</v>
      </c>
      <c r="H60" s="94">
        <v>149</v>
      </c>
      <c r="I60" s="94">
        <v>133</v>
      </c>
      <c r="J60" s="94">
        <v>280</v>
      </c>
      <c r="K60" s="94">
        <v>8574</v>
      </c>
      <c r="M60" s="94"/>
      <c r="N60" s="94"/>
      <c r="O60" s="94"/>
      <c r="P60" s="94"/>
      <c r="Q60" s="94"/>
      <c r="R60" s="94"/>
      <c r="S60" s="94"/>
      <c r="T60" s="94"/>
      <c r="U60" s="94"/>
    </row>
    <row r="61" spans="1:24" x14ac:dyDescent="0.25">
      <c r="A61" s="197" t="s">
        <v>196</v>
      </c>
      <c r="B61" s="4" t="s">
        <v>17</v>
      </c>
      <c r="C61" s="8">
        <v>1696</v>
      </c>
      <c r="D61" s="8">
        <v>1000</v>
      </c>
      <c r="E61" s="8">
        <v>1722</v>
      </c>
      <c r="F61" s="8">
        <v>1205</v>
      </c>
      <c r="G61" s="8">
        <v>384</v>
      </c>
      <c r="H61" s="8">
        <v>131</v>
      </c>
      <c r="I61" s="8">
        <v>98</v>
      </c>
      <c r="J61" s="8">
        <v>225</v>
      </c>
      <c r="K61" s="8">
        <v>6461</v>
      </c>
      <c r="M61" s="8"/>
      <c r="N61" s="8"/>
      <c r="O61" s="8"/>
      <c r="P61" s="8"/>
      <c r="Q61" s="8"/>
      <c r="R61" s="8"/>
      <c r="S61" s="8"/>
      <c r="T61" s="8"/>
      <c r="U61" s="8"/>
    </row>
    <row r="62" spans="1:24" x14ac:dyDescent="0.25">
      <c r="A62" s="197"/>
      <c r="B62" s="4" t="s">
        <v>21</v>
      </c>
      <c r="C62" s="8">
        <v>437</v>
      </c>
      <c r="D62" s="8">
        <v>227</v>
      </c>
      <c r="E62" s="8">
        <v>574</v>
      </c>
      <c r="F62" s="8">
        <v>260</v>
      </c>
      <c r="G62" s="8">
        <v>107</v>
      </c>
      <c r="H62" s="8">
        <v>43</v>
      </c>
      <c r="I62" s="8">
        <v>29</v>
      </c>
      <c r="J62" s="8">
        <v>55</v>
      </c>
      <c r="K62" s="8">
        <v>1732</v>
      </c>
      <c r="M62" s="8"/>
      <c r="N62" s="8"/>
      <c r="O62" s="8"/>
      <c r="P62" s="8"/>
      <c r="Q62" s="8"/>
      <c r="R62" s="8"/>
      <c r="S62" s="8"/>
      <c r="T62" s="8"/>
      <c r="U62" s="8"/>
    </row>
    <row r="63" spans="1:24" x14ac:dyDescent="0.25">
      <c r="A63" s="197"/>
      <c r="B63" s="4" t="s">
        <v>20</v>
      </c>
      <c r="C63" s="29" t="s">
        <v>109</v>
      </c>
      <c r="D63" s="29" t="s">
        <v>109</v>
      </c>
      <c r="E63" s="29" t="s">
        <v>109</v>
      </c>
      <c r="F63" s="8" t="s">
        <v>109</v>
      </c>
      <c r="G63" s="29" t="s">
        <v>109</v>
      </c>
      <c r="H63" s="29" t="s">
        <v>109</v>
      </c>
      <c r="I63" s="29" t="s">
        <v>109</v>
      </c>
      <c r="J63" s="29" t="s">
        <v>109</v>
      </c>
      <c r="K63" s="8" t="s">
        <v>109</v>
      </c>
      <c r="M63" s="8"/>
      <c r="N63" s="8"/>
      <c r="O63" s="8"/>
      <c r="P63" s="8"/>
      <c r="Q63" s="8"/>
      <c r="R63" s="8"/>
      <c r="S63" s="8"/>
      <c r="T63" s="8"/>
      <c r="U63" s="8"/>
    </row>
    <row r="64" spans="1:24" x14ac:dyDescent="0.25">
      <c r="A64" s="197"/>
      <c r="B64" s="9" t="s">
        <v>11</v>
      </c>
      <c r="C64" s="94">
        <v>2133</v>
      </c>
      <c r="D64" s="94">
        <v>1227</v>
      </c>
      <c r="E64" s="94">
        <v>2296</v>
      </c>
      <c r="F64" s="94">
        <v>1465</v>
      </c>
      <c r="G64" s="94">
        <v>491</v>
      </c>
      <c r="H64" s="94">
        <v>174</v>
      </c>
      <c r="I64" s="94">
        <v>127</v>
      </c>
      <c r="J64" s="94">
        <v>280</v>
      </c>
      <c r="K64" s="94">
        <v>8193</v>
      </c>
      <c r="M64" s="94"/>
      <c r="N64" s="94"/>
      <c r="O64" s="94"/>
      <c r="P64" s="94"/>
      <c r="Q64" s="94"/>
      <c r="R64" s="94"/>
      <c r="S64" s="94"/>
      <c r="T64" s="94"/>
      <c r="U64" s="94"/>
    </row>
    <row r="65" spans="1:21" x14ac:dyDescent="0.25">
      <c r="A65" s="197" t="s">
        <v>197</v>
      </c>
      <c r="B65" s="4" t="s">
        <v>17</v>
      </c>
      <c r="C65" s="8">
        <v>1600</v>
      </c>
      <c r="D65" s="8">
        <v>940</v>
      </c>
      <c r="E65" s="8">
        <v>1902</v>
      </c>
      <c r="F65" s="8">
        <v>1176</v>
      </c>
      <c r="G65" s="8">
        <v>356</v>
      </c>
      <c r="H65" s="8">
        <v>133</v>
      </c>
      <c r="I65" s="8">
        <v>105</v>
      </c>
      <c r="J65" s="8">
        <v>206</v>
      </c>
      <c r="K65" s="8">
        <v>6418</v>
      </c>
      <c r="M65" s="8"/>
      <c r="N65" s="8"/>
      <c r="O65" s="8"/>
      <c r="P65" s="8"/>
      <c r="Q65" s="8"/>
      <c r="R65" s="8"/>
      <c r="S65" s="8"/>
      <c r="T65" s="8"/>
      <c r="U65" s="8"/>
    </row>
    <row r="66" spans="1:21" x14ac:dyDescent="0.25">
      <c r="A66" s="197"/>
      <c r="B66" s="4" t="s">
        <v>21</v>
      </c>
      <c r="C66" s="8">
        <v>459</v>
      </c>
      <c r="D66" s="8">
        <v>215</v>
      </c>
      <c r="E66" s="8">
        <v>622</v>
      </c>
      <c r="F66" s="8">
        <v>271</v>
      </c>
      <c r="G66" s="8">
        <v>90</v>
      </c>
      <c r="H66" s="8">
        <v>50</v>
      </c>
      <c r="I66" s="8">
        <v>39</v>
      </c>
      <c r="J66" s="8">
        <v>36</v>
      </c>
      <c r="K66" s="8">
        <v>1782</v>
      </c>
      <c r="M66" s="8"/>
      <c r="N66" s="8"/>
      <c r="O66" s="8"/>
      <c r="P66" s="8"/>
      <c r="Q66" s="8"/>
      <c r="R66" s="8"/>
      <c r="S66" s="8"/>
      <c r="T66" s="8"/>
      <c r="U66" s="8"/>
    </row>
    <row r="67" spans="1:21" x14ac:dyDescent="0.25">
      <c r="A67" s="197"/>
      <c r="B67" s="4" t="s">
        <v>20</v>
      </c>
      <c r="C67" s="29" t="s">
        <v>109</v>
      </c>
      <c r="D67" s="29" t="s">
        <v>109</v>
      </c>
      <c r="E67" s="29">
        <v>1</v>
      </c>
      <c r="F67" s="29" t="s">
        <v>109</v>
      </c>
      <c r="G67" s="29" t="s">
        <v>109</v>
      </c>
      <c r="H67" s="29" t="s">
        <v>109</v>
      </c>
      <c r="I67" s="29" t="s">
        <v>109</v>
      </c>
      <c r="J67" s="29" t="s">
        <v>109</v>
      </c>
      <c r="K67" s="29">
        <v>1</v>
      </c>
      <c r="M67" s="8"/>
      <c r="N67" s="8"/>
      <c r="O67" s="8"/>
      <c r="P67" s="8"/>
      <c r="Q67" s="8"/>
      <c r="R67" s="8"/>
      <c r="S67" s="8"/>
      <c r="T67" s="8"/>
      <c r="U67" s="8"/>
    </row>
    <row r="68" spans="1:21" x14ac:dyDescent="0.25">
      <c r="A68" s="197"/>
      <c r="B68" s="9" t="s">
        <v>11</v>
      </c>
      <c r="C68" s="94">
        <v>2059</v>
      </c>
      <c r="D68" s="94">
        <v>1155</v>
      </c>
      <c r="E68" s="94">
        <v>2525</v>
      </c>
      <c r="F68" s="94">
        <v>1447</v>
      </c>
      <c r="G68" s="94">
        <v>446</v>
      </c>
      <c r="H68" s="94">
        <v>183</v>
      </c>
      <c r="I68" s="94">
        <v>144</v>
      </c>
      <c r="J68" s="94">
        <v>242</v>
      </c>
      <c r="K68" s="94">
        <v>8201</v>
      </c>
      <c r="M68" s="94"/>
      <c r="N68" s="94"/>
      <c r="O68" s="94"/>
      <c r="P68" s="94"/>
      <c r="Q68" s="94"/>
      <c r="R68" s="94"/>
      <c r="S68" s="94"/>
      <c r="T68" s="94"/>
      <c r="U68" s="94"/>
    </row>
    <row r="69" spans="1:21" x14ac:dyDescent="0.25">
      <c r="A69" s="197" t="s">
        <v>198</v>
      </c>
      <c r="B69" s="4" t="s">
        <v>17</v>
      </c>
      <c r="C69" s="8">
        <v>1605</v>
      </c>
      <c r="D69" s="8">
        <v>859</v>
      </c>
      <c r="E69" s="8">
        <v>1924</v>
      </c>
      <c r="F69" s="8">
        <v>1136</v>
      </c>
      <c r="G69" s="8">
        <v>323</v>
      </c>
      <c r="H69" s="8">
        <v>150</v>
      </c>
      <c r="I69" s="8">
        <v>100</v>
      </c>
      <c r="J69" s="8">
        <v>231</v>
      </c>
      <c r="K69" s="8">
        <v>6328</v>
      </c>
      <c r="M69" s="8"/>
      <c r="N69" s="8"/>
      <c r="O69" s="8"/>
      <c r="P69" s="8"/>
      <c r="Q69" s="8"/>
      <c r="R69" s="8"/>
      <c r="S69" s="8"/>
      <c r="T69" s="8"/>
      <c r="U69" s="8"/>
    </row>
    <row r="70" spans="1:21" x14ac:dyDescent="0.25">
      <c r="A70" s="197"/>
      <c r="B70" s="4" t="s">
        <v>21</v>
      </c>
      <c r="C70" s="8">
        <v>484</v>
      </c>
      <c r="D70" s="8">
        <v>231</v>
      </c>
      <c r="E70" s="8">
        <v>666</v>
      </c>
      <c r="F70" s="8">
        <v>305</v>
      </c>
      <c r="G70" s="8">
        <v>68</v>
      </c>
      <c r="H70" s="8">
        <v>54</v>
      </c>
      <c r="I70" s="8">
        <v>35</v>
      </c>
      <c r="J70" s="8">
        <v>42</v>
      </c>
      <c r="K70" s="8">
        <v>1885</v>
      </c>
      <c r="M70" s="8"/>
      <c r="N70" s="8"/>
      <c r="O70" s="8"/>
      <c r="P70" s="8"/>
      <c r="Q70" s="8"/>
      <c r="R70" s="8"/>
      <c r="S70" s="8"/>
      <c r="T70" s="8"/>
      <c r="U70" s="8"/>
    </row>
    <row r="71" spans="1:21" x14ac:dyDescent="0.25">
      <c r="A71" s="197"/>
      <c r="B71" s="4" t="s">
        <v>20</v>
      </c>
      <c r="C71" s="29" t="s">
        <v>109</v>
      </c>
      <c r="D71" s="29">
        <v>1</v>
      </c>
      <c r="E71" s="8">
        <v>2</v>
      </c>
      <c r="F71" s="29">
        <v>1</v>
      </c>
      <c r="G71" s="29" t="s">
        <v>109</v>
      </c>
      <c r="H71" s="29" t="s">
        <v>109</v>
      </c>
      <c r="I71" s="29" t="s">
        <v>109</v>
      </c>
      <c r="J71" s="29" t="s">
        <v>109</v>
      </c>
      <c r="K71" s="8">
        <v>4</v>
      </c>
      <c r="M71" s="8"/>
      <c r="N71" s="8"/>
      <c r="O71" s="8"/>
      <c r="P71" s="8"/>
      <c r="Q71" s="8"/>
      <c r="R71" s="8"/>
      <c r="S71" s="8"/>
      <c r="T71" s="8"/>
      <c r="U71" s="8"/>
    </row>
    <row r="72" spans="1:21" x14ac:dyDescent="0.25">
      <c r="A72" s="197"/>
      <c r="B72" s="9" t="s">
        <v>11</v>
      </c>
      <c r="C72" s="94">
        <v>2089</v>
      </c>
      <c r="D72" s="94">
        <v>1091</v>
      </c>
      <c r="E72" s="94">
        <v>2592</v>
      </c>
      <c r="F72" s="94">
        <v>1442</v>
      </c>
      <c r="G72" s="94">
        <v>391</v>
      </c>
      <c r="H72" s="94">
        <v>204</v>
      </c>
      <c r="I72" s="94">
        <v>135</v>
      </c>
      <c r="J72" s="94">
        <v>273</v>
      </c>
      <c r="K72" s="94">
        <v>8217</v>
      </c>
      <c r="M72" s="94"/>
      <c r="N72" s="94"/>
      <c r="O72" s="94"/>
      <c r="P72" s="94"/>
      <c r="Q72" s="94"/>
      <c r="R72" s="94"/>
      <c r="S72" s="94"/>
      <c r="T72" s="94"/>
      <c r="U72" s="94"/>
    </row>
    <row r="73" spans="1:21" x14ac:dyDescent="0.25">
      <c r="A73" s="197" t="s">
        <v>190</v>
      </c>
      <c r="B73" s="4" t="s">
        <v>17</v>
      </c>
      <c r="C73" s="8">
        <v>1543</v>
      </c>
      <c r="D73" s="8">
        <v>819</v>
      </c>
      <c r="E73" s="8">
        <v>1548</v>
      </c>
      <c r="F73" s="8">
        <v>1031</v>
      </c>
      <c r="G73" s="8">
        <v>314</v>
      </c>
      <c r="H73" s="8">
        <v>140</v>
      </c>
      <c r="I73" s="8">
        <v>89</v>
      </c>
      <c r="J73" s="8">
        <v>218</v>
      </c>
      <c r="K73" s="8">
        <v>5702</v>
      </c>
      <c r="M73" s="8"/>
      <c r="N73" s="8"/>
      <c r="O73" s="8"/>
      <c r="P73" s="8"/>
      <c r="Q73" s="8"/>
      <c r="R73" s="8"/>
      <c r="S73" s="8"/>
      <c r="T73" s="8"/>
      <c r="U73" s="8"/>
    </row>
    <row r="74" spans="1:21" x14ac:dyDescent="0.25">
      <c r="A74" s="197"/>
      <c r="B74" s="4" t="s">
        <v>21</v>
      </c>
      <c r="C74" s="8">
        <v>464</v>
      </c>
      <c r="D74" s="8">
        <v>222</v>
      </c>
      <c r="E74" s="8">
        <v>590</v>
      </c>
      <c r="F74" s="8">
        <v>272</v>
      </c>
      <c r="G74" s="8">
        <v>69</v>
      </c>
      <c r="H74" s="8">
        <v>53</v>
      </c>
      <c r="I74" s="8">
        <v>33</v>
      </c>
      <c r="J74" s="8">
        <v>38</v>
      </c>
      <c r="K74" s="8">
        <v>1741</v>
      </c>
      <c r="M74" s="8"/>
      <c r="N74" s="8"/>
      <c r="O74" s="8"/>
      <c r="P74" s="8"/>
      <c r="Q74" s="8"/>
      <c r="R74" s="8"/>
      <c r="S74" s="8"/>
      <c r="T74" s="8"/>
      <c r="U74" s="8"/>
    </row>
    <row r="75" spans="1:21" x14ac:dyDescent="0.25">
      <c r="A75" s="197"/>
      <c r="B75" s="4" t="s">
        <v>20</v>
      </c>
      <c r="C75" s="29">
        <v>1</v>
      </c>
      <c r="D75" s="8">
        <v>1</v>
      </c>
      <c r="E75" s="8">
        <v>1</v>
      </c>
      <c r="F75" s="8">
        <v>1</v>
      </c>
      <c r="G75" s="29" t="s">
        <v>109</v>
      </c>
      <c r="H75" s="29" t="s">
        <v>109</v>
      </c>
      <c r="I75" s="29" t="s">
        <v>109</v>
      </c>
      <c r="J75" s="29" t="s">
        <v>109</v>
      </c>
      <c r="K75" s="8">
        <v>4</v>
      </c>
      <c r="M75" s="8"/>
      <c r="N75" s="8"/>
      <c r="O75" s="8"/>
      <c r="P75" s="8"/>
      <c r="Q75" s="8"/>
      <c r="R75" s="8"/>
      <c r="S75" s="8"/>
      <c r="T75" s="8"/>
      <c r="U75" s="8"/>
    </row>
    <row r="76" spans="1:21" x14ac:dyDescent="0.25">
      <c r="A76" s="197"/>
      <c r="B76" s="9" t="s">
        <v>11</v>
      </c>
      <c r="C76" s="94">
        <v>2008</v>
      </c>
      <c r="D76" s="94">
        <v>1042</v>
      </c>
      <c r="E76" s="94">
        <v>2139</v>
      </c>
      <c r="F76" s="94">
        <v>1304</v>
      </c>
      <c r="G76" s="94">
        <v>383</v>
      </c>
      <c r="H76" s="94">
        <v>193</v>
      </c>
      <c r="I76" s="94">
        <v>122</v>
      </c>
      <c r="J76" s="94">
        <v>256</v>
      </c>
      <c r="K76" s="94">
        <v>7447</v>
      </c>
      <c r="M76" s="94"/>
      <c r="N76" s="94"/>
      <c r="O76" s="94"/>
      <c r="P76" s="94"/>
      <c r="Q76" s="94"/>
      <c r="R76" s="94"/>
      <c r="S76" s="94"/>
      <c r="T76" s="94"/>
      <c r="U76" s="94"/>
    </row>
    <row r="77" spans="1:21" x14ac:dyDescent="0.25">
      <c r="A77" s="197" t="s">
        <v>191</v>
      </c>
      <c r="B77" s="4" t="s">
        <v>17</v>
      </c>
      <c r="C77" s="8">
        <v>1523</v>
      </c>
      <c r="D77" s="8">
        <v>678</v>
      </c>
      <c r="E77" s="8">
        <v>1461</v>
      </c>
      <c r="F77" s="8">
        <v>851</v>
      </c>
      <c r="G77" s="8">
        <v>288</v>
      </c>
      <c r="H77" s="8">
        <v>120</v>
      </c>
      <c r="I77" s="8">
        <v>74</v>
      </c>
      <c r="J77" s="8">
        <v>194</v>
      </c>
      <c r="K77" s="8">
        <v>5189</v>
      </c>
      <c r="M77" s="8"/>
      <c r="N77" s="8"/>
      <c r="O77" s="8"/>
      <c r="P77" s="8"/>
      <c r="Q77" s="8"/>
      <c r="R77" s="8"/>
      <c r="S77" s="8"/>
      <c r="T77" s="8"/>
      <c r="U77" s="8"/>
    </row>
    <row r="78" spans="1:21" x14ac:dyDescent="0.25">
      <c r="A78" s="197"/>
      <c r="B78" s="4" t="s">
        <v>21</v>
      </c>
      <c r="C78" s="8">
        <v>395</v>
      </c>
      <c r="D78" s="8">
        <v>156</v>
      </c>
      <c r="E78" s="8">
        <v>499</v>
      </c>
      <c r="F78" s="8">
        <v>213</v>
      </c>
      <c r="G78" s="8">
        <v>75</v>
      </c>
      <c r="H78" s="8">
        <v>47</v>
      </c>
      <c r="I78" s="8">
        <v>33</v>
      </c>
      <c r="J78" s="8">
        <v>29</v>
      </c>
      <c r="K78" s="8">
        <v>1447</v>
      </c>
      <c r="M78" s="8"/>
      <c r="N78" s="8"/>
      <c r="O78" s="8"/>
      <c r="P78" s="8"/>
      <c r="Q78" s="8"/>
      <c r="R78" s="8"/>
      <c r="S78" s="8"/>
      <c r="T78" s="8"/>
      <c r="U78" s="8"/>
    </row>
    <row r="79" spans="1:21" x14ac:dyDescent="0.25">
      <c r="A79" s="197"/>
      <c r="B79" s="4" t="s">
        <v>20</v>
      </c>
      <c r="C79" s="8">
        <v>1</v>
      </c>
      <c r="D79" s="8" t="s">
        <v>109</v>
      </c>
      <c r="E79" s="8" t="s">
        <v>109</v>
      </c>
      <c r="F79" s="8" t="s">
        <v>109</v>
      </c>
      <c r="G79" s="29" t="s">
        <v>109</v>
      </c>
      <c r="H79" s="29" t="s">
        <v>109</v>
      </c>
      <c r="I79" s="29" t="s">
        <v>109</v>
      </c>
      <c r="J79" s="29" t="s">
        <v>109</v>
      </c>
      <c r="K79" s="8">
        <v>1</v>
      </c>
      <c r="M79" s="8"/>
      <c r="N79" s="8"/>
      <c r="O79" s="8"/>
      <c r="P79" s="8"/>
      <c r="Q79" s="8"/>
      <c r="R79" s="8"/>
      <c r="S79" s="8"/>
      <c r="T79" s="8"/>
      <c r="U79" s="8"/>
    </row>
    <row r="80" spans="1:21" x14ac:dyDescent="0.25">
      <c r="A80" s="197"/>
      <c r="B80" s="9" t="s">
        <v>11</v>
      </c>
      <c r="C80" s="94">
        <v>1919</v>
      </c>
      <c r="D80" s="94">
        <v>834</v>
      </c>
      <c r="E80" s="94">
        <v>1960</v>
      </c>
      <c r="F80" s="94">
        <v>1064</v>
      </c>
      <c r="G80" s="94">
        <v>363</v>
      </c>
      <c r="H80" s="94">
        <v>167</v>
      </c>
      <c r="I80" s="94">
        <v>107</v>
      </c>
      <c r="J80" s="94">
        <v>223</v>
      </c>
      <c r="K80" s="94">
        <v>6637</v>
      </c>
      <c r="M80" s="94"/>
      <c r="N80" s="94"/>
      <c r="O80" s="94"/>
      <c r="P80" s="94"/>
      <c r="Q80" s="94"/>
      <c r="R80" s="94"/>
      <c r="S80" s="94"/>
      <c r="T80" s="94"/>
      <c r="U80" s="94"/>
    </row>
    <row r="81" spans="1:21" x14ac:dyDescent="0.25">
      <c r="A81" s="197" t="s">
        <v>192</v>
      </c>
      <c r="B81" s="4" t="s">
        <v>17</v>
      </c>
      <c r="C81" s="8">
        <v>1420</v>
      </c>
      <c r="D81" s="8">
        <v>557</v>
      </c>
      <c r="E81" s="8">
        <v>1446</v>
      </c>
      <c r="F81" s="8">
        <v>859</v>
      </c>
      <c r="G81" s="8">
        <v>289</v>
      </c>
      <c r="H81" s="8">
        <v>88</v>
      </c>
      <c r="I81" s="8">
        <v>64</v>
      </c>
      <c r="J81" s="8">
        <v>239</v>
      </c>
      <c r="K81" s="8">
        <v>4962</v>
      </c>
      <c r="M81" s="8"/>
      <c r="N81" s="8"/>
      <c r="O81" s="8"/>
      <c r="P81" s="8"/>
      <c r="Q81" s="8"/>
      <c r="R81" s="8"/>
      <c r="S81" s="8"/>
      <c r="T81" s="8"/>
      <c r="U81" s="8"/>
    </row>
    <row r="82" spans="1:21" x14ac:dyDescent="0.25">
      <c r="A82" s="197"/>
      <c r="B82" s="4" t="s">
        <v>21</v>
      </c>
      <c r="C82" s="8">
        <v>349</v>
      </c>
      <c r="D82" s="8">
        <v>113</v>
      </c>
      <c r="E82" s="8">
        <v>515</v>
      </c>
      <c r="F82" s="8">
        <v>233</v>
      </c>
      <c r="G82" s="8">
        <v>76</v>
      </c>
      <c r="H82" s="8">
        <v>40</v>
      </c>
      <c r="I82" s="8">
        <v>33</v>
      </c>
      <c r="J82" s="8">
        <v>47</v>
      </c>
      <c r="K82" s="8">
        <v>1406</v>
      </c>
      <c r="M82" s="8"/>
      <c r="N82" s="8"/>
      <c r="O82" s="8"/>
      <c r="P82" s="8"/>
      <c r="Q82" s="8"/>
      <c r="R82" s="8"/>
      <c r="S82" s="8"/>
      <c r="T82" s="8"/>
      <c r="U82" s="8"/>
    </row>
    <row r="83" spans="1:21" x14ac:dyDescent="0.25">
      <c r="A83" s="197"/>
      <c r="B83" s="4" t="s">
        <v>20</v>
      </c>
      <c r="C83" s="8">
        <v>3</v>
      </c>
      <c r="D83" s="29">
        <v>1</v>
      </c>
      <c r="E83" s="29">
        <v>1</v>
      </c>
      <c r="F83" s="29" t="s">
        <v>109</v>
      </c>
      <c r="G83" s="29" t="s">
        <v>109</v>
      </c>
      <c r="H83" s="29" t="s">
        <v>109</v>
      </c>
      <c r="I83" s="29" t="s">
        <v>109</v>
      </c>
      <c r="J83" s="29" t="s">
        <v>109</v>
      </c>
      <c r="K83" s="8">
        <v>5</v>
      </c>
      <c r="M83" s="8"/>
      <c r="N83" s="8"/>
      <c r="O83" s="8"/>
      <c r="P83" s="8"/>
      <c r="Q83" s="8"/>
      <c r="R83" s="8"/>
      <c r="S83" s="8"/>
      <c r="T83" s="8"/>
      <c r="U83" s="8"/>
    </row>
    <row r="84" spans="1:21" x14ac:dyDescent="0.25">
      <c r="A84" s="197"/>
      <c r="B84" s="9" t="s">
        <v>11</v>
      </c>
      <c r="C84" s="94">
        <v>1772</v>
      </c>
      <c r="D84" s="94">
        <v>671</v>
      </c>
      <c r="E84" s="94">
        <v>1962</v>
      </c>
      <c r="F84" s="94">
        <v>1092</v>
      </c>
      <c r="G84" s="94">
        <v>365</v>
      </c>
      <c r="H84" s="94">
        <v>128</v>
      </c>
      <c r="I84" s="94">
        <v>97</v>
      </c>
      <c r="J84" s="94">
        <v>286</v>
      </c>
      <c r="K84" s="94">
        <v>6373</v>
      </c>
      <c r="M84" s="94"/>
      <c r="N84" s="94"/>
      <c r="O84" s="94"/>
      <c r="P84" s="94"/>
      <c r="Q84" s="94"/>
      <c r="R84" s="94"/>
      <c r="S84" s="94"/>
      <c r="T84" s="94"/>
      <c r="U84" s="94"/>
    </row>
    <row r="85" spans="1:21" x14ac:dyDescent="0.25">
      <c r="A85" s="197" t="s">
        <v>193</v>
      </c>
      <c r="B85" s="4" t="s">
        <v>17</v>
      </c>
      <c r="C85" s="8">
        <v>1324</v>
      </c>
      <c r="D85" s="8">
        <v>497</v>
      </c>
      <c r="E85" s="8">
        <v>1446</v>
      </c>
      <c r="F85" s="8">
        <v>935</v>
      </c>
      <c r="G85" s="8">
        <v>339</v>
      </c>
      <c r="H85" s="8">
        <v>100</v>
      </c>
      <c r="I85" s="8">
        <v>76</v>
      </c>
      <c r="J85" s="8">
        <v>321</v>
      </c>
      <c r="K85" s="8">
        <v>5038</v>
      </c>
      <c r="M85" s="8"/>
      <c r="N85" s="8"/>
      <c r="O85" s="8"/>
      <c r="P85" s="8"/>
      <c r="Q85" s="8"/>
      <c r="R85" s="8"/>
      <c r="S85" s="8"/>
      <c r="T85" s="8"/>
      <c r="U85" s="8"/>
    </row>
    <row r="86" spans="1:21" x14ac:dyDescent="0.25">
      <c r="A86" s="197"/>
      <c r="B86" s="4" t="s">
        <v>21</v>
      </c>
      <c r="C86" s="8">
        <v>338</v>
      </c>
      <c r="D86" s="8">
        <v>84</v>
      </c>
      <c r="E86" s="8">
        <v>498</v>
      </c>
      <c r="F86" s="8">
        <v>277</v>
      </c>
      <c r="G86" s="8">
        <v>130</v>
      </c>
      <c r="H86" s="8">
        <v>44</v>
      </c>
      <c r="I86" s="8">
        <v>33</v>
      </c>
      <c r="J86" s="8">
        <v>68</v>
      </c>
      <c r="K86" s="8">
        <v>1472</v>
      </c>
      <c r="M86" s="8"/>
      <c r="N86" s="8"/>
      <c r="O86" s="8"/>
      <c r="P86" s="8"/>
      <c r="Q86" s="8"/>
      <c r="R86" s="8"/>
      <c r="S86" s="8"/>
      <c r="T86" s="8"/>
      <c r="U86" s="8"/>
    </row>
    <row r="87" spans="1:21" x14ac:dyDescent="0.25">
      <c r="A87" s="197"/>
      <c r="B87" s="4" t="s">
        <v>20</v>
      </c>
      <c r="C87" s="8">
        <v>3</v>
      </c>
      <c r="D87" s="8">
        <v>1</v>
      </c>
      <c r="E87" s="8">
        <v>1</v>
      </c>
      <c r="F87" s="29" t="s">
        <v>109</v>
      </c>
      <c r="G87" s="29">
        <v>1</v>
      </c>
      <c r="H87" s="29" t="s">
        <v>109</v>
      </c>
      <c r="I87" s="29" t="s">
        <v>109</v>
      </c>
      <c r="J87" s="29">
        <v>2</v>
      </c>
      <c r="K87" s="8">
        <v>8</v>
      </c>
      <c r="M87" s="8"/>
      <c r="N87" s="8"/>
      <c r="O87" s="8"/>
      <c r="P87" s="8"/>
      <c r="Q87" s="8"/>
      <c r="R87" s="8"/>
      <c r="S87" s="8"/>
      <c r="T87" s="8"/>
      <c r="U87" s="8"/>
    </row>
    <row r="88" spans="1:21" x14ac:dyDescent="0.25">
      <c r="A88" s="197"/>
      <c r="B88" s="9" t="s">
        <v>11</v>
      </c>
      <c r="C88" s="94">
        <v>1665</v>
      </c>
      <c r="D88" s="94">
        <v>582</v>
      </c>
      <c r="E88" s="94">
        <v>1945</v>
      </c>
      <c r="F88" s="94">
        <v>1212</v>
      </c>
      <c r="G88" s="94">
        <v>470</v>
      </c>
      <c r="H88" s="94">
        <v>144</v>
      </c>
      <c r="I88" s="94">
        <v>109</v>
      </c>
      <c r="J88" s="94">
        <v>391</v>
      </c>
      <c r="K88" s="94">
        <v>6518</v>
      </c>
      <c r="M88" s="94"/>
      <c r="N88" s="94"/>
      <c r="O88" s="94"/>
      <c r="P88" s="94"/>
      <c r="Q88" s="94"/>
      <c r="R88" s="94"/>
      <c r="S88" s="94"/>
      <c r="T88" s="94"/>
      <c r="U88" s="94"/>
    </row>
    <row r="89" spans="1:21" x14ac:dyDescent="0.25">
      <c r="A89" s="197" t="s">
        <v>194</v>
      </c>
      <c r="B89" s="4" t="s">
        <v>17</v>
      </c>
      <c r="C89" s="8">
        <v>1283</v>
      </c>
      <c r="D89" s="8">
        <v>455</v>
      </c>
      <c r="E89" s="8">
        <v>1444</v>
      </c>
      <c r="F89" s="8">
        <v>894</v>
      </c>
      <c r="G89" s="8">
        <v>346</v>
      </c>
      <c r="H89" s="8">
        <v>119</v>
      </c>
      <c r="I89" s="8">
        <v>91</v>
      </c>
      <c r="J89" s="8">
        <v>419</v>
      </c>
      <c r="K89" s="8">
        <v>5051</v>
      </c>
      <c r="M89" s="8"/>
      <c r="N89" s="8"/>
      <c r="O89" s="8"/>
      <c r="P89" s="8"/>
      <c r="Q89" s="8"/>
      <c r="R89" s="8"/>
      <c r="S89" s="8"/>
      <c r="T89" s="8"/>
      <c r="U89" s="8"/>
    </row>
    <row r="90" spans="1:21" x14ac:dyDescent="0.25">
      <c r="A90" s="197"/>
      <c r="B90" s="4" t="s">
        <v>21</v>
      </c>
      <c r="C90" s="8">
        <v>344</v>
      </c>
      <c r="D90" s="8">
        <v>77</v>
      </c>
      <c r="E90" s="8">
        <v>515</v>
      </c>
      <c r="F90" s="8">
        <v>283</v>
      </c>
      <c r="G90" s="8">
        <v>144</v>
      </c>
      <c r="H90" s="8">
        <v>46</v>
      </c>
      <c r="I90" s="8">
        <v>45</v>
      </c>
      <c r="J90" s="8">
        <v>98</v>
      </c>
      <c r="K90" s="8">
        <v>1552</v>
      </c>
      <c r="M90" s="8"/>
      <c r="N90" s="8"/>
      <c r="O90" s="8"/>
      <c r="P90" s="8"/>
      <c r="Q90" s="8"/>
      <c r="R90" s="8"/>
      <c r="S90" s="8"/>
      <c r="T90" s="8"/>
      <c r="U90" s="8"/>
    </row>
    <row r="91" spans="1:21" x14ac:dyDescent="0.25">
      <c r="A91" s="197"/>
      <c r="B91" s="4" t="s">
        <v>20</v>
      </c>
      <c r="C91" s="8">
        <v>2</v>
      </c>
      <c r="D91" s="8" t="s">
        <v>109</v>
      </c>
      <c r="E91" s="8">
        <v>2</v>
      </c>
      <c r="F91" s="29" t="s">
        <v>109</v>
      </c>
      <c r="G91" s="8" t="s">
        <v>109</v>
      </c>
      <c r="H91" s="29">
        <v>2</v>
      </c>
      <c r="I91" s="29" t="s">
        <v>109</v>
      </c>
      <c r="J91" s="8">
        <v>1</v>
      </c>
      <c r="K91" s="8">
        <v>7</v>
      </c>
      <c r="M91" s="8"/>
      <c r="N91" s="8"/>
      <c r="O91" s="8"/>
      <c r="P91" s="8"/>
      <c r="Q91" s="8"/>
      <c r="R91" s="8"/>
      <c r="S91" s="8"/>
      <c r="T91" s="8"/>
      <c r="U91" s="8"/>
    </row>
    <row r="92" spans="1:21" x14ac:dyDescent="0.25">
      <c r="A92" s="197"/>
      <c r="B92" s="9" t="s">
        <v>11</v>
      </c>
      <c r="C92" s="94">
        <v>1629</v>
      </c>
      <c r="D92" s="94">
        <v>532</v>
      </c>
      <c r="E92" s="94">
        <v>1961</v>
      </c>
      <c r="F92" s="94">
        <v>1177</v>
      </c>
      <c r="G92" s="94">
        <v>490</v>
      </c>
      <c r="H92" s="94">
        <v>167</v>
      </c>
      <c r="I92" s="94">
        <v>136</v>
      </c>
      <c r="J92" s="94">
        <v>518</v>
      </c>
      <c r="K92" s="94">
        <v>6610</v>
      </c>
      <c r="M92" s="94"/>
      <c r="N92" s="94"/>
      <c r="O92" s="94"/>
      <c r="P92" s="94"/>
      <c r="Q92" s="94"/>
      <c r="R92" s="94"/>
      <c r="S92" s="94"/>
      <c r="T92" s="94"/>
      <c r="U92" s="94"/>
    </row>
    <row r="93" spans="1:21" x14ac:dyDescent="0.25">
      <c r="A93" s="197" t="s">
        <v>284</v>
      </c>
      <c r="B93" s="4" t="s">
        <v>17</v>
      </c>
      <c r="C93" s="8">
        <v>1317</v>
      </c>
      <c r="D93" s="8">
        <v>517</v>
      </c>
      <c r="E93" s="8">
        <v>1421</v>
      </c>
      <c r="F93" s="8">
        <v>838</v>
      </c>
      <c r="G93" s="8">
        <v>331</v>
      </c>
      <c r="H93" s="8">
        <v>143</v>
      </c>
      <c r="I93" s="8">
        <v>96</v>
      </c>
      <c r="J93" s="8">
        <v>495</v>
      </c>
      <c r="K93" s="8">
        <v>5158</v>
      </c>
      <c r="M93" s="8"/>
      <c r="N93" s="8"/>
      <c r="O93" s="8"/>
      <c r="P93" s="8"/>
      <c r="Q93" s="8"/>
      <c r="R93" s="8"/>
      <c r="S93" s="8"/>
      <c r="T93" s="8"/>
      <c r="U93" s="8"/>
    </row>
    <row r="94" spans="1:21" x14ac:dyDescent="0.25">
      <c r="A94" s="197"/>
      <c r="B94" s="4" t="s">
        <v>21</v>
      </c>
      <c r="C94" s="8">
        <v>349</v>
      </c>
      <c r="D94" s="8">
        <v>84</v>
      </c>
      <c r="E94" s="8">
        <v>509</v>
      </c>
      <c r="F94" s="8">
        <v>236</v>
      </c>
      <c r="G94" s="8">
        <v>127</v>
      </c>
      <c r="H94" s="8">
        <v>62</v>
      </c>
      <c r="I94" s="8">
        <v>37</v>
      </c>
      <c r="J94" s="8">
        <v>136</v>
      </c>
      <c r="K94" s="8">
        <v>1540</v>
      </c>
      <c r="M94" s="8"/>
      <c r="N94" s="8"/>
      <c r="O94" s="8"/>
      <c r="P94" s="8"/>
      <c r="Q94" s="8"/>
      <c r="R94" s="8"/>
      <c r="S94" s="8"/>
      <c r="T94" s="8"/>
      <c r="U94" s="8"/>
    </row>
    <row r="95" spans="1:21" x14ac:dyDescent="0.25">
      <c r="A95" s="197"/>
      <c r="B95" s="4" t="s">
        <v>20</v>
      </c>
      <c r="C95" s="8">
        <v>2</v>
      </c>
      <c r="D95" s="29" t="s">
        <v>109</v>
      </c>
      <c r="E95" s="8">
        <v>3</v>
      </c>
      <c r="F95" s="29">
        <v>1</v>
      </c>
      <c r="G95" s="29">
        <v>1</v>
      </c>
      <c r="H95" s="8">
        <v>3</v>
      </c>
      <c r="I95" s="29" t="s">
        <v>109</v>
      </c>
      <c r="J95" s="8">
        <v>1</v>
      </c>
      <c r="K95" s="8">
        <v>11</v>
      </c>
      <c r="M95" s="8"/>
      <c r="N95" s="8"/>
      <c r="O95" s="8"/>
      <c r="P95" s="8"/>
      <c r="Q95" s="8"/>
      <c r="R95" s="8"/>
      <c r="S95" s="8"/>
      <c r="T95" s="8"/>
      <c r="U95" s="8"/>
    </row>
    <row r="96" spans="1:21" x14ac:dyDescent="0.25">
      <c r="A96" s="197"/>
      <c r="B96" s="9" t="s">
        <v>11</v>
      </c>
      <c r="C96" s="94">
        <v>1668</v>
      </c>
      <c r="D96" s="94">
        <v>601</v>
      </c>
      <c r="E96" s="94">
        <v>1933</v>
      </c>
      <c r="F96" s="94">
        <v>1075</v>
      </c>
      <c r="G96" s="94">
        <v>459</v>
      </c>
      <c r="H96" s="94">
        <v>208</v>
      </c>
      <c r="I96" s="94">
        <v>133</v>
      </c>
      <c r="J96" s="94">
        <v>632</v>
      </c>
      <c r="K96" s="94">
        <v>6709</v>
      </c>
      <c r="M96" s="94"/>
      <c r="N96" s="94"/>
      <c r="O96" s="94"/>
      <c r="P96" s="94"/>
      <c r="Q96" s="94"/>
      <c r="R96" s="94"/>
      <c r="S96" s="94"/>
      <c r="T96" s="94"/>
      <c r="U96" s="94"/>
    </row>
    <row r="97" spans="1:12" ht="1.5" customHeight="1" x14ac:dyDescent="0.25">
      <c r="C97" s="1" t="s">
        <v>189</v>
      </c>
      <c r="D97" s="1" t="s">
        <v>189</v>
      </c>
      <c r="E97" s="1" t="s">
        <v>189</v>
      </c>
      <c r="F97" s="1" t="s">
        <v>189</v>
      </c>
      <c r="G97" s="1" t="s">
        <v>189</v>
      </c>
      <c r="H97" s="1" t="s">
        <v>189</v>
      </c>
      <c r="I97" s="1" t="s">
        <v>189</v>
      </c>
      <c r="J97" s="1" t="s">
        <v>189</v>
      </c>
      <c r="K97" s="1" t="s">
        <v>189</v>
      </c>
    </row>
    <row r="98" spans="1:12" ht="11.1" customHeight="1" x14ac:dyDescent="0.25">
      <c r="A98" s="103" t="s">
        <v>23</v>
      </c>
      <c r="B98" s="103"/>
      <c r="C98" s="103"/>
      <c r="D98" s="103"/>
      <c r="E98" s="103"/>
      <c r="F98" s="103"/>
      <c r="G98" s="103"/>
      <c r="H98" s="103"/>
      <c r="I98" s="103"/>
      <c r="J98" s="103"/>
      <c r="K98" s="104"/>
    </row>
    <row r="99" spans="1:12" s="6" customFormat="1" ht="11.1" customHeight="1" x14ac:dyDescent="0.15">
      <c r="A99" s="6" t="s">
        <v>41</v>
      </c>
    </row>
    <row r="100" spans="1:12" s="6" customFormat="1" ht="19.5" customHeight="1" x14ac:dyDescent="0.15">
      <c r="A100" s="186" t="s">
        <v>141</v>
      </c>
      <c r="B100" s="186"/>
      <c r="C100" s="186"/>
      <c r="D100" s="186"/>
      <c r="E100" s="186"/>
      <c r="F100" s="186"/>
      <c r="G100" s="186"/>
      <c r="H100" s="186"/>
      <c r="I100" s="186"/>
      <c r="J100" s="186"/>
      <c r="K100" s="186"/>
      <c r="L100" s="186"/>
    </row>
    <row r="101" spans="1:12" s="6" customFormat="1" ht="14.25" customHeight="1" x14ac:dyDescent="0.15">
      <c r="A101" s="92"/>
      <c r="B101" s="92"/>
      <c r="C101" s="92"/>
      <c r="D101" s="92"/>
      <c r="E101" s="92"/>
      <c r="F101" s="92"/>
      <c r="G101" s="92"/>
      <c r="H101" s="92"/>
      <c r="I101" s="92"/>
      <c r="J101" s="92"/>
      <c r="K101" s="92"/>
      <c r="L101" s="92"/>
    </row>
    <row r="102" spans="1:12" s="6" customFormat="1" ht="11.1" customHeight="1" x14ac:dyDescent="0.15">
      <c r="A102" s="6" t="s">
        <v>263</v>
      </c>
    </row>
    <row r="103" spans="1:12" ht="12" customHeight="1" x14ac:dyDescent="0.25">
      <c r="A103" s="2"/>
    </row>
  </sheetData>
  <mergeCells count="26">
    <mergeCell ref="A40:A43"/>
    <mergeCell ref="A1:L1"/>
    <mergeCell ref="A4:A7"/>
    <mergeCell ref="A8:A11"/>
    <mergeCell ref="A12:A15"/>
    <mergeCell ref="A16:A19"/>
    <mergeCell ref="A20:A23"/>
    <mergeCell ref="A24:A27"/>
    <mergeCell ref="A28:A31"/>
    <mergeCell ref="A32:A35"/>
    <mergeCell ref="A36:A39"/>
    <mergeCell ref="A45:L45"/>
    <mergeCell ref="A54:L54"/>
    <mergeCell ref="A57:A60"/>
    <mergeCell ref="A61:A64"/>
    <mergeCell ref="A65:A68"/>
    <mergeCell ref="A49:L49"/>
    <mergeCell ref="A50:L50"/>
    <mergeCell ref="A69:A72"/>
    <mergeCell ref="A73:A76"/>
    <mergeCell ref="A100:L100"/>
    <mergeCell ref="A77:A80"/>
    <mergeCell ref="A81:A84"/>
    <mergeCell ref="A85:A88"/>
    <mergeCell ref="A89:A92"/>
    <mergeCell ref="A93:A96"/>
  </mergeCells>
  <pageMargins left="0.08" right="0.08" top="1" bottom="1" header="0.5" footer="0.5"/>
  <pageSetup orientation="landscape" blackAndWhite="1"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Y101"/>
  <sheetViews>
    <sheetView zoomScaleNormal="100" workbookViewId="0">
      <selection sqref="A1:L1"/>
    </sheetView>
  </sheetViews>
  <sheetFormatPr defaultColWidth="9.140625" defaultRowHeight="15" x14ac:dyDescent="0.25"/>
  <cols>
    <col min="1" max="7" width="11.42578125" style="1" bestFit="1" customWidth="1"/>
    <col min="8" max="9" width="11.42578125" style="18" bestFit="1" customWidth="1"/>
    <col min="10" max="10" width="11.42578125" style="1" bestFit="1" customWidth="1"/>
    <col min="11" max="11" width="10.5703125" style="1" customWidth="1"/>
    <col min="12" max="12" width="11.42578125" style="1" bestFit="1" customWidth="1"/>
    <col min="13" max="16384" width="9.140625" style="1"/>
  </cols>
  <sheetData>
    <row r="1" spans="1:25" ht="23.25" customHeight="1" x14ac:dyDescent="0.25">
      <c r="A1" s="183" t="s">
        <v>298</v>
      </c>
      <c r="B1" s="183"/>
      <c r="C1" s="183"/>
      <c r="D1" s="183"/>
      <c r="E1" s="183"/>
      <c r="F1" s="183"/>
      <c r="G1" s="183"/>
      <c r="H1" s="183"/>
      <c r="I1" s="183"/>
      <c r="J1" s="183"/>
      <c r="K1" s="183"/>
      <c r="L1" s="183"/>
    </row>
    <row r="2" spans="1:25" ht="3" customHeight="1" x14ac:dyDescent="0.25">
      <c r="A2" s="2"/>
    </row>
    <row r="3" spans="1:25" ht="23.25" x14ac:dyDescent="0.25">
      <c r="A3" s="44" t="s">
        <v>122</v>
      </c>
      <c r="B3" s="44" t="s">
        <v>119</v>
      </c>
      <c r="C3" s="3" t="s">
        <v>0</v>
      </c>
      <c r="D3" s="3" t="s">
        <v>1</v>
      </c>
      <c r="E3" s="3" t="s">
        <v>2</v>
      </c>
      <c r="F3" s="3" t="s">
        <v>3</v>
      </c>
      <c r="G3" s="3" t="s">
        <v>4</v>
      </c>
      <c r="H3" s="68" t="s">
        <v>5</v>
      </c>
      <c r="I3" s="68" t="s">
        <v>6</v>
      </c>
      <c r="J3" s="3" t="s">
        <v>7</v>
      </c>
      <c r="K3" s="3" t="s">
        <v>199</v>
      </c>
      <c r="L3" s="3" t="s">
        <v>8</v>
      </c>
    </row>
    <row r="4" spans="1:25" x14ac:dyDescent="0.25">
      <c r="A4" s="197" t="s">
        <v>195</v>
      </c>
      <c r="B4" s="4" t="s">
        <v>17</v>
      </c>
      <c r="C4" s="5">
        <v>965.1</v>
      </c>
      <c r="D4" s="5">
        <v>777.1</v>
      </c>
      <c r="E4" s="5">
        <v>988.3</v>
      </c>
      <c r="F4" s="5">
        <v>537.1</v>
      </c>
      <c r="G4" s="5">
        <v>216.7</v>
      </c>
      <c r="H4" s="5">
        <v>113.5</v>
      </c>
      <c r="I4" s="5">
        <v>47.6</v>
      </c>
      <c r="J4" s="5">
        <v>128.5</v>
      </c>
      <c r="K4" s="5">
        <v>3645.4</v>
      </c>
      <c r="L4" s="5">
        <v>3773.9</v>
      </c>
      <c r="N4" s="5"/>
      <c r="O4" s="5"/>
      <c r="P4" s="5"/>
      <c r="Q4" s="5"/>
      <c r="R4" s="5"/>
      <c r="S4" s="5"/>
      <c r="T4" s="5"/>
      <c r="U4" s="5"/>
      <c r="V4" s="5"/>
      <c r="W4" s="5"/>
      <c r="Y4" s="127"/>
    </row>
    <row r="5" spans="1:25" x14ac:dyDescent="0.25">
      <c r="A5" s="197"/>
      <c r="B5" s="4" t="s">
        <v>21</v>
      </c>
      <c r="C5" s="5">
        <v>243.1</v>
      </c>
      <c r="D5" s="5">
        <v>147.9</v>
      </c>
      <c r="E5" s="5">
        <v>294.89999999999998</v>
      </c>
      <c r="F5" s="5">
        <v>106.7</v>
      </c>
      <c r="G5" s="5">
        <v>45</v>
      </c>
      <c r="H5" s="5">
        <v>18.600000000000001</v>
      </c>
      <c r="I5" s="5">
        <v>17.2</v>
      </c>
      <c r="J5" s="5">
        <v>28</v>
      </c>
      <c r="K5" s="5">
        <v>873.3</v>
      </c>
      <c r="L5" s="5">
        <v>901.3</v>
      </c>
      <c r="N5" s="5"/>
      <c r="O5" s="5"/>
      <c r="P5" s="5"/>
      <c r="Q5" s="5"/>
      <c r="R5" s="5"/>
      <c r="S5" s="5"/>
      <c r="T5" s="5"/>
      <c r="U5" s="5"/>
      <c r="V5" s="5"/>
      <c r="W5" s="5"/>
    </row>
    <row r="6" spans="1:25" x14ac:dyDescent="0.25">
      <c r="A6" s="197"/>
      <c r="B6" s="4" t="s">
        <v>20</v>
      </c>
      <c r="C6" s="51" t="s">
        <v>109</v>
      </c>
      <c r="D6" s="51" t="s">
        <v>109</v>
      </c>
      <c r="E6" s="5">
        <v>1</v>
      </c>
      <c r="F6" s="5">
        <v>0.1</v>
      </c>
      <c r="G6" s="51" t="s">
        <v>109</v>
      </c>
      <c r="H6" s="51" t="s">
        <v>109</v>
      </c>
      <c r="I6" s="51" t="s">
        <v>109</v>
      </c>
      <c r="J6" s="51" t="s">
        <v>109</v>
      </c>
      <c r="K6" s="5">
        <v>1</v>
      </c>
      <c r="L6" s="5">
        <v>1</v>
      </c>
      <c r="N6" s="74"/>
      <c r="O6" s="74"/>
      <c r="P6" s="5"/>
      <c r="Q6" s="5"/>
      <c r="R6" s="74"/>
      <c r="S6" s="74"/>
      <c r="T6" s="74"/>
      <c r="U6" s="74"/>
      <c r="V6" s="5"/>
      <c r="W6" s="5"/>
    </row>
    <row r="7" spans="1:25" x14ac:dyDescent="0.25">
      <c r="A7" s="197"/>
      <c r="B7" s="95" t="s">
        <v>11</v>
      </c>
      <c r="C7" s="97">
        <v>1208.2</v>
      </c>
      <c r="D7" s="97">
        <v>925</v>
      </c>
      <c r="E7" s="97">
        <v>1284.2</v>
      </c>
      <c r="F7" s="97">
        <v>643.79999999999995</v>
      </c>
      <c r="G7" s="97">
        <v>261.7</v>
      </c>
      <c r="H7" s="97">
        <v>132.1</v>
      </c>
      <c r="I7" s="97">
        <v>64.8</v>
      </c>
      <c r="J7" s="97">
        <v>156.5</v>
      </c>
      <c r="K7" s="97">
        <v>4519.7</v>
      </c>
      <c r="L7" s="97">
        <v>4676.2</v>
      </c>
      <c r="N7" s="97"/>
      <c r="O7" s="97"/>
      <c r="P7" s="97"/>
      <c r="Q7" s="97"/>
      <c r="R7" s="97"/>
      <c r="S7" s="97"/>
      <c r="T7" s="97"/>
      <c r="U7" s="97"/>
      <c r="V7" s="97"/>
      <c r="W7" s="97"/>
    </row>
    <row r="8" spans="1:25" x14ac:dyDescent="0.25">
      <c r="A8" s="197" t="s">
        <v>196</v>
      </c>
      <c r="B8" s="4" t="s">
        <v>17</v>
      </c>
      <c r="C8" s="5">
        <v>876.4</v>
      </c>
      <c r="D8" s="5">
        <v>712.8</v>
      </c>
      <c r="E8" s="5">
        <v>932.3</v>
      </c>
      <c r="F8" s="5">
        <v>532</v>
      </c>
      <c r="G8" s="5">
        <v>214.9</v>
      </c>
      <c r="H8" s="5">
        <v>98.6</v>
      </c>
      <c r="I8" s="5">
        <v>50.8</v>
      </c>
      <c r="J8" s="5">
        <v>138</v>
      </c>
      <c r="K8" s="5">
        <v>3417.8</v>
      </c>
      <c r="L8" s="5">
        <v>3555.8</v>
      </c>
      <c r="N8" s="5"/>
      <c r="O8" s="5"/>
      <c r="P8" s="5"/>
      <c r="Q8" s="5"/>
      <c r="R8" s="5"/>
      <c r="S8" s="5"/>
      <c r="T8" s="5"/>
      <c r="U8" s="5"/>
      <c r="V8" s="5"/>
      <c r="W8" s="5"/>
    </row>
    <row r="9" spans="1:25" x14ac:dyDescent="0.25">
      <c r="A9" s="197"/>
      <c r="B9" s="4" t="s">
        <v>21</v>
      </c>
      <c r="C9" s="5">
        <v>233.6</v>
      </c>
      <c r="D9" s="5">
        <v>139.9</v>
      </c>
      <c r="E9" s="5">
        <v>306.5</v>
      </c>
      <c r="F9" s="5">
        <v>107.5</v>
      </c>
      <c r="G9" s="5">
        <v>52.9</v>
      </c>
      <c r="H9" s="5">
        <v>24.2</v>
      </c>
      <c r="I9" s="5">
        <v>15.4</v>
      </c>
      <c r="J9" s="5">
        <v>33.9</v>
      </c>
      <c r="K9" s="5">
        <v>879.9</v>
      </c>
      <c r="L9" s="5">
        <v>913.9</v>
      </c>
      <c r="N9" s="5"/>
      <c r="O9" s="5"/>
      <c r="P9" s="5"/>
      <c r="Q9" s="5"/>
      <c r="R9" s="5"/>
      <c r="S9" s="5"/>
      <c r="T9" s="5"/>
      <c r="U9" s="5"/>
      <c r="V9" s="5"/>
      <c r="W9" s="5"/>
    </row>
    <row r="10" spans="1:25" x14ac:dyDescent="0.25">
      <c r="A10" s="197"/>
      <c r="B10" s="4" t="s">
        <v>20</v>
      </c>
      <c r="C10" s="51" t="s">
        <v>109</v>
      </c>
      <c r="D10" s="51" t="s">
        <v>109</v>
      </c>
      <c r="E10" s="51">
        <v>1</v>
      </c>
      <c r="F10" s="5" t="s">
        <v>109</v>
      </c>
      <c r="G10" s="51" t="s">
        <v>109</v>
      </c>
      <c r="H10" s="51" t="s">
        <v>109</v>
      </c>
      <c r="I10" s="51" t="s">
        <v>109</v>
      </c>
      <c r="J10" s="51" t="s">
        <v>109</v>
      </c>
      <c r="K10" s="5">
        <v>1</v>
      </c>
      <c r="L10" s="5">
        <v>1</v>
      </c>
      <c r="N10" s="74"/>
      <c r="O10" s="74"/>
      <c r="P10" s="74"/>
      <c r="Q10" s="5"/>
      <c r="R10" s="74"/>
      <c r="S10" s="74"/>
      <c r="T10" s="74"/>
      <c r="U10" s="74"/>
      <c r="V10" s="5"/>
      <c r="W10" s="5"/>
    </row>
    <row r="11" spans="1:25" x14ac:dyDescent="0.25">
      <c r="A11" s="197"/>
      <c r="B11" s="95" t="s">
        <v>11</v>
      </c>
      <c r="C11" s="97">
        <v>1110.0999999999999</v>
      </c>
      <c r="D11" s="97">
        <v>852.7</v>
      </c>
      <c r="E11" s="97">
        <v>1239.7</v>
      </c>
      <c r="F11" s="97">
        <v>639.5</v>
      </c>
      <c r="G11" s="97">
        <v>267.7</v>
      </c>
      <c r="H11" s="97">
        <v>122.8</v>
      </c>
      <c r="I11" s="97">
        <v>66.2</v>
      </c>
      <c r="J11" s="97">
        <v>171.9</v>
      </c>
      <c r="K11" s="97">
        <v>4298.7</v>
      </c>
      <c r="L11" s="97">
        <v>4470.7</v>
      </c>
      <c r="N11" s="97"/>
      <c r="O11" s="97"/>
      <c r="P11" s="97"/>
      <c r="Q11" s="97"/>
      <c r="R11" s="97"/>
      <c r="S11" s="97"/>
      <c r="T11" s="97"/>
      <c r="U11" s="97"/>
      <c r="V11" s="97"/>
      <c r="W11" s="97"/>
    </row>
    <row r="12" spans="1:25" x14ac:dyDescent="0.25">
      <c r="A12" s="197" t="s">
        <v>197</v>
      </c>
      <c r="B12" s="4" t="s">
        <v>17</v>
      </c>
      <c r="C12" s="5">
        <v>850.8</v>
      </c>
      <c r="D12" s="5">
        <v>709.6</v>
      </c>
      <c r="E12" s="5">
        <v>1075.3</v>
      </c>
      <c r="F12" s="5">
        <v>537.9</v>
      </c>
      <c r="G12" s="5">
        <v>194.1</v>
      </c>
      <c r="H12" s="5">
        <v>90.7</v>
      </c>
      <c r="I12" s="5">
        <v>63.4</v>
      </c>
      <c r="J12" s="5">
        <v>135.9</v>
      </c>
      <c r="K12" s="5">
        <v>3521.9</v>
      </c>
      <c r="L12" s="5">
        <v>3657.8</v>
      </c>
      <c r="N12" s="5"/>
      <c r="O12" s="5"/>
      <c r="P12" s="5"/>
      <c r="Q12" s="5"/>
      <c r="R12" s="5"/>
      <c r="S12" s="5"/>
      <c r="T12" s="5"/>
      <c r="U12" s="5"/>
      <c r="V12" s="5"/>
      <c r="W12" s="5"/>
    </row>
    <row r="13" spans="1:25" x14ac:dyDescent="0.25">
      <c r="A13" s="197"/>
      <c r="B13" s="4" t="s">
        <v>21</v>
      </c>
      <c r="C13" s="5">
        <v>240.9</v>
      </c>
      <c r="D13" s="5">
        <v>125.9</v>
      </c>
      <c r="E13" s="5">
        <v>345</v>
      </c>
      <c r="F13" s="5">
        <v>100.3</v>
      </c>
      <c r="G13" s="5">
        <v>40.1</v>
      </c>
      <c r="H13" s="5">
        <v>32.9</v>
      </c>
      <c r="I13" s="5">
        <v>24.6</v>
      </c>
      <c r="J13" s="5">
        <v>24.1</v>
      </c>
      <c r="K13" s="5">
        <v>909.8</v>
      </c>
      <c r="L13" s="5">
        <v>933.8</v>
      </c>
      <c r="N13" s="5"/>
      <c r="O13" s="5"/>
      <c r="P13" s="5"/>
      <c r="Q13" s="5"/>
      <c r="R13" s="5"/>
      <c r="S13" s="5"/>
      <c r="T13" s="5"/>
      <c r="U13" s="5"/>
      <c r="V13" s="5"/>
      <c r="W13" s="5"/>
    </row>
    <row r="14" spans="1:25" x14ac:dyDescent="0.25">
      <c r="A14" s="197"/>
      <c r="B14" s="4" t="s">
        <v>20</v>
      </c>
      <c r="C14" s="51" t="s">
        <v>109</v>
      </c>
      <c r="D14" s="51" t="s">
        <v>109</v>
      </c>
      <c r="E14" s="51">
        <v>0.4</v>
      </c>
      <c r="F14" s="51" t="s">
        <v>109</v>
      </c>
      <c r="G14" s="51" t="s">
        <v>109</v>
      </c>
      <c r="H14" s="51" t="s">
        <v>109</v>
      </c>
      <c r="I14" s="51" t="s">
        <v>109</v>
      </c>
      <c r="J14" s="51" t="s">
        <v>109</v>
      </c>
      <c r="K14" s="51">
        <v>0.4</v>
      </c>
      <c r="L14" s="51">
        <v>0.4</v>
      </c>
      <c r="N14" s="74"/>
      <c r="O14" s="74"/>
      <c r="P14" s="74"/>
      <c r="Q14" s="74"/>
      <c r="R14" s="74"/>
      <c r="S14" s="74"/>
      <c r="T14" s="74"/>
      <c r="U14" s="74"/>
      <c r="V14" s="74"/>
      <c r="W14" s="74"/>
    </row>
    <row r="15" spans="1:25" x14ac:dyDescent="0.25">
      <c r="A15" s="197"/>
      <c r="B15" s="95" t="s">
        <v>11</v>
      </c>
      <c r="C15" s="97">
        <v>1091.7</v>
      </c>
      <c r="D15" s="97">
        <v>835.5</v>
      </c>
      <c r="E15" s="97">
        <v>1420.7</v>
      </c>
      <c r="F15" s="97">
        <v>638.20000000000005</v>
      </c>
      <c r="G15" s="97">
        <v>234.3</v>
      </c>
      <c r="H15" s="97">
        <v>123.6</v>
      </c>
      <c r="I15" s="97">
        <v>88.1</v>
      </c>
      <c r="J15" s="97">
        <v>160</v>
      </c>
      <c r="K15" s="97">
        <v>4432.1000000000004</v>
      </c>
      <c r="L15" s="97">
        <v>4592</v>
      </c>
      <c r="N15" s="97"/>
      <c r="O15" s="97"/>
      <c r="P15" s="97"/>
      <c r="Q15" s="97"/>
      <c r="R15" s="97"/>
      <c r="S15" s="97"/>
      <c r="T15" s="97"/>
      <c r="U15" s="97"/>
      <c r="V15" s="97"/>
      <c r="W15" s="97"/>
    </row>
    <row r="16" spans="1:25" x14ac:dyDescent="0.25">
      <c r="A16" s="197" t="s">
        <v>198</v>
      </c>
      <c r="B16" s="4" t="s">
        <v>17</v>
      </c>
      <c r="C16" s="5">
        <v>836.9</v>
      </c>
      <c r="D16" s="5">
        <v>644.5</v>
      </c>
      <c r="E16" s="5">
        <v>1273.0999999999999</v>
      </c>
      <c r="F16" s="5">
        <v>517</v>
      </c>
      <c r="G16" s="5">
        <v>167</v>
      </c>
      <c r="H16" s="5">
        <v>106.9</v>
      </c>
      <c r="I16" s="5">
        <v>53.9</v>
      </c>
      <c r="J16" s="5">
        <v>159.5</v>
      </c>
      <c r="K16" s="5">
        <v>3599.4</v>
      </c>
      <c r="L16" s="5">
        <v>3759</v>
      </c>
      <c r="N16" s="5"/>
      <c r="O16" s="5"/>
      <c r="P16" s="5"/>
      <c r="Q16" s="5"/>
      <c r="R16" s="5"/>
      <c r="S16" s="5"/>
      <c r="T16" s="5"/>
      <c r="U16" s="5"/>
      <c r="V16" s="5"/>
      <c r="W16" s="5"/>
    </row>
    <row r="17" spans="1:23" x14ac:dyDescent="0.25">
      <c r="A17" s="197"/>
      <c r="B17" s="4" t="s">
        <v>21</v>
      </c>
      <c r="C17" s="5">
        <v>267.8</v>
      </c>
      <c r="D17" s="5">
        <v>121.6</v>
      </c>
      <c r="E17" s="5">
        <v>415.7</v>
      </c>
      <c r="F17" s="5">
        <v>121.5</v>
      </c>
      <c r="G17" s="5">
        <v>33</v>
      </c>
      <c r="H17" s="5">
        <v>36.799999999999997</v>
      </c>
      <c r="I17" s="5">
        <v>15</v>
      </c>
      <c r="J17" s="5">
        <v>22.7</v>
      </c>
      <c r="K17" s="5">
        <v>1011.3</v>
      </c>
      <c r="L17" s="5">
        <v>1034</v>
      </c>
      <c r="N17" s="5"/>
      <c r="O17" s="5"/>
      <c r="P17" s="5"/>
      <c r="Q17" s="5"/>
      <c r="R17" s="5"/>
      <c r="S17" s="5"/>
      <c r="T17" s="5"/>
      <c r="U17" s="5"/>
      <c r="V17" s="5"/>
      <c r="W17" s="5"/>
    </row>
    <row r="18" spans="1:23" x14ac:dyDescent="0.25">
      <c r="A18" s="197"/>
      <c r="B18" s="4" t="s">
        <v>20</v>
      </c>
      <c r="C18" s="51" t="s">
        <v>109</v>
      </c>
      <c r="D18" s="51">
        <v>0.3</v>
      </c>
      <c r="E18" s="5">
        <v>0.1</v>
      </c>
      <c r="F18" s="51">
        <v>0.3</v>
      </c>
      <c r="G18" s="51" t="s">
        <v>109</v>
      </c>
      <c r="H18" s="51" t="s">
        <v>109</v>
      </c>
      <c r="I18" s="51" t="s">
        <v>109</v>
      </c>
      <c r="J18" s="51" t="s">
        <v>109</v>
      </c>
      <c r="K18" s="5">
        <v>0.7</v>
      </c>
      <c r="L18" s="5">
        <v>0.7</v>
      </c>
      <c r="N18" s="74"/>
      <c r="O18" s="74"/>
      <c r="P18" s="5"/>
      <c r="Q18" s="74"/>
      <c r="R18" s="74"/>
      <c r="S18" s="74"/>
      <c r="T18" s="74"/>
      <c r="U18" s="74"/>
      <c r="V18" s="5"/>
      <c r="W18" s="5"/>
    </row>
    <row r="19" spans="1:23" x14ac:dyDescent="0.25">
      <c r="A19" s="197"/>
      <c r="B19" s="95" t="s">
        <v>11</v>
      </c>
      <c r="C19" s="97">
        <v>1104.7</v>
      </c>
      <c r="D19" s="97">
        <v>766.3</v>
      </c>
      <c r="E19" s="97">
        <v>1688.9</v>
      </c>
      <c r="F19" s="97">
        <v>638.79999999999995</v>
      </c>
      <c r="G19" s="97">
        <v>200.1</v>
      </c>
      <c r="H19" s="97">
        <v>143.69999999999999</v>
      </c>
      <c r="I19" s="97">
        <v>68.8</v>
      </c>
      <c r="J19" s="97">
        <v>182.2</v>
      </c>
      <c r="K19" s="97">
        <v>4611.3999999999996</v>
      </c>
      <c r="L19" s="97">
        <v>4793.6000000000004</v>
      </c>
      <c r="N19" s="97"/>
      <c r="O19" s="97"/>
      <c r="P19" s="97"/>
      <c r="Q19" s="97"/>
      <c r="R19" s="97"/>
      <c r="S19" s="97"/>
      <c r="T19" s="97"/>
      <c r="U19" s="97"/>
      <c r="V19" s="97"/>
      <c r="W19" s="97"/>
    </row>
    <row r="20" spans="1:23" x14ac:dyDescent="0.25">
      <c r="A20" s="197" t="s">
        <v>190</v>
      </c>
      <c r="B20" s="4" t="s">
        <v>17</v>
      </c>
      <c r="C20" s="5">
        <v>811.2</v>
      </c>
      <c r="D20" s="5">
        <v>608.9</v>
      </c>
      <c r="E20" s="5">
        <v>1172.8</v>
      </c>
      <c r="F20" s="5">
        <v>458</v>
      </c>
      <c r="G20" s="5">
        <v>185.8</v>
      </c>
      <c r="H20" s="5">
        <v>95.8</v>
      </c>
      <c r="I20" s="5">
        <v>42.4</v>
      </c>
      <c r="J20" s="5">
        <v>174.5</v>
      </c>
      <c r="K20" s="5">
        <v>3374.9</v>
      </c>
      <c r="L20" s="5">
        <v>3549.3</v>
      </c>
      <c r="N20" s="5"/>
      <c r="O20" s="5"/>
      <c r="P20" s="5"/>
      <c r="Q20" s="5"/>
      <c r="R20" s="5"/>
      <c r="S20" s="5"/>
      <c r="T20" s="5"/>
      <c r="U20" s="5"/>
      <c r="V20" s="5"/>
      <c r="W20" s="5"/>
    </row>
    <row r="21" spans="1:23" x14ac:dyDescent="0.25">
      <c r="A21" s="197"/>
      <c r="B21" s="4" t="s">
        <v>21</v>
      </c>
      <c r="C21" s="5">
        <v>239.8</v>
      </c>
      <c r="D21" s="5">
        <v>138.4</v>
      </c>
      <c r="E21" s="5">
        <v>396</v>
      </c>
      <c r="F21" s="5">
        <v>118.7</v>
      </c>
      <c r="G21" s="5">
        <v>33.1</v>
      </c>
      <c r="H21" s="5">
        <v>35</v>
      </c>
      <c r="I21" s="5">
        <v>13.4</v>
      </c>
      <c r="J21" s="5">
        <v>21.1</v>
      </c>
      <c r="K21" s="5">
        <v>974.4</v>
      </c>
      <c r="L21" s="5">
        <v>995.5</v>
      </c>
      <c r="N21" s="5"/>
      <c r="O21" s="5"/>
      <c r="P21" s="5"/>
      <c r="Q21" s="5"/>
      <c r="R21" s="5"/>
      <c r="S21" s="5"/>
      <c r="T21" s="5"/>
      <c r="U21" s="5"/>
      <c r="V21" s="5"/>
      <c r="W21" s="5"/>
    </row>
    <row r="22" spans="1:23" x14ac:dyDescent="0.25">
      <c r="A22" s="197"/>
      <c r="B22" s="4" t="s">
        <v>20</v>
      </c>
      <c r="C22" s="51">
        <v>0.5</v>
      </c>
      <c r="D22" s="5">
        <v>0.3</v>
      </c>
      <c r="E22" s="5">
        <v>0.4</v>
      </c>
      <c r="F22" s="5">
        <v>0.6</v>
      </c>
      <c r="G22" s="51" t="s">
        <v>109</v>
      </c>
      <c r="H22" s="51" t="s">
        <v>109</v>
      </c>
      <c r="I22" s="51" t="s">
        <v>109</v>
      </c>
      <c r="J22" s="51" t="s">
        <v>109</v>
      </c>
      <c r="K22" s="5">
        <v>1.8</v>
      </c>
      <c r="L22" s="5">
        <v>1.8</v>
      </c>
      <c r="N22" s="74"/>
      <c r="O22" s="5"/>
      <c r="P22" s="5"/>
      <c r="Q22" s="5"/>
      <c r="R22" s="74"/>
      <c r="S22" s="74"/>
      <c r="T22" s="74"/>
      <c r="U22" s="74"/>
      <c r="V22" s="5"/>
      <c r="W22" s="5"/>
    </row>
    <row r="23" spans="1:23" x14ac:dyDescent="0.25">
      <c r="A23" s="197"/>
      <c r="B23" s="95" t="s">
        <v>11</v>
      </c>
      <c r="C23" s="97">
        <v>1051.5</v>
      </c>
      <c r="D23" s="97">
        <v>747.6</v>
      </c>
      <c r="E23" s="97">
        <v>1569.3</v>
      </c>
      <c r="F23" s="97">
        <v>577.20000000000005</v>
      </c>
      <c r="G23" s="97">
        <v>218.9</v>
      </c>
      <c r="H23" s="97">
        <v>130.80000000000001</v>
      </c>
      <c r="I23" s="97">
        <v>55.7</v>
      </c>
      <c r="J23" s="97">
        <v>195.6</v>
      </c>
      <c r="K23" s="97">
        <v>4351.1000000000004</v>
      </c>
      <c r="L23" s="97">
        <v>4546.7</v>
      </c>
      <c r="N23" s="97"/>
      <c r="O23" s="97"/>
      <c r="P23" s="97"/>
      <c r="Q23" s="97"/>
      <c r="R23" s="97"/>
      <c r="S23" s="97"/>
      <c r="T23" s="97"/>
      <c r="U23" s="97"/>
      <c r="V23" s="97"/>
      <c r="W23" s="97"/>
    </row>
    <row r="24" spans="1:23" x14ac:dyDescent="0.25">
      <c r="A24" s="197" t="s">
        <v>191</v>
      </c>
      <c r="B24" s="4" t="s">
        <v>17</v>
      </c>
      <c r="C24" s="5">
        <v>781.9</v>
      </c>
      <c r="D24" s="5">
        <v>570.20000000000005</v>
      </c>
      <c r="E24" s="5">
        <v>1044</v>
      </c>
      <c r="F24" s="5">
        <v>369.7</v>
      </c>
      <c r="G24" s="5">
        <v>154.69999999999999</v>
      </c>
      <c r="H24" s="5">
        <v>82.9</v>
      </c>
      <c r="I24" s="5">
        <v>44.7</v>
      </c>
      <c r="J24" s="5">
        <v>134.30000000000001</v>
      </c>
      <c r="K24" s="5">
        <v>3048.2</v>
      </c>
      <c r="L24" s="5">
        <v>3182.5</v>
      </c>
      <c r="N24" s="5"/>
      <c r="O24" s="5"/>
      <c r="P24" s="5"/>
      <c r="Q24" s="5"/>
      <c r="R24" s="5"/>
      <c r="S24" s="5"/>
      <c r="T24" s="5"/>
      <c r="U24" s="5"/>
      <c r="V24" s="5"/>
      <c r="W24" s="5"/>
    </row>
    <row r="25" spans="1:23" x14ac:dyDescent="0.25">
      <c r="A25" s="197"/>
      <c r="B25" s="4" t="s">
        <v>21</v>
      </c>
      <c r="C25" s="5">
        <v>202.7</v>
      </c>
      <c r="D25" s="5">
        <v>117</v>
      </c>
      <c r="E25" s="5">
        <v>333.3</v>
      </c>
      <c r="F25" s="5">
        <v>77.2</v>
      </c>
      <c r="G25" s="5">
        <v>36</v>
      </c>
      <c r="H25" s="5">
        <v>26.3</v>
      </c>
      <c r="I25" s="5">
        <v>15.1</v>
      </c>
      <c r="J25" s="5">
        <v>16.7</v>
      </c>
      <c r="K25" s="5">
        <v>807.7</v>
      </c>
      <c r="L25" s="5">
        <v>824.3</v>
      </c>
      <c r="N25" s="5"/>
      <c r="O25" s="5"/>
      <c r="P25" s="5"/>
      <c r="Q25" s="5"/>
      <c r="R25" s="5"/>
      <c r="S25" s="5"/>
      <c r="T25" s="5"/>
      <c r="U25" s="5"/>
      <c r="V25" s="5"/>
      <c r="W25" s="5"/>
    </row>
    <row r="26" spans="1:23" x14ac:dyDescent="0.25">
      <c r="A26" s="197"/>
      <c r="B26" s="4" t="s">
        <v>20</v>
      </c>
      <c r="C26" s="5">
        <v>0.7</v>
      </c>
      <c r="D26" s="5" t="s">
        <v>109</v>
      </c>
      <c r="E26" s="5" t="s">
        <v>109</v>
      </c>
      <c r="F26" s="5" t="s">
        <v>109</v>
      </c>
      <c r="G26" s="51" t="s">
        <v>109</v>
      </c>
      <c r="H26" s="51" t="s">
        <v>109</v>
      </c>
      <c r="I26" s="51" t="s">
        <v>109</v>
      </c>
      <c r="J26" s="51" t="s">
        <v>109</v>
      </c>
      <c r="K26" s="5">
        <v>0.7</v>
      </c>
      <c r="L26" s="5">
        <v>0.7</v>
      </c>
      <c r="N26" s="5"/>
      <c r="O26" s="5"/>
      <c r="P26" s="5"/>
      <c r="Q26" s="5"/>
      <c r="R26" s="74"/>
      <c r="S26" s="74"/>
      <c r="T26" s="74"/>
      <c r="U26" s="74"/>
      <c r="V26" s="5"/>
      <c r="W26" s="5"/>
    </row>
    <row r="27" spans="1:23" x14ac:dyDescent="0.25">
      <c r="A27" s="197"/>
      <c r="B27" s="95" t="s">
        <v>11</v>
      </c>
      <c r="C27" s="97">
        <v>985.3</v>
      </c>
      <c r="D27" s="97">
        <v>687.2</v>
      </c>
      <c r="E27" s="97">
        <v>1377.4</v>
      </c>
      <c r="F27" s="97">
        <v>446.9</v>
      </c>
      <c r="G27" s="97">
        <v>190.7</v>
      </c>
      <c r="H27" s="97">
        <v>109.3</v>
      </c>
      <c r="I27" s="97">
        <v>59.8</v>
      </c>
      <c r="J27" s="97">
        <v>150.9</v>
      </c>
      <c r="K27" s="97">
        <v>3856.6</v>
      </c>
      <c r="L27" s="97">
        <v>4007.5</v>
      </c>
      <c r="N27" s="97"/>
      <c r="O27" s="97"/>
      <c r="P27" s="97"/>
      <c r="Q27" s="97"/>
      <c r="R27" s="97"/>
      <c r="S27" s="97"/>
      <c r="T27" s="97"/>
      <c r="U27" s="97"/>
      <c r="V27" s="97"/>
      <c r="W27" s="97"/>
    </row>
    <row r="28" spans="1:23" x14ac:dyDescent="0.25">
      <c r="A28" s="197" t="s">
        <v>192</v>
      </c>
      <c r="B28" s="4" t="s">
        <v>17</v>
      </c>
      <c r="C28" s="5">
        <v>721.5</v>
      </c>
      <c r="D28" s="5">
        <v>515.4</v>
      </c>
      <c r="E28" s="5">
        <v>1005.4</v>
      </c>
      <c r="F28" s="5">
        <v>364</v>
      </c>
      <c r="G28" s="5">
        <v>159.19999999999999</v>
      </c>
      <c r="H28" s="5">
        <v>62.6</v>
      </c>
      <c r="I28" s="5">
        <v>37</v>
      </c>
      <c r="J28" s="5">
        <v>169.2</v>
      </c>
      <c r="K28" s="5">
        <v>2865.1</v>
      </c>
      <c r="L28" s="5">
        <v>3034.3</v>
      </c>
      <c r="N28" s="5"/>
      <c r="O28" s="5"/>
      <c r="P28" s="5"/>
      <c r="Q28" s="5"/>
      <c r="R28" s="5"/>
      <c r="S28" s="5"/>
      <c r="T28" s="5"/>
      <c r="U28" s="5"/>
      <c r="V28" s="5"/>
      <c r="W28" s="5"/>
    </row>
    <row r="29" spans="1:23" x14ac:dyDescent="0.25">
      <c r="A29" s="197"/>
      <c r="B29" s="4" t="s">
        <v>21</v>
      </c>
      <c r="C29" s="5">
        <v>180.6</v>
      </c>
      <c r="D29" s="5">
        <v>95.3</v>
      </c>
      <c r="E29" s="5">
        <v>335.9</v>
      </c>
      <c r="F29" s="5">
        <v>89.9</v>
      </c>
      <c r="G29" s="5">
        <v>40.6</v>
      </c>
      <c r="H29" s="5">
        <v>25.4</v>
      </c>
      <c r="I29" s="5">
        <v>16.5</v>
      </c>
      <c r="J29" s="5">
        <v>25.2</v>
      </c>
      <c r="K29" s="5">
        <v>784.3</v>
      </c>
      <c r="L29" s="5">
        <v>809.5</v>
      </c>
      <c r="N29" s="5"/>
      <c r="O29" s="5"/>
      <c r="P29" s="5"/>
      <c r="Q29" s="5"/>
      <c r="R29" s="5"/>
      <c r="S29" s="5"/>
      <c r="T29" s="5"/>
      <c r="U29" s="5"/>
      <c r="V29" s="5"/>
      <c r="W29" s="5"/>
    </row>
    <row r="30" spans="1:23" x14ac:dyDescent="0.25">
      <c r="A30" s="197"/>
      <c r="B30" s="4" t="s">
        <v>20</v>
      </c>
      <c r="C30" s="5">
        <v>1.4</v>
      </c>
      <c r="D30" s="51">
        <v>0.5</v>
      </c>
      <c r="E30" s="51">
        <v>0.9</v>
      </c>
      <c r="F30" s="51" t="s">
        <v>109</v>
      </c>
      <c r="G30" s="5" t="s">
        <v>109</v>
      </c>
      <c r="H30" s="51" t="s">
        <v>109</v>
      </c>
      <c r="I30" s="51" t="s">
        <v>109</v>
      </c>
      <c r="J30" s="51" t="s">
        <v>109</v>
      </c>
      <c r="K30" s="5">
        <v>2.8</v>
      </c>
      <c r="L30" s="5">
        <v>2.8</v>
      </c>
      <c r="N30" s="5"/>
      <c r="O30" s="74"/>
      <c r="P30" s="74"/>
      <c r="Q30" s="74"/>
      <c r="R30" s="5"/>
      <c r="S30" s="74"/>
      <c r="T30" s="74"/>
      <c r="U30" s="74"/>
      <c r="V30" s="5"/>
      <c r="W30" s="5"/>
    </row>
    <row r="31" spans="1:23" x14ac:dyDescent="0.25">
      <c r="A31" s="197"/>
      <c r="B31" s="95" t="s">
        <v>11</v>
      </c>
      <c r="C31" s="97">
        <v>903.6</v>
      </c>
      <c r="D31" s="97">
        <v>611.29999999999995</v>
      </c>
      <c r="E31" s="97">
        <v>1342.1</v>
      </c>
      <c r="F31" s="97">
        <v>453.9</v>
      </c>
      <c r="G31" s="97">
        <v>199.9</v>
      </c>
      <c r="H31" s="97">
        <v>88</v>
      </c>
      <c r="I31" s="97">
        <v>53.5</v>
      </c>
      <c r="J31" s="97">
        <v>194.5</v>
      </c>
      <c r="K31" s="97">
        <v>3652.2</v>
      </c>
      <c r="L31" s="97">
        <v>3846.7</v>
      </c>
      <c r="N31" s="97"/>
      <c r="O31" s="97"/>
      <c r="P31" s="97"/>
      <c r="Q31" s="97"/>
      <c r="R31" s="97"/>
      <c r="S31" s="97"/>
      <c r="T31" s="97"/>
      <c r="U31" s="97"/>
      <c r="V31" s="97"/>
      <c r="W31" s="97"/>
    </row>
    <row r="32" spans="1:23" x14ac:dyDescent="0.25">
      <c r="A32" s="197" t="s">
        <v>193</v>
      </c>
      <c r="B32" s="4" t="s">
        <v>17</v>
      </c>
      <c r="C32" s="5">
        <v>648.4</v>
      </c>
      <c r="D32" s="5">
        <v>431.6</v>
      </c>
      <c r="E32" s="5">
        <v>970.3</v>
      </c>
      <c r="F32" s="5">
        <v>415.2</v>
      </c>
      <c r="G32" s="5">
        <v>171.6</v>
      </c>
      <c r="H32" s="5">
        <v>66.599999999999994</v>
      </c>
      <c r="I32" s="5">
        <v>39.6</v>
      </c>
      <c r="J32" s="5">
        <v>252.7</v>
      </c>
      <c r="K32" s="5">
        <v>2743.4</v>
      </c>
      <c r="L32" s="5">
        <v>2996.1</v>
      </c>
      <c r="N32" s="5"/>
      <c r="O32" s="5"/>
      <c r="P32" s="5"/>
      <c r="Q32" s="5"/>
      <c r="R32" s="5"/>
      <c r="S32" s="5"/>
      <c r="T32" s="5"/>
      <c r="U32" s="5"/>
      <c r="V32" s="5"/>
      <c r="W32" s="5"/>
    </row>
    <row r="33" spans="1:23" x14ac:dyDescent="0.25">
      <c r="A33" s="197"/>
      <c r="B33" s="4" t="s">
        <v>21</v>
      </c>
      <c r="C33" s="5">
        <v>158.69999999999999</v>
      </c>
      <c r="D33" s="5">
        <v>59</v>
      </c>
      <c r="E33" s="5">
        <v>316.3</v>
      </c>
      <c r="F33" s="5">
        <v>111.9</v>
      </c>
      <c r="G33" s="5">
        <v>55.5</v>
      </c>
      <c r="H33" s="5">
        <v>28.2</v>
      </c>
      <c r="I33" s="5">
        <v>15.7</v>
      </c>
      <c r="J33" s="5">
        <v>42.7</v>
      </c>
      <c r="K33" s="5">
        <v>745.4</v>
      </c>
      <c r="L33" s="5">
        <v>788.1</v>
      </c>
      <c r="N33" s="5"/>
      <c r="O33" s="5"/>
      <c r="P33" s="5"/>
      <c r="Q33" s="5"/>
      <c r="R33" s="5"/>
      <c r="S33" s="5"/>
      <c r="T33" s="5"/>
      <c r="U33" s="5"/>
      <c r="V33" s="5"/>
      <c r="W33" s="5"/>
    </row>
    <row r="34" spans="1:23" x14ac:dyDescent="0.25">
      <c r="A34" s="197"/>
      <c r="B34" s="4" t="s">
        <v>20</v>
      </c>
      <c r="C34" s="5">
        <v>0.8</v>
      </c>
      <c r="D34" s="5">
        <v>0.2</v>
      </c>
      <c r="E34" s="5">
        <v>1</v>
      </c>
      <c r="F34" s="51" t="s">
        <v>109</v>
      </c>
      <c r="G34" s="51">
        <v>0.2</v>
      </c>
      <c r="H34" s="51">
        <v>0.7</v>
      </c>
      <c r="I34" s="51" t="s">
        <v>109</v>
      </c>
      <c r="J34" s="51">
        <v>0.3</v>
      </c>
      <c r="K34" s="5">
        <v>2.9</v>
      </c>
      <c r="L34" s="5">
        <v>3.2</v>
      </c>
      <c r="N34" s="5"/>
      <c r="O34" s="5"/>
      <c r="P34" s="5"/>
      <c r="Q34" s="74"/>
      <c r="R34" s="74"/>
      <c r="S34" s="74"/>
      <c r="T34" s="74"/>
      <c r="U34" s="74"/>
      <c r="V34" s="5"/>
      <c r="W34" s="5"/>
    </row>
    <row r="35" spans="1:23" x14ac:dyDescent="0.25">
      <c r="A35" s="197"/>
      <c r="B35" s="95" t="s">
        <v>11</v>
      </c>
      <c r="C35" s="97">
        <v>807.9</v>
      </c>
      <c r="D35" s="97">
        <v>490.9</v>
      </c>
      <c r="E35" s="97">
        <v>1287.5999999999999</v>
      </c>
      <c r="F35" s="97">
        <v>527.1</v>
      </c>
      <c r="G35" s="97">
        <v>227.3</v>
      </c>
      <c r="H35" s="97">
        <v>95.6</v>
      </c>
      <c r="I35" s="97">
        <v>55.3</v>
      </c>
      <c r="J35" s="97">
        <v>295.7</v>
      </c>
      <c r="K35" s="97">
        <v>3491.7</v>
      </c>
      <c r="L35" s="97">
        <v>3787.4</v>
      </c>
      <c r="N35" s="97"/>
      <c r="O35" s="97"/>
      <c r="P35" s="97"/>
      <c r="Q35" s="97"/>
      <c r="R35" s="97"/>
      <c r="S35" s="97"/>
      <c r="T35" s="97"/>
      <c r="U35" s="97"/>
      <c r="V35" s="97"/>
      <c r="W35" s="97"/>
    </row>
    <row r="36" spans="1:23" x14ac:dyDescent="0.25">
      <c r="A36" s="197" t="s">
        <v>194</v>
      </c>
      <c r="B36" s="4" t="s">
        <v>17</v>
      </c>
      <c r="C36" s="5">
        <v>627.29999999999995</v>
      </c>
      <c r="D36" s="5">
        <v>367.8</v>
      </c>
      <c r="E36" s="5">
        <v>961.5</v>
      </c>
      <c r="F36" s="5">
        <v>400.5</v>
      </c>
      <c r="G36" s="5">
        <v>189.4</v>
      </c>
      <c r="H36" s="5">
        <v>78.3</v>
      </c>
      <c r="I36" s="5">
        <v>49.7</v>
      </c>
      <c r="J36" s="5" t="s">
        <v>114</v>
      </c>
      <c r="K36" s="5">
        <v>2674.5</v>
      </c>
      <c r="L36" s="5" t="s">
        <v>114</v>
      </c>
      <c r="N36" s="5"/>
      <c r="O36" s="5"/>
      <c r="P36" s="5"/>
      <c r="Q36" s="5"/>
      <c r="R36" s="5"/>
      <c r="S36" s="5"/>
      <c r="T36" s="5"/>
      <c r="U36" s="5"/>
      <c r="V36" s="5"/>
      <c r="W36" s="5"/>
    </row>
    <row r="37" spans="1:23" x14ac:dyDescent="0.25">
      <c r="A37" s="197"/>
      <c r="B37" s="4" t="s">
        <v>21</v>
      </c>
      <c r="C37" s="5">
        <v>168.4</v>
      </c>
      <c r="D37" s="5">
        <v>55.8</v>
      </c>
      <c r="E37" s="5">
        <v>320.39999999999998</v>
      </c>
      <c r="F37" s="5">
        <v>114.9</v>
      </c>
      <c r="G37" s="5">
        <v>73.099999999999994</v>
      </c>
      <c r="H37" s="5">
        <v>28.6</v>
      </c>
      <c r="I37" s="5">
        <v>22.5</v>
      </c>
      <c r="J37" s="5" t="s">
        <v>114</v>
      </c>
      <c r="K37" s="5">
        <v>783.7</v>
      </c>
      <c r="L37" s="5" t="s">
        <v>114</v>
      </c>
      <c r="N37" s="5"/>
      <c r="O37" s="5"/>
      <c r="P37" s="5"/>
      <c r="Q37" s="5"/>
      <c r="R37" s="5"/>
      <c r="S37" s="5"/>
      <c r="T37" s="5"/>
      <c r="U37" s="5"/>
      <c r="V37" s="5"/>
      <c r="W37" s="5"/>
    </row>
    <row r="38" spans="1:23" x14ac:dyDescent="0.25">
      <c r="A38" s="197"/>
      <c r="B38" s="4" t="s">
        <v>20</v>
      </c>
      <c r="C38" s="5">
        <v>1.1000000000000001</v>
      </c>
      <c r="D38" s="5" t="s">
        <v>109</v>
      </c>
      <c r="E38" s="5">
        <v>0.5</v>
      </c>
      <c r="F38" s="51" t="s">
        <v>109</v>
      </c>
      <c r="G38" s="5" t="s">
        <v>109</v>
      </c>
      <c r="H38" s="5">
        <v>0.2</v>
      </c>
      <c r="I38" s="51" t="s">
        <v>109</v>
      </c>
      <c r="J38" s="51" t="s">
        <v>114</v>
      </c>
      <c r="K38" s="5">
        <v>1.8</v>
      </c>
      <c r="L38" s="5" t="s">
        <v>114</v>
      </c>
      <c r="N38" s="5"/>
      <c r="O38" s="5"/>
      <c r="P38" s="5"/>
      <c r="Q38" s="74"/>
      <c r="R38" s="5"/>
      <c r="S38" s="5"/>
      <c r="T38" s="74"/>
      <c r="U38" s="74"/>
      <c r="V38" s="5"/>
      <c r="W38" s="5"/>
    </row>
    <row r="39" spans="1:23" x14ac:dyDescent="0.25">
      <c r="A39" s="197"/>
      <c r="B39" s="95" t="s">
        <v>11</v>
      </c>
      <c r="C39" s="97">
        <v>796.8</v>
      </c>
      <c r="D39" s="97">
        <v>423.6</v>
      </c>
      <c r="E39" s="97">
        <v>1282.4000000000001</v>
      </c>
      <c r="F39" s="97">
        <v>515.29999999999995</v>
      </c>
      <c r="G39" s="97">
        <v>262.60000000000002</v>
      </c>
      <c r="H39" s="97">
        <v>107.1</v>
      </c>
      <c r="I39" s="97">
        <v>72.099999999999994</v>
      </c>
      <c r="J39" s="97" t="s">
        <v>114</v>
      </c>
      <c r="K39" s="97">
        <v>3460</v>
      </c>
      <c r="L39" s="97" t="s">
        <v>114</v>
      </c>
      <c r="N39" s="97"/>
      <c r="O39" s="97"/>
      <c r="P39" s="97"/>
      <c r="Q39" s="97"/>
      <c r="R39" s="97"/>
      <c r="S39" s="97"/>
      <c r="T39" s="97"/>
      <c r="U39" s="97"/>
      <c r="V39" s="97"/>
      <c r="W39" s="97"/>
    </row>
    <row r="40" spans="1:23" x14ac:dyDescent="0.25">
      <c r="A40" s="197" t="s">
        <v>284</v>
      </c>
      <c r="B40" s="4" t="s">
        <v>17</v>
      </c>
      <c r="C40" s="5">
        <v>633.9</v>
      </c>
      <c r="D40" s="5">
        <v>372.2</v>
      </c>
      <c r="E40" s="5">
        <v>938.7</v>
      </c>
      <c r="F40" s="5">
        <v>354.7</v>
      </c>
      <c r="G40" s="5">
        <v>150.6</v>
      </c>
      <c r="H40" s="5">
        <v>101.7</v>
      </c>
      <c r="I40" s="5">
        <v>50.2</v>
      </c>
      <c r="J40" s="5" t="s">
        <v>114</v>
      </c>
      <c r="K40" s="5">
        <v>2602.1</v>
      </c>
      <c r="L40" s="5" t="s">
        <v>114</v>
      </c>
      <c r="N40" s="5"/>
      <c r="O40" s="5"/>
      <c r="P40" s="5"/>
      <c r="Q40" s="5"/>
      <c r="R40" s="5"/>
      <c r="S40" s="5"/>
      <c r="T40" s="5"/>
      <c r="U40" s="5"/>
      <c r="V40" s="5"/>
      <c r="W40" s="5"/>
    </row>
    <row r="41" spans="1:23" x14ac:dyDescent="0.25">
      <c r="A41" s="197"/>
      <c r="B41" s="4" t="s">
        <v>21</v>
      </c>
      <c r="C41" s="5">
        <v>173.8</v>
      </c>
      <c r="D41" s="5">
        <v>47.1</v>
      </c>
      <c r="E41" s="5">
        <v>323.89999999999998</v>
      </c>
      <c r="F41" s="5">
        <v>90.2</v>
      </c>
      <c r="G41" s="5">
        <v>52.3</v>
      </c>
      <c r="H41" s="5">
        <v>43.5</v>
      </c>
      <c r="I41" s="5">
        <v>20.7</v>
      </c>
      <c r="J41" s="5" t="s">
        <v>114</v>
      </c>
      <c r="K41" s="5">
        <v>751.5</v>
      </c>
      <c r="L41" s="5" t="s">
        <v>114</v>
      </c>
      <c r="N41" s="5"/>
      <c r="O41" s="5"/>
      <c r="P41" s="5"/>
      <c r="Q41" s="5"/>
      <c r="R41" s="5"/>
      <c r="S41" s="5"/>
      <c r="T41" s="5"/>
      <c r="U41" s="5"/>
      <c r="V41" s="5"/>
      <c r="W41" s="5"/>
    </row>
    <row r="42" spans="1:23" x14ac:dyDescent="0.25">
      <c r="A42" s="197"/>
      <c r="B42" s="4" t="s">
        <v>20</v>
      </c>
      <c r="C42" s="5">
        <v>1.1000000000000001</v>
      </c>
      <c r="D42" s="51" t="s">
        <v>109</v>
      </c>
      <c r="E42" s="5">
        <v>1.2</v>
      </c>
      <c r="F42" s="51" t="s">
        <v>109</v>
      </c>
      <c r="G42" s="51">
        <v>0.5</v>
      </c>
      <c r="H42" s="5">
        <v>2</v>
      </c>
      <c r="I42" s="51" t="s">
        <v>109</v>
      </c>
      <c r="J42" s="51" t="s">
        <v>114</v>
      </c>
      <c r="K42" s="5">
        <v>4.8</v>
      </c>
      <c r="L42" s="5" t="s">
        <v>114</v>
      </c>
      <c r="N42" s="5"/>
      <c r="O42" s="74"/>
      <c r="P42" s="5"/>
      <c r="Q42" s="74"/>
      <c r="R42" s="74"/>
      <c r="S42" s="5"/>
      <c r="T42" s="74"/>
      <c r="U42" s="74"/>
      <c r="V42" s="5"/>
      <c r="W42" s="5"/>
    </row>
    <row r="43" spans="1:23" x14ac:dyDescent="0.25">
      <c r="A43" s="197"/>
      <c r="B43" s="95" t="s">
        <v>11</v>
      </c>
      <c r="C43" s="97">
        <v>808.9</v>
      </c>
      <c r="D43" s="97">
        <v>419.4</v>
      </c>
      <c r="E43" s="97">
        <v>1263.8</v>
      </c>
      <c r="F43" s="97">
        <v>444.9</v>
      </c>
      <c r="G43" s="97">
        <v>203.4</v>
      </c>
      <c r="H43" s="97">
        <v>147.19999999999999</v>
      </c>
      <c r="I43" s="97">
        <v>70.900000000000006</v>
      </c>
      <c r="J43" s="97" t="s">
        <v>114</v>
      </c>
      <c r="K43" s="97">
        <v>3358.4</v>
      </c>
      <c r="L43" s="97" t="s">
        <v>114</v>
      </c>
      <c r="N43" s="97"/>
      <c r="O43" s="97"/>
      <c r="P43" s="97"/>
      <c r="Q43" s="97"/>
      <c r="R43" s="97"/>
      <c r="S43" s="97"/>
      <c r="T43" s="97"/>
      <c r="U43" s="97"/>
      <c r="V43" s="97"/>
      <c r="W43" s="97"/>
    </row>
    <row r="44" spans="1:23" ht="1.5" customHeight="1" x14ac:dyDescent="0.25">
      <c r="A44" s="2"/>
      <c r="C44" s="1" t="s">
        <v>189</v>
      </c>
      <c r="D44" s="1" t="s">
        <v>189</v>
      </c>
      <c r="E44" s="1" t="s">
        <v>189</v>
      </c>
      <c r="F44" s="1" t="s">
        <v>189</v>
      </c>
      <c r="G44" s="1" t="s">
        <v>189</v>
      </c>
      <c r="H44" s="18" t="s">
        <v>189</v>
      </c>
      <c r="I44" s="18" t="s">
        <v>189</v>
      </c>
      <c r="J44" s="1" t="s">
        <v>189</v>
      </c>
      <c r="K44" s="1" t="s">
        <v>189</v>
      </c>
      <c r="L44" s="1" t="s">
        <v>189</v>
      </c>
      <c r="N44" s="1" t="str">
        <f t="shared" ref="N44" si="0">IF(C44&lt;0.05,"-",C44)</f>
        <v>-</v>
      </c>
      <c r="O44" s="1" t="str">
        <f t="shared" ref="O44" si="1">IF(D44&lt;0.05,"-",D44)</f>
        <v>-</v>
      </c>
      <c r="P44" s="1" t="str">
        <f t="shared" ref="P44" si="2">IF(E44&lt;0.05,"-",E44)</f>
        <v>-</v>
      </c>
      <c r="Q44" s="1" t="str">
        <f t="shared" ref="Q44" si="3">IF(F44&lt;0.05,"-",F44)</f>
        <v>-</v>
      </c>
      <c r="R44" s="1" t="str">
        <f t="shared" ref="R44" si="4">IF(G44&lt;0.05,"-",G44)</f>
        <v>-</v>
      </c>
      <c r="S44" s="1" t="str">
        <f t="shared" ref="S44" si="5">IF(H44&lt;0.05,"-",H44)</f>
        <v>-</v>
      </c>
      <c r="T44" s="1" t="str">
        <f t="shared" ref="T44" si="6">IF(I44&lt;0.05,"-",I44)</f>
        <v>-</v>
      </c>
      <c r="U44" s="1" t="str">
        <f t="shared" ref="U44" si="7">IF(J44&lt;0.05,"-",J44)</f>
        <v>-</v>
      </c>
      <c r="V44" s="1" t="str">
        <f t="shared" ref="V44" si="8">IF(K44&lt;0.05,"-",K44)</f>
        <v>-</v>
      </c>
      <c r="W44" s="1" t="str">
        <f t="shared" ref="W44" si="9">IF(L44&lt;0.05,"-",L44)</f>
        <v>-</v>
      </c>
    </row>
    <row r="45" spans="1:23" ht="11.1" customHeight="1" x14ac:dyDescent="0.25">
      <c r="A45" s="184" t="s">
        <v>12</v>
      </c>
      <c r="B45" s="184"/>
      <c r="C45" s="184"/>
      <c r="D45" s="184"/>
      <c r="E45" s="184"/>
      <c r="F45" s="184"/>
      <c r="G45" s="184"/>
      <c r="H45" s="184"/>
      <c r="I45" s="184"/>
      <c r="J45" s="184"/>
      <c r="K45" s="190"/>
      <c r="L45" s="184"/>
    </row>
    <row r="46" spans="1:23" s="6" customFormat="1" ht="11.1" customHeight="1" x14ac:dyDescent="0.15">
      <c r="A46" s="6" t="s">
        <v>13</v>
      </c>
      <c r="H46" s="69"/>
      <c r="I46" s="69"/>
    </row>
    <row r="47" spans="1:23" s="12" customFormat="1" ht="11.1" customHeight="1" x14ac:dyDescent="0.2">
      <c r="A47" s="39" t="s">
        <v>188</v>
      </c>
      <c r="H47" s="70"/>
      <c r="I47" s="70"/>
    </row>
    <row r="48" spans="1:23" s="6" customFormat="1" ht="11.1" customHeight="1" x14ac:dyDescent="0.15">
      <c r="A48" s="6" t="s">
        <v>41</v>
      </c>
      <c r="H48" s="69"/>
      <c r="I48" s="69"/>
    </row>
    <row r="49" spans="1:23" s="6" customFormat="1" ht="11.1" customHeight="1" x14ac:dyDescent="0.15">
      <c r="A49" s="6" t="s">
        <v>297</v>
      </c>
      <c r="H49" s="69"/>
      <c r="I49" s="69"/>
    </row>
    <row r="50" spans="1:23" s="6" customFormat="1" ht="11.1" customHeight="1" x14ac:dyDescent="0.15">
      <c r="H50" s="69"/>
      <c r="I50" s="69"/>
    </row>
    <row r="51" spans="1:23" s="6" customFormat="1" ht="11.1" customHeight="1" x14ac:dyDescent="0.15">
      <c r="A51" s="6" t="s">
        <v>263</v>
      </c>
      <c r="H51" s="69"/>
      <c r="I51" s="69"/>
    </row>
    <row r="52" spans="1:23" ht="12" customHeight="1" x14ac:dyDescent="0.25">
      <c r="A52" s="2"/>
    </row>
    <row r="53" spans="1:23" ht="27.95" customHeight="1" x14ac:dyDescent="0.25">
      <c r="A53" s="185" t="s">
        <v>299</v>
      </c>
      <c r="B53" s="185"/>
      <c r="C53" s="185"/>
      <c r="D53" s="185"/>
      <c r="E53" s="185"/>
      <c r="F53" s="185"/>
      <c r="G53" s="185"/>
      <c r="H53" s="185"/>
      <c r="I53" s="185"/>
      <c r="J53" s="185"/>
      <c r="K53" s="185"/>
      <c r="L53" s="185"/>
    </row>
    <row r="54" spans="1:23" ht="2.25" customHeight="1" x14ac:dyDescent="0.25">
      <c r="A54" s="2"/>
    </row>
    <row r="55" spans="1:23" x14ac:dyDescent="0.25">
      <c r="A55" s="44" t="s">
        <v>122</v>
      </c>
      <c r="B55" s="44" t="s">
        <v>119</v>
      </c>
      <c r="C55" s="3" t="s">
        <v>0</v>
      </c>
      <c r="D55" s="3" t="s">
        <v>1</v>
      </c>
      <c r="E55" s="3" t="s">
        <v>2</v>
      </c>
      <c r="F55" s="3" t="s">
        <v>3</v>
      </c>
      <c r="G55" s="3" t="s">
        <v>4</v>
      </c>
      <c r="H55" s="68" t="s">
        <v>5</v>
      </c>
      <c r="I55" s="68" t="s">
        <v>6</v>
      </c>
      <c r="J55" s="3" t="s">
        <v>7</v>
      </c>
      <c r="K55" s="3" t="s">
        <v>8</v>
      </c>
    </row>
    <row r="56" spans="1:23" x14ac:dyDescent="0.25">
      <c r="A56" s="197" t="s">
        <v>195</v>
      </c>
      <c r="B56" s="4" t="s">
        <v>17</v>
      </c>
      <c r="C56" s="8">
        <v>1953</v>
      </c>
      <c r="D56" s="8">
        <v>1647</v>
      </c>
      <c r="E56" s="8">
        <v>1968</v>
      </c>
      <c r="F56" s="8">
        <v>1341</v>
      </c>
      <c r="G56" s="8">
        <v>484</v>
      </c>
      <c r="H56" s="8" t="s">
        <v>116</v>
      </c>
      <c r="I56" s="8" t="s">
        <v>116</v>
      </c>
      <c r="J56" s="8">
        <v>294</v>
      </c>
      <c r="K56" s="8">
        <v>7988</v>
      </c>
      <c r="M56" s="8"/>
      <c r="N56" s="8"/>
      <c r="O56" s="8"/>
      <c r="P56" s="8"/>
      <c r="Q56" s="8"/>
      <c r="R56" s="8"/>
      <c r="S56" s="8"/>
      <c r="T56" s="8"/>
      <c r="U56" s="8"/>
      <c r="W56" s="120"/>
    </row>
    <row r="57" spans="1:23" x14ac:dyDescent="0.25">
      <c r="A57" s="197"/>
      <c r="B57" s="4" t="s">
        <v>21</v>
      </c>
      <c r="C57" s="8">
        <v>469</v>
      </c>
      <c r="D57" s="8">
        <v>343</v>
      </c>
      <c r="E57" s="8">
        <v>614</v>
      </c>
      <c r="F57" s="8">
        <v>271</v>
      </c>
      <c r="G57" s="8">
        <v>107</v>
      </c>
      <c r="H57" s="8" t="s">
        <v>116</v>
      </c>
      <c r="I57" s="8" t="s">
        <v>116</v>
      </c>
      <c r="J57" s="8">
        <v>68</v>
      </c>
      <c r="K57" s="8">
        <v>1945</v>
      </c>
      <c r="M57" s="8"/>
      <c r="N57" s="8"/>
      <c r="O57" s="8"/>
      <c r="P57" s="8"/>
      <c r="Q57" s="8"/>
      <c r="R57" s="8"/>
      <c r="S57" s="8"/>
      <c r="T57" s="8"/>
      <c r="U57" s="8"/>
    </row>
    <row r="58" spans="1:23" x14ac:dyDescent="0.25">
      <c r="A58" s="197"/>
      <c r="B58" s="4" t="s">
        <v>20</v>
      </c>
      <c r="C58" s="67" t="s">
        <v>109</v>
      </c>
      <c r="D58" s="67" t="s">
        <v>109</v>
      </c>
      <c r="E58" s="8">
        <v>1</v>
      </c>
      <c r="F58" s="8">
        <v>1</v>
      </c>
      <c r="G58" s="67" t="s">
        <v>109</v>
      </c>
      <c r="H58" s="67" t="s">
        <v>109</v>
      </c>
      <c r="I58" s="67" t="s">
        <v>109</v>
      </c>
      <c r="J58" s="67" t="s">
        <v>109</v>
      </c>
      <c r="K58" s="8">
        <v>2</v>
      </c>
      <c r="M58" s="37"/>
      <c r="N58" s="37"/>
      <c r="O58" s="8"/>
      <c r="P58" s="8"/>
      <c r="Q58" s="37"/>
      <c r="R58" s="37"/>
      <c r="S58" s="37"/>
      <c r="T58" s="37"/>
      <c r="U58" s="8"/>
    </row>
    <row r="59" spans="1:23" x14ac:dyDescent="0.25">
      <c r="A59" s="197"/>
      <c r="B59" s="9" t="s">
        <v>11</v>
      </c>
      <c r="C59" s="94">
        <v>2422</v>
      </c>
      <c r="D59" s="94">
        <v>1990</v>
      </c>
      <c r="E59" s="94">
        <v>2583</v>
      </c>
      <c r="F59" s="94">
        <v>1613</v>
      </c>
      <c r="G59" s="94">
        <v>591</v>
      </c>
      <c r="H59" s="94">
        <v>231</v>
      </c>
      <c r="I59" s="94">
        <v>143</v>
      </c>
      <c r="J59" s="94">
        <v>362</v>
      </c>
      <c r="K59" s="94">
        <v>9935</v>
      </c>
      <c r="M59" s="94"/>
      <c r="N59" s="94"/>
      <c r="O59" s="94"/>
      <c r="P59" s="94"/>
      <c r="Q59" s="94"/>
      <c r="R59" s="94"/>
      <c r="S59" s="94"/>
      <c r="T59" s="94"/>
      <c r="U59" s="94"/>
    </row>
    <row r="60" spans="1:23" x14ac:dyDescent="0.25">
      <c r="A60" s="197" t="s">
        <v>196</v>
      </c>
      <c r="B60" s="4" t="s">
        <v>17</v>
      </c>
      <c r="C60" s="8">
        <v>1791</v>
      </c>
      <c r="D60" s="8">
        <v>1554</v>
      </c>
      <c r="E60" s="8">
        <v>1851</v>
      </c>
      <c r="F60" s="8">
        <v>1298</v>
      </c>
      <c r="G60" s="8">
        <v>466</v>
      </c>
      <c r="H60" s="8" t="s">
        <v>116</v>
      </c>
      <c r="I60" s="8" t="s">
        <v>116</v>
      </c>
      <c r="J60" s="8">
        <v>298</v>
      </c>
      <c r="K60" s="8">
        <v>7550</v>
      </c>
      <c r="M60" s="8"/>
      <c r="N60" s="8"/>
      <c r="O60" s="8"/>
      <c r="P60" s="8"/>
      <c r="Q60" s="8"/>
      <c r="R60" s="8"/>
      <c r="S60" s="8"/>
      <c r="T60" s="8"/>
      <c r="U60" s="8"/>
    </row>
    <row r="61" spans="1:23" x14ac:dyDescent="0.25">
      <c r="A61" s="197"/>
      <c r="B61" s="4" t="s">
        <v>21</v>
      </c>
      <c r="C61" s="8">
        <v>454</v>
      </c>
      <c r="D61" s="8">
        <v>300</v>
      </c>
      <c r="E61" s="8">
        <v>602</v>
      </c>
      <c r="F61" s="8">
        <v>277</v>
      </c>
      <c r="G61" s="8">
        <v>114</v>
      </c>
      <c r="H61" s="8" t="s">
        <v>116</v>
      </c>
      <c r="I61" s="8" t="s">
        <v>116</v>
      </c>
      <c r="J61" s="8">
        <v>62</v>
      </c>
      <c r="K61" s="8">
        <v>1889</v>
      </c>
      <c r="M61" s="8"/>
      <c r="N61" s="8"/>
      <c r="O61" s="8"/>
      <c r="P61" s="8"/>
      <c r="Q61" s="8"/>
      <c r="R61" s="8"/>
      <c r="S61" s="8"/>
      <c r="T61" s="8"/>
      <c r="U61" s="8"/>
    </row>
    <row r="62" spans="1:23" x14ac:dyDescent="0.25">
      <c r="A62" s="197"/>
      <c r="B62" s="4" t="s">
        <v>20</v>
      </c>
      <c r="C62" s="67" t="s">
        <v>109</v>
      </c>
      <c r="D62" s="67" t="s">
        <v>109</v>
      </c>
      <c r="E62" s="67">
        <v>1</v>
      </c>
      <c r="F62" s="8" t="s">
        <v>109</v>
      </c>
      <c r="G62" s="67" t="s">
        <v>109</v>
      </c>
      <c r="H62" s="67" t="s">
        <v>109</v>
      </c>
      <c r="I62" s="67" t="s">
        <v>109</v>
      </c>
      <c r="J62" s="67" t="s">
        <v>109</v>
      </c>
      <c r="K62" s="8">
        <v>1</v>
      </c>
      <c r="M62" s="37"/>
      <c r="N62" s="37"/>
      <c r="O62" s="37"/>
      <c r="P62" s="8"/>
      <c r="Q62" s="37"/>
      <c r="R62" s="37"/>
      <c r="S62" s="37"/>
      <c r="T62" s="37"/>
      <c r="U62" s="8"/>
    </row>
    <row r="63" spans="1:23" x14ac:dyDescent="0.25">
      <c r="A63" s="197"/>
      <c r="B63" s="9" t="s">
        <v>11</v>
      </c>
      <c r="C63" s="94">
        <v>2245</v>
      </c>
      <c r="D63" s="94">
        <v>1854</v>
      </c>
      <c r="E63" s="94">
        <v>2454</v>
      </c>
      <c r="F63" s="94">
        <v>1575</v>
      </c>
      <c r="G63" s="94">
        <v>580</v>
      </c>
      <c r="H63" s="94">
        <v>231</v>
      </c>
      <c r="I63" s="94">
        <v>141</v>
      </c>
      <c r="J63" s="94">
        <v>360</v>
      </c>
      <c r="K63" s="94">
        <v>9440</v>
      </c>
      <c r="M63" s="94"/>
      <c r="N63" s="94"/>
      <c r="O63" s="94"/>
      <c r="P63" s="94"/>
      <c r="Q63" s="94"/>
      <c r="R63" s="94"/>
      <c r="S63" s="94"/>
      <c r="T63" s="94"/>
      <c r="U63" s="94"/>
    </row>
    <row r="64" spans="1:23" x14ac:dyDescent="0.25">
      <c r="A64" s="197" t="s">
        <v>197</v>
      </c>
      <c r="B64" s="4" t="s">
        <v>17</v>
      </c>
      <c r="C64" s="8">
        <v>1742</v>
      </c>
      <c r="D64" s="8">
        <v>1485</v>
      </c>
      <c r="E64" s="8">
        <v>2054</v>
      </c>
      <c r="F64" s="8">
        <v>1293</v>
      </c>
      <c r="G64" s="8">
        <v>422</v>
      </c>
      <c r="H64" s="8" t="s">
        <v>116</v>
      </c>
      <c r="I64" s="8" t="s">
        <v>116</v>
      </c>
      <c r="J64" s="8">
        <v>285</v>
      </c>
      <c r="K64" s="8">
        <v>7574</v>
      </c>
      <c r="M64" s="8"/>
      <c r="N64" s="8"/>
      <c r="O64" s="8"/>
      <c r="P64" s="8"/>
      <c r="Q64" s="8"/>
      <c r="R64" s="8"/>
      <c r="S64" s="8"/>
      <c r="T64" s="8"/>
      <c r="U64" s="8"/>
    </row>
    <row r="65" spans="1:21" x14ac:dyDescent="0.25">
      <c r="A65" s="197"/>
      <c r="B65" s="4" t="s">
        <v>21</v>
      </c>
      <c r="C65" s="8">
        <v>481</v>
      </c>
      <c r="D65" s="8">
        <v>277</v>
      </c>
      <c r="E65" s="8">
        <v>657</v>
      </c>
      <c r="F65" s="8">
        <v>282</v>
      </c>
      <c r="G65" s="8">
        <v>98</v>
      </c>
      <c r="H65" s="8" t="s">
        <v>116</v>
      </c>
      <c r="I65" s="8" t="s">
        <v>116</v>
      </c>
      <c r="J65" s="8">
        <v>43</v>
      </c>
      <c r="K65" s="8">
        <v>1934</v>
      </c>
      <c r="M65" s="8"/>
      <c r="N65" s="8"/>
      <c r="O65" s="8"/>
      <c r="P65" s="8"/>
      <c r="Q65" s="8"/>
      <c r="R65" s="8"/>
      <c r="S65" s="8"/>
      <c r="T65" s="8"/>
      <c r="U65" s="8"/>
    </row>
    <row r="66" spans="1:21" x14ac:dyDescent="0.25">
      <c r="A66" s="197"/>
      <c r="B66" s="4" t="s">
        <v>20</v>
      </c>
      <c r="C66" s="67" t="s">
        <v>109</v>
      </c>
      <c r="D66" s="67" t="s">
        <v>109</v>
      </c>
      <c r="E66" s="67">
        <v>2</v>
      </c>
      <c r="F66" s="67" t="s">
        <v>109</v>
      </c>
      <c r="G66" s="67" t="s">
        <v>109</v>
      </c>
      <c r="H66" s="67" t="s">
        <v>109</v>
      </c>
      <c r="I66" s="67" t="s">
        <v>109</v>
      </c>
      <c r="J66" s="67" t="s">
        <v>109</v>
      </c>
      <c r="K66" s="67">
        <v>2</v>
      </c>
      <c r="M66" s="37"/>
      <c r="N66" s="37"/>
      <c r="O66" s="37"/>
      <c r="P66" s="37"/>
      <c r="Q66" s="37"/>
      <c r="R66" s="37"/>
      <c r="S66" s="37"/>
      <c r="T66" s="37"/>
      <c r="U66" s="37"/>
    </row>
    <row r="67" spans="1:21" x14ac:dyDescent="0.25">
      <c r="A67" s="197"/>
      <c r="B67" s="9" t="s">
        <v>11</v>
      </c>
      <c r="C67" s="94">
        <v>2223</v>
      </c>
      <c r="D67" s="94">
        <v>1762</v>
      </c>
      <c r="E67" s="94">
        <v>2713</v>
      </c>
      <c r="F67" s="94">
        <v>1575</v>
      </c>
      <c r="G67" s="94">
        <v>520</v>
      </c>
      <c r="H67" s="94">
        <v>232</v>
      </c>
      <c r="I67" s="94">
        <v>157</v>
      </c>
      <c r="J67" s="94">
        <v>328</v>
      </c>
      <c r="K67" s="94">
        <v>9510</v>
      </c>
      <c r="M67" s="94"/>
      <c r="N67" s="94"/>
      <c r="O67" s="94"/>
      <c r="P67" s="94"/>
      <c r="Q67" s="94"/>
      <c r="R67" s="94"/>
      <c r="S67" s="94"/>
      <c r="T67" s="94"/>
      <c r="U67" s="94"/>
    </row>
    <row r="68" spans="1:21" x14ac:dyDescent="0.25">
      <c r="A68" s="197" t="s">
        <v>198</v>
      </c>
      <c r="B68" s="4" t="s">
        <v>17</v>
      </c>
      <c r="C68" s="8">
        <v>1730</v>
      </c>
      <c r="D68" s="8">
        <v>1368</v>
      </c>
      <c r="E68" s="8">
        <v>2294</v>
      </c>
      <c r="F68" s="8">
        <v>1243</v>
      </c>
      <c r="G68" s="8">
        <v>381</v>
      </c>
      <c r="H68" s="8">
        <v>182</v>
      </c>
      <c r="I68" s="8">
        <v>120</v>
      </c>
      <c r="J68" s="8">
        <v>316</v>
      </c>
      <c r="K68" s="8">
        <v>7634</v>
      </c>
      <c r="M68" s="8"/>
      <c r="N68" s="8"/>
      <c r="O68" s="8"/>
      <c r="P68" s="8"/>
      <c r="Q68" s="8"/>
      <c r="R68" s="8"/>
      <c r="S68" s="8"/>
      <c r="T68" s="8"/>
      <c r="U68" s="8"/>
    </row>
    <row r="69" spans="1:21" x14ac:dyDescent="0.25">
      <c r="A69" s="197"/>
      <c r="B69" s="4" t="s">
        <v>21</v>
      </c>
      <c r="C69" s="8">
        <v>515</v>
      </c>
      <c r="D69" s="8">
        <v>289</v>
      </c>
      <c r="E69" s="8">
        <v>752</v>
      </c>
      <c r="F69" s="8">
        <v>317</v>
      </c>
      <c r="G69" s="8">
        <v>82</v>
      </c>
      <c r="H69" s="8">
        <v>62</v>
      </c>
      <c r="I69" s="8">
        <v>40</v>
      </c>
      <c r="J69" s="8">
        <v>48</v>
      </c>
      <c r="K69" s="8">
        <v>2105</v>
      </c>
      <c r="M69" s="8"/>
      <c r="N69" s="8"/>
      <c r="O69" s="8"/>
      <c r="P69" s="8"/>
      <c r="Q69" s="8"/>
      <c r="R69" s="8"/>
      <c r="S69" s="8"/>
      <c r="T69" s="8"/>
      <c r="U69" s="8"/>
    </row>
    <row r="70" spans="1:21" x14ac:dyDescent="0.25">
      <c r="A70" s="197"/>
      <c r="B70" s="4" t="s">
        <v>20</v>
      </c>
      <c r="C70" s="67" t="s">
        <v>109</v>
      </c>
      <c r="D70" s="67">
        <v>1</v>
      </c>
      <c r="E70" s="8">
        <v>2</v>
      </c>
      <c r="F70" s="67">
        <v>1</v>
      </c>
      <c r="G70" s="67" t="s">
        <v>109</v>
      </c>
      <c r="H70" s="67" t="s">
        <v>109</v>
      </c>
      <c r="I70" s="67" t="s">
        <v>109</v>
      </c>
      <c r="J70" s="67" t="s">
        <v>109</v>
      </c>
      <c r="K70" s="8">
        <v>4</v>
      </c>
      <c r="M70" s="37"/>
      <c r="N70" s="37"/>
      <c r="O70" s="8"/>
      <c r="P70" s="37"/>
      <c r="Q70" s="37"/>
      <c r="R70" s="37"/>
      <c r="S70" s="37"/>
      <c r="T70" s="37"/>
      <c r="U70" s="8"/>
    </row>
    <row r="71" spans="1:21" x14ac:dyDescent="0.25">
      <c r="A71" s="197"/>
      <c r="B71" s="9" t="s">
        <v>11</v>
      </c>
      <c r="C71" s="94">
        <v>2245</v>
      </c>
      <c r="D71" s="94">
        <v>1658</v>
      </c>
      <c r="E71" s="94">
        <v>3048</v>
      </c>
      <c r="F71" s="94">
        <v>1561</v>
      </c>
      <c r="G71" s="94">
        <v>463</v>
      </c>
      <c r="H71" s="94">
        <v>244</v>
      </c>
      <c r="I71" s="94">
        <v>160</v>
      </c>
      <c r="J71" s="94">
        <v>364</v>
      </c>
      <c r="K71" s="94">
        <v>9743</v>
      </c>
      <c r="M71" s="94"/>
      <c r="N71" s="94"/>
      <c r="O71" s="94"/>
      <c r="P71" s="94"/>
      <c r="Q71" s="94"/>
      <c r="R71" s="94"/>
      <c r="S71" s="94"/>
      <c r="T71" s="94"/>
      <c r="U71" s="94"/>
    </row>
    <row r="72" spans="1:21" x14ac:dyDescent="0.25">
      <c r="A72" s="197" t="s">
        <v>190</v>
      </c>
      <c r="B72" s="4" t="s">
        <v>17</v>
      </c>
      <c r="C72" s="8">
        <v>1669</v>
      </c>
      <c r="D72" s="8">
        <v>1335</v>
      </c>
      <c r="E72" s="8">
        <v>2052</v>
      </c>
      <c r="F72" s="8">
        <v>1116</v>
      </c>
      <c r="G72" s="8">
        <v>376</v>
      </c>
      <c r="H72" s="8" t="s">
        <v>116</v>
      </c>
      <c r="I72" s="8" t="s">
        <v>116</v>
      </c>
      <c r="J72" s="8">
        <v>315</v>
      </c>
      <c r="K72" s="8">
        <v>7130</v>
      </c>
      <c r="M72" s="8"/>
      <c r="N72" s="8"/>
      <c r="O72" s="8"/>
      <c r="P72" s="8"/>
      <c r="Q72" s="8"/>
      <c r="R72" s="8"/>
      <c r="S72" s="8"/>
      <c r="T72" s="8"/>
      <c r="U72" s="8"/>
    </row>
    <row r="73" spans="1:21" x14ac:dyDescent="0.25">
      <c r="A73" s="197"/>
      <c r="B73" s="4" t="s">
        <v>21</v>
      </c>
      <c r="C73" s="8">
        <v>484</v>
      </c>
      <c r="D73" s="8">
        <v>291</v>
      </c>
      <c r="E73" s="8">
        <v>695</v>
      </c>
      <c r="F73" s="8">
        <v>284</v>
      </c>
      <c r="G73" s="8">
        <v>80</v>
      </c>
      <c r="H73" s="8" t="s">
        <v>116</v>
      </c>
      <c r="I73" s="8" t="s">
        <v>116</v>
      </c>
      <c r="J73" s="8">
        <v>43</v>
      </c>
      <c r="K73" s="8">
        <v>1973</v>
      </c>
      <c r="M73" s="8"/>
      <c r="N73" s="8"/>
      <c r="O73" s="8"/>
      <c r="P73" s="8"/>
      <c r="Q73" s="8"/>
      <c r="R73" s="8"/>
      <c r="S73" s="8"/>
      <c r="T73" s="8"/>
      <c r="U73" s="8"/>
    </row>
    <row r="74" spans="1:21" x14ac:dyDescent="0.25">
      <c r="A74" s="197"/>
      <c r="B74" s="4" t="s">
        <v>20</v>
      </c>
      <c r="C74" s="67">
        <v>1</v>
      </c>
      <c r="D74" s="8">
        <v>1</v>
      </c>
      <c r="E74" s="8">
        <v>1</v>
      </c>
      <c r="F74" s="8">
        <v>1</v>
      </c>
      <c r="G74" s="67" t="s">
        <v>109</v>
      </c>
      <c r="H74" s="67" t="s">
        <v>109</v>
      </c>
      <c r="I74" s="67" t="s">
        <v>109</v>
      </c>
      <c r="J74" s="67" t="s">
        <v>109</v>
      </c>
      <c r="K74" s="8">
        <v>4</v>
      </c>
      <c r="M74" s="37"/>
      <c r="N74" s="8"/>
      <c r="O74" s="8"/>
      <c r="P74" s="8"/>
      <c r="Q74" s="37"/>
      <c r="R74" s="37"/>
      <c r="S74" s="37"/>
      <c r="T74" s="37"/>
      <c r="U74" s="8"/>
    </row>
    <row r="75" spans="1:21" x14ac:dyDescent="0.25">
      <c r="A75" s="197"/>
      <c r="B75" s="9" t="s">
        <v>11</v>
      </c>
      <c r="C75" s="94">
        <v>2154</v>
      </c>
      <c r="D75" s="94">
        <v>1627</v>
      </c>
      <c r="E75" s="94">
        <v>2748</v>
      </c>
      <c r="F75" s="94">
        <v>1401</v>
      </c>
      <c r="G75" s="94">
        <v>456</v>
      </c>
      <c r="H75" s="94">
        <v>230</v>
      </c>
      <c r="I75" s="94">
        <v>133</v>
      </c>
      <c r="J75" s="94">
        <v>358</v>
      </c>
      <c r="K75" s="94">
        <v>9107</v>
      </c>
      <c r="M75" s="94"/>
      <c r="N75" s="94"/>
      <c r="O75" s="94"/>
      <c r="P75" s="94"/>
      <c r="Q75" s="94"/>
      <c r="R75" s="94"/>
      <c r="S75" s="94"/>
      <c r="T75" s="94"/>
      <c r="U75" s="94"/>
    </row>
    <row r="76" spans="1:21" x14ac:dyDescent="0.25">
      <c r="A76" s="197" t="s">
        <v>191</v>
      </c>
      <c r="B76" s="4" t="s">
        <v>17</v>
      </c>
      <c r="C76" s="8">
        <v>1610</v>
      </c>
      <c r="D76" s="8">
        <v>1216</v>
      </c>
      <c r="E76" s="8">
        <v>1975</v>
      </c>
      <c r="F76" s="8">
        <v>933</v>
      </c>
      <c r="G76" s="8">
        <v>359</v>
      </c>
      <c r="H76" s="8" t="s">
        <v>116</v>
      </c>
      <c r="I76" s="8" t="s">
        <v>116</v>
      </c>
      <c r="J76" s="8">
        <v>297</v>
      </c>
      <c r="K76" s="8">
        <v>6635</v>
      </c>
      <c r="M76" s="8"/>
      <c r="N76" s="8"/>
      <c r="O76" s="8"/>
      <c r="P76" s="8"/>
      <c r="Q76" s="8"/>
      <c r="R76" s="8"/>
      <c r="S76" s="8"/>
      <c r="T76" s="8"/>
      <c r="U76" s="8"/>
    </row>
    <row r="77" spans="1:21" x14ac:dyDescent="0.25">
      <c r="A77" s="197"/>
      <c r="B77" s="4" t="s">
        <v>21</v>
      </c>
      <c r="C77" s="8">
        <v>409</v>
      </c>
      <c r="D77" s="8">
        <v>239</v>
      </c>
      <c r="E77" s="8">
        <v>611</v>
      </c>
      <c r="F77" s="8">
        <v>222</v>
      </c>
      <c r="G77" s="8">
        <v>85</v>
      </c>
      <c r="H77" s="8" t="s">
        <v>116</v>
      </c>
      <c r="I77" s="8" t="s">
        <v>116</v>
      </c>
      <c r="J77" s="8">
        <v>37</v>
      </c>
      <c r="K77" s="8">
        <v>1691</v>
      </c>
      <c r="M77" s="8"/>
      <c r="N77" s="8"/>
      <c r="O77" s="8"/>
      <c r="P77" s="8"/>
      <c r="Q77" s="8"/>
      <c r="R77" s="8"/>
      <c r="S77" s="8"/>
      <c r="T77" s="8"/>
      <c r="U77" s="8"/>
    </row>
    <row r="78" spans="1:21" x14ac:dyDescent="0.25">
      <c r="A78" s="197"/>
      <c r="B78" s="4" t="s">
        <v>20</v>
      </c>
      <c r="C78" s="8">
        <v>1</v>
      </c>
      <c r="D78" s="8" t="s">
        <v>109</v>
      </c>
      <c r="E78" s="8" t="s">
        <v>109</v>
      </c>
      <c r="F78" s="8" t="s">
        <v>109</v>
      </c>
      <c r="G78" s="67" t="s">
        <v>109</v>
      </c>
      <c r="H78" s="67" t="s">
        <v>109</v>
      </c>
      <c r="I78" s="67" t="s">
        <v>109</v>
      </c>
      <c r="J78" s="67" t="s">
        <v>109</v>
      </c>
      <c r="K78" s="8">
        <v>1</v>
      </c>
      <c r="M78" s="8"/>
      <c r="N78" s="8"/>
      <c r="O78" s="8"/>
      <c r="P78" s="8"/>
      <c r="Q78" s="37"/>
      <c r="R78" s="37"/>
      <c r="S78" s="37"/>
      <c r="T78" s="37"/>
      <c r="U78" s="8"/>
    </row>
    <row r="79" spans="1:21" x14ac:dyDescent="0.25">
      <c r="A79" s="197"/>
      <c r="B79" s="9" t="s">
        <v>11</v>
      </c>
      <c r="C79" s="94">
        <v>2020</v>
      </c>
      <c r="D79" s="94">
        <v>1455</v>
      </c>
      <c r="E79" s="94">
        <v>2586</v>
      </c>
      <c r="F79" s="94">
        <v>1155</v>
      </c>
      <c r="G79" s="94">
        <v>444</v>
      </c>
      <c r="H79" s="94">
        <v>216</v>
      </c>
      <c r="I79" s="94">
        <v>117</v>
      </c>
      <c r="J79" s="94">
        <v>334</v>
      </c>
      <c r="K79" s="94">
        <v>8327</v>
      </c>
      <c r="M79" s="94"/>
      <c r="N79" s="94"/>
      <c r="O79" s="94"/>
      <c r="P79" s="94"/>
      <c r="Q79" s="94"/>
      <c r="R79" s="94"/>
      <c r="S79" s="94"/>
      <c r="T79" s="94"/>
      <c r="U79" s="94"/>
    </row>
    <row r="80" spans="1:21" x14ac:dyDescent="0.25">
      <c r="A80" s="197" t="s">
        <v>192</v>
      </c>
      <c r="B80" s="4" t="s">
        <v>17</v>
      </c>
      <c r="C80" s="8">
        <v>1494</v>
      </c>
      <c r="D80" s="8">
        <v>1089</v>
      </c>
      <c r="E80" s="8">
        <v>1891</v>
      </c>
      <c r="F80" s="8">
        <v>953</v>
      </c>
      <c r="G80" s="8">
        <v>353</v>
      </c>
      <c r="H80" s="8" t="s">
        <v>116</v>
      </c>
      <c r="I80" s="8" t="s">
        <v>116</v>
      </c>
      <c r="J80" s="8">
        <v>338</v>
      </c>
      <c r="K80" s="8">
        <v>6331</v>
      </c>
      <c r="M80" s="8"/>
      <c r="N80" s="8"/>
      <c r="O80" s="8"/>
      <c r="P80" s="8"/>
      <c r="Q80" s="8"/>
      <c r="R80" s="8"/>
      <c r="S80" s="8"/>
      <c r="T80" s="8"/>
      <c r="U80" s="8"/>
    </row>
    <row r="81" spans="1:21" x14ac:dyDescent="0.25">
      <c r="A81" s="197"/>
      <c r="B81" s="4" t="s">
        <v>21</v>
      </c>
      <c r="C81" s="8">
        <v>369</v>
      </c>
      <c r="D81" s="8">
        <v>198</v>
      </c>
      <c r="E81" s="8">
        <v>600</v>
      </c>
      <c r="F81" s="8">
        <v>248</v>
      </c>
      <c r="G81" s="8">
        <v>90</v>
      </c>
      <c r="H81" s="8" t="s">
        <v>116</v>
      </c>
      <c r="I81" s="8" t="s">
        <v>116</v>
      </c>
      <c r="J81" s="8">
        <v>60</v>
      </c>
      <c r="K81" s="8">
        <v>1648</v>
      </c>
      <c r="M81" s="8"/>
      <c r="N81" s="8"/>
      <c r="O81" s="8"/>
      <c r="P81" s="8"/>
      <c r="Q81" s="8"/>
      <c r="R81" s="8"/>
      <c r="S81" s="8"/>
      <c r="T81" s="8"/>
      <c r="U81" s="8"/>
    </row>
    <row r="82" spans="1:21" x14ac:dyDescent="0.25">
      <c r="A82" s="197"/>
      <c r="B82" s="4" t="s">
        <v>20</v>
      </c>
      <c r="C82" s="8">
        <v>3</v>
      </c>
      <c r="D82" s="67">
        <v>1</v>
      </c>
      <c r="E82" s="67">
        <v>1</v>
      </c>
      <c r="F82" s="67" t="s">
        <v>109</v>
      </c>
      <c r="G82" s="67" t="s">
        <v>109</v>
      </c>
      <c r="H82" s="67" t="s">
        <v>109</v>
      </c>
      <c r="I82" s="67" t="s">
        <v>109</v>
      </c>
      <c r="J82" s="67" t="s">
        <v>109</v>
      </c>
      <c r="K82" s="8">
        <v>5</v>
      </c>
      <c r="M82" s="8"/>
      <c r="N82" s="37"/>
      <c r="O82" s="37"/>
      <c r="P82" s="37"/>
      <c r="Q82" s="37"/>
      <c r="R82" s="37"/>
      <c r="S82" s="37"/>
      <c r="T82" s="37"/>
      <c r="U82" s="8"/>
    </row>
    <row r="83" spans="1:21" x14ac:dyDescent="0.25">
      <c r="A83" s="197"/>
      <c r="B83" s="9" t="s">
        <v>11</v>
      </c>
      <c r="C83" s="94">
        <v>1866</v>
      </c>
      <c r="D83" s="94">
        <v>1288</v>
      </c>
      <c r="E83" s="94">
        <v>2492</v>
      </c>
      <c r="F83" s="94">
        <v>1201</v>
      </c>
      <c r="G83" s="94">
        <v>443</v>
      </c>
      <c r="H83" s="94">
        <v>180</v>
      </c>
      <c r="I83" s="94">
        <v>116</v>
      </c>
      <c r="J83" s="94">
        <v>398</v>
      </c>
      <c r="K83" s="94">
        <v>7984</v>
      </c>
      <c r="M83" s="94"/>
      <c r="N83" s="94"/>
      <c r="O83" s="94"/>
      <c r="P83" s="94"/>
      <c r="Q83" s="94"/>
      <c r="R83" s="94"/>
      <c r="S83" s="94"/>
      <c r="T83" s="94"/>
      <c r="U83" s="94"/>
    </row>
    <row r="84" spans="1:21" x14ac:dyDescent="0.25">
      <c r="A84" s="197" t="s">
        <v>193</v>
      </c>
      <c r="B84" s="4" t="s">
        <v>17</v>
      </c>
      <c r="C84" s="8">
        <v>1393</v>
      </c>
      <c r="D84" s="8">
        <v>958</v>
      </c>
      <c r="E84" s="8">
        <v>1868</v>
      </c>
      <c r="F84" s="8">
        <v>1004</v>
      </c>
      <c r="G84" s="8">
        <v>394</v>
      </c>
      <c r="H84" s="8" t="s">
        <v>116</v>
      </c>
      <c r="I84" s="8" t="s">
        <v>116</v>
      </c>
      <c r="J84" s="8">
        <v>452</v>
      </c>
      <c r="K84" s="8">
        <v>6291</v>
      </c>
      <c r="M84" s="8"/>
      <c r="N84" s="8"/>
      <c r="O84" s="8"/>
      <c r="P84" s="8"/>
      <c r="Q84" s="8"/>
      <c r="R84" s="8"/>
      <c r="S84" s="8"/>
      <c r="T84" s="8"/>
      <c r="U84" s="8"/>
    </row>
    <row r="85" spans="1:21" x14ac:dyDescent="0.25">
      <c r="A85" s="197"/>
      <c r="B85" s="4" t="s">
        <v>21</v>
      </c>
      <c r="C85" s="8">
        <v>350</v>
      </c>
      <c r="D85" s="8">
        <v>143</v>
      </c>
      <c r="E85" s="8">
        <v>599</v>
      </c>
      <c r="F85" s="8">
        <v>289</v>
      </c>
      <c r="G85" s="8">
        <v>145</v>
      </c>
      <c r="H85" s="8" t="s">
        <v>116</v>
      </c>
      <c r="I85" s="8" t="s">
        <v>116</v>
      </c>
      <c r="J85" s="8">
        <v>80</v>
      </c>
      <c r="K85" s="8">
        <v>1691</v>
      </c>
      <c r="M85" s="8"/>
      <c r="N85" s="8"/>
      <c r="O85" s="8"/>
      <c r="P85" s="8"/>
      <c r="Q85" s="8"/>
      <c r="R85" s="8"/>
      <c r="S85" s="8"/>
      <c r="T85" s="8"/>
      <c r="U85" s="8"/>
    </row>
    <row r="86" spans="1:21" x14ac:dyDescent="0.25">
      <c r="A86" s="197"/>
      <c r="B86" s="4" t="s">
        <v>20</v>
      </c>
      <c r="C86" s="8">
        <v>3</v>
      </c>
      <c r="D86" s="8">
        <v>1</v>
      </c>
      <c r="E86" s="8">
        <v>1</v>
      </c>
      <c r="F86" s="67" t="s">
        <v>109</v>
      </c>
      <c r="G86" s="67">
        <v>1</v>
      </c>
      <c r="H86" s="67">
        <v>1</v>
      </c>
      <c r="I86" s="67" t="s">
        <v>109</v>
      </c>
      <c r="J86" s="67">
        <v>2</v>
      </c>
      <c r="K86" s="8">
        <v>9</v>
      </c>
      <c r="M86" s="8"/>
      <c r="N86" s="8"/>
      <c r="O86" s="8"/>
      <c r="P86" s="37"/>
      <c r="Q86" s="37"/>
      <c r="R86" s="37"/>
      <c r="S86" s="37"/>
      <c r="T86" s="37"/>
      <c r="U86" s="8"/>
    </row>
    <row r="87" spans="1:21" x14ac:dyDescent="0.25">
      <c r="A87" s="197"/>
      <c r="B87" s="9" t="s">
        <v>11</v>
      </c>
      <c r="C87" s="94">
        <v>1746</v>
      </c>
      <c r="D87" s="94">
        <v>1102</v>
      </c>
      <c r="E87" s="94">
        <v>2468</v>
      </c>
      <c r="F87" s="94">
        <v>1293</v>
      </c>
      <c r="G87" s="94">
        <v>540</v>
      </c>
      <c r="H87" s="94">
        <v>184</v>
      </c>
      <c r="I87" s="94">
        <v>124</v>
      </c>
      <c r="J87" s="94">
        <v>534</v>
      </c>
      <c r="K87" s="94">
        <v>7991</v>
      </c>
      <c r="M87" s="94"/>
      <c r="N87" s="94"/>
      <c r="O87" s="94"/>
      <c r="P87" s="94"/>
      <c r="Q87" s="94"/>
      <c r="R87" s="94"/>
      <c r="S87" s="94"/>
      <c r="T87" s="94"/>
      <c r="U87" s="94"/>
    </row>
    <row r="88" spans="1:21" x14ac:dyDescent="0.25">
      <c r="A88" s="197" t="s">
        <v>194</v>
      </c>
      <c r="B88" s="4" t="s">
        <v>17</v>
      </c>
      <c r="C88" s="8">
        <v>1357</v>
      </c>
      <c r="D88" s="8">
        <v>822</v>
      </c>
      <c r="E88" s="8">
        <v>1851</v>
      </c>
      <c r="F88" s="8">
        <v>977</v>
      </c>
      <c r="G88" s="8">
        <v>403</v>
      </c>
      <c r="H88" s="8" t="s">
        <v>116</v>
      </c>
      <c r="I88" s="8" t="s">
        <v>116</v>
      </c>
      <c r="J88" s="8">
        <v>619</v>
      </c>
      <c r="K88" s="8">
        <v>6283</v>
      </c>
      <c r="M88" s="8"/>
      <c r="N88" s="8"/>
      <c r="O88" s="8"/>
      <c r="P88" s="8"/>
      <c r="Q88" s="8"/>
      <c r="R88" s="8"/>
      <c r="S88" s="8"/>
      <c r="T88" s="8"/>
      <c r="U88" s="8"/>
    </row>
    <row r="89" spans="1:21" x14ac:dyDescent="0.25">
      <c r="A89" s="197"/>
      <c r="B89" s="4" t="s">
        <v>21</v>
      </c>
      <c r="C89" s="8">
        <v>352</v>
      </c>
      <c r="D89" s="8">
        <v>116</v>
      </c>
      <c r="E89" s="8">
        <v>619</v>
      </c>
      <c r="F89" s="8">
        <v>299</v>
      </c>
      <c r="G89" s="8">
        <v>157</v>
      </c>
      <c r="H89" s="8" t="s">
        <v>116</v>
      </c>
      <c r="I89" s="8" t="s">
        <v>116</v>
      </c>
      <c r="J89" s="8">
        <v>128</v>
      </c>
      <c r="K89" s="8">
        <v>1773</v>
      </c>
      <c r="M89" s="8"/>
      <c r="N89" s="8"/>
      <c r="O89" s="8"/>
      <c r="P89" s="8"/>
      <c r="Q89" s="8"/>
      <c r="R89" s="8"/>
      <c r="S89" s="8"/>
      <c r="T89" s="8"/>
      <c r="U89" s="8"/>
    </row>
    <row r="90" spans="1:21" x14ac:dyDescent="0.25">
      <c r="A90" s="197"/>
      <c r="B90" s="4" t="s">
        <v>20</v>
      </c>
      <c r="C90" s="8">
        <v>3</v>
      </c>
      <c r="D90" s="8" t="s">
        <v>109</v>
      </c>
      <c r="E90" s="8">
        <v>2</v>
      </c>
      <c r="F90" s="67" t="s">
        <v>109</v>
      </c>
      <c r="G90" s="8" t="s">
        <v>109</v>
      </c>
      <c r="H90" s="8">
        <v>2</v>
      </c>
      <c r="I90" s="67" t="s">
        <v>109</v>
      </c>
      <c r="J90" s="8">
        <v>1</v>
      </c>
      <c r="K90" s="8">
        <v>8</v>
      </c>
      <c r="M90" s="8"/>
      <c r="N90" s="8"/>
      <c r="O90" s="8"/>
      <c r="P90" s="37"/>
      <c r="Q90" s="8"/>
      <c r="R90" s="8"/>
      <c r="S90" s="37"/>
      <c r="T90" s="8"/>
      <c r="U90" s="8"/>
    </row>
    <row r="91" spans="1:21" x14ac:dyDescent="0.25">
      <c r="A91" s="197"/>
      <c r="B91" s="9" t="s">
        <v>11</v>
      </c>
      <c r="C91" s="94">
        <v>1712</v>
      </c>
      <c r="D91" s="94">
        <v>938</v>
      </c>
      <c r="E91" s="94">
        <v>2472</v>
      </c>
      <c r="F91" s="94">
        <v>1276</v>
      </c>
      <c r="G91" s="94">
        <v>560</v>
      </c>
      <c r="H91" s="94">
        <v>206</v>
      </c>
      <c r="I91" s="94">
        <v>152</v>
      </c>
      <c r="J91" s="94">
        <v>748</v>
      </c>
      <c r="K91" s="94">
        <v>8064</v>
      </c>
      <c r="M91" s="94"/>
      <c r="N91" s="94"/>
      <c r="O91" s="94"/>
      <c r="P91" s="94"/>
      <c r="Q91" s="94"/>
      <c r="R91" s="94"/>
      <c r="S91" s="94"/>
      <c r="T91" s="94"/>
      <c r="U91" s="94"/>
    </row>
    <row r="92" spans="1:21" x14ac:dyDescent="0.25">
      <c r="A92" s="197" t="s">
        <v>284</v>
      </c>
      <c r="B92" s="4" t="s">
        <v>17</v>
      </c>
      <c r="C92" s="8">
        <v>1384</v>
      </c>
      <c r="D92" s="8">
        <v>874</v>
      </c>
      <c r="E92" s="8">
        <v>1854</v>
      </c>
      <c r="F92" s="8">
        <v>929</v>
      </c>
      <c r="G92" s="8">
        <v>385</v>
      </c>
      <c r="H92" s="8" t="s">
        <v>116</v>
      </c>
      <c r="I92" s="8" t="s">
        <v>116</v>
      </c>
      <c r="J92" s="8">
        <v>812</v>
      </c>
      <c r="K92" s="8">
        <v>6532</v>
      </c>
      <c r="M92" s="8"/>
      <c r="N92" s="8"/>
      <c r="O92" s="8"/>
      <c r="P92" s="8"/>
      <c r="Q92" s="8"/>
      <c r="R92" s="8"/>
      <c r="S92" s="8"/>
      <c r="T92" s="8"/>
      <c r="U92" s="8"/>
    </row>
    <row r="93" spans="1:21" x14ac:dyDescent="0.25">
      <c r="A93" s="197"/>
      <c r="B93" s="4" t="s">
        <v>21</v>
      </c>
      <c r="C93" s="8">
        <v>354</v>
      </c>
      <c r="D93" s="8">
        <v>125</v>
      </c>
      <c r="E93" s="8">
        <v>599</v>
      </c>
      <c r="F93" s="8">
        <v>247</v>
      </c>
      <c r="G93" s="8">
        <v>136</v>
      </c>
      <c r="H93" s="8" t="s">
        <v>116</v>
      </c>
      <c r="I93" s="8" t="s">
        <v>116</v>
      </c>
      <c r="J93" s="8">
        <v>181</v>
      </c>
      <c r="K93" s="8">
        <v>1756</v>
      </c>
      <c r="M93" s="8"/>
      <c r="N93" s="8"/>
      <c r="O93" s="8"/>
      <c r="P93" s="8"/>
      <c r="Q93" s="8"/>
      <c r="R93" s="8"/>
      <c r="S93" s="8"/>
      <c r="T93" s="8"/>
      <c r="U93" s="8"/>
    </row>
    <row r="94" spans="1:21" x14ac:dyDescent="0.25">
      <c r="A94" s="197"/>
      <c r="B94" s="4" t="s">
        <v>20</v>
      </c>
      <c r="C94" s="8">
        <v>3</v>
      </c>
      <c r="D94" s="67" t="s">
        <v>109</v>
      </c>
      <c r="E94" s="8">
        <v>3</v>
      </c>
      <c r="F94" s="67">
        <v>1</v>
      </c>
      <c r="G94" s="67">
        <v>1</v>
      </c>
      <c r="H94" s="8">
        <v>3</v>
      </c>
      <c r="I94" s="67" t="s">
        <v>109</v>
      </c>
      <c r="J94" s="8">
        <v>2</v>
      </c>
      <c r="K94" s="8">
        <v>13</v>
      </c>
      <c r="M94" s="8"/>
      <c r="N94" s="37"/>
      <c r="O94" s="8"/>
      <c r="P94" s="37"/>
      <c r="Q94" s="37"/>
      <c r="R94" s="8"/>
      <c r="S94" s="37"/>
      <c r="T94" s="8"/>
      <c r="U94" s="8"/>
    </row>
    <row r="95" spans="1:21" x14ac:dyDescent="0.25">
      <c r="A95" s="197"/>
      <c r="B95" s="9" t="s">
        <v>11</v>
      </c>
      <c r="C95" s="94">
        <v>1741</v>
      </c>
      <c r="D95" s="94">
        <v>999</v>
      </c>
      <c r="E95" s="94">
        <v>2456</v>
      </c>
      <c r="F95" s="94">
        <v>1177</v>
      </c>
      <c r="G95" s="94">
        <v>522</v>
      </c>
      <c r="H95" s="94">
        <v>257</v>
      </c>
      <c r="I95" s="94">
        <v>154</v>
      </c>
      <c r="J95" s="94">
        <v>995</v>
      </c>
      <c r="K95" s="94">
        <v>8301</v>
      </c>
      <c r="M95" s="94"/>
      <c r="N95" s="94"/>
      <c r="O95" s="94"/>
      <c r="P95" s="94"/>
      <c r="Q95" s="94"/>
      <c r="R95" s="94"/>
      <c r="S95" s="94"/>
      <c r="T95" s="94"/>
      <c r="U95" s="94"/>
    </row>
    <row r="96" spans="1:21" ht="6.75" customHeight="1" x14ac:dyDescent="0.25">
      <c r="A96" s="98"/>
      <c r="B96" s="78"/>
      <c r="C96" s="80"/>
      <c r="D96" s="80"/>
      <c r="E96" s="80"/>
      <c r="F96" s="80"/>
      <c r="G96" s="80"/>
      <c r="H96" s="79"/>
      <c r="I96" s="79"/>
      <c r="J96" s="80"/>
      <c r="K96" s="80"/>
    </row>
    <row r="97" spans="1:14" ht="10.5" customHeight="1" x14ac:dyDescent="0.25">
      <c r="A97" s="6" t="s">
        <v>213</v>
      </c>
    </row>
    <row r="98" spans="1:14" ht="3" customHeight="1" x14ac:dyDescent="0.25"/>
    <row r="99" spans="1:14" s="6" customFormat="1" ht="11.1" customHeight="1" x14ac:dyDescent="0.25">
      <c r="A99" s="6" t="s">
        <v>42</v>
      </c>
      <c r="B99" s="1"/>
      <c r="C99" s="1"/>
      <c r="D99" s="1"/>
      <c r="E99" s="1"/>
      <c r="F99" s="1"/>
      <c r="G99" s="1"/>
      <c r="H99" s="1"/>
      <c r="I99" s="1"/>
      <c r="J99" s="1"/>
      <c r="K99" s="1"/>
      <c r="L99" s="1"/>
      <c r="M99" s="1"/>
      <c r="N99" s="1"/>
    </row>
    <row r="100" spans="1:14" x14ac:dyDescent="0.25">
      <c r="A100" s="6"/>
      <c r="B100" s="6"/>
      <c r="C100" s="6"/>
      <c r="D100" s="6"/>
      <c r="E100" s="6"/>
      <c r="F100" s="6"/>
      <c r="G100" s="6"/>
      <c r="H100" s="6"/>
      <c r="I100" s="6"/>
      <c r="J100" s="6"/>
      <c r="K100" s="6"/>
      <c r="L100" s="6"/>
      <c r="M100" s="6"/>
      <c r="N100" s="6"/>
    </row>
    <row r="101" spans="1:14" x14ac:dyDescent="0.25">
      <c r="A101" s="6" t="s">
        <v>263</v>
      </c>
      <c r="B101" s="6"/>
      <c r="C101" s="6"/>
      <c r="D101" s="6"/>
      <c r="E101" s="6"/>
      <c r="F101" s="6"/>
      <c r="G101" s="6"/>
      <c r="H101" s="6"/>
      <c r="I101" s="6"/>
      <c r="J101" s="6"/>
      <c r="K101" s="6"/>
      <c r="L101" s="6"/>
      <c r="M101" s="6"/>
      <c r="N101" s="6"/>
    </row>
  </sheetData>
  <mergeCells count="23">
    <mergeCell ref="A40:A43"/>
    <mergeCell ref="A1:L1"/>
    <mergeCell ref="A4:A7"/>
    <mergeCell ref="A8:A11"/>
    <mergeCell ref="A12:A15"/>
    <mergeCell ref="A16:A19"/>
    <mergeCell ref="A20:A23"/>
    <mergeCell ref="A24:A27"/>
    <mergeCell ref="A28:A31"/>
    <mergeCell ref="A32:A35"/>
    <mergeCell ref="A36:A39"/>
    <mergeCell ref="A45:L45"/>
    <mergeCell ref="A53:L53"/>
    <mergeCell ref="A56:A59"/>
    <mergeCell ref="A60:A63"/>
    <mergeCell ref="A64:A67"/>
    <mergeCell ref="A88:A91"/>
    <mergeCell ref="A92:A95"/>
    <mergeCell ref="A68:A71"/>
    <mergeCell ref="A72:A75"/>
    <mergeCell ref="A76:A79"/>
    <mergeCell ref="A80:A83"/>
    <mergeCell ref="A84:A87"/>
  </mergeCells>
  <pageMargins left="0.08" right="0.08" top="1" bottom="1" header="0.5" footer="0.5"/>
  <pageSetup orientation="landscape" blackAndWhite="1" horizontalDpi="300" verticalDpi="300"/>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Y135"/>
  <sheetViews>
    <sheetView zoomScaleNormal="100" workbookViewId="0">
      <selection sqref="A1:L1"/>
    </sheetView>
  </sheetViews>
  <sheetFormatPr defaultColWidth="9.140625" defaultRowHeight="15" x14ac:dyDescent="0.25"/>
  <cols>
    <col min="1" max="10" width="11.42578125" style="1" bestFit="1" customWidth="1"/>
    <col min="11" max="11" width="10.5703125" style="1" customWidth="1"/>
    <col min="12" max="12" width="11.42578125" style="1" bestFit="1" customWidth="1"/>
    <col min="13" max="16384" width="9.140625" style="1"/>
  </cols>
  <sheetData>
    <row r="1" spans="1:25" ht="27.95" customHeight="1" x14ac:dyDescent="0.25">
      <c r="A1" s="200" t="s">
        <v>401</v>
      </c>
      <c r="B1" s="200"/>
      <c r="C1" s="200"/>
      <c r="D1" s="200"/>
      <c r="E1" s="200"/>
      <c r="F1" s="200"/>
      <c r="G1" s="200"/>
      <c r="H1" s="200"/>
      <c r="I1" s="200"/>
      <c r="J1" s="200"/>
      <c r="K1" s="200"/>
      <c r="L1" s="200"/>
    </row>
    <row r="2" spans="1:25" ht="12" hidden="1" customHeight="1" x14ac:dyDescent="0.25">
      <c r="A2" s="2"/>
    </row>
    <row r="3" spans="1:25" ht="23.25" x14ac:dyDescent="0.25">
      <c r="A3" s="44" t="s">
        <v>122</v>
      </c>
      <c r="B3" s="44" t="s">
        <v>119</v>
      </c>
      <c r="C3" s="3" t="s">
        <v>0</v>
      </c>
      <c r="D3" s="3" t="s">
        <v>1</v>
      </c>
      <c r="E3" s="3" t="s">
        <v>2</v>
      </c>
      <c r="F3" s="3" t="s">
        <v>3</v>
      </c>
      <c r="G3" s="3" t="s">
        <v>4</v>
      </c>
      <c r="H3" s="3" t="s">
        <v>5</v>
      </c>
      <c r="I3" s="3" t="s">
        <v>6</v>
      </c>
      <c r="J3" s="3" t="s">
        <v>7</v>
      </c>
      <c r="K3" s="3" t="s">
        <v>199</v>
      </c>
      <c r="L3" s="3" t="s">
        <v>8</v>
      </c>
    </row>
    <row r="4" spans="1:25" x14ac:dyDescent="0.25">
      <c r="A4" s="199" t="s">
        <v>195</v>
      </c>
      <c r="B4" s="4" t="s">
        <v>17</v>
      </c>
      <c r="C4" s="5">
        <v>23.22</v>
      </c>
      <c r="D4" s="5">
        <v>16.687999999999999</v>
      </c>
      <c r="E4" s="5">
        <v>34.408000000000001</v>
      </c>
      <c r="F4" s="5">
        <v>37.308</v>
      </c>
      <c r="G4" s="5">
        <v>20.824000000000002</v>
      </c>
      <c r="H4" s="5">
        <v>24.381</v>
      </c>
      <c r="I4" s="5">
        <v>22.870999999999999</v>
      </c>
      <c r="J4" s="5">
        <v>61.094000000000001</v>
      </c>
      <c r="K4" s="5">
        <v>25.379000000000001</v>
      </c>
      <c r="L4" s="5">
        <v>25.777000000000001</v>
      </c>
      <c r="N4" s="5"/>
      <c r="O4" s="5"/>
      <c r="P4" s="5"/>
      <c r="Q4" s="5"/>
      <c r="R4" s="5"/>
      <c r="S4" s="5"/>
      <c r="T4" s="5"/>
      <c r="U4" s="5"/>
      <c r="V4" s="5"/>
      <c r="W4" s="5"/>
      <c r="Y4" s="127"/>
    </row>
    <row r="5" spans="1:25" x14ac:dyDescent="0.25">
      <c r="A5" s="197"/>
      <c r="B5" s="4" t="s">
        <v>21</v>
      </c>
      <c r="C5" s="5">
        <v>6.3959999999999999</v>
      </c>
      <c r="D5" s="5">
        <v>3.8660000000000001</v>
      </c>
      <c r="E5" s="5">
        <v>11.016</v>
      </c>
      <c r="F5" s="5">
        <v>7.8579999999999997</v>
      </c>
      <c r="G5" s="5">
        <v>5.3540000000000001</v>
      </c>
      <c r="H5" s="5">
        <v>5.8330000000000002</v>
      </c>
      <c r="I5" s="5">
        <v>8.6479999999999997</v>
      </c>
      <c r="J5" s="5">
        <v>18.864000000000001</v>
      </c>
      <c r="K5" s="5">
        <v>6.87</v>
      </c>
      <c r="L5" s="5">
        <v>7.0010000000000003</v>
      </c>
      <c r="N5" s="5"/>
      <c r="O5" s="5"/>
      <c r="P5" s="5"/>
      <c r="Q5" s="5"/>
      <c r="R5" s="5"/>
      <c r="S5" s="5"/>
      <c r="T5" s="5"/>
      <c r="U5" s="5"/>
      <c r="V5" s="5"/>
      <c r="W5" s="5"/>
    </row>
    <row r="6" spans="1:25" x14ac:dyDescent="0.25">
      <c r="A6" s="197"/>
      <c r="B6" s="95" t="s">
        <v>11</v>
      </c>
      <c r="C6" s="97">
        <v>15.047000000000001</v>
      </c>
      <c r="D6" s="97">
        <v>10.439</v>
      </c>
      <c r="E6" s="97">
        <v>23.036999999999999</v>
      </c>
      <c r="F6" s="97">
        <v>22.917999999999999</v>
      </c>
      <c r="G6" s="97">
        <v>13.278</v>
      </c>
      <c r="H6" s="97">
        <v>15.428000000000001</v>
      </c>
      <c r="I6" s="97">
        <v>15.912000000000001</v>
      </c>
      <c r="J6" s="97">
        <v>40.790999999999997</v>
      </c>
      <c r="K6" s="94">
        <v>16.372</v>
      </c>
      <c r="L6" s="97">
        <v>16.640999999999998</v>
      </c>
      <c r="N6" s="97"/>
      <c r="O6" s="97"/>
      <c r="P6" s="97"/>
      <c r="Q6" s="97"/>
      <c r="R6" s="97"/>
      <c r="S6" s="97"/>
      <c r="T6" s="97"/>
      <c r="U6" s="97"/>
      <c r="V6" s="94"/>
      <c r="W6" s="97"/>
    </row>
    <row r="7" spans="1:25" x14ac:dyDescent="0.25">
      <c r="A7" s="197" t="s">
        <v>196</v>
      </c>
      <c r="B7" s="4" t="s">
        <v>17</v>
      </c>
      <c r="C7" s="5">
        <v>20.498000000000001</v>
      </c>
      <c r="D7" s="5">
        <v>14.365</v>
      </c>
      <c r="E7" s="5">
        <v>32.18</v>
      </c>
      <c r="F7" s="5">
        <v>36.215000000000003</v>
      </c>
      <c r="G7" s="5">
        <v>20.649000000000001</v>
      </c>
      <c r="H7" s="5">
        <v>22.189</v>
      </c>
      <c r="I7" s="5">
        <v>22.603999999999999</v>
      </c>
      <c r="J7" s="5">
        <v>67.134</v>
      </c>
      <c r="K7" s="5">
        <v>23.263999999999999</v>
      </c>
      <c r="L7" s="5">
        <v>23.745999999999999</v>
      </c>
      <c r="N7" s="5"/>
      <c r="O7" s="5"/>
      <c r="P7" s="5"/>
      <c r="Q7" s="5"/>
      <c r="R7" s="5"/>
      <c r="S7" s="5"/>
      <c r="T7" s="5"/>
      <c r="U7" s="5"/>
      <c r="V7" s="5"/>
      <c r="W7" s="5"/>
    </row>
    <row r="8" spans="1:25" x14ac:dyDescent="0.25">
      <c r="A8" s="197"/>
      <c r="B8" s="4" t="s">
        <v>21</v>
      </c>
      <c r="C8" s="5">
        <v>5.9649999999999999</v>
      </c>
      <c r="D8" s="5">
        <v>3.7090000000000001</v>
      </c>
      <c r="E8" s="5">
        <v>11.718999999999999</v>
      </c>
      <c r="F8" s="5">
        <v>7.6079999999999997</v>
      </c>
      <c r="G8" s="5">
        <v>6.141</v>
      </c>
      <c r="H8" s="5">
        <v>7.9660000000000002</v>
      </c>
      <c r="I8" s="5">
        <v>7.0010000000000003</v>
      </c>
      <c r="J8" s="5">
        <v>22.321999999999999</v>
      </c>
      <c r="K8" s="5">
        <v>6.8940000000000001</v>
      </c>
      <c r="L8" s="5">
        <v>7.06</v>
      </c>
      <c r="N8" s="5"/>
      <c r="O8" s="5"/>
      <c r="P8" s="5"/>
      <c r="Q8" s="5"/>
      <c r="R8" s="5"/>
      <c r="S8" s="5"/>
      <c r="T8" s="5"/>
      <c r="U8" s="5"/>
      <c r="V8" s="5"/>
      <c r="W8" s="5"/>
    </row>
    <row r="9" spans="1:25" x14ac:dyDescent="0.25">
      <c r="A9" s="197"/>
      <c r="B9" s="95" t="s">
        <v>11</v>
      </c>
      <c r="C9" s="97">
        <v>13.446999999999999</v>
      </c>
      <c r="D9" s="97">
        <v>9.1720000000000006</v>
      </c>
      <c r="E9" s="97">
        <v>22.227</v>
      </c>
      <c r="F9" s="97">
        <v>22.244</v>
      </c>
      <c r="G9" s="97">
        <v>13.569000000000001</v>
      </c>
      <c r="H9" s="97">
        <v>15.335000000000001</v>
      </c>
      <c r="I9" s="97">
        <v>14.978</v>
      </c>
      <c r="J9" s="97">
        <v>45.554000000000002</v>
      </c>
      <c r="K9" s="97">
        <v>15.3</v>
      </c>
      <c r="L9" s="97">
        <v>15.629</v>
      </c>
      <c r="N9" s="97"/>
      <c r="O9" s="97"/>
      <c r="P9" s="97"/>
      <c r="Q9" s="97"/>
      <c r="R9" s="97"/>
      <c r="S9" s="97"/>
      <c r="T9" s="97"/>
      <c r="U9" s="97"/>
      <c r="V9" s="97"/>
      <c r="W9" s="97"/>
    </row>
    <row r="10" spans="1:25" x14ac:dyDescent="0.25">
      <c r="A10" s="197" t="s">
        <v>197</v>
      </c>
      <c r="B10" s="4" t="s">
        <v>17</v>
      </c>
      <c r="C10" s="5">
        <v>19.125</v>
      </c>
      <c r="D10" s="5">
        <v>13.743</v>
      </c>
      <c r="E10" s="5">
        <v>35.783000000000001</v>
      </c>
      <c r="F10" s="5">
        <v>35.307000000000002</v>
      </c>
      <c r="G10" s="5">
        <v>18.135000000000002</v>
      </c>
      <c r="H10" s="5">
        <v>25.4</v>
      </c>
      <c r="I10" s="5">
        <v>27.506</v>
      </c>
      <c r="J10" s="5">
        <v>62.19</v>
      </c>
      <c r="K10" s="5">
        <v>23.337</v>
      </c>
      <c r="L10" s="5">
        <v>23.76</v>
      </c>
      <c r="N10" s="5"/>
      <c r="O10" s="5"/>
      <c r="P10" s="5"/>
      <c r="Q10" s="5"/>
      <c r="R10" s="5"/>
      <c r="S10" s="5"/>
      <c r="T10" s="5"/>
      <c r="U10" s="5"/>
      <c r="V10" s="5"/>
      <c r="W10" s="5"/>
    </row>
    <row r="11" spans="1:25" x14ac:dyDescent="0.25">
      <c r="A11" s="197"/>
      <c r="B11" s="4" t="s">
        <v>21</v>
      </c>
      <c r="C11" s="5">
        <v>6.0750000000000002</v>
      </c>
      <c r="D11" s="5">
        <v>3.3860000000000001</v>
      </c>
      <c r="E11" s="5">
        <v>12.493</v>
      </c>
      <c r="F11" s="5">
        <v>7.4080000000000004</v>
      </c>
      <c r="G11" s="5">
        <v>4.109</v>
      </c>
      <c r="H11" s="5">
        <v>11.459</v>
      </c>
      <c r="I11" s="5">
        <v>12.053000000000001</v>
      </c>
      <c r="J11" s="5">
        <v>15.19</v>
      </c>
      <c r="K11" s="5">
        <v>7.0110000000000001</v>
      </c>
      <c r="L11" s="5">
        <v>7.0990000000000002</v>
      </c>
      <c r="N11" s="5"/>
      <c r="O11" s="5"/>
      <c r="P11" s="5"/>
      <c r="Q11" s="5"/>
      <c r="R11" s="5"/>
      <c r="S11" s="5"/>
      <c r="T11" s="5"/>
      <c r="U11" s="5"/>
      <c r="V11" s="5"/>
      <c r="W11" s="5"/>
    </row>
    <row r="12" spans="1:25" x14ac:dyDescent="0.25">
      <c r="A12" s="197"/>
      <c r="B12" s="95" t="s">
        <v>11</v>
      </c>
      <c r="C12" s="97">
        <v>12.795999999999999</v>
      </c>
      <c r="D12" s="97">
        <v>8.7050000000000001</v>
      </c>
      <c r="E12" s="97">
        <v>24.48</v>
      </c>
      <c r="F12" s="97">
        <v>21.702999999999999</v>
      </c>
      <c r="G12" s="97">
        <v>11.287000000000001</v>
      </c>
      <c r="H12" s="97">
        <v>18.672000000000001</v>
      </c>
      <c r="I12" s="97">
        <v>19.978999999999999</v>
      </c>
      <c r="J12" s="97">
        <v>39.475000000000001</v>
      </c>
      <c r="K12" s="97">
        <v>15.404999999999999</v>
      </c>
      <c r="L12" s="97">
        <v>15.664999999999999</v>
      </c>
      <c r="N12" s="97"/>
      <c r="O12" s="97"/>
      <c r="P12" s="97"/>
      <c r="Q12" s="97"/>
      <c r="R12" s="97"/>
      <c r="S12" s="97"/>
      <c r="T12" s="97"/>
      <c r="U12" s="97"/>
      <c r="V12" s="97"/>
      <c r="W12" s="97"/>
    </row>
    <row r="13" spans="1:25" x14ac:dyDescent="0.25">
      <c r="A13" s="197" t="s">
        <v>198</v>
      </c>
      <c r="B13" s="4" t="s">
        <v>17</v>
      </c>
      <c r="C13" s="5">
        <v>18.789000000000001</v>
      </c>
      <c r="D13" s="5">
        <v>12.599</v>
      </c>
      <c r="E13" s="5">
        <v>35.097000000000001</v>
      </c>
      <c r="F13" s="5">
        <v>33.186</v>
      </c>
      <c r="G13" s="5">
        <v>15.691000000000001</v>
      </c>
      <c r="H13" s="5">
        <v>30.074999999999999</v>
      </c>
      <c r="I13" s="5">
        <v>20.809000000000001</v>
      </c>
      <c r="J13" s="5">
        <v>67.962000000000003</v>
      </c>
      <c r="K13" s="5">
        <v>22.407</v>
      </c>
      <c r="L13" s="5">
        <v>22.896999999999998</v>
      </c>
      <c r="N13" s="5"/>
      <c r="O13" s="5"/>
      <c r="P13" s="5"/>
      <c r="Q13" s="5"/>
      <c r="R13" s="5"/>
      <c r="S13" s="5"/>
      <c r="T13" s="5"/>
      <c r="U13" s="5"/>
      <c r="V13" s="5"/>
      <c r="W13" s="5"/>
    </row>
    <row r="14" spans="1:25" x14ac:dyDescent="0.25">
      <c r="A14" s="197"/>
      <c r="B14" s="4" t="s">
        <v>21</v>
      </c>
      <c r="C14" s="5">
        <v>6.7080000000000002</v>
      </c>
      <c r="D14" s="5">
        <v>3.27</v>
      </c>
      <c r="E14" s="5">
        <v>13.259</v>
      </c>
      <c r="F14" s="5">
        <v>8.7159999999999993</v>
      </c>
      <c r="G14" s="5">
        <v>3.262</v>
      </c>
      <c r="H14" s="5">
        <v>11.805</v>
      </c>
      <c r="I14" s="5">
        <v>7.1340000000000003</v>
      </c>
      <c r="J14" s="5">
        <v>13.943</v>
      </c>
      <c r="K14" s="5">
        <v>7.3639999999999999</v>
      </c>
      <c r="L14" s="5">
        <v>7.4340000000000002</v>
      </c>
      <c r="N14" s="5"/>
      <c r="O14" s="5"/>
      <c r="P14" s="5"/>
      <c r="Q14" s="5"/>
      <c r="R14" s="5"/>
      <c r="S14" s="5"/>
      <c r="T14" s="5"/>
      <c r="U14" s="5"/>
      <c r="V14" s="5"/>
      <c r="W14" s="5"/>
    </row>
    <row r="15" spans="1:25" x14ac:dyDescent="0.25">
      <c r="A15" s="197"/>
      <c r="B15" s="95" t="s">
        <v>11</v>
      </c>
      <c r="C15" s="97">
        <v>12.933</v>
      </c>
      <c r="D15" s="97">
        <v>8.0690000000000008</v>
      </c>
      <c r="E15" s="97">
        <v>24.504999999999999</v>
      </c>
      <c r="F15" s="97">
        <v>21.289000000000001</v>
      </c>
      <c r="G15" s="97">
        <v>9.6150000000000002</v>
      </c>
      <c r="H15" s="97">
        <v>21.241</v>
      </c>
      <c r="I15" s="97">
        <v>14.157999999999999</v>
      </c>
      <c r="J15" s="97">
        <v>41.734999999999999</v>
      </c>
      <c r="K15" s="97">
        <v>15.103999999999999</v>
      </c>
      <c r="L15" s="97">
        <v>15.391</v>
      </c>
      <c r="N15" s="97"/>
      <c r="O15" s="97"/>
      <c r="P15" s="97"/>
      <c r="Q15" s="97"/>
      <c r="R15" s="97"/>
      <c r="S15" s="97"/>
      <c r="T15" s="97"/>
      <c r="U15" s="97"/>
      <c r="V15" s="97"/>
      <c r="W15" s="97"/>
    </row>
    <row r="16" spans="1:25" x14ac:dyDescent="0.25">
      <c r="A16" s="197" t="s">
        <v>190</v>
      </c>
      <c r="B16" s="4" t="s">
        <v>17</v>
      </c>
      <c r="C16" s="5">
        <v>18.082000000000001</v>
      </c>
      <c r="D16" s="5">
        <v>10.869</v>
      </c>
      <c r="E16" s="5">
        <v>28.602</v>
      </c>
      <c r="F16" s="5">
        <v>28.731000000000002</v>
      </c>
      <c r="G16" s="5">
        <v>16.766999999999999</v>
      </c>
      <c r="H16" s="5">
        <v>26.911000000000001</v>
      </c>
      <c r="I16" s="5">
        <v>18.094000000000001</v>
      </c>
      <c r="J16" s="5">
        <v>68.539000000000001</v>
      </c>
      <c r="K16" s="5">
        <v>19.829000000000001</v>
      </c>
      <c r="L16" s="5">
        <v>20.344999999999999</v>
      </c>
      <c r="N16" s="5"/>
      <c r="O16" s="5"/>
      <c r="P16" s="5"/>
      <c r="Q16" s="5"/>
      <c r="R16" s="5"/>
      <c r="S16" s="5"/>
      <c r="T16" s="5"/>
      <c r="U16" s="5"/>
      <c r="V16" s="5"/>
      <c r="W16" s="5"/>
    </row>
    <row r="17" spans="1:23" x14ac:dyDescent="0.25">
      <c r="A17" s="197"/>
      <c r="B17" s="4" t="s">
        <v>21</v>
      </c>
      <c r="C17" s="5">
        <v>6.0010000000000003</v>
      </c>
      <c r="D17" s="5">
        <v>3.3410000000000002</v>
      </c>
      <c r="E17" s="5">
        <v>12.002000000000001</v>
      </c>
      <c r="F17" s="5">
        <v>8.3940000000000001</v>
      </c>
      <c r="G17" s="5">
        <v>3.351</v>
      </c>
      <c r="H17" s="5">
        <v>11.319000000000001</v>
      </c>
      <c r="I17" s="5">
        <v>6.5220000000000002</v>
      </c>
      <c r="J17" s="5">
        <v>12.379</v>
      </c>
      <c r="K17" s="5">
        <v>6.8390000000000004</v>
      </c>
      <c r="L17" s="5">
        <v>6.8970000000000002</v>
      </c>
      <c r="N17" s="5"/>
      <c r="O17" s="5"/>
      <c r="P17" s="5"/>
      <c r="Q17" s="5"/>
      <c r="R17" s="5"/>
      <c r="S17" s="5"/>
      <c r="T17" s="5"/>
      <c r="U17" s="5"/>
      <c r="V17" s="5"/>
      <c r="W17" s="5"/>
    </row>
    <row r="18" spans="1:23" x14ac:dyDescent="0.25">
      <c r="A18" s="197"/>
      <c r="B18" s="95" t="s">
        <v>11</v>
      </c>
      <c r="C18" s="97">
        <v>12.231999999999999</v>
      </c>
      <c r="D18" s="97">
        <v>7.2110000000000003</v>
      </c>
      <c r="E18" s="97">
        <v>20.562000000000001</v>
      </c>
      <c r="F18" s="97">
        <v>18.870999999999999</v>
      </c>
      <c r="G18" s="97">
        <v>10.221</v>
      </c>
      <c r="H18" s="97">
        <v>19.379000000000001</v>
      </c>
      <c r="I18" s="97">
        <v>12.483000000000001</v>
      </c>
      <c r="J18" s="97">
        <v>41.332999999999998</v>
      </c>
      <c r="K18" s="97">
        <v>13.53</v>
      </c>
      <c r="L18" s="97">
        <v>13.824</v>
      </c>
      <c r="N18" s="97"/>
      <c r="O18" s="97"/>
      <c r="P18" s="97"/>
      <c r="Q18" s="97"/>
      <c r="R18" s="97"/>
      <c r="S18" s="97"/>
      <c r="T18" s="97"/>
      <c r="U18" s="97"/>
      <c r="V18" s="97"/>
      <c r="W18" s="97"/>
    </row>
    <row r="19" spans="1:23" x14ac:dyDescent="0.25">
      <c r="A19" s="197" t="s">
        <v>191</v>
      </c>
      <c r="B19" s="4" t="s">
        <v>17</v>
      </c>
      <c r="C19" s="5">
        <v>17.568999999999999</v>
      </c>
      <c r="D19" s="5">
        <v>9.0790000000000006</v>
      </c>
      <c r="E19" s="5">
        <v>24.036000000000001</v>
      </c>
      <c r="F19" s="5">
        <v>20.85</v>
      </c>
      <c r="G19" s="5">
        <v>12.685</v>
      </c>
      <c r="H19" s="5">
        <v>19.085000000000001</v>
      </c>
      <c r="I19" s="5">
        <v>16.423999999999999</v>
      </c>
      <c r="J19" s="5">
        <v>44.122</v>
      </c>
      <c r="K19" s="8">
        <v>16.914999999999999</v>
      </c>
      <c r="L19" s="5">
        <v>17.204000000000001</v>
      </c>
      <c r="N19" s="5"/>
      <c r="O19" s="5"/>
      <c r="P19" s="5"/>
      <c r="Q19" s="5"/>
      <c r="R19" s="5"/>
      <c r="S19" s="5"/>
      <c r="T19" s="5"/>
      <c r="U19" s="5"/>
      <c r="V19" s="8"/>
      <c r="W19" s="5"/>
    </row>
    <row r="20" spans="1:23" x14ac:dyDescent="0.25">
      <c r="A20" s="197"/>
      <c r="B20" s="4" t="s">
        <v>21</v>
      </c>
      <c r="C20" s="5">
        <v>5.0049999999999999</v>
      </c>
      <c r="D20" s="5">
        <v>2.198</v>
      </c>
      <c r="E20" s="5">
        <v>9.6479999999999997</v>
      </c>
      <c r="F20" s="5">
        <v>5.1520000000000001</v>
      </c>
      <c r="G20" s="5">
        <v>3.5720000000000001</v>
      </c>
      <c r="H20" s="5">
        <v>7.9260000000000002</v>
      </c>
      <c r="I20" s="5">
        <v>6.9349999999999996</v>
      </c>
      <c r="J20" s="5">
        <v>8.2260000000000009</v>
      </c>
      <c r="K20" s="5">
        <v>5.3289999999999997</v>
      </c>
      <c r="L20" s="5">
        <v>5.36</v>
      </c>
      <c r="N20" s="5"/>
      <c r="O20" s="5"/>
      <c r="P20" s="5"/>
      <c r="Q20" s="5"/>
      <c r="R20" s="5"/>
      <c r="S20" s="5"/>
      <c r="T20" s="5"/>
      <c r="U20" s="5"/>
      <c r="V20" s="5"/>
      <c r="W20" s="5"/>
    </row>
    <row r="21" spans="1:23" x14ac:dyDescent="0.25">
      <c r="A21" s="197"/>
      <c r="B21" s="95" t="s">
        <v>11</v>
      </c>
      <c r="C21" s="94">
        <v>11.49</v>
      </c>
      <c r="D21" s="97">
        <v>5.734</v>
      </c>
      <c r="E21" s="94">
        <v>17.061</v>
      </c>
      <c r="F21" s="97">
        <v>13.234999999999999</v>
      </c>
      <c r="G21" s="97">
        <v>8.2449999999999992</v>
      </c>
      <c r="H21" s="97">
        <v>13.708</v>
      </c>
      <c r="I21" s="97">
        <v>11.819000000000001</v>
      </c>
      <c r="J21" s="97">
        <v>26.794</v>
      </c>
      <c r="K21" s="97">
        <v>11.297000000000001</v>
      </c>
      <c r="L21" s="97">
        <v>11.461</v>
      </c>
      <c r="N21" s="94"/>
      <c r="O21" s="97"/>
      <c r="P21" s="94"/>
      <c r="Q21" s="97"/>
      <c r="R21" s="97"/>
      <c r="S21" s="97"/>
      <c r="T21" s="97"/>
      <c r="U21" s="97"/>
      <c r="V21" s="97"/>
      <c r="W21" s="97"/>
    </row>
    <row r="22" spans="1:23" x14ac:dyDescent="0.25">
      <c r="A22" s="197" t="s">
        <v>192</v>
      </c>
      <c r="B22" s="4" t="s">
        <v>17</v>
      </c>
      <c r="C22" s="5">
        <v>15.808</v>
      </c>
      <c r="D22" s="5">
        <v>7.3250000000000002</v>
      </c>
      <c r="E22" s="5">
        <v>23.055</v>
      </c>
      <c r="F22" s="5">
        <v>21.277999999999999</v>
      </c>
      <c r="G22" s="5">
        <v>13.885</v>
      </c>
      <c r="H22" s="5">
        <v>13.62</v>
      </c>
      <c r="I22" s="5">
        <v>10.967000000000001</v>
      </c>
      <c r="J22" s="5">
        <v>61.622</v>
      </c>
      <c r="K22" s="5">
        <v>15.645</v>
      </c>
      <c r="L22" s="5">
        <v>16.126000000000001</v>
      </c>
      <c r="N22" s="5"/>
      <c r="O22" s="5"/>
      <c r="P22" s="5"/>
      <c r="Q22" s="5"/>
      <c r="R22" s="5"/>
      <c r="S22" s="5"/>
      <c r="T22" s="5"/>
      <c r="U22" s="5"/>
      <c r="V22" s="5"/>
      <c r="W22" s="5"/>
    </row>
    <row r="23" spans="1:23" x14ac:dyDescent="0.25">
      <c r="A23" s="197"/>
      <c r="B23" s="4" t="s">
        <v>21</v>
      </c>
      <c r="C23" s="5">
        <v>4.3360000000000003</v>
      </c>
      <c r="D23" s="5">
        <v>1.746</v>
      </c>
      <c r="E23" s="5">
        <v>9.7840000000000007</v>
      </c>
      <c r="F23" s="5">
        <v>5.8769999999999998</v>
      </c>
      <c r="G23" s="5">
        <v>3.609</v>
      </c>
      <c r="H23" s="5">
        <v>7.7290000000000001</v>
      </c>
      <c r="I23" s="5">
        <v>7.3330000000000002</v>
      </c>
      <c r="J23" s="5">
        <v>13.427</v>
      </c>
      <c r="K23" s="5">
        <v>5.1289999999999996</v>
      </c>
      <c r="L23" s="5">
        <v>5.2140000000000004</v>
      </c>
      <c r="N23" s="5"/>
      <c r="O23" s="5"/>
      <c r="P23" s="5"/>
      <c r="Q23" s="5"/>
      <c r="R23" s="5"/>
      <c r="S23" s="5"/>
      <c r="T23" s="5"/>
      <c r="U23" s="5"/>
      <c r="V23" s="5"/>
      <c r="W23" s="5"/>
    </row>
    <row r="24" spans="1:23" x14ac:dyDescent="0.25">
      <c r="A24" s="197"/>
      <c r="B24" s="95" t="s">
        <v>11</v>
      </c>
      <c r="C24" s="97">
        <v>10.268000000000001</v>
      </c>
      <c r="D24" s="97">
        <v>4.6210000000000004</v>
      </c>
      <c r="E24" s="97">
        <v>16.632999999999999</v>
      </c>
      <c r="F24" s="97">
        <v>13.811</v>
      </c>
      <c r="G24" s="97">
        <v>8.8759999999999994</v>
      </c>
      <c r="H24" s="97">
        <v>10.784000000000001</v>
      </c>
      <c r="I24" s="97">
        <v>9.2070000000000007</v>
      </c>
      <c r="J24" s="97">
        <v>38.375</v>
      </c>
      <c r="K24" s="97">
        <v>10.553000000000001</v>
      </c>
      <c r="L24" s="97">
        <v>10.843</v>
      </c>
      <c r="N24" s="97"/>
      <c r="O24" s="97"/>
      <c r="P24" s="97"/>
      <c r="Q24" s="97"/>
      <c r="R24" s="97"/>
      <c r="S24" s="97"/>
      <c r="T24" s="97"/>
      <c r="U24" s="97"/>
      <c r="V24" s="97"/>
      <c r="W24" s="97"/>
    </row>
    <row r="25" spans="1:23" x14ac:dyDescent="0.25">
      <c r="A25" s="197" t="s">
        <v>193</v>
      </c>
      <c r="B25" s="4" t="s">
        <v>17</v>
      </c>
      <c r="C25" s="5">
        <v>14.019</v>
      </c>
      <c r="D25" s="5">
        <v>6.1040000000000001</v>
      </c>
      <c r="E25" s="5">
        <v>22.303999999999998</v>
      </c>
      <c r="F25" s="5">
        <v>23.603000000000002</v>
      </c>
      <c r="G25" s="5">
        <v>15.455</v>
      </c>
      <c r="H25" s="5">
        <v>15.962999999999999</v>
      </c>
      <c r="I25" s="5">
        <v>11.94</v>
      </c>
      <c r="J25" s="5">
        <v>98.397999999999996</v>
      </c>
      <c r="K25" s="5">
        <v>15.041</v>
      </c>
      <c r="L25" s="5">
        <v>15.904</v>
      </c>
      <c r="N25" s="5"/>
      <c r="O25" s="5"/>
      <c r="P25" s="5"/>
      <c r="Q25" s="5"/>
      <c r="R25" s="5"/>
      <c r="S25" s="5"/>
      <c r="T25" s="5"/>
      <c r="U25" s="5"/>
      <c r="V25" s="5"/>
      <c r="W25" s="5"/>
    </row>
    <row r="26" spans="1:23" x14ac:dyDescent="0.25">
      <c r="A26" s="197"/>
      <c r="B26" s="4" t="s">
        <v>21</v>
      </c>
      <c r="C26" s="5">
        <v>3.7869999999999999</v>
      </c>
      <c r="D26" s="5">
        <v>1.113</v>
      </c>
      <c r="E26" s="5">
        <v>8.7530000000000001</v>
      </c>
      <c r="F26" s="5">
        <v>7.3289999999999997</v>
      </c>
      <c r="G26" s="5">
        <v>5.6639999999999997</v>
      </c>
      <c r="H26" s="5">
        <v>8.4960000000000004</v>
      </c>
      <c r="I26" s="5">
        <v>6.9880000000000004</v>
      </c>
      <c r="J26" s="5">
        <v>23.748000000000001</v>
      </c>
      <c r="K26" s="5">
        <v>4.8819999999999997</v>
      </c>
      <c r="L26" s="5">
        <v>5.077</v>
      </c>
      <c r="N26" s="5"/>
      <c r="O26" s="5"/>
      <c r="P26" s="5"/>
      <c r="Q26" s="5"/>
      <c r="R26" s="5"/>
      <c r="S26" s="5"/>
      <c r="T26" s="5"/>
      <c r="U26" s="5"/>
      <c r="V26" s="5"/>
      <c r="W26" s="5"/>
    </row>
    <row r="27" spans="1:23" x14ac:dyDescent="0.25">
      <c r="A27" s="197"/>
      <c r="B27" s="95" t="s">
        <v>11</v>
      </c>
      <c r="C27" s="97">
        <v>9.07</v>
      </c>
      <c r="D27" s="97">
        <v>3.68</v>
      </c>
      <c r="E27" s="97">
        <v>15.743</v>
      </c>
      <c r="F27" s="97">
        <v>15.702</v>
      </c>
      <c r="G27" s="97">
        <v>10.69</v>
      </c>
      <c r="H27" s="97">
        <v>12.368</v>
      </c>
      <c r="I27" s="97">
        <v>9.5359999999999996</v>
      </c>
      <c r="J27" s="97">
        <v>62.344999999999999</v>
      </c>
      <c r="K27" s="97">
        <v>10.117000000000001</v>
      </c>
      <c r="L27" s="97">
        <v>10.657</v>
      </c>
      <c r="N27" s="97"/>
      <c r="O27" s="97"/>
      <c r="P27" s="97"/>
      <c r="Q27" s="97"/>
      <c r="R27" s="97"/>
      <c r="S27" s="97"/>
      <c r="T27" s="97"/>
      <c r="U27" s="97"/>
      <c r="V27" s="97"/>
      <c r="W27" s="97"/>
    </row>
    <row r="28" spans="1:23" x14ac:dyDescent="0.25">
      <c r="A28" s="197" t="s">
        <v>194</v>
      </c>
      <c r="B28" s="4" t="s">
        <v>17</v>
      </c>
      <c r="C28" s="5">
        <v>13.242000000000001</v>
      </c>
      <c r="D28" s="5">
        <v>5.4729999999999999</v>
      </c>
      <c r="E28" s="5">
        <v>21.808</v>
      </c>
      <c r="F28" s="5">
        <v>21.538</v>
      </c>
      <c r="G28" s="5">
        <v>16.66</v>
      </c>
      <c r="H28" s="5">
        <v>19.497</v>
      </c>
      <c r="I28" s="5">
        <v>19.891999999999999</v>
      </c>
      <c r="J28" s="5" t="s">
        <v>114</v>
      </c>
      <c r="K28" s="5">
        <v>14.558</v>
      </c>
      <c r="L28" s="5" t="s">
        <v>114</v>
      </c>
      <c r="N28" s="5"/>
      <c r="O28" s="5"/>
      <c r="P28" s="5"/>
      <c r="Q28" s="5"/>
      <c r="R28" s="5"/>
      <c r="S28" s="5"/>
      <c r="T28" s="5"/>
      <c r="U28" s="5"/>
      <c r="V28" s="5"/>
      <c r="W28" s="5"/>
    </row>
    <row r="29" spans="1:23" x14ac:dyDescent="0.25">
      <c r="A29" s="197"/>
      <c r="B29" s="4" t="s">
        <v>21</v>
      </c>
      <c r="C29" s="5">
        <v>4.0129999999999999</v>
      </c>
      <c r="D29" s="5">
        <v>1.0109999999999999</v>
      </c>
      <c r="E29" s="5">
        <v>8.9969999999999999</v>
      </c>
      <c r="F29" s="5">
        <v>7.19</v>
      </c>
      <c r="G29" s="5">
        <v>7.4909999999999997</v>
      </c>
      <c r="H29" s="5">
        <v>9.1110000000000007</v>
      </c>
      <c r="I29" s="5">
        <v>12.803000000000001</v>
      </c>
      <c r="J29" s="5" t="s">
        <v>114</v>
      </c>
      <c r="K29" s="5">
        <v>5.1630000000000003</v>
      </c>
      <c r="L29" s="5" t="s">
        <v>114</v>
      </c>
      <c r="N29" s="5"/>
      <c r="O29" s="5"/>
      <c r="P29" s="5"/>
      <c r="Q29" s="5"/>
      <c r="R29" s="5"/>
      <c r="S29" s="5"/>
      <c r="T29" s="5"/>
      <c r="U29" s="5"/>
      <c r="V29" s="5"/>
      <c r="W29" s="5"/>
    </row>
    <row r="30" spans="1:23" x14ac:dyDescent="0.25">
      <c r="A30" s="197"/>
      <c r="B30" s="95" t="s">
        <v>11</v>
      </c>
      <c r="C30" s="97">
        <v>8.7750000000000004</v>
      </c>
      <c r="D30" s="97">
        <v>3.3010000000000002</v>
      </c>
      <c r="E30" s="97">
        <v>15.595000000000001</v>
      </c>
      <c r="F30" s="97">
        <v>14.565</v>
      </c>
      <c r="G30" s="97">
        <v>12.191000000000001</v>
      </c>
      <c r="H30" s="97">
        <v>14.52</v>
      </c>
      <c r="I30" s="97">
        <v>16.454999999999998</v>
      </c>
      <c r="J30" s="97" t="s">
        <v>114</v>
      </c>
      <c r="K30" s="97">
        <v>10</v>
      </c>
      <c r="L30" s="97" t="s">
        <v>114</v>
      </c>
      <c r="N30" s="97"/>
      <c r="O30" s="97"/>
      <c r="P30" s="97"/>
      <c r="Q30" s="97"/>
      <c r="R30" s="97"/>
      <c r="S30" s="97"/>
      <c r="T30" s="97"/>
      <c r="U30" s="5"/>
      <c r="V30" s="97"/>
      <c r="W30" s="97"/>
    </row>
    <row r="31" spans="1:23" x14ac:dyDescent="0.25">
      <c r="A31" s="197" t="s">
        <v>284</v>
      </c>
      <c r="B31" s="4" t="s">
        <v>17</v>
      </c>
      <c r="C31" s="5">
        <v>13.356</v>
      </c>
      <c r="D31" s="5">
        <v>5.851</v>
      </c>
      <c r="E31" s="5">
        <v>20.475999999999999</v>
      </c>
      <c r="F31" s="5">
        <v>18.655999999999999</v>
      </c>
      <c r="G31" s="5">
        <v>13.596</v>
      </c>
      <c r="H31" s="5">
        <v>23.474</v>
      </c>
      <c r="I31" s="5">
        <v>19.013000000000002</v>
      </c>
      <c r="J31" s="5" t="s">
        <v>114</v>
      </c>
      <c r="K31" s="8">
        <v>13.927</v>
      </c>
      <c r="L31" s="5" t="s">
        <v>114</v>
      </c>
      <c r="N31" s="5"/>
      <c r="O31" s="5"/>
      <c r="P31" s="5"/>
      <c r="Q31" s="5"/>
      <c r="R31" s="5"/>
      <c r="S31" s="5"/>
      <c r="T31" s="5"/>
      <c r="U31" s="5"/>
      <c r="V31" s="8"/>
      <c r="W31" s="5"/>
    </row>
    <row r="32" spans="1:23" x14ac:dyDescent="0.25">
      <c r="A32" s="197"/>
      <c r="B32" s="4" t="s">
        <v>21</v>
      </c>
      <c r="C32" s="5">
        <v>4.1230000000000002</v>
      </c>
      <c r="D32" s="5">
        <v>0.87</v>
      </c>
      <c r="E32" s="5">
        <v>8.7409999999999997</v>
      </c>
      <c r="F32" s="5">
        <v>5.4880000000000004</v>
      </c>
      <c r="G32" s="5">
        <v>5.1219999999999999</v>
      </c>
      <c r="H32" s="5">
        <v>11.489000000000001</v>
      </c>
      <c r="I32" s="5">
        <v>8.7219999999999995</v>
      </c>
      <c r="J32" s="5" t="s">
        <v>114</v>
      </c>
      <c r="K32" s="5">
        <v>4.7460000000000004</v>
      </c>
      <c r="L32" s="5" t="s">
        <v>114</v>
      </c>
      <c r="N32" s="5"/>
      <c r="O32" s="5"/>
      <c r="P32" s="5"/>
      <c r="Q32" s="5"/>
      <c r="R32" s="5"/>
      <c r="S32" s="5"/>
      <c r="T32" s="5"/>
      <c r="U32" s="5"/>
      <c r="V32" s="5"/>
      <c r="W32" s="5"/>
    </row>
    <row r="33" spans="1:23" x14ac:dyDescent="0.25">
      <c r="A33" s="197"/>
      <c r="B33" s="95" t="s">
        <v>11</v>
      </c>
      <c r="C33" s="97">
        <v>8.8919999999999995</v>
      </c>
      <c r="D33" s="97">
        <v>3.4260000000000002</v>
      </c>
      <c r="E33" s="97">
        <v>14.79</v>
      </c>
      <c r="F33" s="97">
        <v>12.252000000000001</v>
      </c>
      <c r="G33" s="97">
        <v>9.4969999999999999</v>
      </c>
      <c r="H33" s="97">
        <v>17.84</v>
      </c>
      <c r="I33" s="97">
        <v>13.991</v>
      </c>
      <c r="J33" s="97" t="s">
        <v>114</v>
      </c>
      <c r="K33" s="97">
        <v>9.4789999999999992</v>
      </c>
      <c r="L33" s="97" t="s">
        <v>114</v>
      </c>
      <c r="N33" s="97"/>
      <c r="O33" s="97"/>
      <c r="P33" s="97"/>
      <c r="Q33" s="97"/>
      <c r="R33" s="97"/>
      <c r="S33" s="97"/>
      <c r="T33" s="97"/>
      <c r="U33" s="5"/>
      <c r="V33" s="97"/>
      <c r="W33" s="97"/>
    </row>
    <row r="34" spans="1:23" ht="3" customHeight="1" x14ac:dyDescent="0.25">
      <c r="A34" s="2"/>
    </row>
    <row r="35" spans="1:23" ht="11.1" customHeight="1" x14ac:dyDescent="0.25">
      <c r="A35" s="195" t="s">
        <v>23</v>
      </c>
      <c r="B35" s="195"/>
      <c r="C35" s="195"/>
      <c r="D35" s="195"/>
      <c r="E35" s="195"/>
      <c r="F35" s="195"/>
      <c r="G35" s="195"/>
      <c r="H35" s="195"/>
      <c r="I35" s="195"/>
      <c r="J35" s="195"/>
      <c r="K35" s="198"/>
      <c r="L35" s="195"/>
    </row>
    <row r="36" spans="1:23" s="6" customFormat="1" ht="11.1" customHeight="1" x14ac:dyDescent="0.15">
      <c r="A36" s="6" t="s">
        <v>41</v>
      </c>
    </row>
    <row r="37" spans="1:23" s="6" customFormat="1" ht="11.1" customHeight="1" x14ac:dyDescent="0.15">
      <c r="A37" s="6" t="s">
        <v>32</v>
      </c>
    </row>
    <row r="38" spans="1:23" s="6" customFormat="1" ht="17.25" customHeight="1" x14ac:dyDescent="0.15">
      <c r="A38" s="186" t="s">
        <v>26</v>
      </c>
      <c r="B38" s="186"/>
      <c r="C38" s="186"/>
      <c r="D38" s="186"/>
      <c r="E38" s="186"/>
      <c r="F38" s="186"/>
      <c r="G38" s="186"/>
      <c r="H38" s="186"/>
      <c r="I38" s="186"/>
      <c r="J38" s="186"/>
      <c r="K38" s="186"/>
      <c r="L38" s="186"/>
    </row>
    <row r="39" spans="1:23" s="6" customFormat="1" ht="11.25" customHeight="1" x14ac:dyDescent="0.15">
      <c r="A39" s="186" t="s">
        <v>369</v>
      </c>
      <c r="B39" s="186"/>
      <c r="C39" s="186"/>
      <c r="D39" s="186"/>
      <c r="E39" s="186"/>
      <c r="F39" s="186"/>
      <c r="G39" s="186"/>
      <c r="H39" s="186"/>
      <c r="I39" s="186"/>
      <c r="J39" s="186"/>
      <c r="K39" s="186"/>
      <c r="L39" s="186"/>
    </row>
    <row r="40" spans="1:23" s="6" customFormat="1" ht="11.25" customHeight="1" x14ac:dyDescent="0.15">
      <c r="A40" s="6" t="s">
        <v>205</v>
      </c>
      <c r="B40" s="92"/>
      <c r="C40" s="92"/>
      <c r="D40" s="92"/>
      <c r="E40" s="92"/>
      <c r="F40" s="92"/>
      <c r="G40" s="92"/>
      <c r="H40" s="92"/>
      <c r="I40" s="92"/>
      <c r="J40" s="92"/>
      <c r="K40" s="92"/>
      <c r="L40" s="92"/>
    </row>
    <row r="41" spans="1:23" s="6" customFormat="1" ht="11.25" customHeight="1" x14ac:dyDescent="0.15">
      <c r="A41" s="6" t="s">
        <v>293</v>
      </c>
      <c r="B41" s="92"/>
      <c r="C41" s="92"/>
      <c r="D41" s="92"/>
      <c r="E41" s="92"/>
      <c r="F41" s="92"/>
      <c r="G41" s="92"/>
      <c r="H41" s="92"/>
      <c r="I41" s="92"/>
      <c r="J41" s="92"/>
      <c r="K41" s="92"/>
      <c r="L41" s="92"/>
    </row>
    <row r="42" spans="1:23" s="6" customFormat="1" ht="11.1" customHeight="1" x14ac:dyDescent="0.15"/>
    <row r="43" spans="1:23" s="6" customFormat="1" ht="11.1" customHeight="1" x14ac:dyDescent="0.15">
      <c r="A43" s="6" t="s">
        <v>405</v>
      </c>
      <c r="C43" s="149"/>
      <c r="D43" s="149"/>
      <c r="E43" s="149"/>
      <c r="F43" s="149"/>
      <c r="G43" s="149"/>
      <c r="H43" s="149"/>
      <c r="I43" s="149"/>
      <c r="J43" s="149"/>
      <c r="K43" s="149"/>
      <c r="L43" s="149"/>
    </row>
    <row r="44" spans="1:23" ht="12" customHeight="1" x14ac:dyDescent="0.25">
      <c r="A44" s="2"/>
    </row>
    <row r="45" spans="1:23" ht="27.95" customHeight="1" x14ac:dyDescent="0.25">
      <c r="A45" s="189" t="s">
        <v>402</v>
      </c>
      <c r="B45" s="189"/>
      <c r="C45" s="189"/>
      <c r="D45" s="189"/>
      <c r="E45" s="189"/>
      <c r="F45" s="189"/>
      <c r="G45" s="189"/>
      <c r="H45" s="189"/>
      <c r="I45" s="189"/>
      <c r="J45" s="189"/>
      <c r="K45" s="189"/>
      <c r="L45" s="189"/>
    </row>
    <row r="46" spans="1:23" ht="3" customHeight="1" x14ac:dyDescent="0.25">
      <c r="A46" s="2"/>
    </row>
    <row r="47" spans="1:23" x14ac:dyDescent="0.25">
      <c r="A47" s="44" t="s">
        <v>122</v>
      </c>
      <c r="B47" s="44" t="s">
        <v>119</v>
      </c>
      <c r="C47" s="3" t="s">
        <v>0</v>
      </c>
      <c r="D47" s="3" t="s">
        <v>1</v>
      </c>
      <c r="E47" s="3" t="s">
        <v>2</v>
      </c>
      <c r="F47" s="3" t="s">
        <v>3</v>
      </c>
      <c r="G47" s="3" t="s">
        <v>4</v>
      </c>
      <c r="H47" s="3" t="s">
        <v>5</v>
      </c>
      <c r="I47" s="3" t="s">
        <v>6</v>
      </c>
      <c r="J47" s="3" t="s">
        <v>7</v>
      </c>
      <c r="K47" s="3" t="s">
        <v>8</v>
      </c>
    </row>
    <row r="48" spans="1:23" x14ac:dyDescent="0.25">
      <c r="A48" s="199" t="s">
        <v>195</v>
      </c>
      <c r="B48" s="4" t="s">
        <v>17</v>
      </c>
      <c r="C48" s="5">
        <v>49.042000000000002</v>
      </c>
      <c r="D48" s="5">
        <v>37.598999999999997</v>
      </c>
      <c r="E48" s="5">
        <v>73.149000000000001</v>
      </c>
      <c r="F48" s="5">
        <v>98.875</v>
      </c>
      <c r="G48" s="5">
        <v>49.624000000000002</v>
      </c>
      <c r="H48" s="5">
        <v>47.231999999999999</v>
      </c>
      <c r="I48" s="5">
        <v>55.179000000000002</v>
      </c>
      <c r="J48" s="5">
        <v>168.44</v>
      </c>
      <c r="K48" s="5">
        <v>58.103000000000002</v>
      </c>
      <c r="M48" s="5"/>
      <c r="N48" s="5"/>
      <c r="O48" s="5"/>
      <c r="P48" s="5"/>
      <c r="Q48" s="5"/>
      <c r="R48" s="5"/>
      <c r="S48" s="5"/>
      <c r="T48" s="5"/>
      <c r="U48" s="5"/>
      <c r="W48" s="127"/>
    </row>
    <row r="49" spans="1:21" x14ac:dyDescent="0.25">
      <c r="A49" s="197"/>
      <c r="B49" s="4" t="s">
        <v>21</v>
      </c>
      <c r="C49" s="5">
        <v>12.837</v>
      </c>
      <c r="D49" s="5">
        <v>9.2560000000000002</v>
      </c>
      <c r="E49" s="5">
        <v>24.167000000000002</v>
      </c>
      <c r="F49" s="5">
        <v>21.829000000000001</v>
      </c>
      <c r="G49" s="5">
        <v>12.961</v>
      </c>
      <c r="H49" s="5">
        <v>11.202</v>
      </c>
      <c r="I49" s="5">
        <v>19.007000000000001</v>
      </c>
      <c r="J49" s="5">
        <v>49.615000000000002</v>
      </c>
      <c r="K49" s="5">
        <v>15.803000000000001</v>
      </c>
      <c r="M49" s="5"/>
      <c r="N49" s="5"/>
      <c r="O49" s="5"/>
      <c r="P49" s="5"/>
      <c r="Q49" s="5"/>
      <c r="R49" s="5"/>
      <c r="S49" s="5"/>
      <c r="T49" s="5"/>
      <c r="U49" s="5"/>
    </row>
    <row r="50" spans="1:21" x14ac:dyDescent="0.25">
      <c r="A50" s="197"/>
      <c r="B50" s="95" t="s">
        <v>11</v>
      </c>
      <c r="C50" s="97">
        <v>31.454000000000001</v>
      </c>
      <c r="D50" s="97">
        <v>23.785</v>
      </c>
      <c r="E50" s="97">
        <v>49.317</v>
      </c>
      <c r="F50" s="97">
        <v>61.265000000000001</v>
      </c>
      <c r="G50" s="97">
        <v>31.739000000000001</v>
      </c>
      <c r="H50" s="97">
        <v>29.841000000000001</v>
      </c>
      <c r="I50" s="97">
        <v>37.481000000000002</v>
      </c>
      <c r="J50" s="97">
        <v>111.31399999999999</v>
      </c>
      <c r="K50" s="97">
        <v>37.520000000000003</v>
      </c>
      <c r="M50" s="97"/>
      <c r="N50" s="97"/>
      <c r="O50" s="97"/>
      <c r="P50" s="97"/>
      <c r="Q50" s="97"/>
      <c r="R50" s="97"/>
      <c r="S50" s="97"/>
      <c r="T50" s="97"/>
      <c r="U50" s="97"/>
    </row>
    <row r="51" spans="1:21" x14ac:dyDescent="0.25">
      <c r="A51" s="197" t="s">
        <v>196</v>
      </c>
      <c r="B51" s="4" t="s">
        <v>17</v>
      </c>
      <c r="C51" s="5">
        <v>44.863</v>
      </c>
      <c r="D51" s="5">
        <v>34.097999999999999</v>
      </c>
      <c r="E51" s="5">
        <v>67.682000000000002</v>
      </c>
      <c r="F51" s="5">
        <v>95.149000000000001</v>
      </c>
      <c r="G51" s="5">
        <v>47.134999999999998</v>
      </c>
      <c r="H51" s="5">
        <v>50.41</v>
      </c>
      <c r="I51" s="5">
        <v>52.81</v>
      </c>
      <c r="J51" s="5">
        <v>171.84800000000001</v>
      </c>
      <c r="K51" s="5">
        <v>54.226999999999997</v>
      </c>
      <c r="M51" s="5"/>
      <c r="N51" s="5"/>
      <c r="O51" s="5"/>
      <c r="P51" s="5"/>
      <c r="Q51" s="5"/>
      <c r="R51" s="5"/>
      <c r="S51" s="5"/>
      <c r="T51" s="5"/>
      <c r="U51" s="5"/>
    </row>
    <row r="52" spans="1:21" x14ac:dyDescent="0.25">
      <c r="A52" s="197"/>
      <c r="B52" s="4" t="s">
        <v>21</v>
      </c>
      <c r="C52" s="5">
        <v>12.266</v>
      </c>
      <c r="D52" s="5">
        <v>8.1440000000000001</v>
      </c>
      <c r="E52" s="5">
        <v>23.818000000000001</v>
      </c>
      <c r="F52" s="5">
        <v>21.506</v>
      </c>
      <c r="G52" s="5">
        <v>13.78</v>
      </c>
      <c r="H52" s="5">
        <v>17.789000000000001</v>
      </c>
      <c r="I52" s="5">
        <v>16.344999999999999</v>
      </c>
      <c r="J52" s="5">
        <v>45.222999999999999</v>
      </c>
      <c r="K52" s="5">
        <v>15.346</v>
      </c>
      <c r="M52" s="5"/>
      <c r="N52" s="5"/>
      <c r="O52" s="5"/>
      <c r="P52" s="5"/>
      <c r="Q52" s="5"/>
      <c r="R52" s="5"/>
      <c r="S52" s="5"/>
      <c r="T52" s="5"/>
      <c r="U52" s="5"/>
    </row>
    <row r="53" spans="1:21" x14ac:dyDescent="0.25">
      <c r="A53" s="197"/>
      <c r="B53" s="95" t="s">
        <v>11</v>
      </c>
      <c r="C53" s="97">
        <v>29.047999999999998</v>
      </c>
      <c r="D53" s="97">
        <v>21.45</v>
      </c>
      <c r="E53" s="97">
        <v>46.344000000000001</v>
      </c>
      <c r="F53" s="97">
        <v>59.183</v>
      </c>
      <c r="G53" s="97">
        <v>30.856999999999999</v>
      </c>
      <c r="H53" s="97">
        <v>34.69</v>
      </c>
      <c r="I53" s="97">
        <v>34.987000000000002</v>
      </c>
      <c r="J53" s="97">
        <v>110.869</v>
      </c>
      <c r="K53" s="97">
        <v>35.313000000000002</v>
      </c>
      <c r="M53" s="97"/>
      <c r="N53" s="97"/>
      <c r="O53" s="97"/>
      <c r="P53" s="97"/>
      <c r="Q53" s="97"/>
      <c r="R53" s="97"/>
      <c r="S53" s="97"/>
      <c r="T53" s="97"/>
      <c r="U53" s="97"/>
    </row>
    <row r="54" spans="1:21" x14ac:dyDescent="0.25">
      <c r="A54" s="197" t="s">
        <v>197</v>
      </c>
      <c r="B54" s="4" t="s">
        <v>17</v>
      </c>
      <c r="C54" s="5">
        <v>41.667000000000002</v>
      </c>
      <c r="D54" s="5">
        <v>31.353999999999999</v>
      </c>
      <c r="E54" s="5">
        <v>73.078999999999994</v>
      </c>
      <c r="F54" s="5">
        <v>90.930999999999997</v>
      </c>
      <c r="G54" s="5">
        <v>43.326000000000001</v>
      </c>
      <c r="H54" s="5">
        <v>50.872</v>
      </c>
      <c r="I54" s="5">
        <v>54.488999999999997</v>
      </c>
      <c r="J54" s="5">
        <v>155.96600000000001</v>
      </c>
      <c r="K54" s="5">
        <v>52.859000000000002</v>
      </c>
      <c r="M54" s="5"/>
      <c r="N54" s="5"/>
      <c r="O54" s="5"/>
      <c r="P54" s="5"/>
      <c r="Q54" s="5"/>
      <c r="R54" s="5"/>
      <c r="S54" s="5"/>
      <c r="T54" s="5"/>
      <c r="U54" s="5"/>
    </row>
    <row r="55" spans="1:21" x14ac:dyDescent="0.25">
      <c r="A55" s="197"/>
      <c r="B55" s="4" t="s">
        <v>21</v>
      </c>
      <c r="C55" s="5">
        <v>12.696</v>
      </c>
      <c r="D55" s="5">
        <v>7.57</v>
      </c>
      <c r="E55" s="5">
        <v>25.33</v>
      </c>
      <c r="F55" s="5">
        <v>22.018999999999998</v>
      </c>
      <c r="G55" s="5">
        <v>11.478999999999999</v>
      </c>
      <c r="H55" s="5">
        <v>20.506</v>
      </c>
      <c r="I55" s="5">
        <v>21.311</v>
      </c>
      <c r="J55" s="5">
        <v>29.14</v>
      </c>
      <c r="K55" s="5">
        <v>15.528</v>
      </c>
      <c r="M55" s="5"/>
      <c r="N55" s="5"/>
      <c r="O55" s="5"/>
      <c r="P55" s="5"/>
      <c r="Q55" s="5"/>
      <c r="R55" s="5"/>
      <c r="S55" s="5"/>
      <c r="T55" s="5"/>
      <c r="U55" s="5"/>
    </row>
    <row r="56" spans="1:21" x14ac:dyDescent="0.25">
      <c r="A56" s="197"/>
      <c r="B56" s="95" t="s">
        <v>11</v>
      </c>
      <c r="C56" s="97">
        <v>27.617999999999999</v>
      </c>
      <c r="D56" s="97">
        <v>19.783000000000001</v>
      </c>
      <c r="E56" s="97">
        <v>49.917999999999999</v>
      </c>
      <c r="F56" s="97">
        <v>57.329000000000001</v>
      </c>
      <c r="G56" s="97">
        <v>27.776</v>
      </c>
      <c r="H56" s="97">
        <v>36.218000000000004</v>
      </c>
      <c r="I56" s="97">
        <v>38.328000000000003</v>
      </c>
      <c r="J56" s="97">
        <v>94.671999999999997</v>
      </c>
      <c r="K56" s="97">
        <v>34.722999999999999</v>
      </c>
      <c r="M56" s="97"/>
      <c r="N56" s="97"/>
      <c r="O56" s="97"/>
      <c r="P56" s="97"/>
      <c r="Q56" s="97"/>
      <c r="R56" s="97"/>
      <c r="S56" s="97"/>
      <c r="T56" s="97"/>
      <c r="U56" s="97"/>
    </row>
    <row r="57" spans="1:21" x14ac:dyDescent="0.25">
      <c r="A57" s="197" t="s">
        <v>198</v>
      </c>
      <c r="B57" s="4" t="s">
        <v>17</v>
      </c>
      <c r="C57" s="5">
        <v>41.143000000000001</v>
      </c>
      <c r="D57" s="5">
        <v>28.042000000000002</v>
      </c>
      <c r="E57" s="5">
        <v>72.340999999999994</v>
      </c>
      <c r="F57" s="5">
        <v>85.751999999999995</v>
      </c>
      <c r="G57" s="5">
        <v>38.875</v>
      </c>
      <c r="H57" s="5">
        <v>56.694000000000003</v>
      </c>
      <c r="I57" s="5">
        <v>50.191000000000003</v>
      </c>
      <c r="J57" s="5">
        <v>173.489</v>
      </c>
      <c r="K57" s="5">
        <v>51.128999999999998</v>
      </c>
      <c r="M57" s="5"/>
      <c r="N57" s="5"/>
      <c r="O57" s="5"/>
      <c r="P57" s="5"/>
      <c r="Q57" s="5"/>
      <c r="R57" s="5"/>
      <c r="S57" s="5"/>
      <c r="T57" s="5"/>
      <c r="U57" s="5"/>
    </row>
    <row r="58" spans="1:21" x14ac:dyDescent="0.25">
      <c r="A58" s="197"/>
      <c r="B58" s="4" t="s">
        <v>21</v>
      </c>
      <c r="C58" s="5">
        <v>13.189</v>
      </c>
      <c r="D58" s="5">
        <v>7.9729999999999999</v>
      </c>
      <c r="E58" s="5">
        <v>26.58</v>
      </c>
      <c r="F58" s="5">
        <v>24.288</v>
      </c>
      <c r="G58" s="5">
        <v>8.5579999999999998</v>
      </c>
      <c r="H58" s="5">
        <v>21.800999999999998</v>
      </c>
      <c r="I58" s="5">
        <v>18.555</v>
      </c>
      <c r="J58" s="5">
        <v>33.426000000000002</v>
      </c>
      <c r="K58" s="5">
        <v>16.132000000000001</v>
      </c>
      <c r="M58" s="5"/>
      <c r="N58" s="5"/>
      <c r="O58" s="5"/>
      <c r="P58" s="5"/>
      <c r="Q58" s="5"/>
      <c r="R58" s="5"/>
      <c r="S58" s="5"/>
      <c r="T58" s="5"/>
      <c r="U58" s="5"/>
    </row>
    <row r="59" spans="1:21" x14ac:dyDescent="0.25">
      <c r="A59" s="197"/>
      <c r="B59" s="95" t="s">
        <v>11</v>
      </c>
      <c r="C59" s="97">
        <v>27.593</v>
      </c>
      <c r="D59" s="97">
        <v>18.303999999999998</v>
      </c>
      <c r="E59" s="97">
        <v>50.180999999999997</v>
      </c>
      <c r="F59" s="97">
        <v>55.88</v>
      </c>
      <c r="G59" s="97">
        <v>24.055</v>
      </c>
      <c r="H59" s="97">
        <v>39.822000000000003</v>
      </c>
      <c r="I59" s="97">
        <v>34.805</v>
      </c>
      <c r="J59" s="97">
        <v>105.48699999999999</v>
      </c>
      <c r="K59" s="97">
        <v>34.15</v>
      </c>
      <c r="M59" s="97"/>
      <c r="N59" s="97"/>
      <c r="O59" s="97"/>
      <c r="P59" s="97"/>
      <c r="Q59" s="97"/>
      <c r="R59" s="97"/>
      <c r="S59" s="97"/>
      <c r="T59" s="97"/>
      <c r="U59" s="97"/>
    </row>
    <row r="60" spans="1:21" x14ac:dyDescent="0.25">
      <c r="A60" s="197" t="s">
        <v>190</v>
      </c>
      <c r="B60" s="4" t="s">
        <v>17</v>
      </c>
      <c r="C60" s="5">
        <v>38.868000000000002</v>
      </c>
      <c r="D60" s="5">
        <v>26.178000000000001</v>
      </c>
      <c r="E60" s="5">
        <v>56.890999999999998</v>
      </c>
      <c r="F60" s="5">
        <v>75.661000000000001</v>
      </c>
      <c r="G60" s="5">
        <v>37.115000000000002</v>
      </c>
      <c r="H60" s="5">
        <v>52.029000000000003</v>
      </c>
      <c r="I60" s="5">
        <v>43.308999999999997</v>
      </c>
      <c r="J60" s="5">
        <v>162.602</v>
      </c>
      <c r="K60" s="5">
        <v>45.122</v>
      </c>
      <c r="M60" s="5"/>
      <c r="N60" s="5"/>
      <c r="O60" s="5"/>
      <c r="P60" s="5"/>
      <c r="Q60" s="5"/>
      <c r="R60" s="5"/>
      <c r="S60" s="5"/>
      <c r="T60" s="5"/>
      <c r="U60" s="5"/>
    </row>
    <row r="61" spans="1:21" x14ac:dyDescent="0.25">
      <c r="A61" s="197"/>
      <c r="B61" s="4" t="s">
        <v>21</v>
      </c>
      <c r="C61" s="5">
        <v>12.422000000000001</v>
      </c>
      <c r="D61" s="5">
        <v>7.5019999999999998</v>
      </c>
      <c r="E61" s="5">
        <v>23.039000000000001</v>
      </c>
      <c r="F61" s="5">
        <v>21.123000000000001</v>
      </c>
      <c r="G61" s="5">
        <v>8.5579999999999998</v>
      </c>
      <c r="H61" s="5">
        <v>21.076000000000001</v>
      </c>
      <c r="I61" s="5">
        <v>17.059999999999999</v>
      </c>
      <c r="J61" s="5">
        <v>30.164000000000001</v>
      </c>
      <c r="K61" s="5">
        <v>14.606</v>
      </c>
      <c r="M61" s="5"/>
      <c r="N61" s="5"/>
      <c r="O61" s="5"/>
      <c r="P61" s="5"/>
      <c r="Q61" s="5"/>
      <c r="R61" s="5"/>
      <c r="S61" s="5"/>
      <c r="T61" s="5"/>
      <c r="U61" s="5"/>
    </row>
    <row r="62" spans="1:21" x14ac:dyDescent="0.25">
      <c r="A62" s="197"/>
      <c r="B62" s="95" t="s">
        <v>11</v>
      </c>
      <c r="C62" s="97">
        <v>26.061</v>
      </c>
      <c r="D62" s="97">
        <v>17.116</v>
      </c>
      <c r="E62" s="97">
        <v>40.497</v>
      </c>
      <c r="F62" s="97">
        <v>49.201000000000001</v>
      </c>
      <c r="G62" s="97">
        <v>23.18</v>
      </c>
      <c r="H62" s="97">
        <v>37.076000000000001</v>
      </c>
      <c r="I62" s="97">
        <v>30.582000000000001</v>
      </c>
      <c r="J62" s="97">
        <v>98.442999999999998</v>
      </c>
      <c r="K62" s="97">
        <v>30.326000000000001</v>
      </c>
      <c r="M62" s="97"/>
      <c r="N62" s="97"/>
      <c r="O62" s="97"/>
      <c r="P62" s="97"/>
      <c r="Q62" s="97"/>
      <c r="R62" s="97"/>
      <c r="S62" s="97"/>
      <c r="T62" s="97"/>
      <c r="U62" s="97"/>
    </row>
    <row r="63" spans="1:21" x14ac:dyDescent="0.25">
      <c r="A63" s="197" t="s">
        <v>191</v>
      </c>
      <c r="B63" s="4" t="s">
        <v>17</v>
      </c>
      <c r="C63" s="5">
        <v>37.750999999999998</v>
      </c>
      <c r="D63" s="5">
        <v>21.413</v>
      </c>
      <c r="E63" s="5">
        <v>52.552999999999997</v>
      </c>
      <c r="F63" s="5">
        <v>60.601999999999997</v>
      </c>
      <c r="G63" s="5">
        <v>33.518999999999998</v>
      </c>
      <c r="H63" s="5">
        <v>43.851999999999997</v>
      </c>
      <c r="I63" s="5">
        <v>34.968000000000004</v>
      </c>
      <c r="J63" s="5">
        <v>142.291</v>
      </c>
      <c r="K63" s="5">
        <v>40.332000000000001</v>
      </c>
      <c r="M63" s="5"/>
      <c r="N63" s="5"/>
      <c r="O63" s="5"/>
      <c r="P63" s="5"/>
      <c r="Q63" s="5"/>
      <c r="R63" s="5"/>
      <c r="S63" s="5"/>
      <c r="T63" s="5"/>
      <c r="U63" s="5"/>
    </row>
    <row r="64" spans="1:21" x14ac:dyDescent="0.25">
      <c r="A64" s="197"/>
      <c r="B64" s="4" t="s">
        <v>21</v>
      </c>
      <c r="C64" s="5">
        <v>10.414999999999999</v>
      </c>
      <c r="D64" s="5">
        <v>5.2089999999999996</v>
      </c>
      <c r="E64" s="5">
        <v>19.076000000000001</v>
      </c>
      <c r="F64" s="5">
        <v>16.099</v>
      </c>
      <c r="G64" s="5">
        <v>9.1850000000000005</v>
      </c>
      <c r="H64" s="5">
        <v>18.465</v>
      </c>
      <c r="I64" s="5">
        <v>16.539000000000001</v>
      </c>
      <c r="J64" s="5">
        <v>22.792000000000002</v>
      </c>
      <c r="K64" s="5">
        <v>11.935</v>
      </c>
      <c r="M64" s="5"/>
      <c r="N64" s="5"/>
      <c r="O64" s="5"/>
      <c r="P64" s="5"/>
      <c r="Q64" s="5"/>
      <c r="R64" s="5"/>
      <c r="S64" s="5"/>
      <c r="T64" s="5"/>
      <c r="U64" s="5"/>
    </row>
    <row r="65" spans="1:21" x14ac:dyDescent="0.25">
      <c r="A65" s="197"/>
      <c r="B65" s="95" t="s">
        <v>11</v>
      </c>
      <c r="C65" s="97">
        <v>24.518000000000001</v>
      </c>
      <c r="D65" s="97">
        <v>13.537000000000001</v>
      </c>
      <c r="E65" s="97">
        <v>36.323</v>
      </c>
      <c r="F65" s="97">
        <v>39.012999999999998</v>
      </c>
      <c r="G65" s="97">
        <v>21.661999999999999</v>
      </c>
      <c r="H65" s="97">
        <v>31.617999999999999</v>
      </c>
      <c r="I65" s="97">
        <v>26.024999999999999</v>
      </c>
      <c r="J65" s="97">
        <v>84.603999999999999</v>
      </c>
      <c r="K65" s="97">
        <v>26.559000000000001</v>
      </c>
      <c r="M65" s="97"/>
      <c r="N65" s="97"/>
      <c r="O65" s="97"/>
      <c r="P65" s="97"/>
      <c r="Q65" s="97"/>
      <c r="R65" s="97"/>
      <c r="S65" s="97"/>
      <c r="T65" s="97"/>
      <c r="U65" s="97"/>
    </row>
    <row r="66" spans="1:21" x14ac:dyDescent="0.25">
      <c r="A66" s="197" t="s">
        <v>192</v>
      </c>
      <c r="B66" s="4" t="s">
        <v>17</v>
      </c>
      <c r="C66" s="5">
        <v>34.606999999999999</v>
      </c>
      <c r="D66" s="5">
        <v>17.37</v>
      </c>
      <c r="E66" s="5">
        <v>50.966000000000001</v>
      </c>
      <c r="F66" s="5">
        <v>59.707000000000001</v>
      </c>
      <c r="G66" s="5">
        <v>33.222999999999999</v>
      </c>
      <c r="H66" s="5">
        <v>31.72</v>
      </c>
      <c r="I66" s="5">
        <v>29.306999999999999</v>
      </c>
      <c r="J66" s="5">
        <v>174.41399999999999</v>
      </c>
      <c r="K66" s="5">
        <v>37.911000000000001</v>
      </c>
      <c r="M66" s="5"/>
      <c r="N66" s="5"/>
      <c r="O66" s="5"/>
      <c r="P66" s="5"/>
      <c r="Q66" s="5"/>
      <c r="R66" s="5"/>
      <c r="S66" s="5"/>
      <c r="T66" s="5"/>
      <c r="U66" s="5"/>
    </row>
    <row r="67" spans="1:21" x14ac:dyDescent="0.25">
      <c r="A67" s="197"/>
      <c r="B67" s="4" t="s">
        <v>21</v>
      </c>
      <c r="C67" s="5">
        <v>9.0519999999999996</v>
      </c>
      <c r="D67" s="5">
        <v>3.7229999999999999</v>
      </c>
      <c r="E67" s="5">
        <v>19.265999999999998</v>
      </c>
      <c r="F67" s="5">
        <v>17.204999999999998</v>
      </c>
      <c r="G67" s="5">
        <v>9.1859999999999999</v>
      </c>
      <c r="H67" s="5">
        <v>15.538</v>
      </c>
      <c r="I67" s="5">
        <v>16.082999999999998</v>
      </c>
      <c r="J67" s="5">
        <v>36.808</v>
      </c>
      <c r="K67" s="5">
        <v>11.398</v>
      </c>
      <c r="M67" s="5"/>
      <c r="N67" s="5"/>
      <c r="O67" s="5"/>
      <c r="P67" s="5"/>
      <c r="Q67" s="5"/>
      <c r="R67" s="5"/>
      <c r="S67" s="5"/>
      <c r="T67" s="5"/>
      <c r="U67" s="5"/>
    </row>
    <row r="68" spans="1:21" x14ac:dyDescent="0.25">
      <c r="A68" s="197"/>
      <c r="B68" s="95" t="s">
        <v>11</v>
      </c>
      <c r="C68" s="97">
        <v>22.265000000000001</v>
      </c>
      <c r="D68" s="97">
        <v>10.75</v>
      </c>
      <c r="E68" s="97">
        <v>35.606000000000002</v>
      </c>
      <c r="F68" s="97">
        <v>39.098999999999997</v>
      </c>
      <c r="G68" s="97">
        <v>21.504999999999999</v>
      </c>
      <c r="H68" s="97">
        <v>23.931000000000001</v>
      </c>
      <c r="I68" s="97">
        <v>22.901</v>
      </c>
      <c r="J68" s="97">
        <v>108.039</v>
      </c>
      <c r="K68" s="97">
        <v>25.067</v>
      </c>
      <c r="M68" s="97"/>
      <c r="N68" s="97"/>
      <c r="O68" s="97"/>
      <c r="P68" s="97"/>
      <c r="Q68" s="97"/>
      <c r="R68" s="97"/>
      <c r="S68" s="97"/>
      <c r="T68" s="97"/>
      <c r="U68" s="97"/>
    </row>
    <row r="69" spans="1:21" x14ac:dyDescent="0.25">
      <c r="A69" s="197" t="s">
        <v>193</v>
      </c>
      <c r="B69" s="4" t="s">
        <v>17</v>
      </c>
      <c r="C69" s="5">
        <v>31.651</v>
      </c>
      <c r="D69" s="5">
        <v>15.128</v>
      </c>
      <c r="E69" s="5">
        <v>49.877000000000002</v>
      </c>
      <c r="F69" s="5">
        <v>63.331000000000003</v>
      </c>
      <c r="G69" s="5">
        <v>38.213000000000001</v>
      </c>
      <c r="H69" s="5">
        <v>35.709000000000003</v>
      </c>
      <c r="I69" s="5">
        <v>34.020000000000003</v>
      </c>
      <c r="J69" s="5">
        <v>231.702</v>
      </c>
      <c r="K69" s="5">
        <v>37.673000000000002</v>
      </c>
      <c r="M69" s="5"/>
      <c r="N69" s="5"/>
      <c r="O69" s="5"/>
      <c r="P69" s="5"/>
      <c r="Q69" s="5"/>
      <c r="R69" s="5"/>
      <c r="S69" s="5"/>
      <c r="T69" s="5"/>
      <c r="U69" s="5"/>
    </row>
    <row r="70" spans="1:21" x14ac:dyDescent="0.25">
      <c r="A70" s="197"/>
      <c r="B70" s="4" t="s">
        <v>21</v>
      </c>
      <c r="C70" s="5">
        <v>8.5939999999999994</v>
      </c>
      <c r="D70" s="5">
        <v>2.6989999999999998</v>
      </c>
      <c r="E70" s="5">
        <v>18.207000000000001</v>
      </c>
      <c r="F70" s="5">
        <v>19.882000000000001</v>
      </c>
      <c r="G70" s="5">
        <v>15.394</v>
      </c>
      <c r="H70" s="5">
        <v>16.920000000000002</v>
      </c>
      <c r="I70" s="5">
        <v>15.648999999999999</v>
      </c>
      <c r="J70" s="5">
        <v>52.215000000000003</v>
      </c>
      <c r="K70" s="5">
        <v>11.664</v>
      </c>
      <c r="M70" s="5"/>
      <c r="N70" s="5"/>
      <c r="O70" s="5"/>
      <c r="P70" s="5"/>
      <c r="Q70" s="5"/>
      <c r="R70" s="5"/>
      <c r="S70" s="5"/>
      <c r="T70" s="5"/>
      <c r="U70" s="5"/>
    </row>
    <row r="71" spans="1:21" x14ac:dyDescent="0.25">
      <c r="A71" s="197"/>
      <c r="B71" s="95" t="s">
        <v>11</v>
      </c>
      <c r="C71" s="97">
        <v>20.515000000000001</v>
      </c>
      <c r="D71" s="97">
        <v>9.0960000000000001</v>
      </c>
      <c r="E71" s="97">
        <v>34.520000000000003</v>
      </c>
      <c r="F71" s="97">
        <v>42.235999999999997</v>
      </c>
      <c r="G71" s="97">
        <v>27.141999999999999</v>
      </c>
      <c r="H71" s="97">
        <v>26.663</v>
      </c>
      <c r="I71" s="97">
        <v>25.1</v>
      </c>
      <c r="J71" s="97">
        <v>145.47800000000001</v>
      </c>
      <c r="K71" s="97">
        <v>25.076000000000001</v>
      </c>
      <c r="M71" s="97"/>
      <c r="N71" s="97"/>
      <c r="O71" s="97"/>
      <c r="P71" s="97"/>
      <c r="Q71" s="97"/>
      <c r="R71" s="97"/>
      <c r="S71" s="97"/>
      <c r="T71" s="97"/>
      <c r="U71" s="97"/>
    </row>
    <row r="72" spans="1:21" x14ac:dyDescent="0.25">
      <c r="A72" s="197" t="s">
        <v>194</v>
      </c>
      <c r="B72" s="4" t="s">
        <v>17</v>
      </c>
      <c r="C72" s="5">
        <v>30.2</v>
      </c>
      <c r="D72" s="5">
        <v>13.507999999999999</v>
      </c>
      <c r="E72" s="5">
        <v>48.859000000000002</v>
      </c>
      <c r="F72" s="5">
        <v>58.99</v>
      </c>
      <c r="G72" s="5">
        <v>38.267000000000003</v>
      </c>
      <c r="H72" s="5">
        <v>42.484999999999999</v>
      </c>
      <c r="I72" s="5">
        <v>53.607999999999997</v>
      </c>
      <c r="J72" s="5">
        <v>404.90899999999999</v>
      </c>
      <c r="K72" s="5">
        <v>37.29</v>
      </c>
      <c r="M72" s="5"/>
      <c r="N72" s="5"/>
      <c r="O72" s="5"/>
      <c r="P72" s="5"/>
      <c r="Q72" s="5"/>
      <c r="R72" s="5"/>
      <c r="S72" s="5"/>
      <c r="T72" s="5"/>
      <c r="U72" s="5"/>
    </row>
    <row r="73" spans="1:21" x14ac:dyDescent="0.25">
      <c r="A73" s="197"/>
      <c r="B73" s="4" t="s">
        <v>21</v>
      </c>
      <c r="C73" s="5">
        <v>8.6080000000000005</v>
      </c>
      <c r="D73" s="5">
        <v>2.411</v>
      </c>
      <c r="E73" s="5">
        <v>18.457000000000001</v>
      </c>
      <c r="F73" s="5">
        <v>19.748999999999999</v>
      </c>
      <c r="G73" s="5">
        <v>16.748999999999999</v>
      </c>
      <c r="H73" s="5">
        <v>17.616</v>
      </c>
      <c r="I73" s="5">
        <v>28.167000000000002</v>
      </c>
      <c r="J73" s="5">
        <v>101.776</v>
      </c>
      <c r="K73" s="5">
        <v>12.135</v>
      </c>
      <c r="M73" s="5"/>
      <c r="N73" s="5"/>
      <c r="O73" s="5"/>
      <c r="P73" s="5"/>
      <c r="Q73" s="5"/>
      <c r="R73" s="5"/>
      <c r="S73" s="5"/>
      <c r="T73" s="5"/>
      <c r="U73" s="5"/>
    </row>
    <row r="74" spans="1:21" x14ac:dyDescent="0.25">
      <c r="A74" s="197"/>
      <c r="B74" s="95" t="s">
        <v>11</v>
      </c>
      <c r="C74" s="97">
        <v>19.757999999999999</v>
      </c>
      <c r="D74" s="97">
        <v>8.1080000000000005</v>
      </c>
      <c r="E74" s="97">
        <v>34.128999999999998</v>
      </c>
      <c r="F74" s="97">
        <v>39.918999999999997</v>
      </c>
      <c r="G74" s="97">
        <v>27.779</v>
      </c>
      <c r="H74" s="97">
        <v>30.856000000000002</v>
      </c>
      <c r="I74" s="97">
        <v>41.273000000000003</v>
      </c>
      <c r="J74" s="97">
        <v>259.298</v>
      </c>
      <c r="K74" s="97">
        <v>25.1</v>
      </c>
      <c r="M74" s="97"/>
      <c r="N74" s="97"/>
      <c r="O74" s="97"/>
      <c r="P74" s="97"/>
      <c r="Q74" s="97"/>
      <c r="R74" s="97"/>
      <c r="S74" s="97"/>
      <c r="T74" s="97"/>
      <c r="U74" s="97"/>
    </row>
    <row r="75" spans="1:21" x14ac:dyDescent="0.25">
      <c r="A75" s="197" t="s">
        <v>284</v>
      </c>
      <c r="B75" s="4" t="s">
        <v>17</v>
      </c>
      <c r="C75" s="5">
        <v>30.738</v>
      </c>
      <c r="D75" s="5">
        <v>15.093</v>
      </c>
      <c r="E75" s="5">
        <v>47.524999999999999</v>
      </c>
      <c r="F75" s="5">
        <v>54.345999999999997</v>
      </c>
      <c r="G75" s="5">
        <v>36.25</v>
      </c>
      <c r="H75" s="5">
        <v>51.198</v>
      </c>
      <c r="I75" s="5">
        <v>55.389000000000003</v>
      </c>
      <c r="J75" s="5">
        <v>346.29899999999998</v>
      </c>
      <c r="K75" s="5">
        <v>37.511000000000003</v>
      </c>
      <c r="M75" s="5"/>
      <c r="N75" s="5"/>
      <c r="O75" s="5"/>
      <c r="P75" s="5"/>
      <c r="Q75" s="5"/>
      <c r="R75" s="5"/>
      <c r="S75" s="5"/>
      <c r="T75" s="5"/>
      <c r="U75" s="5"/>
    </row>
    <row r="76" spans="1:21" x14ac:dyDescent="0.25">
      <c r="A76" s="197"/>
      <c r="B76" s="4" t="s">
        <v>21</v>
      </c>
      <c r="C76" s="5">
        <v>8.6560000000000006</v>
      </c>
      <c r="D76" s="5">
        <v>2.5840000000000001</v>
      </c>
      <c r="E76" s="5">
        <v>18.021000000000001</v>
      </c>
      <c r="F76" s="5">
        <v>16.158999999999999</v>
      </c>
      <c r="G76" s="5">
        <v>14.648999999999999</v>
      </c>
      <c r="H76" s="5">
        <v>23.742999999999999</v>
      </c>
      <c r="I76" s="5">
        <v>22.404</v>
      </c>
      <c r="J76" s="5">
        <v>102.371</v>
      </c>
      <c r="K76" s="5">
        <v>11.852</v>
      </c>
      <c r="M76" s="5"/>
      <c r="N76" s="5"/>
      <c r="O76" s="5"/>
      <c r="P76" s="5"/>
      <c r="Q76" s="5"/>
      <c r="R76" s="5"/>
      <c r="S76" s="5"/>
      <c r="T76" s="5"/>
      <c r="U76" s="5"/>
    </row>
    <row r="77" spans="1:21" ht="14.25" customHeight="1" x14ac:dyDescent="0.25">
      <c r="A77" s="197"/>
      <c r="B77" s="95" t="s">
        <v>11</v>
      </c>
      <c r="C77" s="97">
        <v>20.056999999999999</v>
      </c>
      <c r="D77" s="97">
        <v>9.0030000000000001</v>
      </c>
      <c r="E77" s="97">
        <v>33.244</v>
      </c>
      <c r="F77" s="97">
        <v>35.804000000000002</v>
      </c>
      <c r="G77" s="97">
        <v>25.786000000000001</v>
      </c>
      <c r="H77" s="97">
        <v>38.487000000000002</v>
      </c>
      <c r="I77" s="97">
        <v>39.293999999999997</v>
      </c>
      <c r="J77" s="97">
        <v>229.16</v>
      </c>
      <c r="K77" s="97">
        <v>25.085999999999999</v>
      </c>
      <c r="M77" s="97"/>
      <c r="N77" s="97"/>
      <c r="O77" s="97"/>
      <c r="P77" s="97"/>
      <c r="Q77" s="97"/>
      <c r="R77" s="97"/>
      <c r="S77" s="97"/>
      <c r="T77" s="97"/>
      <c r="U77" s="97"/>
    </row>
    <row r="78" spans="1:21" ht="12" hidden="1" customHeight="1" x14ac:dyDescent="0.25">
      <c r="A78" s="2"/>
    </row>
    <row r="79" spans="1:21" ht="11.1" customHeight="1" x14ac:dyDescent="0.25">
      <c r="A79" s="103" t="s">
        <v>23</v>
      </c>
      <c r="B79" s="103"/>
      <c r="C79" s="103"/>
      <c r="D79" s="103"/>
      <c r="E79" s="103"/>
      <c r="F79" s="103"/>
      <c r="G79" s="103"/>
      <c r="H79" s="103"/>
      <c r="I79" s="103"/>
      <c r="J79" s="103"/>
      <c r="K79" s="104"/>
    </row>
    <row r="80" spans="1:21" s="6" customFormat="1" ht="11.1" customHeight="1" x14ac:dyDescent="0.15">
      <c r="A80" s="6" t="s">
        <v>41</v>
      </c>
    </row>
    <row r="81" spans="1:12" s="6" customFormat="1" ht="11.1" customHeight="1" x14ac:dyDescent="0.15">
      <c r="A81" s="6" t="s">
        <v>32</v>
      </c>
    </row>
    <row r="82" spans="1:12" s="6" customFormat="1" ht="11.1" customHeight="1" x14ac:dyDescent="0.15">
      <c r="A82" s="6" t="s">
        <v>33</v>
      </c>
    </row>
    <row r="83" spans="1:12" s="6" customFormat="1" ht="18.75" customHeight="1" x14ac:dyDescent="0.15">
      <c r="A83" s="186" t="s">
        <v>152</v>
      </c>
      <c r="B83" s="186"/>
      <c r="C83" s="186"/>
      <c r="D83" s="186"/>
      <c r="E83" s="186"/>
      <c r="F83" s="186"/>
      <c r="G83" s="186"/>
      <c r="H83" s="186"/>
      <c r="I83" s="186"/>
      <c r="J83" s="186"/>
      <c r="K83" s="186"/>
      <c r="L83" s="186"/>
    </row>
    <row r="84" spans="1:12" s="6" customFormat="1" ht="9" x14ac:dyDescent="0.15">
      <c r="A84" s="6" t="s">
        <v>205</v>
      </c>
      <c r="B84" s="92"/>
      <c r="C84" s="92"/>
      <c r="D84" s="92"/>
      <c r="E84" s="92"/>
      <c r="F84" s="92"/>
      <c r="G84" s="92"/>
      <c r="H84" s="92"/>
      <c r="I84" s="92"/>
      <c r="J84" s="92"/>
      <c r="K84" s="92"/>
      <c r="L84" s="92"/>
    </row>
    <row r="85" spans="1:12" s="6" customFormat="1" ht="9" x14ac:dyDescent="0.15">
      <c r="A85" s="6" t="s">
        <v>293</v>
      </c>
      <c r="B85" s="92"/>
      <c r="C85" s="92"/>
      <c r="D85" s="92"/>
      <c r="E85" s="92"/>
      <c r="F85" s="92"/>
      <c r="G85" s="92"/>
      <c r="H85" s="92"/>
      <c r="I85" s="92"/>
      <c r="J85" s="92"/>
      <c r="K85" s="92"/>
      <c r="L85" s="92"/>
    </row>
    <row r="86" spans="1:12" s="6" customFormat="1" ht="11.1" customHeight="1" x14ac:dyDescent="0.15">
      <c r="A86" s="6" t="s">
        <v>294</v>
      </c>
    </row>
    <row r="87" spans="1:12" s="6" customFormat="1" ht="11.1" customHeight="1" x14ac:dyDescent="0.15"/>
    <row r="88" spans="1:12" s="6" customFormat="1" ht="11.1" customHeight="1" x14ac:dyDescent="0.15">
      <c r="A88" s="6" t="s">
        <v>406</v>
      </c>
    </row>
    <row r="89" spans="1:12" ht="12" customHeight="1" x14ac:dyDescent="0.25">
      <c r="A89" s="2"/>
    </row>
    <row r="121" spans="14:22" x14ac:dyDescent="0.25">
      <c r="N121" s="116"/>
      <c r="O121" s="116"/>
      <c r="P121" s="116"/>
      <c r="Q121" s="116"/>
      <c r="R121" s="116"/>
      <c r="S121" s="116"/>
      <c r="T121" s="116"/>
      <c r="U121" s="116"/>
      <c r="V121" s="116"/>
    </row>
    <row r="135" spans="12:20" x14ac:dyDescent="0.25">
      <c r="L135" s="116"/>
      <c r="M135" s="116"/>
      <c r="N135" s="116"/>
      <c r="O135" s="116"/>
      <c r="P135" s="116"/>
      <c r="Q135" s="116"/>
      <c r="R135" s="116"/>
      <c r="S135" s="116"/>
      <c r="T135" s="116"/>
    </row>
  </sheetData>
  <mergeCells count="26">
    <mergeCell ref="A25:A27"/>
    <mergeCell ref="A1:L1"/>
    <mergeCell ref="A4:A6"/>
    <mergeCell ref="A7:A9"/>
    <mergeCell ref="A10:A12"/>
    <mergeCell ref="A13:A15"/>
    <mergeCell ref="A16:A18"/>
    <mergeCell ref="A19:A21"/>
    <mergeCell ref="A22:A24"/>
    <mergeCell ref="A28:A30"/>
    <mergeCell ref="A31:A33"/>
    <mergeCell ref="A35:L35"/>
    <mergeCell ref="A45:L45"/>
    <mergeCell ref="A48:A50"/>
    <mergeCell ref="A38:L38"/>
    <mergeCell ref="A39:L39"/>
    <mergeCell ref="A83:L83"/>
    <mergeCell ref="A51:A53"/>
    <mergeCell ref="A54:A56"/>
    <mergeCell ref="A57:A59"/>
    <mergeCell ref="A60:A62"/>
    <mergeCell ref="A63:A65"/>
    <mergeCell ref="A66:A68"/>
    <mergeCell ref="A69:A71"/>
    <mergeCell ref="A72:A74"/>
    <mergeCell ref="A75:A77"/>
  </mergeCells>
  <pageMargins left="0.08" right="0.08" top="1" bottom="1" header="0.5" footer="0.5"/>
  <pageSetup orientation="landscape" blackAndWhite="1"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Z98"/>
  <sheetViews>
    <sheetView zoomScaleNormal="100" workbookViewId="0">
      <selection sqref="A1:M1"/>
    </sheetView>
  </sheetViews>
  <sheetFormatPr defaultColWidth="9.140625" defaultRowHeight="15" x14ac:dyDescent="0.25"/>
  <cols>
    <col min="1" max="2" width="11.42578125" style="1" bestFit="1" customWidth="1"/>
    <col min="3" max="3" width="18.85546875" style="1" customWidth="1"/>
    <col min="4" max="11" width="11.42578125" style="1" bestFit="1" customWidth="1"/>
    <col min="12" max="12" width="10.7109375" style="1" customWidth="1"/>
    <col min="13" max="13" width="11.42578125" style="1" bestFit="1" customWidth="1"/>
    <col min="14" max="15" width="9.140625" style="1"/>
    <col min="16" max="16" width="18.5703125" style="1" bestFit="1" customWidth="1"/>
    <col min="17" max="16384" width="9.140625" style="1"/>
  </cols>
  <sheetData>
    <row r="1" spans="1:26" ht="34.5" customHeight="1" x14ac:dyDescent="0.25">
      <c r="A1" s="188" t="s">
        <v>300</v>
      </c>
      <c r="B1" s="188"/>
      <c r="C1" s="188"/>
      <c r="D1" s="188"/>
      <c r="E1" s="188"/>
      <c r="F1" s="188"/>
      <c r="G1" s="188"/>
      <c r="H1" s="188"/>
      <c r="I1" s="188"/>
      <c r="J1" s="188"/>
      <c r="K1" s="188"/>
      <c r="L1" s="188"/>
      <c r="M1" s="188"/>
    </row>
    <row r="2" spans="1:26" ht="2.25" customHeight="1" x14ac:dyDescent="0.25">
      <c r="A2" s="2"/>
    </row>
    <row r="3" spans="1:26" ht="23.25" x14ac:dyDescent="0.25">
      <c r="A3" s="31" t="s">
        <v>122</v>
      </c>
      <c r="B3" s="31" t="s">
        <v>119</v>
      </c>
      <c r="C3" s="31" t="s">
        <v>120</v>
      </c>
      <c r="D3" s="35" t="s">
        <v>0</v>
      </c>
      <c r="E3" s="35" t="s">
        <v>1</v>
      </c>
      <c r="F3" s="3" t="s">
        <v>2</v>
      </c>
      <c r="G3" s="3" t="s">
        <v>3</v>
      </c>
      <c r="H3" s="3" t="s">
        <v>4</v>
      </c>
      <c r="I3" s="3" t="s">
        <v>5</v>
      </c>
      <c r="J3" s="3" t="s">
        <v>6</v>
      </c>
      <c r="K3" s="3" t="s">
        <v>7</v>
      </c>
      <c r="L3" s="3" t="s">
        <v>199</v>
      </c>
      <c r="M3" s="3" t="s">
        <v>8</v>
      </c>
    </row>
    <row r="4" spans="1:26" ht="15" customHeight="1" x14ac:dyDescent="0.25">
      <c r="A4" s="197" t="s">
        <v>191</v>
      </c>
      <c r="B4" s="95" t="s">
        <v>17</v>
      </c>
      <c r="C4" s="4" t="s">
        <v>18</v>
      </c>
      <c r="D4" s="5">
        <v>298.10000000000002</v>
      </c>
      <c r="E4" s="5">
        <v>53.2</v>
      </c>
      <c r="F4" s="5">
        <v>419</v>
      </c>
      <c r="G4" s="5">
        <v>167.4</v>
      </c>
      <c r="H4" s="5">
        <v>47.3</v>
      </c>
      <c r="I4" s="5">
        <v>18</v>
      </c>
      <c r="J4" s="5">
        <v>4.9000000000000004</v>
      </c>
      <c r="K4" s="5">
        <v>56.7</v>
      </c>
      <c r="L4" s="5">
        <v>1008</v>
      </c>
      <c r="M4" s="5">
        <v>1064.7</v>
      </c>
      <c r="O4" s="5"/>
      <c r="P4" s="5"/>
      <c r="Q4" s="5"/>
      <c r="R4" s="5"/>
      <c r="S4" s="5"/>
      <c r="T4" s="5"/>
      <c r="U4" s="5"/>
      <c r="V4" s="5"/>
      <c r="W4" s="5"/>
      <c r="X4" s="5"/>
      <c r="Z4" s="127"/>
    </row>
    <row r="5" spans="1:26" ht="15" customHeight="1" x14ac:dyDescent="0.25">
      <c r="A5" s="197"/>
      <c r="B5" s="95"/>
      <c r="C5" s="4" t="s">
        <v>19</v>
      </c>
      <c r="D5" s="5">
        <v>380.2</v>
      </c>
      <c r="E5" s="5">
        <v>234.3</v>
      </c>
      <c r="F5" s="5">
        <v>246</v>
      </c>
      <c r="G5" s="5">
        <v>125.3</v>
      </c>
      <c r="H5" s="5">
        <v>61.7</v>
      </c>
      <c r="I5" s="5">
        <v>32.5</v>
      </c>
      <c r="J5" s="5">
        <v>29.9</v>
      </c>
      <c r="K5" s="5">
        <v>2.8</v>
      </c>
      <c r="L5" s="5">
        <v>1109.9000000000001</v>
      </c>
      <c r="M5" s="5">
        <v>1112.7</v>
      </c>
      <c r="O5" s="5"/>
      <c r="P5" s="5"/>
      <c r="Q5" s="5"/>
      <c r="R5" s="5"/>
      <c r="S5" s="5"/>
      <c r="T5" s="5"/>
      <c r="U5" s="5"/>
      <c r="V5" s="5"/>
      <c r="W5" s="5"/>
      <c r="X5" s="5"/>
    </row>
    <row r="6" spans="1:26" ht="15" customHeight="1" x14ac:dyDescent="0.25">
      <c r="A6" s="197"/>
      <c r="B6" s="95"/>
      <c r="C6" s="4" t="s">
        <v>20</v>
      </c>
      <c r="D6" s="5">
        <v>30.5</v>
      </c>
      <c r="E6" s="51" t="s">
        <v>109</v>
      </c>
      <c r="F6" s="5">
        <v>3.2</v>
      </c>
      <c r="G6" s="51" t="s">
        <v>109</v>
      </c>
      <c r="H6" s="5" t="s">
        <v>109</v>
      </c>
      <c r="I6" s="5">
        <v>1.7</v>
      </c>
      <c r="J6" s="51" t="s">
        <v>109</v>
      </c>
      <c r="K6" s="5">
        <v>0.7</v>
      </c>
      <c r="L6" s="5">
        <v>35.299999999999997</v>
      </c>
      <c r="M6" s="5">
        <v>36</v>
      </c>
      <c r="O6" s="5"/>
      <c r="P6" s="74"/>
      <c r="Q6" s="5"/>
      <c r="R6" s="74"/>
      <c r="S6" s="5"/>
      <c r="T6" s="5"/>
      <c r="U6" s="74"/>
      <c r="V6" s="5"/>
      <c r="W6" s="5"/>
      <c r="X6" s="5"/>
    </row>
    <row r="7" spans="1:26" ht="15" customHeight="1" x14ac:dyDescent="0.25">
      <c r="A7" s="197"/>
      <c r="B7" s="95"/>
      <c r="C7" s="95" t="s">
        <v>11</v>
      </c>
      <c r="D7" s="97">
        <v>708.8</v>
      </c>
      <c r="E7" s="97">
        <v>287.5</v>
      </c>
      <c r="F7" s="97">
        <v>668.2</v>
      </c>
      <c r="G7" s="97">
        <v>292.8</v>
      </c>
      <c r="H7" s="97">
        <v>109</v>
      </c>
      <c r="I7" s="97">
        <v>52.2</v>
      </c>
      <c r="J7" s="97">
        <v>34.799999999999997</v>
      </c>
      <c r="K7" s="97">
        <v>60.2</v>
      </c>
      <c r="L7" s="97">
        <v>2153.1999999999998</v>
      </c>
      <c r="M7" s="97">
        <v>2213.4</v>
      </c>
      <c r="O7" s="97"/>
      <c r="P7" s="97"/>
      <c r="Q7" s="97"/>
      <c r="R7" s="97"/>
      <c r="S7" s="97"/>
      <c r="T7" s="97"/>
      <c r="U7" s="97"/>
      <c r="V7" s="97"/>
      <c r="W7" s="97"/>
      <c r="X7" s="97"/>
    </row>
    <row r="8" spans="1:26" ht="15" customHeight="1" x14ac:dyDescent="0.25">
      <c r="A8" s="197"/>
      <c r="B8" s="95" t="s">
        <v>21</v>
      </c>
      <c r="C8" s="4" t="s">
        <v>18</v>
      </c>
      <c r="D8" s="5">
        <v>92.3</v>
      </c>
      <c r="E8" s="5">
        <v>11.1</v>
      </c>
      <c r="F8" s="5">
        <v>180.3</v>
      </c>
      <c r="G8" s="5">
        <v>40.9</v>
      </c>
      <c r="H8" s="5">
        <v>15.9</v>
      </c>
      <c r="I8" s="5">
        <v>5.7</v>
      </c>
      <c r="J8" s="5">
        <v>1.7</v>
      </c>
      <c r="K8" s="5">
        <v>9.4</v>
      </c>
      <c r="L8" s="5">
        <v>347.9</v>
      </c>
      <c r="M8" s="5">
        <v>357.2</v>
      </c>
      <c r="O8" s="5"/>
      <c r="P8" s="5"/>
      <c r="Q8" s="5"/>
      <c r="R8" s="5"/>
      <c r="S8" s="5"/>
      <c r="T8" s="5"/>
      <c r="U8" s="5"/>
      <c r="V8" s="5"/>
      <c r="W8" s="5"/>
      <c r="X8" s="5"/>
    </row>
    <row r="9" spans="1:26" ht="15" customHeight="1" x14ac:dyDescent="0.25">
      <c r="A9" s="197"/>
      <c r="B9" s="95"/>
      <c r="C9" s="4" t="s">
        <v>19</v>
      </c>
      <c r="D9" s="5">
        <v>89.8</v>
      </c>
      <c r="E9" s="5">
        <v>54.6</v>
      </c>
      <c r="F9" s="5">
        <v>72.099999999999994</v>
      </c>
      <c r="G9" s="5">
        <v>27.3</v>
      </c>
      <c r="H9" s="5">
        <v>12.7</v>
      </c>
      <c r="I9" s="5">
        <v>14.4</v>
      </c>
      <c r="J9" s="5">
        <v>12.2</v>
      </c>
      <c r="K9" s="5">
        <v>1.1000000000000001</v>
      </c>
      <c r="L9" s="5">
        <v>283</v>
      </c>
      <c r="M9" s="5">
        <v>284.10000000000002</v>
      </c>
      <c r="O9" s="5"/>
      <c r="P9" s="5"/>
      <c r="Q9" s="5"/>
      <c r="R9" s="5"/>
      <c r="S9" s="5"/>
      <c r="T9" s="5"/>
      <c r="U9" s="5"/>
      <c r="V9" s="5"/>
      <c r="W9" s="5"/>
      <c r="X9" s="5"/>
    </row>
    <row r="10" spans="1:26" ht="15" customHeight="1" x14ac:dyDescent="0.25">
      <c r="A10" s="197"/>
      <c r="B10" s="95"/>
      <c r="C10" s="4" t="s">
        <v>20</v>
      </c>
      <c r="D10" s="5">
        <v>7.7</v>
      </c>
      <c r="E10" s="51">
        <v>0.1</v>
      </c>
      <c r="F10" s="5" t="s">
        <v>109</v>
      </c>
      <c r="G10" s="51" t="s">
        <v>109</v>
      </c>
      <c r="H10" s="5">
        <v>0.6</v>
      </c>
      <c r="I10" s="5">
        <v>0.1</v>
      </c>
      <c r="J10" s="51" t="s">
        <v>109</v>
      </c>
      <c r="K10" s="51" t="s">
        <v>109</v>
      </c>
      <c r="L10" s="5">
        <v>8.5</v>
      </c>
      <c r="M10" s="5">
        <v>8.5</v>
      </c>
      <c r="O10" s="5"/>
      <c r="P10" s="74"/>
      <c r="Q10" s="5"/>
      <c r="R10" s="74"/>
      <c r="S10" s="5"/>
      <c r="T10" s="5"/>
      <c r="U10" s="74"/>
      <c r="V10" s="74"/>
      <c r="W10" s="5"/>
      <c r="X10" s="5"/>
    </row>
    <row r="11" spans="1:26" ht="15" customHeight="1" x14ac:dyDescent="0.25">
      <c r="A11" s="197"/>
      <c r="B11" s="95"/>
      <c r="C11" s="95" t="s">
        <v>11</v>
      </c>
      <c r="D11" s="97">
        <v>189.8</v>
      </c>
      <c r="E11" s="97">
        <v>65.8</v>
      </c>
      <c r="F11" s="97">
        <v>252.4</v>
      </c>
      <c r="G11" s="97">
        <v>68.2</v>
      </c>
      <c r="H11" s="97">
        <v>29.2</v>
      </c>
      <c r="I11" s="97">
        <v>20.2</v>
      </c>
      <c r="J11" s="97">
        <v>13.8</v>
      </c>
      <c r="K11" s="97">
        <v>10.5</v>
      </c>
      <c r="L11" s="97">
        <v>639.4</v>
      </c>
      <c r="M11" s="97">
        <v>649.79999999999995</v>
      </c>
      <c r="O11" s="97"/>
      <c r="P11" s="97"/>
      <c r="Q11" s="97"/>
      <c r="R11" s="97"/>
      <c r="S11" s="97"/>
      <c r="T11" s="97"/>
      <c r="U11" s="97"/>
      <c r="V11" s="97"/>
      <c r="W11" s="97"/>
      <c r="X11" s="97"/>
    </row>
    <row r="12" spans="1:26" ht="15" customHeight="1" x14ac:dyDescent="0.25">
      <c r="A12" s="197"/>
      <c r="B12" s="95" t="s">
        <v>20</v>
      </c>
      <c r="C12" s="4" t="s">
        <v>18</v>
      </c>
      <c r="D12" s="51">
        <v>0.7</v>
      </c>
      <c r="E12" s="51" t="s">
        <v>109</v>
      </c>
      <c r="F12" s="5" t="s">
        <v>109</v>
      </c>
      <c r="G12" s="5" t="s">
        <v>109</v>
      </c>
      <c r="H12" s="51" t="s">
        <v>109</v>
      </c>
      <c r="I12" s="51" t="s">
        <v>109</v>
      </c>
      <c r="J12" s="51" t="s">
        <v>109</v>
      </c>
      <c r="K12" s="51" t="s">
        <v>109</v>
      </c>
      <c r="L12" s="5">
        <v>0.7</v>
      </c>
      <c r="M12" s="5">
        <v>0.7</v>
      </c>
      <c r="O12" s="74"/>
      <c r="P12" s="74"/>
      <c r="Q12" s="5"/>
      <c r="R12" s="5"/>
      <c r="S12" s="74"/>
      <c r="T12" s="74"/>
      <c r="U12" s="74"/>
      <c r="V12" s="74"/>
      <c r="W12" s="5"/>
      <c r="X12" s="5"/>
    </row>
    <row r="13" spans="1:26" ht="15" customHeight="1" x14ac:dyDescent="0.25">
      <c r="A13" s="197"/>
      <c r="B13" s="95"/>
      <c r="C13" s="4" t="s">
        <v>19</v>
      </c>
      <c r="D13" s="5" t="s">
        <v>109</v>
      </c>
      <c r="E13" s="5" t="s">
        <v>109</v>
      </c>
      <c r="F13" s="51" t="s">
        <v>109</v>
      </c>
      <c r="G13" s="51" t="s">
        <v>109</v>
      </c>
      <c r="H13" s="51" t="s">
        <v>109</v>
      </c>
      <c r="I13" s="51" t="s">
        <v>109</v>
      </c>
      <c r="J13" s="51" t="s">
        <v>109</v>
      </c>
      <c r="K13" s="51" t="s">
        <v>109</v>
      </c>
      <c r="L13" s="5" t="s">
        <v>109</v>
      </c>
      <c r="M13" s="5" t="s">
        <v>109</v>
      </c>
      <c r="O13" s="5"/>
      <c r="P13" s="5"/>
      <c r="Q13" s="74"/>
      <c r="R13" s="74"/>
      <c r="S13" s="74"/>
      <c r="T13" s="74"/>
      <c r="U13" s="74"/>
      <c r="V13" s="74"/>
      <c r="W13" s="5"/>
      <c r="X13" s="5"/>
    </row>
    <row r="14" spans="1:26" ht="15" customHeight="1" x14ac:dyDescent="0.25">
      <c r="A14" s="197"/>
      <c r="B14" s="95"/>
      <c r="C14" s="4" t="s">
        <v>20</v>
      </c>
      <c r="D14" s="51" t="s">
        <v>109</v>
      </c>
      <c r="E14" s="51" t="s">
        <v>109</v>
      </c>
      <c r="F14" s="51" t="s">
        <v>109</v>
      </c>
      <c r="G14" s="51" t="s">
        <v>109</v>
      </c>
      <c r="H14" s="51" t="s">
        <v>109</v>
      </c>
      <c r="I14" s="51" t="s">
        <v>109</v>
      </c>
      <c r="J14" s="51" t="s">
        <v>109</v>
      </c>
      <c r="K14" s="51" t="s">
        <v>109</v>
      </c>
      <c r="L14" s="51" t="s">
        <v>109</v>
      </c>
      <c r="M14" s="51" t="s">
        <v>109</v>
      </c>
      <c r="O14" s="74"/>
      <c r="P14" s="74"/>
      <c r="Q14" s="74"/>
      <c r="R14" s="74"/>
      <c r="S14" s="74"/>
      <c r="T14" s="74"/>
      <c r="U14" s="74"/>
      <c r="V14" s="74"/>
      <c r="W14" s="74"/>
      <c r="X14" s="74"/>
    </row>
    <row r="15" spans="1:26" ht="15" customHeight="1" x14ac:dyDescent="0.25">
      <c r="A15" s="197"/>
      <c r="B15" s="95"/>
      <c r="C15" s="95" t="s">
        <v>11</v>
      </c>
      <c r="D15" s="97">
        <v>0.7</v>
      </c>
      <c r="E15" s="97" t="s">
        <v>109</v>
      </c>
      <c r="F15" s="97" t="s">
        <v>109</v>
      </c>
      <c r="G15" s="97" t="s">
        <v>109</v>
      </c>
      <c r="H15" s="51" t="s">
        <v>109</v>
      </c>
      <c r="I15" s="51" t="s">
        <v>109</v>
      </c>
      <c r="J15" s="51" t="s">
        <v>109</v>
      </c>
      <c r="K15" s="51" t="s">
        <v>109</v>
      </c>
      <c r="L15" s="97">
        <v>0.7</v>
      </c>
      <c r="M15" s="97">
        <v>0.7</v>
      </c>
      <c r="O15" s="97"/>
      <c r="P15" s="97"/>
      <c r="Q15" s="97"/>
      <c r="R15" s="97"/>
      <c r="S15" s="74"/>
      <c r="T15" s="74"/>
      <c r="U15" s="74"/>
      <c r="V15" s="74"/>
      <c r="W15" s="97"/>
      <c r="X15" s="97"/>
    </row>
    <row r="16" spans="1:26" ht="15" customHeight="1" x14ac:dyDescent="0.25">
      <c r="A16" s="197"/>
      <c r="B16" s="95" t="s">
        <v>11</v>
      </c>
      <c r="C16" s="4" t="s">
        <v>18</v>
      </c>
      <c r="D16" s="5">
        <v>391.2</v>
      </c>
      <c r="E16" s="5">
        <v>64.3</v>
      </c>
      <c r="F16" s="5">
        <v>599.29999999999995</v>
      </c>
      <c r="G16" s="5">
        <v>208.3</v>
      </c>
      <c r="H16" s="5">
        <v>63.2</v>
      </c>
      <c r="I16" s="5">
        <v>23.8</v>
      </c>
      <c r="J16" s="5">
        <v>6.5</v>
      </c>
      <c r="K16" s="5">
        <v>66.099999999999994</v>
      </c>
      <c r="L16" s="5">
        <v>1356.6</v>
      </c>
      <c r="M16" s="5">
        <v>1422.6</v>
      </c>
      <c r="O16" s="5"/>
      <c r="P16" s="5"/>
      <c r="Q16" s="5"/>
      <c r="R16" s="5"/>
      <c r="S16" s="5"/>
      <c r="T16" s="5"/>
      <c r="U16" s="5"/>
      <c r="V16" s="5"/>
      <c r="W16" s="5"/>
      <c r="X16" s="5"/>
    </row>
    <row r="17" spans="1:24" ht="15" customHeight="1" x14ac:dyDescent="0.25">
      <c r="A17" s="197"/>
      <c r="B17" s="95"/>
      <c r="C17" s="4" t="s">
        <v>19</v>
      </c>
      <c r="D17" s="5">
        <v>470</v>
      </c>
      <c r="E17" s="5">
        <v>288.89999999999998</v>
      </c>
      <c r="F17" s="5">
        <v>318.10000000000002</v>
      </c>
      <c r="G17" s="5">
        <v>152.6</v>
      </c>
      <c r="H17" s="5">
        <v>74.400000000000006</v>
      </c>
      <c r="I17" s="5">
        <v>46.9</v>
      </c>
      <c r="J17" s="5">
        <v>42.1</v>
      </c>
      <c r="K17" s="5">
        <v>3.9</v>
      </c>
      <c r="L17" s="5">
        <v>1393</v>
      </c>
      <c r="M17" s="5">
        <v>1396.9</v>
      </c>
      <c r="O17" s="5"/>
      <c r="P17" s="5"/>
      <c r="Q17" s="5"/>
      <c r="R17" s="5"/>
      <c r="S17" s="5"/>
      <c r="T17" s="5"/>
      <c r="U17" s="5"/>
      <c r="V17" s="5"/>
      <c r="W17" s="5"/>
      <c r="X17" s="5"/>
    </row>
    <row r="18" spans="1:24" ht="15" customHeight="1" x14ac:dyDescent="0.25">
      <c r="A18" s="197"/>
      <c r="B18" s="95"/>
      <c r="C18" s="4" t="s">
        <v>20</v>
      </c>
      <c r="D18" s="5">
        <v>38.200000000000003</v>
      </c>
      <c r="E18" s="51">
        <v>0.1</v>
      </c>
      <c r="F18" s="5">
        <v>3.2</v>
      </c>
      <c r="G18" s="51" t="s">
        <v>109</v>
      </c>
      <c r="H18" s="5">
        <v>0.6</v>
      </c>
      <c r="I18" s="5">
        <v>1.8</v>
      </c>
      <c r="J18" s="51" t="s">
        <v>109</v>
      </c>
      <c r="K18" s="5">
        <v>0.7</v>
      </c>
      <c r="L18" s="5">
        <v>43.8</v>
      </c>
      <c r="M18" s="5">
        <v>44.5</v>
      </c>
      <c r="O18" s="5"/>
      <c r="P18" s="74"/>
      <c r="Q18" s="5"/>
      <c r="R18" s="74"/>
      <c r="S18" s="5"/>
      <c r="T18" s="5"/>
      <c r="U18" s="74"/>
      <c r="V18" s="5"/>
      <c r="W18" s="5"/>
      <c r="X18" s="5"/>
    </row>
    <row r="19" spans="1:24" ht="15" customHeight="1" x14ac:dyDescent="0.25">
      <c r="A19" s="197"/>
      <c r="B19" s="95"/>
      <c r="C19" s="95" t="s">
        <v>11</v>
      </c>
      <c r="D19" s="97">
        <v>899.3</v>
      </c>
      <c r="E19" s="97">
        <v>353.3</v>
      </c>
      <c r="F19" s="97">
        <v>920.6</v>
      </c>
      <c r="G19" s="97">
        <v>360.9</v>
      </c>
      <c r="H19" s="97">
        <v>138.19999999999999</v>
      </c>
      <c r="I19" s="97">
        <v>72.400000000000006</v>
      </c>
      <c r="J19" s="97">
        <v>48.6</v>
      </c>
      <c r="K19" s="97">
        <v>70.599999999999994</v>
      </c>
      <c r="L19" s="97">
        <v>2793.3</v>
      </c>
      <c r="M19" s="97">
        <v>2864</v>
      </c>
      <c r="O19" s="97"/>
      <c r="P19" s="97"/>
      <c r="Q19" s="97"/>
      <c r="R19" s="97"/>
      <c r="S19" s="97"/>
      <c r="T19" s="97"/>
      <c r="U19" s="97"/>
      <c r="V19" s="97"/>
      <c r="W19" s="97"/>
      <c r="X19" s="97"/>
    </row>
    <row r="20" spans="1:24" ht="15" customHeight="1" x14ac:dyDescent="0.25">
      <c r="A20" s="197" t="s">
        <v>192</v>
      </c>
      <c r="B20" s="95" t="s">
        <v>17</v>
      </c>
      <c r="C20" s="4" t="s">
        <v>18</v>
      </c>
      <c r="D20" s="5">
        <v>290.60000000000002</v>
      </c>
      <c r="E20" s="5">
        <v>42.1</v>
      </c>
      <c r="F20" s="5">
        <v>410.3</v>
      </c>
      <c r="G20" s="5">
        <v>187</v>
      </c>
      <c r="H20" s="5">
        <v>53.6</v>
      </c>
      <c r="I20" s="5">
        <v>15.5</v>
      </c>
      <c r="J20" s="5">
        <v>3</v>
      </c>
      <c r="K20" s="5">
        <v>77.3</v>
      </c>
      <c r="L20" s="5">
        <v>1002.1</v>
      </c>
      <c r="M20" s="5">
        <v>1079.4000000000001</v>
      </c>
      <c r="O20" s="5"/>
      <c r="P20" s="5"/>
      <c r="Q20" s="5"/>
      <c r="R20" s="5"/>
      <c r="S20" s="5"/>
      <c r="T20" s="5"/>
      <c r="U20" s="5"/>
      <c r="V20" s="5"/>
      <c r="W20" s="5"/>
      <c r="X20" s="5"/>
    </row>
    <row r="21" spans="1:24" ht="15" customHeight="1" x14ac:dyDescent="0.25">
      <c r="A21" s="197"/>
      <c r="B21" s="95"/>
      <c r="C21" s="4" t="s">
        <v>19</v>
      </c>
      <c r="D21" s="5">
        <v>335.9</v>
      </c>
      <c r="E21" s="5">
        <v>192.8</v>
      </c>
      <c r="F21" s="5">
        <v>242.3</v>
      </c>
      <c r="G21" s="5">
        <v>119.1</v>
      </c>
      <c r="H21" s="5">
        <v>66.900000000000006</v>
      </c>
      <c r="I21" s="5">
        <v>22.2</v>
      </c>
      <c r="J21" s="5">
        <v>20.9</v>
      </c>
      <c r="K21" s="5">
        <v>5.3</v>
      </c>
      <c r="L21" s="5">
        <v>1000.2</v>
      </c>
      <c r="M21" s="5">
        <v>1005.5</v>
      </c>
      <c r="O21" s="5"/>
      <c r="P21" s="5"/>
      <c r="Q21" s="5"/>
      <c r="R21" s="5"/>
      <c r="S21" s="5"/>
      <c r="T21" s="5"/>
      <c r="U21" s="5"/>
      <c r="V21" s="5"/>
      <c r="W21" s="5"/>
      <c r="X21" s="5"/>
    </row>
    <row r="22" spans="1:24" ht="15" customHeight="1" x14ac:dyDescent="0.25">
      <c r="A22" s="197"/>
      <c r="B22" s="95"/>
      <c r="C22" s="4" t="s">
        <v>20</v>
      </c>
      <c r="D22" s="5">
        <v>22.1</v>
      </c>
      <c r="E22" s="51" t="s">
        <v>109</v>
      </c>
      <c r="F22" s="5">
        <v>1.5</v>
      </c>
      <c r="G22" s="51" t="s">
        <v>109</v>
      </c>
      <c r="H22" s="51">
        <v>0.3</v>
      </c>
      <c r="I22" s="5">
        <v>0.1</v>
      </c>
      <c r="J22" s="51" t="s">
        <v>109</v>
      </c>
      <c r="K22" s="5">
        <v>1.8</v>
      </c>
      <c r="L22" s="5">
        <v>24</v>
      </c>
      <c r="M22" s="5">
        <v>25.8</v>
      </c>
      <c r="O22" s="5"/>
      <c r="P22" s="74"/>
      <c r="Q22" s="5"/>
      <c r="R22" s="74"/>
      <c r="S22" s="74"/>
      <c r="T22" s="5"/>
      <c r="U22" s="74"/>
      <c r="V22" s="5"/>
      <c r="W22" s="5"/>
      <c r="X22" s="5"/>
    </row>
    <row r="23" spans="1:24" ht="15" customHeight="1" x14ac:dyDescent="0.25">
      <c r="A23" s="197"/>
      <c r="B23" s="95"/>
      <c r="C23" s="95" t="s">
        <v>11</v>
      </c>
      <c r="D23" s="97">
        <v>648.6</v>
      </c>
      <c r="E23" s="97">
        <v>234.9</v>
      </c>
      <c r="F23" s="97">
        <v>654.1</v>
      </c>
      <c r="G23" s="97">
        <v>306.10000000000002</v>
      </c>
      <c r="H23" s="97">
        <v>120.8</v>
      </c>
      <c r="I23" s="97">
        <v>37.799999999999997</v>
      </c>
      <c r="J23" s="97">
        <v>24</v>
      </c>
      <c r="K23" s="97">
        <v>84.4</v>
      </c>
      <c r="L23" s="97">
        <v>2026.3</v>
      </c>
      <c r="M23" s="97">
        <v>2110.6999999999998</v>
      </c>
      <c r="O23" s="97"/>
      <c r="P23" s="97"/>
      <c r="Q23" s="97"/>
      <c r="R23" s="97"/>
      <c r="S23" s="97"/>
      <c r="T23" s="97"/>
      <c r="U23" s="97"/>
      <c r="V23" s="97"/>
      <c r="W23" s="97"/>
      <c r="X23" s="97"/>
    </row>
    <row r="24" spans="1:24" ht="15" customHeight="1" x14ac:dyDescent="0.25">
      <c r="A24" s="197"/>
      <c r="B24" s="95" t="s">
        <v>21</v>
      </c>
      <c r="C24" s="4" t="s">
        <v>18</v>
      </c>
      <c r="D24" s="5">
        <v>78.2</v>
      </c>
      <c r="E24" s="5">
        <v>7.8</v>
      </c>
      <c r="F24" s="5">
        <v>188.4</v>
      </c>
      <c r="G24" s="5">
        <v>49.5</v>
      </c>
      <c r="H24" s="5">
        <v>16.600000000000001</v>
      </c>
      <c r="I24" s="5">
        <v>5.0999999999999996</v>
      </c>
      <c r="J24" s="5">
        <v>1.7</v>
      </c>
      <c r="K24" s="5">
        <v>16.2</v>
      </c>
      <c r="L24" s="5">
        <v>347.3</v>
      </c>
      <c r="M24" s="5">
        <v>363.6</v>
      </c>
      <c r="O24" s="5"/>
      <c r="P24" s="5"/>
      <c r="Q24" s="5"/>
      <c r="R24" s="5"/>
      <c r="S24" s="5"/>
      <c r="T24" s="5"/>
      <c r="U24" s="5"/>
      <c r="V24" s="5"/>
      <c r="W24" s="5"/>
      <c r="X24" s="5"/>
    </row>
    <row r="25" spans="1:24" ht="15" customHeight="1" x14ac:dyDescent="0.25">
      <c r="A25" s="197"/>
      <c r="B25" s="95"/>
      <c r="C25" s="4" t="s">
        <v>19</v>
      </c>
      <c r="D25" s="5">
        <v>81.7</v>
      </c>
      <c r="E25" s="5">
        <v>45.2</v>
      </c>
      <c r="F25" s="5">
        <v>73.099999999999994</v>
      </c>
      <c r="G25" s="5">
        <v>30.1</v>
      </c>
      <c r="H25" s="5">
        <v>13.1</v>
      </c>
      <c r="I25" s="5">
        <v>14.7</v>
      </c>
      <c r="J25" s="5">
        <v>13.3</v>
      </c>
      <c r="K25" s="5">
        <v>0.2</v>
      </c>
      <c r="L25" s="5">
        <v>271.3</v>
      </c>
      <c r="M25" s="5">
        <v>271.5</v>
      </c>
      <c r="O25" s="5"/>
      <c r="P25" s="5"/>
      <c r="Q25" s="5"/>
      <c r="R25" s="5"/>
      <c r="S25" s="5"/>
      <c r="T25" s="5"/>
      <c r="U25" s="5"/>
      <c r="V25" s="5"/>
      <c r="W25" s="5"/>
      <c r="X25" s="5"/>
    </row>
    <row r="26" spans="1:24" ht="15" customHeight="1" x14ac:dyDescent="0.25">
      <c r="A26" s="197"/>
      <c r="B26" s="95"/>
      <c r="C26" s="4" t="s">
        <v>20</v>
      </c>
      <c r="D26" s="5">
        <v>7.3</v>
      </c>
      <c r="E26" s="5" t="s">
        <v>109</v>
      </c>
      <c r="F26" s="51" t="s">
        <v>109</v>
      </c>
      <c r="G26" s="51" t="s">
        <v>109</v>
      </c>
      <c r="H26" s="5">
        <v>0.1</v>
      </c>
      <c r="I26" s="5" t="s">
        <v>109</v>
      </c>
      <c r="J26" s="51" t="s">
        <v>109</v>
      </c>
      <c r="K26" s="51">
        <v>0.7</v>
      </c>
      <c r="L26" s="5">
        <v>7.4</v>
      </c>
      <c r="M26" s="5">
        <v>8.1</v>
      </c>
      <c r="O26" s="5"/>
      <c r="P26" s="5"/>
      <c r="Q26" s="74"/>
      <c r="R26" s="74"/>
      <c r="S26" s="5"/>
      <c r="T26" s="5"/>
      <c r="U26" s="74"/>
      <c r="V26" s="74"/>
      <c r="W26" s="5"/>
      <c r="X26" s="5"/>
    </row>
    <row r="27" spans="1:24" ht="15" customHeight="1" x14ac:dyDescent="0.25">
      <c r="A27" s="197"/>
      <c r="B27" s="95"/>
      <c r="C27" s="95" t="s">
        <v>11</v>
      </c>
      <c r="D27" s="97">
        <v>167.2</v>
      </c>
      <c r="E27" s="97">
        <v>53</v>
      </c>
      <c r="F27" s="97">
        <v>261.5</v>
      </c>
      <c r="G27" s="97">
        <v>79.599999999999994</v>
      </c>
      <c r="H27" s="97">
        <v>29.9</v>
      </c>
      <c r="I27" s="97">
        <v>19.899999999999999</v>
      </c>
      <c r="J27" s="97">
        <v>15</v>
      </c>
      <c r="K27" s="97">
        <v>17.100000000000001</v>
      </c>
      <c r="L27" s="97">
        <v>626.1</v>
      </c>
      <c r="M27" s="97">
        <v>643.20000000000005</v>
      </c>
      <c r="O27" s="97"/>
      <c r="P27" s="97"/>
      <c r="Q27" s="97"/>
      <c r="R27" s="97"/>
      <c r="S27" s="97"/>
      <c r="T27" s="97"/>
      <c r="U27" s="97"/>
      <c r="V27" s="97"/>
      <c r="W27" s="97"/>
      <c r="X27" s="97"/>
    </row>
    <row r="28" spans="1:24" ht="15" customHeight="1" x14ac:dyDescent="0.25">
      <c r="A28" s="197"/>
      <c r="B28" s="95" t="s">
        <v>20</v>
      </c>
      <c r="C28" s="4" t="s">
        <v>18</v>
      </c>
      <c r="D28" s="5">
        <v>0.6</v>
      </c>
      <c r="E28" s="51">
        <v>0.5</v>
      </c>
      <c r="F28" s="51">
        <v>0.9</v>
      </c>
      <c r="G28" s="51" t="s">
        <v>109</v>
      </c>
      <c r="H28" s="51" t="s">
        <v>109</v>
      </c>
      <c r="I28" s="51" t="s">
        <v>109</v>
      </c>
      <c r="J28" s="51" t="s">
        <v>109</v>
      </c>
      <c r="K28" s="51" t="s">
        <v>109</v>
      </c>
      <c r="L28" s="5">
        <v>2</v>
      </c>
      <c r="M28" s="5">
        <v>2</v>
      </c>
      <c r="O28" s="5"/>
      <c r="P28" s="74"/>
      <c r="Q28" s="74"/>
      <c r="R28" s="74"/>
      <c r="S28" s="74"/>
      <c r="T28" s="74"/>
      <c r="U28" s="74"/>
      <c r="V28" s="74"/>
      <c r="W28" s="5"/>
      <c r="X28" s="5"/>
    </row>
    <row r="29" spans="1:24" ht="15" customHeight="1" x14ac:dyDescent="0.25">
      <c r="A29" s="197"/>
      <c r="B29" s="95"/>
      <c r="C29" s="4" t="s">
        <v>19</v>
      </c>
      <c r="D29" s="51">
        <v>0.8</v>
      </c>
      <c r="E29" s="51" t="s">
        <v>109</v>
      </c>
      <c r="F29" s="51" t="s">
        <v>109</v>
      </c>
      <c r="G29" s="51" t="s">
        <v>109</v>
      </c>
      <c r="H29" s="51" t="s">
        <v>109</v>
      </c>
      <c r="I29" s="51" t="s">
        <v>109</v>
      </c>
      <c r="J29" s="51" t="s">
        <v>109</v>
      </c>
      <c r="K29" s="51" t="s">
        <v>109</v>
      </c>
      <c r="L29" s="51">
        <v>0.8</v>
      </c>
      <c r="M29" s="51">
        <v>0.8</v>
      </c>
      <c r="O29" s="74"/>
      <c r="P29" s="74"/>
      <c r="Q29" s="74"/>
      <c r="R29" s="74"/>
      <c r="S29" s="74"/>
      <c r="T29" s="74"/>
      <c r="U29" s="74"/>
      <c r="V29" s="74"/>
      <c r="W29" s="74"/>
      <c r="X29" s="74"/>
    </row>
    <row r="30" spans="1:24" ht="15" customHeight="1" x14ac:dyDescent="0.25">
      <c r="A30" s="197"/>
      <c r="B30" s="95"/>
      <c r="C30" s="4" t="s">
        <v>20</v>
      </c>
      <c r="D30" s="51" t="s">
        <v>109</v>
      </c>
      <c r="E30" s="51" t="s">
        <v>109</v>
      </c>
      <c r="F30" s="51" t="s">
        <v>109</v>
      </c>
      <c r="G30" s="51" t="s">
        <v>109</v>
      </c>
      <c r="H30" s="51" t="s">
        <v>109</v>
      </c>
      <c r="I30" s="51" t="s">
        <v>109</v>
      </c>
      <c r="J30" s="51" t="s">
        <v>109</v>
      </c>
      <c r="K30" s="51" t="s">
        <v>109</v>
      </c>
      <c r="L30" s="51" t="s">
        <v>109</v>
      </c>
      <c r="M30" s="51" t="s">
        <v>109</v>
      </c>
      <c r="O30" s="74"/>
      <c r="P30" s="74"/>
      <c r="Q30" s="74"/>
      <c r="R30" s="74"/>
      <c r="S30" s="74"/>
      <c r="T30" s="74"/>
      <c r="U30" s="74"/>
      <c r="V30" s="74"/>
      <c r="W30" s="74"/>
      <c r="X30" s="74"/>
    </row>
    <row r="31" spans="1:24" ht="15" customHeight="1" x14ac:dyDescent="0.25">
      <c r="A31" s="197"/>
      <c r="B31" s="95"/>
      <c r="C31" s="95" t="s">
        <v>11</v>
      </c>
      <c r="D31" s="97">
        <v>1.4</v>
      </c>
      <c r="E31" s="135">
        <v>0.5</v>
      </c>
      <c r="F31" s="135">
        <v>0.9</v>
      </c>
      <c r="G31" s="135" t="s">
        <v>109</v>
      </c>
      <c r="H31" s="51" t="s">
        <v>109</v>
      </c>
      <c r="I31" s="51" t="s">
        <v>109</v>
      </c>
      <c r="J31" s="51" t="s">
        <v>109</v>
      </c>
      <c r="K31" s="51" t="s">
        <v>109</v>
      </c>
      <c r="L31" s="97">
        <v>2.8</v>
      </c>
      <c r="M31" s="97">
        <v>2.8</v>
      </c>
      <c r="O31" s="97"/>
      <c r="P31" s="74"/>
      <c r="Q31" s="74"/>
      <c r="R31" s="74"/>
      <c r="S31" s="74"/>
      <c r="T31" s="74"/>
      <c r="U31" s="74"/>
      <c r="V31" s="74"/>
      <c r="W31" s="97"/>
      <c r="X31" s="97"/>
    </row>
    <row r="32" spans="1:24" ht="15" customHeight="1" x14ac:dyDescent="0.25">
      <c r="A32" s="197"/>
      <c r="B32" s="95" t="s">
        <v>11</v>
      </c>
      <c r="C32" s="4" t="s">
        <v>18</v>
      </c>
      <c r="D32" s="5">
        <v>369.4</v>
      </c>
      <c r="E32" s="5">
        <v>50.4</v>
      </c>
      <c r="F32" s="5">
        <v>599.6</v>
      </c>
      <c r="G32" s="5">
        <v>236.4</v>
      </c>
      <c r="H32" s="5">
        <v>70.2</v>
      </c>
      <c r="I32" s="5">
        <v>20.6</v>
      </c>
      <c r="J32" s="5">
        <v>4.8</v>
      </c>
      <c r="K32" s="5">
        <v>93.5</v>
      </c>
      <c r="L32" s="5">
        <v>1351.5</v>
      </c>
      <c r="M32" s="5">
        <v>1445</v>
      </c>
      <c r="O32" s="5"/>
      <c r="P32" s="5"/>
      <c r="Q32" s="5"/>
      <c r="R32" s="5"/>
      <c r="S32" s="5"/>
      <c r="T32" s="5"/>
      <c r="U32" s="5"/>
      <c r="V32" s="5"/>
      <c r="W32" s="5"/>
      <c r="X32" s="5"/>
    </row>
    <row r="33" spans="1:24" ht="15" customHeight="1" x14ac:dyDescent="0.25">
      <c r="A33" s="197"/>
      <c r="B33" s="95"/>
      <c r="C33" s="4" t="s">
        <v>19</v>
      </c>
      <c r="D33" s="5">
        <v>418.4</v>
      </c>
      <c r="E33" s="5">
        <v>238</v>
      </c>
      <c r="F33" s="5">
        <v>315.39999999999998</v>
      </c>
      <c r="G33" s="5">
        <v>149.30000000000001</v>
      </c>
      <c r="H33" s="5">
        <v>80</v>
      </c>
      <c r="I33" s="5">
        <v>36.9</v>
      </c>
      <c r="J33" s="5">
        <v>34.200000000000003</v>
      </c>
      <c r="K33" s="5">
        <v>5.6</v>
      </c>
      <c r="L33" s="5">
        <v>1272.3</v>
      </c>
      <c r="M33" s="5">
        <v>1277.8</v>
      </c>
      <c r="O33" s="5"/>
      <c r="P33" s="5"/>
      <c r="Q33" s="5"/>
      <c r="R33" s="5"/>
      <c r="S33" s="5"/>
      <c r="T33" s="5"/>
      <c r="U33" s="5"/>
      <c r="V33" s="5"/>
      <c r="W33" s="5"/>
      <c r="X33" s="5"/>
    </row>
    <row r="34" spans="1:24" ht="15" customHeight="1" x14ac:dyDescent="0.25">
      <c r="A34" s="197"/>
      <c r="B34" s="95"/>
      <c r="C34" s="4" t="s">
        <v>20</v>
      </c>
      <c r="D34" s="5">
        <v>29.3</v>
      </c>
      <c r="E34" s="5" t="s">
        <v>109</v>
      </c>
      <c r="F34" s="5">
        <v>1.5</v>
      </c>
      <c r="G34" s="51" t="s">
        <v>109</v>
      </c>
      <c r="H34" s="5">
        <v>0.4</v>
      </c>
      <c r="I34" s="5">
        <v>0.2</v>
      </c>
      <c r="J34" s="51" t="s">
        <v>109</v>
      </c>
      <c r="K34" s="5">
        <v>2.5</v>
      </c>
      <c r="L34" s="5">
        <v>31.4</v>
      </c>
      <c r="M34" s="5">
        <v>33.9</v>
      </c>
      <c r="O34" s="5"/>
      <c r="P34" s="5"/>
      <c r="Q34" s="5"/>
      <c r="R34" s="74"/>
      <c r="S34" s="5"/>
      <c r="T34" s="5"/>
      <c r="U34" s="74"/>
      <c r="V34" s="5"/>
      <c r="W34" s="5"/>
      <c r="X34" s="5"/>
    </row>
    <row r="35" spans="1:24" ht="15" customHeight="1" x14ac:dyDescent="0.25">
      <c r="A35" s="197"/>
      <c r="B35" s="95"/>
      <c r="C35" s="95" t="s">
        <v>11</v>
      </c>
      <c r="D35" s="97">
        <v>817.2</v>
      </c>
      <c r="E35" s="97">
        <v>288.39999999999998</v>
      </c>
      <c r="F35" s="97">
        <v>916.5</v>
      </c>
      <c r="G35" s="97">
        <v>385.7</v>
      </c>
      <c r="H35" s="97">
        <v>150.6</v>
      </c>
      <c r="I35" s="97">
        <v>57.7</v>
      </c>
      <c r="J35" s="97">
        <v>39</v>
      </c>
      <c r="K35" s="97">
        <v>101.6</v>
      </c>
      <c r="L35" s="97">
        <v>2655.2</v>
      </c>
      <c r="M35" s="97">
        <v>2756.8</v>
      </c>
      <c r="O35" s="97"/>
      <c r="P35" s="97"/>
      <c r="Q35" s="97"/>
      <c r="R35" s="97"/>
      <c r="S35" s="97"/>
      <c r="T35" s="97"/>
      <c r="U35" s="97"/>
      <c r="V35" s="97"/>
      <c r="W35" s="97"/>
      <c r="X35" s="97"/>
    </row>
    <row r="36" spans="1:24" ht="15" customHeight="1" x14ac:dyDescent="0.25">
      <c r="A36" s="197" t="s">
        <v>193</v>
      </c>
      <c r="B36" s="95" t="s">
        <v>17</v>
      </c>
      <c r="C36" s="4" t="s">
        <v>18</v>
      </c>
      <c r="D36" s="5">
        <v>305</v>
      </c>
      <c r="E36" s="5">
        <v>32</v>
      </c>
      <c r="F36" s="5">
        <v>415.3</v>
      </c>
      <c r="G36" s="5">
        <v>218.9</v>
      </c>
      <c r="H36" s="5">
        <v>59.7</v>
      </c>
      <c r="I36" s="5">
        <v>15.8</v>
      </c>
      <c r="J36" s="5">
        <v>6</v>
      </c>
      <c r="K36" s="5">
        <v>129.5</v>
      </c>
      <c r="L36" s="5">
        <v>1052.8</v>
      </c>
      <c r="M36" s="5">
        <v>1182.2</v>
      </c>
      <c r="O36" s="5"/>
      <c r="P36" s="5"/>
      <c r="Q36" s="5"/>
      <c r="R36" s="5"/>
      <c r="S36" s="5"/>
      <c r="T36" s="5"/>
      <c r="U36" s="5"/>
      <c r="V36" s="5"/>
      <c r="W36" s="5"/>
      <c r="X36" s="5"/>
    </row>
    <row r="37" spans="1:24" ht="15" customHeight="1" x14ac:dyDescent="0.25">
      <c r="A37" s="197"/>
      <c r="B37" s="95"/>
      <c r="C37" s="4" t="s">
        <v>19</v>
      </c>
      <c r="D37" s="5">
        <v>259.10000000000002</v>
      </c>
      <c r="E37" s="5">
        <v>168.5</v>
      </c>
      <c r="F37" s="5">
        <v>229.8</v>
      </c>
      <c r="G37" s="5">
        <v>129.6</v>
      </c>
      <c r="H37" s="5">
        <v>75.8</v>
      </c>
      <c r="I37" s="5">
        <v>28.8</v>
      </c>
      <c r="J37" s="5">
        <v>20.3</v>
      </c>
      <c r="K37" s="5">
        <v>4.2</v>
      </c>
      <c r="L37" s="5">
        <v>911.9</v>
      </c>
      <c r="M37" s="5">
        <v>916.1</v>
      </c>
      <c r="O37" s="5"/>
      <c r="P37" s="5"/>
      <c r="Q37" s="5"/>
      <c r="R37" s="5"/>
      <c r="S37" s="5"/>
      <c r="T37" s="5"/>
      <c r="U37" s="5"/>
      <c r="V37" s="5"/>
      <c r="W37" s="5"/>
      <c r="X37" s="5"/>
    </row>
    <row r="38" spans="1:24" ht="15" customHeight="1" x14ac:dyDescent="0.25">
      <c r="A38" s="197"/>
      <c r="B38" s="95"/>
      <c r="C38" s="4" t="s">
        <v>20</v>
      </c>
      <c r="D38" s="5">
        <v>22.2</v>
      </c>
      <c r="E38" s="51" t="s">
        <v>109</v>
      </c>
      <c r="F38" s="5">
        <v>1.6</v>
      </c>
      <c r="G38" s="51" t="s">
        <v>109</v>
      </c>
      <c r="H38" s="5">
        <v>1.6</v>
      </c>
      <c r="I38" s="5">
        <v>0.1</v>
      </c>
      <c r="J38" s="51">
        <v>0.4</v>
      </c>
      <c r="K38" s="5">
        <v>2.7</v>
      </c>
      <c r="L38" s="5">
        <v>25.9</v>
      </c>
      <c r="M38" s="5">
        <v>28.6</v>
      </c>
      <c r="O38" s="5"/>
      <c r="P38" s="74"/>
      <c r="Q38" s="5"/>
      <c r="R38" s="74"/>
      <c r="S38" s="5"/>
      <c r="T38" s="5"/>
      <c r="U38" s="74"/>
      <c r="V38" s="5"/>
      <c r="W38" s="5"/>
      <c r="X38" s="5"/>
    </row>
    <row r="39" spans="1:24" ht="15" customHeight="1" x14ac:dyDescent="0.25">
      <c r="A39" s="197"/>
      <c r="B39" s="95"/>
      <c r="C39" s="95" t="s">
        <v>11</v>
      </c>
      <c r="D39" s="97">
        <v>586.4</v>
      </c>
      <c r="E39" s="97">
        <v>200.6</v>
      </c>
      <c r="F39" s="97">
        <v>646.6</v>
      </c>
      <c r="G39" s="97">
        <v>348.5</v>
      </c>
      <c r="H39" s="97">
        <v>137.1</v>
      </c>
      <c r="I39" s="97">
        <v>44.7</v>
      </c>
      <c r="J39" s="97">
        <v>26.7</v>
      </c>
      <c r="K39" s="97">
        <v>136.30000000000001</v>
      </c>
      <c r="L39" s="97">
        <v>1990.6</v>
      </c>
      <c r="M39" s="97">
        <v>2126.9</v>
      </c>
      <c r="O39" s="97"/>
      <c r="P39" s="97"/>
      <c r="Q39" s="97"/>
      <c r="R39" s="97"/>
      <c r="S39" s="97"/>
      <c r="T39" s="97"/>
      <c r="U39" s="97"/>
      <c r="V39" s="97"/>
      <c r="W39" s="97"/>
      <c r="X39" s="97"/>
    </row>
    <row r="40" spans="1:24" ht="15" customHeight="1" x14ac:dyDescent="0.25">
      <c r="A40" s="197"/>
      <c r="B40" s="95" t="s">
        <v>21</v>
      </c>
      <c r="C40" s="4" t="s">
        <v>18</v>
      </c>
      <c r="D40" s="5">
        <v>76.099999999999994</v>
      </c>
      <c r="E40" s="5">
        <v>5.2</v>
      </c>
      <c r="F40" s="5">
        <v>171.3</v>
      </c>
      <c r="G40" s="5">
        <v>67.7</v>
      </c>
      <c r="H40" s="5">
        <v>27.6</v>
      </c>
      <c r="I40" s="5">
        <v>4.8</v>
      </c>
      <c r="J40" s="5">
        <v>1.4</v>
      </c>
      <c r="K40" s="5">
        <v>29.6</v>
      </c>
      <c r="L40" s="5">
        <v>354.1</v>
      </c>
      <c r="M40" s="5">
        <v>383.7</v>
      </c>
      <c r="O40" s="5"/>
      <c r="P40" s="5"/>
      <c r="Q40" s="5"/>
      <c r="R40" s="5"/>
      <c r="S40" s="5"/>
      <c r="T40" s="5"/>
      <c r="U40" s="5"/>
      <c r="V40" s="5"/>
      <c r="W40" s="5"/>
      <c r="X40" s="5"/>
    </row>
    <row r="41" spans="1:24" ht="15" customHeight="1" x14ac:dyDescent="0.25">
      <c r="A41" s="197"/>
      <c r="B41" s="95"/>
      <c r="C41" s="4" t="s">
        <v>19</v>
      </c>
      <c r="D41" s="5">
        <v>66.900000000000006</v>
      </c>
      <c r="E41" s="5">
        <v>29.4</v>
      </c>
      <c r="F41" s="5">
        <v>68</v>
      </c>
      <c r="G41" s="5">
        <v>34.4</v>
      </c>
      <c r="H41" s="5">
        <v>20.2</v>
      </c>
      <c r="I41" s="5">
        <v>16.7</v>
      </c>
      <c r="J41" s="5">
        <v>13.3</v>
      </c>
      <c r="K41" s="5">
        <v>0.8</v>
      </c>
      <c r="L41" s="5">
        <v>249</v>
      </c>
      <c r="M41" s="5">
        <v>249.8</v>
      </c>
      <c r="O41" s="5"/>
      <c r="P41" s="5"/>
      <c r="Q41" s="5"/>
      <c r="R41" s="5"/>
      <c r="S41" s="5"/>
      <c r="T41" s="5"/>
      <c r="U41" s="5"/>
      <c r="V41" s="5"/>
      <c r="W41" s="5"/>
      <c r="X41" s="5"/>
    </row>
    <row r="42" spans="1:24" ht="15" customHeight="1" x14ac:dyDescent="0.25">
      <c r="A42" s="197"/>
      <c r="B42" s="95"/>
      <c r="C42" s="4" t="s">
        <v>20</v>
      </c>
      <c r="D42" s="5">
        <v>6</v>
      </c>
      <c r="E42" s="51" t="s">
        <v>109</v>
      </c>
      <c r="F42" s="51">
        <v>0.1</v>
      </c>
      <c r="G42" s="51" t="s">
        <v>109</v>
      </c>
      <c r="H42" s="5" t="s">
        <v>109</v>
      </c>
      <c r="I42" s="51">
        <v>0.6</v>
      </c>
      <c r="J42" s="51" t="s">
        <v>109</v>
      </c>
      <c r="K42" s="5">
        <v>0.6</v>
      </c>
      <c r="L42" s="5">
        <v>6.6</v>
      </c>
      <c r="M42" s="5">
        <v>7.2</v>
      </c>
      <c r="O42" s="5"/>
      <c r="P42" s="74"/>
      <c r="Q42" s="74"/>
      <c r="R42" s="74"/>
      <c r="S42" s="5"/>
      <c r="T42" s="74"/>
      <c r="U42" s="74"/>
      <c r="V42" s="5"/>
      <c r="W42" s="5"/>
      <c r="X42" s="5"/>
    </row>
    <row r="43" spans="1:24" ht="15" customHeight="1" x14ac:dyDescent="0.25">
      <c r="A43" s="197"/>
      <c r="B43" s="95"/>
      <c r="C43" s="95" t="s">
        <v>11</v>
      </c>
      <c r="D43" s="97">
        <v>149</v>
      </c>
      <c r="E43" s="97">
        <v>34.6</v>
      </c>
      <c r="F43" s="97">
        <v>239.4</v>
      </c>
      <c r="G43" s="97">
        <v>102.1</v>
      </c>
      <c r="H43" s="97">
        <v>47.8</v>
      </c>
      <c r="I43" s="97">
        <v>22.1</v>
      </c>
      <c r="J43" s="97">
        <v>14.7</v>
      </c>
      <c r="K43" s="97">
        <v>30.9</v>
      </c>
      <c r="L43" s="97">
        <v>609.79999999999995</v>
      </c>
      <c r="M43" s="97">
        <v>640.70000000000005</v>
      </c>
      <c r="O43" s="97"/>
      <c r="P43" s="97"/>
      <c r="Q43" s="97"/>
      <c r="R43" s="97"/>
      <c r="S43" s="97"/>
      <c r="T43" s="97"/>
      <c r="U43" s="97"/>
      <c r="V43" s="97"/>
      <c r="W43" s="97"/>
      <c r="X43" s="97"/>
    </row>
    <row r="44" spans="1:24" ht="15" customHeight="1" x14ac:dyDescent="0.25">
      <c r="A44" s="197"/>
      <c r="B44" s="95" t="s">
        <v>20</v>
      </c>
      <c r="C44" s="4" t="s">
        <v>18</v>
      </c>
      <c r="D44" s="5" t="s">
        <v>109</v>
      </c>
      <c r="E44" s="5">
        <v>0.2</v>
      </c>
      <c r="F44" s="5">
        <v>1</v>
      </c>
      <c r="G44" s="51" t="s">
        <v>109</v>
      </c>
      <c r="H44" s="51" t="s">
        <v>109</v>
      </c>
      <c r="I44" s="51" t="s">
        <v>109</v>
      </c>
      <c r="J44" s="51" t="s">
        <v>109</v>
      </c>
      <c r="K44" s="51" t="s">
        <v>109</v>
      </c>
      <c r="L44" s="5">
        <v>1.2</v>
      </c>
      <c r="M44" s="5">
        <v>1.2</v>
      </c>
      <c r="O44" s="5"/>
      <c r="P44" s="5"/>
      <c r="Q44" s="5"/>
      <c r="R44" s="74"/>
      <c r="S44" s="74"/>
      <c r="T44" s="74"/>
      <c r="U44" s="74"/>
      <c r="V44" s="74"/>
      <c r="W44" s="5"/>
      <c r="X44" s="5"/>
    </row>
    <row r="45" spans="1:24" ht="15" customHeight="1" x14ac:dyDescent="0.25">
      <c r="A45" s="197"/>
      <c r="B45" s="95"/>
      <c r="C45" s="4" t="s">
        <v>19</v>
      </c>
      <c r="D45" s="5">
        <v>0.8</v>
      </c>
      <c r="E45" s="51" t="s">
        <v>109</v>
      </c>
      <c r="F45" s="51" t="s">
        <v>109</v>
      </c>
      <c r="G45" s="51" t="s">
        <v>109</v>
      </c>
      <c r="H45" s="51">
        <v>0.2</v>
      </c>
      <c r="I45" s="51" t="s">
        <v>109</v>
      </c>
      <c r="J45" s="51" t="s">
        <v>109</v>
      </c>
      <c r="K45" s="51" t="s">
        <v>109</v>
      </c>
      <c r="L45" s="5">
        <v>0.9</v>
      </c>
      <c r="M45" s="5">
        <v>0.9</v>
      </c>
      <c r="O45" s="5"/>
      <c r="P45" s="74"/>
      <c r="Q45" s="74"/>
      <c r="R45" s="74"/>
      <c r="S45" s="74"/>
      <c r="T45" s="74"/>
      <c r="U45" s="74"/>
      <c r="V45" s="74"/>
      <c r="W45" s="5"/>
      <c r="X45" s="5"/>
    </row>
    <row r="46" spans="1:24" ht="15" customHeight="1" x14ac:dyDescent="0.25">
      <c r="A46" s="197"/>
      <c r="B46" s="95"/>
      <c r="C46" s="4" t="s">
        <v>20</v>
      </c>
      <c r="D46" s="51" t="s">
        <v>109</v>
      </c>
      <c r="E46" s="51" t="s">
        <v>109</v>
      </c>
      <c r="F46" s="51" t="s">
        <v>109</v>
      </c>
      <c r="G46" s="51" t="s">
        <v>109</v>
      </c>
      <c r="H46" s="51" t="s">
        <v>109</v>
      </c>
      <c r="I46" s="51" t="s">
        <v>109</v>
      </c>
      <c r="J46" s="51" t="s">
        <v>109</v>
      </c>
      <c r="K46" s="51">
        <v>0.3</v>
      </c>
      <c r="L46" s="51" t="s">
        <v>109</v>
      </c>
      <c r="M46" s="51">
        <v>0.3</v>
      </c>
      <c r="O46" s="74"/>
      <c r="P46" s="74"/>
      <c r="Q46" s="74"/>
      <c r="R46" s="74"/>
      <c r="S46" s="74"/>
      <c r="T46" s="74"/>
      <c r="U46" s="74"/>
      <c r="V46" s="74"/>
      <c r="W46" s="74"/>
      <c r="X46" s="74"/>
    </row>
    <row r="47" spans="1:24" ht="15" customHeight="1" x14ac:dyDescent="0.25">
      <c r="A47" s="197"/>
      <c r="B47" s="95"/>
      <c r="C47" s="95" t="s">
        <v>11</v>
      </c>
      <c r="D47" s="97">
        <v>0.8</v>
      </c>
      <c r="E47" s="97">
        <v>0.2</v>
      </c>
      <c r="F47" s="97">
        <v>1</v>
      </c>
      <c r="G47" s="51" t="s">
        <v>109</v>
      </c>
      <c r="H47" s="51">
        <v>0.2</v>
      </c>
      <c r="I47" s="51" t="s">
        <v>109</v>
      </c>
      <c r="J47" s="51" t="s">
        <v>109</v>
      </c>
      <c r="K47" s="51">
        <v>0.3</v>
      </c>
      <c r="L47" s="97">
        <v>2.2000000000000002</v>
      </c>
      <c r="M47" s="97">
        <v>2.5</v>
      </c>
      <c r="O47" s="97"/>
      <c r="P47" s="97"/>
      <c r="Q47" s="97"/>
      <c r="R47" s="74"/>
      <c r="S47" s="74"/>
      <c r="T47" s="74"/>
      <c r="U47" s="74"/>
      <c r="V47" s="74"/>
      <c r="W47" s="97"/>
      <c r="X47" s="97"/>
    </row>
    <row r="48" spans="1:24" ht="15" customHeight="1" x14ac:dyDescent="0.25">
      <c r="A48" s="197"/>
      <c r="B48" s="95" t="s">
        <v>11</v>
      </c>
      <c r="C48" s="4" t="s">
        <v>18</v>
      </c>
      <c r="D48" s="5">
        <v>381.1</v>
      </c>
      <c r="E48" s="5">
        <v>37.4</v>
      </c>
      <c r="F48" s="5">
        <v>587.5</v>
      </c>
      <c r="G48" s="5">
        <v>286.7</v>
      </c>
      <c r="H48" s="5">
        <v>87.3</v>
      </c>
      <c r="I48" s="5">
        <v>20.6</v>
      </c>
      <c r="J48" s="5">
        <v>7.4</v>
      </c>
      <c r="K48" s="5">
        <v>159.1</v>
      </c>
      <c r="L48" s="5">
        <v>1408.1</v>
      </c>
      <c r="M48" s="5">
        <v>1567.2</v>
      </c>
      <c r="O48" s="5"/>
      <c r="P48" s="5"/>
      <c r="Q48" s="5"/>
      <c r="R48" s="5"/>
      <c r="S48" s="5"/>
      <c r="T48" s="5"/>
      <c r="U48" s="5"/>
      <c r="V48" s="5"/>
      <c r="W48" s="5"/>
      <c r="X48" s="5"/>
    </row>
    <row r="49" spans="1:24" ht="15" customHeight="1" x14ac:dyDescent="0.25">
      <c r="A49" s="197"/>
      <c r="B49" s="95"/>
      <c r="C49" s="4" t="s">
        <v>19</v>
      </c>
      <c r="D49" s="5">
        <v>326.89999999999998</v>
      </c>
      <c r="E49" s="5">
        <v>198</v>
      </c>
      <c r="F49" s="5">
        <v>297.8</v>
      </c>
      <c r="G49" s="5">
        <v>163.9</v>
      </c>
      <c r="H49" s="5">
        <v>96.2</v>
      </c>
      <c r="I49" s="5">
        <v>45.5</v>
      </c>
      <c r="J49" s="5">
        <v>33.6</v>
      </c>
      <c r="K49" s="5">
        <v>4.9000000000000004</v>
      </c>
      <c r="L49" s="5">
        <v>1161.9000000000001</v>
      </c>
      <c r="M49" s="5">
        <v>1166.8</v>
      </c>
      <c r="O49" s="5"/>
      <c r="P49" s="5"/>
      <c r="Q49" s="5"/>
      <c r="R49" s="5"/>
      <c r="S49" s="5"/>
      <c r="T49" s="5"/>
      <c r="U49" s="5"/>
      <c r="V49" s="5"/>
      <c r="W49" s="5"/>
      <c r="X49" s="5"/>
    </row>
    <row r="50" spans="1:24" ht="15" customHeight="1" x14ac:dyDescent="0.25">
      <c r="A50" s="197"/>
      <c r="B50" s="95"/>
      <c r="C50" s="4" t="s">
        <v>20</v>
      </c>
      <c r="D50" s="5">
        <v>28.2</v>
      </c>
      <c r="E50" s="51" t="s">
        <v>109</v>
      </c>
      <c r="F50" s="5">
        <v>1.7</v>
      </c>
      <c r="G50" s="51" t="s">
        <v>109</v>
      </c>
      <c r="H50" s="5">
        <v>1.6</v>
      </c>
      <c r="I50" s="5">
        <v>0.6</v>
      </c>
      <c r="J50" s="51">
        <v>0.4</v>
      </c>
      <c r="K50" s="5">
        <v>3.6</v>
      </c>
      <c r="L50" s="5">
        <v>32.5</v>
      </c>
      <c r="M50" s="5">
        <v>36</v>
      </c>
      <c r="O50" s="5"/>
      <c r="P50" s="74"/>
      <c r="Q50" s="5"/>
      <c r="R50" s="74"/>
      <c r="S50" s="5"/>
      <c r="T50" s="5"/>
      <c r="U50" s="74"/>
      <c r="V50" s="5"/>
      <c r="W50" s="5"/>
      <c r="X50" s="5"/>
    </row>
    <row r="51" spans="1:24" ht="15" customHeight="1" x14ac:dyDescent="0.25">
      <c r="A51" s="197"/>
      <c r="B51" s="95"/>
      <c r="C51" s="95" t="s">
        <v>11</v>
      </c>
      <c r="D51" s="97">
        <v>736.1</v>
      </c>
      <c r="E51" s="97">
        <v>235.4</v>
      </c>
      <c r="F51" s="97">
        <v>887</v>
      </c>
      <c r="G51" s="97">
        <v>450.6</v>
      </c>
      <c r="H51" s="97">
        <v>185.1</v>
      </c>
      <c r="I51" s="97">
        <v>66.8</v>
      </c>
      <c r="J51" s="97">
        <v>41.4</v>
      </c>
      <c r="K51" s="97">
        <v>167.6</v>
      </c>
      <c r="L51" s="97">
        <v>2602.5</v>
      </c>
      <c r="M51" s="97">
        <v>2770.1</v>
      </c>
      <c r="O51" s="97"/>
      <c r="P51" s="97"/>
      <c r="Q51" s="97"/>
      <c r="R51" s="97"/>
      <c r="S51" s="97"/>
      <c r="T51" s="97"/>
      <c r="U51" s="97"/>
      <c r="V51" s="97"/>
      <c r="W51" s="97"/>
      <c r="X51" s="97"/>
    </row>
    <row r="52" spans="1:24" ht="15" customHeight="1" x14ac:dyDescent="0.25">
      <c r="A52" s="197" t="s">
        <v>194</v>
      </c>
      <c r="B52" s="95" t="s">
        <v>17</v>
      </c>
      <c r="C52" s="4" t="s">
        <v>18</v>
      </c>
      <c r="D52" s="5">
        <v>299.39999999999998</v>
      </c>
      <c r="E52" s="5">
        <v>34</v>
      </c>
      <c r="F52" s="5">
        <v>424.8</v>
      </c>
      <c r="G52" s="5">
        <v>196.9</v>
      </c>
      <c r="H52" s="5">
        <v>79</v>
      </c>
      <c r="I52" s="5">
        <v>19.5</v>
      </c>
      <c r="J52" s="5">
        <v>9</v>
      </c>
      <c r="K52" s="5" t="s">
        <v>114</v>
      </c>
      <c r="L52" s="5">
        <v>1062.7</v>
      </c>
      <c r="M52" s="5" t="s">
        <v>114</v>
      </c>
      <c r="O52" s="5"/>
      <c r="P52" s="5"/>
      <c r="Q52" s="5"/>
      <c r="R52" s="5"/>
      <c r="S52" s="5"/>
      <c r="T52" s="5"/>
      <c r="U52" s="5"/>
      <c r="V52" s="5"/>
      <c r="W52" s="5"/>
      <c r="X52" s="5"/>
    </row>
    <row r="53" spans="1:24" ht="15" customHeight="1" x14ac:dyDescent="0.25">
      <c r="A53" s="197"/>
      <c r="B53" s="95"/>
      <c r="C53" s="4" t="s">
        <v>19</v>
      </c>
      <c r="D53" s="5">
        <v>243.7</v>
      </c>
      <c r="E53" s="5">
        <v>150.30000000000001</v>
      </c>
      <c r="F53" s="5">
        <v>218.5</v>
      </c>
      <c r="G53" s="5">
        <v>129.5</v>
      </c>
      <c r="H53" s="5">
        <v>71</v>
      </c>
      <c r="I53" s="5">
        <v>34.700000000000003</v>
      </c>
      <c r="J53" s="5">
        <v>24.7</v>
      </c>
      <c r="K53" s="5" t="s">
        <v>114</v>
      </c>
      <c r="L53" s="5">
        <v>872.6</v>
      </c>
      <c r="M53" s="5" t="s">
        <v>114</v>
      </c>
      <c r="O53" s="5"/>
      <c r="P53" s="5"/>
      <c r="Q53" s="5"/>
      <c r="R53" s="5"/>
      <c r="S53" s="5"/>
      <c r="T53" s="5"/>
      <c r="U53" s="5"/>
      <c r="V53" s="5"/>
      <c r="W53" s="5"/>
      <c r="X53" s="5"/>
    </row>
    <row r="54" spans="1:24" ht="15" customHeight="1" x14ac:dyDescent="0.25">
      <c r="A54" s="197"/>
      <c r="B54" s="95"/>
      <c r="C54" s="4" t="s">
        <v>20</v>
      </c>
      <c r="D54" s="5">
        <v>19.399999999999999</v>
      </c>
      <c r="E54" s="51" t="s">
        <v>109</v>
      </c>
      <c r="F54" s="5">
        <v>1.2</v>
      </c>
      <c r="G54" s="51" t="s">
        <v>109</v>
      </c>
      <c r="H54" s="5">
        <v>0.6</v>
      </c>
      <c r="I54" s="5">
        <v>0.4</v>
      </c>
      <c r="J54" s="5" t="s">
        <v>109</v>
      </c>
      <c r="K54" s="5" t="s">
        <v>114</v>
      </c>
      <c r="L54" s="5">
        <v>21.6</v>
      </c>
      <c r="M54" s="5" t="s">
        <v>114</v>
      </c>
      <c r="O54" s="5"/>
      <c r="P54" s="74"/>
      <c r="Q54" s="5"/>
      <c r="R54" s="74"/>
      <c r="S54" s="5"/>
      <c r="T54" s="5"/>
      <c r="U54" s="5"/>
      <c r="V54" s="5"/>
      <c r="W54" s="5"/>
      <c r="X54" s="5"/>
    </row>
    <row r="55" spans="1:24" ht="15" customHeight="1" x14ac:dyDescent="0.25">
      <c r="A55" s="197"/>
      <c r="B55" s="95"/>
      <c r="C55" s="95" t="s">
        <v>11</v>
      </c>
      <c r="D55" s="97">
        <v>562.6</v>
      </c>
      <c r="E55" s="97">
        <v>184.3</v>
      </c>
      <c r="F55" s="97">
        <v>644.5</v>
      </c>
      <c r="G55" s="97">
        <v>326.39999999999998</v>
      </c>
      <c r="H55" s="97">
        <v>150.6</v>
      </c>
      <c r="I55" s="97">
        <v>54.6</v>
      </c>
      <c r="J55" s="97">
        <v>33.799999999999997</v>
      </c>
      <c r="K55" s="97" t="s">
        <v>114</v>
      </c>
      <c r="L55" s="97">
        <v>1956.9</v>
      </c>
      <c r="M55" s="97" t="s">
        <v>114</v>
      </c>
      <c r="O55" s="97"/>
      <c r="P55" s="97"/>
      <c r="Q55" s="97"/>
      <c r="R55" s="97"/>
      <c r="S55" s="97"/>
      <c r="T55" s="97"/>
      <c r="U55" s="97"/>
      <c r="V55" s="97"/>
      <c r="W55" s="97"/>
      <c r="X55" s="97"/>
    </row>
    <row r="56" spans="1:24" ht="15" customHeight="1" x14ac:dyDescent="0.25">
      <c r="A56" s="197"/>
      <c r="B56" s="95" t="s">
        <v>21</v>
      </c>
      <c r="C56" s="4" t="s">
        <v>18</v>
      </c>
      <c r="D56" s="5">
        <v>87</v>
      </c>
      <c r="E56" s="5">
        <v>4.0999999999999996</v>
      </c>
      <c r="F56" s="5">
        <v>182.3</v>
      </c>
      <c r="G56" s="5">
        <v>62.6</v>
      </c>
      <c r="H56" s="5">
        <v>39.1</v>
      </c>
      <c r="I56" s="5">
        <v>9.1999999999999993</v>
      </c>
      <c r="J56" s="5">
        <v>4.3</v>
      </c>
      <c r="K56" s="5" t="s">
        <v>114</v>
      </c>
      <c r="L56" s="5">
        <v>388.6</v>
      </c>
      <c r="M56" s="5" t="s">
        <v>114</v>
      </c>
      <c r="O56" s="5"/>
      <c r="P56" s="5"/>
      <c r="Q56" s="5"/>
      <c r="R56" s="5"/>
      <c r="S56" s="5"/>
      <c r="T56" s="5"/>
      <c r="U56" s="5"/>
      <c r="V56" s="5"/>
      <c r="W56" s="5"/>
      <c r="X56" s="5"/>
    </row>
    <row r="57" spans="1:24" ht="15" customHeight="1" x14ac:dyDescent="0.25">
      <c r="A57" s="197"/>
      <c r="B57" s="95"/>
      <c r="C57" s="4" t="s">
        <v>19</v>
      </c>
      <c r="D57" s="5">
        <v>67.400000000000006</v>
      </c>
      <c r="E57" s="5">
        <v>28.2</v>
      </c>
      <c r="F57" s="5">
        <v>68.599999999999994</v>
      </c>
      <c r="G57" s="5">
        <v>40.5</v>
      </c>
      <c r="H57" s="5">
        <v>25.3</v>
      </c>
      <c r="I57" s="5">
        <v>14.6</v>
      </c>
      <c r="J57" s="5">
        <v>16.100000000000001</v>
      </c>
      <c r="K57" s="5" t="s">
        <v>114</v>
      </c>
      <c r="L57" s="5">
        <v>260.60000000000002</v>
      </c>
      <c r="M57" s="5" t="s">
        <v>114</v>
      </c>
      <c r="O57" s="5"/>
      <c r="P57" s="5"/>
      <c r="Q57" s="5"/>
      <c r="R57" s="5"/>
      <c r="S57" s="5"/>
      <c r="T57" s="5"/>
      <c r="U57" s="5"/>
      <c r="V57" s="5"/>
      <c r="W57" s="5"/>
      <c r="X57" s="5"/>
    </row>
    <row r="58" spans="1:24" ht="15" customHeight="1" x14ac:dyDescent="0.25">
      <c r="A58" s="197"/>
      <c r="B58" s="95"/>
      <c r="C58" s="4" t="s">
        <v>20</v>
      </c>
      <c r="D58" s="5">
        <v>5.9</v>
      </c>
      <c r="E58" s="51" t="s">
        <v>109</v>
      </c>
      <c r="F58" s="5">
        <v>0.2</v>
      </c>
      <c r="G58" s="51" t="s">
        <v>109</v>
      </c>
      <c r="H58" s="51" t="s">
        <v>109</v>
      </c>
      <c r="I58" s="5" t="s">
        <v>109</v>
      </c>
      <c r="J58" s="51">
        <v>0.1</v>
      </c>
      <c r="K58" s="5" t="s">
        <v>114</v>
      </c>
      <c r="L58" s="5">
        <v>6.2</v>
      </c>
      <c r="M58" s="5" t="s">
        <v>114</v>
      </c>
      <c r="O58" s="5"/>
      <c r="P58" s="74"/>
      <c r="Q58" s="5"/>
      <c r="R58" s="74"/>
      <c r="S58" s="74"/>
      <c r="T58" s="5"/>
      <c r="U58" s="74"/>
      <c r="V58" s="74"/>
      <c r="W58" s="5"/>
      <c r="X58" s="5"/>
    </row>
    <row r="59" spans="1:24" ht="15" customHeight="1" x14ac:dyDescent="0.25">
      <c r="A59" s="197"/>
      <c r="B59" s="95"/>
      <c r="C59" s="95" t="s">
        <v>11</v>
      </c>
      <c r="D59" s="97">
        <v>160.4</v>
      </c>
      <c r="E59" s="97">
        <v>32.299999999999997</v>
      </c>
      <c r="F59" s="97">
        <v>251.1</v>
      </c>
      <c r="G59" s="97">
        <v>103</v>
      </c>
      <c r="H59" s="97">
        <v>64.400000000000006</v>
      </c>
      <c r="I59" s="97">
        <v>23.8</v>
      </c>
      <c r="J59" s="97">
        <v>20.5</v>
      </c>
      <c r="K59" s="97" t="s">
        <v>114</v>
      </c>
      <c r="L59" s="97">
        <v>655.4</v>
      </c>
      <c r="M59" s="97" t="s">
        <v>114</v>
      </c>
      <c r="O59" s="97"/>
      <c r="P59" s="97"/>
      <c r="Q59" s="97"/>
      <c r="R59" s="97"/>
      <c r="S59" s="97"/>
      <c r="T59" s="97"/>
      <c r="U59" s="97"/>
      <c r="V59" s="97"/>
      <c r="W59" s="97"/>
      <c r="X59" s="97"/>
    </row>
    <row r="60" spans="1:24" ht="15" customHeight="1" x14ac:dyDescent="0.25">
      <c r="A60" s="197"/>
      <c r="B60" s="95" t="s">
        <v>20</v>
      </c>
      <c r="C60" s="4" t="s">
        <v>18</v>
      </c>
      <c r="D60" s="51">
        <v>0.2</v>
      </c>
      <c r="E60" s="5" t="s">
        <v>109</v>
      </c>
      <c r="F60" s="5">
        <v>0.5</v>
      </c>
      <c r="G60" s="51" t="s">
        <v>109</v>
      </c>
      <c r="H60" s="51" t="s">
        <v>109</v>
      </c>
      <c r="I60" s="51" t="s">
        <v>109</v>
      </c>
      <c r="J60" s="51" t="s">
        <v>109</v>
      </c>
      <c r="K60" s="5" t="s">
        <v>114</v>
      </c>
      <c r="L60" s="5">
        <v>0.7</v>
      </c>
      <c r="M60" s="5" t="s">
        <v>114</v>
      </c>
      <c r="O60" s="74"/>
      <c r="P60" s="5"/>
      <c r="Q60" s="5"/>
      <c r="R60" s="74"/>
      <c r="S60" s="74"/>
      <c r="T60" s="74"/>
      <c r="U60" s="74"/>
      <c r="V60" s="74"/>
      <c r="W60" s="5"/>
      <c r="X60" s="5"/>
    </row>
    <row r="61" spans="1:24" ht="15" customHeight="1" x14ac:dyDescent="0.25">
      <c r="A61" s="197"/>
      <c r="B61" s="95"/>
      <c r="C61" s="4" t="s">
        <v>19</v>
      </c>
      <c r="D61" s="5">
        <v>0.3</v>
      </c>
      <c r="E61" s="51" t="s">
        <v>109</v>
      </c>
      <c r="F61" s="51" t="s">
        <v>109</v>
      </c>
      <c r="G61" s="51" t="s">
        <v>109</v>
      </c>
      <c r="H61" s="5" t="s">
        <v>109</v>
      </c>
      <c r="I61" s="51">
        <v>0.2</v>
      </c>
      <c r="J61" s="51" t="s">
        <v>109</v>
      </c>
      <c r="K61" s="5" t="s">
        <v>114</v>
      </c>
      <c r="L61" s="5">
        <v>0.5</v>
      </c>
      <c r="M61" s="5" t="s">
        <v>114</v>
      </c>
      <c r="O61" s="5"/>
      <c r="P61" s="74"/>
      <c r="Q61" s="74"/>
      <c r="R61" s="74"/>
      <c r="S61" s="5"/>
      <c r="T61" s="74"/>
      <c r="U61" s="74"/>
      <c r="V61" s="74"/>
      <c r="W61" s="5"/>
      <c r="X61" s="5"/>
    </row>
    <row r="62" spans="1:24" ht="15" customHeight="1" x14ac:dyDescent="0.25">
      <c r="A62" s="197"/>
      <c r="B62" s="95"/>
      <c r="C62" s="4" t="s">
        <v>20</v>
      </c>
      <c r="D62" s="51" t="s">
        <v>109</v>
      </c>
      <c r="E62" s="51" t="s">
        <v>109</v>
      </c>
      <c r="F62" s="51" t="s">
        <v>109</v>
      </c>
      <c r="G62" s="51" t="s">
        <v>109</v>
      </c>
      <c r="H62" s="51" t="s">
        <v>109</v>
      </c>
      <c r="I62" s="51" t="s">
        <v>109</v>
      </c>
      <c r="J62" s="51" t="s">
        <v>109</v>
      </c>
      <c r="K62" s="5" t="s">
        <v>114</v>
      </c>
      <c r="L62" s="51" t="s">
        <v>109</v>
      </c>
      <c r="M62" s="5" t="s">
        <v>114</v>
      </c>
      <c r="O62" s="74"/>
      <c r="P62" s="74"/>
      <c r="Q62" s="74"/>
      <c r="R62" s="74"/>
      <c r="S62" s="74"/>
      <c r="T62" s="74"/>
      <c r="U62" s="74"/>
      <c r="V62" s="74"/>
      <c r="W62" s="74"/>
      <c r="X62" s="5"/>
    </row>
    <row r="63" spans="1:24" ht="15" customHeight="1" x14ac:dyDescent="0.25">
      <c r="A63" s="197"/>
      <c r="B63" s="95"/>
      <c r="C63" s="95" t="s">
        <v>11</v>
      </c>
      <c r="D63" s="97">
        <v>0.5</v>
      </c>
      <c r="E63" s="97" t="s">
        <v>109</v>
      </c>
      <c r="F63" s="97">
        <v>0.5</v>
      </c>
      <c r="G63" s="51" t="s">
        <v>109</v>
      </c>
      <c r="H63" s="97" t="s">
        <v>109</v>
      </c>
      <c r="I63" s="51">
        <v>0.2</v>
      </c>
      <c r="J63" s="51" t="s">
        <v>109</v>
      </c>
      <c r="K63" s="97" t="s">
        <v>114</v>
      </c>
      <c r="L63" s="97">
        <v>1.2</v>
      </c>
      <c r="M63" s="97" t="s">
        <v>114</v>
      </c>
      <c r="O63" s="97"/>
      <c r="P63" s="97"/>
      <c r="Q63" s="97"/>
      <c r="R63" s="74"/>
      <c r="S63" s="97"/>
      <c r="T63" s="74"/>
      <c r="U63" s="74"/>
      <c r="V63" s="74"/>
      <c r="W63" s="97"/>
      <c r="X63" s="97"/>
    </row>
    <row r="64" spans="1:24" ht="15" customHeight="1" x14ac:dyDescent="0.25">
      <c r="A64" s="197"/>
      <c r="B64" s="95" t="s">
        <v>11</v>
      </c>
      <c r="C64" s="4" t="s">
        <v>18</v>
      </c>
      <c r="D64" s="5">
        <v>386.6</v>
      </c>
      <c r="E64" s="5">
        <v>38.1</v>
      </c>
      <c r="F64" s="5">
        <v>607.5</v>
      </c>
      <c r="G64" s="5">
        <v>259.5</v>
      </c>
      <c r="H64" s="5">
        <v>118.1</v>
      </c>
      <c r="I64" s="5">
        <v>28.7</v>
      </c>
      <c r="J64" s="5">
        <v>13.3</v>
      </c>
      <c r="K64" s="5" t="s">
        <v>114</v>
      </c>
      <c r="L64" s="5">
        <v>1451.9</v>
      </c>
      <c r="M64" s="5" t="s">
        <v>114</v>
      </c>
      <c r="O64" s="5"/>
      <c r="P64" s="5"/>
      <c r="Q64" s="5"/>
      <c r="R64" s="5"/>
      <c r="S64" s="5"/>
      <c r="T64" s="5"/>
      <c r="U64" s="5"/>
      <c r="V64" s="5"/>
      <c r="W64" s="5"/>
      <c r="X64" s="5"/>
    </row>
    <row r="65" spans="1:24" ht="15" customHeight="1" x14ac:dyDescent="0.25">
      <c r="A65" s="197"/>
      <c r="B65" s="95"/>
      <c r="C65" s="4" t="s">
        <v>19</v>
      </c>
      <c r="D65" s="5">
        <v>311.5</v>
      </c>
      <c r="E65" s="5">
        <v>178.5</v>
      </c>
      <c r="F65" s="5">
        <v>287.10000000000002</v>
      </c>
      <c r="G65" s="5">
        <v>170</v>
      </c>
      <c r="H65" s="5">
        <v>96.3</v>
      </c>
      <c r="I65" s="5">
        <v>49.5</v>
      </c>
      <c r="J65" s="5">
        <v>40.799999999999997</v>
      </c>
      <c r="K65" s="5" t="s">
        <v>114</v>
      </c>
      <c r="L65" s="5">
        <v>1133.8</v>
      </c>
      <c r="M65" s="5" t="s">
        <v>114</v>
      </c>
      <c r="O65" s="5"/>
      <c r="P65" s="5"/>
      <c r="Q65" s="5"/>
      <c r="R65" s="5"/>
      <c r="S65" s="5"/>
      <c r="T65" s="5"/>
      <c r="U65" s="5"/>
      <c r="V65" s="5"/>
      <c r="W65" s="5"/>
      <c r="X65" s="5"/>
    </row>
    <row r="66" spans="1:24" ht="15" customHeight="1" x14ac:dyDescent="0.25">
      <c r="A66" s="197"/>
      <c r="B66" s="95"/>
      <c r="C66" s="4" t="s">
        <v>20</v>
      </c>
      <c r="D66" s="5">
        <v>25.3</v>
      </c>
      <c r="E66" s="51" t="s">
        <v>109</v>
      </c>
      <c r="F66" s="5">
        <v>1.4</v>
      </c>
      <c r="G66" s="51" t="s">
        <v>109</v>
      </c>
      <c r="H66" s="5">
        <v>0.6</v>
      </c>
      <c r="I66" s="5">
        <v>0.4</v>
      </c>
      <c r="J66" s="5">
        <v>0.1</v>
      </c>
      <c r="K66" s="5" t="s">
        <v>114</v>
      </c>
      <c r="L66" s="5">
        <v>27.8</v>
      </c>
      <c r="M66" s="5" t="s">
        <v>114</v>
      </c>
      <c r="O66" s="5"/>
      <c r="P66" s="74"/>
      <c r="Q66" s="5"/>
      <c r="R66" s="74"/>
      <c r="S66" s="5"/>
      <c r="T66" s="5"/>
      <c r="U66" s="5"/>
      <c r="V66" s="5"/>
      <c r="W66" s="5"/>
      <c r="X66" s="5"/>
    </row>
    <row r="67" spans="1:24" ht="15" customHeight="1" x14ac:dyDescent="0.25">
      <c r="A67" s="197"/>
      <c r="B67" s="95"/>
      <c r="C67" s="95" t="s">
        <v>11</v>
      </c>
      <c r="D67" s="97">
        <v>723.5</v>
      </c>
      <c r="E67" s="97">
        <v>216.6</v>
      </c>
      <c r="F67" s="97">
        <v>896</v>
      </c>
      <c r="G67" s="97">
        <v>429.5</v>
      </c>
      <c r="H67" s="97">
        <v>215</v>
      </c>
      <c r="I67" s="97">
        <v>78.599999999999994</v>
      </c>
      <c r="J67" s="97">
        <v>54.2</v>
      </c>
      <c r="K67" s="97" t="s">
        <v>114</v>
      </c>
      <c r="L67" s="97">
        <v>2613.4</v>
      </c>
      <c r="M67" s="97" t="s">
        <v>114</v>
      </c>
      <c r="O67" s="97"/>
      <c r="P67" s="97"/>
      <c r="Q67" s="97"/>
      <c r="R67" s="97"/>
      <c r="S67" s="97"/>
      <c r="T67" s="97"/>
      <c r="U67" s="97"/>
      <c r="V67" s="97"/>
      <c r="W67" s="97"/>
      <c r="X67" s="97"/>
    </row>
    <row r="68" spans="1:24" ht="15" customHeight="1" x14ac:dyDescent="0.25">
      <c r="A68" s="197" t="s">
        <v>284</v>
      </c>
      <c r="B68" s="95" t="s">
        <v>17</v>
      </c>
      <c r="C68" s="4" t="s">
        <v>18</v>
      </c>
      <c r="D68" s="5">
        <v>297.7</v>
      </c>
      <c r="E68" s="5">
        <v>36</v>
      </c>
      <c r="F68" s="5">
        <v>405.9</v>
      </c>
      <c r="G68" s="5">
        <v>167.5</v>
      </c>
      <c r="H68" s="5">
        <v>68.8</v>
      </c>
      <c r="I68" s="5">
        <v>23.5</v>
      </c>
      <c r="J68" s="5">
        <v>10.199999999999999</v>
      </c>
      <c r="K68" s="5" t="s">
        <v>114</v>
      </c>
      <c r="L68" s="5">
        <v>1009.5</v>
      </c>
      <c r="M68" s="5" t="s">
        <v>114</v>
      </c>
      <c r="O68" s="5"/>
      <c r="P68" s="5"/>
      <c r="Q68" s="5"/>
      <c r="R68" s="5"/>
      <c r="S68" s="5"/>
      <c r="T68" s="5"/>
      <c r="U68" s="5"/>
      <c r="V68" s="5"/>
      <c r="W68" s="5"/>
      <c r="X68" s="5"/>
    </row>
    <row r="69" spans="1:24" ht="15" customHeight="1" x14ac:dyDescent="0.25">
      <c r="A69" s="197"/>
      <c r="B69" s="95"/>
      <c r="C69" s="4" t="s">
        <v>19</v>
      </c>
      <c r="D69" s="5">
        <v>254.7</v>
      </c>
      <c r="E69" s="5">
        <v>164.1</v>
      </c>
      <c r="F69" s="5">
        <v>202.8</v>
      </c>
      <c r="G69" s="5">
        <v>120.1</v>
      </c>
      <c r="H69" s="5">
        <v>53.5</v>
      </c>
      <c r="I69" s="5">
        <v>41.9</v>
      </c>
      <c r="J69" s="5">
        <v>22.8</v>
      </c>
      <c r="K69" s="5" t="s">
        <v>114</v>
      </c>
      <c r="L69" s="5">
        <v>859.9</v>
      </c>
      <c r="M69" s="5" t="s">
        <v>114</v>
      </c>
      <c r="O69" s="5"/>
      <c r="P69" s="5"/>
      <c r="Q69" s="5"/>
      <c r="R69" s="5"/>
      <c r="S69" s="5"/>
      <c r="T69" s="5"/>
      <c r="U69" s="5"/>
      <c r="V69" s="5"/>
      <c r="W69" s="5"/>
      <c r="X69" s="5"/>
    </row>
    <row r="70" spans="1:24" ht="15" customHeight="1" x14ac:dyDescent="0.25">
      <c r="A70" s="197"/>
      <c r="B70" s="95"/>
      <c r="C70" s="4" t="s">
        <v>20</v>
      </c>
      <c r="D70" s="5">
        <v>19.899999999999999</v>
      </c>
      <c r="E70" s="51">
        <v>0.4</v>
      </c>
      <c r="F70" s="5">
        <v>3.6</v>
      </c>
      <c r="G70" s="51" t="s">
        <v>109</v>
      </c>
      <c r="H70" s="5">
        <v>1.8</v>
      </c>
      <c r="I70" s="5">
        <v>0.2</v>
      </c>
      <c r="J70" s="5" t="s">
        <v>109</v>
      </c>
      <c r="K70" s="5" t="s">
        <v>114</v>
      </c>
      <c r="L70" s="5">
        <v>25.9</v>
      </c>
      <c r="M70" s="5" t="s">
        <v>114</v>
      </c>
      <c r="O70" s="5"/>
      <c r="P70" s="74"/>
      <c r="Q70" s="5"/>
      <c r="R70" s="74"/>
      <c r="S70" s="5"/>
      <c r="T70" s="5"/>
      <c r="U70" s="5"/>
      <c r="V70" s="5"/>
      <c r="W70" s="5"/>
      <c r="X70" s="5"/>
    </row>
    <row r="71" spans="1:24" ht="15" customHeight="1" x14ac:dyDescent="0.25">
      <c r="A71" s="197"/>
      <c r="B71" s="95"/>
      <c r="C71" s="95" t="s">
        <v>11</v>
      </c>
      <c r="D71" s="97">
        <v>572.20000000000005</v>
      </c>
      <c r="E71" s="97">
        <v>200.4</v>
      </c>
      <c r="F71" s="97">
        <v>612.20000000000005</v>
      </c>
      <c r="G71" s="97">
        <v>287.7</v>
      </c>
      <c r="H71" s="97">
        <v>124.2</v>
      </c>
      <c r="I71" s="97">
        <v>65.599999999999994</v>
      </c>
      <c r="J71" s="97">
        <v>33</v>
      </c>
      <c r="K71" s="97" t="s">
        <v>114</v>
      </c>
      <c r="L71" s="97">
        <v>1895.2</v>
      </c>
      <c r="M71" s="97" t="s">
        <v>114</v>
      </c>
      <c r="O71" s="97"/>
      <c r="P71" s="97"/>
      <c r="Q71" s="97"/>
      <c r="R71" s="97"/>
      <c r="S71" s="97"/>
      <c r="T71" s="97"/>
      <c r="U71" s="97"/>
      <c r="V71" s="97"/>
      <c r="W71" s="97"/>
      <c r="X71" s="97"/>
    </row>
    <row r="72" spans="1:24" ht="15" customHeight="1" x14ac:dyDescent="0.25">
      <c r="A72" s="197"/>
      <c r="B72" s="95" t="s">
        <v>21</v>
      </c>
      <c r="C72" s="4" t="s">
        <v>18</v>
      </c>
      <c r="D72" s="5">
        <v>98.6</v>
      </c>
      <c r="E72" s="5">
        <v>6.2</v>
      </c>
      <c r="F72" s="5">
        <v>181.7</v>
      </c>
      <c r="G72" s="5">
        <v>48.5</v>
      </c>
      <c r="H72" s="5">
        <v>28.3</v>
      </c>
      <c r="I72" s="5">
        <v>14.7</v>
      </c>
      <c r="J72" s="5">
        <v>5.6</v>
      </c>
      <c r="K72" s="5" t="s">
        <v>114</v>
      </c>
      <c r="L72" s="5">
        <v>383.5</v>
      </c>
      <c r="M72" s="5" t="s">
        <v>114</v>
      </c>
      <c r="O72" s="5"/>
      <c r="P72" s="5"/>
      <c r="Q72" s="5"/>
      <c r="R72" s="5"/>
      <c r="S72" s="5"/>
      <c r="T72" s="5"/>
      <c r="U72" s="5"/>
      <c r="V72" s="5"/>
      <c r="W72" s="5"/>
      <c r="X72" s="5"/>
    </row>
    <row r="73" spans="1:24" ht="15" customHeight="1" x14ac:dyDescent="0.25">
      <c r="A73" s="197"/>
      <c r="B73" s="95"/>
      <c r="C73" s="4" t="s">
        <v>19</v>
      </c>
      <c r="D73" s="5">
        <v>62.3</v>
      </c>
      <c r="E73" s="5">
        <v>22.1</v>
      </c>
      <c r="F73" s="5">
        <v>65.099999999999994</v>
      </c>
      <c r="G73" s="5">
        <v>31.7</v>
      </c>
      <c r="H73" s="5">
        <v>16.100000000000001</v>
      </c>
      <c r="I73" s="5">
        <v>15.2</v>
      </c>
      <c r="J73" s="5">
        <v>8.8000000000000007</v>
      </c>
      <c r="K73" s="5" t="s">
        <v>114</v>
      </c>
      <c r="L73" s="5">
        <v>221.3</v>
      </c>
      <c r="M73" s="5" t="s">
        <v>114</v>
      </c>
      <c r="O73" s="5"/>
      <c r="P73" s="5"/>
      <c r="Q73" s="5"/>
      <c r="R73" s="5"/>
      <c r="S73" s="5"/>
      <c r="T73" s="5"/>
      <c r="U73" s="5"/>
      <c r="V73" s="5"/>
      <c r="W73" s="5"/>
      <c r="X73" s="5"/>
    </row>
    <row r="74" spans="1:24" ht="15" customHeight="1" x14ac:dyDescent="0.25">
      <c r="A74" s="197"/>
      <c r="B74" s="95"/>
      <c r="C74" s="4" t="s">
        <v>20</v>
      </c>
      <c r="D74" s="5">
        <v>5.3</v>
      </c>
      <c r="E74" s="51" t="s">
        <v>109</v>
      </c>
      <c r="F74" s="5">
        <v>0.2</v>
      </c>
      <c r="G74" s="51" t="s">
        <v>109</v>
      </c>
      <c r="H74" s="51" t="s">
        <v>109</v>
      </c>
      <c r="I74" s="5">
        <v>0.1</v>
      </c>
      <c r="J74" s="5" t="s">
        <v>109</v>
      </c>
      <c r="K74" s="5" t="s">
        <v>114</v>
      </c>
      <c r="L74" s="5">
        <v>5.6</v>
      </c>
      <c r="M74" s="5" t="s">
        <v>114</v>
      </c>
      <c r="O74" s="5"/>
      <c r="P74" s="74"/>
      <c r="Q74" s="5"/>
      <c r="R74" s="74"/>
      <c r="S74" s="74"/>
      <c r="T74" s="5"/>
      <c r="U74" s="5"/>
      <c r="V74" s="5"/>
      <c r="W74" s="5"/>
      <c r="X74" s="5"/>
    </row>
    <row r="75" spans="1:24" ht="15" customHeight="1" x14ac:dyDescent="0.25">
      <c r="A75" s="197"/>
      <c r="B75" s="95"/>
      <c r="C75" s="95" t="s">
        <v>11</v>
      </c>
      <c r="D75" s="97">
        <v>166.2</v>
      </c>
      <c r="E75" s="97">
        <v>28.3</v>
      </c>
      <c r="F75" s="97">
        <v>246.9</v>
      </c>
      <c r="G75" s="97">
        <v>80.099999999999994</v>
      </c>
      <c r="H75" s="97">
        <v>44.4</v>
      </c>
      <c r="I75" s="97">
        <v>30</v>
      </c>
      <c r="J75" s="97">
        <v>14.4</v>
      </c>
      <c r="K75" s="97" t="s">
        <v>114</v>
      </c>
      <c r="L75" s="97">
        <v>610.29999999999995</v>
      </c>
      <c r="M75" s="97" t="s">
        <v>114</v>
      </c>
      <c r="O75" s="97"/>
      <c r="P75" s="97"/>
      <c r="Q75" s="97"/>
      <c r="R75" s="97"/>
      <c r="S75" s="97"/>
      <c r="T75" s="97"/>
      <c r="U75" s="97"/>
      <c r="V75" s="97"/>
      <c r="W75" s="97"/>
      <c r="X75" s="97"/>
    </row>
    <row r="76" spans="1:24" ht="15" customHeight="1" x14ac:dyDescent="0.25">
      <c r="A76" s="197"/>
      <c r="B76" s="95" t="s">
        <v>20</v>
      </c>
      <c r="C76" s="4" t="s">
        <v>18</v>
      </c>
      <c r="D76" s="5">
        <v>0.3</v>
      </c>
      <c r="E76" s="51" t="s">
        <v>109</v>
      </c>
      <c r="F76" s="51">
        <v>0.1</v>
      </c>
      <c r="G76" s="51" t="s">
        <v>109</v>
      </c>
      <c r="H76" s="51" t="s">
        <v>109</v>
      </c>
      <c r="I76" s="51" t="s">
        <v>109</v>
      </c>
      <c r="J76" s="51" t="s">
        <v>109</v>
      </c>
      <c r="K76" s="5" t="s">
        <v>114</v>
      </c>
      <c r="L76" s="5">
        <v>0.4</v>
      </c>
      <c r="M76" s="5" t="s">
        <v>114</v>
      </c>
      <c r="O76" s="5"/>
      <c r="P76" s="74"/>
      <c r="Q76" s="74"/>
      <c r="R76" s="74"/>
      <c r="S76" s="74"/>
      <c r="T76" s="74"/>
      <c r="U76" s="74"/>
      <c r="V76" s="74"/>
      <c r="W76" s="5"/>
      <c r="X76" s="5"/>
    </row>
    <row r="77" spans="1:24" ht="15" customHeight="1" x14ac:dyDescent="0.25">
      <c r="A77" s="197"/>
      <c r="B77" s="95"/>
      <c r="C77" s="4" t="s">
        <v>19</v>
      </c>
      <c r="D77" s="5">
        <v>0.7</v>
      </c>
      <c r="E77" s="51" t="s">
        <v>109</v>
      </c>
      <c r="F77" s="51">
        <v>0.8</v>
      </c>
      <c r="G77" s="51" t="s">
        <v>109</v>
      </c>
      <c r="H77" s="51" t="s">
        <v>109</v>
      </c>
      <c r="I77" s="5">
        <v>0.7</v>
      </c>
      <c r="J77" s="51" t="s">
        <v>109</v>
      </c>
      <c r="K77" s="5" t="s">
        <v>114</v>
      </c>
      <c r="L77" s="5">
        <v>2.2999999999999998</v>
      </c>
      <c r="M77" s="5" t="s">
        <v>114</v>
      </c>
      <c r="O77" s="5"/>
      <c r="P77" s="74"/>
      <c r="Q77" s="74"/>
      <c r="R77" s="74"/>
      <c r="S77" s="74"/>
      <c r="T77" s="5"/>
      <c r="U77" s="74"/>
      <c r="V77" s="74"/>
      <c r="W77" s="5"/>
      <c r="X77" s="5"/>
    </row>
    <row r="78" spans="1:24" ht="15" customHeight="1" x14ac:dyDescent="0.25">
      <c r="A78" s="197"/>
      <c r="B78" s="95"/>
      <c r="C78" s="4" t="s">
        <v>20</v>
      </c>
      <c r="D78" s="51" t="s">
        <v>109</v>
      </c>
      <c r="E78" s="51" t="s">
        <v>109</v>
      </c>
      <c r="F78" s="51" t="s">
        <v>109</v>
      </c>
      <c r="G78" s="51" t="s">
        <v>109</v>
      </c>
      <c r="H78" s="51">
        <v>0.5</v>
      </c>
      <c r="I78" s="5">
        <v>0.1</v>
      </c>
      <c r="J78" s="51" t="s">
        <v>109</v>
      </c>
      <c r="K78" s="5" t="s">
        <v>114</v>
      </c>
      <c r="L78" s="5">
        <v>0.6</v>
      </c>
      <c r="M78" s="5" t="s">
        <v>114</v>
      </c>
      <c r="O78" s="74"/>
      <c r="P78" s="74"/>
      <c r="Q78" s="74"/>
      <c r="R78" s="74"/>
      <c r="S78" s="74"/>
      <c r="T78" s="5"/>
      <c r="U78" s="74"/>
      <c r="V78" s="74"/>
      <c r="W78" s="5"/>
      <c r="X78" s="5"/>
    </row>
    <row r="79" spans="1:24" ht="15" customHeight="1" x14ac:dyDescent="0.25">
      <c r="A79" s="197"/>
      <c r="B79" s="95"/>
      <c r="C79" s="95" t="s">
        <v>11</v>
      </c>
      <c r="D79" s="97">
        <v>1</v>
      </c>
      <c r="E79" s="51" t="s">
        <v>109</v>
      </c>
      <c r="F79" s="51">
        <v>0.9</v>
      </c>
      <c r="G79" s="51" t="s">
        <v>109</v>
      </c>
      <c r="H79" s="51">
        <v>0.5</v>
      </c>
      <c r="I79" s="97">
        <v>0.8</v>
      </c>
      <c r="J79" s="51" t="s">
        <v>109</v>
      </c>
      <c r="K79" s="97" t="s">
        <v>114</v>
      </c>
      <c r="L79" s="97">
        <v>3.3</v>
      </c>
      <c r="M79" s="97" t="s">
        <v>114</v>
      </c>
      <c r="O79" s="97"/>
      <c r="P79" s="74"/>
      <c r="Q79" s="74"/>
      <c r="R79" s="74"/>
      <c r="S79" s="74"/>
      <c r="T79" s="97"/>
      <c r="U79" s="74"/>
      <c r="V79" s="74"/>
      <c r="W79" s="97"/>
      <c r="X79" s="97"/>
    </row>
    <row r="80" spans="1:24" ht="15" customHeight="1" x14ac:dyDescent="0.25">
      <c r="A80" s="197"/>
      <c r="B80" s="95" t="s">
        <v>11</v>
      </c>
      <c r="C80" s="4" t="s">
        <v>18</v>
      </c>
      <c r="D80" s="5">
        <v>396.6</v>
      </c>
      <c r="E80" s="5">
        <v>42.1</v>
      </c>
      <c r="F80" s="5">
        <v>587.70000000000005</v>
      </c>
      <c r="G80" s="5">
        <v>216</v>
      </c>
      <c r="H80" s="5">
        <v>97.1</v>
      </c>
      <c r="I80" s="5">
        <v>38.1</v>
      </c>
      <c r="J80" s="5">
        <v>15.8</v>
      </c>
      <c r="K80" s="5" t="s">
        <v>114</v>
      </c>
      <c r="L80" s="5">
        <v>1393.3</v>
      </c>
      <c r="M80" s="5" t="s">
        <v>114</v>
      </c>
      <c r="O80" s="5"/>
      <c r="P80" s="5"/>
      <c r="Q80" s="5"/>
      <c r="R80" s="5"/>
      <c r="S80" s="5"/>
      <c r="T80" s="5"/>
      <c r="U80" s="5"/>
      <c r="V80" s="5"/>
      <c r="W80" s="5"/>
      <c r="X80" s="5"/>
    </row>
    <row r="81" spans="1:24" ht="15" customHeight="1" x14ac:dyDescent="0.25">
      <c r="A81" s="197"/>
      <c r="B81" s="95"/>
      <c r="C81" s="4" t="s">
        <v>19</v>
      </c>
      <c r="D81" s="5">
        <v>317.7</v>
      </c>
      <c r="E81" s="5">
        <v>186.2</v>
      </c>
      <c r="F81" s="5">
        <v>268.60000000000002</v>
      </c>
      <c r="G81" s="5">
        <v>151.80000000000001</v>
      </c>
      <c r="H81" s="5">
        <v>69.599999999999994</v>
      </c>
      <c r="I81" s="5">
        <v>57.9</v>
      </c>
      <c r="J81" s="5">
        <v>31.6</v>
      </c>
      <c r="K81" s="5" t="s">
        <v>114</v>
      </c>
      <c r="L81" s="5">
        <v>1083.4000000000001</v>
      </c>
      <c r="M81" s="5" t="s">
        <v>114</v>
      </c>
      <c r="O81" s="5"/>
      <c r="P81" s="5"/>
      <c r="Q81" s="5"/>
      <c r="R81" s="5"/>
      <c r="S81" s="5"/>
      <c r="T81" s="5"/>
      <c r="U81" s="5"/>
      <c r="V81" s="5"/>
      <c r="W81" s="5"/>
      <c r="X81" s="5"/>
    </row>
    <row r="82" spans="1:24" ht="15" customHeight="1" x14ac:dyDescent="0.25">
      <c r="A82" s="197"/>
      <c r="B82" s="95"/>
      <c r="C82" s="4" t="s">
        <v>20</v>
      </c>
      <c r="D82" s="5">
        <v>25.2</v>
      </c>
      <c r="E82" s="51">
        <v>0.4</v>
      </c>
      <c r="F82" s="5">
        <v>3.7</v>
      </c>
      <c r="G82" s="51" t="s">
        <v>109</v>
      </c>
      <c r="H82" s="5">
        <v>2.2999999999999998</v>
      </c>
      <c r="I82" s="5">
        <v>0.4</v>
      </c>
      <c r="J82" s="5" t="s">
        <v>109</v>
      </c>
      <c r="K82" s="5" t="s">
        <v>114</v>
      </c>
      <c r="L82" s="5">
        <v>32.1</v>
      </c>
      <c r="M82" s="5" t="s">
        <v>114</v>
      </c>
      <c r="O82" s="5"/>
      <c r="P82" s="74"/>
      <c r="Q82" s="5"/>
      <c r="R82" s="74"/>
      <c r="S82" s="5"/>
      <c r="T82" s="5"/>
      <c r="U82" s="5"/>
      <c r="V82" s="5"/>
      <c r="W82" s="5"/>
      <c r="X82" s="5"/>
    </row>
    <row r="83" spans="1:24" ht="15" customHeight="1" x14ac:dyDescent="0.25">
      <c r="A83" s="197"/>
      <c r="B83" s="95"/>
      <c r="C83" s="95" t="s">
        <v>11</v>
      </c>
      <c r="D83" s="97">
        <v>739.5</v>
      </c>
      <c r="E83" s="97">
        <v>228.7</v>
      </c>
      <c r="F83" s="97">
        <v>860</v>
      </c>
      <c r="G83" s="97">
        <v>367.8</v>
      </c>
      <c r="H83" s="97">
        <v>169.1</v>
      </c>
      <c r="I83" s="97">
        <v>96.4</v>
      </c>
      <c r="J83" s="97">
        <v>47.4</v>
      </c>
      <c r="K83" s="97" t="s">
        <v>114</v>
      </c>
      <c r="L83" s="97">
        <v>2508.8000000000002</v>
      </c>
      <c r="M83" s="97" t="s">
        <v>114</v>
      </c>
      <c r="O83" s="97"/>
      <c r="P83" s="97"/>
      <c r="Q83" s="97"/>
      <c r="R83" s="97"/>
      <c r="S83" s="97"/>
      <c r="T83" s="97"/>
      <c r="U83" s="97"/>
      <c r="V83" s="97"/>
      <c r="W83" s="97"/>
      <c r="X83" s="97"/>
    </row>
    <row r="84" spans="1:24" ht="3" customHeight="1" x14ac:dyDescent="0.25">
      <c r="A84" s="2"/>
      <c r="O84" s="97"/>
      <c r="P84" s="97"/>
      <c r="Q84" s="97"/>
      <c r="R84" s="97"/>
      <c r="S84" s="97"/>
      <c r="T84" s="97"/>
      <c r="U84" s="97"/>
      <c r="V84" s="97"/>
      <c r="W84" s="97"/>
      <c r="X84" s="97"/>
    </row>
    <row r="85" spans="1:24" ht="11.1" customHeight="1" x14ac:dyDescent="0.25">
      <c r="A85" s="184" t="s">
        <v>12</v>
      </c>
      <c r="B85" s="184"/>
      <c r="C85" s="184"/>
      <c r="D85" s="184"/>
      <c r="E85" s="184"/>
      <c r="F85" s="184"/>
      <c r="G85" s="184"/>
      <c r="H85" s="184"/>
      <c r="I85" s="184"/>
      <c r="J85" s="184"/>
      <c r="K85" s="184"/>
      <c r="L85" s="190"/>
      <c r="M85" s="184"/>
      <c r="O85" s="97"/>
      <c r="P85" s="97"/>
      <c r="Q85" s="97"/>
      <c r="R85" s="97"/>
      <c r="S85" s="97"/>
      <c r="T85" s="97"/>
      <c r="U85" s="97"/>
      <c r="V85" s="97"/>
      <c r="W85" s="97"/>
      <c r="X85" s="97"/>
    </row>
    <row r="86" spans="1:24" s="6" customFormat="1" ht="11.1" customHeight="1" x14ac:dyDescent="0.15">
      <c r="A86" s="6" t="s">
        <v>13</v>
      </c>
    </row>
    <row r="87" spans="1:24" s="12" customFormat="1" ht="11.1" customHeight="1" x14ac:dyDescent="0.2">
      <c r="A87" s="39" t="s">
        <v>23</v>
      </c>
    </row>
    <row r="88" spans="1:24" s="6" customFormat="1" ht="11.1" customHeight="1" x14ac:dyDescent="0.15">
      <c r="A88" s="6" t="s">
        <v>41</v>
      </c>
    </row>
    <row r="89" spans="1:24" s="6" customFormat="1" ht="19.5" customHeight="1" x14ac:dyDescent="0.15">
      <c r="A89" s="186"/>
      <c r="B89" s="186"/>
      <c r="C89" s="186"/>
      <c r="D89" s="186"/>
      <c r="E89" s="186"/>
      <c r="F89" s="186"/>
      <c r="G89" s="186"/>
      <c r="H89" s="186"/>
      <c r="I89" s="186"/>
      <c r="J89" s="186"/>
      <c r="K89" s="186"/>
      <c r="L89" s="186"/>
      <c r="M89" s="186"/>
    </row>
    <row r="90" spans="1:24" s="6" customFormat="1" ht="9" x14ac:dyDescent="0.15">
      <c r="A90" s="186"/>
      <c r="B90" s="186"/>
      <c r="C90" s="186"/>
      <c r="D90" s="186"/>
      <c r="E90" s="186"/>
      <c r="F90" s="186"/>
      <c r="G90" s="186"/>
      <c r="H90" s="186"/>
      <c r="I90" s="186"/>
      <c r="J90" s="186"/>
      <c r="K90" s="186"/>
      <c r="L90" s="186"/>
      <c r="M90" s="186"/>
    </row>
    <row r="91" spans="1:24" s="6" customFormat="1" ht="11.1" customHeight="1" x14ac:dyDescent="0.15"/>
    <row r="92" spans="1:24" s="6" customFormat="1" ht="11.1" customHeight="1" x14ac:dyDescent="0.15"/>
    <row r="93" spans="1:24" ht="12" customHeight="1" x14ac:dyDescent="0.25">
      <c r="A93" s="2"/>
    </row>
    <row r="98" spans="6:6" x14ac:dyDescent="0.25">
      <c r="F98" s="127"/>
    </row>
  </sheetData>
  <mergeCells count="9">
    <mergeCell ref="A90:M90"/>
    <mergeCell ref="A1:M1"/>
    <mergeCell ref="A4:A19"/>
    <mergeCell ref="A36:A51"/>
    <mergeCell ref="A20:A35"/>
    <mergeCell ref="A85:M85"/>
    <mergeCell ref="A89:M89"/>
    <mergeCell ref="A52:A67"/>
    <mergeCell ref="A68:A83"/>
  </mergeCells>
  <pageMargins left="0.08" right="0.08" top="1" bottom="1" header="0.5" footer="0.5"/>
  <pageSetup orientation="landscape" blackAndWhite="1"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X91"/>
  <sheetViews>
    <sheetView zoomScaleNormal="100" workbookViewId="0">
      <selection sqref="A1:M1"/>
    </sheetView>
  </sheetViews>
  <sheetFormatPr defaultColWidth="9.140625" defaultRowHeight="15" x14ac:dyDescent="0.25"/>
  <cols>
    <col min="1" max="2" width="11.42578125" style="1" bestFit="1" customWidth="1"/>
    <col min="3" max="3" width="19.5703125" style="1" customWidth="1"/>
    <col min="4" max="11" width="11.42578125" style="1" bestFit="1" customWidth="1"/>
    <col min="12" max="12" width="11" style="1" customWidth="1"/>
    <col min="13" max="13" width="11.42578125" style="1" bestFit="1" customWidth="1"/>
    <col min="14" max="15" width="9.140625" style="1"/>
    <col min="16" max="16" width="19.5703125" style="1" bestFit="1" customWidth="1"/>
    <col min="17" max="16384" width="9.140625" style="1"/>
  </cols>
  <sheetData>
    <row r="1" spans="1:24" ht="19.5" customHeight="1" x14ac:dyDescent="0.25">
      <c r="A1" s="188" t="s">
        <v>301</v>
      </c>
      <c r="B1" s="188"/>
      <c r="C1" s="188"/>
      <c r="D1" s="188"/>
      <c r="E1" s="188"/>
      <c r="F1" s="188"/>
      <c r="G1" s="188"/>
      <c r="H1" s="188"/>
      <c r="I1" s="188"/>
      <c r="J1" s="188"/>
      <c r="K1" s="188"/>
      <c r="L1" s="188"/>
      <c r="M1" s="188"/>
    </row>
    <row r="2" spans="1:24" ht="1.5" customHeight="1" x14ac:dyDescent="0.25">
      <c r="A2" s="2"/>
    </row>
    <row r="3" spans="1:24" ht="23.25" x14ac:dyDescent="0.25">
      <c r="A3" s="31" t="s">
        <v>122</v>
      </c>
      <c r="B3" s="31" t="s">
        <v>119</v>
      </c>
      <c r="C3" s="31" t="s">
        <v>120</v>
      </c>
      <c r="D3" s="3" t="s">
        <v>0</v>
      </c>
      <c r="E3" s="3" t="s">
        <v>1</v>
      </c>
      <c r="F3" s="3" t="s">
        <v>2</v>
      </c>
      <c r="G3" s="3" t="s">
        <v>3</v>
      </c>
      <c r="H3" s="3" t="s">
        <v>4</v>
      </c>
      <c r="I3" s="3" t="s">
        <v>5</v>
      </c>
      <c r="J3" s="3" t="s">
        <v>6</v>
      </c>
      <c r="K3" s="3" t="s">
        <v>7</v>
      </c>
      <c r="L3" s="3" t="s">
        <v>199</v>
      </c>
      <c r="M3" s="3" t="s">
        <v>8</v>
      </c>
    </row>
    <row r="4" spans="1:24" ht="15" customHeight="1" x14ac:dyDescent="0.25">
      <c r="A4" s="197" t="s">
        <v>191</v>
      </c>
      <c r="B4" s="197" t="s">
        <v>17</v>
      </c>
      <c r="C4" s="4" t="s">
        <v>18</v>
      </c>
      <c r="D4" s="5">
        <v>329.6</v>
      </c>
      <c r="E4" s="5">
        <v>86.5</v>
      </c>
      <c r="F4" s="5">
        <v>594.29999999999995</v>
      </c>
      <c r="G4" s="5">
        <v>203.4</v>
      </c>
      <c r="H4" s="5">
        <v>62.9</v>
      </c>
      <c r="I4" s="5">
        <v>28.8</v>
      </c>
      <c r="J4" s="5">
        <v>8</v>
      </c>
      <c r="K4" s="5">
        <v>121.7</v>
      </c>
      <c r="L4" s="5">
        <v>1313.6</v>
      </c>
      <c r="M4" s="5">
        <v>1435.3</v>
      </c>
      <c r="O4" s="129"/>
      <c r="P4" s="127"/>
    </row>
    <row r="5" spans="1:24" ht="15" customHeight="1" x14ac:dyDescent="0.25">
      <c r="A5" s="197"/>
      <c r="B5" s="197"/>
      <c r="C5" s="4" t="s">
        <v>19</v>
      </c>
      <c r="D5" s="5">
        <v>419</v>
      </c>
      <c r="E5" s="5">
        <v>483.7</v>
      </c>
      <c r="F5" s="5">
        <v>443.7</v>
      </c>
      <c r="G5" s="5">
        <v>166.3</v>
      </c>
      <c r="H5" s="5">
        <v>91.2</v>
      </c>
      <c r="I5" s="5">
        <v>49.6</v>
      </c>
      <c r="J5" s="5">
        <v>36.700000000000003</v>
      </c>
      <c r="K5" s="5">
        <v>7.3</v>
      </c>
      <c r="L5" s="5">
        <v>1690.1</v>
      </c>
      <c r="M5" s="5">
        <v>1697.4</v>
      </c>
      <c r="O5" s="129"/>
      <c r="P5" s="127"/>
    </row>
    <row r="6" spans="1:24" ht="15" customHeight="1" x14ac:dyDescent="0.25">
      <c r="A6" s="197"/>
      <c r="B6" s="197"/>
      <c r="C6" s="4" t="s">
        <v>20</v>
      </c>
      <c r="D6" s="5">
        <v>33.299999999999997</v>
      </c>
      <c r="E6" s="51" t="s">
        <v>109</v>
      </c>
      <c r="F6" s="5">
        <v>6</v>
      </c>
      <c r="G6" s="51" t="s">
        <v>109</v>
      </c>
      <c r="H6" s="5">
        <v>0.7</v>
      </c>
      <c r="I6" s="5">
        <v>4.5</v>
      </c>
      <c r="J6" s="51" t="s">
        <v>109</v>
      </c>
      <c r="K6" s="5">
        <v>5.3</v>
      </c>
      <c r="L6" s="5">
        <v>44.5</v>
      </c>
      <c r="M6" s="5">
        <v>49.8</v>
      </c>
      <c r="O6" s="129"/>
      <c r="P6" s="127"/>
    </row>
    <row r="7" spans="1:24" ht="15" customHeight="1" x14ac:dyDescent="0.25">
      <c r="A7" s="197"/>
      <c r="B7" s="197"/>
      <c r="C7" s="95" t="s">
        <v>11</v>
      </c>
      <c r="D7" s="97">
        <v>781.9</v>
      </c>
      <c r="E7" s="97">
        <v>570.20000000000005</v>
      </c>
      <c r="F7" s="97">
        <v>1044</v>
      </c>
      <c r="G7" s="97">
        <v>369.7</v>
      </c>
      <c r="H7" s="97">
        <v>154.69999999999999</v>
      </c>
      <c r="I7" s="97">
        <v>82.9</v>
      </c>
      <c r="J7" s="97">
        <v>44.7</v>
      </c>
      <c r="K7" s="97">
        <v>134.30000000000001</v>
      </c>
      <c r="L7" s="97">
        <v>3048.2</v>
      </c>
      <c r="M7" s="97">
        <v>3182.5</v>
      </c>
      <c r="O7" s="129"/>
      <c r="P7" s="129"/>
      <c r="Q7" s="129"/>
      <c r="R7" s="129"/>
      <c r="S7" s="129"/>
      <c r="T7" s="129"/>
      <c r="U7" s="129"/>
      <c r="V7" s="129"/>
      <c r="W7" s="129"/>
      <c r="X7" s="129"/>
    </row>
    <row r="8" spans="1:24" ht="15" customHeight="1" x14ac:dyDescent="0.25">
      <c r="A8" s="197"/>
      <c r="B8" s="197" t="s">
        <v>21</v>
      </c>
      <c r="C8" s="4" t="s">
        <v>18</v>
      </c>
      <c r="D8" s="5">
        <v>97.1</v>
      </c>
      <c r="E8" s="5">
        <v>18.2</v>
      </c>
      <c r="F8" s="5">
        <v>222.8</v>
      </c>
      <c r="G8" s="5">
        <v>47.6</v>
      </c>
      <c r="H8" s="5">
        <v>21.2</v>
      </c>
      <c r="I8" s="5">
        <v>7.8</v>
      </c>
      <c r="J8" s="5">
        <v>1.8</v>
      </c>
      <c r="K8" s="5">
        <v>14.8</v>
      </c>
      <c r="L8" s="5">
        <v>416.4</v>
      </c>
      <c r="M8" s="5">
        <v>431.2</v>
      </c>
      <c r="O8" s="129"/>
      <c r="P8" s="129"/>
      <c r="Q8" s="129"/>
      <c r="R8" s="129"/>
      <c r="S8" s="129"/>
      <c r="T8" s="129"/>
      <c r="U8" s="129"/>
      <c r="V8" s="129"/>
      <c r="W8" s="129"/>
      <c r="X8" s="129"/>
    </row>
    <row r="9" spans="1:24" ht="15" customHeight="1" x14ac:dyDescent="0.25">
      <c r="A9" s="197"/>
      <c r="B9" s="197"/>
      <c r="C9" s="4" t="s">
        <v>19</v>
      </c>
      <c r="D9" s="5">
        <v>97.6</v>
      </c>
      <c r="E9" s="5">
        <v>98.7</v>
      </c>
      <c r="F9" s="5">
        <v>110.1</v>
      </c>
      <c r="G9" s="5">
        <v>29.6</v>
      </c>
      <c r="H9" s="5">
        <v>14.2</v>
      </c>
      <c r="I9" s="5">
        <v>18.3</v>
      </c>
      <c r="J9" s="5">
        <v>13.3</v>
      </c>
      <c r="K9" s="5">
        <v>1.9</v>
      </c>
      <c r="L9" s="5">
        <v>381.9</v>
      </c>
      <c r="M9" s="5">
        <v>383.8</v>
      </c>
      <c r="O9" s="129"/>
      <c r="P9" s="129"/>
      <c r="Q9" s="129"/>
      <c r="R9" s="129"/>
      <c r="S9" s="129"/>
      <c r="T9" s="129"/>
      <c r="U9" s="129"/>
      <c r="V9" s="129"/>
      <c r="W9" s="129"/>
      <c r="X9" s="129"/>
    </row>
    <row r="10" spans="1:24" ht="15" customHeight="1" x14ac:dyDescent="0.25">
      <c r="A10" s="197"/>
      <c r="B10" s="197"/>
      <c r="C10" s="4" t="s">
        <v>20</v>
      </c>
      <c r="D10" s="5">
        <v>8</v>
      </c>
      <c r="E10" s="51">
        <v>0.1</v>
      </c>
      <c r="F10" s="5">
        <v>0.4</v>
      </c>
      <c r="G10" s="51" t="s">
        <v>109</v>
      </c>
      <c r="H10" s="5">
        <v>0.6</v>
      </c>
      <c r="I10" s="5">
        <v>0.2</v>
      </c>
      <c r="J10" s="51" t="s">
        <v>109</v>
      </c>
      <c r="K10" s="51" t="s">
        <v>109</v>
      </c>
      <c r="L10" s="5">
        <v>9.4</v>
      </c>
      <c r="M10" s="5">
        <v>9.4</v>
      </c>
      <c r="O10" s="129"/>
      <c r="P10" s="129"/>
      <c r="Q10" s="129"/>
      <c r="R10" s="129"/>
      <c r="S10" s="129"/>
      <c r="T10" s="129"/>
      <c r="U10" s="129"/>
      <c r="V10" s="129"/>
      <c r="W10" s="129"/>
      <c r="X10" s="129"/>
    </row>
    <row r="11" spans="1:24" ht="15" customHeight="1" x14ac:dyDescent="0.25">
      <c r="A11" s="197"/>
      <c r="B11" s="197"/>
      <c r="C11" s="95" t="s">
        <v>11</v>
      </c>
      <c r="D11" s="97">
        <v>202.7</v>
      </c>
      <c r="E11" s="97">
        <v>117</v>
      </c>
      <c r="F11" s="97">
        <v>333.3</v>
      </c>
      <c r="G11" s="97">
        <v>77.2</v>
      </c>
      <c r="H11" s="97">
        <v>36</v>
      </c>
      <c r="I11" s="97">
        <v>26.3</v>
      </c>
      <c r="J11" s="97">
        <v>15.1</v>
      </c>
      <c r="K11" s="97">
        <v>16.7</v>
      </c>
      <c r="L11" s="97">
        <v>807.7</v>
      </c>
      <c r="M11" s="97">
        <v>824.3</v>
      </c>
      <c r="O11" s="129"/>
      <c r="P11" s="129"/>
      <c r="Q11" s="129"/>
      <c r="R11" s="129"/>
      <c r="S11" s="129"/>
      <c r="T11" s="129"/>
      <c r="U11" s="129"/>
      <c r="V11" s="129"/>
      <c r="W11" s="129"/>
      <c r="X11" s="129"/>
    </row>
    <row r="12" spans="1:24" ht="15" customHeight="1" x14ac:dyDescent="0.25">
      <c r="A12" s="197"/>
      <c r="B12" s="197" t="s">
        <v>20</v>
      </c>
      <c r="C12" s="4" t="s">
        <v>18</v>
      </c>
      <c r="D12" s="51">
        <v>0.7</v>
      </c>
      <c r="E12" s="51" t="s">
        <v>109</v>
      </c>
      <c r="F12" s="5" t="s">
        <v>109</v>
      </c>
      <c r="G12" s="5" t="s">
        <v>109</v>
      </c>
      <c r="H12" s="51" t="s">
        <v>109</v>
      </c>
      <c r="I12" s="51" t="s">
        <v>109</v>
      </c>
      <c r="J12" s="51" t="s">
        <v>109</v>
      </c>
      <c r="K12" s="51" t="s">
        <v>109</v>
      </c>
      <c r="L12" s="5">
        <v>0.7</v>
      </c>
      <c r="M12" s="5">
        <v>0.7</v>
      </c>
      <c r="O12" s="129"/>
      <c r="P12" s="129"/>
      <c r="Q12" s="129"/>
      <c r="R12" s="129"/>
      <c r="S12" s="129"/>
      <c r="T12" s="129"/>
      <c r="U12" s="129"/>
      <c r="V12" s="129"/>
      <c r="W12" s="129"/>
      <c r="X12" s="129"/>
    </row>
    <row r="13" spans="1:24" ht="15" customHeight="1" x14ac:dyDescent="0.25">
      <c r="A13" s="197"/>
      <c r="B13" s="197"/>
      <c r="C13" s="4" t="s">
        <v>19</v>
      </c>
      <c r="D13" s="5" t="s">
        <v>109</v>
      </c>
      <c r="E13" s="5" t="s">
        <v>109</v>
      </c>
      <c r="F13" s="51" t="s">
        <v>109</v>
      </c>
      <c r="G13" s="51" t="s">
        <v>109</v>
      </c>
      <c r="H13" s="51" t="s">
        <v>109</v>
      </c>
      <c r="I13" s="51" t="s">
        <v>109</v>
      </c>
      <c r="J13" s="51" t="s">
        <v>109</v>
      </c>
      <c r="K13" s="51" t="s">
        <v>109</v>
      </c>
      <c r="L13" s="5" t="s">
        <v>109</v>
      </c>
      <c r="M13" s="5" t="s">
        <v>109</v>
      </c>
      <c r="O13" s="129"/>
      <c r="P13" s="129"/>
      <c r="Q13" s="129"/>
      <c r="R13" s="129"/>
      <c r="S13" s="129"/>
      <c r="T13" s="129"/>
      <c r="U13" s="129"/>
      <c r="V13" s="129"/>
      <c r="W13" s="129"/>
      <c r="X13" s="129"/>
    </row>
    <row r="14" spans="1:24" ht="15" customHeight="1" x14ac:dyDescent="0.25">
      <c r="A14" s="197"/>
      <c r="B14" s="197"/>
      <c r="C14" s="4" t="s">
        <v>20</v>
      </c>
      <c r="D14" s="51" t="s">
        <v>109</v>
      </c>
      <c r="E14" s="51" t="s">
        <v>109</v>
      </c>
      <c r="F14" s="51" t="s">
        <v>109</v>
      </c>
      <c r="G14" s="51" t="s">
        <v>109</v>
      </c>
      <c r="H14" s="51" t="s">
        <v>109</v>
      </c>
      <c r="I14" s="51" t="s">
        <v>109</v>
      </c>
      <c r="J14" s="51" t="s">
        <v>109</v>
      </c>
      <c r="K14" s="51" t="s">
        <v>109</v>
      </c>
      <c r="L14" s="51" t="s">
        <v>109</v>
      </c>
      <c r="M14" s="51" t="s">
        <v>109</v>
      </c>
      <c r="O14" s="129"/>
      <c r="P14" s="129"/>
      <c r="Q14" s="129"/>
      <c r="R14" s="129"/>
      <c r="S14" s="129"/>
      <c r="T14" s="129"/>
      <c r="U14" s="129"/>
      <c r="V14" s="129"/>
      <c r="W14" s="129"/>
      <c r="X14" s="129"/>
    </row>
    <row r="15" spans="1:24" ht="15" customHeight="1" x14ac:dyDescent="0.25">
      <c r="A15" s="197"/>
      <c r="B15" s="197"/>
      <c r="C15" s="95" t="s">
        <v>11</v>
      </c>
      <c r="D15" s="97">
        <v>0.7</v>
      </c>
      <c r="E15" s="97" t="s">
        <v>109</v>
      </c>
      <c r="F15" s="97" t="s">
        <v>109</v>
      </c>
      <c r="G15" s="97" t="s">
        <v>109</v>
      </c>
      <c r="H15" s="135" t="s">
        <v>109</v>
      </c>
      <c r="I15" s="135" t="s">
        <v>109</v>
      </c>
      <c r="J15" s="135" t="s">
        <v>109</v>
      </c>
      <c r="K15" s="135" t="s">
        <v>109</v>
      </c>
      <c r="L15" s="97">
        <v>0.7</v>
      </c>
      <c r="M15" s="97">
        <v>0.7</v>
      </c>
      <c r="O15" s="129"/>
      <c r="P15" s="129"/>
      <c r="Q15" s="129"/>
      <c r="R15" s="129"/>
      <c r="S15" s="129"/>
      <c r="T15" s="129"/>
      <c r="U15" s="129"/>
      <c r="V15" s="129"/>
      <c r="W15" s="129"/>
      <c r="X15" s="129"/>
    </row>
    <row r="16" spans="1:24" ht="15" customHeight="1" x14ac:dyDescent="0.25">
      <c r="A16" s="197"/>
      <c r="B16" s="197" t="s">
        <v>11</v>
      </c>
      <c r="C16" s="4" t="s">
        <v>18</v>
      </c>
      <c r="D16" s="5">
        <v>427.4</v>
      </c>
      <c r="E16" s="5">
        <v>104.7</v>
      </c>
      <c r="F16" s="5">
        <v>817.1</v>
      </c>
      <c r="G16" s="5">
        <v>251</v>
      </c>
      <c r="H16" s="5">
        <v>84.1</v>
      </c>
      <c r="I16" s="5">
        <v>36.6</v>
      </c>
      <c r="J16" s="5">
        <v>9.8000000000000007</v>
      </c>
      <c r="K16" s="5">
        <v>136.4</v>
      </c>
      <c r="L16" s="5">
        <v>1730.7</v>
      </c>
      <c r="M16" s="5">
        <v>1867.1</v>
      </c>
      <c r="O16" s="129"/>
      <c r="P16" s="129"/>
      <c r="Q16" s="129"/>
      <c r="R16" s="129"/>
      <c r="S16" s="129"/>
      <c r="T16" s="129"/>
      <c r="U16" s="129"/>
      <c r="V16" s="129"/>
      <c r="W16" s="129"/>
      <c r="X16" s="129"/>
    </row>
    <row r="17" spans="1:24" ht="15" customHeight="1" x14ac:dyDescent="0.25">
      <c r="A17" s="197"/>
      <c r="B17" s="197"/>
      <c r="C17" s="4" t="s">
        <v>19</v>
      </c>
      <c r="D17" s="5">
        <v>516.6</v>
      </c>
      <c r="E17" s="5">
        <v>582.4</v>
      </c>
      <c r="F17" s="5">
        <v>553.79999999999995</v>
      </c>
      <c r="G17" s="5">
        <v>195.9</v>
      </c>
      <c r="H17" s="5">
        <v>105.4</v>
      </c>
      <c r="I17" s="5">
        <v>67.900000000000006</v>
      </c>
      <c r="J17" s="5">
        <v>50</v>
      </c>
      <c r="K17" s="5">
        <v>9.1999999999999993</v>
      </c>
      <c r="L17" s="5">
        <v>2072</v>
      </c>
      <c r="M17" s="5">
        <v>2081.1999999999998</v>
      </c>
      <c r="O17" s="129"/>
      <c r="P17" s="129"/>
      <c r="Q17" s="129"/>
      <c r="R17" s="129"/>
      <c r="S17" s="129"/>
      <c r="T17" s="129"/>
      <c r="U17" s="129"/>
      <c r="V17" s="129"/>
      <c r="W17" s="129"/>
      <c r="X17" s="129"/>
    </row>
    <row r="18" spans="1:24" ht="15" customHeight="1" x14ac:dyDescent="0.25">
      <c r="A18" s="197"/>
      <c r="B18" s="197"/>
      <c r="C18" s="4" t="s">
        <v>20</v>
      </c>
      <c r="D18" s="5">
        <v>41.3</v>
      </c>
      <c r="E18" s="51">
        <v>0.1</v>
      </c>
      <c r="F18" s="5">
        <v>6.5</v>
      </c>
      <c r="G18" s="51" t="s">
        <v>109</v>
      </c>
      <c r="H18" s="5">
        <v>1.2</v>
      </c>
      <c r="I18" s="5">
        <v>4.8</v>
      </c>
      <c r="J18" s="51" t="s">
        <v>109</v>
      </c>
      <c r="K18" s="5">
        <v>5.3</v>
      </c>
      <c r="L18" s="5">
        <v>53.9</v>
      </c>
      <c r="M18" s="5">
        <v>59.2</v>
      </c>
      <c r="O18" s="129"/>
      <c r="P18" s="129"/>
      <c r="Q18" s="129"/>
      <c r="R18" s="129"/>
      <c r="S18" s="129"/>
      <c r="T18" s="129"/>
      <c r="U18" s="129"/>
      <c r="V18" s="129"/>
      <c r="W18" s="129"/>
      <c r="X18" s="129"/>
    </row>
    <row r="19" spans="1:24" ht="15" customHeight="1" x14ac:dyDescent="0.25">
      <c r="A19" s="197"/>
      <c r="B19" s="197"/>
      <c r="C19" s="95" t="s">
        <v>11</v>
      </c>
      <c r="D19" s="97">
        <v>985.3</v>
      </c>
      <c r="E19" s="97">
        <v>687.2</v>
      </c>
      <c r="F19" s="97">
        <v>1377.4</v>
      </c>
      <c r="G19" s="97">
        <v>446.9</v>
      </c>
      <c r="H19" s="97">
        <v>190.7</v>
      </c>
      <c r="I19" s="97">
        <v>109.3</v>
      </c>
      <c r="J19" s="97">
        <v>59.8</v>
      </c>
      <c r="K19" s="97">
        <v>150.9</v>
      </c>
      <c r="L19" s="97">
        <v>3856.6</v>
      </c>
      <c r="M19" s="97">
        <v>4007.5</v>
      </c>
      <c r="O19" s="129"/>
      <c r="P19" s="129"/>
      <c r="Q19" s="129"/>
      <c r="R19" s="129"/>
      <c r="S19" s="129"/>
      <c r="T19" s="129"/>
      <c r="U19" s="129"/>
      <c r="V19" s="129"/>
      <c r="W19" s="129"/>
      <c r="X19" s="129"/>
    </row>
    <row r="20" spans="1:24" ht="15" customHeight="1" x14ac:dyDescent="0.25">
      <c r="A20" s="197" t="s">
        <v>192</v>
      </c>
      <c r="B20" s="197" t="s">
        <v>17</v>
      </c>
      <c r="C20" s="4" t="s">
        <v>18</v>
      </c>
      <c r="D20" s="5">
        <v>319.8</v>
      </c>
      <c r="E20" s="5">
        <v>74.7</v>
      </c>
      <c r="F20" s="5">
        <v>574.79999999999995</v>
      </c>
      <c r="G20" s="5">
        <v>213.7</v>
      </c>
      <c r="H20" s="5">
        <v>65.3</v>
      </c>
      <c r="I20" s="5">
        <v>24.7</v>
      </c>
      <c r="J20" s="5">
        <v>8</v>
      </c>
      <c r="K20" s="5">
        <v>152.4</v>
      </c>
      <c r="L20" s="5">
        <v>1281.0999999999999</v>
      </c>
      <c r="M20" s="5">
        <v>1433.5</v>
      </c>
      <c r="O20" s="129"/>
      <c r="P20" s="129"/>
      <c r="Q20" s="129"/>
      <c r="R20" s="129"/>
      <c r="S20" s="129"/>
      <c r="T20" s="129"/>
      <c r="U20" s="129"/>
      <c r="V20" s="129"/>
      <c r="W20" s="129"/>
      <c r="X20" s="129"/>
    </row>
    <row r="21" spans="1:24" ht="15" customHeight="1" x14ac:dyDescent="0.25">
      <c r="A21" s="197"/>
      <c r="B21" s="197"/>
      <c r="C21" s="4" t="s">
        <v>19</v>
      </c>
      <c r="D21" s="5">
        <v>376.3</v>
      </c>
      <c r="E21" s="5">
        <v>440.7</v>
      </c>
      <c r="F21" s="5">
        <v>426.7</v>
      </c>
      <c r="G21" s="5">
        <v>150.19999999999999</v>
      </c>
      <c r="H21" s="5">
        <v>93</v>
      </c>
      <c r="I21" s="5">
        <v>37.6</v>
      </c>
      <c r="J21" s="5">
        <v>29</v>
      </c>
      <c r="K21" s="5">
        <v>10.8</v>
      </c>
      <c r="L21" s="5">
        <v>1553.6</v>
      </c>
      <c r="M21" s="5">
        <v>1564.4</v>
      </c>
      <c r="O21" s="129"/>
      <c r="P21" s="129"/>
      <c r="Q21" s="129"/>
      <c r="R21" s="129"/>
      <c r="S21" s="129"/>
      <c r="T21" s="129"/>
      <c r="U21" s="129"/>
      <c r="V21" s="129"/>
      <c r="W21" s="129"/>
      <c r="X21" s="129"/>
    </row>
    <row r="22" spans="1:24" ht="15" customHeight="1" x14ac:dyDescent="0.25">
      <c r="A22" s="197"/>
      <c r="B22" s="197"/>
      <c r="C22" s="4" t="s">
        <v>20</v>
      </c>
      <c r="D22" s="5">
        <v>25.4</v>
      </c>
      <c r="E22" s="51" t="s">
        <v>109</v>
      </c>
      <c r="F22" s="5">
        <v>3.8</v>
      </c>
      <c r="G22" s="51" t="s">
        <v>109</v>
      </c>
      <c r="H22" s="5">
        <v>0.9</v>
      </c>
      <c r="I22" s="5">
        <v>0.3</v>
      </c>
      <c r="J22" s="51" t="s">
        <v>109</v>
      </c>
      <c r="K22" s="5">
        <v>6.1</v>
      </c>
      <c r="L22" s="5">
        <v>30.4</v>
      </c>
      <c r="M22" s="5">
        <v>36.5</v>
      </c>
      <c r="O22" s="129"/>
      <c r="P22" s="129"/>
      <c r="Q22" s="129"/>
      <c r="R22" s="129"/>
      <c r="S22" s="129"/>
      <c r="T22" s="129"/>
      <c r="U22" s="129"/>
      <c r="V22" s="129"/>
      <c r="W22" s="129"/>
      <c r="X22" s="129"/>
    </row>
    <row r="23" spans="1:24" ht="15" customHeight="1" x14ac:dyDescent="0.25">
      <c r="A23" s="197"/>
      <c r="B23" s="197"/>
      <c r="C23" s="95" t="s">
        <v>11</v>
      </c>
      <c r="D23" s="97">
        <v>721.5</v>
      </c>
      <c r="E23" s="97">
        <v>515.4</v>
      </c>
      <c r="F23" s="97">
        <v>1005.4</v>
      </c>
      <c r="G23" s="97">
        <v>364</v>
      </c>
      <c r="H23" s="97">
        <v>159.19999999999999</v>
      </c>
      <c r="I23" s="97">
        <v>62.6</v>
      </c>
      <c r="J23" s="97">
        <v>37</v>
      </c>
      <c r="K23" s="97">
        <v>169.2</v>
      </c>
      <c r="L23" s="97">
        <v>2865.1</v>
      </c>
      <c r="M23" s="97">
        <v>3034.3</v>
      </c>
      <c r="O23" s="129"/>
      <c r="P23" s="129"/>
      <c r="Q23" s="129"/>
      <c r="R23" s="129"/>
      <c r="S23" s="129"/>
      <c r="T23" s="129"/>
      <c r="U23" s="129"/>
      <c r="V23" s="129"/>
      <c r="W23" s="129"/>
      <c r="X23" s="129"/>
    </row>
    <row r="24" spans="1:24" ht="15" customHeight="1" x14ac:dyDescent="0.25">
      <c r="A24" s="197"/>
      <c r="B24" s="197" t="s">
        <v>21</v>
      </c>
      <c r="C24" s="4" t="s">
        <v>18</v>
      </c>
      <c r="D24" s="5">
        <v>84.4</v>
      </c>
      <c r="E24" s="5">
        <v>15.1</v>
      </c>
      <c r="F24" s="5">
        <v>229.3</v>
      </c>
      <c r="G24" s="5">
        <v>55.7</v>
      </c>
      <c r="H24" s="5">
        <v>21.5</v>
      </c>
      <c r="I24" s="5">
        <v>7.5</v>
      </c>
      <c r="J24" s="5">
        <v>1.7</v>
      </c>
      <c r="K24" s="5">
        <v>23.7</v>
      </c>
      <c r="L24" s="5">
        <v>415.2</v>
      </c>
      <c r="M24" s="5">
        <v>438.9</v>
      </c>
      <c r="O24" s="129"/>
      <c r="P24" s="129"/>
      <c r="Q24" s="129"/>
      <c r="R24" s="129"/>
      <c r="S24" s="129"/>
      <c r="T24" s="129"/>
      <c r="U24" s="129"/>
      <c r="V24" s="129"/>
      <c r="W24" s="129"/>
      <c r="X24" s="129"/>
    </row>
    <row r="25" spans="1:24" ht="15" customHeight="1" x14ac:dyDescent="0.25">
      <c r="A25" s="197"/>
      <c r="B25" s="197"/>
      <c r="C25" s="4" t="s">
        <v>19</v>
      </c>
      <c r="D25" s="5">
        <v>88.3</v>
      </c>
      <c r="E25" s="5">
        <v>80.099999999999994</v>
      </c>
      <c r="F25" s="5">
        <v>105.6</v>
      </c>
      <c r="G25" s="5">
        <v>34.200000000000003</v>
      </c>
      <c r="H25" s="5">
        <v>18.5</v>
      </c>
      <c r="I25" s="5">
        <v>17.899999999999999</v>
      </c>
      <c r="J25" s="5">
        <v>14.8</v>
      </c>
      <c r="K25" s="5">
        <v>0.9</v>
      </c>
      <c r="L25" s="5">
        <v>359.4</v>
      </c>
      <c r="M25" s="5">
        <v>360.3</v>
      </c>
      <c r="O25" s="129"/>
      <c r="P25" s="129"/>
      <c r="Q25" s="129"/>
      <c r="R25" s="129"/>
      <c r="S25" s="129"/>
      <c r="T25" s="129"/>
      <c r="U25" s="129"/>
      <c r="V25" s="129"/>
      <c r="W25" s="129"/>
      <c r="X25" s="129"/>
    </row>
    <row r="26" spans="1:24" ht="15" customHeight="1" x14ac:dyDescent="0.25">
      <c r="A26" s="197"/>
      <c r="B26" s="197"/>
      <c r="C26" s="4" t="s">
        <v>20</v>
      </c>
      <c r="D26" s="5">
        <v>7.9</v>
      </c>
      <c r="E26" s="5" t="s">
        <v>109</v>
      </c>
      <c r="F26" s="5">
        <v>1</v>
      </c>
      <c r="G26" s="51" t="s">
        <v>109</v>
      </c>
      <c r="H26" s="5">
        <v>0.7</v>
      </c>
      <c r="I26" s="5" t="s">
        <v>109</v>
      </c>
      <c r="J26" s="51" t="s">
        <v>109</v>
      </c>
      <c r="K26" s="51">
        <v>0.7</v>
      </c>
      <c r="L26" s="5">
        <v>9.6999999999999993</v>
      </c>
      <c r="M26" s="5">
        <v>10.3</v>
      </c>
      <c r="O26" s="129"/>
      <c r="P26" s="129"/>
      <c r="Q26" s="129"/>
      <c r="R26" s="129"/>
      <c r="S26" s="129"/>
      <c r="T26" s="129"/>
      <c r="U26" s="129"/>
      <c r="V26" s="129"/>
      <c r="W26" s="129"/>
      <c r="X26" s="129"/>
    </row>
    <row r="27" spans="1:24" ht="15" customHeight="1" x14ac:dyDescent="0.25">
      <c r="A27" s="197"/>
      <c r="B27" s="197"/>
      <c r="C27" s="95" t="s">
        <v>11</v>
      </c>
      <c r="D27" s="97">
        <v>180.6</v>
      </c>
      <c r="E27" s="97">
        <v>95.3</v>
      </c>
      <c r="F27" s="97">
        <v>335.9</v>
      </c>
      <c r="G27" s="97">
        <v>89.9</v>
      </c>
      <c r="H27" s="97">
        <v>40.6</v>
      </c>
      <c r="I27" s="97">
        <v>25.4</v>
      </c>
      <c r="J27" s="97">
        <v>16.5</v>
      </c>
      <c r="K27" s="97">
        <v>25.2</v>
      </c>
      <c r="L27" s="97">
        <v>784.3</v>
      </c>
      <c r="M27" s="97">
        <v>809.5</v>
      </c>
      <c r="O27" s="129"/>
      <c r="P27" s="129"/>
      <c r="Q27" s="129"/>
      <c r="R27" s="129"/>
      <c r="S27" s="129"/>
      <c r="T27" s="129"/>
      <c r="U27" s="129"/>
      <c r="V27" s="129"/>
      <c r="W27" s="129"/>
      <c r="X27" s="129"/>
    </row>
    <row r="28" spans="1:24" ht="15" customHeight="1" x14ac:dyDescent="0.25">
      <c r="A28" s="197"/>
      <c r="B28" s="197" t="s">
        <v>20</v>
      </c>
      <c r="C28" s="4" t="s">
        <v>18</v>
      </c>
      <c r="D28" s="5">
        <v>0.6</v>
      </c>
      <c r="E28" s="51">
        <v>0.5</v>
      </c>
      <c r="F28" s="51">
        <v>0.9</v>
      </c>
      <c r="G28" s="51" t="s">
        <v>109</v>
      </c>
      <c r="H28" s="51" t="s">
        <v>109</v>
      </c>
      <c r="I28" s="51" t="s">
        <v>109</v>
      </c>
      <c r="J28" s="51" t="s">
        <v>109</v>
      </c>
      <c r="K28" s="51" t="s">
        <v>109</v>
      </c>
      <c r="L28" s="5">
        <v>2</v>
      </c>
      <c r="M28" s="5">
        <v>2</v>
      </c>
      <c r="O28" s="129"/>
      <c r="P28" s="129"/>
      <c r="Q28" s="129"/>
      <c r="R28" s="129"/>
      <c r="S28" s="129"/>
      <c r="T28" s="129"/>
      <c r="U28" s="129"/>
      <c r="V28" s="129"/>
      <c r="W28" s="129"/>
      <c r="X28" s="129"/>
    </row>
    <row r="29" spans="1:24" ht="15" customHeight="1" x14ac:dyDescent="0.25">
      <c r="A29" s="197"/>
      <c r="B29" s="197"/>
      <c r="C29" s="4" t="s">
        <v>19</v>
      </c>
      <c r="D29" s="51">
        <v>0.8</v>
      </c>
      <c r="E29" s="51" t="s">
        <v>109</v>
      </c>
      <c r="F29" s="51" t="s">
        <v>109</v>
      </c>
      <c r="G29" s="51" t="s">
        <v>109</v>
      </c>
      <c r="H29" s="51" t="s">
        <v>109</v>
      </c>
      <c r="I29" s="51" t="s">
        <v>109</v>
      </c>
      <c r="J29" s="51" t="s">
        <v>109</v>
      </c>
      <c r="K29" s="51" t="s">
        <v>109</v>
      </c>
      <c r="L29" s="51">
        <v>0.8</v>
      </c>
      <c r="M29" s="51">
        <v>0.8</v>
      </c>
      <c r="O29" s="129"/>
      <c r="P29" s="129"/>
      <c r="Q29" s="129"/>
      <c r="R29" s="129"/>
      <c r="S29" s="129"/>
      <c r="T29" s="129"/>
      <c r="U29" s="129"/>
      <c r="V29" s="129"/>
      <c r="W29" s="129"/>
      <c r="X29" s="129"/>
    </row>
    <row r="30" spans="1:24" ht="15" customHeight="1" x14ac:dyDescent="0.25">
      <c r="A30" s="197"/>
      <c r="B30" s="197"/>
      <c r="C30" s="4" t="s">
        <v>20</v>
      </c>
      <c r="D30" s="51" t="s">
        <v>109</v>
      </c>
      <c r="E30" s="51" t="s">
        <v>109</v>
      </c>
      <c r="F30" s="51" t="s">
        <v>109</v>
      </c>
      <c r="G30" s="51" t="s">
        <v>109</v>
      </c>
      <c r="H30" s="51" t="s">
        <v>109</v>
      </c>
      <c r="I30" s="51" t="s">
        <v>109</v>
      </c>
      <c r="J30" s="51" t="s">
        <v>109</v>
      </c>
      <c r="K30" s="51" t="s">
        <v>109</v>
      </c>
      <c r="L30" s="51" t="s">
        <v>109</v>
      </c>
      <c r="M30" s="51" t="s">
        <v>109</v>
      </c>
      <c r="O30" s="129"/>
      <c r="P30" s="129"/>
      <c r="Q30" s="129"/>
      <c r="R30" s="129"/>
      <c r="S30" s="129"/>
      <c r="T30" s="129"/>
      <c r="U30" s="129"/>
      <c r="V30" s="129"/>
      <c r="W30" s="129"/>
      <c r="X30" s="129"/>
    </row>
    <row r="31" spans="1:24" ht="15" customHeight="1" x14ac:dyDescent="0.25">
      <c r="A31" s="197"/>
      <c r="B31" s="197"/>
      <c r="C31" s="95" t="s">
        <v>11</v>
      </c>
      <c r="D31" s="97">
        <v>1.4</v>
      </c>
      <c r="E31" s="51">
        <v>0.5</v>
      </c>
      <c r="F31" s="51">
        <v>0.9</v>
      </c>
      <c r="G31" s="51" t="s">
        <v>109</v>
      </c>
      <c r="H31" s="51" t="s">
        <v>109</v>
      </c>
      <c r="I31" s="51" t="s">
        <v>109</v>
      </c>
      <c r="J31" s="51" t="s">
        <v>109</v>
      </c>
      <c r="K31" s="51" t="s">
        <v>109</v>
      </c>
      <c r="L31" s="97">
        <v>2.8</v>
      </c>
      <c r="M31" s="97">
        <v>2.8</v>
      </c>
      <c r="O31" s="129"/>
      <c r="P31" s="129"/>
      <c r="Q31" s="129"/>
      <c r="R31" s="129"/>
      <c r="S31" s="129"/>
      <c r="T31" s="129"/>
      <c r="U31" s="129"/>
      <c r="V31" s="129"/>
      <c r="W31" s="129"/>
      <c r="X31" s="129"/>
    </row>
    <row r="32" spans="1:24" ht="15" customHeight="1" x14ac:dyDescent="0.25">
      <c r="A32" s="197"/>
      <c r="B32" s="197" t="s">
        <v>11</v>
      </c>
      <c r="C32" s="4" t="s">
        <v>18</v>
      </c>
      <c r="D32" s="5">
        <v>404.8</v>
      </c>
      <c r="E32" s="5">
        <v>90.4</v>
      </c>
      <c r="F32" s="5">
        <v>805</v>
      </c>
      <c r="G32" s="5">
        <v>269.5</v>
      </c>
      <c r="H32" s="5">
        <v>86.8</v>
      </c>
      <c r="I32" s="5">
        <v>32.200000000000003</v>
      </c>
      <c r="J32" s="5">
        <v>9.8000000000000007</v>
      </c>
      <c r="K32" s="5">
        <v>176.1</v>
      </c>
      <c r="L32" s="5">
        <v>1698.3</v>
      </c>
      <c r="M32" s="5">
        <v>1874.4</v>
      </c>
      <c r="O32" s="129"/>
      <c r="P32" s="129"/>
      <c r="Q32" s="129"/>
      <c r="R32" s="129"/>
      <c r="S32" s="129"/>
      <c r="T32" s="129"/>
      <c r="U32" s="129"/>
      <c r="V32" s="129"/>
      <c r="W32" s="129"/>
      <c r="X32" s="129"/>
    </row>
    <row r="33" spans="1:24" ht="15" customHeight="1" x14ac:dyDescent="0.25">
      <c r="A33" s="197"/>
      <c r="B33" s="197"/>
      <c r="C33" s="4" t="s">
        <v>19</v>
      </c>
      <c r="D33" s="5">
        <v>465.5</v>
      </c>
      <c r="E33" s="5">
        <v>520.9</v>
      </c>
      <c r="F33" s="5">
        <v>532.29999999999995</v>
      </c>
      <c r="G33" s="5">
        <v>184.4</v>
      </c>
      <c r="H33" s="5">
        <v>111.5</v>
      </c>
      <c r="I33" s="5">
        <v>55.5</v>
      </c>
      <c r="J33" s="5">
        <v>43.8</v>
      </c>
      <c r="K33" s="5">
        <v>11.7</v>
      </c>
      <c r="L33" s="5">
        <v>1913.8</v>
      </c>
      <c r="M33" s="5">
        <v>1925.5</v>
      </c>
      <c r="O33" s="129"/>
      <c r="P33" s="129"/>
      <c r="Q33" s="129"/>
      <c r="R33" s="129"/>
      <c r="S33" s="129"/>
      <c r="T33" s="129"/>
      <c r="U33" s="129"/>
      <c r="V33" s="129"/>
      <c r="W33" s="129"/>
      <c r="X33" s="129"/>
    </row>
    <row r="34" spans="1:24" ht="15" customHeight="1" x14ac:dyDescent="0.25">
      <c r="A34" s="197"/>
      <c r="B34" s="197"/>
      <c r="C34" s="4" t="s">
        <v>20</v>
      </c>
      <c r="D34" s="5">
        <v>33.4</v>
      </c>
      <c r="E34" s="5" t="s">
        <v>109</v>
      </c>
      <c r="F34" s="5">
        <v>4.8</v>
      </c>
      <c r="G34" s="51" t="s">
        <v>109</v>
      </c>
      <c r="H34" s="5">
        <v>1.6</v>
      </c>
      <c r="I34" s="5">
        <v>0.3</v>
      </c>
      <c r="J34" s="51" t="s">
        <v>109</v>
      </c>
      <c r="K34" s="5">
        <v>6.7</v>
      </c>
      <c r="L34" s="5">
        <v>40.1</v>
      </c>
      <c r="M34" s="5">
        <v>46.8</v>
      </c>
      <c r="O34" s="129"/>
      <c r="P34" s="129"/>
      <c r="Q34" s="129"/>
      <c r="R34" s="129"/>
      <c r="S34" s="129"/>
      <c r="T34" s="129"/>
      <c r="U34" s="129"/>
      <c r="V34" s="129"/>
      <c r="W34" s="129"/>
      <c r="X34" s="129"/>
    </row>
    <row r="35" spans="1:24" ht="15" customHeight="1" x14ac:dyDescent="0.25">
      <c r="A35" s="197"/>
      <c r="B35" s="197"/>
      <c r="C35" s="95" t="s">
        <v>11</v>
      </c>
      <c r="D35" s="97">
        <v>903.6</v>
      </c>
      <c r="E35" s="97">
        <v>611.29999999999995</v>
      </c>
      <c r="F35" s="97">
        <v>1342.1</v>
      </c>
      <c r="G35" s="97">
        <v>453.9</v>
      </c>
      <c r="H35" s="97">
        <v>199.9</v>
      </c>
      <c r="I35" s="97">
        <v>88</v>
      </c>
      <c r="J35" s="97">
        <v>53.5</v>
      </c>
      <c r="K35" s="97">
        <v>194.5</v>
      </c>
      <c r="L35" s="97">
        <v>3652.2</v>
      </c>
      <c r="M35" s="97">
        <v>3846.7</v>
      </c>
      <c r="O35" s="129"/>
      <c r="P35" s="129"/>
      <c r="Q35" s="129"/>
      <c r="R35" s="129"/>
      <c r="S35" s="129"/>
      <c r="T35" s="129"/>
      <c r="U35" s="129"/>
      <c r="V35" s="129"/>
      <c r="W35" s="129"/>
      <c r="X35" s="129"/>
    </row>
    <row r="36" spans="1:24" ht="15" customHeight="1" x14ac:dyDescent="0.25">
      <c r="A36" s="197" t="s">
        <v>193</v>
      </c>
      <c r="B36" s="197" t="s">
        <v>17</v>
      </c>
      <c r="C36" s="4" t="s">
        <v>18</v>
      </c>
      <c r="D36" s="5">
        <v>333.6</v>
      </c>
      <c r="E36" s="5">
        <v>74.5</v>
      </c>
      <c r="F36" s="5">
        <v>566.5</v>
      </c>
      <c r="G36" s="5">
        <v>256.89999999999998</v>
      </c>
      <c r="H36" s="5">
        <v>70.5</v>
      </c>
      <c r="I36" s="5">
        <v>22.6</v>
      </c>
      <c r="J36" s="5">
        <v>8.6999999999999993</v>
      </c>
      <c r="K36" s="5">
        <v>230.4</v>
      </c>
      <c r="L36" s="5">
        <v>1333.4</v>
      </c>
      <c r="M36" s="5">
        <v>1563.8</v>
      </c>
      <c r="O36" s="129"/>
      <c r="P36" s="129"/>
      <c r="Q36" s="129"/>
      <c r="R36" s="129"/>
      <c r="S36" s="129"/>
      <c r="T36" s="129"/>
      <c r="U36" s="129"/>
      <c r="V36" s="129"/>
      <c r="W36" s="129"/>
      <c r="X36" s="129"/>
    </row>
    <row r="37" spans="1:24" ht="15" customHeight="1" x14ac:dyDescent="0.25">
      <c r="A37" s="197"/>
      <c r="B37" s="197"/>
      <c r="C37" s="4" t="s">
        <v>19</v>
      </c>
      <c r="D37" s="5">
        <v>289.39999999999998</v>
      </c>
      <c r="E37" s="5">
        <v>357.1</v>
      </c>
      <c r="F37" s="5">
        <v>401.1</v>
      </c>
      <c r="G37" s="5">
        <v>158.19999999999999</v>
      </c>
      <c r="H37" s="5">
        <v>99.4</v>
      </c>
      <c r="I37" s="5">
        <v>43.9</v>
      </c>
      <c r="J37" s="5">
        <v>30.1</v>
      </c>
      <c r="K37" s="5">
        <v>12.6</v>
      </c>
      <c r="L37" s="5">
        <v>1379.3</v>
      </c>
      <c r="M37" s="5">
        <v>1392</v>
      </c>
      <c r="O37" s="129"/>
      <c r="P37" s="129"/>
      <c r="Q37" s="129"/>
      <c r="R37" s="129"/>
      <c r="S37" s="129"/>
      <c r="T37" s="129"/>
      <c r="U37" s="129"/>
      <c r="V37" s="129"/>
      <c r="W37" s="129"/>
      <c r="X37" s="129"/>
    </row>
    <row r="38" spans="1:24" ht="15" customHeight="1" x14ac:dyDescent="0.25">
      <c r="A38" s="197"/>
      <c r="B38" s="197"/>
      <c r="C38" s="4" t="s">
        <v>20</v>
      </c>
      <c r="D38" s="5">
        <v>25.5</v>
      </c>
      <c r="E38" s="51" t="s">
        <v>109</v>
      </c>
      <c r="F38" s="5">
        <v>2.7</v>
      </c>
      <c r="G38" s="51" t="s">
        <v>109</v>
      </c>
      <c r="H38" s="5">
        <v>1.6</v>
      </c>
      <c r="I38" s="5">
        <v>0.1</v>
      </c>
      <c r="J38" s="51">
        <v>0.8</v>
      </c>
      <c r="K38" s="5">
        <v>9.6</v>
      </c>
      <c r="L38" s="5">
        <v>30.7</v>
      </c>
      <c r="M38" s="5">
        <v>40.299999999999997</v>
      </c>
      <c r="O38" s="129"/>
      <c r="P38" s="129"/>
      <c r="Q38" s="129"/>
      <c r="R38" s="129"/>
      <c r="S38" s="129"/>
      <c r="T38" s="129"/>
      <c r="U38" s="129"/>
      <c r="V38" s="129"/>
      <c r="W38" s="129"/>
      <c r="X38" s="129"/>
    </row>
    <row r="39" spans="1:24" ht="15" customHeight="1" x14ac:dyDescent="0.25">
      <c r="A39" s="197"/>
      <c r="B39" s="197"/>
      <c r="C39" s="95" t="s">
        <v>11</v>
      </c>
      <c r="D39" s="97">
        <v>648.4</v>
      </c>
      <c r="E39" s="97">
        <v>431.6</v>
      </c>
      <c r="F39" s="97">
        <v>970.3</v>
      </c>
      <c r="G39" s="97">
        <v>415.2</v>
      </c>
      <c r="H39" s="97">
        <v>171.6</v>
      </c>
      <c r="I39" s="97">
        <v>66.599999999999994</v>
      </c>
      <c r="J39" s="97">
        <v>39.6</v>
      </c>
      <c r="K39" s="97">
        <v>252.7</v>
      </c>
      <c r="L39" s="97">
        <v>2743.4</v>
      </c>
      <c r="M39" s="97">
        <v>2996.1</v>
      </c>
      <c r="O39" s="129"/>
      <c r="P39" s="129"/>
      <c r="Q39" s="129"/>
      <c r="R39" s="129"/>
      <c r="S39" s="129"/>
      <c r="T39" s="129"/>
      <c r="U39" s="129"/>
      <c r="V39" s="129"/>
      <c r="W39" s="129"/>
      <c r="X39" s="129"/>
    </row>
    <row r="40" spans="1:24" ht="15" customHeight="1" x14ac:dyDescent="0.25">
      <c r="A40" s="197"/>
      <c r="B40" s="197" t="s">
        <v>21</v>
      </c>
      <c r="C40" s="4" t="s">
        <v>18</v>
      </c>
      <c r="D40" s="5">
        <v>81.2</v>
      </c>
      <c r="E40" s="5">
        <v>11</v>
      </c>
      <c r="F40" s="5">
        <v>212.9</v>
      </c>
      <c r="G40" s="5">
        <v>75.5</v>
      </c>
      <c r="H40" s="5">
        <v>30.7</v>
      </c>
      <c r="I40" s="5">
        <v>6.8</v>
      </c>
      <c r="J40" s="5">
        <v>1.4</v>
      </c>
      <c r="K40" s="5">
        <v>41.2</v>
      </c>
      <c r="L40" s="5">
        <v>419.5</v>
      </c>
      <c r="M40" s="5">
        <v>460.7</v>
      </c>
      <c r="O40" s="129"/>
      <c r="P40" s="129"/>
      <c r="Q40" s="129"/>
      <c r="R40" s="129"/>
      <c r="S40" s="129"/>
      <c r="T40" s="129"/>
      <c r="U40" s="129"/>
      <c r="V40" s="129"/>
      <c r="W40" s="129"/>
      <c r="X40" s="129"/>
    </row>
    <row r="41" spans="1:24" ht="15" customHeight="1" x14ac:dyDescent="0.25">
      <c r="A41" s="197"/>
      <c r="B41" s="197"/>
      <c r="C41" s="4" t="s">
        <v>19</v>
      </c>
      <c r="D41" s="5">
        <v>71.2</v>
      </c>
      <c r="E41" s="5">
        <v>48</v>
      </c>
      <c r="F41" s="5">
        <v>103.2</v>
      </c>
      <c r="G41" s="5">
        <v>36.4</v>
      </c>
      <c r="H41" s="5">
        <v>24.8</v>
      </c>
      <c r="I41" s="5">
        <v>20.9</v>
      </c>
      <c r="J41" s="5">
        <v>14.3</v>
      </c>
      <c r="K41" s="5">
        <v>0.8</v>
      </c>
      <c r="L41" s="5">
        <v>318.89999999999998</v>
      </c>
      <c r="M41" s="5">
        <v>319.60000000000002</v>
      </c>
      <c r="O41" s="129"/>
      <c r="P41" s="129"/>
      <c r="Q41" s="129"/>
      <c r="R41" s="129"/>
      <c r="S41" s="129"/>
      <c r="T41" s="129"/>
      <c r="U41" s="129"/>
      <c r="V41" s="129"/>
      <c r="W41" s="129"/>
      <c r="X41" s="129"/>
    </row>
    <row r="42" spans="1:24" ht="15" customHeight="1" x14ac:dyDescent="0.25">
      <c r="A42" s="197"/>
      <c r="B42" s="197"/>
      <c r="C42" s="4" t="s">
        <v>20</v>
      </c>
      <c r="D42" s="5">
        <v>6.3</v>
      </c>
      <c r="E42" s="51" t="s">
        <v>109</v>
      </c>
      <c r="F42" s="5">
        <v>0.2</v>
      </c>
      <c r="G42" s="51" t="s">
        <v>109</v>
      </c>
      <c r="H42" s="5" t="s">
        <v>109</v>
      </c>
      <c r="I42" s="51">
        <v>0.6</v>
      </c>
      <c r="J42" s="51" t="s">
        <v>109</v>
      </c>
      <c r="K42" s="5">
        <v>0.7</v>
      </c>
      <c r="L42" s="5">
        <v>7.1</v>
      </c>
      <c r="M42" s="5">
        <v>7.8</v>
      </c>
      <c r="O42" s="129"/>
      <c r="P42" s="129"/>
      <c r="Q42" s="129"/>
      <c r="R42" s="129"/>
      <c r="S42" s="129"/>
      <c r="T42" s="129"/>
      <c r="U42" s="129"/>
      <c r="V42" s="129"/>
      <c r="W42" s="129"/>
      <c r="X42" s="129"/>
    </row>
    <row r="43" spans="1:24" ht="15" customHeight="1" x14ac:dyDescent="0.25">
      <c r="A43" s="197"/>
      <c r="B43" s="197"/>
      <c r="C43" s="95" t="s">
        <v>11</v>
      </c>
      <c r="D43" s="97">
        <v>158.69999999999999</v>
      </c>
      <c r="E43" s="97">
        <v>59</v>
      </c>
      <c r="F43" s="97">
        <v>316.3</v>
      </c>
      <c r="G43" s="97">
        <v>111.9</v>
      </c>
      <c r="H43" s="97">
        <v>55.5</v>
      </c>
      <c r="I43" s="97">
        <v>28.2</v>
      </c>
      <c r="J43" s="97">
        <v>15.7</v>
      </c>
      <c r="K43" s="97">
        <v>42.7</v>
      </c>
      <c r="L43" s="97">
        <v>745.4</v>
      </c>
      <c r="M43" s="97">
        <v>788.1</v>
      </c>
      <c r="O43" s="129"/>
      <c r="P43" s="129"/>
      <c r="Q43" s="129"/>
      <c r="R43" s="129"/>
      <c r="S43" s="129"/>
      <c r="T43" s="129"/>
      <c r="U43" s="129"/>
      <c r="V43" s="129"/>
      <c r="W43" s="129"/>
      <c r="X43" s="129"/>
    </row>
    <row r="44" spans="1:24" ht="15" customHeight="1" x14ac:dyDescent="0.25">
      <c r="A44" s="197"/>
      <c r="B44" s="197" t="s">
        <v>20</v>
      </c>
      <c r="C44" s="4" t="s">
        <v>18</v>
      </c>
      <c r="D44" s="5" t="s">
        <v>109</v>
      </c>
      <c r="E44" s="5">
        <v>0.2</v>
      </c>
      <c r="F44" s="5">
        <v>1</v>
      </c>
      <c r="G44" s="51" t="s">
        <v>109</v>
      </c>
      <c r="H44" s="51" t="s">
        <v>109</v>
      </c>
      <c r="I44" s="51" t="s">
        <v>109</v>
      </c>
      <c r="J44" s="51" t="s">
        <v>109</v>
      </c>
      <c r="K44" s="51" t="s">
        <v>109</v>
      </c>
      <c r="L44" s="5">
        <v>1.2</v>
      </c>
      <c r="M44" s="5">
        <v>1.2</v>
      </c>
      <c r="O44" s="129"/>
      <c r="P44" s="129"/>
      <c r="Q44" s="129"/>
      <c r="R44" s="129"/>
      <c r="S44" s="129"/>
      <c r="T44" s="129"/>
      <c r="U44" s="129"/>
      <c r="V44" s="129"/>
      <c r="W44" s="129"/>
      <c r="X44" s="129"/>
    </row>
    <row r="45" spans="1:24" ht="15" customHeight="1" x14ac:dyDescent="0.25">
      <c r="A45" s="197"/>
      <c r="B45" s="197"/>
      <c r="C45" s="4" t="s">
        <v>19</v>
      </c>
      <c r="D45" s="5">
        <v>0.8</v>
      </c>
      <c r="E45" s="51" t="s">
        <v>109</v>
      </c>
      <c r="F45" s="51" t="s">
        <v>109</v>
      </c>
      <c r="G45" s="51" t="s">
        <v>109</v>
      </c>
      <c r="H45" s="51">
        <v>0.2</v>
      </c>
      <c r="I45" s="51">
        <v>0.7</v>
      </c>
      <c r="J45" s="51" t="s">
        <v>109</v>
      </c>
      <c r="K45" s="51" t="s">
        <v>109</v>
      </c>
      <c r="L45" s="5">
        <v>1.7</v>
      </c>
      <c r="M45" s="5">
        <v>1.7</v>
      </c>
      <c r="O45" s="129"/>
      <c r="P45" s="129"/>
      <c r="Q45" s="129"/>
      <c r="R45" s="129"/>
      <c r="S45" s="129"/>
      <c r="T45" s="129"/>
      <c r="U45" s="129"/>
      <c r="V45" s="129"/>
      <c r="W45" s="129"/>
      <c r="X45" s="129"/>
    </row>
    <row r="46" spans="1:24" ht="15" customHeight="1" x14ac:dyDescent="0.25">
      <c r="A46" s="197"/>
      <c r="B46" s="197"/>
      <c r="C46" s="4" t="s">
        <v>20</v>
      </c>
      <c r="D46" s="51" t="s">
        <v>109</v>
      </c>
      <c r="E46" s="51" t="s">
        <v>109</v>
      </c>
      <c r="F46" s="51" t="s">
        <v>109</v>
      </c>
      <c r="G46" s="51" t="s">
        <v>109</v>
      </c>
      <c r="H46" s="51" t="s">
        <v>109</v>
      </c>
      <c r="I46" s="51" t="s">
        <v>109</v>
      </c>
      <c r="J46" s="51" t="s">
        <v>109</v>
      </c>
      <c r="K46" s="51">
        <v>0.3</v>
      </c>
      <c r="L46" s="51" t="s">
        <v>109</v>
      </c>
      <c r="M46" s="51">
        <v>0.3</v>
      </c>
      <c r="O46" s="129"/>
      <c r="P46" s="129"/>
      <c r="Q46" s="129"/>
      <c r="R46" s="129"/>
      <c r="S46" s="129"/>
      <c r="T46" s="129"/>
      <c r="U46" s="129"/>
      <c r="V46" s="129"/>
      <c r="W46" s="129"/>
      <c r="X46" s="129"/>
    </row>
    <row r="47" spans="1:24" ht="15" customHeight="1" x14ac:dyDescent="0.25">
      <c r="A47" s="197"/>
      <c r="B47" s="197"/>
      <c r="C47" s="95" t="s">
        <v>11</v>
      </c>
      <c r="D47" s="97">
        <v>0.8</v>
      </c>
      <c r="E47" s="97">
        <v>0.2</v>
      </c>
      <c r="F47" s="97">
        <v>1</v>
      </c>
      <c r="G47" s="51" t="s">
        <v>109</v>
      </c>
      <c r="H47" s="51">
        <v>0.2</v>
      </c>
      <c r="I47" s="51">
        <v>0.7</v>
      </c>
      <c r="J47" s="51" t="s">
        <v>109</v>
      </c>
      <c r="K47" s="51">
        <v>0.3</v>
      </c>
      <c r="L47" s="97">
        <v>2.9</v>
      </c>
      <c r="M47" s="97">
        <v>3.2</v>
      </c>
      <c r="O47" s="129"/>
      <c r="P47" s="129"/>
      <c r="Q47" s="129"/>
      <c r="R47" s="129"/>
      <c r="S47" s="129"/>
      <c r="T47" s="129"/>
      <c r="U47" s="129"/>
      <c r="V47" s="129"/>
      <c r="W47" s="129"/>
      <c r="X47" s="129"/>
    </row>
    <row r="48" spans="1:24" ht="15" customHeight="1" x14ac:dyDescent="0.25">
      <c r="A48" s="197"/>
      <c r="B48" s="197" t="s">
        <v>11</v>
      </c>
      <c r="C48" s="4" t="s">
        <v>18</v>
      </c>
      <c r="D48" s="5">
        <v>414.8</v>
      </c>
      <c r="E48" s="5">
        <v>85.7</v>
      </c>
      <c r="F48" s="5">
        <v>780.4</v>
      </c>
      <c r="G48" s="5">
        <v>332.4</v>
      </c>
      <c r="H48" s="5">
        <v>101.2</v>
      </c>
      <c r="I48" s="5">
        <v>29.4</v>
      </c>
      <c r="J48" s="5">
        <v>10.1</v>
      </c>
      <c r="K48" s="5">
        <v>271.7</v>
      </c>
      <c r="L48" s="5">
        <v>1754.1</v>
      </c>
      <c r="M48" s="5">
        <v>2025.8</v>
      </c>
      <c r="O48" s="129"/>
      <c r="P48" s="129"/>
      <c r="Q48" s="129"/>
      <c r="R48" s="129"/>
      <c r="S48" s="129"/>
      <c r="T48" s="129"/>
      <c r="U48" s="129"/>
      <c r="V48" s="129"/>
      <c r="W48" s="129"/>
      <c r="X48" s="129"/>
    </row>
    <row r="49" spans="1:24" ht="15" customHeight="1" x14ac:dyDescent="0.25">
      <c r="A49" s="197"/>
      <c r="B49" s="197"/>
      <c r="C49" s="4" t="s">
        <v>19</v>
      </c>
      <c r="D49" s="5">
        <v>361.4</v>
      </c>
      <c r="E49" s="5">
        <v>405.2</v>
      </c>
      <c r="F49" s="5">
        <v>504.3</v>
      </c>
      <c r="G49" s="5">
        <v>194.7</v>
      </c>
      <c r="H49" s="5">
        <v>124.4</v>
      </c>
      <c r="I49" s="5">
        <v>65.599999999999994</v>
      </c>
      <c r="J49" s="5">
        <v>44.4</v>
      </c>
      <c r="K49" s="5">
        <v>13.4</v>
      </c>
      <c r="L49" s="5">
        <v>1699.9</v>
      </c>
      <c r="M49" s="5">
        <v>1713.3</v>
      </c>
      <c r="O49" s="129"/>
      <c r="P49" s="129"/>
      <c r="Q49" s="129"/>
      <c r="R49" s="129"/>
      <c r="S49" s="129"/>
      <c r="T49" s="129"/>
      <c r="U49" s="129"/>
      <c r="V49" s="129"/>
      <c r="W49" s="129"/>
      <c r="X49" s="129"/>
    </row>
    <row r="50" spans="1:24" ht="15" customHeight="1" x14ac:dyDescent="0.25">
      <c r="A50" s="197"/>
      <c r="B50" s="197"/>
      <c r="C50" s="4" t="s">
        <v>20</v>
      </c>
      <c r="D50" s="5">
        <v>31.8</v>
      </c>
      <c r="E50" s="51" t="s">
        <v>109</v>
      </c>
      <c r="F50" s="5">
        <v>2.9</v>
      </c>
      <c r="G50" s="51" t="s">
        <v>109</v>
      </c>
      <c r="H50" s="5">
        <v>1.6</v>
      </c>
      <c r="I50" s="5">
        <v>0.6</v>
      </c>
      <c r="J50" s="51">
        <v>0.8</v>
      </c>
      <c r="K50" s="5">
        <v>10.7</v>
      </c>
      <c r="L50" s="5">
        <v>37.700000000000003</v>
      </c>
      <c r="M50" s="5">
        <v>48.4</v>
      </c>
      <c r="O50" s="129"/>
      <c r="P50" s="129"/>
      <c r="Q50" s="129"/>
      <c r="R50" s="129"/>
      <c r="S50" s="129"/>
      <c r="T50" s="129"/>
      <c r="U50" s="129"/>
      <c r="V50" s="129"/>
      <c r="W50" s="129"/>
      <c r="X50" s="129"/>
    </row>
    <row r="51" spans="1:24" ht="15" customHeight="1" x14ac:dyDescent="0.25">
      <c r="A51" s="197"/>
      <c r="B51" s="197"/>
      <c r="C51" s="95" t="s">
        <v>11</v>
      </c>
      <c r="D51" s="97">
        <v>807.9</v>
      </c>
      <c r="E51" s="97">
        <v>490.9</v>
      </c>
      <c r="F51" s="97">
        <v>1287.5999999999999</v>
      </c>
      <c r="G51" s="97">
        <v>527.1</v>
      </c>
      <c r="H51" s="97">
        <v>227.3</v>
      </c>
      <c r="I51" s="97">
        <v>95.6</v>
      </c>
      <c r="J51" s="97">
        <v>55.3</v>
      </c>
      <c r="K51" s="97">
        <v>295.7</v>
      </c>
      <c r="L51" s="97">
        <v>3491.7</v>
      </c>
      <c r="M51" s="97">
        <v>3787.4</v>
      </c>
      <c r="O51" s="129"/>
      <c r="P51" s="129"/>
      <c r="Q51" s="129"/>
      <c r="R51" s="129"/>
      <c r="S51" s="129"/>
      <c r="T51" s="129"/>
      <c r="U51" s="129"/>
      <c r="V51" s="129"/>
      <c r="W51" s="129"/>
      <c r="X51" s="129"/>
    </row>
    <row r="52" spans="1:24" ht="15" customHeight="1" x14ac:dyDescent="0.25">
      <c r="A52" s="197" t="s">
        <v>194</v>
      </c>
      <c r="B52" s="197" t="s">
        <v>17</v>
      </c>
      <c r="C52" s="4" t="s">
        <v>18</v>
      </c>
      <c r="D52" s="5">
        <v>333.9</v>
      </c>
      <c r="E52" s="5">
        <v>63</v>
      </c>
      <c r="F52" s="5">
        <v>565.70000000000005</v>
      </c>
      <c r="G52" s="5">
        <v>242.1</v>
      </c>
      <c r="H52" s="5">
        <v>92.3</v>
      </c>
      <c r="I52" s="5">
        <v>25.5</v>
      </c>
      <c r="J52" s="5">
        <v>12.6</v>
      </c>
      <c r="K52" s="5" t="s">
        <v>114</v>
      </c>
      <c r="L52" s="5">
        <v>1335.2</v>
      </c>
      <c r="M52" s="5" t="s">
        <v>114</v>
      </c>
      <c r="O52" s="129"/>
      <c r="P52" s="129"/>
      <c r="Q52" s="129"/>
      <c r="R52" s="129"/>
      <c r="S52" s="129"/>
      <c r="T52" s="129"/>
      <c r="U52" s="129"/>
      <c r="V52" s="129"/>
      <c r="W52" s="129"/>
      <c r="X52" s="129"/>
    </row>
    <row r="53" spans="1:24" ht="15" customHeight="1" x14ac:dyDescent="0.25">
      <c r="A53" s="197"/>
      <c r="B53" s="197"/>
      <c r="C53" s="4" t="s">
        <v>19</v>
      </c>
      <c r="D53" s="5">
        <v>271.39999999999998</v>
      </c>
      <c r="E53" s="5">
        <v>304.8</v>
      </c>
      <c r="F53" s="5">
        <v>393.7</v>
      </c>
      <c r="G53" s="5">
        <v>158.30000000000001</v>
      </c>
      <c r="H53" s="5">
        <v>96.5</v>
      </c>
      <c r="I53" s="5">
        <v>52.5</v>
      </c>
      <c r="J53" s="5">
        <v>36.700000000000003</v>
      </c>
      <c r="K53" s="5" t="s">
        <v>114</v>
      </c>
      <c r="L53" s="5">
        <v>1313.9</v>
      </c>
      <c r="M53" s="5" t="s">
        <v>114</v>
      </c>
      <c r="O53" s="129"/>
      <c r="P53" s="129"/>
      <c r="Q53" s="129"/>
      <c r="R53" s="129"/>
      <c r="S53" s="129"/>
      <c r="T53" s="129"/>
      <c r="U53" s="129"/>
      <c r="V53" s="129"/>
      <c r="W53" s="129"/>
      <c r="X53" s="129"/>
    </row>
    <row r="54" spans="1:24" ht="15" customHeight="1" x14ac:dyDescent="0.25">
      <c r="A54" s="197"/>
      <c r="B54" s="197"/>
      <c r="C54" s="4" t="s">
        <v>20</v>
      </c>
      <c r="D54" s="5">
        <v>22</v>
      </c>
      <c r="E54" s="5" t="s">
        <v>109</v>
      </c>
      <c r="F54" s="5">
        <v>2.1</v>
      </c>
      <c r="G54" s="51" t="s">
        <v>109</v>
      </c>
      <c r="H54" s="5">
        <v>0.6</v>
      </c>
      <c r="I54" s="5">
        <v>0.4</v>
      </c>
      <c r="J54" s="5">
        <v>0.3</v>
      </c>
      <c r="K54" s="5" t="s">
        <v>114</v>
      </c>
      <c r="L54" s="5">
        <v>25.4</v>
      </c>
      <c r="M54" s="5" t="s">
        <v>114</v>
      </c>
      <c r="O54" s="129"/>
      <c r="P54" s="129"/>
      <c r="Q54" s="129"/>
      <c r="R54" s="129"/>
      <c r="S54" s="129"/>
      <c r="T54" s="129"/>
      <c r="U54" s="129"/>
      <c r="V54" s="129"/>
      <c r="W54" s="129"/>
      <c r="X54" s="129"/>
    </row>
    <row r="55" spans="1:24" ht="15" customHeight="1" x14ac:dyDescent="0.25">
      <c r="A55" s="197"/>
      <c r="B55" s="197"/>
      <c r="C55" s="95" t="s">
        <v>11</v>
      </c>
      <c r="D55" s="97">
        <v>627.29999999999995</v>
      </c>
      <c r="E55" s="97">
        <v>367.8</v>
      </c>
      <c r="F55" s="97">
        <v>961.5</v>
      </c>
      <c r="G55" s="97">
        <v>400.5</v>
      </c>
      <c r="H55" s="97">
        <v>189.4</v>
      </c>
      <c r="I55" s="97">
        <v>78.3</v>
      </c>
      <c r="J55" s="97">
        <v>49.7</v>
      </c>
      <c r="K55" s="97" t="s">
        <v>114</v>
      </c>
      <c r="L55" s="97">
        <v>2674.5</v>
      </c>
      <c r="M55" s="97" t="s">
        <v>114</v>
      </c>
      <c r="O55" s="129"/>
      <c r="P55" s="129"/>
      <c r="Q55" s="129"/>
      <c r="R55" s="129"/>
      <c r="S55" s="129"/>
      <c r="T55" s="129"/>
      <c r="U55" s="129"/>
      <c r="V55" s="129"/>
      <c r="W55" s="129"/>
      <c r="X55" s="129"/>
    </row>
    <row r="56" spans="1:24" ht="15" customHeight="1" x14ac:dyDescent="0.25">
      <c r="A56" s="197"/>
      <c r="B56" s="197" t="s">
        <v>21</v>
      </c>
      <c r="C56" s="4" t="s">
        <v>18</v>
      </c>
      <c r="D56" s="5">
        <v>92.6</v>
      </c>
      <c r="E56" s="5">
        <v>7.3</v>
      </c>
      <c r="F56" s="5">
        <v>223.5</v>
      </c>
      <c r="G56" s="5">
        <v>70.7</v>
      </c>
      <c r="H56" s="5">
        <v>44.6</v>
      </c>
      <c r="I56" s="5">
        <v>11.9</v>
      </c>
      <c r="J56" s="5">
        <v>4.3</v>
      </c>
      <c r="K56" s="5" t="s">
        <v>114</v>
      </c>
      <c r="L56" s="5">
        <v>454.9</v>
      </c>
      <c r="M56" s="5" t="s">
        <v>114</v>
      </c>
      <c r="O56" s="129"/>
      <c r="P56" s="129"/>
      <c r="Q56" s="129"/>
      <c r="R56" s="129"/>
      <c r="S56" s="129"/>
      <c r="T56" s="129"/>
      <c r="U56" s="129"/>
      <c r="V56" s="129"/>
      <c r="W56" s="129"/>
      <c r="X56" s="129"/>
    </row>
    <row r="57" spans="1:24" ht="15" customHeight="1" x14ac:dyDescent="0.25">
      <c r="A57" s="197"/>
      <c r="B57" s="197"/>
      <c r="C57" s="4" t="s">
        <v>19</v>
      </c>
      <c r="D57" s="5">
        <v>69.900000000000006</v>
      </c>
      <c r="E57" s="5">
        <v>48.6</v>
      </c>
      <c r="F57" s="5">
        <v>96.5</v>
      </c>
      <c r="G57" s="5">
        <v>44.2</v>
      </c>
      <c r="H57" s="5">
        <v>28.5</v>
      </c>
      <c r="I57" s="5">
        <v>16.600000000000001</v>
      </c>
      <c r="J57" s="5">
        <v>18.100000000000001</v>
      </c>
      <c r="K57" s="5" t="s">
        <v>114</v>
      </c>
      <c r="L57" s="5">
        <v>322.39999999999998</v>
      </c>
      <c r="M57" s="5" t="s">
        <v>114</v>
      </c>
      <c r="O57" s="129"/>
      <c r="P57" s="129"/>
      <c r="Q57" s="129"/>
      <c r="R57" s="129"/>
      <c r="S57" s="129"/>
      <c r="T57" s="129"/>
      <c r="U57" s="129"/>
      <c r="V57" s="129"/>
      <c r="W57" s="129"/>
      <c r="X57" s="129"/>
    </row>
    <row r="58" spans="1:24" ht="15" customHeight="1" x14ac:dyDescent="0.25">
      <c r="A58" s="197"/>
      <c r="B58" s="197"/>
      <c r="C58" s="4" t="s">
        <v>20</v>
      </c>
      <c r="D58" s="5">
        <v>5.9</v>
      </c>
      <c r="E58" s="51" t="s">
        <v>109</v>
      </c>
      <c r="F58" s="5">
        <v>0.4</v>
      </c>
      <c r="G58" s="51" t="s">
        <v>109</v>
      </c>
      <c r="H58" s="51" t="s">
        <v>109</v>
      </c>
      <c r="I58" s="5" t="s">
        <v>109</v>
      </c>
      <c r="J58" s="51">
        <v>0.1</v>
      </c>
      <c r="K58" s="51" t="s">
        <v>114</v>
      </c>
      <c r="L58" s="5">
        <v>6.4</v>
      </c>
      <c r="M58" s="5" t="s">
        <v>114</v>
      </c>
      <c r="O58" s="129"/>
      <c r="P58" s="129"/>
      <c r="Q58" s="129"/>
      <c r="R58" s="129"/>
      <c r="S58" s="129"/>
      <c r="T58" s="129"/>
      <c r="U58" s="129"/>
      <c r="V58" s="129"/>
      <c r="W58" s="129"/>
      <c r="X58" s="129"/>
    </row>
    <row r="59" spans="1:24" ht="15" customHeight="1" x14ac:dyDescent="0.25">
      <c r="A59" s="197"/>
      <c r="B59" s="197"/>
      <c r="C59" s="95" t="s">
        <v>11</v>
      </c>
      <c r="D59" s="97">
        <v>168.4</v>
      </c>
      <c r="E59" s="97">
        <v>55.8</v>
      </c>
      <c r="F59" s="97">
        <v>320.39999999999998</v>
      </c>
      <c r="G59" s="97">
        <v>114.9</v>
      </c>
      <c r="H59" s="97">
        <v>73.099999999999994</v>
      </c>
      <c r="I59" s="97">
        <v>28.6</v>
      </c>
      <c r="J59" s="97">
        <v>22.5</v>
      </c>
      <c r="K59" s="97" t="s">
        <v>114</v>
      </c>
      <c r="L59" s="97">
        <v>783.7</v>
      </c>
      <c r="M59" s="97" t="s">
        <v>114</v>
      </c>
      <c r="O59" s="129"/>
      <c r="P59" s="129"/>
      <c r="Q59" s="129"/>
      <c r="R59" s="129"/>
      <c r="S59" s="129"/>
      <c r="T59" s="129"/>
      <c r="U59" s="129"/>
      <c r="V59" s="129"/>
      <c r="W59" s="129"/>
      <c r="X59" s="129"/>
    </row>
    <row r="60" spans="1:24" ht="15" customHeight="1" x14ac:dyDescent="0.25">
      <c r="A60" s="197"/>
      <c r="B60" s="197" t="s">
        <v>20</v>
      </c>
      <c r="C60" s="4" t="s">
        <v>18</v>
      </c>
      <c r="D60" s="51">
        <v>0.7</v>
      </c>
      <c r="E60" s="5" t="s">
        <v>109</v>
      </c>
      <c r="F60" s="5">
        <v>0.5</v>
      </c>
      <c r="G60" s="51" t="s">
        <v>109</v>
      </c>
      <c r="H60" s="51" t="s">
        <v>109</v>
      </c>
      <c r="I60" s="51" t="s">
        <v>109</v>
      </c>
      <c r="J60" s="51" t="s">
        <v>109</v>
      </c>
      <c r="K60" s="51" t="s">
        <v>114</v>
      </c>
      <c r="L60" s="5">
        <v>1.3</v>
      </c>
      <c r="M60" s="5" t="s">
        <v>114</v>
      </c>
      <c r="O60" s="129"/>
      <c r="P60" s="129"/>
      <c r="Q60" s="129"/>
      <c r="R60" s="129"/>
      <c r="S60" s="129"/>
      <c r="T60" s="129"/>
      <c r="U60" s="129"/>
      <c r="V60" s="129"/>
      <c r="W60" s="129"/>
      <c r="X60" s="129"/>
    </row>
    <row r="61" spans="1:24" ht="15" customHeight="1" x14ac:dyDescent="0.25">
      <c r="A61" s="197"/>
      <c r="B61" s="197"/>
      <c r="C61" s="4" t="s">
        <v>19</v>
      </c>
      <c r="D61" s="5">
        <v>0.3</v>
      </c>
      <c r="E61" s="51" t="s">
        <v>109</v>
      </c>
      <c r="F61" s="51" t="s">
        <v>109</v>
      </c>
      <c r="G61" s="51" t="s">
        <v>109</v>
      </c>
      <c r="H61" s="5" t="s">
        <v>109</v>
      </c>
      <c r="I61" s="5">
        <v>0.2</v>
      </c>
      <c r="J61" s="51" t="s">
        <v>109</v>
      </c>
      <c r="K61" s="51" t="s">
        <v>114</v>
      </c>
      <c r="L61" s="5">
        <v>0.5</v>
      </c>
      <c r="M61" s="5" t="s">
        <v>114</v>
      </c>
      <c r="O61" s="129"/>
      <c r="P61" s="129"/>
      <c r="Q61" s="129"/>
      <c r="R61" s="129"/>
      <c r="S61" s="129"/>
      <c r="T61" s="129"/>
      <c r="U61" s="129"/>
      <c r="V61" s="129"/>
      <c r="W61" s="129"/>
      <c r="X61" s="129"/>
    </row>
    <row r="62" spans="1:24" ht="15" customHeight="1" x14ac:dyDescent="0.25">
      <c r="A62" s="197"/>
      <c r="B62" s="197"/>
      <c r="C62" s="4" t="s">
        <v>20</v>
      </c>
      <c r="D62" s="51" t="s">
        <v>109</v>
      </c>
      <c r="E62" s="51" t="s">
        <v>109</v>
      </c>
      <c r="F62" s="51" t="s">
        <v>109</v>
      </c>
      <c r="G62" s="51" t="s">
        <v>109</v>
      </c>
      <c r="H62" s="51" t="s">
        <v>109</v>
      </c>
      <c r="I62" s="51" t="s">
        <v>109</v>
      </c>
      <c r="J62" s="51" t="s">
        <v>109</v>
      </c>
      <c r="K62" s="51" t="s">
        <v>114</v>
      </c>
      <c r="L62" s="51" t="s">
        <v>109</v>
      </c>
      <c r="M62" s="5" t="s">
        <v>114</v>
      </c>
      <c r="O62" s="129"/>
      <c r="P62" s="129"/>
      <c r="Q62" s="129"/>
      <c r="R62" s="129"/>
      <c r="S62" s="129"/>
      <c r="T62" s="129"/>
      <c r="U62" s="129"/>
      <c r="V62" s="129"/>
      <c r="W62" s="129"/>
      <c r="X62" s="129"/>
    </row>
    <row r="63" spans="1:24" ht="15" customHeight="1" x14ac:dyDescent="0.25">
      <c r="A63" s="197"/>
      <c r="B63" s="197"/>
      <c r="C63" s="95" t="s">
        <v>11</v>
      </c>
      <c r="D63" s="97">
        <v>1.1000000000000001</v>
      </c>
      <c r="E63" s="97" t="s">
        <v>109</v>
      </c>
      <c r="F63" s="97">
        <v>0.5</v>
      </c>
      <c r="G63" s="51" t="s">
        <v>109</v>
      </c>
      <c r="H63" s="97" t="s">
        <v>109</v>
      </c>
      <c r="I63" s="97">
        <v>0.2</v>
      </c>
      <c r="J63" s="51" t="s">
        <v>109</v>
      </c>
      <c r="K63" s="51" t="s">
        <v>114</v>
      </c>
      <c r="L63" s="97">
        <v>1.8</v>
      </c>
      <c r="M63" s="97" t="s">
        <v>114</v>
      </c>
      <c r="O63" s="129"/>
      <c r="P63" s="129"/>
      <c r="Q63" s="129"/>
      <c r="R63" s="129"/>
      <c r="S63" s="129"/>
      <c r="T63" s="129"/>
      <c r="U63" s="129"/>
      <c r="V63" s="129"/>
      <c r="W63" s="129"/>
      <c r="X63" s="129"/>
    </row>
    <row r="64" spans="1:24" ht="15" customHeight="1" x14ac:dyDescent="0.25">
      <c r="A64" s="197"/>
      <c r="B64" s="197" t="s">
        <v>11</v>
      </c>
      <c r="C64" s="4" t="s">
        <v>18</v>
      </c>
      <c r="D64" s="5">
        <v>427.3</v>
      </c>
      <c r="E64" s="5">
        <v>70.2</v>
      </c>
      <c r="F64" s="5">
        <v>789.7</v>
      </c>
      <c r="G64" s="5">
        <v>312.8</v>
      </c>
      <c r="H64" s="5">
        <v>136.9</v>
      </c>
      <c r="I64" s="5">
        <v>37.4</v>
      </c>
      <c r="J64" s="5">
        <v>17</v>
      </c>
      <c r="K64" s="5" t="s">
        <v>114</v>
      </c>
      <c r="L64" s="5">
        <v>1791.3</v>
      </c>
      <c r="M64" s="5" t="s">
        <v>114</v>
      </c>
      <c r="O64" s="129"/>
      <c r="P64" s="129"/>
      <c r="Q64" s="129"/>
      <c r="R64" s="129"/>
      <c r="S64" s="129"/>
      <c r="T64" s="129"/>
      <c r="U64" s="129"/>
      <c r="V64" s="129"/>
      <c r="W64" s="129"/>
      <c r="X64" s="129"/>
    </row>
    <row r="65" spans="1:24" ht="15" customHeight="1" x14ac:dyDescent="0.25">
      <c r="A65" s="197"/>
      <c r="B65" s="197"/>
      <c r="C65" s="4" t="s">
        <v>19</v>
      </c>
      <c r="D65" s="5">
        <v>341.6</v>
      </c>
      <c r="E65" s="5">
        <v>353.4</v>
      </c>
      <c r="F65" s="5">
        <v>490.2</v>
      </c>
      <c r="G65" s="5">
        <v>202.5</v>
      </c>
      <c r="H65" s="5">
        <v>125</v>
      </c>
      <c r="I65" s="5">
        <v>69.3</v>
      </c>
      <c r="J65" s="5">
        <v>54.8</v>
      </c>
      <c r="K65" s="5" t="s">
        <v>114</v>
      </c>
      <c r="L65" s="5">
        <v>1636.8</v>
      </c>
      <c r="M65" s="5" t="s">
        <v>114</v>
      </c>
      <c r="O65" s="129"/>
      <c r="P65" s="129"/>
      <c r="Q65" s="129"/>
      <c r="R65" s="129"/>
      <c r="S65" s="129"/>
      <c r="T65" s="129"/>
      <c r="U65" s="129"/>
      <c r="V65" s="129"/>
      <c r="W65" s="129"/>
      <c r="X65" s="129"/>
    </row>
    <row r="66" spans="1:24" ht="15" customHeight="1" x14ac:dyDescent="0.25">
      <c r="A66" s="197"/>
      <c r="B66" s="197"/>
      <c r="C66" s="4" t="s">
        <v>20</v>
      </c>
      <c r="D66" s="5">
        <v>27.9</v>
      </c>
      <c r="E66" s="5" t="s">
        <v>109</v>
      </c>
      <c r="F66" s="5">
        <v>2.5</v>
      </c>
      <c r="G66" s="51" t="s">
        <v>109</v>
      </c>
      <c r="H66" s="5">
        <v>0.6</v>
      </c>
      <c r="I66" s="5">
        <v>0.4</v>
      </c>
      <c r="J66" s="5">
        <v>0.4</v>
      </c>
      <c r="K66" s="5" t="s">
        <v>114</v>
      </c>
      <c r="L66" s="5">
        <v>31.8</v>
      </c>
      <c r="M66" s="5" t="s">
        <v>114</v>
      </c>
      <c r="O66" s="129"/>
      <c r="P66" s="129"/>
      <c r="Q66" s="129"/>
      <c r="R66" s="129"/>
      <c r="S66" s="129"/>
      <c r="T66" s="129"/>
      <c r="U66" s="129"/>
      <c r="V66" s="129"/>
      <c r="W66" s="129"/>
      <c r="X66" s="129"/>
    </row>
    <row r="67" spans="1:24" ht="15" customHeight="1" x14ac:dyDescent="0.25">
      <c r="A67" s="197"/>
      <c r="B67" s="197"/>
      <c r="C67" s="95" t="s">
        <v>11</v>
      </c>
      <c r="D67" s="97">
        <v>796.8</v>
      </c>
      <c r="E67" s="97">
        <v>423.6</v>
      </c>
      <c r="F67" s="97">
        <v>1282.4000000000001</v>
      </c>
      <c r="G67" s="97">
        <v>515.29999999999995</v>
      </c>
      <c r="H67" s="97">
        <v>262.60000000000002</v>
      </c>
      <c r="I67" s="97">
        <v>107.1</v>
      </c>
      <c r="J67" s="97">
        <v>72.099999999999994</v>
      </c>
      <c r="K67" s="97" t="s">
        <v>114</v>
      </c>
      <c r="L67" s="97">
        <v>3460</v>
      </c>
      <c r="M67" s="97" t="s">
        <v>114</v>
      </c>
      <c r="O67" s="129"/>
      <c r="P67" s="129"/>
      <c r="Q67" s="129"/>
      <c r="R67" s="129"/>
      <c r="S67" s="129"/>
      <c r="T67" s="129"/>
      <c r="U67" s="129"/>
      <c r="V67" s="129"/>
      <c r="W67" s="129"/>
      <c r="X67" s="129"/>
    </row>
    <row r="68" spans="1:24" ht="15" customHeight="1" x14ac:dyDescent="0.25">
      <c r="A68" s="197" t="s">
        <v>284</v>
      </c>
      <c r="B68" s="197" t="s">
        <v>17</v>
      </c>
      <c r="C68" s="4" t="s">
        <v>18</v>
      </c>
      <c r="D68" s="5">
        <v>329.9</v>
      </c>
      <c r="E68" s="5">
        <v>68.900000000000006</v>
      </c>
      <c r="F68" s="5">
        <v>557</v>
      </c>
      <c r="G68" s="5">
        <v>205.9</v>
      </c>
      <c r="H68" s="5">
        <v>80.5</v>
      </c>
      <c r="I68" s="5">
        <v>33.1</v>
      </c>
      <c r="J68" s="5">
        <v>14.9</v>
      </c>
      <c r="K68" s="5" t="s">
        <v>114</v>
      </c>
      <c r="L68" s="5">
        <v>1290.0999999999999</v>
      </c>
      <c r="M68" s="5" t="s">
        <v>114</v>
      </c>
      <c r="O68" s="129"/>
      <c r="P68" s="129"/>
      <c r="Q68" s="129"/>
      <c r="R68" s="129"/>
      <c r="S68" s="129"/>
      <c r="T68" s="129"/>
      <c r="U68" s="129"/>
      <c r="V68" s="129"/>
      <c r="W68" s="129"/>
      <c r="X68" s="129"/>
    </row>
    <row r="69" spans="1:24" ht="15" customHeight="1" x14ac:dyDescent="0.25">
      <c r="A69" s="197"/>
      <c r="B69" s="197"/>
      <c r="C69" s="4" t="s">
        <v>19</v>
      </c>
      <c r="D69" s="5">
        <v>282.7</v>
      </c>
      <c r="E69" s="5">
        <v>302.89999999999998</v>
      </c>
      <c r="F69" s="5">
        <v>377.6</v>
      </c>
      <c r="G69" s="5">
        <v>148.80000000000001</v>
      </c>
      <c r="H69" s="5">
        <v>67.5</v>
      </c>
      <c r="I69" s="5">
        <v>68.2</v>
      </c>
      <c r="J69" s="5">
        <v>35.4</v>
      </c>
      <c r="K69" s="5" t="s">
        <v>114</v>
      </c>
      <c r="L69" s="5">
        <v>1283.0999999999999</v>
      </c>
      <c r="M69" s="5" t="s">
        <v>114</v>
      </c>
      <c r="O69" s="129"/>
      <c r="P69" s="129"/>
      <c r="Q69" s="129"/>
      <c r="R69" s="129"/>
      <c r="S69" s="129"/>
      <c r="T69" s="129"/>
      <c r="U69" s="129"/>
      <c r="V69" s="129"/>
      <c r="W69" s="129"/>
      <c r="X69" s="129"/>
    </row>
    <row r="70" spans="1:24" ht="15" customHeight="1" x14ac:dyDescent="0.25">
      <c r="A70" s="197"/>
      <c r="B70" s="197"/>
      <c r="C70" s="4" t="s">
        <v>20</v>
      </c>
      <c r="D70" s="5">
        <v>21.3</v>
      </c>
      <c r="E70" s="5">
        <v>0.4</v>
      </c>
      <c r="F70" s="5">
        <v>4.0999999999999996</v>
      </c>
      <c r="G70" s="51" t="s">
        <v>109</v>
      </c>
      <c r="H70" s="5">
        <v>2.6</v>
      </c>
      <c r="I70" s="5">
        <v>0.5</v>
      </c>
      <c r="J70" s="5" t="s">
        <v>109</v>
      </c>
      <c r="K70" s="5" t="s">
        <v>114</v>
      </c>
      <c r="L70" s="5">
        <v>28.8</v>
      </c>
      <c r="M70" s="5" t="s">
        <v>114</v>
      </c>
      <c r="O70" s="129"/>
      <c r="P70" s="129"/>
      <c r="Q70" s="129"/>
      <c r="R70" s="129"/>
      <c r="S70" s="129"/>
      <c r="T70" s="129"/>
      <c r="U70" s="129"/>
      <c r="V70" s="129"/>
      <c r="W70" s="129"/>
      <c r="X70" s="129"/>
    </row>
    <row r="71" spans="1:24" ht="15" customHeight="1" x14ac:dyDescent="0.25">
      <c r="A71" s="197"/>
      <c r="B71" s="197"/>
      <c r="C71" s="95" t="s">
        <v>11</v>
      </c>
      <c r="D71" s="97">
        <v>633.9</v>
      </c>
      <c r="E71" s="97">
        <v>372.2</v>
      </c>
      <c r="F71" s="97">
        <v>938.7</v>
      </c>
      <c r="G71" s="97">
        <v>354.7</v>
      </c>
      <c r="H71" s="97">
        <v>150.6</v>
      </c>
      <c r="I71" s="97">
        <v>101.7</v>
      </c>
      <c r="J71" s="97">
        <v>50.2</v>
      </c>
      <c r="K71" s="97" t="s">
        <v>114</v>
      </c>
      <c r="L71" s="97">
        <v>2602.1</v>
      </c>
      <c r="M71" s="97" t="s">
        <v>114</v>
      </c>
      <c r="O71" s="129"/>
      <c r="P71" s="129"/>
      <c r="Q71" s="129"/>
      <c r="R71" s="129"/>
      <c r="S71" s="129"/>
      <c r="T71" s="129"/>
      <c r="U71" s="129"/>
      <c r="V71" s="129"/>
      <c r="W71" s="129"/>
      <c r="X71" s="129"/>
    </row>
    <row r="72" spans="1:24" ht="15" customHeight="1" x14ac:dyDescent="0.25">
      <c r="A72" s="197"/>
      <c r="B72" s="197" t="s">
        <v>21</v>
      </c>
      <c r="C72" s="4" t="s">
        <v>18</v>
      </c>
      <c r="D72" s="5">
        <v>101.8</v>
      </c>
      <c r="E72" s="5">
        <v>9.6</v>
      </c>
      <c r="F72" s="5">
        <v>228.6</v>
      </c>
      <c r="G72" s="5">
        <v>53.7</v>
      </c>
      <c r="H72" s="5">
        <v>31.8</v>
      </c>
      <c r="I72" s="5">
        <v>20.5</v>
      </c>
      <c r="J72" s="5">
        <v>6.1</v>
      </c>
      <c r="K72" s="5" t="s">
        <v>114</v>
      </c>
      <c r="L72" s="5">
        <v>452.1</v>
      </c>
      <c r="M72" s="5" t="s">
        <v>114</v>
      </c>
      <c r="O72" s="129"/>
      <c r="P72" s="129"/>
      <c r="Q72" s="129"/>
      <c r="R72" s="129"/>
      <c r="S72" s="129"/>
      <c r="T72" s="129"/>
      <c r="U72" s="129"/>
      <c r="V72" s="129"/>
      <c r="W72" s="129"/>
      <c r="X72" s="129"/>
    </row>
    <row r="73" spans="1:24" ht="15" customHeight="1" x14ac:dyDescent="0.25">
      <c r="A73" s="197"/>
      <c r="B73" s="197"/>
      <c r="C73" s="4" t="s">
        <v>19</v>
      </c>
      <c r="D73" s="5">
        <v>66.7</v>
      </c>
      <c r="E73" s="5">
        <v>37.5</v>
      </c>
      <c r="F73" s="5">
        <v>95.1</v>
      </c>
      <c r="G73" s="5">
        <v>36.6</v>
      </c>
      <c r="H73" s="5">
        <v>20.5</v>
      </c>
      <c r="I73" s="5">
        <v>22.9</v>
      </c>
      <c r="J73" s="5">
        <v>14.6</v>
      </c>
      <c r="K73" s="5" t="s">
        <v>114</v>
      </c>
      <c r="L73" s="5">
        <v>293.8</v>
      </c>
      <c r="M73" s="5" t="s">
        <v>114</v>
      </c>
      <c r="O73" s="129"/>
      <c r="P73" s="129"/>
      <c r="Q73" s="129"/>
      <c r="R73" s="129"/>
      <c r="S73" s="129"/>
      <c r="T73" s="129"/>
      <c r="U73" s="129"/>
      <c r="V73" s="129"/>
      <c r="W73" s="129"/>
      <c r="X73" s="129"/>
    </row>
    <row r="74" spans="1:24" ht="15" customHeight="1" x14ac:dyDescent="0.25">
      <c r="A74" s="197"/>
      <c r="B74" s="197"/>
      <c r="C74" s="4" t="s">
        <v>20</v>
      </c>
      <c r="D74" s="5">
        <v>5.3</v>
      </c>
      <c r="E74" s="5" t="s">
        <v>109</v>
      </c>
      <c r="F74" s="5">
        <v>0.2</v>
      </c>
      <c r="G74" s="51" t="s">
        <v>109</v>
      </c>
      <c r="H74" s="51" t="s">
        <v>109</v>
      </c>
      <c r="I74" s="5">
        <v>0.1</v>
      </c>
      <c r="J74" s="5" t="s">
        <v>109</v>
      </c>
      <c r="K74" s="5" t="s">
        <v>114</v>
      </c>
      <c r="L74" s="5">
        <v>5.6</v>
      </c>
      <c r="M74" s="5" t="s">
        <v>114</v>
      </c>
      <c r="O74" s="129"/>
      <c r="P74" s="129"/>
      <c r="Q74" s="129"/>
      <c r="R74" s="129"/>
      <c r="S74" s="129"/>
      <c r="T74" s="129"/>
      <c r="U74" s="129"/>
      <c r="V74" s="129"/>
      <c r="W74" s="129"/>
      <c r="X74" s="129"/>
    </row>
    <row r="75" spans="1:24" ht="15" customHeight="1" x14ac:dyDescent="0.25">
      <c r="A75" s="197"/>
      <c r="B75" s="197"/>
      <c r="C75" s="95" t="s">
        <v>11</v>
      </c>
      <c r="D75" s="97">
        <v>173.8</v>
      </c>
      <c r="E75" s="97">
        <v>47.1</v>
      </c>
      <c r="F75" s="97">
        <v>323.89999999999998</v>
      </c>
      <c r="G75" s="97">
        <v>90.2</v>
      </c>
      <c r="H75" s="97">
        <v>52.3</v>
      </c>
      <c r="I75" s="97">
        <v>43.5</v>
      </c>
      <c r="J75" s="97">
        <v>20.7</v>
      </c>
      <c r="K75" s="97" t="s">
        <v>114</v>
      </c>
      <c r="L75" s="97">
        <v>751.5</v>
      </c>
      <c r="M75" s="97" t="s">
        <v>114</v>
      </c>
      <c r="O75" s="129"/>
      <c r="P75" s="129"/>
      <c r="Q75" s="129"/>
      <c r="R75" s="129"/>
      <c r="S75" s="129"/>
      <c r="T75" s="129"/>
      <c r="U75" s="129"/>
      <c r="V75" s="129"/>
      <c r="W75" s="129"/>
      <c r="X75" s="129"/>
    </row>
    <row r="76" spans="1:24" ht="15" customHeight="1" x14ac:dyDescent="0.25">
      <c r="A76" s="197"/>
      <c r="B76" s="197" t="s">
        <v>20</v>
      </c>
      <c r="C76" s="4" t="s">
        <v>18</v>
      </c>
      <c r="D76" s="5">
        <v>0.4</v>
      </c>
      <c r="E76" s="51" t="s">
        <v>109</v>
      </c>
      <c r="F76" s="5">
        <v>0.1</v>
      </c>
      <c r="G76" s="51" t="s">
        <v>109</v>
      </c>
      <c r="H76" s="51" t="s">
        <v>109</v>
      </c>
      <c r="I76" s="51" t="s">
        <v>109</v>
      </c>
      <c r="J76" s="51" t="s">
        <v>109</v>
      </c>
      <c r="K76" s="51" t="s">
        <v>114</v>
      </c>
      <c r="L76" s="5">
        <v>0.5</v>
      </c>
      <c r="M76" s="5" t="s">
        <v>114</v>
      </c>
      <c r="O76" s="129"/>
      <c r="P76" s="129"/>
      <c r="Q76" s="129"/>
      <c r="R76" s="129"/>
      <c r="S76" s="129"/>
      <c r="T76" s="129"/>
      <c r="U76" s="129"/>
      <c r="V76" s="129"/>
      <c r="W76" s="129"/>
      <c r="X76" s="129"/>
    </row>
    <row r="77" spans="1:24" ht="15" customHeight="1" x14ac:dyDescent="0.25">
      <c r="A77" s="197"/>
      <c r="B77" s="197"/>
      <c r="C77" s="4" t="s">
        <v>19</v>
      </c>
      <c r="D77" s="5">
        <v>0.7</v>
      </c>
      <c r="E77" s="51" t="s">
        <v>109</v>
      </c>
      <c r="F77" s="51">
        <v>1</v>
      </c>
      <c r="G77" s="51" t="s">
        <v>109</v>
      </c>
      <c r="H77" s="51" t="s">
        <v>109</v>
      </c>
      <c r="I77" s="5">
        <v>1.9</v>
      </c>
      <c r="J77" s="51" t="s">
        <v>109</v>
      </c>
      <c r="K77" s="51" t="s">
        <v>114</v>
      </c>
      <c r="L77" s="5">
        <v>3.7</v>
      </c>
      <c r="M77" s="5" t="s">
        <v>114</v>
      </c>
      <c r="O77" s="129"/>
      <c r="P77" s="129"/>
      <c r="Q77" s="129"/>
      <c r="R77" s="129"/>
      <c r="S77" s="129"/>
      <c r="T77" s="129"/>
      <c r="U77" s="129"/>
      <c r="V77" s="129"/>
      <c r="W77" s="129"/>
      <c r="X77" s="129"/>
    </row>
    <row r="78" spans="1:24" ht="15" customHeight="1" x14ac:dyDescent="0.25">
      <c r="A78" s="197"/>
      <c r="B78" s="197"/>
      <c r="C78" s="4" t="s">
        <v>20</v>
      </c>
      <c r="D78" s="51" t="s">
        <v>109</v>
      </c>
      <c r="E78" s="51" t="s">
        <v>109</v>
      </c>
      <c r="F78" s="51" t="s">
        <v>109</v>
      </c>
      <c r="G78" s="51" t="s">
        <v>109</v>
      </c>
      <c r="H78" s="51">
        <v>0.5</v>
      </c>
      <c r="I78" s="5">
        <v>0.1</v>
      </c>
      <c r="J78" s="51" t="s">
        <v>109</v>
      </c>
      <c r="K78" s="51" t="s">
        <v>114</v>
      </c>
      <c r="L78" s="5">
        <v>0.6</v>
      </c>
      <c r="M78" s="5" t="s">
        <v>114</v>
      </c>
      <c r="O78" s="129"/>
      <c r="P78" s="129"/>
      <c r="Q78" s="129"/>
      <c r="R78" s="129"/>
      <c r="S78" s="129"/>
      <c r="T78" s="129"/>
      <c r="U78" s="129"/>
      <c r="V78" s="129"/>
      <c r="W78" s="129"/>
      <c r="X78" s="129"/>
    </row>
    <row r="79" spans="1:24" ht="15" customHeight="1" x14ac:dyDescent="0.25">
      <c r="A79" s="197"/>
      <c r="B79" s="197"/>
      <c r="C79" s="95" t="s">
        <v>11</v>
      </c>
      <c r="D79" s="97">
        <v>1.1000000000000001</v>
      </c>
      <c r="E79" s="51" t="s">
        <v>109</v>
      </c>
      <c r="F79" s="97">
        <v>1.2</v>
      </c>
      <c r="G79" s="51" t="s">
        <v>109</v>
      </c>
      <c r="H79" s="51">
        <v>0.5</v>
      </c>
      <c r="I79" s="97">
        <v>2</v>
      </c>
      <c r="J79" s="51" t="s">
        <v>109</v>
      </c>
      <c r="K79" s="51" t="s">
        <v>114</v>
      </c>
      <c r="L79" s="97">
        <v>4.8</v>
      </c>
      <c r="M79" s="97" t="s">
        <v>114</v>
      </c>
      <c r="O79" s="129"/>
      <c r="P79" s="129"/>
      <c r="Q79" s="129"/>
      <c r="R79" s="129"/>
      <c r="S79" s="129"/>
      <c r="T79" s="129"/>
      <c r="U79" s="129"/>
      <c r="V79" s="129"/>
      <c r="W79" s="129"/>
      <c r="X79" s="129"/>
    </row>
    <row r="80" spans="1:24" ht="15" customHeight="1" x14ac:dyDescent="0.25">
      <c r="A80" s="197"/>
      <c r="B80" s="197" t="s">
        <v>11</v>
      </c>
      <c r="C80" s="4" t="s">
        <v>18</v>
      </c>
      <c r="D80" s="5">
        <v>432.1</v>
      </c>
      <c r="E80" s="5">
        <v>78.599999999999994</v>
      </c>
      <c r="F80" s="5">
        <v>785.7</v>
      </c>
      <c r="G80" s="5">
        <v>259.5</v>
      </c>
      <c r="H80" s="5">
        <v>112.3</v>
      </c>
      <c r="I80" s="5">
        <v>53.6</v>
      </c>
      <c r="J80" s="5">
        <v>20.9</v>
      </c>
      <c r="K80" s="5" t="s">
        <v>114</v>
      </c>
      <c r="L80" s="5">
        <v>1742.7</v>
      </c>
      <c r="M80" s="5" t="s">
        <v>114</v>
      </c>
      <c r="O80" s="129"/>
      <c r="P80" s="129"/>
      <c r="Q80" s="129"/>
      <c r="R80" s="129"/>
      <c r="S80" s="129"/>
      <c r="T80" s="129"/>
      <c r="U80" s="129"/>
      <c r="V80" s="129"/>
      <c r="W80" s="129"/>
      <c r="X80" s="129"/>
    </row>
    <row r="81" spans="1:24" ht="15" customHeight="1" x14ac:dyDescent="0.25">
      <c r="A81" s="197"/>
      <c r="B81" s="197"/>
      <c r="C81" s="4" t="s">
        <v>19</v>
      </c>
      <c r="D81" s="5">
        <v>350.2</v>
      </c>
      <c r="E81" s="5">
        <v>340.4</v>
      </c>
      <c r="F81" s="5">
        <v>473.8</v>
      </c>
      <c r="G81" s="5">
        <v>185.4</v>
      </c>
      <c r="H81" s="5">
        <v>88.1</v>
      </c>
      <c r="I81" s="5">
        <v>92.9</v>
      </c>
      <c r="J81" s="5">
        <v>50</v>
      </c>
      <c r="K81" s="5" t="s">
        <v>114</v>
      </c>
      <c r="L81" s="5">
        <v>1580.6</v>
      </c>
      <c r="M81" s="5" t="s">
        <v>114</v>
      </c>
      <c r="O81" s="129"/>
      <c r="P81" s="129"/>
      <c r="Q81" s="129"/>
      <c r="R81" s="129"/>
      <c r="S81" s="129"/>
      <c r="T81" s="129"/>
      <c r="U81" s="129"/>
      <c r="V81" s="129"/>
      <c r="W81" s="129"/>
      <c r="X81" s="129"/>
    </row>
    <row r="82" spans="1:24" ht="15" customHeight="1" x14ac:dyDescent="0.25">
      <c r="A82" s="197"/>
      <c r="B82" s="197"/>
      <c r="C82" s="4" t="s">
        <v>20</v>
      </c>
      <c r="D82" s="5">
        <v>26.6</v>
      </c>
      <c r="E82" s="5">
        <v>0.4</v>
      </c>
      <c r="F82" s="5">
        <v>4.3</v>
      </c>
      <c r="G82" s="51" t="s">
        <v>109</v>
      </c>
      <c r="H82" s="5">
        <v>3.1</v>
      </c>
      <c r="I82" s="5">
        <v>0.7</v>
      </c>
      <c r="J82" s="5" t="s">
        <v>109</v>
      </c>
      <c r="K82" s="5" t="s">
        <v>114</v>
      </c>
      <c r="L82" s="5">
        <v>35.1</v>
      </c>
      <c r="M82" s="5" t="s">
        <v>114</v>
      </c>
      <c r="O82" s="129"/>
      <c r="P82" s="129"/>
      <c r="Q82" s="129"/>
      <c r="R82" s="129"/>
      <c r="S82" s="129"/>
      <c r="T82" s="129"/>
      <c r="U82" s="129"/>
      <c r="V82" s="129"/>
      <c r="W82" s="129"/>
      <c r="X82" s="129"/>
    </row>
    <row r="83" spans="1:24" ht="15" customHeight="1" x14ac:dyDescent="0.25">
      <c r="A83" s="197"/>
      <c r="B83" s="197"/>
      <c r="C83" s="95" t="s">
        <v>11</v>
      </c>
      <c r="D83" s="97">
        <v>808.9</v>
      </c>
      <c r="E83" s="97">
        <v>419.4</v>
      </c>
      <c r="F83" s="97">
        <v>1263.8</v>
      </c>
      <c r="G83" s="97">
        <v>444.9</v>
      </c>
      <c r="H83" s="97">
        <v>203.4</v>
      </c>
      <c r="I83" s="97">
        <v>147.19999999999999</v>
      </c>
      <c r="J83" s="97">
        <v>70.900000000000006</v>
      </c>
      <c r="K83" s="97" t="s">
        <v>114</v>
      </c>
      <c r="L83" s="97">
        <v>3358.4</v>
      </c>
      <c r="M83" s="97" t="s">
        <v>114</v>
      </c>
      <c r="O83" s="129"/>
      <c r="P83" s="129"/>
      <c r="Q83" s="129"/>
      <c r="R83" s="129"/>
      <c r="S83" s="129"/>
      <c r="T83" s="129"/>
      <c r="U83" s="129"/>
      <c r="V83" s="129"/>
      <c r="W83" s="129"/>
      <c r="X83" s="129"/>
    </row>
    <row r="84" spans="1:24" ht="11.1" customHeight="1" x14ac:dyDescent="0.25">
      <c r="A84" s="184" t="s">
        <v>12</v>
      </c>
      <c r="B84" s="184"/>
      <c r="C84" s="184"/>
      <c r="D84" s="184"/>
      <c r="E84" s="184"/>
      <c r="F84" s="184"/>
      <c r="G84" s="184"/>
      <c r="H84" s="184"/>
      <c r="I84" s="184"/>
      <c r="J84" s="184"/>
      <c r="K84" s="184"/>
      <c r="L84" s="190"/>
      <c r="M84" s="184"/>
    </row>
    <row r="85" spans="1:24" s="6" customFormat="1" ht="11.1" customHeight="1" x14ac:dyDescent="0.15">
      <c r="A85" s="6" t="s">
        <v>13</v>
      </c>
    </row>
    <row r="86" spans="1:24" s="12" customFormat="1" ht="11.1" customHeight="1" x14ac:dyDescent="0.2">
      <c r="A86" s="39" t="s">
        <v>188</v>
      </c>
    </row>
    <row r="87" spans="1:24" s="12" customFormat="1" ht="11.1" customHeight="1" x14ac:dyDescent="0.2">
      <c r="A87" s="39" t="s">
        <v>41</v>
      </c>
    </row>
    <row r="88" spans="1:24" s="12" customFormat="1" ht="11.1" customHeight="1" x14ac:dyDescent="0.2">
      <c r="A88" s="39" t="s">
        <v>288</v>
      </c>
    </row>
    <row r="89" spans="1:24" s="6" customFormat="1" ht="11.1" customHeight="1" x14ac:dyDescent="0.15">
      <c r="A89" s="6" t="s">
        <v>14</v>
      </c>
    </row>
    <row r="90" spans="1:24" s="6" customFormat="1" ht="11.1" customHeight="1" x14ac:dyDescent="0.15">
      <c r="A90" s="6" t="s">
        <v>263</v>
      </c>
    </row>
    <row r="91" spans="1:24" ht="12" customHeight="1" x14ac:dyDescent="0.25">
      <c r="A91" s="2"/>
    </row>
  </sheetData>
  <mergeCells count="27">
    <mergeCell ref="A1:M1"/>
    <mergeCell ref="A4:A19"/>
    <mergeCell ref="B4:B7"/>
    <mergeCell ref="B8:B11"/>
    <mergeCell ref="B12:B15"/>
    <mergeCell ref="B16:B19"/>
    <mergeCell ref="A36:A51"/>
    <mergeCell ref="B36:B39"/>
    <mergeCell ref="B40:B43"/>
    <mergeCell ref="B44:B47"/>
    <mergeCell ref="B48:B51"/>
    <mergeCell ref="A20:A35"/>
    <mergeCell ref="B20:B23"/>
    <mergeCell ref="B24:B27"/>
    <mergeCell ref="B28:B31"/>
    <mergeCell ref="B32:B35"/>
    <mergeCell ref="A84:M84"/>
    <mergeCell ref="A52:A67"/>
    <mergeCell ref="B52:B55"/>
    <mergeCell ref="B56:B59"/>
    <mergeCell ref="B60:B63"/>
    <mergeCell ref="B64:B67"/>
    <mergeCell ref="A68:A83"/>
    <mergeCell ref="B68:B71"/>
    <mergeCell ref="B72:B75"/>
    <mergeCell ref="B76:B79"/>
    <mergeCell ref="B80:B83"/>
  </mergeCells>
  <pageMargins left="0.08" right="0.08" top="1" bottom="1" header="0.5" footer="0.5"/>
  <pageSetup orientation="landscape" blackAndWhite="1"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57"/>
  <sheetViews>
    <sheetView zoomScaleNormal="100" workbookViewId="0">
      <selection sqref="A1:M1"/>
    </sheetView>
  </sheetViews>
  <sheetFormatPr defaultColWidth="9.140625" defaultRowHeight="15" x14ac:dyDescent="0.25"/>
  <cols>
    <col min="1" max="2" width="11.42578125" style="1" bestFit="1" customWidth="1"/>
    <col min="3" max="3" width="16" style="1" customWidth="1"/>
    <col min="4" max="11" width="11.42578125" style="1" bestFit="1" customWidth="1"/>
    <col min="12" max="12" width="11" style="1" customWidth="1"/>
    <col min="13" max="13" width="11.42578125" style="1" bestFit="1" customWidth="1"/>
    <col min="14" max="16384" width="9.140625" style="1"/>
  </cols>
  <sheetData>
    <row r="1" spans="1:15" ht="27.95" customHeight="1" x14ac:dyDescent="0.25">
      <c r="A1" s="189" t="s">
        <v>302</v>
      </c>
      <c r="B1" s="189"/>
      <c r="C1" s="189"/>
      <c r="D1" s="189"/>
      <c r="E1" s="189"/>
      <c r="F1" s="189"/>
      <c r="G1" s="189"/>
      <c r="H1" s="189"/>
      <c r="I1" s="189"/>
      <c r="J1" s="189"/>
      <c r="K1" s="189"/>
      <c r="L1" s="189"/>
      <c r="M1" s="189"/>
    </row>
    <row r="2" spans="1:15" ht="3" customHeight="1" x14ac:dyDescent="0.25">
      <c r="A2" s="2"/>
    </row>
    <row r="3" spans="1:15" ht="23.25" x14ac:dyDescent="0.25">
      <c r="A3" s="31" t="s">
        <v>122</v>
      </c>
      <c r="B3" s="31" t="s">
        <v>119</v>
      </c>
      <c r="C3" s="31" t="s">
        <v>120</v>
      </c>
      <c r="D3" s="3" t="s">
        <v>0</v>
      </c>
      <c r="E3" s="3" t="s">
        <v>1</v>
      </c>
      <c r="F3" s="3" t="s">
        <v>2</v>
      </c>
      <c r="G3" s="3" t="s">
        <v>3</v>
      </c>
      <c r="H3" s="3" t="s">
        <v>4</v>
      </c>
      <c r="I3" s="3" t="s">
        <v>5</v>
      </c>
      <c r="J3" s="3" t="s">
        <v>6</v>
      </c>
      <c r="K3" s="3" t="s">
        <v>7</v>
      </c>
      <c r="L3" s="3" t="s">
        <v>199</v>
      </c>
      <c r="M3" s="3" t="s">
        <v>8</v>
      </c>
    </row>
    <row r="4" spans="1:15" ht="15" customHeight="1" x14ac:dyDescent="0.25">
      <c r="A4" s="197" t="s">
        <v>191</v>
      </c>
      <c r="B4" s="197" t="s">
        <v>17</v>
      </c>
      <c r="C4" s="4" t="s">
        <v>18</v>
      </c>
      <c r="D4" s="5">
        <v>97.99</v>
      </c>
      <c r="E4" s="5">
        <v>81.760999999999996</v>
      </c>
      <c r="F4" s="5">
        <v>169.809</v>
      </c>
      <c r="G4" s="5">
        <v>165.68</v>
      </c>
      <c r="H4" s="5">
        <v>103.93899999999999</v>
      </c>
      <c r="I4" s="5">
        <v>57.773000000000003</v>
      </c>
      <c r="J4" s="5">
        <v>63.08</v>
      </c>
      <c r="K4" s="5">
        <v>93.149000000000001</v>
      </c>
      <c r="L4" s="5">
        <v>125.751</v>
      </c>
      <c r="M4" s="5">
        <v>123.45</v>
      </c>
    </row>
    <row r="5" spans="1:15" ht="15" customHeight="1" x14ac:dyDescent="0.25">
      <c r="A5" s="197"/>
      <c r="B5" s="197"/>
      <c r="C5" s="4" t="s">
        <v>19</v>
      </c>
      <c r="D5" s="5">
        <v>10.193</v>
      </c>
      <c r="E5" s="5">
        <v>7.5549999999999997</v>
      </c>
      <c r="F5" s="5">
        <v>9.7119999999999997</v>
      </c>
      <c r="G5" s="5">
        <v>9.6180000000000003</v>
      </c>
      <c r="H5" s="5">
        <v>7.5789999999999997</v>
      </c>
      <c r="I5" s="5">
        <v>13.409000000000001</v>
      </c>
      <c r="J5" s="5">
        <v>14.654999999999999</v>
      </c>
      <c r="K5" s="5">
        <v>3.6779999999999999</v>
      </c>
      <c r="L5" s="5">
        <v>9.3059999999999992</v>
      </c>
      <c r="M5" s="5">
        <v>9.27</v>
      </c>
    </row>
    <row r="6" spans="1:15" ht="15" customHeight="1" x14ac:dyDescent="0.25">
      <c r="A6" s="197"/>
      <c r="B6" s="197"/>
      <c r="C6" s="95" t="s">
        <v>11</v>
      </c>
      <c r="D6" s="97">
        <v>17.568999999999999</v>
      </c>
      <c r="E6" s="97">
        <v>9.0790000000000006</v>
      </c>
      <c r="F6" s="97">
        <v>24.036000000000001</v>
      </c>
      <c r="G6" s="97">
        <v>20.85</v>
      </c>
      <c r="H6" s="97">
        <v>12.685</v>
      </c>
      <c r="I6" s="97">
        <v>19.085000000000001</v>
      </c>
      <c r="J6" s="97">
        <v>16.423999999999999</v>
      </c>
      <c r="K6" s="97">
        <v>44.122</v>
      </c>
      <c r="L6" s="97">
        <v>16.914999999999999</v>
      </c>
      <c r="M6" s="97">
        <v>17.204000000000001</v>
      </c>
    </row>
    <row r="7" spans="1:15" ht="15" customHeight="1" x14ac:dyDescent="0.25">
      <c r="A7" s="197"/>
      <c r="B7" s="197" t="s">
        <v>21</v>
      </c>
      <c r="C7" s="4" t="s">
        <v>18</v>
      </c>
      <c r="D7" s="5">
        <v>31.99</v>
      </c>
      <c r="E7" s="5">
        <v>17.411999999999999</v>
      </c>
      <c r="F7" s="5">
        <v>76.393000000000001</v>
      </c>
      <c r="G7" s="5">
        <v>40.99</v>
      </c>
      <c r="H7" s="5">
        <v>36.381</v>
      </c>
      <c r="I7" s="5">
        <v>19.808</v>
      </c>
      <c r="J7" s="5">
        <v>24.777999999999999</v>
      </c>
      <c r="K7" s="5">
        <v>16.074999999999999</v>
      </c>
      <c r="L7" s="5">
        <v>45.33</v>
      </c>
      <c r="M7" s="5">
        <v>43.268000000000001</v>
      </c>
    </row>
    <row r="8" spans="1:15" ht="15" customHeight="1" x14ac:dyDescent="0.25">
      <c r="A8" s="197"/>
      <c r="B8" s="197"/>
      <c r="C8" s="4" t="s">
        <v>19</v>
      </c>
      <c r="D8" s="5">
        <v>2.5630000000000002</v>
      </c>
      <c r="E8" s="5">
        <v>1.8620000000000001</v>
      </c>
      <c r="F8" s="5">
        <v>3.0289999999999999</v>
      </c>
      <c r="G8" s="5">
        <v>2.23</v>
      </c>
      <c r="H8" s="5">
        <v>1.6439999999999999</v>
      </c>
      <c r="I8" s="5">
        <v>6.3659999999999997</v>
      </c>
      <c r="J8" s="5">
        <v>6.3159999999999998</v>
      </c>
      <c r="K8" s="5">
        <v>1.6060000000000001</v>
      </c>
      <c r="L8" s="5">
        <v>2.52</v>
      </c>
      <c r="M8" s="5">
        <v>2.5150000000000001</v>
      </c>
    </row>
    <row r="9" spans="1:15" ht="15" customHeight="1" x14ac:dyDescent="0.25">
      <c r="A9" s="197"/>
      <c r="B9" s="197"/>
      <c r="C9" s="95" t="s">
        <v>11</v>
      </c>
      <c r="D9" s="97">
        <v>5.0049999999999999</v>
      </c>
      <c r="E9" s="97">
        <v>2.198</v>
      </c>
      <c r="F9" s="97">
        <v>9.6479999999999997</v>
      </c>
      <c r="G9" s="97">
        <v>5.1520000000000001</v>
      </c>
      <c r="H9" s="97">
        <v>3.5720000000000001</v>
      </c>
      <c r="I9" s="97">
        <v>7.9260000000000002</v>
      </c>
      <c r="J9" s="97">
        <v>6.9349999999999996</v>
      </c>
      <c r="K9" s="97">
        <v>8.2260000000000009</v>
      </c>
      <c r="L9" s="97">
        <v>5.3289999999999997</v>
      </c>
      <c r="M9" s="97">
        <v>5.36</v>
      </c>
    </row>
    <row r="10" spans="1:15" ht="15" customHeight="1" x14ac:dyDescent="0.25">
      <c r="A10" s="197"/>
      <c r="B10" s="197" t="s">
        <v>11</v>
      </c>
      <c r="C10" s="4" t="s">
        <v>18</v>
      </c>
      <c r="D10" s="5">
        <v>65.989999999999995</v>
      </c>
      <c r="E10" s="5">
        <v>49.872</v>
      </c>
      <c r="F10" s="5">
        <v>124.139</v>
      </c>
      <c r="G10" s="5">
        <v>103.748</v>
      </c>
      <c r="H10" s="5">
        <v>70.869</v>
      </c>
      <c r="I10" s="5">
        <v>39.515000000000001</v>
      </c>
      <c r="J10" s="5">
        <v>45.317</v>
      </c>
      <c r="K10" s="5">
        <v>55.47</v>
      </c>
      <c r="L10" s="8">
        <v>86.462000000000003</v>
      </c>
      <c r="M10" s="5">
        <v>84.275999999999996</v>
      </c>
      <c r="N10" s="146"/>
      <c r="O10" s="116"/>
    </row>
    <row r="11" spans="1:15" ht="15" customHeight="1" x14ac:dyDescent="0.25">
      <c r="A11" s="197"/>
      <c r="B11" s="197"/>
      <c r="C11" s="4" t="s">
        <v>19</v>
      </c>
      <c r="D11" s="5">
        <v>6.4969999999999999</v>
      </c>
      <c r="E11" s="5">
        <v>4.7889999999999997</v>
      </c>
      <c r="F11" s="5">
        <v>6.4749999999999996</v>
      </c>
      <c r="G11" s="5">
        <v>6.0410000000000004</v>
      </c>
      <c r="H11" s="5">
        <v>4.6879999999999997</v>
      </c>
      <c r="I11" s="5">
        <v>10.013999999999999</v>
      </c>
      <c r="J11" s="5">
        <v>10.602</v>
      </c>
      <c r="K11" s="5">
        <v>2.6890000000000001</v>
      </c>
      <c r="L11" s="5">
        <v>6.0149999999999997</v>
      </c>
      <c r="M11" s="5">
        <v>5.9950000000000001</v>
      </c>
    </row>
    <row r="12" spans="1:15" ht="15" customHeight="1" x14ac:dyDescent="0.25">
      <c r="A12" s="197"/>
      <c r="B12" s="197"/>
      <c r="C12" s="95" t="s">
        <v>11</v>
      </c>
      <c r="D12" s="97">
        <v>11.49</v>
      </c>
      <c r="E12" s="97">
        <v>5.734</v>
      </c>
      <c r="F12" s="97">
        <v>17.061</v>
      </c>
      <c r="G12" s="97">
        <v>13.234999999999999</v>
      </c>
      <c r="H12" s="97">
        <v>8.2449999999999992</v>
      </c>
      <c r="I12" s="97">
        <v>13.708</v>
      </c>
      <c r="J12" s="97">
        <v>11.819000000000001</v>
      </c>
      <c r="K12" s="97">
        <v>26.794</v>
      </c>
      <c r="L12" s="97">
        <v>11.297000000000001</v>
      </c>
      <c r="M12" s="97">
        <v>11.461</v>
      </c>
      <c r="N12" s="146"/>
      <c r="O12" s="75"/>
    </row>
    <row r="13" spans="1:15" ht="15" customHeight="1" x14ac:dyDescent="0.25">
      <c r="A13" s="197" t="s">
        <v>192</v>
      </c>
      <c r="B13" s="197" t="s">
        <v>17</v>
      </c>
      <c r="C13" s="4" t="s">
        <v>18</v>
      </c>
      <c r="D13" s="5">
        <v>93.736999999999995</v>
      </c>
      <c r="E13" s="5">
        <v>63.125</v>
      </c>
      <c r="F13" s="5">
        <v>162.28899999999999</v>
      </c>
      <c r="G13" s="5">
        <v>181.20699999999999</v>
      </c>
      <c r="H13" s="5">
        <v>114.97499999999999</v>
      </c>
      <c r="I13" s="5">
        <v>48.732999999999997</v>
      </c>
      <c r="J13" s="5">
        <v>38.494</v>
      </c>
      <c r="K13" s="5">
        <v>128.435</v>
      </c>
      <c r="L13" s="5">
        <v>122.363</v>
      </c>
      <c r="M13" s="5">
        <v>122.779</v>
      </c>
    </row>
    <row r="14" spans="1:15" ht="15" customHeight="1" x14ac:dyDescent="0.25">
      <c r="A14" s="197"/>
      <c r="B14" s="197"/>
      <c r="C14" s="4" t="s">
        <v>19</v>
      </c>
      <c r="D14" s="5">
        <v>8.8559999999999999</v>
      </c>
      <c r="E14" s="5">
        <v>6.14</v>
      </c>
      <c r="F14" s="5">
        <v>9.3759999999999994</v>
      </c>
      <c r="G14" s="5">
        <v>8.9209999999999994</v>
      </c>
      <c r="H14" s="5">
        <v>8.1229999999999993</v>
      </c>
      <c r="I14" s="5">
        <v>9.0289999999999999</v>
      </c>
      <c r="J14" s="5">
        <v>9.9420000000000002</v>
      </c>
      <c r="K14" s="5">
        <v>6.9269999999999996</v>
      </c>
      <c r="L14" s="5">
        <v>8.2439999999999998</v>
      </c>
      <c r="M14" s="5">
        <v>8.2349999999999994</v>
      </c>
    </row>
    <row r="15" spans="1:15" ht="15" customHeight="1" x14ac:dyDescent="0.25">
      <c r="A15" s="197"/>
      <c r="B15" s="197"/>
      <c r="C15" s="95" t="s">
        <v>11</v>
      </c>
      <c r="D15" s="97">
        <v>15.808</v>
      </c>
      <c r="E15" s="97">
        <v>7.3250000000000002</v>
      </c>
      <c r="F15" s="97">
        <v>23.055</v>
      </c>
      <c r="G15" s="97">
        <v>21.277999999999999</v>
      </c>
      <c r="H15" s="97">
        <v>13.885</v>
      </c>
      <c r="I15" s="97">
        <v>13.62</v>
      </c>
      <c r="J15" s="97">
        <v>10.967000000000001</v>
      </c>
      <c r="K15" s="97">
        <v>61.622</v>
      </c>
      <c r="L15" s="97">
        <v>15.645</v>
      </c>
      <c r="M15" s="97">
        <v>16.126000000000001</v>
      </c>
    </row>
    <row r="16" spans="1:15" ht="15" customHeight="1" x14ac:dyDescent="0.25">
      <c r="A16" s="197"/>
      <c r="B16" s="197" t="s">
        <v>21</v>
      </c>
      <c r="C16" s="4" t="s">
        <v>18</v>
      </c>
      <c r="D16" s="5">
        <v>26.536999999999999</v>
      </c>
      <c r="E16" s="5">
        <v>11.92</v>
      </c>
      <c r="F16" s="5">
        <v>77.614000000000004</v>
      </c>
      <c r="G16" s="5">
        <v>48.613</v>
      </c>
      <c r="H16" s="5">
        <v>36.984999999999999</v>
      </c>
      <c r="I16" s="5">
        <v>17.367999999999999</v>
      </c>
      <c r="J16" s="5">
        <v>26.585999999999999</v>
      </c>
      <c r="K16" s="5">
        <v>28.16</v>
      </c>
      <c r="L16" s="5">
        <v>44.22</v>
      </c>
      <c r="M16" s="5">
        <v>43.122</v>
      </c>
    </row>
    <row r="17" spans="1:13" ht="15" customHeight="1" x14ac:dyDescent="0.25">
      <c r="A17" s="197"/>
      <c r="B17" s="197"/>
      <c r="C17" s="4" t="s">
        <v>19</v>
      </c>
      <c r="D17" s="5">
        <v>2.2949999999999999</v>
      </c>
      <c r="E17" s="5">
        <v>1.522</v>
      </c>
      <c r="F17" s="5">
        <v>3.0089999999999999</v>
      </c>
      <c r="G17" s="5">
        <v>2.4060000000000001</v>
      </c>
      <c r="H17" s="5">
        <v>1.675</v>
      </c>
      <c r="I17" s="5">
        <v>6.4619999999999997</v>
      </c>
      <c r="J17" s="5">
        <v>6.6970000000000001</v>
      </c>
      <c r="K17" s="5">
        <v>0.34399999999999997</v>
      </c>
      <c r="L17" s="5">
        <v>2.375</v>
      </c>
      <c r="M17" s="5">
        <v>2.363</v>
      </c>
    </row>
    <row r="18" spans="1:13" ht="15" customHeight="1" x14ac:dyDescent="0.25">
      <c r="A18" s="197"/>
      <c r="B18" s="197"/>
      <c r="C18" s="95" t="s">
        <v>11</v>
      </c>
      <c r="D18" s="97">
        <v>4.3360000000000003</v>
      </c>
      <c r="E18" s="97">
        <v>1.746</v>
      </c>
      <c r="F18" s="97">
        <v>9.7840000000000007</v>
      </c>
      <c r="G18" s="97">
        <v>5.8769999999999998</v>
      </c>
      <c r="H18" s="97">
        <v>3.609</v>
      </c>
      <c r="I18" s="97">
        <v>7.7290000000000001</v>
      </c>
      <c r="J18" s="97">
        <v>7.3330000000000002</v>
      </c>
      <c r="K18" s="97">
        <v>13.427</v>
      </c>
      <c r="L18" s="97">
        <v>5.1289999999999996</v>
      </c>
      <c r="M18" s="97">
        <v>5.2140000000000004</v>
      </c>
    </row>
    <row r="19" spans="1:13" ht="15" customHeight="1" x14ac:dyDescent="0.25">
      <c r="A19" s="197"/>
      <c r="B19" s="197" t="s">
        <v>11</v>
      </c>
      <c r="C19" s="4" t="s">
        <v>18</v>
      </c>
      <c r="D19" s="5">
        <v>61.097000000000001</v>
      </c>
      <c r="E19" s="5">
        <v>38.191000000000003</v>
      </c>
      <c r="F19" s="5">
        <v>120.988</v>
      </c>
      <c r="G19" s="5">
        <v>115.379</v>
      </c>
      <c r="H19" s="5">
        <v>76.677999999999997</v>
      </c>
      <c r="I19" s="5">
        <v>33.613999999999997</v>
      </c>
      <c r="J19" s="5">
        <v>33.070999999999998</v>
      </c>
      <c r="K19" s="5">
        <v>79.400000000000006</v>
      </c>
      <c r="L19" s="5">
        <v>84.231999999999999</v>
      </c>
      <c r="M19" s="5">
        <v>83.902000000000001</v>
      </c>
    </row>
    <row r="20" spans="1:13" ht="15" customHeight="1" x14ac:dyDescent="0.25">
      <c r="A20" s="197"/>
      <c r="B20" s="197"/>
      <c r="C20" s="4" t="s">
        <v>19</v>
      </c>
      <c r="D20" s="5">
        <v>5.69</v>
      </c>
      <c r="E20" s="5">
        <v>3.895</v>
      </c>
      <c r="F20" s="5">
        <v>6.29</v>
      </c>
      <c r="G20" s="5">
        <v>5.7679999999999998</v>
      </c>
      <c r="H20" s="5">
        <v>4.9809999999999999</v>
      </c>
      <c r="I20" s="5">
        <v>7.7939999999999996</v>
      </c>
      <c r="J20" s="5">
        <v>8.3670000000000009</v>
      </c>
      <c r="K20" s="5">
        <v>3.7869999999999999</v>
      </c>
      <c r="L20" s="5">
        <v>5.4009999999999998</v>
      </c>
      <c r="M20" s="5">
        <v>5.391</v>
      </c>
    </row>
    <row r="21" spans="1:13" ht="15" customHeight="1" x14ac:dyDescent="0.25">
      <c r="A21" s="197"/>
      <c r="B21" s="197"/>
      <c r="C21" s="95" t="s">
        <v>11</v>
      </c>
      <c r="D21" s="97">
        <v>10.268000000000001</v>
      </c>
      <c r="E21" s="97">
        <v>4.6210000000000004</v>
      </c>
      <c r="F21" s="97">
        <v>16.632999999999999</v>
      </c>
      <c r="G21" s="97">
        <v>13.811</v>
      </c>
      <c r="H21" s="97">
        <v>8.8759999999999994</v>
      </c>
      <c r="I21" s="97">
        <v>10.784000000000001</v>
      </c>
      <c r="J21" s="97">
        <v>9.2070000000000007</v>
      </c>
      <c r="K21" s="97">
        <v>38.375</v>
      </c>
      <c r="L21" s="97">
        <v>10.553000000000001</v>
      </c>
      <c r="M21" s="97">
        <v>10.843</v>
      </c>
    </row>
    <row r="22" spans="1:13" ht="15" customHeight="1" x14ac:dyDescent="0.25">
      <c r="A22" s="197" t="s">
        <v>193</v>
      </c>
      <c r="B22" s="197" t="s">
        <v>17</v>
      </c>
      <c r="C22" s="4" t="s">
        <v>18</v>
      </c>
      <c r="D22" s="5">
        <v>96.73</v>
      </c>
      <c r="E22" s="5">
        <v>46.725000000000001</v>
      </c>
      <c r="F22" s="5">
        <v>161.529</v>
      </c>
      <c r="G22" s="5">
        <v>209.346</v>
      </c>
      <c r="H22" s="5">
        <v>124.96599999999999</v>
      </c>
      <c r="I22" s="5">
        <v>49.530999999999999</v>
      </c>
      <c r="J22" s="5">
        <v>74.566999999999993</v>
      </c>
      <c r="K22" s="5">
        <v>217.40100000000001</v>
      </c>
      <c r="L22" s="5">
        <v>126.334</v>
      </c>
      <c r="M22" s="5">
        <v>132.40799999999999</v>
      </c>
    </row>
    <row r="23" spans="1:13" ht="15" customHeight="1" x14ac:dyDescent="0.25">
      <c r="A23" s="197"/>
      <c r="B23" s="197"/>
      <c r="C23" s="4" t="s">
        <v>19</v>
      </c>
      <c r="D23" s="5">
        <v>6.7</v>
      </c>
      <c r="E23" s="5">
        <v>5.2389999999999999</v>
      </c>
      <c r="F23" s="5">
        <v>8.6969999999999992</v>
      </c>
      <c r="G23" s="5">
        <v>9.4440000000000008</v>
      </c>
      <c r="H23" s="5">
        <v>9.0329999999999995</v>
      </c>
      <c r="I23" s="5">
        <v>11.608000000000001</v>
      </c>
      <c r="J23" s="5">
        <v>9.4239999999999995</v>
      </c>
      <c r="K23" s="5">
        <v>5.2649999999999997</v>
      </c>
      <c r="L23" s="5">
        <v>7.3540000000000001</v>
      </c>
      <c r="M23" s="5">
        <v>7.34</v>
      </c>
    </row>
    <row r="24" spans="1:13" ht="15" customHeight="1" x14ac:dyDescent="0.25">
      <c r="A24" s="197"/>
      <c r="B24" s="197"/>
      <c r="C24" s="95" t="s">
        <v>11</v>
      </c>
      <c r="D24" s="97">
        <v>14.019</v>
      </c>
      <c r="E24" s="97">
        <v>6.1040000000000001</v>
      </c>
      <c r="F24" s="97">
        <v>22.303999999999998</v>
      </c>
      <c r="G24" s="97">
        <v>23.603000000000002</v>
      </c>
      <c r="H24" s="97">
        <v>15.455</v>
      </c>
      <c r="I24" s="97">
        <v>15.962999999999999</v>
      </c>
      <c r="J24" s="97">
        <v>11.94</v>
      </c>
      <c r="K24" s="97">
        <v>98.397999999999996</v>
      </c>
      <c r="L24" s="97">
        <v>15.041</v>
      </c>
      <c r="M24" s="97">
        <v>15.904</v>
      </c>
    </row>
    <row r="25" spans="1:13" ht="15" customHeight="1" x14ac:dyDescent="0.25">
      <c r="A25" s="197"/>
      <c r="B25" s="197" t="s">
        <v>21</v>
      </c>
      <c r="C25" s="4" t="s">
        <v>18</v>
      </c>
      <c r="D25" s="5">
        <v>25.449000000000002</v>
      </c>
      <c r="E25" s="5">
        <v>7.7469999999999999</v>
      </c>
      <c r="F25" s="5">
        <v>68.986000000000004</v>
      </c>
      <c r="G25" s="5">
        <v>65.997</v>
      </c>
      <c r="H25" s="5">
        <v>60.195999999999998</v>
      </c>
      <c r="I25" s="5">
        <v>16.111999999999998</v>
      </c>
      <c r="J25" s="5">
        <v>21.245999999999999</v>
      </c>
      <c r="K25" s="5">
        <v>52.066000000000003</v>
      </c>
      <c r="L25" s="5">
        <v>44.31</v>
      </c>
      <c r="M25" s="5">
        <v>44.826000000000001</v>
      </c>
    </row>
    <row r="26" spans="1:13" ht="15" customHeight="1" x14ac:dyDescent="0.25">
      <c r="A26" s="197"/>
      <c r="B26" s="197"/>
      <c r="C26" s="4" t="s">
        <v>19</v>
      </c>
      <c r="D26" s="5">
        <v>1.8420000000000001</v>
      </c>
      <c r="E26" s="5">
        <v>0.96699999999999997</v>
      </c>
      <c r="F26" s="5">
        <v>2.7360000000000002</v>
      </c>
      <c r="G26" s="5">
        <v>2.6619999999999999</v>
      </c>
      <c r="H26" s="5">
        <v>2.5289999999999999</v>
      </c>
      <c r="I26" s="5">
        <v>7.2640000000000002</v>
      </c>
      <c r="J26" s="5">
        <v>6.5279999999999996</v>
      </c>
      <c r="K26" s="5">
        <v>1.034</v>
      </c>
      <c r="L26" s="5">
        <v>2.13</v>
      </c>
      <c r="M26" s="5">
        <v>2.1230000000000002</v>
      </c>
    </row>
    <row r="27" spans="1:13" ht="15" customHeight="1" x14ac:dyDescent="0.25">
      <c r="A27" s="197"/>
      <c r="B27" s="197"/>
      <c r="C27" s="95" t="s">
        <v>11</v>
      </c>
      <c r="D27" s="97">
        <v>3.7869999999999999</v>
      </c>
      <c r="E27" s="97">
        <v>1.113</v>
      </c>
      <c r="F27" s="97">
        <v>8.7530000000000001</v>
      </c>
      <c r="G27" s="97">
        <v>7.3289999999999997</v>
      </c>
      <c r="H27" s="97">
        <v>5.6639999999999997</v>
      </c>
      <c r="I27" s="97">
        <v>8.4960000000000004</v>
      </c>
      <c r="J27" s="97">
        <v>6.9880000000000004</v>
      </c>
      <c r="K27" s="97">
        <v>23.748000000000001</v>
      </c>
      <c r="L27" s="97">
        <v>4.8819999999999997</v>
      </c>
      <c r="M27" s="97">
        <v>5.077</v>
      </c>
    </row>
    <row r="28" spans="1:13" ht="15" customHeight="1" x14ac:dyDescent="0.25">
      <c r="A28" s="197"/>
      <c r="B28" s="197" t="s">
        <v>11</v>
      </c>
      <c r="C28" s="4" t="s">
        <v>18</v>
      </c>
      <c r="D28" s="5">
        <v>62.046999999999997</v>
      </c>
      <c r="E28" s="5">
        <v>27.631</v>
      </c>
      <c r="F28" s="5">
        <v>116.262</v>
      </c>
      <c r="G28" s="5">
        <v>138.33699999999999</v>
      </c>
      <c r="H28" s="5">
        <v>93.218999999999994</v>
      </c>
      <c r="I28" s="5">
        <v>33.381</v>
      </c>
      <c r="J28" s="5">
        <v>50.633000000000003</v>
      </c>
      <c r="K28" s="5">
        <v>136.62899999999999</v>
      </c>
      <c r="L28" s="5">
        <v>86.256</v>
      </c>
      <c r="M28" s="5">
        <v>89.61</v>
      </c>
    </row>
    <row r="29" spans="1:13" ht="15" customHeight="1" x14ac:dyDescent="0.25">
      <c r="A29" s="197"/>
      <c r="B29" s="197"/>
      <c r="C29" s="4" t="s">
        <v>19</v>
      </c>
      <c r="D29" s="5">
        <v>4.3570000000000002</v>
      </c>
      <c r="E29" s="5">
        <v>3.161</v>
      </c>
      <c r="F29" s="5">
        <v>5.8070000000000004</v>
      </c>
      <c r="G29" s="5">
        <v>6.157</v>
      </c>
      <c r="H29" s="5">
        <v>5.8730000000000002</v>
      </c>
      <c r="I29" s="5">
        <v>9.5169999999999995</v>
      </c>
      <c r="J29" s="5">
        <v>8.0139999999999993</v>
      </c>
      <c r="K29" s="5">
        <v>3.2280000000000002</v>
      </c>
      <c r="L29" s="5">
        <v>4.8230000000000004</v>
      </c>
      <c r="M29" s="5">
        <v>4.8129999999999997</v>
      </c>
    </row>
    <row r="30" spans="1:13" ht="15" customHeight="1" x14ac:dyDescent="0.25">
      <c r="A30" s="197"/>
      <c r="B30" s="197"/>
      <c r="C30" s="95" t="s">
        <v>11</v>
      </c>
      <c r="D30" s="97">
        <v>9.07</v>
      </c>
      <c r="E30" s="97">
        <v>3.68</v>
      </c>
      <c r="F30" s="97">
        <v>15.743</v>
      </c>
      <c r="G30" s="97">
        <v>15.702</v>
      </c>
      <c r="H30" s="97">
        <v>10.69</v>
      </c>
      <c r="I30" s="97">
        <v>12.368</v>
      </c>
      <c r="J30" s="97">
        <v>9.5359999999999996</v>
      </c>
      <c r="K30" s="97">
        <v>62.344999999999999</v>
      </c>
      <c r="L30" s="97">
        <v>10.117000000000001</v>
      </c>
      <c r="M30" s="97">
        <v>10.657</v>
      </c>
    </row>
    <row r="31" spans="1:13" ht="15" customHeight="1" x14ac:dyDescent="0.25">
      <c r="A31" s="197" t="s">
        <v>194</v>
      </c>
      <c r="B31" s="197" t="s">
        <v>17</v>
      </c>
      <c r="C31" s="4" t="s">
        <v>18</v>
      </c>
      <c r="D31" s="5">
        <v>93.745000000000005</v>
      </c>
      <c r="E31" s="5">
        <v>48.442</v>
      </c>
      <c r="F31" s="5">
        <v>163.56800000000001</v>
      </c>
      <c r="G31" s="5">
        <v>187.11199999999999</v>
      </c>
      <c r="H31" s="5">
        <v>163.06700000000001</v>
      </c>
      <c r="I31" s="5">
        <v>61.537999999999997</v>
      </c>
      <c r="J31" s="5">
        <v>150.143</v>
      </c>
      <c r="K31" s="5" t="s">
        <v>114</v>
      </c>
      <c r="L31" s="5">
        <v>126.399</v>
      </c>
      <c r="M31" s="5" t="s">
        <v>114</v>
      </c>
    </row>
    <row r="32" spans="1:13" ht="15" customHeight="1" x14ac:dyDescent="0.25">
      <c r="A32" s="197"/>
      <c r="B32" s="197"/>
      <c r="C32" s="4" t="s">
        <v>19</v>
      </c>
      <c r="D32" s="5">
        <v>6.2039999999999997</v>
      </c>
      <c r="E32" s="5">
        <v>4.5579999999999998</v>
      </c>
      <c r="F32" s="5">
        <v>8.1059999999999999</v>
      </c>
      <c r="G32" s="5">
        <v>9.1839999999999993</v>
      </c>
      <c r="H32" s="5">
        <v>8.298</v>
      </c>
      <c r="I32" s="5">
        <v>13.98</v>
      </c>
      <c r="J32" s="5">
        <v>14.997</v>
      </c>
      <c r="K32" s="5" t="s">
        <v>114</v>
      </c>
      <c r="L32" s="5">
        <v>6.9240000000000004</v>
      </c>
      <c r="M32" s="5" t="s">
        <v>114</v>
      </c>
    </row>
    <row r="33" spans="1:13" ht="15" customHeight="1" x14ac:dyDescent="0.25">
      <c r="A33" s="197"/>
      <c r="B33" s="197"/>
      <c r="C33" s="95" t="s">
        <v>11</v>
      </c>
      <c r="D33" s="97">
        <v>13.242000000000001</v>
      </c>
      <c r="E33" s="97">
        <v>5.4729999999999999</v>
      </c>
      <c r="F33" s="97">
        <v>21.808</v>
      </c>
      <c r="G33" s="97">
        <v>21.538</v>
      </c>
      <c r="H33" s="97">
        <v>16.66</v>
      </c>
      <c r="I33" s="97">
        <v>19.497</v>
      </c>
      <c r="J33" s="97">
        <v>19.753</v>
      </c>
      <c r="K33" s="97" t="s">
        <v>114</v>
      </c>
      <c r="L33" s="97">
        <v>14.557</v>
      </c>
      <c r="M33" s="97" t="s">
        <v>114</v>
      </c>
    </row>
    <row r="34" spans="1:13" ht="15" customHeight="1" x14ac:dyDescent="0.25">
      <c r="A34" s="197"/>
      <c r="B34" s="197" t="s">
        <v>21</v>
      </c>
      <c r="C34" s="4" t="s">
        <v>18</v>
      </c>
      <c r="D34" s="5">
        <v>28.994</v>
      </c>
      <c r="E34" s="5">
        <v>6.0279999999999996</v>
      </c>
      <c r="F34" s="5">
        <v>72.863</v>
      </c>
      <c r="G34" s="5">
        <v>60.942999999999998</v>
      </c>
      <c r="H34" s="5">
        <v>84.096999999999994</v>
      </c>
      <c r="I34" s="5">
        <v>30.78</v>
      </c>
      <c r="J34" s="5">
        <v>87.388000000000005</v>
      </c>
      <c r="K34" s="5" t="s">
        <v>114</v>
      </c>
      <c r="L34" s="5">
        <v>48.408999999999999</v>
      </c>
      <c r="M34" s="5" t="s">
        <v>114</v>
      </c>
    </row>
    <row r="35" spans="1:13" ht="15" customHeight="1" x14ac:dyDescent="0.25">
      <c r="A35" s="197"/>
      <c r="B35" s="197"/>
      <c r="C35" s="4" t="s">
        <v>19</v>
      </c>
      <c r="D35" s="5">
        <v>1.825</v>
      </c>
      <c r="E35" s="5">
        <v>0.90100000000000002</v>
      </c>
      <c r="F35" s="5">
        <v>2.6989999999999998</v>
      </c>
      <c r="G35" s="5">
        <v>3.0409999999999999</v>
      </c>
      <c r="H35" s="5">
        <v>3.113</v>
      </c>
      <c r="I35" s="5">
        <v>6.3090000000000002</v>
      </c>
      <c r="J35" s="5">
        <v>10.487</v>
      </c>
      <c r="K35" s="5" t="s">
        <v>114</v>
      </c>
      <c r="L35" s="5">
        <v>2.1920000000000002</v>
      </c>
      <c r="M35" s="5" t="s">
        <v>114</v>
      </c>
    </row>
    <row r="36" spans="1:13" ht="15" customHeight="1" x14ac:dyDescent="0.25">
      <c r="A36" s="197"/>
      <c r="B36" s="197"/>
      <c r="C36" s="95" t="s">
        <v>11</v>
      </c>
      <c r="D36" s="97">
        <v>4.0129999999999999</v>
      </c>
      <c r="E36" s="97">
        <v>1.0109999999999999</v>
      </c>
      <c r="F36" s="97">
        <v>8.9969999999999999</v>
      </c>
      <c r="G36" s="97">
        <v>7.19</v>
      </c>
      <c r="H36" s="97">
        <v>7.4909999999999997</v>
      </c>
      <c r="I36" s="97">
        <v>9.1110000000000007</v>
      </c>
      <c r="J36" s="97">
        <v>12.907</v>
      </c>
      <c r="K36" s="97" t="s">
        <v>114</v>
      </c>
      <c r="L36" s="97">
        <v>5.1639999999999997</v>
      </c>
      <c r="M36" s="97" t="s">
        <v>114</v>
      </c>
    </row>
    <row r="37" spans="1:13" ht="15" customHeight="1" x14ac:dyDescent="0.25">
      <c r="A37" s="197"/>
      <c r="B37" s="197" t="s">
        <v>11</v>
      </c>
      <c r="C37" s="4" t="s">
        <v>18</v>
      </c>
      <c r="D37" s="5">
        <v>62.41</v>
      </c>
      <c r="E37" s="5">
        <v>27.501999999999999</v>
      </c>
      <c r="F37" s="5">
        <v>119.154</v>
      </c>
      <c r="G37" s="5">
        <v>124.801</v>
      </c>
      <c r="H37" s="5">
        <v>124.402</v>
      </c>
      <c r="I37" s="5">
        <v>46.615000000000002</v>
      </c>
      <c r="J37" s="5">
        <v>121.89100000000001</v>
      </c>
      <c r="K37" s="5" t="s">
        <v>114</v>
      </c>
      <c r="L37" s="8">
        <v>88.346000000000004</v>
      </c>
      <c r="M37" s="5" t="s">
        <v>114</v>
      </c>
    </row>
    <row r="38" spans="1:13" ht="15" customHeight="1" x14ac:dyDescent="0.25">
      <c r="A38" s="197"/>
      <c r="B38" s="197"/>
      <c r="C38" s="4" t="s">
        <v>19</v>
      </c>
      <c r="D38" s="5">
        <v>4.085</v>
      </c>
      <c r="E38" s="5">
        <v>2.7789999999999999</v>
      </c>
      <c r="F38" s="5">
        <v>5.4829999999999997</v>
      </c>
      <c r="G38" s="5">
        <v>6.202</v>
      </c>
      <c r="H38" s="5">
        <v>5.7720000000000002</v>
      </c>
      <c r="I38" s="5">
        <v>10.32</v>
      </c>
      <c r="J38" s="5">
        <v>12.821999999999999</v>
      </c>
      <c r="K38" s="5" t="s">
        <v>114</v>
      </c>
      <c r="L38" s="5">
        <v>4.6289999999999996</v>
      </c>
      <c r="M38" s="5" t="s">
        <v>114</v>
      </c>
    </row>
    <row r="39" spans="1:13" ht="15" customHeight="1" x14ac:dyDescent="0.25">
      <c r="A39" s="197"/>
      <c r="B39" s="197"/>
      <c r="C39" s="95" t="s">
        <v>11</v>
      </c>
      <c r="D39" s="97">
        <v>8.7750000000000004</v>
      </c>
      <c r="E39" s="97">
        <v>3.3010000000000002</v>
      </c>
      <c r="F39" s="97">
        <v>15.595000000000001</v>
      </c>
      <c r="G39" s="97">
        <v>14.565</v>
      </c>
      <c r="H39" s="97">
        <v>12.191000000000001</v>
      </c>
      <c r="I39" s="97">
        <v>14.52</v>
      </c>
      <c r="J39" s="97">
        <v>16.46</v>
      </c>
      <c r="K39" s="97" t="s">
        <v>114</v>
      </c>
      <c r="L39" s="97">
        <v>10</v>
      </c>
      <c r="M39" s="97" t="s">
        <v>114</v>
      </c>
    </row>
    <row r="40" spans="1:13" ht="15" customHeight="1" x14ac:dyDescent="0.25">
      <c r="A40" s="197" t="s">
        <v>284</v>
      </c>
      <c r="B40" s="197" t="s">
        <v>17</v>
      </c>
      <c r="C40" s="4" t="s">
        <v>18</v>
      </c>
      <c r="D40" s="5">
        <v>92.754999999999995</v>
      </c>
      <c r="E40" s="5">
        <v>50.731000000000002</v>
      </c>
      <c r="F40" s="5">
        <v>155.643</v>
      </c>
      <c r="G40" s="5">
        <v>158.60300000000001</v>
      </c>
      <c r="H40" s="5">
        <v>140.536</v>
      </c>
      <c r="I40" s="5">
        <v>74.953999999999994</v>
      </c>
      <c r="J40" s="5">
        <v>167.833</v>
      </c>
      <c r="K40" s="5" t="s">
        <v>114</v>
      </c>
      <c r="L40" s="5">
        <v>119.52800000000001</v>
      </c>
      <c r="M40" s="5" t="s">
        <v>114</v>
      </c>
    </row>
    <row r="41" spans="1:13" ht="15" customHeight="1" x14ac:dyDescent="0.25">
      <c r="A41" s="197"/>
      <c r="B41" s="197"/>
      <c r="C41" s="4" t="s">
        <v>19</v>
      </c>
      <c r="D41" s="5">
        <v>6.4260000000000002</v>
      </c>
      <c r="E41" s="5">
        <v>4.891</v>
      </c>
      <c r="F41" s="5">
        <v>7.4290000000000003</v>
      </c>
      <c r="G41" s="5">
        <v>8.3640000000000008</v>
      </c>
      <c r="H41" s="5">
        <v>6.1929999999999996</v>
      </c>
      <c r="I41" s="5">
        <v>16.905999999999999</v>
      </c>
      <c r="J41" s="5">
        <v>13.438000000000001</v>
      </c>
      <c r="K41" s="5" t="s">
        <v>114</v>
      </c>
      <c r="L41" s="5">
        <v>6.7359999999999998</v>
      </c>
      <c r="M41" s="5" t="s">
        <v>114</v>
      </c>
    </row>
    <row r="42" spans="1:13" ht="15" customHeight="1" x14ac:dyDescent="0.25">
      <c r="A42" s="197"/>
      <c r="B42" s="197"/>
      <c r="C42" s="95" t="s">
        <v>11</v>
      </c>
      <c r="D42" s="97">
        <v>13.356</v>
      </c>
      <c r="E42" s="97">
        <v>5.851</v>
      </c>
      <c r="F42" s="97">
        <v>20.475999999999999</v>
      </c>
      <c r="G42" s="97">
        <v>18.655999999999999</v>
      </c>
      <c r="H42" s="97">
        <v>13.596</v>
      </c>
      <c r="I42" s="97">
        <v>23.474</v>
      </c>
      <c r="J42" s="97">
        <v>18.78</v>
      </c>
      <c r="K42" s="97" t="s">
        <v>114</v>
      </c>
      <c r="L42" s="97">
        <v>13.925000000000001</v>
      </c>
      <c r="M42" s="97" t="s">
        <v>114</v>
      </c>
    </row>
    <row r="43" spans="1:13" ht="15" customHeight="1" x14ac:dyDescent="0.25">
      <c r="A43" s="197"/>
      <c r="B43" s="197" t="s">
        <v>21</v>
      </c>
      <c r="C43" s="4" t="s">
        <v>18</v>
      </c>
      <c r="D43" s="5">
        <v>32.959000000000003</v>
      </c>
      <c r="E43" s="5">
        <v>8.9749999999999996</v>
      </c>
      <c r="F43" s="5">
        <v>72.599000000000004</v>
      </c>
      <c r="G43" s="5">
        <v>47.398000000000003</v>
      </c>
      <c r="H43" s="5">
        <v>60.741</v>
      </c>
      <c r="I43" s="5">
        <v>49.511000000000003</v>
      </c>
      <c r="J43" s="5">
        <v>114.15900000000001</v>
      </c>
      <c r="K43" s="5" t="s">
        <v>114</v>
      </c>
      <c r="L43" s="5">
        <v>47.841999999999999</v>
      </c>
      <c r="M43" s="5" t="s">
        <v>114</v>
      </c>
    </row>
    <row r="44" spans="1:13" ht="15" customHeight="1" x14ac:dyDescent="0.25">
      <c r="A44" s="197"/>
      <c r="B44" s="197"/>
      <c r="C44" s="4" t="s">
        <v>19</v>
      </c>
      <c r="D44" s="5">
        <v>1.6679999999999999</v>
      </c>
      <c r="E44" s="5">
        <v>0.69499999999999995</v>
      </c>
      <c r="F44" s="5">
        <v>2.528</v>
      </c>
      <c r="G44" s="5">
        <v>2.331</v>
      </c>
      <c r="H44" s="5">
        <v>1.964</v>
      </c>
      <c r="I44" s="5">
        <v>6.5789999999999997</v>
      </c>
      <c r="J44" s="5">
        <v>5.5640000000000001</v>
      </c>
      <c r="K44" s="5" t="s">
        <v>114</v>
      </c>
      <c r="L44" s="5">
        <v>1.835</v>
      </c>
      <c r="M44" s="5" t="s">
        <v>114</v>
      </c>
    </row>
    <row r="45" spans="1:13" ht="15" customHeight="1" x14ac:dyDescent="0.25">
      <c r="A45" s="197"/>
      <c r="B45" s="197"/>
      <c r="C45" s="95" t="s">
        <v>11</v>
      </c>
      <c r="D45" s="97">
        <v>4.1230000000000002</v>
      </c>
      <c r="E45" s="97">
        <v>0.87</v>
      </c>
      <c r="F45" s="97">
        <v>8.7409999999999997</v>
      </c>
      <c r="G45" s="97">
        <v>5.4880000000000004</v>
      </c>
      <c r="H45" s="97">
        <v>5.1219999999999999</v>
      </c>
      <c r="I45" s="97">
        <v>11.489000000000001</v>
      </c>
      <c r="J45" s="97">
        <v>8.7949999999999999</v>
      </c>
      <c r="K45" s="97" t="s">
        <v>114</v>
      </c>
      <c r="L45" s="97">
        <v>4.7469999999999999</v>
      </c>
      <c r="M45" s="97" t="s">
        <v>114</v>
      </c>
    </row>
    <row r="46" spans="1:13" ht="15" customHeight="1" x14ac:dyDescent="0.25">
      <c r="A46" s="197"/>
      <c r="B46" s="197" t="s">
        <v>11</v>
      </c>
      <c r="C46" s="4" t="s">
        <v>18</v>
      </c>
      <c r="D46" s="5">
        <v>63.941000000000003</v>
      </c>
      <c r="E46" s="5">
        <v>30.193000000000001</v>
      </c>
      <c r="F46" s="5">
        <v>115.002</v>
      </c>
      <c r="G46" s="5">
        <v>103.889</v>
      </c>
      <c r="H46" s="5">
        <v>101.63</v>
      </c>
      <c r="I46" s="5">
        <v>62.59</v>
      </c>
      <c r="J46" s="5">
        <v>143.934</v>
      </c>
      <c r="K46" s="5" t="s">
        <v>114</v>
      </c>
      <c r="L46" s="8">
        <v>84.646000000000001</v>
      </c>
      <c r="M46" s="5" t="s">
        <v>114</v>
      </c>
    </row>
    <row r="47" spans="1:13" ht="15" customHeight="1" x14ac:dyDescent="0.25">
      <c r="A47" s="197"/>
      <c r="B47" s="197"/>
      <c r="C47" s="4" t="s">
        <v>19</v>
      </c>
      <c r="D47" s="5">
        <v>4.1280000000000001</v>
      </c>
      <c r="E47" s="5">
        <v>2.8490000000000002</v>
      </c>
      <c r="F47" s="5">
        <v>5.0640000000000001</v>
      </c>
      <c r="G47" s="5">
        <v>5.4329999999999998</v>
      </c>
      <c r="H47" s="5">
        <v>4.133</v>
      </c>
      <c r="I47" s="5">
        <v>12.07</v>
      </c>
      <c r="J47" s="5">
        <v>9.6270000000000007</v>
      </c>
      <c r="K47" s="5" t="s">
        <v>114</v>
      </c>
      <c r="L47" s="5">
        <v>4.3650000000000002</v>
      </c>
      <c r="M47" s="5" t="s">
        <v>114</v>
      </c>
    </row>
    <row r="48" spans="1:13" ht="15" customHeight="1" x14ac:dyDescent="0.25">
      <c r="A48" s="197"/>
      <c r="B48" s="197"/>
      <c r="C48" s="95" t="s">
        <v>11</v>
      </c>
      <c r="D48" s="97">
        <v>8.8919999999999995</v>
      </c>
      <c r="E48" s="97">
        <v>3.4260000000000002</v>
      </c>
      <c r="F48" s="97">
        <v>14.79</v>
      </c>
      <c r="G48" s="97">
        <v>12.252000000000001</v>
      </c>
      <c r="H48" s="97">
        <v>9.4969999999999999</v>
      </c>
      <c r="I48" s="97">
        <v>17.84</v>
      </c>
      <c r="J48" s="97">
        <v>13.96</v>
      </c>
      <c r="K48" s="97" t="s">
        <v>114</v>
      </c>
      <c r="L48" s="97">
        <v>9.4779999999999998</v>
      </c>
      <c r="M48" s="97" t="s">
        <v>114</v>
      </c>
    </row>
    <row r="49" spans="1:13" ht="2.25" customHeight="1" x14ac:dyDescent="0.25">
      <c r="A49" s="2"/>
      <c r="K49" s="5" t="s">
        <v>114</v>
      </c>
      <c r="M49" s="1" t="s">
        <v>114</v>
      </c>
    </row>
    <row r="50" spans="1:13" ht="11.1" customHeight="1" x14ac:dyDescent="0.25">
      <c r="A50" s="195" t="s">
        <v>23</v>
      </c>
      <c r="B50" s="195"/>
      <c r="C50" s="195"/>
      <c r="D50" s="195"/>
      <c r="E50" s="195"/>
      <c r="F50" s="195"/>
      <c r="G50" s="195"/>
      <c r="H50" s="195"/>
      <c r="I50" s="195"/>
      <c r="J50" s="195"/>
      <c r="K50" s="195"/>
      <c r="L50" s="198"/>
      <c r="M50" s="195"/>
    </row>
    <row r="51" spans="1:13" s="6" customFormat="1" ht="19.5" customHeight="1" x14ac:dyDescent="0.15">
      <c r="A51" s="186" t="s">
        <v>31</v>
      </c>
      <c r="B51" s="186"/>
      <c r="C51" s="186"/>
      <c r="D51" s="186"/>
      <c r="E51" s="186"/>
      <c r="F51" s="186"/>
      <c r="G51" s="186"/>
      <c r="H51" s="186"/>
      <c r="I51" s="186"/>
      <c r="J51" s="186"/>
      <c r="K51" s="186"/>
    </row>
    <row r="52" spans="1:13" s="6" customFormat="1" ht="11.1" customHeight="1" x14ac:dyDescent="0.15">
      <c r="A52" s="6" t="s">
        <v>36</v>
      </c>
    </row>
    <row r="53" spans="1:13" x14ac:dyDescent="0.25">
      <c r="A53" s="6" t="s">
        <v>37</v>
      </c>
      <c r="B53" s="6"/>
      <c r="C53" s="6"/>
      <c r="D53" s="6"/>
      <c r="E53" s="6"/>
      <c r="F53" s="6"/>
      <c r="G53" s="6"/>
      <c r="H53" s="6"/>
      <c r="I53" s="6"/>
      <c r="J53" s="6"/>
      <c r="K53" s="6"/>
    </row>
    <row r="54" spans="1:13" ht="12" customHeight="1" x14ac:dyDescent="0.25">
      <c r="A54" s="6" t="s">
        <v>303</v>
      </c>
      <c r="B54" s="6"/>
      <c r="C54" s="6"/>
      <c r="D54" s="6"/>
      <c r="E54" s="6"/>
      <c r="F54" s="6"/>
      <c r="G54" s="6"/>
      <c r="H54" s="6"/>
      <c r="I54" s="6"/>
      <c r="J54" s="6"/>
      <c r="K54" s="6"/>
    </row>
    <row r="55" spans="1:13" s="6" customFormat="1" ht="11.1" customHeight="1" x14ac:dyDescent="0.15">
      <c r="A55" s="6" t="s">
        <v>272</v>
      </c>
    </row>
    <row r="57" spans="1:13" s="6" customFormat="1" ht="11.1" customHeight="1" x14ac:dyDescent="0.15">
      <c r="A57" s="6" t="s">
        <v>407</v>
      </c>
    </row>
  </sheetData>
  <mergeCells count="23">
    <mergeCell ref="A51:K51"/>
    <mergeCell ref="A50:M50"/>
    <mergeCell ref="A13:A21"/>
    <mergeCell ref="B13:B15"/>
    <mergeCell ref="B16:B18"/>
    <mergeCell ref="B19:B21"/>
    <mergeCell ref="A22:A30"/>
    <mergeCell ref="B22:B24"/>
    <mergeCell ref="B25:B27"/>
    <mergeCell ref="B28:B30"/>
    <mergeCell ref="A31:A39"/>
    <mergeCell ref="B31:B33"/>
    <mergeCell ref="B34:B36"/>
    <mergeCell ref="B37:B39"/>
    <mergeCell ref="A40:A48"/>
    <mergeCell ref="B40:B42"/>
    <mergeCell ref="B43:B45"/>
    <mergeCell ref="B46:B48"/>
    <mergeCell ref="A1:M1"/>
    <mergeCell ref="A4:A12"/>
    <mergeCell ref="B4:B6"/>
    <mergeCell ref="B7:B9"/>
    <mergeCell ref="B10:B12"/>
  </mergeCells>
  <pageMargins left="0.08" right="0.08" top="1" bottom="1" header="0.5" footer="0.5"/>
  <pageSetup orientation="landscape" blackAndWhite="1"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V23"/>
  <sheetViews>
    <sheetView zoomScaleNormal="100" workbookViewId="0">
      <selection sqref="A1:K1"/>
    </sheetView>
  </sheetViews>
  <sheetFormatPr defaultColWidth="9.140625" defaultRowHeight="15" x14ac:dyDescent="0.25"/>
  <cols>
    <col min="1" max="1" width="11.42578125" style="1" bestFit="1" customWidth="1"/>
    <col min="2" max="2" width="26.42578125" style="1" customWidth="1"/>
    <col min="3" max="11" width="11.42578125" style="1" bestFit="1" customWidth="1"/>
    <col min="12" max="16384" width="9.140625" style="1"/>
  </cols>
  <sheetData>
    <row r="1" spans="1:22" ht="21.75" customHeight="1" x14ac:dyDescent="0.25">
      <c r="A1" s="185" t="s">
        <v>324</v>
      </c>
      <c r="B1" s="185"/>
      <c r="C1" s="185"/>
      <c r="D1" s="185"/>
      <c r="E1" s="185"/>
      <c r="F1" s="185"/>
      <c r="G1" s="185"/>
      <c r="H1" s="185"/>
      <c r="I1" s="185"/>
      <c r="J1" s="185"/>
      <c r="K1" s="185"/>
    </row>
    <row r="2" spans="1:22" ht="1.5" customHeight="1" x14ac:dyDescent="0.25">
      <c r="A2" s="2"/>
    </row>
    <row r="3" spans="1:22" x14ac:dyDescent="0.25">
      <c r="A3" s="31" t="s">
        <v>122</v>
      </c>
      <c r="B3" s="31" t="s">
        <v>123</v>
      </c>
      <c r="C3" s="3" t="s">
        <v>0</v>
      </c>
      <c r="D3" s="3" t="s">
        <v>1</v>
      </c>
      <c r="E3" s="3" t="s">
        <v>2</v>
      </c>
      <c r="F3" s="3" t="s">
        <v>3</v>
      </c>
      <c r="G3" s="3" t="s">
        <v>4</v>
      </c>
      <c r="H3" s="3" t="s">
        <v>5</v>
      </c>
      <c r="I3" s="3" t="s">
        <v>6</v>
      </c>
      <c r="J3" s="3" t="s">
        <v>7</v>
      </c>
      <c r="K3" s="3" t="s">
        <v>8</v>
      </c>
    </row>
    <row r="4" spans="1:22" x14ac:dyDescent="0.25">
      <c r="A4" s="197" t="s">
        <v>191</v>
      </c>
      <c r="B4" s="4" t="s">
        <v>44</v>
      </c>
      <c r="C4" s="8">
        <v>630</v>
      </c>
      <c r="D4" s="8">
        <v>382</v>
      </c>
      <c r="E4" s="8">
        <v>684</v>
      </c>
      <c r="F4" s="8">
        <v>309</v>
      </c>
      <c r="G4" s="8">
        <v>147</v>
      </c>
      <c r="H4" s="8">
        <v>61</v>
      </c>
      <c r="I4" s="8">
        <v>38</v>
      </c>
      <c r="J4" s="8">
        <v>87</v>
      </c>
      <c r="K4" s="8">
        <v>2338</v>
      </c>
      <c r="M4" s="120"/>
      <c r="N4" s="120"/>
    </row>
    <row r="5" spans="1:22" x14ac:dyDescent="0.25">
      <c r="A5" s="197"/>
      <c r="B5" s="4" t="s">
        <v>45</v>
      </c>
      <c r="C5" s="8">
        <v>1390</v>
      </c>
      <c r="D5" s="8">
        <v>1073</v>
      </c>
      <c r="E5" s="8">
        <v>1902</v>
      </c>
      <c r="F5" s="8">
        <v>846</v>
      </c>
      <c r="G5" s="8">
        <v>297</v>
      </c>
      <c r="H5" s="8">
        <v>155</v>
      </c>
      <c r="I5" s="8">
        <v>79</v>
      </c>
      <c r="J5" s="8">
        <v>247</v>
      </c>
      <c r="K5" s="8">
        <v>5989</v>
      </c>
      <c r="M5" s="120"/>
      <c r="N5" s="120"/>
    </row>
    <row r="6" spans="1:22" x14ac:dyDescent="0.25">
      <c r="A6" s="197"/>
      <c r="B6" s="9" t="s">
        <v>11</v>
      </c>
      <c r="C6" s="94">
        <v>2020</v>
      </c>
      <c r="D6" s="94">
        <v>1455</v>
      </c>
      <c r="E6" s="94">
        <v>2586</v>
      </c>
      <c r="F6" s="94">
        <v>1155</v>
      </c>
      <c r="G6" s="94">
        <v>444</v>
      </c>
      <c r="H6" s="94">
        <v>216</v>
      </c>
      <c r="I6" s="94">
        <v>117</v>
      </c>
      <c r="J6" s="94">
        <v>334</v>
      </c>
      <c r="K6" s="94">
        <v>8327</v>
      </c>
      <c r="M6" s="120"/>
      <c r="N6" s="120"/>
      <c r="O6" s="120"/>
      <c r="P6" s="120"/>
      <c r="Q6" s="120"/>
      <c r="R6" s="120"/>
      <c r="S6" s="120"/>
      <c r="T6" s="120"/>
      <c r="U6" s="120"/>
    </row>
    <row r="7" spans="1:22" x14ac:dyDescent="0.25">
      <c r="A7" s="197" t="s">
        <v>192</v>
      </c>
      <c r="B7" s="4" t="s">
        <v>44</v>
      </c>
      <c r="C7" s="8">
        <v>517</v>
      </c>
      <c r="D7" s="8">
        <v>344</v>
      </c>
      <c r="E7" s="8">
        <v>622</v>
      </c>
      <c r="F7" s="8">
        <v>444</v>
      </c>
      <c r="G7" s="8">
        <v>163</v>
      </c>
      <c r="H7" s="8">
        <v>51</v>
      </c>
      <c r="I7" s="8">
        <v>35</v>
      </c>
      <c r="J7" s="8">
        <v>129</v>
      </c>
      <c r="K7" s="8">
        <v>2305</v>
      </c>
      <c r="M7" s="120"/>
      <c r="N7" s="120"/>
      <c r="O7" s="120"/>
      <c r="P7" s="120"/>
      <c r="Q7" s="120"/>
      <c r="R7" s="120"/>
      <c r="S7" s="120"/>
      <c r="T7" s="120"/>
      <c r="U7" s="120"/>
    </row>
    <row r="8" spans="1:22" x14ac:dyDescent="0.25">
      <c r="A8" s="197"/>
      <c r="B8" s="4" t="s">
        <v>45</v>
      </c>
      <c r="C8" s="8">
        <v>1349</v>
      </c>
      <c r="D8" s="8">
        <v>944</v>
      </c>
      <c r="E8" s="8">
        <v>1870</v>
      </c>
      <c r="F8" s="8">
        <v>757</v>
      </c>
      <c r="G8" s="8">
        <v>280</v>
      </c>
      <c r="H8" s="8">
        <v>129</v>
      </c>
      <c r="I8" s="8">
        <v>81</v>
      </c>
      <c r="J8" s="8">
        <v>269</v>
      </c>
      <c r="K8" s="8">
        <v>5679</v>
      </c>
      <c r="M8" s="120"/>
      <c r="N8" s="120"/>
      <c r="O8" s="120"/>
      <c r="P8" s="120"/>
      <c r="Q8" s="120"/>
      <c r="R8" s="120"/>
      <c r="S8" s="120"/>
      <c r="T8" s="120"/>
      <c r="U8" s="120"/>
    </row>
    <row r="9" spans="1:22" x14ac:dyDescent="0.25">
      <c r="A9" s="197"/>
      <c r="B9" s="9" t="s">
        <v>11</v>
      </c>
      <c r="C9" s="94">
        <v>1866</v>
      </c>
      <c r="D9" s="94">
        <v>1288</v>
      </c>
      <c r="E9" s="94">
        <v>2492</v>
      </c>
      <c r="F9" s="94">
        <v>1201</v>
      </c>
      <c r="G9" s="94">
        <v>443</v>
      </c>
      <c r="H9" s="94">
        <v>180</v>
      </c>
      <c r="I9" s="94">
        <v>116</v>
      </c>
      <c r="J9" s="94">
        <v>398</v>
      </c>
      <c r="K9" s="94">
        <v>7984</v>
      </c>
      <c r="M9" s="120"/>
      <c r="N9" s="120"/>
      <c r="O9" s="120"/>
      <c r="P9" s="120"/>
      <c r="Q9" s="120"/>
      <c r="R9" s="120"/>
      <c r="S9" s="120"/>
      <c r="T9" s="120"/>
      <c r="U9" s="120"/>
      <c r="V9" s="120"/>
    </row>
    <row r="10" spans="1:22" x14ac:dyDescent="0.25">
      <c r="A10" s="197" t="s">
        <v>193</v>
      </c>
      <c r="B10" s="4" t="s">
        <v>44</v>
      </c>
      <c r="C10" s="8">
        <v>547</v>
      </c>
      <c r="D10" s="8">
        <v>364</v>
      </c>
      <c r="E10" s="8">
        <v>702</v>
      </c>
      <c r="F10" s="8">
        <v>493</v>
      </c>
      <c r="G10" s="8">
        <v>238</v>
      </c>
      <c r="H10" s="8">
        <v>60</v>
      </c>
      <c r="I10" s="8">
        <v>51</v>
      </c>
      <c r="J10" s="8">
        <v>172</v>
      </c>
      <c r="K10" s="8">
        <v>2627</v>
      </c>
      <c r="M10" s="120"/>
      <c r="N10" s="120"/>
      <c r="O10" s="120"/>
      <c r="P10" s="120"/>
      <c r="Q10" s="120"/>
      <c r="R10" s="120"/>
      <c r="S10" s="120"/>
      <c r="T10" s="120"/>
      <c r="U10" s="120"/>
      <c r="V10" s="120"/>
    </row>
    <row r="11" spans="1:22" x14ac:dyDescent="0.25">
      <c r="A11" s="197"/>
      <c r="B11" s="4" t="s">
        <v>45</v>
      </c>
      <c r="C11" s="8">
        <v>1199</v>
      </c>
      <c r="D11" s="8">
        <v>738</v>
      </c>
      <c r="E11" s="8">
        <v>1766</v>
      </c>
      <c r="F11" s="8">
        <v>800</v>
      </c>
      <c r="G11" s="8">
        <v>302</v>
      </c>
      <c r="H11" s="8">
        <v>124</v>
      </c>
      <c r="I11" s="8">
        <v>73</v>
      </c>
      <c r="J11" s="8">
        <v>362</v>
      </c>
      <c r="K11" s="8">
        <v>5364</v>
      </c>
      <c r="M11" s="120"/>
      <c r="N11" s="120"/>
      <c r="O11" s="120"/>
      <c r="P11" s="120"/>
      <c r="Q11" s="120"/>
      <c r="R11" s="120"/>
      <c r="S11" s="120"/>
      <c r="T11" s="120"/>
      <c r="U11" s="120"/>
    </row>
    <row r="12" spans="1:22" x14ac:dyDescent="0.25">
      <c r="A12" s="197"/>
      <c r="B12" s="9" t="s">
        <v>11</v>
      </c>
      <c r="C12" s="94">
        <v>1746</v>
      </c>
      <c r="D12" s="94">
        <v>1102</v>
      </c>
      <c r="E12" s="94">
        <v>2468</v>
      </c>
      <c r="F12" s="94">
        <v>1293</v>
      </c>
      <c r="G12" s="94">
        <v>540</v>
      </c>
      <c r="H12" s="94">
        <v>184</v>
      </c>
      <c r="I12" s="94">
        <v>124</v>
      </c>
      <c r="J12" s="94">
        <v>534</v>
      </c>
      <c r="K12" s="94">
        <v>7991</v>
      </c>
      <c r="M12" s="120"/>
      <c r="N12" s="120"/>
      <c r="O12" s="120"/>
      <c r="P12" s="120"/>
      <c r="Q12" s="120"/>
      <c r="R12" s="120"/>
      <c r="S12" s="120"/>
      <c r="T12" s="120"/>
      <c r="U12" s="120"/>
      <c r="V12" s="120"/>
    </row>
    <row r="13" spans="1:22" x14ac:dyDescent="0.25">
      <c r="A13" s="197" t="s">
        <v>194</v>
      </c>
      <c r="B13" s="4" t="s">
        <v>44</v>
      </c>
      <c r="C13" s="8">
        <v>539</v>
      </c>
      <c r="D13" s="8">
        <v>310</v>
      </c>
      <c r="E13" s="8">
        <v>705</v>
      </c>
      <c r="F13" s="8">
        <v>426</v>
      </c>
      <c r="G13" s="8">
        <v>171</v>
      </c>
      <c r="H13" s="8">
        <v>77</v>
      </c>
      <c r="I13" s="8">
        <v>57</v>
      </c>
      <c r="J13" s="8">
        <v>248</v>
      </c>
      <c r="K13" s="8">
        <v>2533</v>
      </c>
      <c r="M13" s="120"/>
      <c r="N13" s="120"/>
      <c r="O13" s="120"/>
      <c r="P13" s="120"/>
      <c r="Q13" s="120"/>
      <c r="R13" s="120"/>
      <c r="S13" s="120"/>
      <c r="T13" s="120"/>
      <c r="U13" s="120"/>
      <c r="V13" s="120"/>
    </row>
    <row r="14" spans="1:22" x14ac:dyDescent="0.25">
      <c r="A14" s="197"/>
      <c r="B14" s="4" t="s">
        <v>45</v>
      </c>
      <c r="C14" s="8">
        <v>1173</v>
      </c>
      <c r="D14" s="8">
        <v>628</v>
      </c>
      <c r="E14" s="8">
        <v>1767</v>
      </c>
      <c r="F14" s="8">
        <v>850</v>
      </c>
      <c r="G14" s="8">
        <v>389</v>
      </c>
      <c r="H14" s="8">
        <v>129</v>
      </c>
      <c r="I14" s="8">
        <v>95</v>
      </c>
      <c r="J14" s="8">
        <v>500</v>
      </c>
      <c r="K14" s="8">
        <v>5531</v>
      </c>
      <c r="M14" s="120"/>
      <c r="N14" s="120"/>
      <c r="O14" s="120"/>
      <c r="P14" s="120"/>
      <c r="Q14" s="120"/>
      <c r="R14" s="120"/>
      <c r="S14" s="120"/>
      <c r="T14" s="120"/>
      <c r="U14" s="120"/>
    </row>
    <row r="15" spans="1:22" x14ac:dyDescent="0.25">
      <c r="A15" s="197"/>
      <c r="B15" s="9" t="s">
        <v>11</v>
      </c>
      <c r="C15" s="94">
        <v>1712</v>
      </c>
      <c r="D15" s="94">
        <v>938</v>
      </c>
      <c r="E15" s="94">
        <v>2472</v>
      </c>
      <c r="F15" s="94">
        <v>1276</v>
      </c>
      <c r="G15" s="94">
        <v>560</v>
      </c>
      <c r="H15" s="94">
        <v>206</v>
      </c>
      <c r="I15" s="94">
        <v>152</v>
      </c>
      <c r="J15" s="94">
        <v>748</v>
      </c>
      <c r="K15" s="94">
        <v>8064</v>
      </c>
      <c r="M15" s="120"/>
      <c r="N15" s="120"/>
      <c r="O15" s="120"/>
      <c r="P15" s="120"/>
      <c r="Q15" s="120"/>
      <c r="R15" s="120"/>
      <c r="S15" s="120"/>
      <c r="T15" s="120"/>
      <c r="U15" s="120"/>
      <c r="V15" s="120"/>
    </row>
    <row r="16" spans="1:22" x14ac:dyDescent="0.25">
      <c r="A16" s="197" t="s">
        <v>284</v>
      </c>
      <c r="B16" s="4" t="s">
        <v>44</v>
      </c>
      <c r="C16" s="8">
        <v>524</v>
      </c>
      <c r="D16" s="8">
        <v>435</v>
      </c>
      <c r="E16" s="8">
        <v>716</v>
      </c>
      <c r="F16" s="8">
        <v>381</v>
      </c>
      <c r="G16" s="8">
        <v>197</v>
      </c>
      <c r="H16" s="8">
        <v>93</v>
      </c>
      <c r="I16" s="8">
        <v>43</v>
      </c>
      <c r="J16" s="8">
        <v>245</v>
      </c>
      <c r="K16" s="8">
        <v>2634</v>
      </c>
      <c r="L16" s="120"/>
      <c r="M16" s="120"/>
      <c r="N16" s="120"/>
      <c r="O16" s="120"/>
      <c r="P16" s="120"/>
      <c r="Q16" s="120"/>
      <c r="R16" s="120"/>
      <c r="S16" s="120"/>
      <c r="T16" s="120"/>
      <c r="U16" s="120"/>
      <c r="V16" s="120"/>
    </row>
    <row r="17" spans="1:22" x14ac:dyDescent="0.25">
      <c r="A17" s="197"/>
      <c r="B17" s="4" t="s">
        <v>45</v>
      </c>
      <c r="C17" s="8">
        <v>1217</v>
      </c>
      <c r="D17" s="8">
        <v>564</v>
      </c>
      <c r="E17" s="8">
        <v>1740</v>
      </c>
      <c r="F17" s="8">
        <v>796</v>
      </c>
      <c r="G17" s="8">
        <v>325</v>
      </c>
      <c r="H17" s="8">
        <v>164</v>
      </c>
      <c r="I17" s="8">
        <v>111</v>
      </c>
      <c r="J17" s="8">
        <v>750</v>
      </c>
      <c r="K17" s="8">
        <v>5667</v>
      </c>
      <c r="M17" s="120"/>
      <c r="N17" s="120"/>
      <c r="O17" s="120"/>
      <c r="P17" s="120"/>
      <c r="Q17" s="120"/>
      <c r="R17" s="120"/>
      <c r="S17" s="120"/>
      <c r="T17" s="120"/>
      <c r="U17" s="120"/>
      <c r="V17" s="120"/>
    </row>
    <row r="18" spans="1:22" x14ac:dyDescent="0.25">
      <c r="A18" s="197"/>
      <c r="B18" s="9" t="s">
        <v>11</v>
      </c>
      <c r="C18" s="94">
        <v>1741</v>
      </c>
      <c r="D18" s="94">
        <v>999</v>
      </c>
      <c r="E18" s="94">
        <v>2456</v>
      </c>
      <c r="F18" s="94">
        <v>1177</v>
      </c>
      <c r="G18" s="94">
        <v>522</v>
      </c>
      <c r="H18" s="94">
        <v>257</v>
      </c>
      <c r="I18" s="94">
        <v>154</v>
      </c>
      <c r="J18" s="94">
        <v>995</v>
      </c>
      <c r="K18" s="94">
        <v>8301</v>
      </c>
      <c r="M18" s="120"/>
      <c r="N18" s="120"/>
      <c r="O18" s="120"/>
      <c r="P18" s="120"/>
      <c r="Q18" s="120"/>
      <c r="R18" s="120"/>
      <c r="S18" s="120"/>
      <c r="T18" s="120"/>
      <c r="U18" s="120"/>
    </row>
    <row r="19" spans="1:22" ht="2.25" customHeight="1" x14ac:dyDescent="0.25">
      <c r="A19" s="91"/>
      <c r="B19" s="91"/>
      <c r="C19" s="91"/>
      <c r="D19" s="91"/>
      <c r="E19" s="91"/>
      <c r="F19" s="91"/>
      <c r="G19" s="91"/>
      <c r="H19" s="91"/>
      <c r="I19" s="91"/>
      <c r="J19" s="91"/>
      <c r="K19" s="91"/>
      <c r="M19" s="120"/>
      <c r="N19" s="120"/>
    </row>
    <row r="20" spans="1:22" ht="11.1" customHeight="1" x14ac:dyDescent="0.25">
      <c r="A20" s="6" t="s">
        <v>42</v>
      </c>
    </row>
    <row r="21" spans="1:22" s="6" customFormat="1" ht="11.1" customHeight="1" x14ac:dyDescent="0.15"/>
    <row r="22" spans="1:22" s="6" customFormat="1" ht="11.1" customHeight="1" x14ac:dyDescent="0.15">
      <c r="A22" s="6" t="s">
        <v>263</v>
      </c>
    </row>
    <row r="23" spans="1:22" ht="12" customHeight="1" x14ac:dyDescent="0.25">
      <c r="A23" s="2"/>
    </row>
  </sheetData>
  <mergeCells count="6">
    <mergeCell ref="A16:A18"/>
    <mergeCell ref="A1:K1"/>
    <mergeCell ref="A4:A6"/>
    <mergeCell ref="A7:A9"/>
    <mergeCell ref="A10:A12"/>
    <mergeCell ref="A13:A15"/>
  </mergeCells>
  <pageMargins left="0.08" right="0.08" top="1" bottom="1" header="0.5" footer="0.5"/>
  <pageSetup orientation="landscape" blackAndWhite="1"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N22"/>
  <sheetViews>
    <sheetView zoomScaleNormal="100" workbookViewId="0">
      <selection activeCell="H23" sqref="H23"/>
    </sheetView>
  </sheetViews>
  <sheetFormatPr defaultColWidth="9.140625" defaultRowHeight="15" x14ac:dyDescent="0.25"/>
  <cols>
    <col min="1" max="1" width="9.42578125" style="1" customWidth="1"/>
    <col min="2" max="2" width="23" style="1" customWidth="1"/>
    <col min="3" max="6" width="16.42578125" style="1" customWidth="1"/>
    <col min="7" max="16384" width="9.140625" style="1"/>
  </cols>
  <sheetData>
    <row r="1" spans="1:14" ht="27.75" customHeight="1" x14ac:dyDescent="0.25">
      <c r="A1" s="189" t="s">
        <v>304</v>
      </c>
      <c r="B1" s="189"/>
      <c r="C1" s="189"/>
      <c r="D1" s="189"/>
      <c r="E1" s="189"/>
      <c r="F1" s="189"/>
    </row>
    <row r="2" spans="1:14" ht="1.5" customHeight="1" x14ac:dyDescent="0.25">
      <c r="A2" s="2"/>
    </row>
    <row r="3" spans="1:14" x14ac:dyDescent="0.25">
      <c r="A3" s="31" t="s">
        <v>122</v>
      </c>
      <c r="B3" s="31" t="s">
        <v>123</v>
      </c>
      <c r="C3" s="3" t="s">
        <v>18</v>
      </c>
      <c r="D3" s="3" t="s">
        <v>19</v>
      </c>
      <c r="E3" s="3" t="s">
        <v>20</v>
      </c>
      <c r="F3" s="10" t="s">
        <v>11</v>
      </c>
    </row>
    <row r="4" spans="1:14" x14ac:dyDescent="0.25">
      <c r="A4" s="197" t="s">
        <v>191</v>
      </c>
      <c r="B4" s="4" t="s">
        <v>44</v>
      </c>
      <c r="C4" s="8">
        <v>931</v>
      </c>
      <c r="D4" s="8">
        <v>1325</v>
      </c>
      <c r="E4" s="8">
        <v>82</v>
      </c>
      <c r="F4" s="8">
        <v>2338</v>
      </c>
      <c r="H4" s="8"/>
      <c r="I4" s="8"/>
      <c r="J4" s="8"/>
      <c r="K4" s="8"/>
      <c r="N4" s="120"/>
    </row>
    <row r="5" spans="1:14" x14ac:dyDescent="0.25">
      <c r="A5" s="197"/>
      <c r="B5" s="4" t="s">
        <v>45</v>
      </c>
      <c r="C5" s="8">
        <v>2873</v>
      </c>
      <c r="D5" s="8">
        <v>3046</v>
      </c>
      <c r="E5" s="8">
        <v>70</v>
      </c>
      <c r="F5" s="8">
        <v>5989</v>
      </c>
      <c r="H5" s="8"/>
      <c r="I5" s="8"/>
      <c r="J5" s="8"/>
      <c r="K5" s="8"/>
    </row>
    <row r="6" spans="1:14" x14ac:dyDescent="0.25">
      <c r="A6" s="197"/>
      <c r="B6" s="9" t="s">
        <v>11</v>
      </c>
      <c r="C6" s="94">
        <v>3804</v>
      </c>
      <c r="D6" s="94">
        <v>4371</v>
      </c>
      <c r="E6" s="94">
        <v>152</v>
      </c>
      <c r="F6" s="94">
        <v>8327</v>
      </c>
      <c r="H6" s="8"/>
      <c r="I6" s="8"/>
      <c r="J6" s="8"/>
      <c r="K6" s="8"/>
      <c r="L6" s="120"/>
    </row>
    <row r="7" spans="1:14" x14ac:dyDescent="0.25">
      <c r="A7" s="197" t="s">
        <v>192</v>
      </c>
      <c r="B7" s="4" t="s">
        <v>44</v>
      </c>
      <c r="C7" s="8">
        <v>1071</v>
      </c>
      <c r="D7" s="8">
        <v>1186</v>
      </c>
      <c r="E7" s="8">
        <v>48</v>
      </c>
      <c r="F7" s="8">
        <v>2305</v>
      </c>
      <c r="H7" s="8"/>
      <c r="I7" s="8"/>
      <c r="J7" s="8"/>
      <c r="K7" s="8"/>
    </row>
    <row r="8" spans="1:14" x14ac:dyDescent="0.25">
      <c r="A8" s="197"/>
      <c r="B8" s="4" t="s">
        <v>45</v>
      </c>
      <c r="C8" s="8">
        <v>2781</v>
      </c>
      <c r="D8" s="8">
        <v>2829</v>
      </c>
      <c r="E8" s="8">
        <v>69</v>
      </c>
      <c r="F8" s="8">
        <v>5679</v>
      </c>
      <c r="H8" s="8"/>
      <c r="I8" s="8"/>
      <c r="J8" s="8"/>
      <c r="K8" s="8"/>
    </row>
    <row r="9" spans="1:14" x14ac:dyDescent="0.25">
      <c r="A9" s="197"/>
      <c r="B9" s="9" t="s">
        <v>11</v>
      </c>
      <c r="C9" s="94">
        <v>3852</v>
      </c>
      <c r="D9" s="94">
        <v>4015</v>
      </c>
      <c r="E9" s="94">
        <v>117</v>
      </c>
      <c r="F9" s="94">
        <v>7984</v>
      </c>
      <c r="H9" s="8"/>
      <c r="I9" s="8"/>
      <c r="J9" s="8"/>
      <c r="K9" s="8"/>
    </row>
    <row r="10" spans="1:14" x14ac:dyDescent="0.25">
      <c r="A10" s="197" t="s">
        <v>193</v>
      </c>
      <c r="B10" s="4" t="s">
        <v>44</v>
      </c>
      <c r="C10" s="8">
        <v>1233</v>
      </c>
      <c r="D10" s="8">
        <v>1315</v>
      </c>
      <c r="E10" s="8">
        <v>79</v>
      </c>
      <c r="F10" s="8">
        <v>2627</v>
      </c>
      <c r="H10" s="8"/>
      <c r="I10" s="8"/>
      <c r="J10" s="8"/>
      <c r="K10" s="8"/>
    </row>
    <row r="11" spans="1:14" x14ac:dyDescent="0.25">
      <c r="A11" s="197"/>
      <c r="B11" s="4" t="s">
        <v>45</v>
      </c>
      <c r="C11" s="8">
        <v>2931</v>
      </c>
      <c r="D11" s="8">
        <v>2391</v>
      </c>
      <c r="E11" s="8">
        <v>42</v>
      </c>
      <c r="F11" s="8">
        <v>5364</v>
      </c>
      <c r="H11" s="8"/>
      <c r="I11" s="8"/>
      <c r="J11" s="8"/>
      <c r="K11" s="8"/>
    </row>
    <row r="12" spans="1:14" x14ac:dyDescent="0.25">
      <c r="A12" s="197"/>
      <c r="B12" s="9" t="s">
        <v>11</v>
      </c>
      <c r="C12" s="94">
        <v>4164</v>
      </c>
      <c r="D12" s="94">
        <v>3706</v>
      </c>
      <c r="E12" s="94">
        <v>121</v>
      </c>
      <c r="F12" s="94">
        <v>7991</v>
      </c>
      <c r="H12" s="8"/>
      <c r="I12" s="8"/>
      <c r="J12" s="8"/>
      <c r="K12" s="8"/>
    </row>
    <row r="13" spans="1:14" x14ac:dyDescent="0.25">
      <c r="A13" s="197" t="s">
        <v>194</v>
      </c>
      <c r="B13" s="4" t="s">
        <v>44</v>
      </c>
      <c r="C13" s="8">
        <v>1259</v>
      </c>
      <c r="D13" s="8">
        <v>1220</v>
      </c>
      <c r="E13" s="8">
        <v>54</v>
      </c>
      <c r="F13" s="8">
        <v>2533</v>
      </c>
      <c r="H13" s="8"/>
      <c r="I13" s="8"/>
      <c r="J13" s="8"/>
      <c r="K13" s="8"/>
    </row>
    <row r="14" spans="1:14" x14ac:dyDescent="0.25">
      <c r="A14" s="197"/>
      <c r="B14" s="4" t="s">
        <v>45</v>
      </c>
      <c r="C14" s="8">
        <v>3177</v>
      </c>
      <c r="D14" s="8">
        <v>2290</v>
      </c>
      <c r="E14" s="8">
        <v>64</v>
      </c>
      <c r="F14" s="8">
        <v>5531</v>
      </c>
      <c r="H14" s="8"/>
      <c r="I14" s="8"/>
      <c r="J14" s="8"/>
      <c r="K14" s="8"/>
    </row>
    <row r="15" spans="1:14" x14ac:dyDescent="0.25">
      <c r="A15" s="197"/>
      <c r="B15" s="9" t="s">
        <v>11</v>
      </c>
      <c r="C15" s="94">
        <v>4436</v>
      </c>
      <c r="D15" s="94">
        <v>3510</v>
      </c>
      <c r="E15" s="94">
        <v>118</v>
      </c>
      <c r="F15" s="94">
        <v>8064</v>
      </c>
      <c r="H15" s="8"/>
      <c r="I15" s="8"/>
      <c r="J15" s="8"/>
      <c r="K15" s="8"/>
    </row>
    <row r="16" spans="1:14" x14ac:dyDescent="0.25">
      <c r="A16" s="197" t="s">
        <v>284</v>
      </c>
      <c r="B16" s="4" t="s">
        <v>44</v>
      </c>
      <c r="C16" s="8">
        <v>1260</v>
      </c>
      <c r="D16" s="8">
        <v>1292</v>
      </c>
      <c r="E16" s="8">
        <v>82</v>
      </c>
      <c r="F16" s="8">
        <v>2634</v>
      </c>
      <c r="H16" s="8"/>
      <c r="I16" s="8"/>
      <c r="J16" s="8"/>
      <c r="K16" s="8"/>
    </row>
    <row r="17" spans="1:13" x14ac:dyDescent="0.25">
      <c r="A17" s="197"/>
      <c r="B17" s="4" t="s">
        <v>45</v>
      </c>
      <c r="C17" s="8">
        <v>3424</v>
      </c>
      <c r="D17" s="8">
        <v>2185</v>
      </c>
      <c r="E17" s="8">
        <v>58</v>
      </c>
      <c r="F17" s="8">
        <v>5667</v>
      </c>
      <c r="H17" s="8"/>
      <c r="I17" s="8"/>
      <c r="J17" s="8"/>
      <c r="K17" s="8"/>
    </row>
    <row r="18" spans="1:13" x14ac:dyDescent="0.25">
      <c r="A18" s="197"/>
      <c r="B18" s="9" t="s">
        <v>11</v>
      </c>
      <c r="C18" s="94">
        <v>4684</v>
      </c>
      <c r="D18" s="94">
        <v>3477</v>
      </c>
      <c r="E18" s="94">
        <v>140</v>
      </c>
      <c r="F18" s="94">
        <v>8301</v>
      </c>
      <c r="H18" s="8"/>
      <c r="I18" s="8"/>
      <c r="J18" s="8"/>
      <c r="K18" s="8"/>
    </row>
    <row r="19" spans="1:13" ht="2.25" customHeight="1" x14ac:dyDescent="0.25">
      <c r="A19" s="33"/>
      <c r="B19" s="33"/>
      <c r="C19" s="33"/>
      <c r="D19" s="33"/>
      <c r="E19" s="33"/>
      <c r="F19" s="33"/>
    </row>
    <row r="20" spans="1:13" x14ac:dyDescent="0.25">
      <c r="A20" s="6" t="s">
        <v>42</v>
      </c>
    </row>
    <row r="21" spans="1:13" ht="9" customHeight="1" x14ac:dyDescent="0.25">
      <c r="A21" s="6"/>
      <c r="B21" s="6"/>
      <c r="C21" s="6"/>
      <c r="D21" s="6"/>
      <c r="E21" s="6"/>
      <c r="F21" s="6"/>
      <c r="G21" s="6"/>
      <c r="H21" s="6"/>
      <c r="I21" s="6"/>
      <c r="J21" s="6"/>
      <c r="K21" s="6"/>
      <c r="L21" s="6"/>
      <c r="M21" s="6"/>
    </row>
    <row r="22" spans="1:13" x14ac:dyDescent="0.25">
      <c r="A22" s="6" t="s">
        <v>263</v>
      </c>
      <c r="B22" s="6"/>
      <c r="C22" s="6"/>
      <c r="D22" s="6"/>
      <c r="E22" s="6"/>
      <c r="F22" s="6"/>
      <c r="G22" s="6"/>
      <c r="H22" s="6"/>
      <c r="I22" s="6"/>
      <c r="J22" s="6"/>
      <c r="K22" s="6"/>
      <c r="L22" s="6"/>
      <c r="M22" s="6"/>
    </row>
  </sheetData>
  <mergeCells count="6">
    <mergeCell ref="A16:A18"/>
    <mergeCell ref="A1:F1"/>
    <mergeCell ref="A4:A6"/>
    <mergeCell ref="A7:A9"/>
    <mergeCell ref="A10:A12"/>
    <mergeCell ref="A13:A15"/>
  </mergeCells>
  <pageMargins left="0.08" right="0.08" top="1" bottom="1" header="0.5" footer="0.5"/>
  <pageSetup orientation="landscape" blackAndWhite="1"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Y32"/>
  <sheetViews>
    <sheetView zoomScaleNormal="100" workbookViewId="0">
      <selection sqref="A1:L1"/>
    </sheetView>
  </sheetViews>
  <sheetFormatPr defaultColWidth="9.140625" defaultRowHeight="15" x14ac:dyDescent="0.25"/>
  <cols>
    <col min="1" max="1" width="12.7109375" style="1" customWidth="1"/>
    <col min="2" max="2" width="20.7109375" style="1" customWidth="1"/>
    <col min="3" max="12" width="11.42578125" style="1" bestFit="1" customWidth="1"/>
    <col min="13" max="16384" width="9.140625" style="1"/>
  </cols>
  <sheetData>
    <row r="1" spans="1:25" x14ac:dyDescent="0.25">
      <c r="A1" s="185" t="s">
        <v>305</v>
      </c>
      <c r="B1" s="185"/>
      <c r="C1" s="185"/>
      <c r="D1" s="185"/>
      <c r="E1" s="185"/>
      <c r="F1" s="185"/>
      <c r="G1" s="185"/>
      <c r="H1" s="185"/>
      <c r="I1" s="185"/>
      <c r="J1" s="185"/>
      <c r="K1" s="185"/>
      <c r="L1" s="185"/>
    </row>
    <row r="2" spans="1:25" ht="1.5" customHeight="1" x14ac:dyDescent="0.25">
      <c r="A2" s="2"/>
    </row>
    <row r="3" spans="1:25" x14ac:dyDescent="0.25">
      <c r="A3" s="31" t="s">
        <v>119</v>
      </c>
      <c r="B3" s="31" t="s">
        <v>120</v>
      </c>
      <c r="C3" s="3">
        <v>10</v>
      </c>
      <c r="D3" s="3">
        <v>11</v>
      </c>
      <c r="E3" s="3">
        <v>12</v>
      </c>
      <c r="F3" s="3">
        <v>13</v>
      </c>
      <c r="G3" s="3">
        <v>14</v>
      </c>
      <c r="H3" s="3">
        <v>15</v>
      </c>
      <c r="I3" s="3">
        <v>16</v>
      </c>
      <c r="J3" s="3">
        <v>17</v>
      </c>
      <c r="K3" s="3" t="s">
        <v>10</v>
      </c>
      <c r="L3" s="10" t="s">
        <v>8</v>
      </c>
    </row>
    <row r="4" spans="1:25" x14ac:dyDescent="0.25">
      <c r="A4" s="197" t="s">
        <v>17</v>
      </c>
      <c r="B4" s="4" t="s">
        <v>18</v>
      </c>
      <c r="C4" s="8">
        <v>45</v>
      </c>
      <c r="D4" s="8">
        <v>139</v>
      </c>
      <c r="E4" s="8">
        <v>312</v>
      </c>
      <c r="F4" s="8">
        <v>558</v>
      </c>
      <c r="G4" s="8">
        <v>751</v>
      </c>
      <c r="H4" s="8">
        <v>725</v>
      </c>
      <c r="I4" s="8">
        <v>553</v>
      </c>
      <c r="J4" s="8">
        <v>385</v>
      </c>
      <c r="K4" s="8">
        <v>123</v>
      </c>
      <c r="L4" s="8">
        <v>3592</v>
      </c>
      <c r="N4" s="8"/>
      <c r="O4" s="8"/>
      <c r="P4" s="8"/>
      <c r="Q4" s="8"/>
      <c r="R4" s="8"/>
      <c r="S4" s="8"/>
      <c r="T4" s="8"/>
      <c r="U4" s="8"/>
      <c r="V4" s="8"/>
      <c r="W4" s="8"/>
      <c r="Y4" s="120"/>
    </row>
    <row r="5" spans="1:25" x14ac:dyDescent="0.25">
      <c r="A5" s="197"/>
      <c r="B5" s="4" t="s">
        <v>19</v>
      </c>
      <c r="C5" s="8">
        <v>6</v>
      </c>
      <c r="D5" s="8">
        <v>20</v>
      </c>
      <c r="E5" s="8">
        <v>81</v>
      </c>
      <c r="F5" s="8">
        <v>229</v>
      </c>
      <c r="G5" s="8">
        <v>489</v>
      </c>
      <c r="H5" s="8">
        <v>663</v>
      </c>
      <c r="I5" s="8">
        <v>595</v>
      </c>
      <c r="J5" s="8">
        <v>499</v>
      </c>
      <c r="K5" s="8">
        <v>243</v>
      </c>
      <c r="L5" s="8">
        <v>2825</v>
      </c>
      <c r="N5" s="8"/>
      <c r="O5" s="8"/>
      <c r="P5" s="8"/>
      <c r="Q5" s="8"/>
      <c r="R5" s="8"/>
      <c r="S5" s="8"/>
      <c r="T5" s="8"/>
      <c r="U5" s="8"/>
      <c r="V5" s="8"/>
      <c r="W5" s="8"/>
    </row>
    <row r="6" spans="1:25" x14ac:dyDescent="0.25">
      <c r="A6" s="197"/>
      <c r="B6" s="4" t="s">
        <v>20</v>
      </c>
      <c r="C6" s="8" t="s">
        <v>109</v>
      </c>
      <c r="D6" s="8">
        <v>1</v>
      </c>
      <c r="E6" s="8" t="s">
        <v>109</v>
      </c>
      <c r="F6" s="8">
        <v>2</v>
      </c>
      <c r="G6" s="8">
        <v>15</v>
      </c>
      <c r="H6" s="8">
        <v>26</v>
      </c>
      <c r="I6" s="8">
        <v>26</v>
      </c>
      <c r="J6" s="8">
        <v>37</v>
      </c>
      <c r="K6" s="8">
        <v>8</v>
      </c>
      <c r="L6" s="8">
        <v>115</v>
      </c>
      <c r="N6" s="8"/>
      <c r="O6" s="8"/>
      <c r="P6" s="8"/>
      <c r="Q6" s="8"/>
      <c r="R6" s="8"/>
      <c r="S6" s="8"/>
      <c r="T6" s="8"/>
      <c r="U6" s="8"/>
      <c r="V6" s="8"/>
      <c r="W6" s="8"/>
    </row>
    <row r="7" spans="1:25" x14ac:dyDescent="0.25">
      <c r="A7" s="197"/>
      <c r="B7" s="9" t="s">
        <v>11</v>
      </c>
      <c r="C7" s="94">
        <v>51</v>
      </c>
      <c r="D7" s="94">
        <v>160</v>
      </c>
      <c r="E7" s="94">
        <v>393</v>
      </c>
      <c r="F7" s="94">
        <v>789</v>
      </c>
      <c r="G7" s="94">
        <v>1255</v>
      </c>
      <c r="H7" s="94">
        <v>1414</v>
      </c>
      <c r="I7" s="94">
        <v>1174</v>
      </c>
      <c r="J7" s="94">
        <v>921</v>
      </c>
      <c r="K7" s="94">
        <v>374</v>
      </c>
      <c r="L7" s="94">
        <v>6532</v>
      </c>
      <c r="N7" s="94"/>
      <c r="O7" s="94"/>
      <c r="P7" s="94"/>
      <c r="Q7" s="94"/>
      <c r="R7" s="94"/>
      <c r="S7" s="94"/>
      <c r="T7" s="94"/>
      <c r="U7" s="94"/>
      <c r="V7" s="94"/>
      <c r="W7" s="94"/>
    </row>
    <row r="8" spans="1:25" x14ac:dyDescent="0.25">
      <c r="A8" s="197" t="s">
        <v>21</v>
      </c>
      <c r="B8" s="4" t="s">
        <v>18</v>
      </c>
      <c r="C8" s="8">
        <v>5</v>
      </c>
      <c r="D8" s="8">
        <v>18</v>
      </c>
      <c r="E8" s="8">
        <v>99</v>
      </c>
      <c r="F8" s="8">
        <v>193</v>
      </c>
      <c r="G8" s="8">
        <v>273</v>
      </c>
      <c r="H8" s="8">
        <v>221</v>
      </c>
      <c r="I8" s="8">
        <v>165</v>
      </c>
      <c r="J8" s="8">
        <v>87</v>
      </c>
      <c r="K8" s="8">
        <v>28</v>
      </c>
      <c r="L8" s="8">
        <v>1089</v>
      </c>
      <c r="N8" s="8"/>
      <c r="O8" s="8"/>
      <c r="P8" s="8"/>
      <c r="Q8" s="8"/>
      <c r="R8" s="8"/>
      <c r="S8" s="8"/>
      <c r="T8" s="8"/>
      <c r="U8" s="8"/>
      <c r="V8" s="8"/>
      <c r="W8" s="8"/>
    </row>
    <row r="9" spans="1:25" x14ac:dyDescent="0.25">
      <c r="A9" s="197"/>
      <c r="B9" s="4" t="s">
        <v>19</v>
      </c>
      <c r="C9" s="8">
        <v>1</v>
      </c>
      <c r="D9" s="8">
        <v>3</v>
      </c>
      <c r="E9" s="8">
        <v>29</v>
      </c>
      <c r="F9" s="8">
        <v>72</v>
      </c>
      <c r="G9" s="8">
        <v>146</v>
      </c>
      <c r="H9" s="8">
        <v>179</v>
      </c>
      <c r="I9" s="8">
        <v>99</v>
      </c>
      <c r="J9" s="8">
        <v>92</v>
      </c>
      <c r="K9" s="8">
        <v>25</v>
      </c>
      <c r="L9" s="8">
        <v>646</v>
      </c>
      <c r="N9" s="8"/>
      <c r="O9" s="8"/>
      <c r="P9" s="8"/>
      <c r="Q9" s="8"/>
      <c r="R9" s="8"/>
      <c r="S9" s="8"/>
      <c r="T9" s="8"/>
      <c r="U9" s="8"/>
      <c r="V9" s="8"/>
      <c r="W9" s="8"/>
    </row>
    <row r="10" spans="1:25" x14ac:dyDescent="0.25">
      <c r="A10" s="197"/>
      <c r="B10" s="4" t="s">
        <v>20</v>
      </c>
      <c r="C10" s="8" t="s">
        <v>109</v>
      </c>
      <c r="D10" s="8" t="s">
        <v>109</v>
      </c>
      <c r="E10" s="8">
        <v>3</v>
      </c>
      <c r="F10" s="8">
        <v>1</v>
      </c>
      <c r="G10" s="8">
        <v>3</v>
      </c>
      <c r="H10" s="8">
        <v>4</v>
      </c>
      <c r="I10" s="8">
        <v>9</v>
      </c>
      <c r="J10" s="8" t="s">
        <v>109</v>
      </c>
      <c r="K10" s="8">
        <v>1</v>
      </c>
      <c r="L10" s="8">
        <v>21</v>
      </c>
      <c r="N10" s="8"/>
      <c r="O10" s="8"/>
      <c r="P10" s="8"/>
      <c r="Q10" s="8"/>
      <c r="R10" s="8"/>
      <c r="S10" s="8"/>
      <c r="T10" s="8"/>
      <c r="U10" s="8"/>
      <c r="V10" s="8"/>
      <c r="W10" s="8"/>
    </row>
    <row r="11" spans="1:25" x14ac:dyDescent="0.25">
      <c r="A11" s="197"/>
      <c r="B11" s="9" t="s">
        <v>11</v>
      </c>
      <c r="C11" s="94">
        <v>6</v>
      </c>
      <c r="D11" s="94">
        <v>21</v>
      </c>
      <c r="E11" s="94">
        <v>131</v>
      </c>
      <c r="F11" s="94">
        <v>266</v>
      </c>
      <c r="G11" s="94">
        <v>422</v>
      </c>
      <c r="H11" s="94">
        <v>404</v>
      </c>
      <c r="I11" s="94">
        <v>273</v>
      </c>
      <c r="J11" s="94">
        <v>179</v>
      </c>
      <c r="K11" s="94">
        <v>54</v>
      </c>
      <c r="L11" s="94">
        <v>1756</v>
      </c>
      <c r="N11" s="94"/>
      <c r="O11" s="94"/>
      <c r="P11" s="94"/>
      <c r="Q11" s="94"/>
      <c r="R11" s="94"/>
      <c r="S11" s="94"/>
      <c r="T11" s="94"/>
      <c r="U11" s="94"/>
      <c r="V11" s="94"/>
      <c r="W11" s="94"/>
    </row>
    <row r="12" spans="1:25" x14ac:dyDescent="0.25">
      <c r="A12" s="197" t="s">
        <v>20</v>
      </c>
      <c r="B12" s="4" t="s">
        <v>18</v>
      </c>
      <c r="C12" s="8" t="s">
        <v>109</v>
      </c>
      <c r="D12" s="8" t="s">
        <v>109</v>
      </c>
      <c r="E12" s="8" t="s">
        <v>109</v>
      </c>
      <c r="F12" s="8" t="s">
        <v>109</v>
      </c>
      <c r="G12" s="8" t="s">
        <v>109</v>
      </c>
      <c r="H12" s="8">
        <v>1</v>
      </c>
      <c r="I12" s="8">
        <v>2</v>
      </c>
      <c r="J12" s="8" t="s">
        <v>109</v>
      </c>
      <c r="K12" s="8" t="s">
        <v>109</v>
      </c>
      <c r="L12" s="8">
        <v>3</v>
      </c>
      <c r="N12" s="8"/>
      <c r="O12" s="8"/>
      <c r="P12" s="8"/>
      <c r="Q12" s="8"/>
      <c r="R12" s="8"/>
      <c r="S12" s="8"/>
      <c r="T12" s="8"/>
      <c r="U12" s="8"/>
      <c r="V12" s="8"/>
      <c r="W12" s="8"/>
    </row>
    <row r="13" spans="1:25" x14ac:dyDescent="0.25">
      <c r="A13" s="197"/>
      <c r="B13" s="4" t="s">
        <v>19</v>
      </c>
      <c r="C13" s="8" t="s">
        <v>109</v>
      </c>
      <c r="D13" s="8" t="s">
        <v>109</v>
      </c>
      <c r="E13" s="8" t="s">
        <v>109</v>
      </c>
      <c r="F13" s="8">
        <v>1</v>
      </c>
      <c r="G13" s="8" t="s">
        <v>109</v>
      </c>
      <c r="H13" s="8" t="s">
        <v>109</v>
      </c>
      <c r="I13" s="8">
        <v>1</v>
      </c>
      <c r="J13" s="8">
        <v>4</v>
      </c>
      <c r="K13" s="8" t="s">
        <v>109</v>
      </c>
      <c r="L13" s="8">
        <v>6</v>
      </c>
      <c r="N13" s="8"/>
      <c r="O13" s="8"/>
      <c r="P13" s="8"/>
      <c r="Q13" s="8"/>
      <c r="R13" s="8"/>
      <c r="S13" s="8"/>
      <c r="T13" s="8"/>
      <c r="U13" s="8"/>
      <c r="V13" s="8"/>
      <c r="W13" s="8"/>
    </row>
    <row r="14" spans="1:25" x14ac:dyDescent="0.25">
      <c r="A14" s="197"/>
      <c r="B14" s="4" t="s">
        <v>20</v>
      </c>
      <c r="C14" s="8" t="s">
        <v>109</v>
      </c>
      <c r="D14" s="8">
        <v>1</v>
      </c>
      <c r="E14" s="8" t="s">
        <v>109</v>
      </c>
      <c r="F14" s="8" t="s">
        <v>109</v>
      </c>
      <c r="G14" s="8" t="s">
        <v>109</v>
      </c>
      <c r="H14" s="8">
        <v>1</v>
      </c>
      <c r="I14" s="8">
        <v>1</v>
      </c>
      <c r="J14" s="8">
        <v>1</v>
      </c>
      <c r="K14" s="8" t="s">
        <v>109</v>
      </c>
      <c r="L14" s="8">
        <v>4</v>
      </c>
      <c r="N14" s="8"/>
      <c r="O14" s="8"/>
      <c r="P14" s="8"/>
      <c r="Q14" s="8"/>
      <c r="R14" s="8"/>
      <c r="S14" s="8"/>
      <c r="T14" s="8"/>
      <c r="U14" s="8"/>
      <c r="V14" s="8"/>
      <c r="W14" s="8"/>
    </row>
    <row r="15" spans="1:25" x14ac:dyDescent="0.25">
      <c r="A15" s="197"/>
      <c r="B15" s="9" t="s">
        <v>11</v>
      </c>
      <c r="C15" s="8" t="s">
        <v>109</v>
      </c>
      <c r="D15" s="8">
        <v>1</v>
      </c>
      <c r="E15" s="8" t="s">
        <v>109</v>
      </c>
      <c r="F15" s="94">
        <v>1</v>
      </c>
      <c r="G15" s="8" t="s">
        <v>109</v>
      </c>
      <c r="H15" s="8">
        <v>2</v>
      </c>
      <c r="I15" s="94">
        <v>4</v>
      </c>
      <c r="J15" s="94">
        <v>5</v>
      </c>
      <c r="K15" s="94" t="s">
        <v>109</v>
      </c>
      <c r="L15" s="94">
        <v>13</v>
      </c>
      <c r="N15" s="8"/>
      <c r="O15" s="8"/>
      <c r="P15" s="8"/>
      <c r="Q15" s="94"/>
      <c r="R15" s="8"/>
      <c r="S15" s="8"/>
      <c r="T15" s="94"/>
      <c r="U15" s="94"/>
      <c r="V15" s="94"/>
      <c r="W15" s="94"/>
    </row>
    <row r="16" spans="1:25" x14ac:dyDescent="0.25">
      <c r="A16" s="196" t="s">
        <v>11</v>
      </c>
      <c r="B16" s="4" t="s">
        <v>18</v>
      </c>
      <c r="C16" s="8">
        <v>50</v>
      </c>
      <c r="D16" s="8">
        <v>157</v>
      </c>
      <c r="E16" s="8">
        <v>411</v>
      </c>
      <c r="F16" s="8">
        <v>751</v>
      </c>
      <c r="G16" s="8">
        <v>1024</v>
      </c>
      <c r="H16" s="8">
        <v>947</v>
      </c>
      <c r="I16" s="8">
        <v>720</v>
      </c>
      <c r="J16" s="8">
        <v>472</v>
      </c>
      <c r="K16" s="8">
        <v>151</v>
      </c>
      <c r="L16" s="8">
        <v>4684</v>
      </c>
      <c r="M16" s="120"/>
      <c r="N16" s="8"/>
      <c r="O16" s="8"/>
      <c r="P16" s="8"/>
      <c r="Q16" s="8"/>
      <c r="R16" s="8"/>
      <c r="S16" s="8"/>
      <c r="T16" s="8"/>
      <c r="U16" s="8"/>
      <c r="V16" s="8"/>
      <c r="W16" s="8"/>
    </row>
    <row r="17" spans="1:23" x14ac:dyDescent="0.25">
      <c r="A17" s="196"/>
      <c r="B17" s="4" t="s">
        <v>19</v>
      </c>
      <c r="C17" s="8">
        <v>7</v>
      </c>
      <c r="D17" s="8">
        <v>23</v>
      </c>
      <c r="E17" s="8">
        <v>110</v>
      </c>
      <c r="F17" s="8">
        <v>302</v>
      </c>
      <c r="G17" s="8">
        <v>635</v>
      </c>
      <c r="H17" s="8">
        <v>842</v>
      </c>
      <c r="I17" s="8">
        <v>695</v>
      </c>
      <c r="J17" s="8">
        <v>595</v>
      </c>
      <c r="K17" s="8">
        <v>268</v>
      </c>
      <c r="L17" s="8">
        <v>3477</v>
      </c>
      <c r="M17" s="120"/>
      <c r="N17" s="8"/>
      <c r="O17" s="8"/>
      <c r="P17" s="8"/>
      <c r="Q17" s="8"/>
      <c r="R17" s="8"/>
      <c r="S17" s="8"/>
      <c r="T17" s="8"/>
      <c r="U17" s="8"/>
      <c r="V17" s="8"/>
      <c r="W17" s="8"/>
    </row>
    <row r="18" spans="1:23" x14ac:dyDescent="0.25">
      <c r="A18" s="196"/>
      <c r="B18" s="4" t="s">
        <v>20</v>
      </c>
      <c r="C18" s="8" t="s">
        <v>109</v>
      </c>
      <c r="D18" s="8">
        <v>2</v>
      </c>
      <c r="E18" s="8">
        <v>3</v>
      </c>
      <c r="F18" s="8">
        <v>3</v>
      </c>
      <c r="G18" s="8">
        <v>18</v>
      </c>
      <c r="H18" s="8">
        <v>31</v>
      </c>
      <c r="I18" s="8">
        <v>36</v>
      </c>
      <c r="J18" s="8">
        <v>38</v>
      </c>
      <c r="K18" s="8">
        <v>9</v>
      </c>
      <c r="L18" s="8">
        <v>140</v>
      </c>
      <c r="M18" s="120"/>
      <c r="N18" s="8"/>
      <c r="O18" s="8"/>
      <c r="P18" s="8"/>
      <c r="Q18" s="8"/>
      <c r="R18" s="8"/>
      <c r="S18" s="8"/>
      <c r="T18" s="8"/>
      <c r="U18" s="8"/>
      <c r="V18" s="8"/>
      <c r="W18" s="8"/>
    </row>
    <row r="19" spans="1:23" x14ac:dyDescent="0.25">
      <c r="A19" s="196"/>
      <c r="B19" s="9" t="s">
        <v>11</v>
      </c>
      <c r="C19" s="94">
        <v>57</v>
      </c>
      <c r="D19" s="94">
        <v>182</v>
      </c>
      <c r="E19" s="94">
        <v>524</v>
      </c>
      <c r="F19" s="94">
        <v>1056</v>
      </c>
      <c r="G19" s="94">
        <v>1677</v>
      </c>
      <c r="H19" s="94">
        <v>1820</v>
      </c>
      <c r="I19" s="94">
        <v>1451</v>
      </c>
      <c r="J19" s="94">
        <v>1105</v>
      </c>
      <c r="K19" s="94">
        <v>428</v>
      </c>
      <c r="L19" s="94">
        <v>8301</v>
      </c>
      <c r="M19" s="120"/>
      <c r="N19" s="94"/>
      <c r="O19" s="94"/>
      <c r="P19" s="94"/>
      <c r="Q19" s="94"/>
      <c r="R19" s="94"/>
      <c r="S19" s="94"/>
      <c r="T19" s="94"/>
      <c r="U19" s="94"/>
      <c r="V19" s="94"/>
      <c r="W19" s="94"/>
    </row>
    <row r="20" spans="1:23" ht="3.75" customHeight="1" x14ac:dyDescent="0.25">
      <c r="M20" s="120"/>
    </row>
    <row r="21" spans="1:23" x14ac:dyDescent="0.25">
      <c r="A21" s="195" t="s">
        <v>23</v>
      </c>
      <c r="B21" s="195"/>
      <c r="C21" s="195"/>
      <c r="D21" s="195"/>
      <c r="E21" s="195"/>
      <c r="F21" s="195"/>
      <c r="G21" s="195"/>
      <c r="H21" s="195"/>
      <c r="I21" s="195"/>
      <c r="J21" s="195"/>
      <c r="K21" s="195"/>
      <c r="L21" s="195"/>
    </row>
    <row r="22" spans="1:23" s="6" customFormat="1" ht="9" x14ac:dyDescent="0.15">
      <c r="A22" s="6" t="s">
        <v>140</v>
      </c>
    </row>
    <row r="23" spans="1:23" s="6" customFormat="1" ht="9" x14ac:dyDescent="0.15">
      <c r="A23" s="6" t="s">
        <v>46</v>
      </c>
    </row>
    <row r="24" spans="1:23" s="6" customFormat="1" ht="9" x14ac:dyDescent="0.15"/>
    <row r="25" spans="1:23" s="6" customFormat="1" ht="9" x14ac:dyDescent="0.15">
      <c r="A25" s="6" t="s">
        <v>263</v>
      </c>
    </row>
    <row r="26" spans="1:23" x14ac:dyDescent="0.25">
      <c r="A26" s="2"/>
    </row>
    <row r="32" spans="1:23" x14ac:dyDescent="0.25">
      <c r="H32" s="120"/>
    </row>
  </sheetData>
  <mergeCells count="6">
    <mergeCell ref="A21:L21"/>
    <mergeCell ref="A1:L1"/>
    <mergeCell ref="A4:A7"/>
    <mergeCell ref="A8:A11"/>
    <mergeCell ref="A12:A15"/>
    <mergeCell ref="A16:A19"/>
  </mergeCells>
  <pageMargins left="0.08" right="0.08" top="1" bottom="1" header="0.5" footer="0.5"/>
  <pageSetup orientation="landscape" blackAndWhite="1"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W36"/>
  <sheetViews>
    <sheetView zoomScaleNormal="100" workbookViewId="0">
      <selection sqref="A1:K1"/>
    </sheetView>
  </sheetViews>
  <sheetFormatPr defaultColWidth="9.140625" defaultRowHeight="15" x14ac:dyDescent="0.25"/>
  <cols>
    <col min="1" max="1" width="15.5703125" style="1" customWidth="1"/>
    <col min="2" max="11" width="11.42578125" style="1" bestFit="1" customWidth="1"/>
    <col min="12" max="16384" width="9.140625" style="1"/>
  </cols>
  <sheetData>
    <row r="1" spans="1:23" ht="31.5" customHeight="1" x14ac:dyDescent="0.25">
      <c r="A1" s="189" t="s">
        <v>306</v>
      </c>
      <c r="B1" s="189"/>
      <c r="C1" s="189"/>
      <c r="D1" s="189"/>
      <c r="E1" s="189"/>
      <c r="F1" s="189"/>
      <c r="G1" s="189"/>
      <c r="H1" s="189"/>
      <c r="I1" s="189"/>
      <c r="J1" s="189"/>
      <c r="K1" s="189"/>
    </row>
    <row r="2" spans="1:23" ht="3.75" customHeight="1" x14ac:dyDescent="0.25">
      <c r="A2" s="2"/>
    </row>
    <row r="3" spans="1:23" x14ac:dyDescent="0.25">
      <c r="A3" s="31" t="s">
        <v>120</v>
      </c>
      <c r="B3" s="31" t="s">
        <v>121</v>
      </c>
      <c r="C3" s="3" t="s">
        <v>0</v>
      </c>
      <c r="D3" s="3" t="s">
        <v>1</v>
      </c>
      <c r="E3" s="3" t="s">
        <v>2</v>
      </c>
      <c r="F3" s="3" t="s">
        <v>3</v>
      </c>
      <c r="G3" s="3" t="s">
        <v>4</v>
      </c>
      <c r="H3" s="3" t="s">
        <v>5</v>
      </c>
      <c r="I3" s="3" t="s">
        <v>6</v>
      </c>
      <c r="J3" s="3" t="s">
        <v>7</v>
      </c>
      <c r="K3" s="3" t="s">
        <v>8</v>
      </c>
    </row>
    <row r="4" spans="1:23" x14ac:dyDescent="0.25">
      <c r="A4" s="108" t="s">
        <v>203</v>
      </c>
      <c r="B4" s="4" t="s">
        <v>201</v>
      </c>
      <c r="C4" s="8" t="s">
        <v>116</v>
      </c>
      <c r="D4" s="8">
        <v>24</v>
      </c>
      <c r="E4" s="8">
        <v>536</v>
      </c>
      <c r="F4" s="8" t="s">
        <v>116</v>
      </c>
      <c r="G4" s="8">
        <v>87</v>
      </c>
      <c r="H4" s="8">
        <v>15</v>
      </c>
      <c r="I4" s="8" t="s">
        <v>116</v>
      </c>
      <c r="J4" s="8">
        <v>211</v>
      </c>
      <c r="K4" s="8">
        <v>1369</v>
      </c>
      <c r="M4" s="8"/>
      <c r="N4" s="8"/>
      <c r="O4" s="8"/>
      <c r="P4" s="8"/>
      <c r="Q4" s="8"/>
      <c r="R4" s="8"/>
      <c r="S4" s="8"/>
      <c r="T4" s="8"/>
      <c r="U4" s="8"/>
      <c r="V4" s="8"/>
      <c r="W4" s="120"/>
    </row>
    <row r="5" spans="1:23" x14ac:dyDescent="0.25">
      <c r="A5" s="107"/>
      <c r="B5" s="4" t="s">
        <v>202</v>
      </c>
      <c r="C5" s="8">
        <v>755</v>
      </c>
      <c r="D5" s="8">
        <v>135</v>
      </c>
      <c r="E5" s="8">
        <v>979</v>
      </c>
      <c r="F5" s="8">
        <v>376</v>
      </c>
      <c r="G5" s="8">
        <v>189</v>
      </c>
      <c r="H5" s="8">
        <v>69</v>
      </c>
      <c r="I5" s="8">
        <v>31</v>
      </c>
      <c r="J5" s="8">
        <v>629</v>
      </c>
      <c r="K5" s="8">
        <v>3163</v>
      </c>
      <c r="M5" s="8"/>
      <c r="N5" s="8"/>
      <c r="O5" s="8"/>
      <c r="P5" s="8"/>
      <c r="Q5" s="8"/>
      <c r="R5" s="8"/>
      <c r="S5" s="8"/>
      <c r="T5" s="8"/>
      <c r="U5" s="8"/>
      <c r="V5" s="8"/>
    </row>
    <row r="6" spans="1:23" x14ac:dyDescent="0.25">
      <c r="A6" s="107"/>
      <c r="B6" s="4" t="s">
        <v>35</v>
      </c>
      <c r="C6" s="8" t="s">
        <v>116</v>
      </c>
      <c r="D6" s="8">
        <v>35</v>
      </c>
      <c r="E6" s="8">
        <v>28</v>
      </c>
      <c r="F6" s="8" t="s">
        <v>116</v>
      </c>
      <c r="G6" s="8">
        <v>3</v>
      </c>
      <c r="H6" s="8">
        <v>6</v>
      </c>
      <c r="I6" s="8" t="s">
        <v>116</v>
      </c>
      <c r="J6" s="8">
        <v>77</v>
      </c>
      <c r="K6" s="8">
        <v>151</v>
      </c>
      <c r="M6" s="5"/>
      <c r="N6" s="8"/>
      <c r="O6" s="8"/>
      <c r="P6" s="8"/>
      <c r="Q6" s="8"/>
      <c r="R6" s="8"/>
      <c r="S6" s="8"/>
      <c r="T6" s="8"/>
      <c r="U6" s="8"/>
      <c r="V6" s="8"/>
    </row>
    <row r="7" spans="1:23" x14ac:dyDescent="0.25">
      <c r="A7" s="107"/>
      <c r="B7" s="9" t="s">
        <v>11</v>
      </c>
      <c r="C7" s="94">
        <v>934</v>
      </c>
      <c r="D7" s="94">
        <v>194</v>
      </c>
      <c r="E7" s="94">
        <v>1543</v>
      </c>
      <c r="F7" s="94">
        <v>679</v>
      </c>
      <c r="G7" s="94">
        <v>279</v>
      </c>
      <c r="H7" s="94">
        <v>90</v>
      </c>
      <c r="I7" s="94">
        <v>48</v>
      </c>
      <c r="J7" s="94">
        <v>917</v>
      </c>
      <c r="K7" s="94">
        <v>4684</v>
      </c>
      <c r="M7" s="94"/>
      <c r="N7" s="94"/>
      <c r="O7" s="94"/>
      <c r="P7" s="94"/>
      <c r="Q7" s="94"/>
      <c r="R7" s="94"/>
      <c r="S7" s="94"/>
      <c r="T7" s="94"/>
      <c r="U7" s="94"/>
      <c r="V7" s="94"/>
    </row>
    <row r="8" spans="1:23" x14ac:dyDescent="0.25">
      <c r="A8" s="107" t="s">
        <v>19</v>
      </c>
      <c r="B8" s="4" t="s">
        <v>201</v>
      </c>
      <c r="C8" s="8" t="s">
        <v>116</v>
      </c>
      <c r="D8" s="8">
        <v>46</v>
      </c>
      <c r="E8" s="8">
        <v>150</v>
      </c>
      <c r="F8" s="8" t="s">
        <v>116</v>
      </c>
      <c r="G8" s="8">
        <v>36</v>
      </c>
      <c r="H8" s="8">
        <v>24</v>
      </c>
      <c r="I8" s="8" t="s">
        <v>116</v>
      </c>
      <c r="J8" s="8">
        <v>4</v>
      </c>
      <c r="K8" s="8">
        <v>442</v>
      </c>
      <c r="M8" s="8"/>
      <c r="N8" s="8"/>
      <c r="O8" s="8"/>
      <c r="P8" s="8"/>
      <c r="Q8" s="8"/>
      <c r="R8" s="8"/>
      <c r="S8" s="8"/>
      <c r="T8" s="8"/>
      <c r="U8" s="8"/>
      <c r="V8" s="8"/>
    </row>
    <row r="9" spans="1:23" x14ac:dyDescent="0.25">
      <c r="A9" s="107"/>
      <c r="B9" s="4" t="s">
        <v>202</v>
      </c>
      <c r="C9" s="8">
        <v>640</v>
      </c>
      <c r="D9" s="8">
        <v>587</v>
      </c>
      <c r="E9" s="8">
        <v>685</v>
      </c>
      <c r="F9" s="8">
        <v>425</v>
      </c>
      <c r="G9" s="8">
        <v>183</v>
      </c>
      <c r="H9" s="8">
        <v>127</v>
      </c>
      <c r="I9" s="8">
        <v>89</v>
      </c>
      <c r="J9" s="8">
        <v>31</v>
      </c>
      <c r="K9" s="8">
        <v>2767</v>
      </c>
      <c r="M9" s="8"/>
      <c r="N9" s="8"/>
      <c r="O9" s="8"/>
      <c r="P9" s="8"/>
      <c r="Q9" s="8"/>
      <c r="R9" s="8"/>
      <c r="S9" s="8"/>
      <c r="T9" s="8"/>
      <c r="U9" s="8"/>
      <c r="V9" s="8"/>
    </row>
    <row r="10" spans="1:23" x14ac:dyDescent="0.25">
      <c r="A10" s="107"/>
      <c r="B10" s="4" t="s">
        <v>35</v>
      </c>
      <c r="C10" s="8" t="s">
        <v>116</v>
      </c>
      <c r="D10" s="8">
        <v>168</v>
      </c>
      <c r="E10" s="8">
        <v>65</v>
      </c>
      <c r="F10" s="8" t="s">
        <v>116</v>
      </c>
      <c r="G10" s="8">
        <v>16</v>
      </c>
      <c r="H10" s="8">
        <v>10</v>
      </c>
      <c r="I10" s="8" t="s">
        <v>116</v>
      </c>
      <c r="J10" s="8">
        <v>9</v>
      </c>
      <c r="K10" s="8">
        <v>268</v>
      </c>
      <c r="M10" s="5"/>
      <c r="N10" s="8"/>
      <c r="O10" s="8"/>
      <c r="P10" s="5"/>
      <c r="Q10" s="8"/>
      <c r="R10" s="8"/>
      <c r="S10" s="5"/>
      <c r="T10" s="8"/>
      <c r="U10" s="8"/>
      <c r="V10" s="8"/>
    </row>
    <row r="11" spans="1:23" x14ac:dyDescent="0.25">
      <c r="A11" s="107"/>
      <c r="B11" s="9" t="s">
        <v>11</v>
      </c>
      <c r="C11" s="94">
        <v>732</v>
      </c>
      <c r="D11" s="94">
        <v>801</v>
      </c>
      <c r="E11" s="94">
        <v>900</v>
      </c>
      <c r="F11" s="94">
        <v>498</v>
      </c>
      <c r="G11" s="94">
        <v>235</v>
      </c>
      <c r="H11" s="94">
        <v>161</v>
      </c>
      <c r="I11" s="94">
        <v>106</v>
      </c>
      <c r="J11" s="94">
        <v>44</v>
      </c>
      <c r="K11" s="94">
        <v>3477</v>
      </c>
      <c r="M11" s="94"/>
      <c r="N11" s="94"/>
      <c r="O11" s="94"/>
      <c r="P11" s="94"/>
      <c r="Q11" s="94"/>
      <c r="R11" s="94"/>
      <c r="S11" s="94"/>
      <c r="T11" s="94"/>
      <c r="U11" s="94"/>
      <c r="V11" s="94"/>
    </row>
    <row r="12" spans="1:23" x14ac:dyDescent="0.25">
      <c r="A12" s="107" t="s">
        <v>20</v>
      </c>
      <c r="B12" s="4" t="s">
        <v>201</v>
      </c>
      <c r="C12" s="8">
        <v>2</v>
      </c>
      <c r="D12" s="5" t="s">
        <v>109</v>
      </c>
      <c r="E12" s="5" t="s">
        <v>109</v>
      </c>
      <c r="F12" s="5" t="s">
        <v>109</v>
      </c>
      <c r="G12" s="5" t="s">
        <v>109</v>
      </c>
      <c r="H12" s="8">
        <v>1</v>
      </c>
      <c r="I12" s="5" t="s">
        <v>109</v>
      </c>
      <c r="J12" s="8">
        <v>5</v>
      </c>
      <c r="K12" s="8">
        <v>8</v>
      </c>
      <c r="M12" s="8"/>
      <c r="N12" s="5"/>
      <c r="O12" s="5"/>
      <c r="P12" s="5"/>
      <c r="Q12" s="5"/>
      <c r="R12" s="5"/>
      <c r="S12" s="5"/>
      <c r="T12" s="8"/>
      <c r="U12" s="8"/>
      <c r="V12" s="8"/>
    </row>
    <row r="13" spans="1:23" x14ac:dyDescent="0.25">
      <c r="A13" s="107"/>
      <c r="B13" s="4" t="s">
        <v>202</v>
      </c>
      <c r="C13" s="8">
        <v>73</v>
      </c>
      <c r="D13" s="5">
        <v>4</v>
      </c>
      <c r="E13" s="8">
        <v>12</v>
      </c>
      <c r="F13" s="5" t="s">
        <v>109</v>
      </c>
      <c r="G13" s="8">
        <v>8</v>
      </c>
      <c r="H13" s="8">
        <v>4</v>
      </c>
      <c r="I13" s="5" t="s">
        <v>109</v>
      </c>
      <c r="J13" s="8">
        <v>22</v>
      </c>
      <c r="K13" s="8">
        <v>123</v>
      </c>
      <c r="M13" s="8"/>
      <c r="N13" s="5"/>
      <c r="O13" s="8"/>
      <c r="P13" s="5"/>
      <c r="Q13" s="8"/>
      <c r="R13" s="8"/>
      <c r="S13" s="5"/>
      <c r="T13" s="8"/>
      <c r="U13" s="8"/>
      <c r="V13" s="8"/>
    </row>
    <row r="14" spans="1:23" x14ac:dyDescent="0.25">
      <c r="A14" s="107"/>
      <c r="B14" s="4" t="s">
        <v>35</v>
      </c>
      <c r="C14" s="8" t="s">
        <v>109</v>
      </c>
      <c r="D14" s="8" t="s">
        <v>109</v>
      </c>
      <c r="E14" s="8">
        <v>1</v>
      </c>
      <c r="F14" s="5" t="s">
        <v>109</v>
      </c>
      <c r="G14" s="5" t="s">
        <v>109</v>
      </c>
      <c r="H14" s="8">
        <v>1</v>
      </c>
      <c r="I14" s="5" t="s">
        <v>109</v>
      </c>
      <c r="J14" s="8">
        <v>7</v>
      </c>
      <c r="K14" s="8">
        <v>9</v>
      </c>
      <c r="M14" s="8"/>
      <c r="N14" s="8"/>
      <c r="O14" s="8"/>
      <c r="P14" s="5"/>
      <c r="Q14" s="5"/>
      <c r="R14" s="8"/>
      <c r="S14" s="5"/>
      <c r="T14" s="8"/>
      <c r="U14" s="8"/>
      <c r="V14" s="8"/>
    </row>
    <row r="15" spans="1:23" x14ac:dyDescent="0.25">
      <c r="A15" s="107"/>
      <c r="B15" s="9" t="s">
        <v>11</v>
      </c>
      <c r="C15" s="94">
        <v>75</v>
      </c>
      <c r="D15" s="94">
        <v>4</v>
      </c>
      <c r="E15" s="94">
        <v>13</v>
      </c>
      <c r="F15" s="97" t="s">
        <v>109</v>
      </c>
      <c r="G15" s="94">
        <v>8</v>
      </c>
      <c r="H15" s="94">
        <v>6</v>
      </c>
      <c r="I15" s="97" t="s">
        <v>109</v>
      </c>
      <c r="J15" s="94">
        <v>34</v>
      </c>
      <c r="K15" s="94">
        <v>140</v>
      </c>
      <c r="M15" s="94"/>
      <c r="N15" s="94"/>
      <c r="O15" s="94"/>
      <c r="P15" s="97"/>
      <c r="Q15" s="94"/>
      <c r="R15" s="94"/>
      <c r="S15" s="97"/>
      <c r="T15" s="94"/>
      <c r="U15" s="94"/>
      <c r="V15" s="94"/>
    </row>
    <row r="16" spans="1:23" x14ac:dyDescent="0.25">
      <c r="A16" s="107" t="s">
        <v>11</v>
      </c>
      <c r="B16" s="4" t="s">
        <v>201</v>
      </c>
      <c r="C16" s="8" t="s">
        <v>116</v>
      </c>
      <c r="D16" s="8">
        <v>70</v>
      </c>
      <c r="E16" s="8">
        <v>686</v>
      </c>
      <c r="F16" s="8">
        <v>373</v>
      </c>
      <c r="G16" s="8">
        <v>123</v>
      </c>
      <c r="H16" s="8">
        <v>40</v>
      </c>
      <c r="I16" s="8" t="s">
        <v>116</v>
      </c>
      <c r="J16" s="8">
        <v>220</v>
      </c>
      <c r="K16" s="8">
        <v>1819</v>
      </c>
      <c r="L16" s="120"/>
      <c r="M16" s="8"/>
      <c r="N16" s="8"/>
      <c r="O16" s="8"/>
      <c r="P16" s="8"/>
      <c r="Q16" s="8"/>
      <c r="R16" s="8"/>
      <c r="S16" s="8"/>
      <c r="T16" s="8"/>
      <c r="U16" s="8"/>
      <c r="V16" s="8"/>
    </row>
    <row r="17" spans="1:22" x14ac:dyDescent="0.25">
      <c r="A17" s="107"/>
      <c r="B17" s="4" t="s">
        <v>202</v>
      </c>
      <c r="C17" s="8">
        <v>1468</v>
      </c>
      <c r="D17" s="8">
        <v>726</v>
      </c>
      <c r="E17" s="8">
        <v>1676</v>
      </c>
      <c r="F17" s="8">
        <v>801</v>
      </c>
      <c r="G17" s="8">
        <v>380</v>
      </c>
      <c r="H17" s="8">
        <v>200</v>
      </c>
      <c r="I17" s="8">
        <v>120</v>
      </c>
      <c r="J17" s="8">
        <v>682</v>
      </c>
      <c r="K17" s="8">
        <v>6053</v>
      </c>
      <c r="L17" s="120"/>
      <c r="M17" s="8"/>
      <c r="N17" s="8"/>
      <c r="O17" s="8"/>
      <c r="P17" s="8"/>
      <c r="Q17" s="8"/>
      <c r="R17" s="8"/>
      <c r="S17" s="8"/>
      <c r="T17" s="8"/>
      <c r="U17" s="8"/>
      <c r="V17" s="8"/>
    </row>
    <row r="18" spans="1:22" x14ac:dyDescent="0.25">
      <c r="A18" s="107"/>
      <c r="B18" s="4" t="s">
        <v>35</v>
      </c>
      <c r="C18" s="8" t="s">
        <v>116</v>
      </c>
      <c r="D18" s="8">
        <v>203</v>
      </c>
      <c r="E18" s="8">
        <v>94</v>
      </c>
      <c r="F18" s="8">
        <v>2</v>
      </c>
      <c r="G18" s="8">
        <v>19</v>
      </c>
      <c r="H18" s="8">
        <v>17</v>
      </c>
      <c r="I18" s="8" t="s">
        <v>116</v>
      </c>
      <c r="J18" s="8">
        <v>93</v>
      </c>
      <c r="K18" s="8">
        <v>428</v>
      </c>
      <c r="L18" s="120"/>
      <c r="M18" s="5"/>
      <c r="N18" s="8"/>
      <c r="O18" s="8"/>
      <c r="P18" s="8"/>
      <c r="Q18" s="8"/>
      <c r="R18" s="8"/>
      <c r="S18" s="8"/>
      <c r="T18" s="8"/>
      <c r="U18" s="8"/>
      <c r="V18" s="8"/>
    </row>
    <row r="19" spans="1:22" x14ac:dyDescent="0.25">
      <c r="A19" s="107"/>
      <c r="B19" s="9" t="s">
        <v>11</v>
      </c>
      <c r="C19" s="94">
        <v>1741</v>
      </c>
      <c r="D19" s="94">
        <v>999</v>
      </c>
      <c r="E19" s="94">
        <v>2456</v>
      </c>
      <c r="F19" s="94">
        <v>1177</v>
      </c>
      <c r="G19" s="94">
        <v>522</v>
      </c>
      <c r="H19" s="94">
        <v>257</v>
      </c>
      <c r="I19" s="94">
        <v>154</v>
      </c>
      <c r="J19" s="94">
        <v>995</v>
      </c>
      <c r="K19" s="94">
        <v>8301</v>
      </c>
      <c r="L19" s="120"/>
      <c r="M19" s="94"/>
      <c r="N19" s="94"/>
      <c r="O19" s="94"/>
      <c r="P19" s="94"/>
      <c r="Q19" s="94"/>
      <c r="R19" s="94"/>
      <c r="S19" s="94"/>
      <c r="T19" s="94"/>
      <c r="U19" s="94"/>
      <c r="V19" s="94"/>
    </row>
    <row r="20" spans="1:22" ht="0.75" customHeight="1" x14ac:dyDescent="0.25">
      <c r="M20" s="120"/>
      <c r="N20" s="120"/>
    </row>
    <row r="21" spans="1:22" ht="3" customHeight="1" x14ac:dyDescent="0.25">
      <c r="M21" s="120"/>
      <c r="N21" s="120"/>
    </row>
    <row r="22" spans="1:22" ht="11.1" customHeight="1" x14ac:dyDescent="0.25">
      <c r="A22" s="198" t="s">
        <v>213</v>
      </c>
      <c r="B22" s="198"/>
      <c r="C22" s="198"/>
      <c r="D22" s="198"/>
      <c r="E22" s="198"/>
      <c r="F22" s="198"/>
      <c r="G22" s="198"/>
      <c r="H22" s="198"/>
      <c r="I22" s="198"/>
      <c r="J22" s="198"/>
      <c r="K22" s="198"/>
    </row>
    <row r="23" spans="1:22" ht="11.1" customHeight="1" x14ac:dyDescent="0.25">
      <c r="A23" s="77" t="s">
        <v>214</v>
      </c>
      <c r="B23" s="77"/>
      <c r="C23" s="77"/>
      <c r="D23" s="77"/>
      <c r="E23" s="77"/>
      <c r="F23" s="77"/>
      <c r="G23" s="77"/>
      <c r="H23" s="77"/>
      <c r="I23" s="77"/>
      <c r="J23" s="77"/>
      <c r="K23" s="77"/>
    </row>
    <row r="24" spans="1:22" s="6" customFormat="1" ht="11.1" customHeight="1" x14ac:dyDescent="0.15">
      <c r="A24" s="6" t="s">
        <v>47</v>
      </c>
    </row>
    <row r="25" spans="1:22" s="6" customFormat="1" ht="11.1" customHeight="1" x14ac:dyDescent="0.15">
      <c r="A25" s="6" t="s">
        <v>46</v>
      </c>
    </row>
    <row r="26" spans="1:22" s="6" customFormat="1" ht="11.1" customHeight="1" x14ac:dyDescent="0.15"/>
    <row r="27" spans="1:22" s="6" customFormat="1" ht="11.1" customHeight="1" x14ac:dyDescent="0.15">
      <c r="A27" s="6" t="s">
        <v>263</v>
      </c>
    </row>
    <row r="28" spans="1:22" ht="12" customHeight="1" x14ac:dyDescent="0.25">
      <c r="A28" s="2"/>
    </row>
    <row r="36" spans="8:8" x14ac:dyDescent="0.25">
      <c r="H36" s="120"/>
    </row>
  </sheetData>
  <mergeCells count="2">
    <mergeCell ref="A22:K22"/>
    <mergeCell ref="A1:K1"/>
  </mergeCells>
  <pageMargins left="0.08" right="0.08" top="1" bottom="1" header="0.5" footer="0.5"/>
  <pageSetup orientation="landscape" blackAndWhite="1"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S64"/>
  <sheetViews>
    <sheetView zoomScaleNormal="100" workbookViewId="0">
      <selection activeCell="E15" sqref="E15"/>
    </sheetView>
  </sheetViews>
  <sheetFormatPr defaultColWidth="9.140625" defaultRowHeight="15" x14ac:dyDescent="0.25"/>
  <cols>
    <col min="1" max="1" width="11.42578125" style="1" bestFit="1" customWidth="1"/>
    <col min="2" max="2" width="34.7109375" style="1" customWidth="1"/>
    <col min="3" max="6" width="11.42578125" style="1" bestFit="1" customWidth="1"/>
    <col min="7" max="14" width="9.140625" style="1"/>
    <col min="15" max="15" width="17.5703125" style="1" bestFit="1" customWidth="1"/>
    <col min="16" max="16384" width="9.140625" style="1"/>
  </cols>
  <sheetData>
    <row r="1" spans="1:15" ht="31.5" customHeight="1" x14ac:dyDescent="0.25">
      <c r="A1" s="188" t="s">
        <v>307</v>
      </c>
      <c r="B1" s="201"/>
      <c r="C1" s="201"/>
      <c r="D1" s="201"/>
      <c r="E1" s="201"/>
      <c r="F1" s="201"/>
    </row>
    <row r="2" spans="1:15" ht="6.75" customHeight="1" x14ac:dyDescent="0.25">
      <c r="A2" s="2"/>
    </row>
    <row r="3" spans="1:15" ht="23.25" x14ac:dyDescent="0.25">
      <c r="A3" s="61" t="s">
        <v>119</v>
      </c>
      <c r="B3" s="61" t="s">
        <v>169</v>
      </c>
      <c r="C3" s="3" t="s">
        <v>18</v>
      </c>
      <c r="D3" s="3" t="s">
        <v>19</v>
      </c>
      <c r="E3" s="3" t="s">
        <v>20</v>
      </c>
      <c r="F3" s="3" t="s">
        <v>11</v>
      </c>
    </row>
    <row r="4" spans="1:15" x14ac:dyDescent="0.25">
      <c r="A4" s="187" t="s">
        <v>17</v>
      </c>
      <c r="B4" s="4" t="s">
        <v>163</v>
      </c>
      <c r="C4" s="5">
        <v>484.9</v>
      </c>
      <c r="D4" s="5">
        <v>911.1</v>
      </c>
      <c r="E4" s="5">
        <v>13</v>
      </c>
      <c r="F4" s="5">
        <v>1408.9</v>
      </c>
      <c r="H4" s="5"/>
      <c r="I4" s="5"/>
      <c r="J4" s="5"/>
      <c r="K4" s="5"/>
      <c r="L4" s="5"/>
      <c r="M4" s="127"/>
      <c r="O4" s="154"/>
    </row>
    <row r="5" spans="1:15" x14ac:dyDescent="0.25">
      <c r="A5" s="187"/>
      <c r="B5" s="4" t="s">
        <v>164</v>
      </c>
      <c r="C5" s="5">
        <v>266.2</v>
      </c>
      <c r="D5" s="5">
        <v>211.5</v>
      </c>
      <c r="E5" s="5">
        <v>4</v>
      </c>
      <c r="F5" s="5">
        <v>481.8</v>
      </c>
      <c r="H5" s="5"/>
      <c r="I5" s="5"/>
      <c r="J5" s="5"/>
      <c r="K5" s="5"/>
      <c r="L5" s="5"/>
    </row>
    <row r="6" spans="1:15" x14ac:dyDescent="0.25">
      <c r="A6" s="187"/>
      <c r="B6" s="4" t="s">
        <v>165</v>
      </c>
      <c r="C6" s="5">
        <v>294.8</v>
      </c>
      <c r="D6" s="5">
        <v>82.7</v>
      </c>
      <c r="E6" s="5">
        <v>1.6</v>
      </c>
      <c r="F6" s="5">
        <v>379.2</v>
      </c>
      <c r="H6" s="5"/>
      <c r="I6" s="5"/>
      <c r="J6" s="5"/>
      <c r="K6" s="5"/>
      <c r="L6" s="5"/>
    </row>
    <row r="7" spans="1:15" x14ac:dyDescent="0.25">
      <c r="A7" s="187"/>
      <c r="B7" s="4" t="s">
        <v>166</v>
      </c>
      <c r="C7" s="5">
        <v>84.5</v>
      </c>
      <c r="D7" s="5">
        <v>8.6999999999999993</v>
      </c>
      <c r="E7" s="5">
        <v>0.2</v>
      </c>
      <c r="F7" s="5">
        <v>93.4</v>
      </c>
      <c r="H7" s="5"/>
      <c r="I7" s="5"/>
      <c r="J7" s="5"/>
      <c r="K7" s="5"/>
      <c r="L7" s="5"/>
    </row>
    <row r="8" spans="1:15" x14ac:dyDescent="0.25">
      <c r="A8" s="187"/>
      <c r="B8" s="4" t="s">
        <v>167</v>
      </c>
      <c r="C8" s="5">
        <v>106.4</v>
      </c>
      <c r="D8" s="5">
        <v>2.6</v>
      </c>
      <c r="E8" s="13" t="s">
        <v>109</v>
      </c>
      <c r="F8" s="5">
        <v>108.9</v>
      </c>
      <c r="H8" s="5"/>
      <c r="I8" s="5"/>
      <c r="J8" s="13"/>
      <c r="K8" s="5"/>
      <c r="L8" s="5"/>
    </row>
    <row r="9" spans="1:15" x14ac:dyDescent="0.25">
      <c r="A9" s="187" t="s">
        <v>21</v>
      </c>
      <c r="B9" s="4" t="s">
        <v>163</v>
      </c>
      <c r="C9" s="5">
        <v>191.4</v>
      </c>
      <c r="D9" s="5">
        <v>198.1</v>
      </c>
      <c r="E9" s="5">
        <v>1.5</v>
      </c>
      <c r="F9" s="5">
        <v>391</v>
      </c>
      <c r="H9" s="5"/>
      <c r="I9" s="5"/>
      <c r="J9" s="5"/>
      <c r="K9" s="5"/>
      <c r="L9" s="5"/>
    </row>
    <row r="10" spans="1:15" x14ac:dyDescent="0.25">
      <c r="A10" s="187"/>
      <c r="B10" s="4" t="s">
        <v>164</v>
      </c>
      <c r="C10" s="5">
        <v>84.2</v>
      </c>
      <c r="D10" s="5">
        <v>56.2</v>
      </c>
      <c r="E10" s="5">
        <v>2.4</v>
      </c>
      <c r="F10" s="5">
        <v>142.9</v>
      </c>
      <c r="H10" s="5"/>
      <c r="I10" s="5"/>
      <c r="J10" s="5"/>
      <c r="K10" s="5"/>
      <c r="L10" s="5"/>
    </row>
    <row r="11" spans="1:15" x14ac:dyDescent="0.25">
      <c r="A11" s="187"/>
      <c r="B11" s="4" t="s">
        <v>165</v>
      </c>
      <c r="C11" s="5">
        <v>124.3</v>
      </c>
      <c r="D11" s="5">
        <v>18.399999999999999</v>
      </c>
      <c r="E11" s="5">
        <v>0.2</v>
      </c>
      <c r="F11" s="5">
        <v>142.9</v>
      </c>
      <c r="H11" s="5"/>
      <c r="I11" s="5"/>
      <c r="J11" s="5"/>
      <c r="K11" s="5"/>
      <c r="L11" s="5"/>
    </row>
    <row r="12" spans="1:15" x14ac:dyDescent="0.25">
      <c r="A12" s="187"/>
      <c r="B12" s="4" t="s">
        <v>166</v>
      </c>
      <c r="C12" s="5">
        <v>20.2</v>
      </c>
      <c r="D12" s="5">
        <v>1.3</v>
      </c>
      <c r="E12" s="13" t="s">
        <v>109</v>
      </c>
      <c r="F12" s="5">
        <v>21.6</v>
      </c>
      <c r="H12" s="5"/>
      <c r="I12" s="5"/>
      <c r="J12" s="13"/>
      <c r="K12" s="5"/>
      <c r="L12" s="5"/>
    </row>
    <row r="13" spans="1:15" x14ac:dyDescent="0.25">
      <c r="A13" s="187"/>
      <c r="B13" s="4" t="s">
        <v>167</v>
      </c>
      <c r="C13" s="5">
        <v>19.3</v>
      </c>
      <c r="D13" s="5">
        <v>0.6</v>
      </c>
      <c r="E13" s="13" t="s">
        <v>109</v>
      </c>
      <c r="F13" s="5">
        <v>19.899999999999999</v>
      </c>
      <c r="H13" s="5"/>
      <c r="I13" s="5"/>
      <c r="J13" s="13"/>
      <c r="K13" s="5"/>
      <c r="L13" s="5"/>
    </row>
    <row r="14" spans="1:15" x14ac:dyDescent="0.25">
      <c r="A14" s="187" t="s">
        <v>20</v>
      </c>
      <c r="B14" s="4" t="s">
        <v>163</v>
      </c>
      <c r="C14" s="5">
        <v>0.3</v>
      </c>
      <c r="D14" s="5">
        <v>0.3</v>
      </c>
      <c r="E14" s="13" t="s">
        <v>109</v>
      </c>
      <c r="F14" s="5">
        <v>0.6</v>
      </c>
      <c r="H14" s="5"/>
      <c r="I14" s="13"/>
      <c r="J14" s="13"/>
      <c r="K14" s="5"/>
      <c r="L14" s="5"/>
    </row>
    <row r="15" spans="1:15" x14ac:dyDescent="0.25">
      <c r="A15" s="187"/>
      <c r="B15" s="4" t="s">
        <v>164</v>
      </c>
      <c r="C15" s="5">
        <v>0.1</v>
      </c>
      <c r="D15" s="5">
        <v>3.1</v>
      </c>
      <c r="E15" s="5" t="s">
        <v>109</v>
      </c>
      <c r="F15" s="5">
        <v>3.2</v>
      </c>
      <c r="H15" s="5"/>
      <c r="I15" s="5"/>
      <c r="J15" s="5"/>
      <c r="K15" s="97"/>
      <c r="L15" s="97"/>
      <c r="M15" s="97"/>
      <c r="N15" s="97"/>
    </row>
    <row r="16" spans="1:15" x14ac:dyDescent="0.25">
      <c r="A16" s="187"/>
      <c r="B16" s="4" t="s">
        <v>165</v>
      </c>
      <c r="C16" s="13" t="s">
        <v>109</v>
      </c>
      <c r="D16" s="5">
        <v>0.3</v>
      </c>
      <c r="E16" s="5">
        <v>0.6</v>
      </c>
      <c r="F16" s="5">
        <v>0.9</v>
      </c>
      <c r="H16" s="13"/>
      <c r="I16" s="13"/>
      <c r="J16" s="13"/>
    </row>
    <row r="17" spans="1:13" x14ac:dyDescent="0.25">
      <c r="A17" s="187"/>
      <c r="B17" s="4" t="s">
        <v>166</v>
      </c>
      <c r="C17" s="13" t="s">
        <v>109</v>
      </c>
      <c r="D17" s="13" t="s">
        <v>109</v>
      </c>
      <c r="E17" s="13" t="s">
        <v>109</v>
      </c>
      <c r="F17" s="13" t="s">
        <v>109</v>
      </c>
      <c r="H17" s="13"/>
      <c r="I17" s="13"/>
      <c r="J17" s="13"/>
    </row>
    <row r="18" spans="1:13" x14ac:dyDescent="0.25">
      <c r="A18" s="187"/>
      <c r="B18" s="4" t="s">
        <v>167</v>
      </c>
      <c r="C18" s="13" t="s">
        <v>109</v>
      </c>
      <c r="D18" s="13" t="s">
        <v>109</v>
      </c>
      <c r="E18" s="13" t="s">
        <v>109</v>
      </c>
      <c r="F18" s="13" t="s">
        <v>109</v>
      </c>
      <c r="H18" s="13"/>
      <c r="I18" s="13"/>
      <c r="J18" s="13"/>
    </row>
    <row r="19" spans="1:13" x14ac:dyDescent="0.25">
      <c r="A19" s="187" t="s">
        <v>11</v>
      </c>
      <c r="B19" s="4" t="s">
        <v>163</v>
      </c>
      <c r="C19" s="5">
        <v>676.6</v>
      </c>
      <c r="D19" s="5">
        <v>1109.5</v>
      </c>
      <c r="E19" s="5">
        <v>14.4</v>
      </c>
      <c r="F19" s="5">
        <v>1800.5</v>
      </c>
      <c r="H19" s="5"/>
      <c r="I19" s="5"/>
      <c r="J19" s="5"/>
    </row>
    <row r="20" spans="1:13" x14ac:dyDescent="0.25">
      <c r="A20" s="187"/>
      <c r="B20" s="4" t="s">
        <v>164</v>
      </c>
      <c r="C20" s="5">
        <v>350.5</v>
      </c>
      <c r="D20" s="5">
        <v>270.89999999999998</v>
      </c>
      <c r="E20" s="5">
        <v>6.5</v>
      </c>
      <c r="F20" s="5">
        <v>627.79999999999995</v>
      </c>
      <c r="H20" s="5"/>
      <c r="I20" s="5"/>
      <c r="J20" s="5"/>
      <c r="K20" s="5"/>
      <c r="L20" s="5"/>
    </row>
    <row r="21" spans="1:13" x14ac:dyDescent="0.25">
      <c r="A21" s="187"/>
      <c r="B21" s="4" t="s">
        <v>165</v>
      </c>
      <c r="C21" s="5">
        <v>419.1</v>
      </c>
      <c r="D21" s="5">
        <v>101.4</v>
      </c>
      <c r="E21" s="5">
        <v>2.4</v>
      </c>
      <c r="F21" s="5">
        <v>522.9</v>
      </c>
      <c r="H21" s="5"/>
      <c r="I21" s="5"/>
      <c r="J21" s="5"/>
      <c r="K21" s="5"/>
      <c r="L21" s="5"/>
    </row>
    <row r="22" spans="1:13" x14ac:dyDescent="0.25">
      <c r="A22" s="187"/>
      <c r="B22" s="4" t="s">
        <v>166</v>
      </c>
      <c r="C22" s="5">
        <v>104.7</v>
      </c>
      <c r="D22" s="5">
        <v>10</v>
      </c>
      <c r="E22" s="5">
        <v>0.2</v>
      </c>
      <c r="F22" s="5">
        <v>115</v>
      </c>
      <c r="H22" s="5"/>
      <c r="I22" s="5"/>
      <c r="J22" s="5"/>
      <c r="K22" s="5"/>
      <c r="L22" s="5"/>
    </row>
    <row r="23" spans="1:13" x14ac:dyDescent="0.25">
      <c r="A23" s="187"/>
      <c r="B23" s="4" t="s">
        <v>167</v>
      </c>
      <c r="C23" s="5">
        <v>125.7</v>
      </c>
      <c r="D23" s="5">
        <v>3.1</v>
      </c>
      <c r="E23" s="13" t="s">
        <v>109</v>
      </c>
      <c r="F23" s="5">
        <v>128.80000000000001</v>
      </c>
      <c r="H23" s="5"/>
      <c r="I23" s="5"/>
      <c r="J23" s="13"/>
      <c r="K23" s="5"/>
      <c r="L23" s="5"/>
    </row>
    <row r="24" spans="1:13" ht="15" customHeight="1" x14ac:dyDescent="0.25">
      <c r="A24" s="2"/>
      <c r="B24" s="60" t="s">
        <v>168</v>
      </c>
      <c r="C24" s="97">
        <v>1742.71</v>
      </c>
      <c r="D24" s="97">
        <v>1580.61</v>
      </c>
      <c r="E24" s="97">
        <v>35.06</v>
      </c>
      <c r="F24" s="97">
        <v>3358.37</v>
      </c>
      <c r="H24" s="97"/>
      <c r="I24" s="97"/>
      <c r="J24" s="97"/>
      <c r="K24" s="97"/>
      <c r="L24" s="97"/>
    </row>
    <row r="25" spans="1:13" x14ac:dyDescent="0.25">
      <c r="A25" s="190" t="s">
        <v>12</v>
      </c>
      <c r="B25" s="190"/>
      <c r="C25" s="190"/>
      <c r="D25" s="190"/>
      <c r="E25" s="190"/>
      <c r="F25" s="190"/>
    </row>
    <row r="26" spans="1:13" x14ac:dyDescent="0.25">
      <c r="A26" s="77" t="s">
        <v>184</v>
      </c>
      <c r="B26" s="76"/>
      <c r="C26" s="76"/>
      <c r="D26" s="76"/>
      <c r="E26" s="76"/>
      <c r="F26" s="76"/>
    </row>
    <row r="27" spans="1:13" s="6" customFormat="1" ht="9" x14ac:dyDescent="0.15">
      <c r="A27" s="6" t="s">
        <v>13</v>
      </c>
    </row>
    <row r="28" spans="1:13" s="12" customFormat="1" ht="12.75" x14ac:dyDescent="0.2">
      <c r="A28" s="39" t="s">
        <v>23</v>
      </c>
    </row>
    <row r="29" spans="1:13" s="6" customFormat="1" ht="9" x14ac:dyDescent="0.15">
      <c r="A29" s="6" t="s">
        <v>48</v>
      </c>
    </row>
    <row r="30" spans="1:13" s="6" customFormat="1" ht="9" x14ac:dyDescent="0.15">
      <c r="A30" s="6" t="s">
        <v>49</v>
      </c>
    </row>
    <row r="31" spans="1:13" s="6" customFormat="1" ht="9" x14ac:dyDescent="0.15">
      <c r="A31" s="186" t="s">
        <v>271</v>
      </c>
      <c r="B31" s="186"/>
      <c r="C31" s="186"/>
      <c r="D31" s="186"/>
      <c r="E31" s="186"/>
      <c r="F31" s="186"/>
      <c r="G31" s="186"/>
      <c r="H31" s="186"/>
      <c r="I31" s="186"/>
      <c r="J31" s="186"/>
      <c r="K31" s="186"/>
      <c r="L31" s="186"/>
      <c r="M31" s="186"/>
    </row>
    <row r="32" spans="1:13" s="6" customFormat="1" ht="9" x14ac:dyDescent="0.15">
      <c r="A32" s="6" t="s">
        <v>14</v>
      </c>
    </row>
    <row r="33" spans="1:19" s="6" customFormat="1" ht="9" x14ac:dyDescent="0.15">
      <c r="A33" s="6" t="s">
        <v>263</v>
      </c>
    </row>
    <row r="34" spans="1:19" x14ac:dyDescent="0.25">
      <c r="A34" s="2"/>
    </row>
    <row r="35" spans="1:19" ht="30.75" customHeight="1" x14ac:dyDescent="0.25">
      <c r="A35" s="189" t="s">
        <v>308</v>
      </c>
      <c r="B35" s="189"/>
      <c r="C35" s="189"/>
      <c r="D35" s="189"/>
      <c r="E35" s="189"/>
      <c r="F35" s="189"/>
    </row>
    <row r="36" spans="1:19" ht="1.5" customHeight="1" x14ac:dyDescent="0.25">
      <c r="A36" s="2"/>
    </row>
    <row r="37" spans="1:19" ht="23.25" x14ac:dyDescent="0.25">
      <c r="A37" s="61" t="s">
        <v>119</v>
      </c>
      <c r="B37" s="61" t="s">
        <v>169</v>
      </c>
      <c r="C37" s="3" t="s">
        <v>18</v>
      </c>
      <c r="D37" s="3" t="s">
        <v>19</v>
      </c>
      <c r="E37" s="3" t="s">
        <v>20</v>
      </c>
      <c r="F37" s="3" t="s">
        <v>11</v>
      </c>
    </row>
    <row r="38" spans="1:19" x14ac:dyDescent="0.25">
      <c r="A38" s="187" t="s">
        <v>17</v>
      </c>
      <c r="B38" s="4" t="s">
        <v>163</v>
      </c>
      <c r="C38" s="8">
        <v>1095</v>
      </c>
      <c r="D38" s="8">
        <v>1989</v>
      </c>
      <c r="E38" s="8">
        <v>35</v>
      </c>
      <c r="F38" s="8">
        <v>3119</v>
      </c>
      <c r="H38" s="8"/>
      <c r="I38" s="8"/>
      <c r="J38" s="8"/>
      <c r="K38" s="8"/>
      <c r="N38" s="120"/>
      <c r="O38" s="125"/>
      <c r="P38" s="125"/>
      <c r="Q38" s="125"/>
      <c r="R38" s="125"/>
      <c r="S38" s="125"/>
    </row>
    <row r="39" spans="1:19" x14ac:dyDescent="0.25">
      <c r="A39" s="187"/>
      <c r="B39" s="4" t="s">
        <v>164</v>
      </c>
      <c r="C39" s="8">
        <v>558</v>
      </c>
      <c r="D39" s="8">
        <v>433</v>
      </c>
      <c r="E39" s="8">
        <v>17</v>
      </c>
      <c r="F39" s="8">
        <v>1008</v>
      </c>
      <c r="H39" s="8"/>
      <c r="I39" s="8"/>
      <c r="J39" s="8"/>
      <c r="K39" s="8"/>
      <c r="O39" s="125"/>
      <c r="P39" s="125"/>
      <c r="Q39" s="125"/>
      <c r="R39" s="125"/>
      <c r="S39" s="125"/>
    </row>
    <row r="40" spans="1:19" x14ac:dyDescent="0.25">
      <c r="A40" s="187"/>
      <c r="B40" s="4" t="s">
        <v>165</v>
      </c>
      <c r="C40" s="8">
        <v>844</v>
      </c>
      <c r="D40" s="8">
        <v>197</v>
      </c>
      <c r="E40" s="8">
        <v>13</v>
      </c>
      <c r="F40" s="8">
        <v>1054</v>
      </c>
      <c r="H40" s="8"/>
      <c r="I40" s="8"/>
      <c r="J40" s="8"/>
      <c r="K40" s="8"/>
      <c r="O40" s="125"/>
      <c r="P40" s="125"/>
      <c r="Q40" s="125"/>
      <c r="R40" s="125"/>
      <c r="S40" s="125"/>
    </row>
    <row r="41" spans="1:19" x14ac:dyDescent="0.25">
      <c r="A41" s="187"/>
      <c r="B41" s="4" t="s">
        <v>166</v>
      </c>
      <c r="C41" s="8">
        <v>372</v>
      </c>
      <c r="D41" s="8">
        <v>25</v>
      </c>
      <c r="E41" s="8">
        <v>6</v>
      </c>
      <c r="F41" s="8">
        <v>403</v>
      </c>
      <c r="H41" s="8"/>
      <c r="I41" s="8"/>
      <c r="J41" s="8"/>
      <c r="K41" s="8"/>
      <c r="O41" s="125"/>
      <c r="P41" s="125"/>
      <c r="Q41" s="125"/>
      <c r="R41" s="125"/>
      <c r="S41" s="125"/>
    </row>
    <row r="42" spans="1:19" x14ac:dyDescent="0.25">
      <c r="A42" s="187"/>
      <c r="B42" s="4" t="s">
        <v>167</v>
      </c>
      <c r="C42" s="8">
        <v>515</v>
      </c>
      <c r="D42" s="8">
        <v>8</v>
      </c>
      <c r="E42" s="8">
        <v>3</v>
      </c>
      <c r="F42" s="8">
        <v>526</v>
      </c>
      <c r="H42" s="8"/>
      <c r="I42" s="8"/>
      <c r="J42" s="8"/>
      <c r="K42" s="8"/>
      <c r="O42" s="125"/>
      <c r="P42" s="125"/>
      <c r="Q42" s="125"/>
      <c r="R42" s="125"/>
      <c r="S42" s="125"/>
    </row>
    <row r="43" spans="1:19" x14ac:dyDescent="0.25">
      <c r="A43" s="187" t="s">
        <v>21</v>
      </c>
      <c r="B43" s="4" t="s">
        <v>163</v>
      </c>
      <c r="C43" s="8">
        <v>401</v>
      </c>
      <c r="D43" s="8">
        <v>452</v>
      </c>
      <c r="E43" s="8">
        <v>4</v>
      </c>
      <c r="F43" s="8">
        <v>857</v>
      </c>
      <c r="H43" s="8"/>
      <c r="I43" s="8"/>
      <c r="J43" s="8"/>
      <c r="K43" s="8"/>
      <c r="O43" s="125"/>
      <c r="P43" s="125"/>
      <c r="Q43" s="125"/>
      <c r="R43" s="125"/>
      <c r="S43" s="125"/>
    </row>
    <row r="44" spans="1:19" x14ac:dyDescent="0.25">
      <c r="A44" s="187"/>
      <c r="B44" s="4" t="s">
        <v>164</v>
      </c>
      <c r="C44" s="8">
        <v>159</v>
      </c>
      <c r="D44" s="8">
        <v>111</v>
      </c>
      <c r="E44" s="8">
        <v>6</v>
      </c>
      <c r="F44" s="8">
        <v>276</v>
      </c>
      <c r="H44" s="8"/>
      <c r="I44" s="8"/>
      <c r="J44" s="8"/>
      <c r="K44" s="8"/>
      <c r="O44" s="125"/>
      <c r="P44" s="125"/>
      <c r="Q44" s="125"/>
      <c r="R44" s="125"/>
      <c r="S44" s="125"/>
    </row>
    <row r="45" spans="1:19" x14ac:dyDescent="0.25">
      <c r="A45" s="187"/>
      <c r="B45" s="4" t="s">
        <v>165</v>
      </c>
      <c r="C45" s="8">
        <v>295</v>
      </c>
      <c r="D45" s="8">
        <v>36</v>
      </c>
      <c r="E45" s="8">
        <v>5</v>
      </c>
      <c r="F45" s="8">
        <v>336</v>
      </c>
      <c r="H45" s="8"/>
      <c r="I45" s="8"/>
      <c r="J45" s="8"/>
      <c r="K45" s="8"/>
      <c r="O45" s="125"/>
      <c r="P45" s="125"/>
      <c r="Q45" s="125"/>
      <c r="R45" s="125"/>
      <c r="S45" s="125"/>
    </row>
    <row r="46" spans="1:19" x14ac:dyDescent="0.25">
      <c r="A46" s="187"/>
      <c r="B46" s="4" t="s">
        <v>166</v>
      </c>
      <c r="C46" s="8">
        <v>106</v>
      </c>
      <c r="D46" s="8">
        <v>2</v>
      </c>
      <c r="E46" s="13" t="s">
        <v>109</v>
      </c>
      <c r="F46" s="8">
        <v>108</v>
      </c>
      <c r="H46" s="8"/>
      <c r="I46" s="8"/>
      <c r="J46" s="13"/>
      <c r="K46" s="8"/>
      <c r="O46" s="125"/>
      <c r="P46" s="125"/>
      <c r="Q46" s="125"/>
      <c r="R46" s="125"/>
      <c r="S46" s="125"/>
    </row>
    <row r="47" spans="1:19" x14ac:dyDescent="0.25">
      <c r="A47" s="187"/>
      <c r="B47" s="4" t="s">
        <v>167</v>
      </c>
      <c r="C47" s="8">
        <v>79</v>
      </c>
      <c r="D47" s="8">
        <v>3</v>
      </c>
      <c r="E47" s="13" t="s">
        <v>109</v>
      </c>
      <c r="F47" s="8">
        <v>82</v>
      </c>
      <c r="H47" s="8"/>
      <c r="I47" s="8"/>
      <c r="J47" s="13"/>
      <c r="K47" s="8"/>
      <c r="O47" s="125"/>
      <c r="P47" s="125"/>
      <c r="Q47" s="125"/>
      <c r="R47" s="125"/>
      <c r="S47" s="125"/>
    </row>
    <row r="48" spans="1:19" x14ac:dyDescent="0.25">
      <c r="A48" s="187" t="s">
        <v>20</v>
      </c>
      <c r="B48" s="4" t="s">
        <v>163</v>
      </c>
      <c r="C48" s="8">
        <v>2</v>
      </c>
      <c r="D48" s="13">
        <v>2</v>
      </c>
      <c r="E48" s="13" t="s">
        <v>109</v>
      </c>
      <c r="F48" s="8">
        <v>3</v>
      </c>
      <c r="H48" s="8"/>
      <c r="I48" s="13"/>
      <c r="J48" s="13"/>
      <c r="K48" s="8"/>
      <c r="O48" s="125"/>
      <c r="P48" s="125"/>
      <c r="Q48" s="125"/>
      <c r="R48" s="125"/>
      <c r="S48" s="125"/>
    </row>
    <row r="49" spans="1:19" x14ac:dyDescent="0.25">
      <c r="A49" s="187"/>
      <c r="B49" s="4" t="s">
        <v>164</v>
      </c>
      <c r="C49" s="13" t="s">
        <v>109</v>
      </c>
      <c r="D49" s="8">
        <v>4</v>
      </c>
      <c r="E49" s="13" t="s">
        <v>109</v>
      </c>
      <c r="F49" s="8">
        <v>4</v>
      </c>
      <c r="H49" s="13"/>
      <c r="I49" s="8"/>
      <c r="J49" s="8"/>
      <c r="K49" s="8"/>
      <c r="O49" s="125"/>
      <c r="P49" s="125"/>
      <c r="Q49" s="125"/>
      <c r="R49" s="125"/>
      <c r="S49" s="125"/>
    </row>
    <row r="50" spans="1:19" x14ac:dyDescent="0.25">
      <c r="A50" s="187"/>
      <c r="B50" s="4" t="s">
        <v>165</v>
      </c>
      <c r="C50" s="13" t="s">
        <v>109</v>
      </c>
      <c r="D50" s="13" t="s">
        <v>109</v>
      </c>
      <c r="E50" s="13">
        <v>3</v>
      </c>
      <c r="F50" s="13">
        <v>3</v>
      </c>
      <c r="H50" s="13"/>
      <c r="I50" s="13"/>
      <c r="J50" s="13"/>
      <c r="K50" s="13"/>
      <c r="O50" s="125"/>
      <c r="P50" s="125"/>
      <c r="Q50" s="125"/>
      <c r="R50" s="125"/>
      <c r="S50" s="125"/>
    </row>
    <row r="51" spans="1:19" x14ac:dyDescent="0.25">
      <c r="A51" s="187"/>
      <c r="B51" s="4" t="s">
        <v>166</v>
      </c>
      <c r="C51" s="13" t="s">
        <v>109</v>
      </c>
      <c r="D51" s="13" t="s">
        <v>109</v>
      </c>
      <c r="E51" s="13" t="s">
        <v>109</v>
      </c>
      <c r="F51" s="13" t="s">
        <v>109</v>
      </c>
      <c r="H51" s="13"/>
      <c r="I51" s="13"/>
      <c r="J51" s="13"/>
      <c r="K51" s="13"/>
      <c r="O51" s="125"/>
      <c r="P51" s="125"/>
      <c r="Q51" s="125"/>
      <c r="R51" s="125"/>
      <c r="S51" s="125"/>
    </row>
    <row r="52" spans="1:19" x14ac:dyDescent="0.25">
      <c r="A52" s="187"/>
      <c r="B52" s="4" t="s">
        <v>167</v>
      </c>
      <c r="C52" s="13" t="s">
        <v>109</v>
      </c>
      <c r="D52" s="13" t="s">
        <v>109</v>
      </c>
      <c r="E52" s="8">
        <v>1</v>
      </c>
      <c r="F52" s="8">
        <v>1</v>
      </c>
      <c r="H52" s="13"/>
      <c r="I52" s="13"/>
      <c r="J52" s="8"/>
      <c r="K52" s="8"/>
      <c r="O52" s="125"/>
      <c r="P52" s="125"/>
      <c r="Q52" s="125"/>
      <c r="R52" s="125"/>
      <c r="S52" s="125"/>
    </row>
    <row r="53" spans="1:19" x14ac:dyDescent="0.25">
      <c r="A53" s="187" t="s">
        <v>11</v>
      </c>
      <c r="B53" s="4" t="s">
        <v>163</v>
      </c>
      <c r="C53" s="8">
        <v>1498</v>
      </c>
      <c r="D53" s="8">
        <v>2443</v>
      </c>
      <c r="E53" s="8">
        <v>38</v>
      </c>
      <c r="F53" s="8">
        <v>3979</v>
      </c>
      <c r="H53" s="8"/>
      <c r="I53" s="8"/>
      <c r="J53" s="8"/>
      <c r="K53" s="8"/>
      <c r="O53" s="125"/>
      <c r="P53" s="125"/>
      <c r="Q53" s="125"/>
      <c r="R53" s="125"/>
      <c r="S53" s="125"/>
    </row>
    <row r="54" spans="1:19" x14ac:dyDescent="0.25">
      <c r="A54" s="187"/>
      <c r="B54" s="4" t="s">
        <v>164</v>
      </c>
      <c r="C54" s="8">
        <v>717</v>
      </c>
      <c r="D54" s="8">
        <v>548</v>
      </c>
      <c r="E54" s="8">
        <v>23</v>
      </c>
      <c r="F54" s="8">
        <v>1289</v>
      </c>
      <c r="H54" s="8"/>
      <c r="I54" s="8"/>
      <c r="J54" s="8"/>
      <c r="K54" s="8"/>
      <c r="O54" s="125"/>
      <c r="P54" s="125"/>
      <c r="Q54" s="125"/>
      <c r="R54" s="125"/>
      <c r="S54" s="125"/>
    </row>
    <row r="55" spans="1:19" x14ac:dyDescent="0.25">
      <c r="A55" s="187"/>
      <c r="B55" s="4" t="s">
        <v>165</v>
      </c>
      <c r="C55" s="8">
        <v>1139</v>
      </c>
      <c r="D55" s="8">
        <v>233</v>
      </c>
      <c r="E55" s="8">
        <v>21</v>
      </c>
      <c r="F55" s="8">
        <v>1393</v>
      </c>
      <c r="H55" s="8"/>
      <c r="I55" s="8"/>
      <c r="J55" s="8"/>
      <c r="K55" s="8"/>
      <c r="O55" s="125"/>
      <c r="P55" s="125"/>
      <c r="Q55" s="125"/>
      <c r="R55" s="125"/>
      <c r="S55" s="125"/>
    </row>
    <row r="56" spans="1:19" x14ac:dyDescent="0.25">
      <c r="A56" s="187"/>
      <c r="B56" s="4" t="s">
        <v>166</v>
      </c>
      <c r="C56" s="8">
        <v>478</v>
      </c>
      <c r="D56" s="8">
        <v>26</v>
      </c>
      <c r="E56" s="8">
        <v>6</v>
      </c>
      <c r="F56" s="8">
        <v>510</v>
      </c>
      <c r="H56" s="8"/>
      <c r="I56" s="8"/>
      <c r="J56" s="8"/>
      <c r="K56" s="8"/>
      <c r="O56" s="125"/>
      <c r="P56" s="125"/>
      <c r="Q56" s="125"/>
      <c r="R56" s="125"/>
      <c r="S56" s="125"/>
    </row>
    <row r="57" spans="1:19" x14ac:dyDescent="0.25">
      <c r="A57" s="187"/>
      <c r="B57" s="4" t="s">
        <v>167</v>
      </c>
      <c r="C57" s="8">
        <v>594</v>
      </c>
      <c r="D57" s="8">
        <v>11</v>
      </c>
      <c r="E57" s="8">
        <v>4</v>
      </c>
      <c r="F57" s="8">
        <v>609</v>
      </c>
      <c r="H57" s="8"/>
      <c r="I57" s="8"/>
      <c r="J57" s="8"/>
      <c r="K57" s="8"/>
      <c r="O57" s="125"/>
      <c r="P57" s="125"/>
      <c r="Q57" s="125"/>
      <c r="R57" s="125"/>
      <c r="S57" s="125"/>
    </row>
    <row r="58" spans="1:19" ht="15" customHeight="1" x14ac:dyDescent="0.25">
      <c r="A58" s="78"/>
      <c r="B58" s="110" t="s">
        <v>168</v>
      </c>
      <c r="C58" s="132">
        <v>4684</v>
      </c>
      <c r="D58" s="132">
        <v>3477</v>
      </c>
      <c r="E58" s="132">
        <v>140</v>
      </c>
      <c r="F58" s="132">
        <v>8301</v>
      </c>
      <c r="G58" s="8"/>
      <c r="H58" s="8"/>
      <c r="I58" s="8"/>
      <c r="J58" s="8"/>
      <c r="K58" s="8"/>
      <c r="L58" s="8"/>
    </row>
    <row r="59" spans="1:19" x14ac:dyDescent="0.25">
      <c r="A59" s="6" t="s">
        <v>185</v>
      </c>
      <c r="B59" s="6"/>
      <c r="C59" s="6"/>
      <c r="D59" s="6"/>
      <c r="E59" s="6"/>
      <c r="F59" s="6"/>
      <c r="G59" s="8"/>
      <c r="H59" s="8"/>
      <c r="I59" s="8"/>
      <c r="J59" s="8"/>
      <c r="K59" s="8"/>
      <c r="L59" s="8"/>
    </row>
    <row r="60" spans="1:19" s="6" customFormat="1" ht="9" x14ac:dyDescent="0.15">
      <c r="A60" s="77" t="s">
        <v>23</v>
      </c>
      <c r="B60" s="77"/>
      <c r="C60" s="77"/>
      <c r="D60" s="77"/>
      <c r="E60" s="77"/>
      <c r="F60" s="77"/>
    </row>
    <row r="61" spans="1:19" s="6" customFormat="1" ht="9" x14ac:dyDescent="0.15">
      <c r="A61" s="6" t="s">
        <v>48</v>
      </c>
    </row>
    <row r="62" spans="1:19" s="6" customFormat="1" ht="10.5" customHeight="1" x14ac:dyDescent="0.15">
      <c r="A62" s="6" t="s">
        <v>49</v>
      </c>
    </row>
    <row r="63" spans="1:19" s="6" customFormat="1" ht="9" x14ac:dyDescent="0.15"/>
    <row r="64" spans="1:19" x14ac:dyDescent="0.25">
      <c r="A64" s="6" t="s">
        <v>263</v>
      </c>
      <c r="B64" s="6"/>
      <c r="C64" s="6"/>
      <c r="D64" s="6"/>
      <c r="E64" s="6"/>
      <c r="F64" s="6"/>
    </row>
  </sheetData>
  <mergeCells count="12">
    <mergeCell ref="A1:F1"/>
    <mergeCell ref="A4:A8"/>
    <mergeCell ref="A9:A13"/>
    <mergeCell ref="A14:A18"/>
    <mergeCell ref="A19:A23"/>
    <mergeCell ref="A38:A42"/>
    <mergeCell ref="A43:A47"/>
    <mergeCell ref="A48:A52"/>
    <mergeCell ref="A53:A57"/>
    <mergeCell ref="A25:F25"/>
    <mergeCell ref="A35:F35"/>
    <mergeCell ref="A31:M31"/>
  </mergeCells>
  <pageMargins left="0.08" right="0.08" top="1" bottom="1" header="0.5" footer="0.5"/>
  <pageSetup orientation="landscape" blackAndWhite="1"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D89"/>
  <sheetViews>
    <sheetView zoomScaleNormal="100" workbookViewId="0">
      <selection sqref="A1:J1"/>
    </sheetView>
  </sheetViews>
  <sheetFormatPr defaultColWidth="9.140625" defaultRowHeight="15" x14ac:dyDescent="0.25"/>
  <cols>
    <col min="1" max="1" width="34.5703125" style="1" customWidth="1"/>
    <col min="2" max="5" width="11.42578125" style="1" bestFit="1" customWidth="1"/>
    <col min="6" max="7" width="11.42578125" style="18" bestFit="1" customWidth="1"/>
    <col min="8" max="9" width="11.42578125" style="1" bestFit="1" customWidth="1"/>
    <col min="10" max="10" width="13.140625" style="1" customWidth="1"/>
    <col min="11" max="13" width="9.140625" style="1"/>
    <col min="14" max="14" width="18.5703125" style="1" bestFit="1" customWidth="1"/>
    <col min="15" max="16384" width="9.140625" style="1"/>
  </cols>
  <sheetData>
    <row r="1" spans="1:22" ht="14.25" customHeight="1" x14ac:dyDescent="0.25">
      <c r="A1" s="183" t="s">
        <v>364</v>
      </c>
      <c r="B1" s="203"/>
      <c r="C1" s="203"/>
      <c r="D1" s="203"/>
      <c r="E1" s="203"/>
      <c r="F1" s="203"/>
      <c r="G1" s="203"/>
      <c r="H1" s="203"/>
      <c r="I1" s="203"/>
      <c r="J1" s="203"/>
    </row>
    <row r="2" spans="1:22" ht="3.75" customHeight="1" x14ac:dyDescent="0.25">
      <c r="A2" s="62"/>
    </row>
    <row r="3" spans="1:22" x14ac:dyDescent="0.25">
      <c r="A3" s="61" t="s">
        <v>169</v>
      </c>
      <c r="B3" s="35" t="s">
        <v>0</v>
      </c>
      <c r="C3" s="35" t="s">
        <v>1</v>
      </c>
      <c r="D3" s="35" t="s">
        <v>2</v>
      </c>
      <c r="E3" s="35" t="s">
        <v>3</v>
      </c>
      <c r="F3" s="71" t="s">
        <v>4</v>
      </c>
      <c r="G3" s="71" t="s">
        <v>5</v>
      </c>
      <c r="H3" s="35" t="s">
        <v>6</v>
      </c>
      <c r="I3" s="35" t="s">
        <v>7</v>
      </c>
      <c r="J3" s="35" t="s">
        <v>8</v>
      </c>
    </row>
    <row r="4" spans="1:22" x14ac:dyDescent="0.25">
      <c r="A4" s="23" t="s">
        <v>163</v>
      </c>
      <c r="B4" s="5">
        <v>395.5</v>
      </c>
      <c r="C4" s="5">
        <v>161.6</v>
      </c>
      <c r="D4" s="5">
        <v>370.7</v>
      </c>
      <c r="E4" s="5">
        <v>247.3</v>
      </c>
      <c r="F4" s="5">
        <v>108.8</v>
      </c>
      <c r="G4" s="74" t="s">
        <v>112</v>
      </c>
      <c r="H4" s="5">
        <v>41.9</v>
      </c>
      <c r="I4" s="5" t="s">
        <v>114</v>
      </c>
      <c r="J4" s="5">
        <v>1325.8</v>
      </c>
      <c r="L4" s="5"/>
      <c r="M4" s="5"/>
      <c r="N4" s="5"/>
      <c r="O4" s="5"/>
      <c r="P4" s="5"/>
      <c r="Q4" s="74"/>
      <c r="R4" s="5"/>
      <c r="S4" s="5"/>
      <c r="T4" s="5"/>
      <c r="U4" s="156"/>
      <c r="V4" s="127"/>
    </row>
    <row r="5" spans="1:22" x14ac:dyDescent="0.25">
      <c r="A5" s="23" t="s">
        <v>164</v>
      </c>
      <c r="B5" s="5">
        <v>193.7</v>
      </c>
      <c r="C5" s="5">
        <v>39</v>
      </c>
      <c r="D5" s="5">
        <v>146.30000000000001</v>
      </c>
      <c r="E5" s="5">
        <v>12.4</v>
      </c>
      <c r="F5" s="5">
        <v>8.5</v>
      </c>
      <c r="G5" s="5">
        <v>64.8</v>
      </c>
      <c r="H5" s="5">
        <v>0.1</v>
      </c>
      <c r="I5" s="5" t="s">
        <v>114</v>
      </c>
      <c r="J5" s="5">
        <v>464.8</v>
      </c>
      <c r="L5" s="5"/>
      <c r="M5" s="5"/>
      <c r="N5" s="5"/>
      <c r="O5" s="5"/>
      <c r="P5" s="5"/>
      <c r="Q5" s="5"/>
      <c r="R5" s="5"/>
      <c r="S5" s="5"/>
      <c r="T5" s="5"/>
      <c r="U5" s="156"/>
    </row>
    <row r="6" spans="1:22" x14ac:dyDescent="0.25">
      <c r="A6" s="23" t="s">
        <v>165</v>
      </c>
      <c r="B6" s="5">
        <v>57.2</v>
      </c>
      <c r="C6" s="5">
        <v>7.3</v>
      </c>
      <c r="D6" s="5">
        <v>243.1</v>
      </c>
      <c r="E6" s="5">
        <v>32.9</v>
      </c>
      <c r="F6" s="5">
        <v>31.4</v>
      </c>
      <c r="G6" s="5">
        <v>29.4</v>
      </c>
      <c r="H6" s="5" t="s">
        <v>112</v>
      </c>
      <c r="I6" s="5" t="s">
        <v>114</v>
      </c>
      <c r="J6" s="5">
        <v>401.4</v>
      </c>
      <c r="L6" s="5"/>
      <c r="M6" s="5"/>
      <c r="N6" s="5"/>
      <c r="O6" s="5"/>
      <c r="P6" s="5"/>
      <c r="Q6" s="5"/>
      <c r="R6" s="5"/>
      <c r="S6" s="5"/>
      <c r="T6" s="5"/>
      <c r="U6" s="156"/>
    </row>
    <row r="7" spans="1:22" x14ac:dyDescent="0.25">
      <c r="A7" s="23" t="s">
        <v>166</v>
      </c>
      <c r="B7" s="5">
        <v>10.9</v>
      </c>
      <c r="C7" s="13" t="s">
        <v>109</v>
      </c>
      <c r="D7" s="5">
        <v>44</v>
      </c>
      <c r="E7" s="5">
        <v>24.8</v>
      </c>
      <c r="F7" s="5">
        <v>6.3</v>
      </c>
      <c r="G7" s="5">
        <v>0.8</v>
      </c>
      <c r="H7" s="5" t="s">
        <v>112</v>
      </c>
      <c r="I7" s="5" t="s">
        <v>114</v>
      </c>
      <c r="J7" s="5">
        <v>86.8</v>
      </c>
      <c r="L7" s="5"/>
      <c r="M7" s="13"/>
      <c r="N7" s="5"/>
      <c r="O7" s="5"/>
      <c r="P7" s="5"/>
      <c r="Q7" s="5"/>
      <c r="R7" s="5"/>
      <c r="S7" s="5"/>
      <c r="T7" s="5"/>
      <c r="U7" s="156"/>
    </row>
    <row r="8" spans="1:22" x14ac:dyDescent="0.25">
      <c r="A8" s="23" t="s">
        <v>167</v>
      </c>
      <c r="B8" s="5">
        <v>7.3</v>
      </c>
      <c r="C8" s="74" t="s">
        <v>112</v>
      </c>
      <c r="D8" s="5">
        <v>43.6</v>
      </c>
      <c r="E8" s="5">
        <v>48.4</v>
      </c>
      <c r="F8" s="5">
        <v>6.9</v>
      </c>
      <c r="G8" s="13" t="s">
        <v>109</v>
      </c>
      <c r="H8" s="5" t="s">
        <v>112</v>
      </c>
      <c r="I8" s="5" t="s">
        <v>114</v>
      </c>
      <c r="J8" s="5">
        <v>106.2</v>
      </c>
      <c r="L8" s="5"/>
      <c r="M8" s="74"/>
      <c r="N8" s="5"/>
      <c r="O8" s="5"/>
      <c r="P8" s="5"/>
      <c r="Q8" s="13"/>
      <c r="R8" s="5"/>
      <c r="S8" s="5"/>
      <c r="T8" s="5"/>
      <c r="U8" s="156"/>
    </row>
    <row r="9" spans="1:22" ht="15" customHeight="1" x14ac:dyDescent="0.25">
      <c r="A9" s="60" t="s">
        <v>168</v>
      </c>
      <c r="B9" s="97">
        <v>739.5</v>
      </c>
      <c r="C9" s="97">
        <v>228.7</v>
      </c>
      <c r="D9" s="97">
        <v>860</v>
      </c>
      <c r="E9" s="97">
        <v>367.8</v>
      </c>
      <c r="F9" s="97">
        <v>169.1</v>
      </c>
      <c r="G9" s="97">
        <v>96.4</v>
      </c>
      <c r="H9" s="97">
        <v>47.4</v>
      </c>
      <c r="I9" s="97" t="s">
        <v>114</v>
      </c>
      <c r="J9" s="97">
        <v>2508.8000000000002</v>
      </c>
      <c r="L9" s="97"/>
      <c r="M9" s="97"/>
      <c r="N9" s="97"/>
      <c r="O9" s="97"/>
      <c r="P9" s="97"/>
      <c r="Q9" s="97"/>
      <c r="R9" s="97"/>
      <c r="S9" s="97"/>
      <c r="T9" s="97"/>
    </row>
    <row r="10" spans="1:22" x14ac:dyDescent="0.25">
      <c r="A10" s="204" t="s">
        <v>12</v>
      </c>
      <c r="B10" s="204"/>
      <c r="C10" s="204"/>
      <c r="D10" s="204"/>
      <c r="E10" s="204"/>
      <c r="F10" s="204"/>
      <c r="G10" s="204"/>
      <c r="H10" s="204"/>
      <c r="I10" s="204"/>
      <c r="J10" s="204"/>
    </row>
    <row r="11" spans="1:22" x14ac:dyDescent="0.25">
      <c r="A11" s="77" t="s">
        <v>184</v>
      </c>
      <c r="B11" s="81"/>
      <c r="C11" s="81"/>
      <c r="D11" s="81"/>
      <c r="E11" s="81"/>
      <c r="F11" s="81"/>
      <c r="G11" s="81"/>
      <c r="H11" s="81"/>
      <c r="I11" s="81"/>
      <c r="J11" s="81"/>
    </row>
    <row r="12" spans="1:22" s="53" customFormat="1" ht="9" x14ac:dyDescent="0.15">
      <c r="A12" s="53" t="s">
        <v>13</v>
      </c>
      <c r="F12" s="72"/>
      <c r="G12" s="72"/>
    </row>
    <row r="13" spans="1:22" s="63" customFormat="1" ht="12.75" x14ac:dyDescent="0.2">
      <c r="A13" s="39" t="s">
        <v>23</v>
      </c>
      <c r="F13" s="73"/>
      <c r="G13" s="73"/>
    </row>
    <row r="14" spans="1:22" s="53" customFormat="1" ht="9" x14ac:dyDescent="0.15">
      <c r="A14" s="53" t="s">
        <v>48</v>
      </c>
      <c r="F14" s="72"/>
      <c r="G14" s="72"/>
    </row>
    <row r="15" spans="1:22" s="53" customFormat="1" ht="9" x14ac:dyDescent="0.15">
      <c r="A15" s="53" t="s">
        <v>49</v>
      </c>
      <c r="F15" s="72"/>
      <c r="G15" s="72"/>
    </row>
    <row r="16" spans="1:22" s="53" customFormat="1" ht="17.25" customHeight="1" x14ac:dyDescent="0.15">
      <c r="A16" s="205" t="s">
        <v>26</v>
      </c>
      <c r="B16" s="205"/>
      <c r="C16" s="205"/>
      <c r="D16" s="205"/>
      <c r="E16" s="205"/>
      <c r="F16" s="205"/>
      <c r="G16" s="205"/>
      <c r="H16" s="205"/>
      <c r="I16" s="205"/>
      <c r="J16" s="205"/>
    </row>
    <row r="17" spans="1:26" s="53" customFormat="1" ht="9" x14ac:dyDescent="0.15">
      <c r="A17" s="186" t="s">
        <v>363</v>
      </c>
      <c r="B17" s="186"/>
      <c r="C17" s="186"/>
      <c r="D17" s="186"/>
      <c r="E17" s="186"/>
      <c r="F17" s="186"/>
      <c r="G17" s="186"/>
      <c r="H17" s="186"/>
      <c r="I17" s="186"/>
      <c r="J17" s="186"/>
      <c r="K17" s="186"/>
      <c r="L17" s="186"/>
      <c r="M17" s="186"/>
    </row>
    <row r="18" spans="1:26" s="53" customFormat="1" ht="9" x14ac:dyDescent="0.15">
      <c r="A18" s="53" t="s">
        <v>14</v>
      </c>
      <c r="F18" s="72"/>
      <c r="G18" s="72"/>
    </row>
    <row r="19" spans="1:26" s="53" customFormat="1" ht="11.25" x14ac:dyDescent="0.2">
      <c r="A19" s="6" t="s">
        <v>265</v>
      </c>
      <c r="F19" s="72"/>
      <c r="G19" s="72"/>
      <c r="M19" s="97"/>
      <c r="N19" s="97"/>
      <c r="O19" s="97"/>
      <c r="P19" s="97"/>
      <c r="Q19" s="97"/>
      <c r="R19" s="97"/>
      <c r="S19" s="97"/>
      <c r="T19" s="97"/>
      <c r="U19" s="97"/>
    </row>
    <row r="20" spans="1:26" x14ac:dyDescent="0.25">
      <c r="A20" s="62"/>
      <c r="M20" s="6"/>
      <c r="N20" s="6"/>
      <c r="O20" s="6"/>
      <c r="P20" s="6"/>
      <c r="Q20" s="6"/>
      <c r="R20" s="6"/>
      <c r="S20" s="6"/>
      <c r="T20" s="6"/>
      <c r="U20" s="6"/>
    </row>
    <row r="21" spans="1:26" ht="27.75" customHeight="1" x14ac:dyDescent="0.25">
      <c r="A21" s="189" t="s">
        <v>365</v>
      </c>
      <c r="B21" s="206"/>
      <c r="C21" s="206"/>
      <c r="D21" s="206"/>
      <c r="E21" s="206"/>
      <c r="F21" s="206"/>
      <c r="G21" s="206"/>
      <c r="H21" s="206"/>
      <c r="I21" s="206"/>
      <c r="J21" s="206"/>
      <c r="M21" s="94"/>
      <c r="N21" s="94"/>
      <c r="O21" s="94"/>
      <c r="P21" s="94"/>
      <c r="Q21" s="94"/>
      <c r="R21" s="94"/>
      <c r="S21" s="94"/>
      <c r="T21" s="94"/>
      <c r="U21" s="94"/>
    </row>
    <row r="22" spans="1:26" ht="4.5" customHeight="1" x14ac:dyDescent="0.25">
      <c r="A22" s="62"/>
    </row>
    <row r="23" spans="1:26" x14ac:dyDescent="0.25">
      <c r="A23" s="61" t="s">
        <v>169</v>
      </c>
      <c r="B23" s="35" t="s">
        <v>0</v>
      </c>
      <c r="C23" s="35" t="s">
        <v>1</v>
      </c>
      <c r="D23" s="35" t="s">
        <v>2</v>
      </c>
      <c r="E23" s="35" t="s">
        <v>3</v>
      </c>
      <c r="F23" s="71" t="s">
        <v>4</v>
      </c>
      <c r="G23" s="71" t="s">
        <v>5</v>
      </c>
      <c r="H23" s="35" t="s">
        <v>6</v>
      </c>
      <c r="I23" s="35" t="s">
        <v>7</v>
      </c>
      <c r="J23" s="35" t="s">
        <v>8</v>
      </c>
    </row>
    <row r="24" spans="1:26" x14ac:dyDescent="0.25">
      <c r="A24" s="23" t="s">
        <v>163</v>
      </c>
      <c r="B24" s="13">
        <v>870</v>
      </c>
      <c r="C24" s="13">
        <v>387</v>
      </c>
      <c r="D24" s="13">
        <v>824</v>
      </c>
      <c r="E24" s="13">
        <v>716</v>
      </c>
      <c r="F24" s="13">
        <v>300</v>
      </c>
      <c r="G24" s="24" t="s">
        <v>109</v>
      </c>
      <c r="H24" s="13">
        <v>113</v>
      </c>
      <c r="I24" s="24" t="s">
        <v>109</v>
      </c>
      <c r="J24" s="13">
        <v>3211</v>
      </c>
      <c r="L24" s="121"/>
      <c r="M24" s="121"/>
      <c r="N24" s="121"/>
      <c r="O24" s="121"/>
      <c r="P24" s="121"/>
      <c r="Q24" s="121"/>
      <c r="R24" s="122"/>
      <c r="S24" s="121"/>
      <c r="T24" s="121"/>
      <c r="U24" s="121"/>
      <c r="V24" s="125"/>
      <c r="W24" s="125"/>
    </row>
    <row r="25" spans="1:26" x14ac:dyDescent="0.25">
      <c r="A25" s="23" t="s">
        <v>164</v>
      </c>
      <c r="B25" s="13">
        <v>435</v>
      </c>
      <c r="C25" s="13">
        <v>98</v>
      </c>
      <c r="D25" s="13">
        <v>321</v>
      </c>
      <c r="E25" s="13">
        <v>39</v>
      </c>
      <c r="F25" s="13">
        <v>21</v>
      </c>
      <c r="G25" s="13">
        <v>136</v>
      </c>
      <c r="H25" s="24" t="s">
        <v>109</v>
      </c>
      <c r="I25" s="24" t="s">
        <v>109</v>
      </c>
      <c r="J25" s="13">
        <v>1049</v>
      </c>
      <c r="L25" s="121"/>
      <c r="M25" s="121"/>
      <c r="N25" s="121"/>
      <c r="O25" s="121"/>
      <c r="P25" s="121"/>
      <c r="Q25" s="121"/>
      <c r="R25" s="121"/>
      <c r="S25" s="121"/>
      <c r="T25" s="121"/>
      <c r="U25" s="121"/>
    </row>
    <row r="26" spans="1:26" x14ac:dyDescent="0.25">
      <c r="A26" s="23" t="s">
        <v>165</v>
      </c>
      <c r="B26" s="13">
        <v>119</v>
      </c>
      <c r="C26" s="13">
        <v>23</v>
      </c>
      <c r="D26" s="13">
        <v>527</v>
      </c>
      <c r="E26" s="13">
        <v>84</v>
      </c>
      <c r="F26" s="13">
        <v>79</v>
      </c>
      <c r="G26" s="13">
        <v>55</v>
      </c>
      <c r="H26" s="24" t="s">
        <v>109</v>
      </c>
      <c r="I26" s="13">
        <v>234</v>
      </c>
      <c r="J26" s="13">
        <v>1121</v>
      </c>
      <c r="L26" s="121"/>
      <c r="M26" s="121"/>
      <c r="N26" s="121"/>
      <c r="O26" s="121"/>
      <c r="P26" s="121"/>
      <c r="Q26" s="121"/>
      <c r="R26" s="121"/>
      <c r="S26" s="121"/>
      <c r="T26" s="121"/>
      <c r="U26" s="121"/>
      <c r="V26" s="13"/>
      <c r="W26" s="13"/>
      <c r="X26" s="13"/>
      <c r="Y26" s="13"/>
      <c r="Z26" s="13"/>
    </row>
    <row r="27" spans="1:26" x14ac:dyDescent="0.25">
      <c r="A27" s="23" t="s">
        <v>166</v>
      </c>
      <c r="B27" s="13">
        <v>24</v>
      </c>
      <c r="C27" s="24" t="s">
        <v>109</v>
      </c>
      <c r="D27" s="13">
        <v>98</v>
      </c>
      <c r="E27" s="13">
        <v>73</v>
      </c>
      <c r="F27" s="13">
        <v>19</v>
      </c>
      <c r="G27" s="13">
        <v>3</v>
      </c>
      <c r="H27" s="24" t="s">
        <v>109</v>
      </c>
      <c r="I27" s="13">
        <v>174</v>
      </c>
      <c r="J27" s="13">
        <v>392</v>
      </c>
      <c r="L27" s="121"/>
      <c r="M27" s="121"/>
      <c r="N27" s="121"/>
      <c r="O27" s="121"/>
      <c r="P27" s="121"/>
      <c r="Q27" s="121"/>
      <c r="R27" s="121"/>
      <c r="S27" s="121"/>
      <c r="T27" s="121"/>
      <c r="U27" s="121"/>
    </row>
    <row r="28" spans="1:26" x14ac:dyDescent="0.25">
      <c r="A28" s="23" t="s">
        <v>167</v>
      </c>
      <c r="B28" s="13">
        <v>21</v>
      </c>
      <c r="C28" s="24" t="s">
        <v>109</v>
      </c>
      <c r="D28" s="13">
        <v>81</v>
      </c>
      <c r="E28" s="13">
        <v>148</v>
      </c>
      <c r="F28" s="13">
        <v>17</v>
      </c>
      <c r="G28" s="24" t="s">
        <v>109</v>
      </c>
      <c r="H28" s="24" t="s">
        <v>109</v>
      </c>
      <c r="I28" s="13">
        <v>186</v>
      </c>
      <c r="J28" s="13">
        <v>453</v>
      </c>
      <c r="L28" s="121"/>
      <c r="M28" s="121"/>
      <c r="N28" s="122"/>
      <c r="O28" s="121"/>
      <c r="P28" s="121"/>
      <c r="Q28" s="121"/>
      <c r="R28" s="121"/>
      <c r="S28" s="121"/>
      <c r="T28" s="121"/>
      <c r="U28" s="121"/>
    </row>
    <row r="29" spans="1:26" ht="13.5" customHeight="1" x14ac:dyDescent="0.25">
      <c r="A29" s="95" t="s">
        <v>168</v>
      </c>
      <c r="B29" s="94">
        <v>1668</v>
      </c>
      <c r="C29" s="94">
        <v>601</v>
      </c>
      <c r="D29" s="94">
        <v>1933</v>
      </c>
      <c r="E29" s="94">
        <v>1075</v>
      </c>
      <c r="F29" s="94">
        <v>459</v>
      </c>
      <c r="G29" s="94">
        <v>208</v>
      </c>
      <c r="H29" s="94">
        <v>133</v>
      </c>
      <c r="I29" s="94">
        <v>632</v>
      </c>
      <c r="J29" s="94">
        <v>6709</v>
      </c>
      <c r="L29" s="123"/>
      <c r="M29" s="123"/>
      <c r="N29" s="123"/>
      <c r="O29" s="123"/>
      <c r="P29" s="123"/>
      <c r="Q29" s="123"/>
      <c r="R29" s="123"/>
      <c r="S29" s="123"/>
      <c r="T29" s="123"/>
      <c r="U29" s="123"/>
    </row>
    <row r="30" spans="1:26" ht="3" customHeight="1" x14ac:dyDescent="0.25">
      <c r="A30" s="110"/>
      <c r="B30" s="80"/>
      <c r="C30" s="80"/>
      <c r="D30" s="80"/>
      <c r="E30" s="80"/>
      <c r="F30" s="79"/>
      <c r="G30" s="79"/>
      <c r="H30" s="80"/>
      <c r="I30" s="80"/>
      <c r="J30" s="80"/>
      <c r="L30" s="125"/>
      <c r="M30" s="125"/>
    </row>
    <row r="31" spans="1:26" ht="12.75" customHeight="1" x14ac:dyDescent="0.25">
      <c r="A31" s="208" t="s">
        <v>213</v>
      </c>
      <c r="B31" s="208"/>
      <c r="C31" s="208"/>
      <c r="D31" s="208"/>
      <c r="E31" s="208"/>
      <c r="F31" s="208"/>
      <c r="G31" s="208"/>
      <c r="H31" s="208"/>
      <c r="I31" s="208"/>
      <c r="J31" s="208"/>
    </row>
    <row r="32" spans="1:26" x14ac:dyDescent="0.25">
      <c r="A32" s="208" t="s">
        <v>185</v>
      </c>
      <c r="B32" s="208"/>
      <c r="C32" s="208"/>
      <c r="D32" s="208"/>
      <c r="E32" s="208"/>
      <c r="F32" s="208"/>
      <c r="G32" s="208"/>
      <c r="H32" s="208"/>
      <c r="I32" s="208"/>
      <c r="J32" s="208"/>
    </row>
    <row r="33" spans="1:30" s="53" customFormat="1" ht="9" x14ac:dyDescent="0.15">
      <c r="A33" s="192" t="s">
        <v>23</v>
      </c>
      <c r="B33" s="192"/>
      <c r="C33" s="192"/>
      <c r="D33" s="192"/>
      <c r="E33" s="192"/>
      <c r="F33" s="192"/>
      <c r="G33" s="192"/>
      <c r="H33" s="192"/>
      <c r="I33" s="192"/>
      <c r="J33" s="192"/>
    </row>
    <row r="34" spans="1:30" s="53" customFormat="1" ht="9" x14ac:dyDescent="0.15">
      <c r="A34" s="53" t="s">
        <v>48</v>
      </c>
      <c r="F34" s="72"/>
      <c r="G34" s="72"/>
    </row>
    <row r="35" spans="1:30" s="53" customFormat="1" ht="10.5" customHeight="1" x14ac:dyDescent="0.15">
      <c r="A35" s="53" t="s">
        <v>49</v>
      </c>
      <c r="F35" s="72"/>
      <c r="G35" s="72"/>
    </row>
    <row r="36" spans="1:30" s="53" customFormat="1" ht="9" x14ac:dyDescent="0.15">
      <c r="A36" s="205" t="s">
        <v>27</v>
      </c>
      <c r="B36" s="205"/>
      <c r="C36" s="205"/>
      <c r="D36" s="205"/>
      <c r="E36" s="205"/>
      <c r="F36" s="205"/>
      <c r="G36" s="205"/>
      <c r="H36" s="205"/>
      <c r="I36" s="205"/>
      <c r="J36" s="205"/>
    </row>
    <row r="37" spans="1:30" s="53" customFormat="1" ht="9" x14ac:dyDescent="0.15">
      <c r="F37" s="72"/>
      <c r="G37" s="72"/>
    </row>
    <row r="38" spans="1:30" x14ac:dyDescent="0.25">
      <c r="A38" s="6" t="s">
        <v>263</v>
      </c>
      <c r="B38" s="53"/>
      <c r="C38" s="53"/>
      <c r="D38" s="53"/>
      <c r="E38" s="53"/>
      <c r="F38" s="72"/>
      <c r="G38" s="72"/>
      <c r="H38" s="53"/>
      <c r="I38" s="53"/>
      <c r="J38" s="53"/>
    </row>
    <row r="39" spans="1:30" x14ac:dyDescent="0.25">
      <c r="A39" s="53"/>
      <c r="B39" s="53"/>
      <c r="C39" s="53"/>
      <c r="D39" s="53"/>
      <c r="E39" s="53"/>
      <c r="F39" s="72"/>
      <c r="G39" s="72"/>
      <c r="H39" s="53"/>
      <c r="I39" s="53"/>
      <c r="J39" s="53"/>
    </row>
    <row r="40" spans="1:30" ht="27" customHeight="1" x14ac:dyDescent="0.25">
      <c r="A40" s="189" t="s">
        <v>366</v>
      </c>
      <c r="B40" s="206"/>
      <c r="C40" s="206"/>
      <c r="D40" s="206"/>
      <c r="E40" s="206"/>
      <c r="F40" s="206"/>
      <c r="G40" s="206"/>
      <c r="H40" s="206"/>
      <c r="I40" s="206"/>
      <c r="J40" s="206"/>
    </row>
    <row r="41" spans="1:30" ht="5.25" customHeight="1" x14ac:dyDescent="0.25">
      <c r="A41" s="62"/>
    </row>
    <row r="42" spans="1:30" ht="15" customHeight="1" x14ac:dyDescent="0.25">
      <c r="A42" s="61" t="s">
        <v>169</v>
      </c>
      <c r="B42" s="35" t="s">
        <v>0</v>
      </c>
      <c r="C42" s="35" t="s">
        <v>1</v>
      </c>
      <c r="D42" s="35" t="s">
        <v>2</v>
      </c>
      <c r="E42" s="35" t="s">
        <v>3</v>
      </c>
      <c r="F42" s="71" t="s">
        <v>4</v>
      </c>
      <c r="G42" s="71" t="s">
        <v>5</v>
      </c>
      <c r="H42" s="35" t="s">
        <v>6</v>
      </c>
      <c r="I42" s="35" t="s">
        <v>7</v>
      </c>
      <c r="J42" s="35" t="s">
        <v>8</v>
      </c>
      <c r="X42" s="158"/>
    </row>
    <row r="43" spans="1:30" x14ac:dyDescent="0.25">
      <c r="A43" s="23" t="s">
        <v>163</v>
      </c>
      <c r="B43" s="5">
        <v>6.3970000000000002</v>
      </c>
      <c r="C43" s="5">
        <v>3.1659999999999999</v>
      </c>
      <c r="D43" s="5">
        <v>9.8970000000000002</v>
      </c>
      <c r="E43" s="5">
        <v>10.567</v>
      </c>
      <c r="F43" s="5">
        <v>8.1829999999999998</v>
      </c>
      <c r="G43" s="24" t="s">
        <v>109</v>
      </c>
      <c r="H43" s="5">
        <v>12.67</v>
      </c>
      <c r="I43" s="5" t="s">
        <v>114</v>
      </c>
      <c r="J43" s="5">
        <v>6.9660000000000002</v>
      </c>
      <c r="L43" s="5"/>
      <c r="M43" s="5"/>
      <c r="N43" s="5"/>
      <c r="O43" s="5"/>
      <c r="P43" s="5"/>
      <c r="Q43" s="5"/>
      <c r="R43" s="74"/>
      <c r="S43" s="5"/>
      <c r="T43" s="5"/>
      <c r="U43" s="5"/>
      <c r="V43" s="5"/>
      <c r="W43" s="158"/>
      <c r="Y43" s="158"/>
      <c r="Z43" s="158"/>
      <c r="AA43" s="158"/>
      <c r="AB43" s="158"/>
      <c r="AC43" s="158"/>
      <c r="AD43" s="158"/>
    </row>
    <row r="44" spans="1:30" x14ac:dyDescent="0.25">
      <c r="A44" s="23" t="s">
        <v>164</v>
      </c>
      <c r="B44" s="5">
        <v>11.725</v>
      </c>
      <c r="C44" s="5">
        <v>3.0609999999999999</v>
      </c>
      <c r="D44" s="5">
        <v>12.677</v>
      </c>
      <c r="E44" s="5">
        <v>4.5389999999999997</v>
      </c>
      <c r="F44" s="5">
        <v>4.6760000000000002</v>
      </c>
      <c r="G44" s="5">
        <v>19.335000000000001</v>
      </c>
      <c r="H44" s="24" t="s">
        <v>109</v>
      </c>
      <c r="I44" s="5" t="s">
        <v>114</v>
      </c>
      <c r="J44" s="5">
        <v>9.5399999999999991</v>
      </c>
      <c r="L44" s="5"/>
      <c r="M44" s="5"/>
      <c r="N44" s="5"/>
      <c r="O44" s="5"/>
      <c r="P44" s="5"/>
      <c r="Q44" s="5"/>
      <c r="R44" s="5"/>
      <c r="S44" s="5"/>
      <c r="T44" s="5"/>
      <c r="U44" s="5"/>
      <c r="V44" s="5"/>
      <c r="W44" s="158"/>
      <c r="X44" s="158"/>
      <c r="Y44" s="158"/>
      <c r="Z44" s="158"/>
      <c r="AA44" s="158"/>
      <c r="AB44" s="158"/>
      <c r="AC44" s="158"/>
      <c r="AD44" s="158"/>
    </row>
    <row r="45" spans="1:30" x14ac:dyDescent="0.25">
      <c r="A45" s="23" t="s">
        <v>165</v>
      </c>
      <c r="B45" s="5">
        <v>14.231999999999999</v>
      </c>
      <c r="C45" s="5">
        <v>2.9550000000000001</v>
      </c>
      <c r="D45" s="5">
        <v>31.061</v>
      </c>
      <c r="E45" s="5">
        <v>15.935</v>
      </c>
      <c r="F45" s="5">
        <v>15.413</v>
      </c>
      <c r="G45" s="5">
        <v>14.814</v>
      </c>
      <c r="H45" s="24" t="s">
        <v>109</v>
      </c>
      <c r="I45" s="5" t="s">
        <v>114</v>
      </c>
      <c r="J45" s="5">
        <v>19.677</v>
      </c>
      <c r="L45" s="5"/>
      <c r="M45" s="5"/>
      <c r="N45" s="5"/>
      <c r="O45" s="5"/>
      <c r="P45" s="5"/>
      <c r="Q45" s="5"/>
      <c r="R45" s="5"/>
      <c r="S45" s="74"/>
      <c r="T45" s="5"/>
      <c r="U45" s="5"/>
      <c r="V45" s="5"/>
      <c r="W45" s="158"/>
      <c r="X45" s="158"/>
      <c r="Y45" s="158"/>
      <c r="Z45" s="158"/>
      <c r="AA45" s="158"/>
      <c r="AB45" s="158"/>
      <c r="AC45" s="158"/>
      <c r="AD45" s="158"/>
    </row>
    <row r="46" spans="1:30" x14ac:dyDescent="0.25">
      <c r="A46" s="23" t="s">
        <v>166</v>
      </c>
      <c r="B46" s="5">
        <v>39.277999999999999</v>
      </c>
      <c r="C46" s="24" t="s">
        <v>109</v>
      </c>
      <c r="D46" s="5">
        <v>59.256</v>
      </c>
      <c r="E46" s="5">
        <v>24.079000000000001</v>
      </c>
      <c r="F46" s="5">
        <v>13.942</v>
      </c>
      <c r="G46" s="5">
        <v>13.955</v>
      </c>
      <c r="H46" s="24" t="s">
        <v>109</v>
      </c>
      <c r="I46" s="5" t="s">
        <v>114</v>
      </c>
      <c r="J46" s="5">
        <v>33.546999999999997</v>
      </c>
      <c r="K46" s="75"/>
      <c r="L46" s="5"/>
      <c r="M46" s="5"/>
      <c r="N46" s="5"/>
      <c r="O46" s="5"/>
      <c r="P46" s="5"/>
      <c r="Q46" s="5"/>
      <c r="R46" s="5"/>
      <c r="S46" s="74"/>
      <c r="T46" s="5"/>
      <c r="U46" s="5"/>
      <c r="V46" s="5"/>
      <c r="W46" s="158"/>
      <c r="X46" s="158"/>
      <c r="Y46" s="158"/>
      <c r="Z46" s="158"/>
      <c r="AA46" s="158"/>
      <c r="AB46" s="158"/>
      <c r="AC46" s="158"/>
      <c r="AD46" s="158"/>
    </row>
    <row r="47" spans="1:30" x14ac:dyDescent="0.25">
      <c r="A47" s="23" t="s">
        <v>167</v>
      </c>
      <c r="B47" s="5">
        <v>97.887</v>
      </c>
      <c r="C47" s="24" t="s">
        <v>109</v>
      </c>
      <c r="D47" s="5">
        <v>74.703999999999994</v>
      </c>
      <c r="E47" s="5">
        <v>78.271000000000001</v>
      </c>
      <c r="F47" s="5">
        <v>48.462000000000003</v>
      </c>
      <c r="G47" s="24" t="s">
        <v>109</v>
      </c>
      <c r="H47" s="24" t="s">
        <v>109</v>
      </c>
      <c r="I47" s="5" t="s">
        <v>114</v>
      </c>
      <c r="J47" s="5">
        <v>73.644000000000005</v>
      </c>
      <c r="K47" s="75"/>
      <c r="L47" s="5"/>
      <c r="M47" s="5"/>
      <c r="N47" s="74"/>
      <c r="O47" s="5"/>
      <c r="P47" s="5"/>
      <c r="Q47" s="5"/>
      <c r="R47" s="5"/>
      <c r="S47" s="74"/>
      <c r="T47" s="5"/>
      <c r="U47" s="5"/>
      <c r="V47" s="5"/>
      <c r="W47" s="158"/>
      <c r="X47" s="158"/>
      <c r="Y47" s="158"/>
      <c r="Z47" s="158"/>
      <c r="AA47" s="158"/>
      <c r="AB47" s="158"/>
      <c r="AC47" s="158"/>
      <c r="AD47" s="158"/>
    </row>
    <row r="48" spans="1:30" ht="0.75" customHeight="1" x14ac:dyDescent="0.25">
      <c r="A48" s="62"/>
      <c r="F48" s="1"/>
      <c r="G48" s="1"/>
      <c r="M48" s="123"/>
      <c r="N48" s="123"/>
      <c r="O48" s="123"/>
      <c r="P48" s="123"/>
      <c r="Q48" s="123"/>
      <c r="R48" s="123"/>
      <c r="S48" s="123"/>
      <c r="T48" s="123"/>
      <c r="U48" s="123"/>
    </row>
    <row r="49" spans="1:24" x14ac:dyDescent="0.25">
      <c r="A49" s="204" t="s">
        <v>12</v>
      </c>
      <c r="B49" s="204"/>
      <c r="C49" s="204"/>
      <c r="D49" s="204"/>
      <c r="E49" s="204"/>
      <c r="F49" s="204"/>
      <c r="G49" s="204"/>
      <c r="H49" s="204"/>
      <c r="I49" s="204"/>
      <c r="J49" s="204"/>
    </row>
    <row r="50" spans="1:24" x14ac:dyDescent="0.25">
      <c r="A50" s="77" t="s">
        <v>184</v>
      </c>
      <c r="B50" s="81"/>
      <c r="C50" s="81"/>
      <c r="D50" s="81"/>
      <c r="E50" s="81"/>
      <c r="F50" s="81"/>
      <c r="G50" s="81"/>
      <c r="H50" s="81"/>
      <c r="I50" s="81"/>
      <c r="J50" s="81"/>
    </row>
    <row r="51" spans="1:24" s="53" customFormat="1" ht="9" x14ac:dyDescent="0.15">
      <c r="A51" s="53" t="s">
        <v>13</v>
      </c>
      <c r="F51" s="72"/>
      <c r="G51" s="72"/>
    </row>
    <row r="52" spans="1:24" s="63" customFormat="1" ht="12.75" x14ac:dyDescent="0.2">
      <c r="A52" s="39" t="s">
        <v>23</v>
      </c>
      <c r="F52" s="73"/>
      <c r="G52" s="73"/>
    </row>
    <row r="53" spans="1:24" s="53" customFormat="1" ht="9" x14ac:dyDescent="0.15">
      <c r="A53" s="53" t="s">
        <v>48</v>
      </c>
      <c r="F53" s="72"/>
      <c r="G53" s="72"/>
    </row>
    <row r="54" spans="1:24" s="53" customFormat="1" ht="9" x14ac:dyDescent="0.15">
      <c r="A54" s="53" t="s">
        <v>49</v>
      </c>
      <c r="F54" s="72"/>
      <c r="G54" s="72"/>
    </row>
    <row r="55" spans="1:24" s="53" customFormat="1" ht="9" x14ac:dyDescent="0.15">
      <c r="A55" s="53" t="s">
        <v>37</v>
      </c>
      <c r="F55" s="72"/>
      <c r="G55" s="72"/>
    </row>
    <row r="56" spans="1:24" s="53" customFormat="1" ht="9" x14ac:dyDescent="0.15">
      <c r="A56" s="186" t="s">
        <v>363</v>
      </c>
      <c r="B56" s="186"/>
      <c r="C56" s="186"/>
      <c r="D56" s="186"/>
      <c r="E56" s="186"/>
      <c r="F56" s="186"/>
      <c r="G56" s="186"/>
      <c r="H56" s="186"/>
      <c r="I56" s="186"/>
      <c r="J56" s="186"/>
      <c r="K56" s="186"/>
      <c r="L56" s="186"/>
      <c r="M56" s="186"/>
    </row>
    <row r="57" spans="1:24" s="53" customFormat="1" ht="9.75" customHeight="1" x14ac:dyDescent="0.15">
      <c r="A57" s="6" t="s">
        <v>293</v>
      </c>
      <c r="B57" s="92"/>
      <c r="C57" s="92"/>
      <c r="D57" s="92"/>
      <c r="E57" s="92"/>
      <c r="F57" s="92"/>
      <c r="G57" s="92"/>
      <c r="H57" s="92"/>
      <c r="I57" s="92"/>
      <c r="J57" s="92"/>
      <c r="K57" s="92"/>
      <c r="L57" s="92"/>
      <c r="M57" s="92"/>
    </row>
    <row r="58" spans="1:24" s="53" customFormat="1" ht="9" x14ac:dyDescent="0.15">
      <c r="A58" s="53" t="s">
        <v>14</v>
      </c>
      <c r="F58" s="72"/>
      <c r="G58" s="72"/>
    </row>
    <row r="59" spans="1:24" s="53" customFormat="1" ht="9" x14ac:dyDescent="0.15">
      <c r="A59" s="6" t="s">
        <v>210</v>
      </c>
      <c r="F59" s="72"/>
      <c r="G59" s="72"/>
    </row>
    <row r="60" spans="1:24" x14ac:dyDescent="0.25">
      <c r="A60" s="62"/>
    </row>
    <row r="61" spans="1:24" x14ac:dyDescent="0.25">
      <c r="A61" s="185" t="s">
        <v>367</v>
      </c>
      <c r="B61" s="207"/>
      <c r="C61" s="207"/>
      <c r="D61" s="207"/>
      <c r="E61" s="207"/>
      <c r="F61" s="207"/>
      <c r="G61" s="207"/>
      <c r="H61" s="207"/>
      <c r="I61" s="207"/>
      <c r="J61" s="207"/>
    </row>
    <row r="62" spans="1:24" ht="3" customHeight="1" x14ac:dyDescent="0.25">
      <c r="A62" s="62"/>
    </row>
    <row r="63" spans="1:24" x14ac:dyDescent="0.25">
      <c r="A63" s="61" t="s">
        <v>169</v>
      </c>
      <c r="B63" s="35" t="s">
        <v>0</v>
      </c>
      <c r="C63" s="35" t="s">
        <v>1</v>
      </c>
      <c r="D63" s="35" t="s">
        <v>2</v>
      </c>
      <c r="E63" s="35" t="s">
        <v>3</v>
      </c>
      <c r="F63" s="71" t="s">
        <v>4</v>
      </c>
      <c r="G63" s="71" t="s">
        <v>5</v>
      </c>
      <c r="H63" s="35" t="s">
        <v>6</v>
      </c>
      <c r="I63" s="35" t="s">
        <v>7</v>
      </c>
      <c r="J63" s="35" t="s">
        <v>8</v>
      </c>
    </row>
    <row r="64" spans="1:24" x14ac:dyDescent="0.25">
      <c r="A64" s="23" t="s">
        <v>163</v>
      </c>
      <c r="B64" s="5">
        <v>14.076000000000001</v>
      </c>
      <c r="C64" s="5">
        <v>7.5869999999999997</v>
      </c>
      <c r="D64" s="5">
        <v>22.012</v>
      </c>
      <c r="E64" s="5">
        <v>30.585000000000001</v>
      </c>
      <c r="F64" s="5">
        <v>22.548999999999999</v>
      </c>
      <c r="G64" s="74" t="s">
        <v>112</v>
      </c>
      <c r="H64" s="5">
        <v>34.133000000000003</v>
      </c>
      <c r="I64" s="74" t="s">
        <v>112</v>
      </c>
      <c r="J64" s="5">
        <v>16.869</v>
      </c>
      <c r="L64" s="5"/>
      <c r="M64" s="5"/>
      <c r="N64" s="5"/>
      <c r="O64" s="5"/>
      <c r="P64" s="5"/>
      <c r="Q64" s="5"/>
      <c r="R64" s="74"/>
      <c r="S64" s="5"/>
      <c r="T64" s="74"/>
      <c r="U64" s="5"/>
      <c r="X64" s="127"/>
    </row>
    <row r="65" spans="1:21" x14ac:dyDescent="0.25">
      <c r="A65" s="23" t="s">
        <v>164</v>
      </c>
      <c r="B65" s="5">
        <v>26.331</v>
      </c>
      <c r="C65" s="5">
        <v>7.6580000000000004</v>
      </c>
      <c r="D65" s="5">
        <v>27.802</v>
      </c>
      <c r="E65" s="5">
        <v>14.102</v>
      </c>
      <c r="F65" s="5">
        <v>11.545</v>
      </c>
      <c r="G65" s="5">
        <v>40.465000000000003</v>
      </c>
      <c r="H65" s="24" t="s">
        <v>109</v>
      </c>
      <c r="I65" s="74" t="s">
        <v>112</v>
      </c>
      <c r="J65" s="5">
        <v>21.529</v>
      </c>
      <c r="L65" s="5"/>
      <c r="M65" s="5"/>
      <c r="N65" s="5"/>
      <c r="O65" s="5"/>
      <c r="P65" s="5"/>
      <c r="Q65" s="5"/>
      <c r="R65" s="5"/>
      <c r="S65" s="5"/>
      <c r="T65" s="74"/>
      <c r="U65" s="5"/>
    </row>
    <row r="66" spans="1:21" x14ac:dyDescent="0.25">
      <c r="A66" s="23" t="s">
        <v>165</v>
      </c>
      <c r="B66" s="5">
        <v>29.462</v>
      </c>
      <c r="C66" s="5">
        <v>9.4329999999999998</v>
      </c>
      <c r="D66" s="5">
        <v>67.346999999999994</v>
      </c>
      <c r="E66" s="5">
        <v>40.648000000000003</v>
      </c>
      <c r="F66" s="5">
        <v>38.700000000000003</v>
      </c>
      <c r="G66" s="5">
        <v>27.748999999999999</v>
      </c>
      <c r="H66" s="74" t="s">
        <v>112</v>
      </c>
      <c r="I66" s="5">
        <v>153.648</v>
      </c>
      <c r="J66" s="5">
        <v>51.128999999999998</v>
      </c>
      <c r="L66" s="5"/>
      <c r="M66" s="5"/>
      <c r="N66" s="5"/>
      <c r="O66" s="5"/>
      <c r="P66" s="5"/>
      <c r="Q66" s="5"/>
      <c r="R66" s="5"/>
      <c r="S66" s="74"/>
      <c r="T66" s="5"/>
      <c r="U66" s="5"/>
    </row>
    <row r="67" spans="1:21" x14ac:dyDescent="0.25">
      <c r="A67" s="23" t="s">
        <v>166</v>
      </c>
      <c r="B67" s="5">
        <v>86.454999999999998</v>
      </c>
      <c r="C67" s="5" t="s">
        <v>109</v>
      </c>
      <c r="D67" s="5">
        <v>132.51599999999999</v>
      </c>
      <c r="E67" s="5">
        <v>71.150999999999996</v>
      </c>
      <c r="F67" s="8" t="s">
        <v>116</v>
      </c>
      <c r="G67" s="8" t="s">
        <v>116</v>
      </c>
      <c r="H67" s="74" t="s">
        <v>112</v>
      </c>
      <c r="I67" s="5">
        <v>308.51600000000002</v>
      </c>
      <c r="J67" s="5">
        <v>124.268</v>
      </c>
      <c r="L67" s="5"/>
      <c r="M67" s="5"/>
      <c r="N67" s="5"/>
      <c r="O67" s="5"/>
      <c r="P67" s="5"/>
      <c r="Q67" s="5"/>
      <c r="R67" s="5"/>
      <c r="S67" s="74"/>
      <c r="T67" s="5"/>
      <c r="U67" s="5"/>
    </row>
    <row r="68" spans="1:21" x14ac:dyDescent="0.25">
      <c r="A68" s="23" t="s">
        <v>167</v>
      </c>
      <c r="B68" s="5">
        <v>282.05500000000001</v>
      </c>
      <c r="C68" s="74" t="s">
        <v>112</v>
      </c>
      <c r="D68" s="5">
        <v>139.06399999999999</v>
      </c>
      <c r="E68" s="5">
        <v>239.88900000000001</v>
      </c>
      <c r="F68" s="5">
        <v>115.80200000000001</v>
      </c>
      <c r="G68" s="5" t="s">
        <v>109</v>
      </c>
      <c r="H68" s="74" t="s">
        <v>112</v>
      </c>
      <c r="I68" s="5">
        <v>294.29000000000002</v>
      </c>
      <c r="J68" s="5">
        <v>218.42599999999999</v>
      </c>
      <c r="L68" s="5"/>
      <c r="M68" s="5"/>
      <c r="N68" s="74"/>
      <c r="O68" s="5"/>
      <c r="P68" s="5"/>
      <c r="Q68" s="5"/>
      <c r="R68" s="5"/>
      <c r="S68" s="74"/>
      <c r="T68" s="5"/>
      <c r="U68" s="5"/>
    </row>
    <row r="69" spans="1:21" ht="4.5" customHeight="1" x14ac:dyDescent="0.25">
      <c r="A69" s="82"/>
      <c r="B69" s="83"/>
      <c r="C69" s="83"/>
      <c r="D69" s="83"/>
      <c r="E69" s="83"/>
      <c r="F69" s="84"/>
      <c r="G69" s="84"/>
      <c r="H69" s="83"/>
      <c r="I69" s="83"/>
      <c r="J69" s="83"/>
    </row>
    <row r="70" spans="1:21" ht="2.25" customHeight="1" x14ac:dyDescent="0.25">
      <c r="A70" s="62"/>
    </row>
    <row r="71" spans="1:21" ht="10.5" customHeight="1" x14ac:dyDescent="0.25">
      <c r="A71" s="192" t="s">
        <v>213</v>
      </c>
      <c r="B71" s="192"/>
      <c r="C71" s="192"/>
      <c r="D71" s="192"/>
      <c r="E71" s="192"/>
      <c r="F71" s="192"/>
      <c r="G71" s="192"/>
      <c r="H71" s="192"/>
      <c r="I71" s="192"/>
      <c r="J71" s="192"/>
    </row>
    <row r="72" spans="1:21" x14ac:dyDescent="0.25">
      <c r="A72" s="192" t="s">
        <v>185</v>
      </c>
      <c r="B72" s="192"/>
      <c r="C72" s="192"/>
      <c r="D72" s="192"/>
      <c r="E72" s="192"/>
      <c r="F72" s="192"/>
      <c r="G72" s="192"/>
      <c r="H72" s="192"/>
      <c r="I72" s="192"/>
      <c r="J72" s="192"/>
    </row>
    <row r="73" spans="1:21" ht="3" customHeight="1" x14ac:dyDescent="0.25">
      <c r="A73" s="81"/>
      <c r="B73" s="81"/>
      <c r="C73" s="81"/>
      <c r="D73" s="81"/>
      <c r="E73" s="81"/>
      <c r="F73" s="81"/>
      <c r="G73" s="81"/>
      <c r="H73" s="81"/>
      <c r="I73" s="81"/>
      <c r="J73" s="81"/>
    </row>
    <row r="74" spans="1:21" s="53" customFormat="1" ht="9" x14ac:dyDescent="0.15">
      <c r="A74" s="53" t="s">
        <v>23</v>
      </c>
      <c r="F74" s="72"/>
      <c r="G74" s="72"/>
    </row>
    <row r="75" spans="1:21" s="63" customFormat="1" ht="12.75" x14ac:dyDescent="0.2">
      <c r="A75" s="39" t="s">
        <v>48</v>
      </c>
      <c r="F75" s="73"/>
      <c r="G75" s="73"/>
    </row>
    <row r="76" spans="1:21" s="53" customFormat="1" ht="9" x14ac:dyDescent="0.15">
      <c r="A76" s="53" t="s">
        <v>49</v>
      </c>
      <c r="F76" s="72"/>
      <c r="G76" s="72"/>
    </row>
    <row r="77" spans="1:21" s="53" customFormat="1" ht="9" x14ac:dyDescent="0.15">
      <c r="A77" s="53" t="s">
        <v>37</v>
      </c>
      <c r="F77" s="72"/>
      <c r="G77" s="72"/>
    </row>
    <row r="78" spans="1:21" s="53" customFormat="1" ht="9" x14ac:dyDescent="0.15">
      <c r="A78" s="53" t="s">
        <v>38</v>
      </c>
      <c r="F78" s="72"/>
      <c r="G78" s="72"/>
    </row>
    <row r="79" spans="1:21" s="53" customFormat="1" ht="9" x14ac:dyDescent="0.15">
      <c r="A79" s="6" t="s">
        <v>368</v>
      </c>
      <c r="F79" s="72"/>
      <c r="G79" s="72"/>
    </row>
    <row r="80" spans="1:21" s="53" customFormat="1" ht="9" x14ac:dyDescent="0.15">
      <c r="F80" s="72"/>
      <c r="G80" s="72"/>
    </row>
    <row r="81" spans="1:19" x14ac:dyDescent="0.25">
      <c r="A81" s="181" t="s">
        <v>210</v>
      </c>
      <c r="B81" s="202"/>
      <c r="C81" s="202"/>
      <c r="D81" s="202"/>
      <c r="E81" s="202"/>
      <c r="F81" s="202"/>
      <c r="G81" s="202"/>
      <c r="H81" s="202"/>
      <c r="I81" s="202"/>
      <c r="J81" s="202"/>
    </row>
    <row r="84" spans="1:19" x14ac:dyDescent="0.25">
      <c r="K84" s="158"/>
      <c r="L84" s="158"/>
      <c r="M84" s="158"/>
      <c r="N84" s="158"/>
      <c r="O84" s="158"/>
      <c r="P84" s="158"/>
      <c r="Q84" s="158"/>
      <c r="R84" s="158"/>
      <c r="S84" s="158"/>
    </row>
    <row r="85" spans="1:19" x14ac:dyDescent="0.25">
      <c r="H85" s="141"/>
      <c r="I85" s="141"/>
      <c r="J85" s="160"/>
      <c r="K85" s="159"/>
      <c r="L85" s="159"/>
      <c r="M85" s="159"/>
      <c r="N85" s="159"/>
      <c r="O85" s="159"/>
      <c r="P85" s="159"/>
      <c r="Q85" s="159"/>
      <c r="R85" s="158"/>
      <c r="S85" s="158"/>
    </row>
    <row r="86" spans="1:19" x14ac:dyDescent="0.25">
      <c r="H86" s="141"/>
      <c r="I86" s="141"/>
      <c r="J86" s="141"/>
      <c r="K86" s="159"/>
      <c r="L86" s="159"/>
      <c r="M86" s="159"/>
      <c r="N86" s="159"/>
      <c r="O86" s="159"/>
      <c r="P86" s="159"/>
      <c r="Q86" s="159"/>
      <c r="R86" s="158"/>
      <c r="S86" s="158"/>
    </row>
    <row r="87" spans="1:19" x14ac:dyDescent="0.25">
      <c r="H87" s="141"/>
      <c r="I87" s="141"/>
      <c r="J87" s="141"/>
      <c r="K87" s="159"/>
      <c r="L87" s="159"/>
      <c r="M87" s="159"/>
      <c r="N87" s="159"/>
      <c r="O87" s="159"/>
      <c r="P87" s="159"/>
      <c r="Q87" s="159"/>
      <c r="R87" s="158"/>
      <c r="S87" s="158"/>
    </row>
    <row r="88" spans="1:19" x14ac:dyDescent="0.25">
      <c r="H88" s="141"/>
      <c r="I88" s="141"/>
      <c r="J88" s="141"/>
      <c r="K88" s="159"/>
      <c r="L88" s="159"/>
      <c r="M88" s="159"/>
      <c r="N88" s="159"/>
      <c r="O88" s="159"/>
      <c r="P88" s="159"/>
      <c r="Q88" s="159"/>
      <c r="R88" s="158"/>
      <c r="S88" s="158"/>
    </row>
    <row r="89" spans="1:19" x14ac:dyDescent="0.25">
      <c r="H89" s="141"/>
      <c r="I89" s="141"/>
      <c r="J89" s="141"/>
      <c r="K89" s="141"/>
      <c r="L89" s="141"/>
      <c r="M89" s="141"/>
      <c r="N89" s="141"/>
      <c r="O89" s="141"/>
      <c r="P89" s="141"/>
      <c r="Q89" s="141"/>
    </row>
  </sheetData>
  <mergeCells count="16">
    <mergeCell ref="A81:J81"/>
    <mergeCell ref="A1:J1"/>
    <mergeCell ref="A10:J10"/>
    <mergeCell ref="A16:J16"/>
    <mergeCell ref="A36:J36"/>
    <mergeCell ref="A21:J21"/>
    <mergeCell ref="A33:J33"/>
    <mergeCell ref="A40:J40"/>
    <mergeCell ref="A49:J49"/>
    <mergeCell ref="A61:J61"/>
    <mergeCell ref="A32:J32"/>
    <mergeCell ref="A72:J72"/>
    <mergeCell ref="A17:M17"/>
    <mergeCell ref="A56:M56"/>
    <mergeCell ref="A31:J31"/>
    <mergeCell ref="A71:J71"/>
  </mergeCells>
  <pageMargins left="0.08" right="0.08" top="1" bottom="1" header="0.5" footer="0.5"/>
  <pageSetup orientation="landscape" blackAndWhite="1"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T61"/>
  <sheetViews>
    <sheetView zoomScaleNormal="100" workbookViewId="0">
      <selection sqref="A1:F1"/>
    </sheetView>
  </sheetViews>
  <sheetFormatPr defaultColWidth="9.140625" defaultRowHeight="15" x14ac:dyDescent="0.25"/>
  <cols>
    <col min="1" max="1" width="9.85546875" style="1" customWidth="1"/>
    <col min="2" max="2" width="34.42578125" style="1" customWidth="1"/>
    <col min="3" max="8" width="11.42578125" style="1" bestFit="1" customWidth="1"/>
    <col min="9" max="13" width="9.140625" style="1"/>
    <col min="14" max="14" width="16.7109375" style="1" bestFit="1" customWidth="1"/>
    <col min="15" max="16384" width="9.140625" style="1"/>
  </cols>
  <sheetData>
    <row r="1" spans="1:14" ht="37.5" customHeight="1" x14ac:dyDescent="0.25">
      <c r="A1" s="188" t="s">
        <v>309</v>
      </c>
      <c r="B1" s="201"/>
      <c r="C1" s="201"/>
      <c r="D1" s="201"/>
      <c r="E1" s="201"/>
      <c r="F1" s="201"/>
    </row>
    <row r="2" spans="1:14" ht="1.5" customHeight="1" x14ac:dyDescent="0.25">
      <c r="A2" s="62"/>
    </row>
    <row r="3" spans="1:14" ht="23.25" x14ac:dyDescent="0.25">
      <c r="A3" s="65" t="s">
        <v>119</v>
      </c>
      <c r="B3" s="65" t="s">
        <v>172</v>
      </c>
      <c r="C3" s="35" t="s">
        <v>18</v>
      </c>
      <c r="D3" s="35" t="s">
        <v>19</v>
      </c>
      <c r="E3" s="35" t="s">
        <v>20</v>
      </c>
      <c r="F3" s="35" t="s">
        <v>11</v>
      </c>
    </row>
    <row r="4" spans="1:14" x14ac:dyDescent="0.25">
      <c r="A4" s="187" t="s">
        <v>17</v>
      </c>
      <c r="B4" s="23" t="s">
        <v>170</v>
      </c>
      <c r="C4" s="5">
        <v>584.9</v>
      </c>
      <c r="D4" s="5">
        <v>406.2</v>
      </c>
      <c r="E4" s="5">
        <v>7.2</v>
      </c>
      <c r="F4" s="5">
        <v>998.3</v>
      </c>
      <c r="H4" s="5"/>
      <c r="I4" s="5"/>
      <c r="J4" s="5"/>
      <c r="K4" s="5"/>
      <c r="N4" s="161"/>
    </row>
    <row r="5" spans="1:14" x14ac:dyDescent="0.25">
      <c r="A5" s="187"/>
      <c r="B5" s="23">
        <v>2</v>
      </c>
      <c r="C5" s="5">
        <v>386.2</v>
      </c>
      <c r="D5" s="5">
        <v>272.5</v>
      </c>
      <c r="E5" s="5">
        <v>6.5</v>
      </c>
      <c r="F5" s="5">
        <v>665.1</v>
      </c>
      <c r="H5" s="5"/>
      <c r="I5" s="5"/>
      <c r="J5" s="5"/>
      <c r="K5" s="5"/>
    </row>
    <row r="6" spans="1:14" x14ac:dyDescent="0.25">
      <c r="A6" s="187"/>
      <c r="B6" s="23">
        <v>3</v>
      </c>
      <c r="C6" s="5">
        <v>154.80000000000001</v>
      </c>
      <c r="D6" s="5">
        <v>262.7</v>
      </c>
      <c r="E6" s="5">
        <v>2.2000000000000002</v>
      </c>
      <c r="F6" s="5">
        <v>419.8</v>
      </c>
      <c r="H6" s="5"/>
      <c r="I6" s="5"/>
      <c r="J6" s="5"/>
      <c r="K6" s="5"/>
    </row>
    <row r="7" spans="1:14" x14ac:dyDescent="0.25">
      <c r="A7" s="187"/>
      <c r="B7" s="23">
        <v>4</v>
      </c>
      <c r="C7" s="5">
        <v>79.099999999999994</v>
      </c>
      <c r="D7" s="5">
        <v>179.3</v>
      </c>
      <c r="E7" s="5">
        <v>2.1</v>
      </c>
      <c r="F7" s="5">
        <v>260.5</v>
      </c>
      <c r="H7" s="5"/>
      <c r="I7" s="5"/>
      <c r="J7" s="5"/>
      <c r="K7" s="5"/>
    </row>
    <row r="8" spans="1:14" x14ac:dyDescent="0.25">
      <c r="A8" s="187"/>
      <c r="B8" s="23" t="s">
        <v>171</v>
      </c>
      <c r="C8" s="5">
        <v>42.2</v>
      </c>
      <c r="D8" s="5">
        <v>108.5</v>
      </c>
      <c r="E8" s="5">
        <v>1.9</v>
      </c>
      <c r="F8" s="5">
        <v>152.6</v>
      </c>
      <c r="H8" s="5"/>
      <c r="I8" s="5"/>
      <c r="J8" s="5"/>
      <c r="K8" s="5"/>
    </row>
    <row r="9" spans="1:14" x14ac:dyDescent="0.25">
      <c r="A9" s="187" t="s">
        <v>21</v>
      </c>
      <c r="B9" s="23" t="s">
        <v>170</v>
      </c>
      <c r="C9" s="5">
        <v>198.3</v>
      </c>
      <c r="D9" s="5">
        <v>92.9</v>
      </c>
      <c r="E9" s="5">
        <v>0.7</v>
      </c>
      <c r="F9" s="5">
        <v>291.8</v>
      </c>
      <c r="H9" s="5"/>
      <c r="I9" s="5"/>
      <c r="J9" s="5"/>
      <c r="K9" s="5"/>
    </row>
    <row r="10" spans="1:14" x14ac:dyDescent="0.25">
      <c r="A10" s="187"/>
      <c r="B10" s="23">
        <v>2</v>
      </c>
      <c r="C10" s="5">
        <v>129.1</v>
      </c>
      <c r="D10" s="5">
        <v>62.4</v>
      </c>
      <c r="E10" s="5">
        <v>2.2000000000000002</v>
      </c>
      <c r="F10" s="5">
        <v>193.7</v>
      </c>
      <c r="H10" s="5"/>
      <c r="I10" s="5"/>
      <c r="J10" s="5"/>
      <c r="K10" s="5"/>
    </row>
    <row r="11" spans="1:14" x14ac:dyDescent="0.25">
      <c r="A11" s="187"/>
      <c r="B11" s="23">
        <v>3</v>
      </c>
      <c r="C11" s="5">
        <v>71.2</v>
      </c>
      <c r="D11" s="5">
        <v>54.1</v>
      </c>
      <c r="E11" s="5">
        <v>1</v>
      </c>
      <c r="F11" s="5">
        <v>126.3</v>
      </c>
      <c r="H11" s="5"/>
      <c r="I11" s="5"/>
      <c r="J11" s="5"/>
      <c r="K11" s="5"/>
    </row>
    <row r="12" spans="1:14" x14ac:dyDescent="0.25">
      <c r="A12" s="187"/>
      <c r="B12" s="23">
        <v>4</v>
      </c>
      <c r="C12" s="5">
        <v>28.8</v>
      </c>
      <c r="D12" s="5">
        <v>42.3</v>
      </c>
      <c r="E12" s="5">
        <v>0.2</v>
      </c>
      <c r="F12" s="5">
        <v>71.3</v>
      </c>
      <c r="H12" s="5"/>
      <c r="I12" s="5"/>
      <c r="J12" s="5"/>
      <c r="K12" s="5"/>
    </row>
    <row r="13" spans="1:14" x14ac:dyDescent="0.25">
      <c r="A13" s="187"/>
      <c r="B13" s="23" t="s">
        <v>171</v>
      </c>
      <c r="C13" s="5">
        <v>14.3</v>
      </c>
      <c r="D13" s="5">
        <v>28.7</v>
      </c>
      <c r="E13" s="5" t="s">
        <v>109</v>
      </c>
      <c r="F13" s="5">
        <v>43</v>
      </c>
      <c r="H13" s="5"/>
      <c r="I13" s="5"/>
      <c r="J13" s="5"/>
      <c r="K13" s="5"/>
    </row>
    <row r="14" spans="1:14" x14ac:dyDescent="0.25">
      <c r="A14" s="187" t="s">
        <v>20</v>
      </c>
      <c r="B14" s="23" t="s">
        <v>170</v>
      </c>
      <c r="C14" s="5" t="s">
        <v>109</v>
      </c>
      <c r="D14" s="5">
        <v>1.5</v>
      </c>
      <c r="E14" s="5" t="s">
        <v>109</v>
      </c>
      <c r="F14" s="5">
        <v>1.5</v>
      </c>
      <c r="H14" s="5"/>
      <c r="I14" s="5"/>
      <c r="J14" s="5"/>
      <c r="K14" s="5"/>
    </row>
    <row r="15" spans="1:14" x14ac:dyDescent="0.25">
      <c r="A15" s="187"/>
      <c r="B15" s="23">
        <v>2</v>
      </c>
      <c r="C15" s="5">
        <v>0.1</v>
      </c>
      <c r="D15" s="5">
        <v>0.7</v>
      </c>
      <c r="E15" s="5">
        <v>0.1</v>
      </c>
      <c r="F15" s="5">
        <v>1</v>
      </c>
      <c r="H15" s="5"/>
      <c r="I15" s="5"/>
      <c r="J15" s="5"/>
      <c r="K15" s="5"/>
    </row>
    <row r="16" spans="1:14" x14ac:dyDescent="0.25">
      <c r="A16" s="187"/>
      <c r="B16" s="23">
        <v>3</v>
      </c>
      <c r="C16" s="5">
        <v>0.3</v>
      </c>
      <c r="D16" s="5">
        <v>1.4</v>
      </c>
      <c r="E16" s="5">
        <v>0.5</v>
      </c>
      <c r="F16" s="5">
        <v>2.2000000000000002</v>
      </c>
      <c r="H16" s="5"/>
      <c r="I16" s="5"/>
      <c r="J16" s="5"/>
      <c r="K16" s="5"/>
    </row>
    <row r="17" spans="1:15" x14ac:dyDescent="0.25">
      <c r="A17" s="187"/>
      <c r="B17" s="23">
        <v>4</v>
      </c>
      <c r="C17" s="5" t="s">
        <v>109</v>
      </c>
      <c r="D17" s="5" t="s">
        <v>109</v>
      </c>
      <c r="E17" s="5" t="s">
        <v>109</v>
      </c>
      <c r="F17" s="5" t="s">
        <v>109</v>
      </c>
      <c r="H17" s="5"/>
      <c r="I17" s="5"/>
      <c r="J17" s="5"/>
      <c r="K17" s="5"/>
    </row>
    <row r="18" spans="1:15" x14ac:dyDescent="0.25">
      <c r="A18" s="187"/>
      <c r="B18" s="23" t="s">
        <v>171</v>
      </c>
      <c r="C18" s="5" t="s">
        <v>109</v>
      </c>
      <c r="D18" s="5" t="s">
        <v>109</v>
      </c>
      <c r="E18" s="5" t="s">
        <v>109</v>
      </c>
      <c r="F18" s="5" t="s">
        <v>109</v>
      </c>
      <c r="H18" s="5"/>
      <c r="I18" s="5"/>
      <c r="J18" s="5"/>
      <c r="K18" s="5"/>
    </row>
    <row r="19" spans="1:15" x14ac:dyDescent="0.25">
      <c r="A19" s="187" t="s">
        <v>11</v>
      </c>
      <c r="B19" s="23" t="s">
        <v>170</v>
      </c>
      <c r="C19" s="5">
        <v>783.2</v>
      </c>
      <c r="D19" s="5">
        <v>500.6</v>
      </c>
      <c r="E19" s="5">
        <v>7.9</v>
      </c>
      <c r="F19" s="5">
        <v>1291.7</v>
      </c>
      <c r="H19" s="5"/>
      <c r="I19" s="5"/>
      <c r="J19" s="5"/>
      <c r="K19" s="5"/>
    </row>
    <row r="20" spans="1:15" x14ac:dyDescent="0.25">
      <c r="A20" s="187"/>
      <c r="B20" s="23">
        <v>2</v>
      </c>
      <c r="C20" s="5">
        <v>515.4</v>
      </c>
      <c r="D20" s="5">
        <v>335.6</v>
      </c>
      <c r="E20" s="5">
        <v>8.9</v>
      </c>
      <c r="F20" s="5">
        <v>859.9</v>
      </c>
      <c r="H20" s="5"/>
      <c r="I20" s="5"/>
      <c r="J20" s="5"/>
      <c r="K20" s="5"/>
    </row>
    <row r="21" spans="1:15" x14ac:dyDescent="0.25">
      <c r="A21" s="187"/>
      <c r="B21" s="23">
        <v>3</v>
      </c>
      <c r="C21" s="5">
        <v>226.3</v>
      </c>
      <c r="D21" s="5">
        <v>318.2</v>
      </c>
      <c r="E21" s="5">
        <v>3.7</v>
      </c>
      <c r="F21" s="5">
        <v>548.20000000000005</v>
      </c>
      <c r="H21" s="5"/>
      <c r="I21" s="5"/>
      <c r="J21" s="5"/>
      <c r="K21" s="5"/>
    </row>
    <row r="22" spans="1:15" x14ac:dyDescent="0.25">
      <c r="A22" s="187"/>
      <c r="B22" s="23">
        <v>4</v>
      </c>
      <c r="C22" s="5">
        <v>107.9</v>
      </c>
      <c r="D22" s="5">
        <v>221.7</v>
      </c>
      <c r="E22" s="5">
        <v>2.2999999999999998</v>
      </c>
      <c r="F22" s="5">
        <v>331.8</v>
      </c>
      <c r="H22" s="5"/>
      <c r="I22" s="5"/>
      <c r="J22" s="5"/>
      <c r="K22" s="5"/>
    </row>
    <row r="23" spans="1:15" x14ac:dyDescent="0.25">
      <c r="A23" s="187"/>
      <c r="B23" s="23" t="s">
        <v>171</v>
      </c>
      <c r="C23" s="5">
        <v>56.5</v>
      </c>
      <c r="D23" s="5">
        <v>137.19999999999999</v>
      </c>
      <c r="E23" s="5">
        <v>1.9</v>
      </c>
      <c r="F23" s="5">
        <v>195.6</v>
      </c>
      <c r="H23" s="5"/>
      <c r="I23" s="5"/>
      <c r="J23" s="5"/>
      <c r="K23" s="5"/>
    </row>
    <row r="24" spans="1:15" ht="12" customHeight="1" x14ac:dyDescent="0.25">
      <c r="A24" s="62"/>
      <c r="B24" s="109" t="s">
        <v>168</v>
      </c>
      <c r="C24" s="97">
        <v>1742.71</v>
      </c>
      <c r="D24" s="97">
        <v>1580.61</v>
      </c>
      <c r="E24" s="97">
        <v>35.06</v>
      </c>
      <c r="F24" s="97">
        <v>3358.37</v>
      </c>
      <c r="G24" s="129"/>
      <c r="H24" s="97"/>
      <c r="I24" s="97"/>
      <c r="J24" s="97"/>
      <c r="K24" s="97"/>
    </row>
    <row r="25" spans="1:15" ht="15.75" customHeight="1" x14ac:dyDescent="0.25">
      <c r="A25" s="204" t="s">
        <v>12</v>
      </c>
      <c r="B25" s="204"/>
      <c r="C25" s="204"/>
      <c r="D25" s="204"/>
      <c r="E25" s="204"/>
      <c r="F25" s="204"/>
    </row>
    <row r="26" spans="1:15" ht="15.75" customHeight="1" x14ac:dyDescent="0.25">
      <c r="A26" s="77" t="s">
        <v>184</v>
      </c>
      <c r="B26" s="81"/>
      <c r="C26" s="81"/>
      <c r="D26" s="81"/>
      <c r="E26" s="81"/>
      <c r="F26" s="81"/>
    </row>
    <row r="27" spans="1:15" s="53" customFormat="1" ht="11.1" customHeight="1" x14ac:dyDescent="0.15">
      <c r="A27" s="53" t="s">
        <v>13</v>
      </c>
    </row>
    <row r="28" spans="1:15" s="63" customFormat="1" ht="11.1" customHeight="1" x14ac:dyDescent="0.2">
      <c r="A28" s="39" t="s">
        <v>23</v>
      </c>
    </row>
    <row r="29" spans="1:15" s="53" customFormat="1" ht="11.1" customHeight="1" x14ac:dyDescent="0.25">
      <c r="A29" s="6" t="s">
        <v>51</v>
      </c>
      <c r="J29" s="13"/>
      <c r="K29" s="5"/>
      <c r="L29" s="5"/>
      <c r="M29" s="1"/>
      <c r="N29" s="1"/>
      <c r="O29" s="1"/>
    </row>
    <row r="30" spans="1:15" s="53" customFormat="1" ht="11.1" customHeight="1" x14ac:dyDescent="0.25">
      <c r="A30" s="6" t="s">
        <v>264</v>
      </c>
      <c r="J30" s="13"/>
      <c r="K30" s="5"/>
      <c r="L30" s="5"/>
      <c r="M30" s="1"/>
      <c r="N30" s="1"/>
      <c r="O30" s="1"/>
    </row>
    <row r="31" spans="1:15" s="53" customFormat="1" ht="11.1" customHeight="1" x14ac:dyDescent="0.25">
      <c r="J31" s="5"/>
      <c r="K31" s="97"/>
      <c r="L31" s="97"/>
      <c r="M31" s="97"/>
      <c r="N31" s="97"/>
      <c r="O31" s="1"/>
    </row>
    <row r="32" spans="1:15" s="53" customFormat="1" ht="11.1" customHeight="1" x14ac:dyDescent="0.25">
      <c r="A32" s="6" t="s">
        <v>263</v>
      </c>
      <c r="J32" s="1"/>
      <c r="K32" s="1"/>
      <c r="L32" s="1"/>
      <c r="M32" s="1"/>
      <c r="N32" s="1"/>
      <c r="O32" s="1"/>
    </row>
    <row r="33" spans="1:20" ht="12" customHeight="1" x14ac:dyDescent="0.25">
      <c r="A33" s="62"/>
    </row>
    <row r="34" spans="1:20" ht="27" customHeight="1" x14ac:dyDescent="0.25">
      <c r="A34" s="189" t="s">
        <v>310</v>
      </c>
      <c r="B34" s="206"/>
      <c r="C34" s="206"/>
      <c r="D34" s="206"/>
      <c r="E34" s="206"/>
      <c r="F34" s="206"/>
      <c r="G34" s="66"/>
      <c r="H34" s="66"/>
    </row>
    <row r="35" spans="1:20" ht="0.75" customHeight="1" x14ac:dyDescent="0.25">
      <c r="A35" s="62"/>
    </row>
    <row r="36" spans="1:20" ht="23.25" x14ac:dyDescent="0.25">
      <c r="A36" s="65" t="s">
        <v>119</v>
      </c>
      <c r="B36" s="65" t="s">
        <v>172</v>
      </c>
      <c r="C36" s="35" t="s">
        <v>18</v>
      </c>
      <c r="D36" s="35" t="s">
        <v>19</v>
      </c>
      <c r="E36" s="35" t="s">
        <v>20</v>
      </c>
      <c r="F36" s="64" t="s">
        <v>11</v>
      </c>
    </row>
    <row r="37" spans="1:20" x14ac:dyDescent="0.25">
      <c r="A37" s="187" t="s">
        <v>17</v>
      </c>
      <c r="B37" s="23" t="s">
        <v>170</v>
      </c>
      <c r="C37" s="8">
        <v>1591</v>
      </c>
      <c r="D37" s="8">
        <v>871</v>
      </c>
      <c r="E37" s="8">
        <v>29</v>
      </c>
      <c r="F37" s="8">
        <v>2491</v>
      </c>
      <c r="H37" s="121"/>
      <c r="I37" s="121"/>
      <c r="J37" s="121"/>
      <c r="K37" s="121"/>
      <c r="M37" s="125"/>
      <c r="N37" s="125"/>
    </row>
    <row r="38" spans="1:20" x14ac:dyDescent="0.25">
      <c r="A38" s="187"/>
      <c r="B38" s="23">
        <v>2</v>
      </c>
      <c r="C38" s="8">
        <v>1012</v>
      </c>
      <c r="D38" s="8">
        <v>617</v>
      </c>
      <c r="E38" s="8">
        <v>22</v>
      </c>
      <c r="F38" s="8">
        <v>1651</v>
      </c>
      <c r="H38" s="121"/>
      <c r="I38" s="121"/>
      <c r="J38" s="121"/>
      <c r="K38" s="121"/>
      <c r="Q38" s="120"/>
      <c r="R38" s="120"/>
      <c r="S38" s="120"/>
      <c r="T38" s="120"/>
    </row>
    <row r="39" spans="1:20" x14ac:dyDescent="0.25">
      <c r="A39" s="187"/>
      <c r="B39" s="23">
        <v>3</v>
      </c>
      <c r="C39" s="8">
        <v>467</v>
      </c>
      <c r="D39" s="8">
        <v>571</v>
      </c>
      <c r="E39" s="8">
        <v>11</v>
      </c>
      <c r="F39" s="8">
        <v>1049</v>
      </c>
      <c r="H39" s="121"/>
      <c r="I39" s="121"/>
      <c r="J39" s="121"/>
      <c r="K39" s="121"/>
      <c r="Q39" s="120"/>
      <c r="R39" s="120"/>
      <c r="S39" s="120"/>
      <c r="T39" s="120"/>
    </row>
    <row r="40" spans="1:20" x14ac:dyDescent="0.25">
      <c r="A40" s="187"/>
      <c r="B40" s="23">
        <v>4</v>
      </c>
      <c r="C40" s="8">
        <v>236</v>
      </c>
      <c r="D40" s="8">
        <v>395</v>
      </c>
      <c r="E40" s="8">
        <v>11</v>
      </c>
      <c r="F40" s="8">
        <v>642</v>
      </c>
      <c r="H40" s="121"/>
      <c r="I40" s="121"/>
      <c r="J40" s="121"/>
      <c r="K40" s="121"/>
      <c r="Q40" s="120"/>
      <c r="R40" s="120"/>
      <c r="S40" s="120"/>
      <c r="T40" s="120"/>
    </row>
    <row r="41" spans="1:20" x14ac:dyDescent="0.25">
      <c r="A41" s="187"/>
      <c r="B41" s="23" t="s">
        <v>171</v>
      </c>
      <c r="C41" s="8">
        <v>110</v>
      </c>
      <c r="D41" s="8">
        <v>226</v>
      </c>
      <c r="E41" s="8">
        <v>4</v>
      </c>
      <c r="F41" s="8">
        <v>340</v>
      </c>
      <c r="H41" s="121"/>
      <c r="I41" s="121"/>
      <c r="J41" s="121"/>
      <c r="K41" s="121"/>
      <c r="Q41" s="120"/>
      <c r="R41" s="120"/>
      <c r="S41" s="120"/>
      <c r="T41" s="120"/>
    </row>
    <row r="42" spans="1:20" x14ac:dyDescent="0.25">
      <c r="A42" s="187" t="s">
        <v>21</v>
      </c>
      <c r="B42" s="23" t="s">
        <v>170</v>
      </c>
      <c r="C42" s="8">
        <v>440</v>
      </c>
      <c r="D42" s="8">
        <v>199</v>
      </c>
      <c r="E42" s="8">
        <v>3</v>
      </c>
      <c r="F42" s="8">
        <v>642</v>
      </c>
      <c r="H42" s="121"/>
      <c r="I42" s="121"/>
      <c r="J42" s="121"/>
      <c r="K42" s="121"/>
      <c r="Q42" s="120"/>
      <c r="R42" s="120"/>
      <c r="S42" s="120"/>
      <c r="T42" s="120"/>
    </row>
    <row r="43" spans="1:20" x14ac:dyDescent="0.25">
      <c r="A43" s="187"/>
      <c r="B43" s="23">
        <v>2</v>
      </c>
      <c r="C43" s="8">
        <v>302</v>
      </c>
      <c r="D43" s="8">
        <v>146</v>
      </c>
      <c r="E43" s="8">
        <v>6</v>
      </c>
      <c r="F43" s="8">
        <v>454</v>
      </c>
      <c r="H43" s="121"/>
      <c r="I43" s="121"/>
      <c r="J43" s="121"/>
      <c r="K43" s="121"/>
      <c r="Q43" s="120"/>
      <c r="R43" s="120"/>
      <c r="S43" s="120"/>
      <c r="T43" s="120"/>
    </row>
    <row r="44" spans="1:20" x14ac:dyDescent="0.25">
      <c r="A44" s="187"/>
      <c r="B44" s="23">
        <v>3</v>
      </c>
      <c r="C44" s="8">
        <v>186</v>
      </c>
      <c r="D44" s="8">
        <v>121</v>
      </c>
      <c r="E44" s="8">
        <v>4</v>
      </c>
      <c r="F44" s="8">
        <v>311</v>
      </c>
      <c r="H44" s="121"/>
      <c r="I44" s="121"/>
      <c r="J44" s="121"/>
      <c r="K44" s="121"/>
      <c r="Q44" s="120"/>
      <c r="R44" s="120"/>
      <c r="S44" s="120"/>
      <c r="T44" s="120"/>
    </row>
    <row r="45" spans="1:20" x14ac:dyDescent="0.25">
      <c r="A45" s="187"/>
      <c r="B45" s="23">
        <v>4</v>
      </c>
      <c r="C45" s="8">
        <v>88</v>
      </c>
      <c r="D45" s="8">
        <v>85</v>
      </c>
      <c r="E45" s="8">
        <v>2</v>
      </c>
      <c r="F45" s="8">
        <v>175</v>
      </c>
      <c r="H45" s="121"/>
      <c r="I45" s="121"/>
      <c r="J45" s="121"/>
      <c r="K45" s="121"/>
      <c r="Q45" s="120"/>
      <c r="R45" s="120"/>
      <c r="S45" s="120"/>
      <c r="T45" s="120"/>
    </row>
    <row r="46" spans="1:20" x14ac:dyDescent="0.25">
      <c r="A46" s="187"/>
      <c r="B46" s="23" t="s">
        <v>171</v>
      </c>
      <c r="C46" s="8">
        <v>31</v>
      </c>
      <c r="D46" s="8">
        <v>60</v>
      </c>
      <c r="E46" s="121" t="s">
        <v>109</v>
      </c>
      <c r="F46" s="8">
        <v>91</v>
      </c>
      <c r="H46" s="121"/>
      <c r="I46" s="121"/>
      <c r="J46" s="121"/>
      <c r="K46" s="121"/>
      <c r="Q46" s="120"/>
      <c r="R46" s="120"/>
      <c r="S46" s="120"/>
      <c r="T46" s="120"/>
    </row>
    <row r="47" spans="1:20" x14ac:dyDescent="0.25">
      <c r="A47" s="187" t="s">
        <v>20</v>
      </c>
      <c r="B47" s="23" t="s">
        <v>170</v>
      </c>
      <c r="C47" s="121" t="s">
        <v>109</v>
      </c>
      <c r="D47" s="8">
        <v>2</v>
      </c>
      <c r="E47" s="8">
        <v>1</v>
      </c>
      <c r="F47" s="8">
        <v>3</v>
      </c>
      <c r="H47" s="121"/>
      <c r="I47" s="121"/>
      <c r="J47" s="121"/>
      <c r="K47" s="121"/>
      <c r="Q47" s="120"/>
      <c r="R47" s="120"/>
      <c r="S47" s="120"/>
      <c r="T47" s="120"/>
    </row>
    <row r="48" spans="1:20" x14ac:dyDescent="0.25">
      <c r="A48" s="187"/>
      <c r="B48" s="23">
        <v>2</v>
      </c>
      <c r="C48" s="8">
        <v>1</v>
      </c>
      <c r="D48" s="8">
        <v>1</v>
      </c>
      <c r="E48" s="8">
        <v>1</v>
      </c>
      <c r="F48" s="8">
        <v>3</v>
      </c>
      <c r="H48" s="121"/>
      <c r="I48" s="121"/>
      <c r="J48" s="121"/>
      <c r="K48" s="121"/>
      <c r="Q48" s="120"/>
      <c r="R48" s="120"/>
      <c r="S48" s="120"/>
      <c r="T48" s="120"/>
    </row>
    <row r="49" spans="1:20" x14ac:dyDescent="0.25">
      <c r="A49" s="187"/>
      <c r="B49" s="23">
        <v>3</v>
      </c>
      <c r="C49" s="8">
        <v>1</v>
      </c>
      <c r="D49" s="8">
        <v>3</v>
      </c>
      <c r="E49" s="8">
        <v>2</v>
      </c>
      <c r="F49" s="8">
        <v>6</v>
      </c>
      <c r="H49" s="121"/>
      <c r="I49" s="121"/>
      <c r="J49" s="121"/>
      <c r="K49" s="121"/>
      <c r="Q49" s="120"/>
      <c r="R49" s="120"/>
      <c r="S49" s="120"/>
      <c r="T49" s="120"/>
    </row>
    <row r="50" spans="1:20" x14ac:dyDescent="0.25">
      <c r="A50" s="187"/>
      <c r="B50" s="23">
        <v>4</v>
      </c>
      <c r="C50" s="121" t="s">
        <v>109</v>
      </c>
      <c r="D50" s="121" t="s">
        <v>109</v>
      </c>
      <c r="E50" s="121" t="s">
        <v>109</v>
      </c>
      <c r="F50" s="121" t="s">
        <v>109</v>
      </c>
      <c r="H50" s="121"/>
      <c r="I50" s="121"/>
      <c r="J50" s="121"/>
      <c r="K50" s="121"/>
      <c r="Q50" s="120"/>
      <c r="R50" s="120"/>
      <c r="S50" s="120"/>
      <c r="T50" s="120"/>
    </row>
    <row r="51" spans="1:20" x14ac:dyDescent="0.25">
      <c r="A51" s="187"/>
      <c r="B51" s="23" t="s">
        <v>171</v>
      </c>
      <c r="C51" s="121" t="s">
        <v>109</v>
      </c>
      <c r="D51" s="121" t="s">
        <v>109</v>
      </c>
      <c r="E51" s="121" t="s">
        <v>109</v>
      </c>
      <c r="F51" s="121" t="s">
        <v>109</v>
      </c>
      <c r="H51" s="121"/>
      <c r="I51" s="121"/>
      <c r="J51" s="121"/>
      <c r="K51" s="121"/>
      <c r="Q51" s="120"/>
      <c r="R51" s="120"/>
      <c r="S51" s="120"/>
      <c r="T51" s="120"/>
    </row>
    <row r="52" spans="1:20" x14ac:dyDescent="0.25">
      <c r="A52" s="191" t="s">
        <v>11</v>
      </c>
      <c r="B52" s="23" t="s">
        <v>170</v>
      </c>
      <c r="C52" s="8">
        <v>2031</v>
      </c>
      <c r="D52" s="8">
        <v>1072</v>
      </c>
      <c r="E52" s="8">
        <v>33</v>
      </c>
      <c r="F52" s="8">
        <v>3136</v>
      </c>
      <c r="H52" s="121"/>
      <c r="I52" s="121"/>
      <c r="J52" s="121"/>
      <c r="K52" s="121"/>
      <c r="Q52" s="120"/>
      <c r="R52" s="120"/>
      <c r="S52" s="120"/>
      <c r="T52" s="120"/>
    </row>
    <row r="53" spans="1:20" x14ac:dyDescent="0.25">
      <c r="A53" s="191"/>
      <c r="B53" s="23">
        <v>2</v>
      </c>
      <c r="C53" s="8">
        <v>1315</v>
      </c>
      <c r="D53" s="8">
        <v>764</v>
      </c>
      <c r="E53" s="8">
        <v>29</v>
      </c>
      <c r="F53" s="8">
        <v>2108</v>
      </c>
      <c r="H53" s="121"/>
      <c r="I53" s="121"/>
      <c r="J53" s="121"/>
      <c r="K53" s="121"/>
      <c r="Q53" s="120"/>
      <c r="R53" s="120"/>
      <c r="S53" s="120"/>
      <c r="T53" s="120"/>
    </row>
    <row r="54" spans="1:20" x14ac:dyDescent="0.25">
      <c r="A54" s="191"/>
      <c r="B54" s="23">
        <v>3</v>
      </c>
      <c r="C54" s="8">
        <v>654</v>
      </c>
      <c r="D54" s="8">
        <v>695</v>
      </c>
      <c r="E54" s="8">
        <v>17</v>
      </c>
      <c r="F54" s="8">
        <v>1366</v>
      </c>
      <c r="H54" s="121"/>
      <c r="I54" s="121"/>
      <c r="J54" s="121"/>
      <c r="K54" s="121"/>
      <c r="Q54" s="120"/>
      <c r="R54" s="120"/>
      <c r="S54" s="120"/>
      <c r="T54" s="120"/>
    </row>
    <row r="55" spans="1:20" x14ac:dyDescent="0.25">
      <c r="A55" s="191"/>
      <c r="B55" s="23">
        <v>4</v>
      </c>
      <c r="C55" s="8">
        <v>324</v>
      </c>
      <c r="D55" s="8">
        <v>480</v>
      </c>
      <c r="E55" s="8">
        <v>13</v>
      </c>
      <c r="F55" s="8">
        <v>817</v>
      </c>
      <c r="H55" s="121"/>
      <c r="I55" s="121"/>
      <c r="J55" s="121"/>
      <c r="K55" s="121"/>
      <c r="Q55" s="120"/>
      <c r="R55" s="120"/>
      <c r="S55" s="120"/>
      <c r="T55" s="120"/>
    </row>
    <row r="56" spans="1:20" x14ac:dyDescent="0.25">
      <c r="A56" s="191"/>
      <c r="B56" s="23" t="s">
        <v>171</v>
      </c>
      <c r="C56" s="8">
        <v>141</v>
      </c>
      <c r="D56" s="8">
        <v>286</v>
      </c>
      <c r="E56" s="8">
        <v>4</v>
      </c>
      <c r="F56" s="8">
        <v>431</v>
      </c>
      <c r="G56" s="125"/>
      <c r="H56" s="121"/>
      <c r="I56" s="121"/>
      <c r="J56" s="121"/>
      <c r="K56" s="121"/>
      <c r="Q56" s="120"/>
      <c r="R56" s="120"/>
      <c r="S56" s="120"/>
      <c r="T56" s="120"/>
    </row>
    <row r="57" spans="1:20" ht="15.75" customHeight="1" x14ac:dyDescent="0.25">
      <c r="A57" s="133"/>
      <c r="B57" s="110" t="s">
        <v>168</v>
      </c>
      <c r="C57" s="164">
        <v>4684</v>
      </c>
      <c r="D57" s="164">
        <v>3477</v>
      </c>
      <c r="E57" s="164">
        <v>140</v>
      </c>
      <c r="F57" s="164">
        <v>8301</v>
      </c>
      <c r="Q57" s="120"/>
      <c r="R57" s="120"/>
      <c r="S57" s="120"/>
      <c r="T57" s="120"/>
    </row>
    <row r="58" spans="1:20" ht="15" customHeight="1" x14ac:dyDescent="0.25">
      <c r="A58" s="192" t="s">
        <v>185</v>
      </c>
      <c r="B58" s="192"/>
      <c r="C58" s="192"/>
      <c r="D58" s="192"/>
      <c r="E58" s="192"/>
      <c r="F58" s="192"/>
      <c r="G58" s="192"/>
      <c r="H58" s="192"/>
      <c r="I58" s="192"/>
      <c r="J58" s="192"/>
      <c r="K58" s="192"/>
      <c r="L58" s="192"/>
    </row>
    <row r="59" spans="1:20" s="53" customFormat="1" ht="11.1" customHeight="1" x14ac:dyDescent="0.15">
      <c r="A59" s="192" t="s">
        <v>50</v>
      </c>
      <c r="B59" s="192"/>
      <c r="C59" s="192"/>
      <c r="D59" s="192"/>
      <c r="E59" s="192"/>
      <c r="F59" s="192"/>
      <c r="G59" s="192"/>
      <c r="H59" s="192"/>
    </row>
    <row r="60" spans="1:20" s="53" customFormat="1" ht="11.1" customHeight="1" x14ac:dyDescent="0.15">
      <c r="A60" s="6"/>
    </row>
    <row r="61" spans="1:20" ht="12" customHeight="1" x14ac:dyDescent="0.25">
      <c r="A61" s="6" t="s">
        <v>263</v>
      </c>
      <c r="B61" s="53"/>
      <c r="C61" s="53"/>
      <c r="D61" s="53"/>
      <c r="E61" s="53"/>
      <c r="F61" s="53"/>
      <c r="G61" s="53"/>
      <c r="H61" s="53"/>
    </row>
  </sheetData>
  <mergeCells count="14">
    <mergeCell ref="A19:A23"/>
    <mergeCell ref="A25:F25"/>
    <mergeCell ref="A34:F34"/>
    <mergeCell ref="A1:F1"/>
    <mergeCell ref="A4:A8"/>
    <mergeCell ref="A9:A13"/>
    <mergeCell ref="A14:A18"/>
    <mergeCell ref="I58:L58"/>
    <mergeCell ref="A59:H59"/>
    <mergeCell ref="A37:A41"/>
    <mergeCell ref="A42:A46"/>
    <mergeCell ref="A47:A51"/>
    <mergeCell ref="A52:A56"/>
    <mergeCell ref="A58:H58"/>
  </mergeCells>
  <pageMargins left="0.08" right="0.08" top="1" bottom="1" header="0.5" footer="0.5"/>
  <pageSetup orientation="landscape" blackAndWhite="1"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E82"/>
  <sheetViews>
    <sheetView zoomScaleNormal="100" workbookViewId="0">
      <selection activeCell="A37" sqref="A37"/>
    </sheetView>
  </sheetViews>
  <sheetFormatPr defaultColWidth="9.140625" defaultRowHeight="15" x14ac:dyDescent="0.25"/>
  <cols>
    <col min="1" max="1" width="35.5703125" style="1" customWidth="1"/>
    <col min="2" max="6" width="11.42578125" style="1" bestFit="1" customWidth="1"/>
    <col min="7" max="8" width="11.42578125" style="18" bestFit="1" customWidth="1"/>
    <col min="9" max="12" width="11.42578125" style="1" bestFit="1" customWidth="1"/>
    <col min="13" max="21" width="9.140625" style="1"/>
    <col min="22" max="22" width="18.85546875" style="1" bestFit="1" customWidth="1"/>
    <col min="23" max="16384" width="9.140625" style="1"/>
  </cols>
  <sheetData>
    <row r="1" spans="1:22" ht="32.25" customHeight="1" x14ac:dyDescent="0.25">
      <c r="A1" s="188" t="s">
        <v>311</v>
      </c>
      <c r="B1" s="188"/>
      <c r="C1" s="188"/>
      <c r="D1" s="188"/>
      <c r="E1" s="188"/>
      <c r="F1" s="188"/>
      <c r="G1" s="188"/>
      <c r="H1" s="188"/>
      <c r="I1" s="188"/>
      <c r="J1" s="188"/>
    </row>
    <row r="2" spans="1:22" ht="1.5" customHeight="1" x14ac:dyDescent="0.25">
      <c r="A2" s="2"/>
    </row>
    <row r="3" spans="1:22" x14ac:dyDescent="0.25">
      <c r="A3" s="65" t="s">
        <v>172</v>
      </c>
      <c r="B3" s="3" t="s">
        <v>0</v>
      </c>
      <c r="C3" s="3" t="s">
        <v>1</v>
      </c>
      <c r="D3" s="3" t="s">
        <v>2</v>
      </c>
      <c r="E3" s="3" t="s">
        <v>3</v>
      </c>
      <c r="F3" s="3" t="s">
        <v>4</v>
      </c>
      <c r="G3" s="68" t="s">
        <v>5</v>
      </c>
      <c r="H3" s="68" t="s">
        <v>6</v>
      </c>
      <c r="I3" s="3" t="s">
        <v>7</v>
      </c>
      <c r="J3" s="3" t="s">
        <v>8</v>
      </c>
    </row>
    <row r="4" spans="1:22" x14ac:dyDescent="0.25">
      <c r="A4" s="4" t="s">
        <v>170</v>
      </c>
      <c r="B4" s="163">
        <v>227.6</v>
      </c>
      <c r="C4" s="163">
        <v>67.599999999999994</v>
      </c>
      <c r="D4" s="163">
        <v>400.3</v>
      </c>
      <c r="E4" s="163">
        <v>99.2</v>
      </c>
      <c r="F4" s="163">
        <v>99.3</v>
      </c>
      <c r="G4" s="163">
        <v>68</v>
      </c>
      <c r="H4" s="5" t="s">
        <v>109</v>
      </c>
      <c r="I4" s="5" t="s">
        <v>109</v>
      </c>
      <c r="J4" s="163">
        <v>961.9</v>
      </c>
      <c r="L4" s="5"/>
      <c r="M4" s="5"/>
      <c r="N4" s="5"/>
      <c r="O4" s="5"/>
      <c r="P4" s="5"/>
      <c r="Q4" s="5"/>
      <c r="R4" s="37"/>
      <c r="S4" s="5"/>
      <c r="T4" s="5"/>
      <c r="V4" s="162"/>
    </row>
    <row r="5" spans="1:22" x14ac:dyDescent="0.25">
      <c r="A5" s="4">
        <v>2</v>
      </c>
      <c r="B5" s="163">
        <v>208.7</v>
      </c>
      <c r="C5" s="163">
        <v>37.1</v>
      </c>
      <c r="D5" s="163">
        <v>235.7</v>
      </c>
      <c r="E5" s="163">
        <v>131</v>
      </c>
      <c r="F5" s="163">
        <v>29</v>
      </c>
      <c r="G5" s="163">
        <v>16.899999999999999</v>
      </c>
      <c r="H5" s="5" t="s">
        <v>109</v>
      </c>
      <c r="I5" s="5" t="s">
        <v>109</v>
      </c>
      <c r="J5" s="163">
        <v>658.4</v>
      </c>
      <c r="L5" s="5"/>
      <c r="M5" s="5"/>
      <c r="N5" s="5"/>
      <c r="O5" s="5"/>
      <c r="P5" s="5"/>
      <c r="Q5" s="5"/>
      <c r="R5" s="5"/>
      <c r="S5" s="5"/>
      <c r="T5" s="5"/>
    </row>
    <row r="6" spans="1:22" x14ac:dyDescent="0.25">
      <c r="A6" s="4">
        <v>3</v>
      </c>
      <c r="B6" s="163">
        <v>96.9</v>
      </c>
      <c r="C6" s="163">
        <v>58.3</v>
      </c>
      <c r="D6" s="163">
        <v>146.5</v>
      </c>
      <c r="E6" s="163">
        <v>68.400000000000006</v>
      </c>
      <c r="F6" s="163">
        <v>26.7</v>
      </c>
      <c r="G6" s="163">
        <v>8.1999999999999993</v>
      </c>
      <c r="H6" s="163">
        <v>0.2</v>
      </c>
      <c r="I6" s="5" t="s">
        <v>109</v>
      </c>
      <c r="J6" s="163">
        <v>405.1</v>
      </c>
      <c r="L6" s="5"/>
      <c r="M6" s="5"/>
      <c r="N6" s="5"/>
      <c r="O6" s="5"/>
      <c r="P6" s="5"/>
      <c r="Q6" s="5"/>
      <c r="R6" s="5"/>
      <c r="S6" s="5"/>
      <c r="T6" s="5"/>
    </row>
    <row r="7" spans="1:22" x14ac:dyDescent="0.25">
      <c r="A7" s="4">
        <v>4</v>
      </c>
      <c r="B7" s="163">
        <v>64.5</v>
      </c>
      <c r="C7" s="163">
        <v>29.5</v>
      </c>
      <c r="D7" s="163">
        <v>54.9</v>
      </c>
      <c r="E7" s="163">
        <v>55.5</v>
      </c>
      <c r="F7" s="163">
        <v>9.4</v>
      </c>
      <c r="G7" s="163">
        <v>3.3</v>
      </c>
      <c r="H7" s="163">
        <v>17.899999999999999</v>
      </c>
      <c r="I7" s="5" t="s">
        <v>109</v>
      </c>
      <c r="J7" s="163">
        <v>234.9</v>
      </c>
      <c r="L7" s="5"/>
      <c r="M7" s="5"/>
      <c r="N7" s="5"/>
      <c r="O7" s="5"/>
      <c r="P7" s="5"/>
      <c r="Q7" s="5"/>
      <c r="R7" s="5"/>
      <c r="S7" s="5"/>
      <c r="T7" s="5"/>
    </row>
    <row r="8" spans="1:22" x14ac:dyDescent="0.25">
      <c r="A8" s="4" t="s">
        <v>171</v>
      </c>
      <c r="B8" s="163">
        <v>68.400000000000006</v>
      </c>
      <c r="C8" s="163">
        <v>18.2</v>
      </c>
      <c r="D8" s="163">
        <v>18</v>
      </c>
      <c r="E8" s="163">
        <v>13.8</v>
      </c>
      <c r="F8" s="163">
        <v>0.7</v>
      </c>
      <c r="G8" s="163">
        <v>0.3</v>
      </c>
      <c r="H8" s="163">
        <v>24.6</v>
      </c>
      <c r="I8" s="5" t="s">
        <v>109</v>
      </c>
      <c r="J8" s="163">
        <v>144</v>
      </c>
      <c r="L8" s="5"/>
      <c r="M8" s="5"/>
      <c r="N8" s="5"/>
      <c r="O8" s="5"/>
      <c r="P8" s="5"/>
      <c r="Q8" s="5"/>
      <c r="R8" s="5"/>
      <c r="S8" s="5"/>
      <c r="T8" s="5"/>
    </row>
    <row r="9" spans="1:22" ht="12" customHeight="1" x14ac:dyDescent="0.25">
      <c r="A9" s="60" t="s">
        <v>168</v>
      </c>
      <c r="B9" s="97">
        <v>739.47</v>
      </c>
      <c r="C9" s="97">
        <v>228.7</v>
      </c>
      <c r="D9" s="97">
        <v>859.98</v>
      </c>
      <c r="E9" s="97">
        <v>367.85</v>
      </c>
      <c r="F9" s="97">
        <v>169.05</v>
      </c>
      <c r="G9" s="97">
        <v>96.42</v>
      </c>
      <c r="H9" s="97">
        <v>47.36</v>
      </c>
      <c r="I9" s="97" t="s">
        <v>114</v>
      </c>
      <c r="J9" s="97">
        <v>2508.8200000000002</v>
      </c>
      <c r="L9" s="97"/>
      <c r="M9" s="97"/>
      <c r="N9" s="97"/>
      <c r="O9" s="97"/>
      <c r="P9" s="97"/>
      <c r="Q9" s="97"/>
      <c r="R9" s="97"/>
      <c r="S9" s="97"/>
      <c r="T9" s="97"/>
    </row>
    <row r="10" spans="1:22" ht="11.1" customHeight="1" x14ac:dyDescent="0.25">
      <c r="A10" s="190" t="s">
        <v>12</v>
      </c>
      <c r="B10" s="190"/>
      <c r="C10" s="190"/>
      <c r="D10" s="190"/>
      <c r="E10" s="190"/>
      <c r="F10" s="190"/>
      <c r="G10" s="190"/>
      <c r="H10" s="190"/>
      <c r="I10" s="190"/>
      <c r="J10" s="190"/>
    </row>
    <row r="11" spans="1:22" ht="11.1" customHeight="1" x14ac:dyDescent="0.25">
      <c r="A11" s="77" t="s">
        <v>184</v>
      </c>
      <c r="B11" s="76"/>
      <c r="C11" s="76"/>
      <c r="D11" s="76"/>
      <c r="E11" s="76"/>
      <c r="F11" s="76"/>
      <c r="G11" s="76"/>
      <c r="H11" s="76"/>
      <c r="I11" s="76"/>
      <c r="J11" s="76"/>
    </row>
    <row r="12" spans="1:22" s="6" customFormat="1" ht="11.1" customHeight="1" x14ac:dyDescent="0.15">
      <c r="A12" s="6" t="s">
        <v>13</v>
      </c>
      <c r="G12" s="69"/>
      <c r="H12" s="69"/>
    </row>
    <row r="13" spans="1:22" s="12" customFormat="1" ht="11.1" customHeight="1" x14ac:dyDescent="0.2">
      <c r="A13" s="39" t="s">
        <v>23</v>
      </c>
      <c r="G13" s="70"/>
      <c r="H13" s="70"/>
    </row>
    <row r="14" spans="1:22" s="6" customFormat="1" ht="11.1" customHeight="1" x14ac:dyDescent="0.15">
      <c r="A14" s="6" t="s">
        <v>51</v>
      </c>
      <c r="G14" s="69"/>
      <c r="H14" s="69"/>
    </row>
    <row r="15" spans="1:22" s="6" customFormat="1" ht="19.5" customHeight="1" x14ac:dyDescent="0.15">
      <c r="A15" s="186" t="s">
        <v>52</v>
      </c>
      <c r="B15" s="186"/>
      <c r="C15" s="186"/>
      <c r="D15" s="186"/>
      <c r="E15" s="186"/>
      <c r="F15" s="186"/>
      <c r="G15" s="186"/>
      <c r="H15" s="186"/>
      <c r="I15" s="186"/>
      <c r="J15" s="186"/>
    </row>
    <row r="16" spans="1:22" s="6" customFormat="1" ht="11.1" customHeight="1" x14ac:dyDescent="0.15">
      <c r="A16" s="6" t="s">
        <v>53</v>
      </c>
      <c r="G16" s="69"/>
      <c r="H16" s="69"/>
    </row>
    <row r="17" spans="1:22" s="6" customFormat="1" ht="20.25" customHeight="1" x14ac:dyDescent="0.15">
      <c r="A17" s="186" t="s">
        <v>43</v>
      </c>
      <c r="B17" s="186"/>
      <c r="C17" s="186"/>
      <c r="D17" s="186"/>
      <c r="E17" s="186"/>
      <c r="F17" s="186"/>
      <c r="G17" s="186"/>
      <c r="H17" s="186"/>
      <c r="I17" s="186"/>
      <c r="J17" s="186"/>
    </row>
    <row r="18" spans="1:22" s="6" customFormat="1" ht="9" x14ac:dyDescent="0.15">
      <c r="A18" s="186" t="s">
        <v>312</v>
      </c>
      <c r="B18" s="186"/>
      <c r="C18" s="186"/>
      <c r="D18" s="186"/>
      <c r="E18" s="186"/>
      <c r="F18" s="186"/>
      <c r="G18" s="186"/>
      <c r="H18" s="186"/>
      <c r="I18" s="186"/>
      <c r="J18" s="186"/>
    </row>
    <row r="19" spans="1:22" s="6" customFormat="1" ht="11.1" customHeight="1" x14ac:dyDescent="0.15">
      <c r="A19" s="6" t="s">
        <v>14</v>
      </c>
      <c r="G19" s="69"/>
      <c r="H19" s="69"/>
    </row>
    <row r="20" spans="1:22" s="6" customFormat="1" ht="11.1" customHeight="1" x14ac:dyDescent="0.15">
      <c r="A20" s="6" t="s">
        <v>263</v>
      </c>
      <c r="G20" s="69"/>
      <c r="H20" s="69"/>
    </row>
    <row r="21" spans="1:22" ht="12" customHeight="1" x14ac:dyDescent="0.25">
      <c r="A21" s="2"/>
    </row>
    <row r="22" spans="1:22" ht="27.95" customHeight="1" x14ac:dyDescent="0.25">
      <c r="A22" s="189" t="s">
        <v>313</v>
      </c>
      <c r="B22" s="189"/>
      <c r="C22" s="189"/>
      <c r="D22" s="189"/>
      <c r="E22" s="189"/>
      <c r="F22" s="189"/>
      <c r="G22" s="189"/>
      <c r="H22" s="189"/>
      <c r="I22" s="189"/>
      <c r="J22" s="189"/>
      <c r="K22" s="32"/>
      <c r="L22" s="32"/>
    </row>
    <row r="23" spans="1:22" ht="1.5" customHeight="1" x14ac:dyDescent="0.25">
      <c r="A23" s="2"/>
    </row>
    <row r="24" spans="1:22" x14ac:dyDescent="0.25">
      <c r="A24" s="65" t="s">
        <v>172</v>
      </c>
      <c r="B24" s="3" t="s">
        <v>0</v>
      </c>
      <c r="C24" s="3" t="s">
        <v>1</v>
      </c>
      <c r="D24" s="3" t="s">
        <v>2</v>
      </c>
      <c r="E24" s="3" t="s">
        <v>3</v>
      </c>
      <c r="F24" s="3" t="s">
        <v>4</v>
      </c>
      <c r="G24" s="68" t="s">
        <v>5</v>
      </c>
      <c r="H24" s="68" t="s">
        <v>6</v>
      </c>
      <c r="I24" s="3" t="s">
        <v>7</v>
      </c>
      <c r="J24" s="10" t="s">
        <v>8</v>
      </c>
    </row>
    <row r="25" spans="1:22" x14ac:dyDescent="0.25">
      <c r="A25" s="4" t="s">
        <v>170</v>
      </c>
      <c r="B25" s="8">
        <v>494</v>
      </c>
      <c r="C25" s="8">
        <v>169</v>
      </c>
      <c r="D25" s="8">
        <v>851</v>
      </c>
      <c r="E25" s="8">
        <v>284</v>
      </c>
      <c r="F25" s="8">
        <v>273</v>
      </c>
      <c r="G25" s="8">
        <v>135</v>
      </c>
      <c r="H25" s="5" t="s">
        <v>109</v>
      </c>
      <c r="I25" s="8">
        <v>240</v>
      </c>
      <c r="J25" s="8">
        <v>2446</v>
      </c>
      <c r="K25" s="120"/>
      <c r="L25" s="8"/>
      <c r="M25" s="8"/>
      <c r="N25" s="8"/>
      <c r="O25" s="8"/>
      <c r="P25" s="8"/>
      <c r="Q25" s="8"/>
      <c r="R25" s="37"/>
      <c r="S25" s="8"/>
      <c r="T25" s="8"/>
      <c r="V25" s="120"/>
    </row>
    <row r="26" spans="1:22" x14ac:dyDescent="0.25">
      <c r="A26" s="4">
        <v>2</v>
      </c>
      <c r="B26" s="8">
        <v>468</v>
      </c>
      <c r="C26" s="8">
        <v>94</v>
      </c>
      <c r="D26" s="8">
        <v>536</v>
      </c>
      <c r="E26" s="8">
        <v>383</v>
      </c>
      <c r="F26" s="8">
        <v>74</v>
      </c>
      <c r="G26" s="8">
        <v>35</v>
      </c>
      <c r="H26" s="5" t="s">
        <v>109</v>
      </c>
      <c r="I26" s="8">
        <v>146</v>
      </c>
      <c r="J26" s="8">
        <v>1736</v>
      </c>
      <c r="K26" s="120"/>
      <c r="L26" s="8"/>
      <c r="M26" s="8"/>
      <c r="N26" s="8"/>
      <c r="O26" s="8"/>
      <c r="P26" s="8"/>
      <c r="Q26" s="8"/>
      <c r="R26" s="5"/>
      <c r="S26" s="8"/>
      <c r="T26" s="8"/>
    </row>
    <row r="27" spans="1:22" x14ac:dyDescent="0.25">
      <c r="A27" s="4">
        <v>3</v>
      </c>
      <c r="B27" s="8">
        <v>221</v>
      </c>
      <c r="C27" s="8">
        <v>139</v>
      </c>
      <c r="D27" s="8">
        <v>321</v>
      </c>
      <c r="E27" s="8">
        <v>203</v>
      </c>
      <c r="F27" s="8">
        <v>65</v>
      </c>
      <c r="G27" s="8" t="s">
        <v>116</v>
      </c>
      <c r="H27" s="8" t="s">
        <v>116</v>
      </c>
      <c r="I27" s="8">
        <v>126</v>
      </c>
      <c r="J27" s="8">
        <v>1094</v>
      </c>
      <c r="K27" s="120"/>
      <c r="L27" s="8"/>
      <c r="M27" s="8"/>
      <c r="N27" s="8"/>
      <c r="O27" s="8"/>
      <c r="P27" s="8"/>
      <c r="Q27" s="8"/>
      <c r="R27" s="5"/>
      <c r="S27" s="8"/>
      <c r="T27" s="8"/>
    </row>
    <row r="28" spans="1:22" x14ac:dyDescent="0.25">
      <c r="A28" s="4">
        <v>4</v>
      </c>
      <c r="B28" s="8">
        <v>138</v>
      </c>
      <c r="C28" s="8">
        <v>68</v>
      </c>
      <c r="D28" s="8">
        <v>123</v>
      </c>
      <c r="E28" s="8">
        <v>149</v>
      </c>
      <c r="F28" s="8">
        <v>27</v>
      </c>
      <c r="G28" s="8">
        <v>8</v>
      </c>
      <c r="H28" s="8">
        <v>48</v>
      </c>
      <c r="I28" s="8">
        <v>90</v>
      </c>
      <c r="J28" s="8">
        <v>651</v>
      </c>
      <c r="K28" s="120"/>
      <c r="L28" s="8"/>
      <c r="M28" s="8"/>
      <c r="N28" s="8"/>
      <c r="O28" s="8"/>
      <c r="P28" s="8"/>
      <c r="Q28" s="8"/>
      <c r="R28" s="8"/>
      <c r="S28" s="8"/>
      <c r="T28" s="8"/>
    </row>
    <row r="29" spans="1:22" x14ac:dyDescent="0.25">
      <c r="A29" s="4" t="s">
        <v>171</v>
      </c>
      <c r="B29" s="8">
        <v>153</v>
      </c>
      <c r="C29" s="8">
        <v>42</v>
      </c>
      <c r="D29" s="8">
        <v>40</v>
      </c>
      <c r="E29" s="8">
        <v>48</v>
      </c>
      <c r="F29" s="8" t="s">
        <v>116</v>
      </c>
      <c r="G29" s="8" t="s">
        <v>116</v>
      </c>
      <c r="H29" s="8">
        <v>67</v>
      </c>
      <c r="I29" s="8">
        <v>3</v>
      </c>
      <c r="J29" s="8">
        <v>358</v>
      </c>
      <c r="K29" s="120"/>
      <c r="L29" s="8"/>
      <c r="M29" s="8"/>
      <c r="N29" s="8"/>
      <c r="O29" s="8"/>
      <c r="P29" s="8"/>
      <c r="Q29" s="8"/>
      <c r="R29" s="8"/>
      <c r="S29" s="8"/>
      <c r="T29" s="8"/>
    </row>
    <row r="30" spans="1:22" x14ac:dyDescent="0.25">
      <c r="A30" s="111" t="s">
        <v>168</v>
      </c>
      <c r="B30" s="94">
        <v>1668</v>
      </c>
      <c r="C30" s="94">
        <v>601</v>
      </c>
      <c r="D30" s="94">
        <v>1933</v>
      </c>
      <c r="E30" s="94">
        <v>1075</v>
      </c>
      <c r="F30" s="94">
        <v>459</v>
      </c>
      <c r="G30" s="94">
        <v>208</v>
      </c>
      <c r="H30" s="94">
        <v>133</v>
      </c>
      <c r="I30" s="94">
        <v>632</v>
      </c>
      <c r="J30" s="94">
        <v>6709</v>
      </c>
      <c r="K30" s="120"/>
      <c r="L30" s="94"/>
      <c r="M30" s="94"/>
      <c r="N30" s="94"/>
      <c r="O30" s="94"/>
      <c r="P30" s="94"/>
      <c r="Q30" s="94"/>
      <c r="R30" s="94"/>
      <c r="S30" s="94"/>
      <c r="T30" s="94"/>
    </row>
    <row r="31" spans="1:22" ht="3" customHeight="1" x14ac:dyDescent="0.25">
      <c r="A31" s="110"/>
      <c r="B31" s="80"/>
      <c r="C31" s="80"/>
      <c r="D31" s="80"/>
      <c r="E31" s="80"/>
      <c r="F31" s="80"/>
      <c r="G31" s="79"/>
      <c r="H31" s="79"/>
      <c r="I31" s="80"/>
      <c r="J31" s="80"/>
    </row>
    <row r="32" spans="1:22" ht="10.5" customHeight="1" x14ac:dyDescent="0.25">
      <c r="A32" s="192" t="s">
        <v>213</v>
      </c>
      <c r="B32" s="192"/>
      <c r="C32" s="192"/>
      <c r="D32" s="192"/>
      <c r="E32" s="192"/>
      <c r="F32" s="192"/>
      <c r="G32" s="192"/>
      <c r="H32" s="192"/>
      <c r="I32" s="192"/>
      <c r="J32" s="192"/>
    </row>
    <row r="33" spans="1:30" ht="11.1" customHeight="1" x14ac:dyDescent="0.25">
      <c r="A33" s="192" t="s">
        <v>185</v>
      </c>
      <c r="B33" s="192"/>
      <c r="C33" s="192"/>
      <c r="D33" s="192"/>
      <c r="E33" s="192"/>
      <c r="F33" s="192"/>
      <c r="G33" s="192"/>
      <c r="H33" s="192"/>
      <c r="I33" s="192"/>
      <c r="J33" s="192"/>
    </row>
    <row r="34" spans="1:30" ht="11.1" customHeight="1" x14ac:dyDescent="0.25">
      <c r="A34" s="76" t="s">
        <v>23</v>
      </c>
      <c r="B34" s="76"/>
      <c r="C34" s="76"/>
      <c r="D34" s="76"/>
      <c r="E34" s="76"/>
      <c r="F34" s="76"/>
      <c r="G34" s="76"/>
      <c r="H34" s="76"/>
      <c r="I34" s="76"/>
      <c r="J34" s="151"/>
    </row>
    <row r="35" spans="1:30" s="6" customFormat="1" ht="11.1" customHeight="1" x14ac:dyDescent="0.15">
      <c r="A35" s="6" t="s">
        <v>51</v>
      </c>
      <c r="G35" s="69"/>
      <c r="H35" s="69"/>
    </row>
    <row r="36" spans="1:30" s="12" customFormat="1" ht="11.1" customHeight="1" x14ac:dyDescent="0.2">
      <c r="A36" s="39" t="s">
        <v>52</v>
      </c>
      <c r="G36" s="70"/>
      <c r="H36" s="70"/>
    </row>
    <row r="37" spans="1:30" s="6" customFormat="1" ht="11.1" customHeight="1" x14ac:dyDescent="0.15">
      <c r="A37" s="6" t="s">
        <v>53</v>
      </c>
      <c r="G37" s="69"/>
      <c r="H37" s="69"/>
    </row>
    <row r="38" spans="1:30" s="6" customFormat="1" ht="19.5" customHeight="1" x14ac:dyDescent="0.15">
      <c r="A38" s="186" t="s">
        <v>173</v>
      </c>
      <c r="B38" s="186"/>
      <c r="C38" s="186"/>
      <c r="D38" s="186"/>
      <c r="E38" s="186"/>
      <c r="F38" s="186"/>
      <c r="G38" s="186"/>
      <c r="H38" s="186"/>
      <c r="I38" s="186"/>
      <c r="J38" s="186"/>
    </row>
    <row r="39" spans="1:30" s="6" customFormat="1" ht="11.1" customHeight="1" x14ac:dyDescent="0.15">
      <c r="G39" s="69"/>
      <c r="H39" s="69"/>
    </row>
    <row r="40" spans="1:30" s="6" customFormat="1" ht="11.1" customHeight="1" x14ac:dyDescent="0.15">
      <c r="A40" s="6" t="s">
        <v>263</v>
      </c>
      <c r="G40" s="69"/>
      <c r="H40" s="69"/>
    </row>
    <row r="41" spans="1:30" s="6" customFormat="1" ht="11.1" customHeight="1" x14ac:dyDescent="0.15">
      <c r="G41" s="69"/>
      <c r="H41" s="69"/>
    </row>
    <row r="42" spans="1:30" ht="42" customHeight="1" x14ac:dyDescent="0.25">
      <c r="A42" s="189" t="s">
        <v>314</v>
      </c>
      <c r="B42" s="189"/>
      <c r="C42" s="189"/>
      <c r="D42" s="189"/>
      <c r="E42" s="189"/>
      <c r="F42" s="189"/>
      <c r="G42" s="189"/>
      <c r="H42" s="189"/>
      <c r="I42" s="189"/>
      <c r="J42" s="189"/>
    </row>
    <row r="43" spans="1:30" ht="2.25" customHeight="1" x14ac:dyDescent="0.25">
      <c r="A43" s="2"/>
    </row>
    <row r="44" spans="1:30" x14ac:dyDescent="0.25">
      <c r="A44" s="65" t="s">
        <v>172</v>
      </c>
      <c r="B44" s="3" t="s">
        <v>0</v>
      </c>
      <c r="C44" s="3" t="s">
        <v>1</v>
      </c>
      <c r="D44" s="3" t="s">
        <v>2</v>
      </c>
      <c r="E44" s="3" t="s">
        <v>3</v>
      </c>
      <c r="F44" s="3" t="s">
        <v>4</v>
      </c>
      <c r="G44" s="68" t="s">
        <v>5</v>
      </c>
      <c r="H44" s="68" t="s">
        <v>6</v>
      </c>
      <c r="I44" s="3" t="s">
        <v>7</v>
      </c>
      <c r="J44" s="3" t="s">
        <v>8</v>
      </c>
    </row>
    <row r="45" spans="1:30" x14ac:dyDescent="0.25">
      <c r="A45" s="4" t="s">
        <v>170</v>
      </c>
      <c r="B45" s="5">
        <v>15.22</v>
      </c>
      <c r="C45" s="5">
        <v>6.7619999999999996</v>
      </c>
      <c r="D45" s="5">
        <v>25.452999999999999</v>
      </c>
      <c r="E45" s="5">
        <v>23.911000000000001</v>
      </c>
      <c r="F45" s="5">
        <v>15.757</v>
      </c>
      <c r="G45" s="5">
        <v>24.911999999999999</v>
      </c>
      <c r="H45" s="118" t="s">
        <v>112</v>
      </c>
      <c r="I45" s="118" t="s">
        <v>114</v>
      </c>
      <c r="J45" s="5">
        <v>17.856999999999999</v>
      </c>
      <c r="L45" s="118"/>
      <c r="M45" s="118"/>
      <c r="N45" s="118"/>
      <c r="O45" s="118"/>
      <c r="P45" s="118"/>
      <c r="Q45" s="118"/>
      <c r="R45" s="118"/>
      <c r="S45" s="118"/>
      <c r="T45" s="118"/>
      <c r="V45" s="157"/>
      <c r="W45" s="157"/>
      <c r="X45" s="157"/>
      <c r="Y45" s="157"/>
      <c r="Z45" s="157"/>
      <c r="AA45" s="157"/>
      <c r="AB45" s="157"/>
      <c r="AC45" s="157"/>
      <c r="AD45" s="157"/>
    </row>
    <row r="46" spans="1:30" x14ac:dyDescent="0.25">
      <c r="A46" s="4">
        <v>2</v>
      </c>
      <c r="B46" s="5">
        <v>10.821</v>
      </c>
      <c r="C46" s="5">
        <v>3.2</v>
      </c>
      <c r="D46" s="5">
        <v>18.890999999999998</v>
      </c>
      <c r="E46" s="5">
        <v>16.311</v>
      </c>
      <c r="F46" s="5">
        <v>9.3000000000000007</v>
      </c>
      <c r="G46" s="5">
        <v>14.244</v>
      </c>
      <c r="H46" s="5" t="s">
        <v>112</v>
      </c>
      <c r="I46" s="118" t="s">
        <v>114</v>
      </c>
      <c r="J46" s="5">
        <v>11.814</v>
      </c>
      <c r="L46" s="118"/>
      <c r="M46" s="118"/>
      <c r="N46" s="118"/>
      <c r="O46" s="118"/>
      <c r="P46" s="118"/>
      <c r="Q46" s="118"/>
      <c r="R46" s="5"/>
      <c r="S46" s="118"/>
      <c r="T46" s="118"/>
      <c r="V46" s="157"/>
      <c r="W46" s="157"/>
      <c r="X46" s="157"/>
      <c r="Y46" s="157"/>
      <c r="Z46" s="157"/>
      <c r="AA46" s="157"/>
      <c r="AB46" s="157"/>
      <c r="AC46" s="157"/>
      <c r="AD46" s="157"/>
    </row>
    <row r="47" spans="1:30" x14ac:dyDescent="0.25">
      <c r="A47" s="4">
        <v>3</v>
      </c>
      <c r="B47" s="5">
        <v>8.6159999999999997</v>
      </c>
      <c r="C47" s="5">
        <v>3.3479999999999999</v>
      </c>
      <c r="D47" s="5">
        <v>10.342000000000001</v>
      </c>
      <c r="E47" s="5">
        <v>11.253</v>
      </c>
      <c r="F47" s="5">
        <v>6.3710000000000004</v>
      </c>
      <c r="G47" s="5">
        <v>12.137</v>
      </c>
      <c r="H47" s="5" t="s">
        <v>109</v>
      </c>
      <c r="I47" s="118" t="s">
        <v>114</v>
      </c>
      <c r="J47" s="5">
        <v>7.5330000000000004</v>
      </c>
      <c r="L47" s="118"/>
      <c r="M47" s="118"/>
      <c r="N47" s="118"/>
      <c r="O47" s="118"/>
      <c r="P47" s="118"/>
      <c r="Q47" s="118"/>
      <c r="R47" s="5"/>
      <c r="S47" s="118"/>
      <c r="T47" s="118"/>
      <c r="V47" s="157"/>
      <c r="W47" s="157"/>
      <c r="X47" s="157"/>
      <c r="Y47" s="157"/>
      <c r="Z47" s="157"/>
      <c r="AA47" s="157"/>
      <c r="AB47" s="157"/>
      <c r="AC47" s="157"/>
      <c r="AD47" s="157"/>
    </row>
    <row r="48" spans="1:30" x14ac:dyDescent="0.25">
      <c r="A48" s="4">
        <v>4</v>
      </c>
      <c r="B48" s="5">
        <v>4.484</v>
      </c>
      <c r="C48" s="5">
        <v>1.9279999999999999</v>
      </c>
      <c r="D48" s="5">
        <v>5.9260000000000002</v>
      </c>
      <c r="E48" s="5">
        <v>7.2329999999999997</v>
      </c>
      <c r="F48" s="5">
        <v>3.4470000000000001</v>
      </c>
      <c r="G48" s="5">
        <v>4.9089999999999998</v>
      </c>
      <c r="H48" s="118">
        <v>17.404</v>
      </c>
      <c r="I48" s="118" t="s">
        <v>114</v>
      </c>
      <c r="J48" s="5">
        <v>4.6029999999999998</v>
      </c>
      <c r="L48" s="118"/>
      <c r="M48" s="118"/>
      <c r="N48" s="118"/>
      <c r="O48" s="118"/>
      <c r="P48" s="118"/>
      <c r="Q48" s="118"/>
      <c r="R48" s="118"/>
      <c r="S48" s="118"/>
      <c r="T48" s="118"/>
      <c r="V48" s="157"/>
      <c r="W48" s="157"/>
      <c r="X48" s="157"/>
      <c r="Y48" s="157"/>
      <c r="Z48" s="157"/>
      <c r="AA48" s="157"/>
      <c r="AB48" s="157"/>
      <c r="AC48" s="157"/>
      <c r="AD48" s="157"/>
    </row>
    <row r="49" spans="1:30" x14ac:dyDescent="0.25">
      <c r="A49" s="4" t="s">
        <v>171</v>
      </c>
      <c r="B49" s="5">
        <v>2.9910000000000001</v>
      </c>
      <c r="C49" s="5">
        <v>1.524</v>
      </c>
      <c r="D49" s="5">
        <v>2.7690000000000001</v>
      </c>
      <c r="E49" s="5">
        <v>3.5110000000000001</v>
      </c>
      <c r="F49" s="5">
        <v>0.46700000000000003</v>
      </c>
      <c r="G49" s="5">
        <v>2.2949999999999999</v>
      </c>
      <c r="H49" s="118">
        <v>10.78</v>
      </c>
      <c r="I49" s="118" t="s">
        <v>114</v>
      </c>
      <c r="J49" s="5">
        <v>2.9319999999999999</v>
      </c>
      <c r="L49" s="118"/>
      <c r="M49" s="118"/>
      <c r="N49" s="118"/>
      <c r="O49" s="118"/>
      <c r="P49" s="118"/>
      <c r="Q49" s="118"/>
      <c r="R49" s="118"/>
      <c r="S49" s="118"/>
      <c r="T49" s="118"/>
      <c r="V49" s="157"/>
      <c r="W49" s="157"/>
      <c r="X49" s="157"/>
      <c r="Y49" s="157"/>
      <c r="Z49" s="157"/>
      <c r="AA49" s="157"/>
      <c r="AB49" s="157"/>
      <c r="AC49" s="157"/>
      <c r="AD49" s="157"/>
    </row>
    <row r="50" spans="1:30" ht="3" customHeight="1" x14ac:dyDescent="0.25">
      <c r="A50" s="85"/>
      <c r="B50" s="86"/>
      <c r="C50" s="86"/>
      <c r="D50" s="86"/>
      <c r="E50" s="86"/>
      <c r="F50" s="86"/>
      <c r="G50" s="87"/>
      <c r="H50" s="87"/>
      <c r="I50" s="86"/>
      <c r="J50" s="86"/>
    </row>
    <row r="51" spans="1:30" ht="2.25" hidden="1" customHeight="1" x14ac:dyDescent="0.25">
      <c r="A51" s="2"/>
    </row>
    <row r="52" spans="1:30" ht="11.1" customHeight="1" x14ac:dyDescent="0.25">
      <c r="A52" s="77" t="s">
        <v>185</v>
      </c>
      <c r="B52" s="39"/>
      <c r="C52" s="39"/>
      <c r="D52" s="39"/>
      <c r="E52" s="39"/>
      <c r="F52" s="39"/>
      <c r="G52" s="39"/>
      <c r="H52" s="39"/>
      <c r="I52" s="39"/>
      <c r="J52" s="39"/>
      <c r="K52" s="39"/>
    </row>
    <row r="53" spans="1:30" s="6" customFormat="1" ht="11.1" customHeight="1" x14ac:dyDescent="0.15">
      <c r="A53" s="6" t="s">
        <v>23</v>
      </c>
      <c r="B53" s="77"/>
      <c r="C53" s="77"/>
      <c r="D53" s="77"/>
      <c r="E53" s="77"/>
      <c r="F53" s="77"/>
      <c r="G53" s="77"/>
      <c r="H53" s="77"/>
      <c r="I53" s="77"/>
      <c r="J53" s="77"/>
      <c r="K53" s="77"/>
      <c r="L53" s="77"/>
    </row>
    <row r="54" spans="1:30" s="6" customFormat="1" ht="11.1" customHeight="1" x14ac:dyDescent="0.15">
      <c r="A54" s="39" t="s">
        <v>51</v>
      </c>
      <c r="G54" s="69"/>
      <c r="H54" s="69"/>
    </row>
    <row r="55" spans="1:30" s="12" customFormat="1" ht="11.1" customHeight="1" x14ac:dyDescent="0.2">
      <c r="A55" s="39" t="s">
        <v>32</v>
      </c>
      <c r="G55" s="70"/>
      <c r="H55" s="70"/>
    </row>
    <row r="56" spans="1:30" s="6" customFormat="1" ht="11.1" customHeight="1" x14ac:dyDescent="0.15">
      <c r="A56" s="6" t="s">
        <v>182</v>
      </c>
      <c r="G56" s="69"/>
      <c r="H56" s="69"/>
    </row>
    <row r="57" spans="1:30" s="6" customFormat="1" ht="11.1" customHeight="1" x14ac:dyDescent="0.15">
      <c r="A57" s="6" t="s">
        <v>183</v>
      </c>
      <c r="G57" s="69"/>
      <c r="H57" s="69"/>
    </row>
    <row r="58" spans="1:30" s="6" customFormat="1" ht="11.1" customHeight="1" x14ac:dyDescent="0.15">
      <c r="A58" s="186" t="s">
        <v>312</v>
      </c>
      <c r="B58" s="186"/>
      <c r="C58" s="186"/>
      <c r="D58" s="186"/>
      <c r="E58" s="186"/>
      <c r="F58" s="186"/>
      <c r="G58" s="186"/>
      <c r="H58" s="186"/>
      <c r="I58" s="186"/>
      <c r="J58" s="186"/>
    </row>
    <row r="59" spans="1:30" s="6" customFormat="1" ht="11.1" customHeight="1" x14ac:dyDescent="0.15">
      <c r="A59" s="6" t="s">
        <v>293</v>
      </c>
      <c r="G59" s="69"/>
      <c r="H59" s="69"/>
    </row>
    <row r="60" spans="1:30" s="6" customFormat="1" ht="11.1" customHeight="1" x14ac:dyDescent="0.15">
      <c r="A60" s="6" t="s">
        <v>14</v>
      </c>
      <c r="G60" s="69"/>
      <c r="H60" s="69"/>
    </row>
    <row r="61" spans="1:30" s="6" customFormat="1" ht="11.1" customHeight="1" x14ac:dyDescent="0.15">
      <c r="A61" s="39" t="s">
        <v>180</v>
      </c>
      <c r="G61" s="69"/>
      <c r="H61" s="69"/>
    </row>
    <row r="62" spans="1:30" s="6" customFormat="1" ht="11.1" customHeight="1" x14ac:dyDescent="0.15">
      <c r="G62" s="69"/>
      <c r="H62" s="69"/>
    </row>
    <row r="63" spans="1:30" ht="42" customHeight="1" x14ac:dyDescent="0.25">
      <c r="A63" s="189" t="s">
        <v>315</v>
      </c>
      <c r="B63" s="189"/>
      <c r="C63" s="189"/>
      <c r="D63" s="189"/>
      <c r="E63" s="189"/>
      <c r="F63" s="189"/>
      <c r="G63" s="189"/>
      <c r="H63" s="189"/>
      <c r="I63" s="189"/>
      <c r="J63" s="189"/>
      <c r="K63" s="189"/>
      <c r="L63" s="189"/>
    </row>
    <row r="64" spans="1:30" ht="0.75" customHeight="1" x14ac:dyDescent="0.25">
      <c r="A64" s="2"/>
    </row>
    <row r="65" spans="1:31" x14ac:dyDescent="0.25">
      <c r="A65" s="65" t="s">
        <v>172</v>
      </c>
      <c r="B65" s="3" t="s">
        <v>0</v>
      </c>
      <c r="C65" s="3" t="s">
        <v>1</v>
      </c>
      <c r="D65" s="3" t="s">
        <v>2</v>
      </c>
      <c r="E65" s="3" t="s">
        <v>3</v>
      </c>
      <c r="F65" s="3" t="s">
        <v>4</v>
      </c>
      <c r="G65" s="68" t="s">
        <v>5</v>
      </c>
      <c r="H65" s="68" t="s">
        <v>6</v>
      </c>
      <c r="I65" s="3" t="s">
        <v>7</v>
      </c>
      <c r="J65" s="3" t="s">
        <v>8</v>
      </c>
    </row>
    <row r="66" spans="1:31" x14ac:dyDescent="0.25">
      <c r="A66" s="4" t="s">
        <v>170</v>
      </c>
      <c r="B66" s="5">
        <v>33.04</v>
      </c>
      <c r="C66" s="5">
        <v>16.896000000000001</v>
      </c>
      <c r="D66" s="5">
        <v>54.113</v>
      </c>
      <c r="E66" s="5">
        <v>68.462000000000003</v>
      </c>
      <c r="F66" s="5">
        <v>43.34</v>
      </c>
      <c r="G66" s="5">
        <v>49.451999999999998</v>
      </c>
      <c r="H66" s="37" t="s">
        <v>112</v>
      </c>
      <c r="I66" s="5">
        <v>320.98399999999998</v>
      </c>
      <c r="J66" s="5">
        <v>44.784999999999997</v>
      </c>
      <c r="L66" s="118"/>
      <c r="M66" s="118"/>
      <c r="N66" s="118"/>
      <c r="O66" s="118"/>
      <c r="P66" s="118"/>
      <c r="Q66" s="118"/>
      <c r="R66" s="37"/>
      <c r="S66" s="119"/>
      <c r="T66" s="119"/>
      <c r="U66" s="157"/>
      <c r="V66" s="116"/>
      <c r="W66" s="158"/>
      <c r="X66" s="158"/>
      <c r="Y66" s="158"/>
      <c r="Z66" s="158"/>
      <c r="AA66" s="158"/>
      <c r="AB66" s="158"/>
      <c r="AC66" s="158"/>
      <c r="AD66" s="158"/>
      <c r="AE66" s="158"/>
    </row>
    <row r="67" spans="1:31" x14ac:dyDescent="0.25">
      <c r="A67" s="4">
        <v>2</v>
      </c>
      <c r="B67" s="5">
        <v>24.265000000000001</v>
      </c>
      <c r="C67" s="5">
        <v>8.1120000000000001</v>
      </c>
      <c r="D67" s="5">
        <v>42.953000000000003</v>
      </c>
      <c r="E67" s="5">
        <v>47.688000000000002</v>
      </c>
      <c r="F67" s="5">
        <v>23.751999999999999</v>
      </c>
      <c r="G67" s="5">
        <v>29.503</v>
      </c>
      <c r="H67" s="5" t="s">
        <v>112</v>
      </c>
      <c r="I67" s="5">
        <v>295.786</v>
      </c>
      <c r="J67" s="5">
        <v>30.878</v>
      </c>
      <c r="L67" s="118"/>
      <c r="M67" s="118"/>
      <c r="N67" s="118"/>
      <c r="O67" s="118"/>
      <c r="P67" s="118"/>
      <c r="Q67" s="118"/>
      <c r="R67" s="5"/>
      <c r="S67" s="5"/>
      <c r="T67" s="5"/>
      <c r="U67" s="157"/>
      <c r="W67" s="158"/>
      <c r="X67" s="158"/>
      <c r="Y67" s="158"/>
      <c r="Z67" s="158"/>
      <c r="AA67" s="158"/>
      <c r="AB67" s="158"/>
      <c r="AC67" s="158"/>
      <c r="AD67" s="158"/>
      <c r="AE67" s="158"/>
    </row>
    <row r="68" spans="1:31" x14ac:dyDescent="0.25">
      <c r="A68" s="4">
        <v>3</v>
      </c>
      <c r="B68" s="5">
        <v>19.649999999999999</v>
      </c>
      <c r="C68" s="5">
        <v>7.976</v>
      </c>
      <c r="D68" s="5">
        <v>22.663</v>
      </c>
      <c r="E68" s="5">
        <v>33.404000000000003</v>
      </c>
      <c r="F68" s="5">
        <v>15.505000000000001</v>
      </c>
      <c r="G68" s="8" t="s">
        <v>116</v>
      </c>
      <c r="H68" s="8" t="s">
        <v>116</v>
      </c>
      <c r="I68" s="5">
        <v>255.63</v>
      </c>
      <c r="J68" s="5">
        <v>20.158000000000001</v>
      </c>
      <c r="L68" s="118"/>
      <c r="M68" s="118"/>
      <c r="N68" s="118"/>
      <c r="O68" s="118"/>
      <c r="P68" s="118"/>
      <c r="Q68" s="118"/>
      <c r="R68" s="5"/>
      <c r="S68" s="5"/>
      <c r="T68" s="5"/>
      <c r="U68" s="157"/>
      <c r="W68" s="158"/>
      <c r="X68" s="158"/>
      <c r="Y68" s="158"/>
      <c r="Z68" s="158"/>
      <c r="AA68" s="158"/>
      <c r="AB68" s="158"/>
      <c r="AC68" s="158"/>
      <c r="AD68" s="158"/>
      <c r="AE68" s="158"/>
    </row>
    <row r="69" spans="1:31" x14ac:dyDescent="0.25">
      <c r="A69" s="4">
        <v>4</v>
      </c>
      <c r="B69" s="5">
        <v>9.5990000000000002</v>
      </c>
      <c r="C69" s="5">
        <v>4.4480000000000004</v>
      </c>
      <c r="D69" s="5">
        <v>13.273</v>
      </c>
      <c r="E69" s="5">
        <v>19.434999999999999</v>
      </c>
      <c r="F69" s="5">
        <v>9.9359999999999999</v>
      </c>
      <c r="G69" s="5">
        <v>11.768000000000001</v>
      </c>
      <c r="H69" s="5">
        <v>46.756</v>
      </c>
      <c r="I69" s="5">
        <v>95.248000000000005</v>
      </c>
      <c r="J69" s="5">
        <v>12.526999999999999</v>
      </c>
      <c r="L69" s="118"/>
      <c r="M69" s="118"/>
      <c r="N69" s="118"/>
      <c r="O69" s="118"/>
      <c r="P69" s="118"/>
      <c r="Q69" s="118"/>
      <c r="R69" s="118"/>
      <c r="S69" s="118"/>
      <c r="T69" s="118"/>
      <c r="U69" s="157"/>
      <c r="W69" s="158"/>
      <c r="X69" s="158"/>
      <c r="Y69" s="158"/>
      <c r="Z69" s="158"/>
      <c r="AA69" s="158"/>
      <c r="AB69" s="158"/>
      <c r="AC69" s="158"/>
      <c r="AD69" s="158"/>
      <c r="AE69" s="158"/>
    </row>
    <row r="70" spans="1:31" x14ac:dyDescent="0.25">
      <c r="A70" s="4" t="s">
        <v>171</v>
      </c>
      <c r="B70" s="5">
        <v>6.6920000000000002</v>
      </c>
      <c r="C70" s="5">
        <v>3.5110000000000001</v>
      </c>
      <c r="D70" s="5">
        <v>6.141</v>
      </c>
      <c r="E70" s="5">
        <v>12.215</v>
      </c>
      <c r="F70" s="8" t="s">
        <v>116</v>
      </c>
      <c r="G70" s="8" t="s">
        <v>116</v>
      </c>
      <c r="H70" s="5">
        <v>29.404</v>
      </c>
      <c r="I70" s="37" t="s">
        <v>109</v>
      </c>
      <c r="J70" s="5">
        <v>7.282</v>
      </c>
      <c r="L70" s="118"/>
      <c r="M70" s="118"/>
      <c r="N70" s="118"/>
      <c r="O70" s="118"/>
      <c r="P70" s="118"/>
      <c r="Q70" s="119"/>
      <c r="R70" s="118"/>
      <c r="S70" s="37"/>
      <c r="T70" s="118"/>
      <c r="U70" s="157"/>
      <c r="W70" s="158"/>
      <c r="X70" s="158"/>
      <c r="Y70" s="158"/>
      <c r="Z70" s="158"/>
      <c r="AA70" s="158"/>
      <c r="AB70" s="158"/>
      <c r="AC70" s="158"/>
      <c r="AD70" s="158"/>
      <c r="AE70" s="158"/>
    </row>
    <row r="71" spans="1:31" ht="0.75" customHeight="1" x14ac:dyDescent="0.25">
      <c r="A71" s="85"/>
      <c r="B71" s="86"/>
      <c r="C71" s="86"/>
      <c r="D71" s="86"/>
      <c r="E71" s="86"/>
      <c r="F71" s="86"/>
      <c r="G71" s="87"/>
      <c r="H71" s="87"/>
      <c r="I71" s="86"/>
      <c r="J71" s="86"/>
      <c r="W71" s="158"/>
      <c r="X71" s="158"/>
      <c r="Y71" s="158"/>
      <c r="Z71" s="158"/>
      <c r="AA71" s="158"/>
      <c r="AB71" s="158"/>
      <c r="AC71" s="158"/>
      <c r="AD71" s="158"/>
      <c r="AE71" s="158"/>
    </row>
    <row r="72" spans="1:31" ht="0.75" hidden="1" customHeight="1" x14ac:dyDescent="0.25">
      <c r="A72" s="2"/>
    </row>
    <row r="73" spans="1:31" ht="12" customHeight="1" x14ac:dyDescent="0.25">
      <c r="A73" s="39" t="s">
        <v>213</v>
      </c>
    </row>
    <row r="74" spans="1:31" ht="11.1" customHeight="1" x14ac:dyDescent="0.25">
      <c r="A74" s="39" t="s">
        <v>185</v>
      </c>
      <c r="B74" s="6"/>
      <c r="C74" s="6"/>
      <c r="D74" s="6"/>
      <c r="E74" s="6"/>
      <c r="F74" s="6"/>
      <c r="G74" s="6"/>
      <c r="H74" s="6"/>
      <c r="I74" s="6"/>
      <c r="J74" s="6"/>
      <c r="K74" s="6"/>
    </row>
    <row r="75" spans="1:31" s="6" customFormat="1" ht="11.1" customHeight="1" x14ac:dyDescent="0.15">
      <c r="A75" s="6" t="s">
        <v>23</v>
      </c>
      <c r="B75" s="77"/>
      <c r="C75" s="77"/>
      <c r="D75" s="77"/>
      <c r="E75" s="77"/>
      <c r="F75" s="77"/>
      <c r="G75" s="77"/>
      <c r="H75" s="77"/>
      <c r="I75" s="77"/>
      <c r="J75" s="77"/>
      <c r="K75" s="77"/>
      <c r="L75" s="77"/>
    </row>
    <row r="76" spans="1:31" s="6" customFormat="1" ht="11.1" customHeight="1" x14ac:dyDescent="0.15">
      <c r="A76" s="39" t="s">
        <v>51</v>
      </c>
      <c r="G76" s="69"/>
      <c r="H76" s="69"/>
    </row>
    <row r="77" spans="1:31" s="12" customFormat="1" ht="11.1" customHeight="1" x14ac:dyDescent="0.2">
      <c r="A77" s="39" t="s">
        <v>37</v>
      </c>
      <c r="G77" s="70"/>
      <c r="H77" s="70"/>
    </row>
    <row r="78" spans="1:31" s="6" customFormat="1" ht="11.1" customHeight="1" x14ac:dyDescent="0.15">
      <c r="A78" s="6" t="s">
        <v>38</v>
      </c>
      <c r="G78" s="69"/>
      <c r="H78" s="69"/>
    </row>
    <row r="79" spans="1:31" s="6" customFormat="1" ht="11.1" customHeight="1" x14ac:dyDescent="0.15">
      <c r="A79" s="6" t="s">
        <v>174</v>
      </c>
      <c r="G79" s="69"/>
      <c r="H79" s="69"/>
    </row>
    <row r="80" spans="1:31" s="6" customFormat="1" ht="11.1" customHeight="1" x14ac:dyDescent="0.15">
      <c r="A80" s="6" t="s">
        <v>175</v>
      </c>
      <c r="G80" s="69"/>
      <c r="H80" s="69"/>
    </row>
    <row r="81" spans="1:12" s="6" customFormat="1" ht="11.1" customHeight="1" x14ac:dyDescent="0.15">
      <c r="B81" s="77"/>
      <c r="C81" s="77"/>
      <c r="D81" s="77"/>
      <c r="E81" s="77"/>
      <c r="F81" s="77"/>
      <c r="G81" s="77"/>
      <c r="H81" s="77"/>
      <c r="I81" s="77"/>
      <c r="J81" s="77"/>
      <c r="K81" s="77"/>
      <c r="L81" s="77"/>
    </row>
    <row r="82" spans="1:12" s="6" customFormat="1" ht="11.1" customHeight="1" x14ac:dyDescent="0.15">
      <c r="A82" s="39" t="s">
        <v>181</v>
      </c>
      <c r="G82" s="69"/>
      <c r="H82" s="69"/>
    </row>
  </sheetData>
  <mergeCells count="13">
    <mergeCell ref="A32:J32"/>
    <mergeCell ref="A1:J1"/>
    <mergeCell ref="A10:J10"/>
    <mergeCell ref="A15:J15"/>
    <mergeCell ref="A17:J17"/>
    <mergeCell ref="A22:J22"/>
    <mergeCell ref="A18:J18"/>
    <mergeCell ref="A42:J42"/>
    <mergeCell ref="A63:J63"/>
    <mergeCell ref="K63:L63"/>
    <mergeCell ref="A33:J33"/>
    <mergeCell ref="A38:J38"/>
    <mergeCell ref="A58:J58"/>
  </mergeCells>
  <pageMargins left="0.08" right="0.08" top="1" bottom="1" header="0.5" footer="0.5"/>
  <pageSetup orientation="landscape" blackAndWhite="1"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W337"/>
  <sheetViews>
    <sheetView topLeftCell="A288" zoomScaleNormal="100" workbookViewId="0">
      <selection activeCell="I297" sqref="I297"/>
    </sheetView>
  </sheetViews>
  <sheetFormatPr defaultColWidth="9.140625" defaultRowHeight="15" x14ac:dyDescent="0.25"/>
  <cols>
    <col min="1" max="1" width="47.42578125" style="1" customWidth="1"/>
    <col min="2" max="11" width="11.42578125" style="1" bestFit="1" customWidth="1"/>
    <col min="12" max="12" width="12.5703125" style="1" bestFit="1" customWidth="1"/>
    <col min="13" max="16384" width="9.140625" style="1"/>
  </cols>
  <sheetData>
    <row r="1" spans="1:23" ht="17.25" customHeight="1" x14ac:dyDescent="0.25">
      <c r="A1" s="185" t="s">
        <v>325</v>
      </c>
      <c r="B1" s="185"/>
      <c r="C1" s="185"/>
      <c r="D1" s="185"/>
      <c r="E1" s="185"/>
      <c r="F1" s="185"/>
      <c r="G1" s="185"/>
      <c r="H1" s="185"/>
      <c r="I1" s="185"/>
      <c r="J1" s="185"/>
      <c r="K1" s="185"/>
      <c r="L1" s="185"/>
    </row>
    <row r="2" spans="1:23" ht="3" customHeight="1" x14ac:dyDescent="0.25">
      <c r="A2" s="2"/>
    </row>
    <row r="3" spans="1:23" x14ac:dyDescent="0.25">
      <c r="A3" s="31" t="s">
        <v>126</v>
      </c>
      <c r="B3" s="3" t="s">
        <v>0</v>
      </c>
      <c r="C3" s="3" t="s">
        <v>1</v>
      </c>
      <c r="D3" s="3" t="s">
        <v>2</v>
      </c>
      <c r="E3" s="3" t="s">
        <v>3</v>
      </c>
      <c r="F3" s="3" t="s">
        <v>4</v>
      </c>
      <c r="G3" s="3" t="s">
        <v>5</v>
      </c>
      <c r="H3" s="3" t="s">
        <v>6</v>
      </c>
      <c r="I3" s="3" t="s">
        <v>7</v>
      </c>
      <c r="J3" s="10" t="s">
        <v>16</v>
      </c>
    </row>
    <row r="4" spans="1:23" x14ac:dyDescent="0.25">
      <c r="A4" s="45"/>
      <c r="B4" s="211" t="s">
        <v>125</v>
      </c>
      <c r="C4" s="211"/>
      <c r="D4" s="211"/>
      <c r="E4" s="211"/>
      <c r="F4" s="211"/>
      <c r="G4" s="211"/>
      <c r="H4" s="211"/>
      <c r="I4" s="211"/>
      <c r="J4" s="211"/>
    </row>
    <row r="5" spans="1:23" x14ac:dyDescent="0.25">
      <c r="A5" s="4" t="s">
        <v>54</v>
      </c>
      <c r="B5" s="29">
        <v>510</v>
      </c>
      <c r="C5" s="29">
        <v>1580</v>
      </c>
      <c r="D5" s="29">
        <v>1094</v>
      </c>
      <c r="E5" s="29">
        <v>866</v>
      </c>
      <c r="F5" s="29">
        <v>846</v>
      </c>
      <c r="G5" s="29">
        <v>63</v>
      </c>
      <c r="H5" s="29">
        <v>240</v>
      </c>
      <c r="I5" s="8" t="s">
        <v>114</v>
      </c>
      <c r="J5" s="29">
        <v>5199</v>
      </c>
      <c r="K5" s="120"/>
      <c r="L5" s="8"/>
      <c r="M5" s="8"/>
      <c r="N5" s="8"/>
      <c r="O5" s="8"/>
      <c r="P5" s="8"/>
      <c r="Q5" s="8"/>
      <c r="R5" s="8"/>
      <c r="S5" s="8"/>
      <c r="T5" s="8"/>
      <c r="V5" s="120"/>
    </row>
    <row r="6" spans="1:23" x14ac:dyDescent="0.25">
      <c r="A6" s="4" t="s">
        <v>55</v>
      </c>
      <c r="B6" s="29">
        <v>6046</v>
      </c>
      <c r="C6" s="29">
        <v>795</v>
      </c>
      <c r="D6" s="29">
        <v>3452</v>
      </c>
      <c r="E6" s="29">
        <v>1093</v>
      </c>
      <c r="F6" s="29">
        <v>200</v>
      </c>
      <c r="G6" s="29">
        <v>202</v>
      </c>
      <c r="H6" s="29">
        <v>72</v>
      </c>
      <c r="I6" s="8" t="s">
        <v>114</v>
      </c>
      <c r="J6" s="29">
        <v>11860</v>
      </c>
      <c r="K6" s="120"/>
      <c r="L6" s="8"/>
      <c r="M6" s="8"/>
      <c r="N6" s="8"/>
      <c r="O6" s="8"/>
      <c r="P6" s="8"/>
      <c r="Q6" s="8"/>
      <c r="R6" s="8"/>
      <c r="S6" s="8"/>
      <c r="T6" s="8"/>
    </row>
    <row r="7" spans="1:23" x14ac:dyDescent="0.25">
      <c r="A7" s="4" t="s">
        <v>56</v>
      </c>
      <c r="B7" s="67">
        <v>157</v>
      </c>
      <c r="C7" s="74" t="s">
        <v>109</v>
      </c>
      <c r="D7" s="67">
        <v>510</v>
      </c>
      <c r="E7" s="67">
        <v>273</v>
      </c>
      <c r="F7" s="67">
        <v>83</v>
      </c>
      <c r="G7" s="67">
        <v>88</v>
      </c>
      <c r="H7" s="67">
        <v>10</v>
      </c>
      <c r="I7" s="8" t="s">
        <v>114</v>
      </c>
      <c r="J7" s="67">
        <v>1121</v>
      </c>
      <c r="K7" s="120"/>
      <c r="L7" s="8"/>
      <c r="M7" s="8"/>
      <c r="N7" s="8"/>
      <c r="O7" s="8"/>
      <c r="P7" s="8"/>
      <c r="Q7" s="8"/>
      <c r="R7" s="8"/>
      <c r="S7" s="8"/>
      <c r="T7" s="8"/>
    </row>
    <row r="8" spans="1:23" x14ac:dyDescent="0.25">
      <c r="A8" s="4" t="s">
        <v>57</v>
      </c>
      <c r="B8" s="74" t="s">
        <v>109</v>
      </c>
      <c r="C8" s="74" t="s">
        <v>109</v>
      </c>
      <c r="D8" s="74" t="s">
        <v>109</v>
      </c>
      <c r="E8" s="74" t="s">
        <v>109</v>
      </c>
      <c r="F8" s="67">
        <v>1</v>
      </c>
      <c r="G8" s="74" t="s">
        <v>109</v>
      </c>
      <c r="H8" s="74" t="s">
        <v>109</v>
      </c>
      <c r="I8" s="8" t="s">
        <v>114</v>
      </c>
      <c r="J8" s="67">
        <v>1</v>
      </c>
      <c r="K8" s="120"/>
      <c r="L8" s="8"/>
      <c r="M8" s="8"/>
      <c r="N8" s="8"/>
      <c r="O8" s="8"/>
      <c r="P8" s="8"/>
      <c r="Q8" s="8"/>
      <c r="R8" s="8"/>
      <c r="S8" s="8"/>
      <c r="T8" s="8"/>
    </row>
    <row r="9" spans="1:23" x14ac:dyDescent="0.25">
      <c r="A9" s="4" t="s">
        <v>58</v>
      </c>
      <c r="B9" s="67">
        <v>360</v>
      </c>
      <c r="C9" s="67">
        <v>81</v>
      </c>
      <c r="D9" s="67">
        <v>513</v>
      </c>
      <c r="E9" s="67">
        <v>128</v>
      </c>
      <c r="F9" s="67">
        <v>6</v>
      </c>
      <c r="G9" s="67">
        <v>18</v>
      </c>
      <c r="H9" s="74" t="s">
        <v>109</v>
      </c>
      <c r="I9" s="8" t="s">
        <v>114</v>
      </c>
      <c r="J9" s="67">
        <v>1106</v>
      </c>
      <c r="K9" s="120"/>
      <c r="L9" s="8"/>
      <c r="M9" s="8"/>
      <c r="N9" s="8"/>
      <c r="O9" s="8"/>
      <c r="P9" s="8"/>
      <c r="Q9" s="8"/>
      <c r="R9" s="8"/>
      <c r="S9" s="8"/>
      <c r="T9" s="8"/>
    </row>
    <row r="10" spans="1:23" x14ac:dyDescent="0.25">
      <c r="A10" s="4" t="s">
        <v>59</v>
      </c>
      <c r="B10" s="74" t="s">
        <v>109</v>
      </c>
      <c r="C10" s="74" t="s">
        <v>109</v>
      </c>
      <c r="D10" s="74" t="s">
        <v>109</v>
      </c>
      <c r="E10" s="67">
        <v>7</v>
      </c>
      <c r="F10" s="67">
        <v>18</v>
      </c>
      <c r="G10" s="74" t="s">
        <v>109</v>
      </c>
      <c r="H10" s="74" t="s">
        <v>109</v>
      </c>
      <c r="I10" s="8" t="s">
        <v>114</v>
      </c>
      <c r="J10" s="67">
        <v>25</v>
      </c>
      <c r="K10" s="120"/>
      <c r="L10" s="8"/>
      <c r="M10" s="8"/>
      <c r="N10" s="8"/>
      <c r="O10" s="8"/>
      <c r="P10" s="8"/>
      <c r="Q10" s="8"/>
      <c r="R10" s="8"/>
      <c r="S10" s="8"/>
      <c r="T10" s="8"/>
    </row>
    <row r="11" spans="1:23" x14ac:dyDescent="0.25">
      <c r="A11" s="4" t="s">
        <v>60</v>
      </c>
      <c r="B11" s="67">
        <v>96</v>
      </c>
      <c r="C11" s="74" t="s">
        <v>109</v>
      </c>
      <c r="D11" s="67">
        <v>769</v>
      </c>
      <c r="E11" s="67">
        <v>5</v>
      </c>
      <c r="F11" s="67">
        <v>162</v>
      </c>
      <c r="G11" s="67">
        <v>202</v>
      </c>
      <c r="H11" s="74" t="s">
        <v>109</v>
      </c>
      <c r="I11" s="8" t="s">
        <v>114</v>
      </c>
      <c r="J11" s="67">
        <v>1234</v>
      </c>
      <c r="K11" s="120"/>
      <c r="L11" s="8"/>
      <c r="M11" s="8"/>
      <c r="N11" s="8"/>
      <c r="O11" s="8"/>
      <c r="P11" s="8"/>
      <c r="Q11" s="8"/>
      <c r="R11" s="8"/>
      <c r="S11" s="8"/>
      <c r="T11" s="8"/>
    </row>
    <row r="12" spans="1:23" x14ac:dyDescent="0.25">
      <c r="A12" s="4" t="s">
        <v>61</v>
      </c>
      <c r="B12" s="67">
        <v>28</v>
      </c>
      <c r="C12" s="37">
        <v>1</v>
      </c>
      <c r="D12" s="74" t="s">
        <v>109</v>
      </c>
      <c r="E12" s="37">
        <v>1</v>
      </c>
      <c r="F12" s="67">
        <v>10</v>
      </c>
      <c r="G12" s="74" t="s">
        <v>109</v>
      </c>
      <c r="H12" s="37">
        <v>5</v>
      </c>
      <c r="I12" s="8" t="s">
        <v>114</v>
      </c>
      <c r="J12" s="67">
        <v>45</v>
      </c>
      <c r="K12" s="120"/>
      <c r="L12" s="8"/>
      <c r="M12" s="8"/>
      <c r="N12" s="8"/>
      <c r="O12" s="8"/>
      <c r="P12" s="8"/>
      <c r="Q12" s="8"/>
      <c r="R12" s="8"/>
      <c r="S12" s="8"/>
      <c r="T12" s="8"/>
    </row>
    <row r="13" spans="1:23" x14ac:dyDescent="0.25">
      <c r="A13" s="9" t="s">
        <v>11</v>
      </c>
      <c r="B13" s="38">
        <v>7197</v>
      </c>
      <c r="C13" s="38">
        <v>2457</v>
      </c>
      <c r="D13" s="38">
        <v>6338</v>
      </c>
      <c r="E13" s="38">
        <v>2373</v>
      </c>
      <c r="F13" s="38">
        <v>1326</v>
      </c>
      <c r="G13" s="38">
        <v>573</v>
      </c>
      <c r="H13" s="38">
        <v>327</v>
      </c>
      <c r="I13" s="94" t="s">
        <v>114</v>
      </c>
      <c r="J13" s="38">
        <v>20591</v>
      </c>
      <c r="K13" s="120"/>
      <c r="L13" s="8"/>
      <c r="M13" s="8"/>
      <c r="N13" s="8"/>
      <c r="O13" s="8"/>
      <c r="P13" s="8"/>
      <c r="Q13" s="8"/>
      <c r="R13" s="8"/>
      <c r="S13" s="8"/>
      <c r="T13" s="8"/>
    </row>
    <row r="14" spans="1:23" x14ac:dyDescent="0.25">
      <c r="A14" s="2"/>
      <c r="B14" s="210" t="s">
        <v>124</v>
      </c>
      <c r="C14" s="210"/>
      <c r="D14" s="210"/>
      <c r="E14" s="210"/>
      <c r="F14" s="210"/>
      <c r="G14" s="210"/>
      <c r="H14" s="210"/>
      <c r="I14" s="210"/>
      <c r="J14" s="210"/>
      <c r="L14" s="209"/>
      <c r="M14" s="209"/>
      <c r="N14" s="209"/>
      <c r="O14" s="209"/>
      <c r="P14" s="209"/>
      <c r="Q14" s="209"/>
      <c r="R14" s="209"/>
      <c r="S14" s="209"/>
      <c r="T14" s="209"/>
      <c r="W14" s="125"/>
    </row>
    <row r="15" spans="1:23" x14ac:dyDescent="0.25">
      <c r="A15" s="4" t="s">
        <v>54</v>
      </c>
      <c r="B15" s="74">
        <v>68.3</v>
      </c>
      <c r="C15" s="74">
        <v>173.1</v>
      </c>
      <c r="D15" s="74">
        <v>169.7</v>
      </c>
      <c r="E15" s="74">
        <v>55</v>
      </c>
      <c r="F15" s="74">
        <v>75.2</v>
      </c>
      <c r="G15" s="74">
        <v>15.3</v>
      </c>
      <c r="H15" s="74">
        <v>34.799999999999997</v>
      </c>
      <c r="I15" s="8" t="s">
        <v>114</v>
      </c>
      <c r="J15" s="74">
        <v>591.4</v>
      </c>
      <c r="K15" s="129"/>
      <c r="L15" s="5"/>
      <c r="M15" s="5"/>
      <c r="N15" s="5"/>
      <c r="O15" s="5"/>
      <c r="P15" s="5"/>
      <c r="Q15" s="5"/>
      <c r="R15" s="5"/>
      <c r="S15" s="5"/>
      <c r="T15" s="5"/>
      <c r="W15" s="125"/>
    </row>
    <row r="16" spans="1:23" x14ac:dyDescent="0.25">
      <c r="A16" s="4" t="s">
        <v>55</v>
      </c>
      <c r="B16" s="74">
        <v>510.5</v>
      </c>
      <c r="C16" s="74">
        <v>154.9</v>
      </c>
      <c r="D16" s="74">
        <v>689.9</v>
      </c>
      <c r="E16" s="74">
        <v>215.9</v>
      </c>
      <c r="F16" s="74">
        <v>44.8</v>
      </c>
      <c r="G16" s="74">
        <v>55.5</v>
      </c>
      <c r="H16" s="74">
        <v>18.8</v>
      </c>
      <c r="I16" s="8" t="s">
        <v>114</v>
      </c>
      <c r="J16" s="74">
        <v>1690.2</v>
      </c>
      <c r="K16" s="129"/>
      <c r="L16" s="5"/>
      <c r="M16" s="5"/>
      <c r="N16" s="5"/>
      <c r="O16" s="5"/>
      <c r="P16" s="5"/>
      <c r="Q16" s="5"/>
      <c r="R16" s="5"/>
      <c r="S16" s="5"/>
      <c r="T16" s="5"/>
      <c r="W16" s="125"/>
    </row>
    <row r="17" spans="1:23" x14ac:dyDescent="0.25">
      <c r="A17" s="4" t="s">
        <v>56</v>
      </c>
      <c r="B17" s="74">
        <v>22.2</v>
      </c>
      <c r="C17" s="74" t="s">
        <v>109</v>
      </c>
      <c r="D17" s="74">
        <v>83.1</v>
      </c>
      <c r="E17" s="74">
        <v>56.6</v>
      </c>
      <c r="F17" s="74">
        <v>17.5</v>
      </c>
      <c r="G17" s="74">
        <v>20.5</v>
      </c>
      <c r="H17" s="74">
        <v>1.5</v>
      </c>
      <c r="I17" s="8" t="s">
        <v>114</v>
      </c>
      <c r="J17" s="74">
        <v>201.3</v>
      </c>
      <c r="K17" s="129"/>
      <c r="L17" s="5"/>
      <c r="M17" s="5"/>
      <c r="N17" s="5"/>
      <c r="O17" s="5"/>
      <c r="P17" s="5"/>
      <c r="Q17" s="5"/>
      <c r="R17" s="5"/>
      <c r="S17" s="5"/>
      <c r="T17" s="5"/>
    </row>
    <row r="18" spans="1:23" x14ac:dyDescent="0.25">
      <c r="A18" s="4" t="s">
        <v>57</v>
      </c>
      <c r="B18" s="74" t="s">
        <v>109</v>
      </c>
      <c r="C18" s="74" t="s">
        <v>109</v>
      </c>
      <c r="D18" s="74" t="s">
        <v>109</v>
      </c>
      <c r="E18" s="74" t="s">
        <v>109</v>
      </c>
      <c r="F18" s="74" t="s">
        <v>109</v>
      </c>
      <c r="G18" s="74" t="s">
        <v>109</v>
      </c>
      <c r="H18" s="74" t="s">
        <v>109</v>
      </c>
      <c r="I18" s="8" t="s">
        <v>114</v>
      </c>
      <c r="J18" s="74" t="s">
        <v>109</v>
      </c>
      <c r="K18" s="129"/>
      <c r="L18" s="5"/>
      <c r="M18" s="5"/>
      <c r="N18" s="5"/>
      <c r="O18" s="5"/>
      <c r="P18" s="5"/>
      <c r="Q18" s="5"/>
      <c r="R18" s="5"/>
      <c r="S18" s="5"/>
      <c r="T18" s="5"/>
      <c r="W18" s="125"/>
    </row>
    <row r="19" spans="1:23" x14ac:dyDescent="0.25">
      <c r="A19" s="4" t="s">
        <v>58</v>
      </c>
      <c r="B19" s="74">
        <v>38.700000000000003</v>
      </c>
      <c r="C19" s="74">
        <v>18.2</v>
      </c>
      <c r="D19" s="74">
        <v>50.7</v>
      </c>
      <c r="E19" s="74">
        <v>21.4</v>
      </c>
      <c r="F19" s="74">
        <v>0.9</v>
      </c>
      <c r="G19" s="74">
        <v>2.7</v>
      </c>
      <c r="H19" s="74" t="s">
        <v>109</v>
      </c>
      <c r="I19" s="8" t="s">
        <v>114</v>
      </c>
      <c r="J19" s="74">
        <v>132.5</v>
      </c>
      <c r="K19" s="129"/>
      <c r="L19" s="5"/>
      <c r="M19" s="5"/>
      <c r="N19" s="5"/>
      <c r="O19" s="5"/>
      <c r="P19" s="5"/>
      <c r="Q19" s="5"/>
      <c r="R19" s="5"/>
      <c r="S19" s="5"/>
      <c r="T19" s="5"/>
      <c r="U19" s="128"/>
    </row>
    <row r="20" spans="1:23" x14ac:dyDescent="0.25">
      <c r="A20" s="4" t="s">
        <v>60</v>
      </c>
      <c r="B20" s="74">
        <v>20</v>
      </c>
      <c r="C20" s="74" t="s">
        <v>109</v>
      </c>
      <c r="D20" s="74">
        <v>181</v>
      </c>
      <c r="E20" s="74">
        <v>0.8</v>
      </c>
      <c r="F20" s="74">
        <v>34</v>
      </c>
      <c r="G20" s="74">
        <v>42.9</v>
      </c>
      <c r="H20" s="74" t="s">
        <v>109</v>
      </c>
      <c r="I20" s="8" t="s">
        <v>114</v>
      </c>
      <c r="J20" s="74">
        <v>278.7</v>
      </c>
      <c r="K20" s="129"/>
      <c r="L20" s="5"/>
      <c r="M20" s="5"/>
      <c r="N20" s="5"/>
      <c r="O20" s="5"/>
      <c r="P20" s="5"/>
      <c r="Q20" s="5"/>
      <c r="R20" s="5"/>
      <c r="S20" s="5"/>
      <c r="T20" s="5"/>
      <c r="W20" s="125"/>
    </row>
    <row r="21" spans="1:23" x14ac:dyDescent="0.25">
      <c r="A21" s="4" t="s">
        <v>59</v>
      </c>
      <c r="B21" s="74" t="s">
        <v>109</v>
      </c>
      <c r="C21" s="74" t="s">
        <v>109</v>
      </c>
      <c r="D21" s="74" t="s">
        <v>109</v>
      </c>
      <c r="E21" s="74">
        <v>1.2</v>
      </c>
      <c r="F21" s="74">
        <v>4.3</v>
      </c>
      <c r="G21" s="74" t="s">
        <v>109</v>
      </c>
      <c r="H21" s="74" t="s">
        <v>109</v>
      </c>
      <c r="I21" s="8" t="s">
        <v>114</v>
      </c>
      <c r="J21" s="74">
        <v>5.5</v>
      </c>
      <c r="K21" s="129"/>
      <c r="L21" s="5"/>
      <c r="M21" s="5"/>
      <c r="N21" s="5"/>
      <c r="O21" s="5"/>
      <c r="P21" s="5"/>
      <c r="Q21" s="5"/>
      <c r="R21" s="5"/>
      <c r="S21" s="5"/>
      <c r="T21" s="5"/>
    </row>
    <row r="22" spans="1:23" x14ac:dyDescent="0.25">
      <c r="A22" s="4" t="s">
        <v>61</v>
      </c>
      <c r="B22" s="74">
        <v>5</v>
      </c>
      <c r="C22" s="74" t="s">
        <v>109</v>
      </c>
      <c r="D22" s="74" t="s">
        <v>109</v>
      </c>
      <c r="E22" s="74" t="s">
        <v>109</v>
      </c>
      <c r="F22" s="74">
        <v>1.4</v>
      </c>
      <c r="G22" s="74" t="s">
        <v>109</v>
      </c>
      <c r="H22" s="74">
        <v>0.2</v>
      </c>
      <c r="I22" s="8" t="s">
        <v>114</v>
      </c>
      <c r="J22" s="74">
        <v>6.7</v>
      </c>
      <c r="K22" s="129"/>
      <c r="L22" s="5"/>
      <c r="M22" s="5"/>
      <c r="N22" s="5"/>
      <c r="O22" s="5"/>
      <c r="P22" s="5"/>
      <c r="Q22" s="5"/>
      <c r="R22" s="5"/>
      <c r="S22" s="5"/>
      <c r="T22" s="5"/>
      <c r="W22" s="125"/>
    </row>
    <row r="23" spans="1:23" x14ac:dyDescent="0.25">
      <c r="A23" s="4" t="s">
        <v>62</v>
      </c>
      <c r="B23" s="52">
        <v>808.9</v>
      </c>
      <c r="C23" s="52">
        <v>419.4</v>
      </c>
      <c r="D23" s="52">
        <v>1263.8</v>
      </c>
      <c r="E23" s="52">
        <v>444.9</v>
      </c>
      <c r="F23" s="52">
        <v>203.4</v>
      </c>
      <c r="G23" s="52">
        <v>147.19999999999999</v>
      </c>
      <c r="H23" s="52">
        <v>70.900000000000006</v>
      </c>
      <c r="I23" s="94" t="s">
        <v>114</v>
      </c>
      <c r="J23" s="52">
        <v>3358.4</v>
      </c>
      <c r="K23" s="129"/>
      <c r="L23" s="5"/>
      <c r="M23" s="5"/>
      <c r="N23" s="5"/>
      <c r="O23" s="5"/>
      <c r="P23" s="5"/>
      <c r="Q23" s="5"/>
      <c r="R23" s="5"/>
      <c r="S23" s="5"/>
      <c r="T23" s="5"/>
    </row>
    <row r="24" spans="1:23" x14ac:dyDescent="0.25">
      <c r="A24" s="2"/>
      <c r="B24" s="209" t="s">
        <v>211</v>
      </c>
      <c r="C24" s="210"/>
      <c r="D24" s="210"/>
      <c r="E24" s="210"/>
      <c r="F24" s="210"/>
      <c r="G24" s="210"/>
      <c r="H24" s="210"/>
      <c r="I24" s="210"/>
      <c r="J24" s="210"/>
      <c r="L24" s="209"/>
      <c r="M24" s="209"/>
      <c r="N24" s="209"/>
      <c r="O24" s="209"/>
      <c r="P24" s="209"/>
      <c r="Q24" s="209"/>
      <c r="R24" s="209"/>
      <c r="S24" s="209"/>
      <c r="T24" s="209"/>
    </row>
    <row r="25" spans="1:23" x14ac:dyDescent="0.25">
      <c r="A25" s="4" t="s">
        <v>54</v>
      </c>
      <c r="B25" s="67">
        <v>372</v>
      </c>
      <c r="C25" s="67">
        <v>728</v>
      </c>
      <c r="D25" s="67">
        <v>738</v>
      </c>
      <c r="E25" s="67">
        <v>381</v>
      </c>
      <c r="F25" s="67">
        <v>316</v>
      </c>
      <c r="G25" s="67">
        <v>54</v>
      </c>
      <c r="H25" s="67">
        <v>124</v>
      </c>
      <c r="I25" s="67">
        <v>780</v>
      </c>
      <c r="J25" s="67">
        <v>3493</v>
      </c>
      <c r="K25" s="120"/>
      <c r="L25" s="5"/>
      <c r="M25" s="5"/>
      <c r="N25" s="5"/>
      <c r="O25" s="5"/>
      <c r="P25" s="5"/>
      <c r="Q25" s="5"/>
      <c r="R25" s="5"/>
      <c r="S25" s="5"/>
      <c r="T25" s="5"/>
    </row>
    <row r="26" spans="1:23" x14ac:dyDescent="0.25">
      <c r="A26" s="4" t="s">
        <v>55</v>
      </c>
      <c r="B26" s="67">
        <v>1508</v>
      </c>
      <c r="C26" s="67">
        <v>500</v>
      </c>
      <c r="D26" s="67">
        <v>1983</v>
      </c>
      <c r="E26" s="67">
        <v>787</v>
      </c>
      <c r="F26" s="67">
        <v>163</v>
      </c>
      <c r="G26" s="67">
        <v>162</v>
      </c>
      <c r="H26" s="67">
        <v>54</v>
      </c>
      <c r="I26" s="67">
        <v>465</v>
      </c>
      <c r="J26" s="67">
        <v>5622</v>
      </c>
      <c r="K26" s="120"/>
      <c r="L26" s="5"/>
      <c r="M26" s="5"/>
      <c r="N26" s="5"/>
      <c r="O26" s="5"/>
      <c r="P26" s="5"/>
      <c r="Q26" s="5"/>
      <c r="R26" s="5"/>
      <c r="S26" s="5"/>
      <c r="T26" s="5"/>
      <c r="U26" s="128"/>
    </row>
    <row r="27" spans="1:23" x14ac:dyDescent="0.25">
      <c r="A27" s="4" t="s">
        <v>56</v>
      </c>
      <c r="B27" s="67">
        <v>80</v>
      </c>
      <c r="C27" s="74" t="s">
        <v>109</v>
      </c>
      <c r="D27" s="67">
        <v>342</v>
      </c>
      <c r="E27" s="67">
        <v>209</v>
      </c>
      <c r="F27" s="8" t="s">
        <v>116</v>
      </c>
      <c r="G27" s="67">
        <v>67</v>
      </c>
      <c r="H27" s="8" t="s">
        <v>116</v>
      </c>
      <c r="I27" s="67">
        <v>251</v>
      </c>
      <c r="J27" s="67">
        <v>1028</v>
      </c>
      <c r="K27" s="120"/>
      <c r="L27" s="5"/>
      <c r="M27" s="5"/>
      <c r="N27" s="5"/>
      <c r="O27" s="5"/>
      <c r="P27" s="5"/>
      <c r="Q27" s="5"/>
      <c r="R27" s="5"/>
      <c r="S27" s="5"/>
      <c r="T27" s="5"/>
    </row>
    <row r="28" spans="1:23" x14ac:dyDescent="0.25">
      <c r="A28" s="4" t="s">
        <v>57</v>
      </c>
      <c r="B28" s="74" t="s">
        <v>109</v>
      </c>
      <c r="C28" s="74" t="s">
        <v>109</v>
      </c>
      <c r="D28" s="74" t="s">
        <v>109</v>
      </c>
      <c r="E28" s="74" t="s">
        <v>109</v>
      </c>
      <c r="F28" s="37">
        <v>1</v>
      </c>
      <c r="G28" s="74" t="s">
        <v>109</v>
      </c>
      <c r="H28" s="74" t="s">
        <v>109</v>
      </c>
      <c r="I28" s="74" t="s">
        <v>109</v>
      </c>
      <c r="J28" s="67">
        <v>1</v>
      </c>
      <c r="K28" s="120"/>
      <c r="L28" s="5"/>
      <c r="M28" s="5"/>
      <c r="N28" s="5"/>
      <c r="O28" s="5"/>
      <c r="P28" s="5"/>
      <c r="Q28" s="5"/>
      <c r="R28" s="5"/>
      <c r="S28" s="5"/>
      <c r="T28" s="5"/>
    </row>
    <row r="29" spans="1:23" x14ac:dyDescent="0.25">
      <c r="A29" s="4" t="s">
        <v>58</v>
      </c>
      <c r="B29" s="67">
        <v>167</v>
      </c>
      <c r="C29" s="67">
        <v>75</v>
      </c>
      <c r="D29" s="67">
        <v>280</v>
      </c>
      <c r="E29" s="67">
        <v>102</v>
      </c>
      <c r="F29" s="67">
        <v>3</v>
      </c>
      <c r="G29" s="67">
        <v>15</v>
      </c>
      <c r="H29" s="74" t="s">
        <v>109</v>
      </c>
      <c r="I29" s="74" t="s">
        <v>109</v>
      </c>
      <c r="J29" s="67">
        <v>642</v>
      </c>
      <c r="K29" s="120"/>
      <c r="L29" s="5"/>
      <c r="M29" s="5"/>
      <c r="N29" s="5"/>
      <c r="O29" s="5"/>
      <c r="P29" s="5"/>
      <c r="Q29" s="5"/>
      <c r="R29" s="5"/>
      <c r="S29" s="5"/>
      <c r="T29" s="5"/>
    </row>
    <row r="30" spans="1:23" x14ac:dyDescent="0.25">
      <c r="A30" s="4" t="s">
        <v>60</v>
      </c>
      <c r="B30" s="67">
        <v>108</v>
      </c>
      <c r="C30" s="74" t="s">
        <v>109</v>
      </c>
      <c r="D30" s="67">
        <v>863</v>
      </c>
      <c r="E30" s="67">
        <v>7</v>
      </c>
      <c r="F30" s="67">
        <v>174</v>
      </c>
      <c r="G30" s="67">
        <v>180</v>
      </c>
      <c r="H30" s="74" t="s">
        <v>109</v>
      </c>
      <c r="I30" s="67">
        <v>46</v>
      </c>
      <c r="J30" s="67">
        <v>1378</v>
      </c>
      <c r="K30" s="120"/>
      <c r="L30" s="5"/>
      <c r="M30" s="5"/>
      <c r="N30" s="5"/>
      <c r="O30" s="5"/>
      <c r="P30" s="5"/>
      <c r="Q30" s="5"/>
      <c r="R30" s="5"/>
      <c r="S30" s="5"/>
      <c r="T30" s="5"/>
    </row>
    <row r="31" spans="1:23" x14ac:dyDescent="0.25">
      <c r="A31" s="4" t="s">
        <v>59</v>
      </c>
      <c r="B31" s="74" t="s">
        <v>109</v>
      </c>
      <c r="C31" s="74" t="s">
        <v>109</v>
      </c>
      <c r="D31" s="74" t="s">
        <v>109</v>
      </c>
      <c r="E31" s="67">
        <v>7</v>
      </c>
      <c r="F31" s="67">
        <v>16</v>
      </c>
      <c r="G31" s="74" t="s">
        <v>109</v>
      </c>
      <c r="H31" s="74" t="s">
        <v>109</v>
      </c>
      <c r="I31" s="74" t="s">
        <v>109</v>
      </c>
      <c r="J31" s="67">
        <v>23</v>
      </c>
      <c r="K31" s="120"/>
      <c r="L31" s="5"/>
      <c r="M31" s="5"/>
      <c r="N31" s="5"/>
      <c r="O31" s="5"/>
      <c r="P31" s="5"/>
      <c r="Q31" s="5"/>
      <c r="R31" s="5"/>
      <c r="S31" s="5"/>
      <c r="T31" s="5"/>
    </row>
    <row r="32" spans="1:23" x14ac:dyDescent="0.25">
      <c r="A32" s="4" t="s">
        <v>61</v>
      </c>
      <c r="B32" s="67">
        <v>16</v>
      </c>
      <c r="C32" s="37">
        <v>1</v>
      </c>
      <c r="D32" s="74" t="s">
        <v>109</v>
      </c>
      <c r="E32" s="37">
        <v>1</v>
      </c>
      <c r="F32" s="8" t="s">
        <v>116</v>
      </c>
      <c r="G32" s="74" t="s">
        <v>109</v>
      </c>
      <c r="H32" s="8" t="s">
        <v>116</v>
      </c>
      <c r="I32" s="67">
        <v>302</v>
      </c>
      <c r="J32" s="67">
        <v>327</v>
      </c>
      <c r="K32" s="120"/>
      <c r="L32" s="5"/>
      <c r="M32" s="5"/>
      <c r="N32" s="5"/>
      <c r="O32" s="5"/>
      <c r="P32" s="5"/>
      <c r="Q32" s="5"/>
      <c r="R32" s="5"/>
      <c r="S32" s="5"/>
      <c r="T32" s="5"/>
    </row>
    <row r="33" spans="1:21" x14ac:dyDescent="0.25">
      <c r="A33" s="4" t="s">
        <v>62</v>
      </c>
      <c r="B33" s="38">
        <v>1741</v>
      </c>
      <c r="C33" s="38">
        <v>999</v>
      </c>
      <c r="D33" s="38">
        <v>2456</v>
      </c>
      <c r="E33" s="38">
        <v>1177</v>
      </c>
      <c r="F33" s="38">
        <v>522</v>
      </c>
      <c r="G33" s="38">
        <v>257</v>
      </c>
      <c r="H33" s="38">
        <v>154</v>
      </c>
      <c r="I33" s="38">
        <v>995</v>
      </c>
      <c r="J33" s="38">
        <v>8301</v>
      </c>
      <c r="K33" s="120"/>
      <c r="L33" s="5"/>
      <c r="M33" s="5"/>
      <c r="N33" s="5"/>
      <c r="O33" s="5"/>
      <c r="P33" s="5"/>
      <c r="Q33" s="5"/>
      <c r="R33" s="5"/>
      <c r="S33" s="5"/>
      <c r="T33" s="5"/>
    </row>
    <row r="34" spans="1:21" ht="4.5" customHeight="1" x14ac:dyDescent="0.25">
      <c r="A34" s="2"/>
    </row>
    <row r="35" spans="1:21" x14ac:dyDescent="0.25">
      <c r="A35" s="54" t="s">
        <v>12</v>
      </c>
      <c r="B35" s="54"/>
      <c r="C35" s="54"/>
      <c r="D35" s="54"/>
      <c r="E35" s="54"/>
      <c r="F35" s="54"/>
      <c r="G35" s="54"/>
      <c r="H35" s="54"/>
      <c r="I35" s="54"/>
      <c r="J35" s="54"/>
      <c r="K35" s="55"/>
      <c r="L35" s="55"/>
      <c r="U35" s="128"/>
    </row>
    <row r="36" spans="1:21" s="6" customFormat="1" ht="9" x14ac:dyDescent="0.15">
      <c r="A36" s="6" t="s">
        <v>13</v>
      </c>
      <c r="M36" s="145"/>
      <c r="O36" s="145"/>
      <c r="U36" s="145"/>
    </row>
    <row r="37" spans="1:21" s="6" customFormat="1" ht="9" x14ac:dyDescent="0.15">
      <c r="A37" s="6" t="s">
        <v>23</v>
      </c>
      <c r="U37" s="145"/>
    </row>
    <row r="38" spans="1:21" s="6" customFormat="1" ht="9" x14ac:dyDescent="0.15">
      <c r="A38" s="6" t="s">
        <v>361</v>
      </c>
    </row>
    <row r="39" spans="1:21" s="6" customFormat="1" ht="9" x14ac:dyDescent="0.15">
      <c r="A39" s="6" t="s">
        <v>264</v>
      </c>
    </row>
    <row r="40" spans="1:21" s="6" customFormat="1" ht="9" x14ac:dyDescent="0.15">
      <c r="A40" s="6" t="s">
        <v>216</v>
      </c>
      <c r="O40" s="145"/>
      <c r="U40" s="145"/>
    </row>
    <row r="41" spans="1:21" s="6" customFormat="1" ht="9" x14ac:dyDescent="0.15"/>
    <row r="42" spans="1:21" s="6" customFormat="1" ht="9" x14ac:dyDescent="0.15">
      <c r="A42" s="6" t="s">
        <v>263</v>
      </c>
    </row>
    <row r="43" spans="1:21" x14ac:dyDescent="0.25">
      <c r="A43" s="2"/>
      <c r="M43" s="128"/>
      <c r="O43" s="128"/>
      <c r="P43" s="128"/>
      <c r="U43" s="128"/>
    </row>
    <row r="57" spans="17:18" x14ac:dyDescent="0.25">
      <c r="R57" s="128"/>
    </row>
    <row r="60" spans="17:18" x14ac:dyDescent="0.25">
      <c r="R60" s="128"/>
    </row>
    <row r="64" spans="17:18" x14ac:dyDescent="0.25">
      <c r="Q64" s="128"/>
    </row>
    <row r="65" spans="16:17" x14ac:dyDescent="0.25">
      <c r="P65" s="128"/>
    </row>
    <row r="67" spans="16:17" x14ac:dyDescent="0.25">
      <c r="Q67" s="128"/>
    </row>
    <row r="68" spans="16:17" x14ac:dyDescent="0.25">
      <c r="P68" s="128"/>
    </row>
    <row r="106" spans="8:14" x14ac:dyDescent="0.25">
      <c r="H106" s="144"/>
      <c r="I106" s="144"/>
      <c r="J106" s="144"/>
      <c r="K106" s="144"/>
      <c r="L106" s="144"/>
      <c r="M106" s="144"/>
      <c r="N106" s="144"/>
    </row>
    <row r="122" spans="8:9" x14ac:dyDescent="0.25">
      <c r="H122" s="144"/>
      <c r="I122" s="144"/>
    </row>
    <row r="138" spans="8:16" x14ac:dyDescent="0.25">
      <c r="H138" s="144"/>
      <c r="I138" s="144"/>
      <c r="J138" s="144"/>
      <c r="K138" s="144"/>
      <c r="L138" s="144"/>
      <c r="M138" s="144"/>
      <c r="N138" s="144"/>
      <c r="O138" s="144"/>
      <c r="P138" s="144"/>
    </row>
    <row r="154" spans="8:19" x14ac:dyDescent="0.25">
      <c r="H154" s="144"/>
      <c r="I154" s="144"/>
      <c r="J154" s="144"/>
      <c r="K154" s="144"/>
      <c r="L154" s="144"/>
      <c r="M154" s="144"/>
      <c r="N154" s="144"/>
      <c r="O154" s="144"/>
      <c r="P154" s="144"/>
      <c r="Q154" s="144"/>
    </row>
    <row r="156" spans="8:19" x14ac:dyDescent="0.25">
      <c r="S156" s="125"/>
    </row>
    <row r="159" spans="8:19" x14ac:dyDescent="0.25">
      <c r="S159" s="125"/>
    </row>
    <row r="166" spans="7:19" x14ac:dyDescent="0.25">
      <c r="G166" s="1" t="s">
        <v>350</v>
      </c>
    </row>
    <row r="168" spans="7:19" x14ac:dyDescent="0.25">
      <c r="G168" s="1" t="s">
        <v>342</v>
      </c>
    </row>
    <row r="169" spans="7:19" x14ac:dyDescent="0.25">
      <c r="S169" s="1" t="s">
        <v>8</v>
      </c>
    </row>
    <row r="170" spans="7:19" x14ac:dyDescent="0.25">
      <c r="J170" s="1" t="s">
        <v>0</v>
      </c>
      <c r="K170" s="125" t="s">
        <v>1</v>
      </c>
      <c r="L170" s="1" t="s">
        <v>2</v>
      </c>
      <c r="M170" s="125" t="s">
        <v>3</v>
      </c>
      <c r="N170" s="1" t="s">
        <v>4</v>
      </c>
      <c r="O170" s="1" t="s">
        <v>5</v>
      </c>
      <c r="P170" s="1" t="s">
        <v>6</v>
      </c>
      <c r="Q170" s="1" t="s">
        <v>7</v>
      </c>
      <c r="R170" s="1" t="s">
        <v>8</v>
      </c>
      <c r="S170" s="125">
        <v>4375</v>
      </c>
    </row>
    <row r="171" spans="7:19" x14ac:dyDescent="0.25">
      <c r="I171" s="1" t="s">
        <v>17</v>
      </c>
      <c r="J171" s="1">
        <v>303</v>
      </c>
      <c r="K171" s="1">
        <v>647</v>
      </c>
      <c r="L171" s="1">
        <v>529</v>
      </c>
      <c r="M171" s="1">
        <v>307</v>
      </c>
      <c r="N171" s="1">
        <v>241</v>
      </c>
      <c r="O171" s="1">
        <v>37</v>
      </c>
      <c r="P171" s="1">
        <v>88</v>
      </c>
      <c r="Q171" s="1">
        <v>629</v>
      </c>
      <c r="R171" s="125">
        <v>2781</v>
      </c>
      <c r="S171" s="125">
        <v>1255</v>
      </c>
    </row>
    <row r="172" spans="7:19" x14ac:dyDescent="0.25">
      <c r="I172" s="1" t="s">
        <v>21</v>
      </c>
      <c r="J172" s="1">
        <v>68</v>
      </c>
      <c r="K172" s="1">
        <v>81</v>
      </c>
      <c r="L172" s="1">
        <v>191</v>
      </c>
      <c r="M172" s="1">
        <v>74</v>
      </c>
      <c r="N172" s="1">
        <v>75</v>
      </c>
      <c r="O172" s="1">
        <v>17</v>
      </c>
      <c r="P172" s="1">
        <v>36</v>
      </c>
      <c r="Q172" s="1">
        <v>149</v>
      </c>
      <c r="R172" s="1">
        <v>691</v>
      </c>
      <c r="S172" s="1">
        <v>7</v>
      </c>
    </row>
    <row r="173" spans="7:19" x14ac:dyDescent="0.25">
      <c r="I173" s="1" t="s">
        <v>20</v>
      </c>
      <c r="J173" s="1">
        <v>1</v>
      </c>
      <c r="K173" s="5" t="s">
        <v>109</v>
      </c>
      <c r="L173" s="1">
        <v>2</v>
      </c>
      <c r="M173" s="5" t="s">
        <v>109</v>
      </c>
      <c r="N173" s="5" t="s">
        <v>109</v>
      </c>
      <c r="O173" s="5" t="s">
        <v>109</v>
      </c>
      <c r="P173" s="5" t="s">
        <v>109</v>
      </c>
      <c r="Q173" s="1">
        <v>2</v>
      </c>
      <c r="R173" s="1">
        <v>5</v>
      </c>
      <c r="S173" s="125">
        <v>5637</v>
      </c>
    </row>
    <row r="174" spans="7:19" x14ac:dyDescent="0.25">
      <c r="I174" s="1" t="s">
        <v>11</v>
      </c>
      <c r="J174" s="1">
        <v>372</v>
      </c>
      <c r="K174" s="1">
        <v>728</v>
      </c>
      <c r="L174" s="1">
        <v>722</v>
      </c>
      <c r="M174" s="1">
        <v>381</v>
      </c>
      <c r="N174" s="1">
        <v>316</v>
      </c>
      <c r="O174" s="1">
        <v>54</v>
      </c>
      <c r="P174" s="1">
        <v>124</v>
      </c>
      <c r="Q174" s="1">
        <v>780</v>
      </c>
      <c r="R174" s="125">
        <v>3477</v>
      </c>
    </row>
    <row r="176" spans="7:19" x14ac:dyDescent="0.25">
      <c r="G176" s="1" t="s">
        <v>263</v>
      </c>
    </row>
    <row r="180" spans="7:19" x14ac:dyDescent="0.25">
      <c r="G180" s="1" t="s">
        <v>351</v>
      </c>
    </row>
    <row r="182" spans="7:19" x14ac:dyDescent="0.25">
      <c r="G182" s="1" t="s">
        <v>343</v>
      </c>
    </row>
    <row r="183" spans="7:19" x14ac:dyDescent="0.25">
      <c r="S183" s="1" t="s">
        <v>8</v>
      </c>
    </row>
    <row r="184" spans="7:19" x14ac:dyDescent="0.25">
      <c r="J184" s="1" t="s">
        <v>0</v>
      </c>
      <c r="K184" s="1" t="s">
        <v>1</v>
      </c>
      <c r="L184" s="1" t="s">
        <v>2</v>
      </c>
      <c r="M184" s="1" t="s">
        <v>3</v>
      </c>
      <c r="N184" s="1" t="s">
        <v>4</v>
      </c>
      <c r="O184" s="1" t="s">
        <v>5</v>
      </c>
      <c r="P184" s="1" t="s">
        <v>6</v>
      </c>
      <c r="Q184" s="1" t="s">
        <v>7</v>
      </c>
      <c r="R184" s="1" t="s">
        <v>8</v>
      </c>
      <c r="S184" s="1">
        <v>864</v>
      </c>
    </row>
    <row r="185" spans="7:19" x14ac:dyDescent="0.25">
      <c r="I185" s="1" t="s">
        <v>17</v>
      </c>
      <c r="J185" s="125">
        <v>1192</v>
      </c>
      <c r="K185" s="1">
        <v>439</v>
      </c>
      <c r="L185" s="125">
        <v>1497</v>
      </c>
      <c r="M185" s="1">
        <v>602</v>
      </c>
      <c r="N185" s="1">
        <v>111</v>
      </c>
      <c r="O185" s="1">
        <v>111</v>
      </c>
      <c r="P185" s="1">
        <v>43</v>
      </c>
      <c r="Q185" s="1">
        <v>380</v>
      </c>
      <c r="R185" s="125">
        <v>4375</v>
      </c>
      <c r="S185" s="1">
        <v>164</v>
      </c>
    </row>
    <row r="186" spans="7:19" x14ac:dyDescent="0.25">
      <c r="I186" s="1" t="s">
        <v>21</v>
      </c>
      <c r="J186" s="1">
        <v>314</v>
      </c>
      <c r="K186" s="1">
        <v>61</v>
      </c>
      <c r="L186" s="1">
        <v>498</v>
      </c>
      <c r="M186" s="1">
        <v>184</v>
      </c>
      <c r="N186" s="1">
        <v>52</v>
      </c>
      <c r="O186" s="1">
        <v>50</v>
      </c>
      <c r="P186" s="1">
        <v>11</v>
      </c>
      <c r="Q186" s="1">
        <v>85</v>
      </c>
      <c r="R186" s="125">
        <v>1255</v>
      </c>
      <c r="S186" s="1">
        <v>1</v>
      </c>
    </row>
    <row r="187" spans="7:19" x14ac:dyDescent="0.25">
      <c r="I187" s="1" t="s">
        <v>20</v>
      </c>
      <c r="J187" s="1">
        <v>2</v>
      </c>
      <c r="K187" s="5" t="s">
        <v>109</v>
      </c>
      <c r="L187" s="1">
        <v>3</v>
      </c>
      <c r="M187" s="1">
        <v>1</v>
      </c>
      <c r="N187" s="5" t="s">
        <v>109</v>
      </c>
      <c r="O187" s="1">
        <v>1</v>
      </c>
      <c r="P187" s="5" t="s">
        <v>109</v>
      </c>
      <c r="Q187" s="5" t="s">
        <v>109</v>
      </c>
      <c r="R187" s="1">
        <v>7</v>
      </c>
      <c r="S187" s="125">
        <v>1029</v>
      </c>
    </row>
    <row r="188" spans="7:19" x14ac:dyDescent="0.25">
      <c r="I188" s="1" t="s">
        <v>11</v>
      </c>
      <c r="J188" s="125">
        <v>1508</v>
      </c>
      <c r="K188" s="1">
        <v>500</v>
      </c>
      <c r="L188" s="125">
        <v>1998</v>
      </c>
      <c r="M188" s="1">
        <v>787</v>
      </c>
      <c r="N188" s="1">
        <v>163</v>
      </c>
      <c r="O188" s="1">
        <v>162</v>
      </c>
      <c r="P188" s="1">
        <v>54</v>
      </c>
      <c r="Q188" s="1">
        <v>465</v>
      </c>
      <c r="R188" s="125">
        <v>5637</v>
      </c>
    </row>
    <row r="190" spans="7:19" x14ac:dyDescent="0.25">
      <c r="G190" s="1" t="s">
        <v>263</v>
      </c>
    </row>
    <row r="194" spans="7:19" x14ac:dyDescent="0.25">
      <c r="G194" s="1" t="s">
        <v>352</v>
      </c>
    </row>
    <row r="196" spans="7:19" x14ac:dyDescent="0.25">
      <c r="G196" s="1" t="s">
        <v>344</v>
      </c>
    </row>
    <row r="197" spans="7:19" x14ac:dyDescent="0.25">
      <c r="S197" s="1" t="s">
        <v>8</v>
      </c>
    </row>
    <row r="198" spans="7:19" x14ac:dyDescent="0.25">
      <c r="J198" s="1" t="s">
        <v>0</v>
      </c>
      <c r="K198" s="1" t="s">
        <v>1</v>
      </c>
      <c r="L198" s="1" t="s">
        <v>2</v>
      </c>
      <c r="M198" s="1" t="s">
        <v>3</v>
      </c>
      <c r="N198" s="1" t="s">
        <v>4</v>
      </c>
      <c r="O198" s="1" t="s">
        <v>5</v>
      </c>
      <c r="P198" s="1" t="s">
        <v>6</v>
      </c>
      <c r="Q198" s="1" t="s">
        <v>7</v>
      </c>
      <c r="R198" s="1" t="s">
        <v>8</v>
      </c>
      <c r="S198" s="1">
        <v>1</v>
      </c>
    </row>
    <row r="199" spans="7:19" x14ac:dyDescent="0.25">
      <c r="I199" s="1" t="s">
        <v>17</v>
      </c>
      <c r="J199" s="1">
        <v>67</v>
      </c>
      <c r="K199" s="5" t="s">
        <v>109</v>
      </c>
      <c r="L199" s="1">
        <v>279</v>
      </c>
      <c r="M199" s="1">
        <v>180</v>
      </c>
      <c r="N199" s="1">
        <v>52</v>
      </c>
      <c r="O199" s="1">
        <v>58</v>
      </c>
      <c r="P199" s="1">
        <v>8</v>
      </c>
      <c r="Q199" s="1">
        <v>220</v>
      </c>
      <c r="R199" s="1">
        <v>864</v>
      </c>
      <c r="S199" s="5" t="s">
        <v>109</v>
      </c>
    </row>
    <row r="200" spans="7:19" x14ac:dyDescent="0.25">
      <c r="I200" s="1" t="s">
        <v>21</v>
      </c>
      <c r="J200" s="1">
        <v>13</v>
      </c>
      <c r="K200" s="5" t="s">
        <v>109</v>
      </c>
      <c r="L200" s="1">
        <v>64</v>
      </c>
      <c r="M200" s="1">
        <v>29</v>
      </c>
      <c r="N200" s="1">
        <v>18</v>
      </c>
      <c r="O200" s="1">
        <v>8</v>
      </c>
      <c r="P200" s="1">
        <v>1</v>
      </c>
      <c r="Q200" s="1">
        <v>31</v>
      </c>
      <c r="R200" s="1">
        <v>164</v>
      </c>
      <c r="S200" s="5" t="s">
        <v>109</v>
      </c>
    </row>
    <row r="201" spans="7:19" x14ac:dyDescent="0.25">
      <c r="I201" s="1" t="s">
        <v>20</v>
      </c>
      <c r="J201" s="5" t="s">
        <v>109</v>
      </c>
      <c r="K201" s="5" t="s">
        <v>109</v>
      </c>
      <c r="L201" s="5" t="s">
        <v>109</v>
      </c>
      <c r="M201" s="5" t="s">
        <v>109</v>
      </c>
      <c r="N201" s="5" t="s">
        <v>109</v>
      </c>
      <c r="O201" s="1">
        <v>1</v>
      </c>
      <c r="P201" s="5" t="s">
        <v>109</v>
      </c>
      <c r="Q201" s="5" t="s">
        <v>109</v>
      </c>
      <c r="R201" s="1">
        <v>1</v>
      </c>
      <c r="S201" s="1">
        <v>1</v>
      </c>
    </row>
    <row r="202" spans="7:19" x14ac:dyDescent="0.25">
      <c r="I202" s="1" t="s">
        <v>11</v>
      </c>
      <c r="J202" s="1">
        <v>80</v>
      </c>
      <c r="K202" s="5" t="s">
        <v>109</v>
      </c>
      <c r="L202" s="1">
        <v>343</v>
      </c>
      <c r="M202" s="1">
        <v>209</v>
      </c>
      <c r="N202" s="1">
        <v>70</v>
      </c>
      <c r="O202" s="1">
        <v>67</v>
      </c>
      <c r="P202" s="1">
        <v>9</v>
      </c>
      <c r="Q202" s="1">
        <v>251</v>
      </c>
      <c r="R202" s="125">
        <v>1029</v>
      </c>
    </row>
    <row r="204" spans="7:19" x14ac:dyDescent="0.25">
      <c r="G204" s="1" t="s">
        <v>263</v>
      </c>
    </row>
    <row r="208" spans="7:19" x14ac:dyDescent="0.25">
      <c r="G208" s="1" t="s">
        <v>353</v>
      </c>
    </row>
    <row r="210" spans="7:19" x14ac:dyDescent="0.25">
      <c r="G210" s="1" t="s">
        <v>345</v>
      </c>
    </row>
    <row r="211" spans="7:19" x14ac:dyDescent="0.25">
      <c r="S211" s="1" t="s">
        <v>8</v>
      </c>
    </row>
    <row r="212" spans="7:19" x14ac:dyDescent="0.25">
      <c r="J212" s="1" t="s">
        <v>0</v>
      </c>
      <c r="K212" s="1" t="s">
        <v>1</v>
      </c>
      <c r="L212" s="1" t="s">
        <v>2</v>
      </c>
      <c r="M212" s="1" t="s">
        <v>3</v>
      </c>
      <c r="N212" s="1" t="s">
        <v>4</v>
      </c>
      <c r="O212" s="1" t="s">
        <v>5</v>
      </c>
      <c r="P212" s="1" t="s">
        <v>6</v>
      </c>
      <c r="Q212" s="1" t="s">
        <v>7</v>
      </c>
      <c r="R212" s="1" t="s">
        <v>8</v>
      </c>
      <c r="S212" s="1">
        <v>577</v>
      </c>
    </row>
    <row r="213" spans="7:19" x14ac:dyDescent="0.25">
      <c r="I213" s="1" t="s">
        <v>17</v>
      </c>
      <c r="J213" s="5" t="s">
        <v>109</v>
      </c>
      <c r="K213" s="5" t="s">
        <v>109</v>
      </c>
      <c r="L213" s="5" t="s">
        <v>109</v>
      </c>
      <c r="M213" s="5" t="s">
        <v>109</v>
      </c>
      <c r="N213" s="1">
        <v>1</v>
      </c>
      <c r="O213" s="5" t="s">
        <v>109</v>
      </c>
      <c r="P213" s="5" t="s">
        <v>109</v>
      </c>
      <c r="Q213" s="5" t="s">
        <v>109</v>
      </c>
      <c r="R213" s="1">
        <v>1</v>
      </c>
      <c r="S213" s="1">
        <v>65</v>
      </c>
    </row>
    <row r="214" spans="7:19" x14ac:dyDescent="0.25">
      <c r="I214" s="1" t="s">
        <v>21</v>
      </c>
      <c r="J214" s="5" t="s">
        <v>109</v>
      </c>
      <c r="K214" s="5" t="s">
        <v>109</v>
      </c>
      <c r="L214" s="5" t="s">
        <v>109</v>
      </c>
      <c r="M214" s="5" t="s">
        <v>109</v>
      </c>
      <c r="N214" s="5" t="s">
        <v>109</v>
      </c>
      <c r="O214" s="5" t="s">
        <v>109</v>
      </c>
      <c r="P214" s="5" t="s">
        <v>109</v>
      </c>
      <c r="Q214" s="5" t="s">
        <v>109</v>
      </c>
      <c r="R214" s="5" t="s">
        <v>109</v>
      </c>
      <c r="S214" s="5" t="s">
        <v>109</v>
      </c>
    </row>
    <row r="215" spans="7:19" x14ac:dyDescent="0.25">
      <c r="I215" s="1" t="s">
        <v>20</v>
      </c>
      <c r="J215" s="5" t="s">
        <v>109</v>
      </c>
      <c r="K215" s="5" t="s">
        <v>109</v>
      </c>
      <c r="L215" s="5" t="s">
        <v>109</v>
      </c>
      <c r="M215" s="5" t="s">
        <v>109</v>
      </c>
      <c r="N215" s="5" t="s">
        <v>109</v>
      </c>
      <c r="O215" s="5" t="s">
        <v>109</v>
      </c>
      <c r="P215" s="5" t="s">
        <v>109</v>
      </c>
      <c r="Q215" s="5" t="s">
        <v>109</v>
      </c>
      <c r="R215" s="5" t="s">
        <v>109</v>
      </c>
      <c r="S215" s="1">
        <v>642</v>
      </c>
    </row>
    <row r="216" spans="7:19" x14ac:dyDescent="0.25">
      <c r="I216" s="1" t="s">
        <v>11</v>
      </c>
      <c r="J216" s="5" t="s">
        <v>109</v>
      </c>
      <c r="K216" s="5" t="s">
        <v>109</v>
      </c>
      <c r="L216" s="5" t="s">
        <v>109</v>
      </c>
      <c r="M216" s="5" t="s">
        <v>109</v>
      </c>
      <c r="N216" s="1">
        <v>1</v>
      </c>
      <c r="O216" s="5" t="s">
        <v>109</v>
      </c>
      <c r="P216" s="5" t="s">
        <v>109</v>
      </c>
      <c r="Q216" s="5" t="s">
        <v>109</v>
      </c>
      <c r="R216" s="1">
        <v>1</v>
      </c>
    </row>
    <row r="218" spans="7:19" x14ac:dyDescent="0.25">
      <c r="G218" s="1" t="s">
        <v>263</v>
      </c>
    </row>
    <row r="222" spans="7:19" x14ac:dyDescent="0.25">
      <c r="G222" s="1" t="s">
        <v>354</v>
      </c>
    </row>
    <row r="224" spans="7:19" x14ac:dyDescent="0.25">
      <c r="G224" s="1" t="s">
        <v>346</v>
      </c>
    </row>
    <row r="225" spans="7:19" x14ac:dyDescent="0.25">
      <c r="S225" s="1" t="s">
        <v>8</v>
      </c>
    </row>
    <row r="226" spans="7:19" x14ac:dyDescent="0.25">
      <c r="J226" s="1" t="s">
        <v>0</v>
      </c>
      <c r="K226" s="1" t="s">
        <v>1</v>
      </c>
      <c r="L226" s="1" t="s">
        <v>2</v>
      </c>
      <c r="M226" s="1" t="s">
        <v>3</v>
      </c>
      <c r="N226" s="1" t="s">
        <v>4</v>
      </c>
      <c r="O226" s="1" t="s">
        <v>5</v>
      </c>
      <c r="P226" s="1" t="s">
        <v>6</v>
      </c>
      <c r="Q226" s="1" t="s">
        <v>7</v>
      </c>
      <c r="R226" s="1" t="s">
        <v>8</v>
      </c>
      <c r="S226" s="1">
        <v>21</v>
      </c>
    </row>
    <row r="227" spans="7:19" x14ac:dyDescent="0.25">
      <c r="I227" s="1" t="s">
        <v>17</v>
      </c>
      <c r="J227" s="1">
        <v>159</v>
      </c>
      <c r="K227" s="1">
        <v>70</v>
      </c>
      <c r="L227" s="1">
        <v>243</v>
      </c>
      <c r="M227" s="1">
        <v>89</v>
      </c>
      <c r="N227" s="1">
        <v>3</v>
      </c>
      <c r="O227" s="1">
        <v>13</v>
      </c>
      <c r="P227" s="5" t="s">
        <v>109</v>
      </c>
      <c r="Q227" s="5" t="s">
        <v>109</v>
      </c>
      <c r="R227" s="1">
        <v>577</v>
      </c>
      <c r="S227" s="1">
        <v>2</v>
      </c>
    </row>
    <row r="228" spans="7:19" x14ac:dyDescent="0.25">
      <c r="I228" s="1" t="s">
        <v>21</v>
      </c>
      <c r="J228" s="1">
        <v>8</v>
      </c>
      <c r="K228" s="1">
        <v>5</v>
      </c>
      <c r="L228" s="1">
        <v>37</v>
      </c>
      <c r="M228" s="1">
        <v>13</v>
      </c>
      <c r="N228" s="5" t="s">
        <v>109</v>
      </c>
      <c r="O228" s="1">
        <v>2</v>
      </c>
      <c r="P228" s="5" t="s">
        <v>109</v>
      </c>
      <c r="Q228" s="5" t="s">
        <v>109</v>
      </c>
      <c r="R228" s="1">
        <v>65</v>
      </c>
      <c r="S228" s="5" t="s">
        <v>109</v>
      </c>
    </row>
    <row r="229" spans="7:19" x14ac:dyDescent="0.25">
      <c r="I229" s="1" t="s">
        <v>20</v>
      </c>
      <c r="J229" s="5" t="s">
        <v>109</v>
      </c>
      <c r="K229" s="5" t="s">
        <v>109</v>
      </c>
      <c r="L229" s="5" t="s">
        <v>109</v>
      </c>
      <c r="M229" s="5" t="s">
        <v>109</v>
      </c>
      <c r="N229" s="5" t="s">
        <v>109</v>
      </c>
      <c r="O229" s="5" t="s">
        <v>109</v>
      </c>
      <c r="P229" s="5" t="s">
        <v>109</v>
      </c>
      <c r="Q229" s="5" t="s">
        <v>109</v>
      </c>
      <c r="R229" s="5" t="s">
        <v>109</v>
      </c>
      <c r="S229" s="1">
        <v>23</v>
      </c>
    </row>
    <row r="230" spans="7:19" x14ac:dyDescent="0.25">
      <c r="I230" s="1" t="s">
        <v>11</v>
      </c>
      <c r="J230" s="1">
        <v>167</v>
      </c>
      <c r="K230" s="1">
        <v>75</v>
      </c>
      <c r="L230" s="1">
        <v>280</v>
      </c>
      <c r="M230" s="1">
        <v>102</v>
      </c>
      <c r="N230" s="1">
        <v>3</v>
      </c>
      <c r="O230" s="1">
        <v>15</v>
      </c>
      <c r="P230" s="5" t="s">
        <v>109</v>
      </c>
      <c r="Q230" s="5" t="s">
        <v>109</v>
      </c>
      <c r="R230" s="1">
        <v>642</v>
      </c>
    </row>
    <row r="232" spans="7:19" x14ac:dyDescent="0.25">
      <c r="G232" s="1" t="s">
        <v>263</v>
      </c>
    </row>
    <row r="236" spans="7:19" x14ac:dyDescent="0.25">
      <c r="G236" s="1" t="s">
        <v>355</v>
      </c>
    </row>
    <row r="238" spans="7:19" x14ac:dyDescent="0.25">
      <c r="G238" s="1" t="s">
        <v>347</v>
      </c>
    </row>
    <row r="239" spans="7:19" x14ac:dyDescent="0.25">
      <c r="S239" s="1" t="s">
        <v>8</v>
      </c>
    </row>
    <row r="240" spans="7:19" x14ac:dyDescent="0.25">
      <c r="J240" s="1" t="s">
        <v>0</v>
      </c>
      <c r="K240" s="1" t="s">
        <v>1</v>
      </c>
      <c r="L240" s="1" t="s">
        <v>2</v>
      </c>
      <c r="M240" s="1" t="s">
        <v>3</v>
      </c>
      <c r="N240" s="1" t="s">
        <v>4</v>
      </c>
      <c r="O240" s="1" t="s">
        <v>5</v>
      </c>
      <c r="P240" s="1" t="s">
        <v>6</v>
      </c>
      <c r="Q240" s="1" t="s">
        <v>7</v>
      </c>
      <c r="R240" s="1" t="s">
        <v>8</v>
      </c>
      <c r="S240" s="1">
        <v>275</v>
      </c>
    </row>
    <row r="241" spans="7:19" x14ac:dyDescent="0.25">
      <c r="I241" s="1" t="s">
        <v>17</v>
      </c>
      <c r="J241" s="5" t="s">
        <v>109</v>
      </c>
      <c r="K241" s="5" t="s">
        <v>109</v>
      </c>
      <c r="L241" s="5" t="s">
        <v>109</v>
      </c>
      <c r="M241" s="1">
        <v>6</v>
      </c>
      <c r="N241" s="1">
        <v>15</v>
      </c>
      <c r="O241" s="5" t="s">
        <v>109</v>
      </c>
      <c r="P241" s="5" t="s">
        <v>109</v>
      </c>
      <c r="Q241" s="5" t="s">
        <v>109</v>
      </c>
      <c r="R241" s="1">
        <v>21</v>
      </c>
      <c r="S241" s="1">
        <v>52</v>
      </c>
    </row>
    <row r="242" spans="7:19" x14ac:dyDescent="0.25">
      <c r="I242" s="1" t="s">
        <v>21</v>
      </c>
      <c r="J242" s="5" t="s">
        <v>109</v>
      </c>
      <c r="K242" s="5" t="s">
        <v>109</v>
      </c>
      <c r="L242" s="5" t="s">
        <v>109</v>
      </c>
      <c r="M242" s="1">
        <v>1</v>
      </c>
      <c r="N242" s="1">
        <v>1</v>
      </c>
      <c r="O242" s="5" t="s">
        <v>109</v>
      </c>
      <c r="P242" s="5" t="s">
        <v>109</v>
      </c>
      <c r="Q242" s="5" t="s">
        <v>109</v>
      </c>
      <c r="R242" s="1">
        <v>2</v>
      </c>
      <c r="S242" s="5" t="s">
        <v>109</v>
      </c>
    </row>
    <row r="243" spans="7:19" x14ac:dyDescent="0.25">
      <c r="I243" s="1" t="s">
        <v>20</v>
      </c>
      <c r="J243" s="5" t="s">
        <v>109</v>
      </c>
      <c r="K243" s="5" t="s">
        <v>109</v>
      </c>
      <c r="L243" s="5" t="s">
        <v>109</v>
      </c>
      <c r="M243" s="5" t="s">
        <v>109</v>
      </c>
      <c r="N243" s="5" t="s">
        <v>109</v>
      </c>
      <c r="O243" s="5" t="s">
        <v>109</v>
      </c>
      <c r="P243" s="5" t="s">
        <v>109</v>
      </c>
      <c r="Q243" s="5" t="s">
        <v>109</v>
      </c>
      <c r="R243" s="5" t="s">
        <v>109</v>
      </c>
      <c r="S243" s="1">
        <v>327</v>
      </c>
    </row>
    <row r="244" spans="7:19" x14ac:dyDescent="0.25">
      <c r="I244" s="1" t="s">
        <v>11</v>
      </c>
      <c r="J244" s="5" t="s">
        <v>109</v>
      </c>
      <c r="K244" s="5" t="s">
        <v>109</v>
      </c>
      <c r="L244" s="5" t="s">
        <v>109</v>
      </c>
      <c r="M244" s="1">
        <v>7</v>
      </c>
      <c r="N244" s="1">
        <v>16</v>
      </c>
      <c r="O244" s="5" t="s">
        <v>109</v>
      </c>
      <c r="P244" s="5" t="s">
        <v>109</v>
      </c>
      <c r="Q244" s="5" t="s">
        <v>109</v>
      </c>
      <c r="R244" s="1">
        <v>23</v>
      </c>
    </row>
    <row r="246" spans="7:19" x14ac:dyDescent="0.25">
      <c r="G246" s="1" t="s">
        <v>263</v>
      </c>
    </row>
    <row r="250" spans="7:19" x14ac:dyDescent="0.25">
      <c r="G250" s="1" t="s">
        <v>356</v>
      </c>
    </row>
    <row r="252" spans="7:19" x14ac:dyDescent="0.25">
      <c r="G252" s="1" t="s">
        <v>348</v>
      </c>
    </row>
    <row r="253" spans="7:19" x14ac:dyDescent="0.25">
      <c r="S253" s="1" t="s">
        <v>8</v>
      </c>
    </row>
    <row r="254" spans="7:19" x14ac:dyDescent="0.25">
      <c r="J254" s="1" t="s">
        <v>0</v>
      </c>
      <c r="K254" s="1" t="s">
        <v>1</v>
      </c>
      <c r="L254" s="1" t="s">
        <v>2</v>
      </c>
      <c r="M254" s="1" t="s">
        <v>3</v>
      </c>
      <c r="N254" s="1" t="s">
        <v>4</v>
      </c>
      <c r="O254" s="1" t="s">
        <v>5</v>
      </c>
      <c r="P254" s="1" t="s">
        <v>6</v>
      </c>
      <c r="Q254" s="1" t="s">
        <v>7</v>
      </c>
      <c r="R254" s="1" t="s">
        <v>8</v>
      </c>
      <c r="S254" s="125">
        <v>1318</v>
      </c>
    </row>
    <row r="255" spans="7:19" x14ac:dyDescent="0.25">
      <c r="I255" s="1" t="s">
        <v>17</v>
      </c>
      <c r="J255" s="1">
        <v>14</v>
      </c>
      <c r="K255" s="1">
        <v>1</v>
      </c>
      <c r="L255" s="5" t="s">
        <v>109</v>
      </c>
      <c r="M255" s="5" t="s">
        <v>109</v>
      </c>
      <c r="N255" s="1">
        <v>4</v>
      </c>
      <c r="O255" s="5" t="s">
        <v>109</v>
      </c>
      <c r="P255" s="1">
        <v>2</v>
      </c>
      <c r="Q255" s="1">
        <v>254</v>
      </c>
      <c r="R255" s="1">
        <v>275</v>
      </c>
      <c r="S255" s="1">
        <v>380</v>
      </c>
    </row>
    <row r="256" spans="7:19" x14ac:dyDescent="0.25">
      <c r="I256" s="1" t="s">
        <v>21</v>
      </c>
      <c r="J256" s="1">
        <v>2</v>
      </c>
      <c r="K256" s="5" t="s">
        <v>109</v>
      </c>
      <c r="L256" s="5" t="s">
        <v>109</v>
      </c>
      <c r="M256" s="1">
        <v>1</v>
      </c>
      <c r="N256" s="1">
        <v>1</v>
      </c>
      <c r="O256" s="5" t="s">
        <v>109</v>
      </c>
      <c r="P256" s="5" t="s">
        <v>109</v>
      </c>
      <c r="Q256" s="1">
        <v>48</v>
      </c>
      <c r="R256" s="1">
        <v>52</v>
      </c>
      <c r="S256" s="1">
        <v>6</v>
      </c>
    </row>
    <row r="257" spans="7:19" x14ac:dyDescent="0.25">
      <c r="I257" s="1" t="s">
        <v>20</v>
      </c>
      <c r="J257" s="5" t="s">
        <v>109</v>
      </c>
      <c r="K257" s="5" t="s">
        <v>109</v>
      </c>
      <c r="L257" s="5" t="s">
        <v>109</v>
      </c>
      <c r="M257" s="5" t="s">
        <v>109</v>
      </c>
      <c r="N257" s="5" t="s">
        <v>109</v>
      </c>
      <c r="O257" s="5" t="s">
        <v>109</v>
      </c>
      <c r="P257" s="5" t="s">
        <v>109</v>
      </c>
      <c r="Q257" s="5" t="s">
        <v>109</v>
      </c>
      <c r="R257" s="5" t="s">
        <v>109</v>
      </c>
      <c r="S257" s="125">
        <v>1704</v>
      </c>
    </row>
    <row r="258" spans="7:19" x14ac:dyDescent="0.25">
      <c r="I258" s="1" t="s">
        <v>11</v>
      </c>
      <c r="J258" s="1">
        <v>16</v>
      </c>
      <c r="K258" s="1">
        <v>1</v>
      </c>
      <c r="L258" s="5" t="s">
        <v>109</v>
      </c>
      <c r="M258" s="1">
        <v>1</v>
      </c>
      <c r="N258" s="1">
        <v>5</v>
      </c>
      <c r="O258" s="5" t="s">
        <v>109</v>
      </c>
      <c r="P258" s="1">
        <v>2</v>
      </c>
      <c r="Q258" s="1">
        <v>302</v>
      </c>
      <c r="R258" s="1">
        <v>327</v>
      </c>
    </row>
    <row r="260" spans="7:19" x14ac:dyDescent="0.25">
      <c r="G260" s="1" t="s">
        <v>263</v>
      </c>
    </row>
    <row r="264" spans="7:19" x14ac:dyDescent="0.25">
      <c r="G264" s="1" t="s">
        <v>357</v>
      </c>
    </row>
    <row r="265" spans="7:19" x14ac:dyDescent="0.25">
      <c r="S265" s="1" t="s">
        <v>16</v>
      </c>
    </row>
    <row r="266" spans="7:19" x14ac:dyDescent="0.25">
      <c r="G266" s="1" t="s">
        <v>349</v>
      </c>
      <c r="L266" s="125"/>
      <c r="M266" s="125"/>
      <c r="S266" s="125">
        <v>5178</v>
      </c>
    </row>
    <row r="267" spans="7:19" x14ac:dyDescent="0.25">
      <c r="K267" s="125"/>
      <c r="M267" s="125"/>
      <c r="N267" s="125"/>
      <c r="S267" s="125">
        <v>11876</v>
      </c>
    </row>
    <row r="268" spans="7:19" x14ac:dyDescent="0.25">
      <c r="J268" s="1" t="s">
        <v>0</v>
      </c>
      <c r="K268" s="1" t="s">
        <v>1</v>
      </c>
      <c r="L268" s="1" t="s">
        <v>2</v>
      </c>
      <c r="M268" s="1" t="s">
        <v>3</v>
      </c>
      <c r="N268" s="1" t="s">
        <v>4</v>
      </c>
      <c r="O268" s="1" t="s">
        <v>5</v>
      </c>
      <c r="P268" s="1" t="s">
        <v>6</v>
      </c>
      <c r="Q268" s="1" t="s">
        <v>7</v>
      </c>
      <c r="R268" s="1" t="s">
        <v>8</v>
      </c>
      <c r="S268" s="125">
        <v>1121</v>
      </c>
    </row>
    <row r="269" spans="7:19" x14ac:dyDescent="0.25">
      <c r="I269" s="1" t="s">
        <v>17</v>
      </c>
      <c r="J269" s="1">
        <v>123</v>
      </c>
      <c r="K269" s="5" t="s">
        <v>109</v>
      </c>
      <c r="L269" s="1">
        <v>839</v>
      </c>
      <c r="M269" s="1">
        <v>6</v>
      </c>
      <c r="N269" s="1">
        <v>172</v>
      </c>
      <c r="O269" s="1">
        <v>178</v>
      </c>
      <c r="P269" s="5" t="s">
        <v>109</v>
      </c>
      <c r="Q269" s="5" t="s">
        <v>109</v>
      </c>
      <c r="R269" s="125">
        <v>1318</v>
      </c>
      <c r="S269" s="1">
        <v>1</v>
      </c>
    </row>
    <row r="270" spans="7:19" x14ac:dyDescent="0.25">
      <c r="I270" s="1" t="s">
        <v>21</v>
      </c>
      <c r="J270" s="1">
        <v>16</v>
      </c>
      <c r="K270" s="5" t="s">
        <v>109</v>
      </c>
      <c r="L270" s="1">
        <v>254</v>
      </c>
      <c r="M270" s="1">
        <v>1</v>
      </c>
      <c r="N270" s="1">
        <v>49</v>
      </c>
      <c r="O270" s="1">
        <v>60</v>
      </c>
      <c r="P270" s="5" t="s">
        <v>109</v>
      </c>
      <c r="Q270" s="5" t="s">
        <v>109</v>
      </c>
      <c r="R270" s="1">
        <v>380</v>
      </c>
      <c r="S270" s="125">
        <v>1106</v>
      </c>
    </row>
    <row r="271" spans="7:19" x14ac:dyDescent="0.25">
      <c r="I271" s="1" t="s">
        <v>20</v>
      </c>
      <c r="J271" s="5" t="s">
        <v>109</v>
      </c>
      <c r="K271" s="5" t="s">
        <v>109</v>
      </c>
      <c r="L271" s="1">
        <v>3</v>
      </c>
      <c r="M271" s="5" t="s">
        <v>109</v>
      </c>
      <c r="N271" s="1">
        <v>1</v>
      </c>
      <c r="O271" s="1">
        <v>2</v>
      </c>
      <c r="P271" s="5" t="s">
        <v>109</v>
      </c>
      <c r="Q271" s="5" t="s">
        <v>109</v>
      </c>
      <c r="R271" s="1">
        <v>6</v>
      </c>
      <c r="S271" s="1">
        <v>25</v>
      </c>
    </row>
    <row r="272" spans="7:19" x14ac:dyDescent="0.25">
      <c r="I272" s="1" t="s">
        <v>11</v>
      </c>
      <c r="J272" s="1">
        <v>139</v>
      </c>
      <c r="K272" s="5" t="s">
        <v>109</v>
      </c>
      <c r="L272" s="125">
        <v>1096</v>
      </c>
      <c r="M272" s="1">
        <v>7</v>
      </c>
      <c r="N272" s="1">
        <v>222</v>
      </c>
      <c r="O272" s="1">
        <v>240</v>
      </c>
      <c r="P272" s="5" t="s">
        <v>109</v>
      </c>
      <c r="Q272" s="5" t="s">
        <v>109</v>
      </c>
      <c r="R272" s="125">
        <v>1704</v>
      </c>
      <c r="S272" s="125">
        <v>1235</v>
      </c>
    </row>
    <row r="273" spans="7:19" x14ac:dyDescent="0.25">
      <c r="S273" s="1">
        <v>45</v>
      </c>
    </row>
    <row r="274" spans="7:19" x14ac:dyDescent="0.25">
      <c r="G274" s="1" t="s">
        <v>263</v>
      </c>
      <c r="K274" s="125"/>
      <c r="L274" s="125"/>
      <c r="M274" s="125"/>
      <c r="N274" s="125"/>
      <c r="O274" s="125"/>
      <c r="S274" s="125">
        <v>20587</v>
      </c>
    </row>
    <row r="278" spans="7:19" x14ac:dyDescent="0.25">
      <c r="G278" s="1" t="s">
        <v>358</v>
      </c>
    </row>
    <row r="280" spans="7:19" x14ac:dyDescent="0.25">
      <c r="J280" s="1" t="s">
        <v>0</v>
      </c>
      <c r="K280" s="1" t="s">
        <v>1</v>
      </c>
      <c r="L280" s="1" t="s">
        <v>2</v>
      </c>
      <c r="M280" s="1" t="s">
        <v>3</v>
      </c>
      <c r="N280" s="1" t="s">
        <v>4</v>
      </c>
      <c r="O280" s="1" t="s">
        <v>5</v>
      </c>
      <c r="P280" s="1" t="s">
        <v>6</v>
      </c>
      <c r="Q280" s="1" t="s">
        <v>7</v>
      </c>
      <c r="R280" s="1" t="s">
        <v>16</v>
      </c>
    </row>
    <row r="281" spans="7:19" x14ac:dyDescent="0.25">
      <c r="I281" s="1" t="s">
        <v>54</v>
      </c>
      <c r="J281" s="1">
        <v>510</v>
      </c>
      <c r="K281" s="125">
        <v>1580</v>
      </c>
      <c r="L281" s="125">
        <v>1073</v>
      </c>
      <c r="M281" s="1">
        <v>866</v>
      </c>
      <c r="N281" s="1">
        <v>846</v>
      </c>
      <c r="O281" s="1">
        <v>63</v>
      </c>
      <c r="P281" s="1">
        <v>240</v>
      </c>
      <c r="Q281" s="5" t="s">
        <v>109</v>
      </c>
      <c r="R281" s="125">
        <v>5178</v>
      </c>
    </row>
    <row r="282" spans="7:19" x14ac:dyDescent="0.25">
      <c r="I282" s="1" t="s">
        <v>55</v>
      </c>
      <c r="J282" s="125">
        <v>6046</v>
      </c>
      <c r="K282" s="1">
        <v>795</v>
      </c>
      <c r="L282" s="125">
        <v>3468</v>
      </c>
      <c r="M282" s="125">
        <v>1093</v>
      </c>
      <c r="N282" s="1">
        <v>200</v>
      </c>
      <c r="O282" s="1">
        <v>202</v>
      </c>
      <c r="P282" s="1">
        <v>72</v>
      </c>
      <c r="Q282" s="5" t="s">
        <v>109</v>
      </c>
      <c r="R282" s="125">
        <v>11876</v>
      </c>
    </row>
    <row r="283" spans="7:19" x14ac:dyDescent="0.25">
      <c r="I283" s="1" t="s">
        <v>56</v>
      </c>
      <c r="J283" s="1">
        <v>157</v>
      </c>
      <c r="K283" s="5" t="s">
        <v>109</v>
      </c>
      <c r="L283" s="1">
        <v>510</v>
      </c>
      <c r="M283" s="1">
        <v>273</v>
      </c>
      <c r="N283" s="1">
        <v>83</v>
      </c>
      <c r="O283" s="1">
        <v>88</v>
      </c>
      <c r="P283" s="1">
        <v>10</v>
      </c>
      <c r="Q283" s="5" t="s">
        <v>109</v>
      </c>
      <c r="R283" s="125">
        <v>1121</v>
      </c>
    </row>
    <row r="284" spans="7:19" x14ac:dyDescent="0.25">
      <c r="I284" s="1" t="s">
        <v>57</v>
      </c>
      <c r="J284" s="5" t="s">
        <v>109</v>
      </c>
      <c r="K284" s="5" t="s">
        <v>109</v>
      </c>
      <c r="L284" s="5" t="s">
        <v>109</v>
      </c>
      <c r="M284" s="5" t="s">
        <v>109</v>
      </c>
      <c r="N284" s="1">
        <v>1</v>
      </c>
      <c r="O284" s="5" t="s">
        <v>109</v>
      </c>
      <c r="P284" s="5" t="s">
        <v>109</v>
      </c>
      <c r="Q284" s="5" t="s">
        <v>109</v>
      </c>
      <c r="R284" s="1">
        <v>1</v>
      </c>
    </row>
    <row r="285" spans="7:19" x14ac:dyDescent="0.25">
      <c r="I285" s="1" t="s">
        <v>58</v>
      </c>
      <c r="J285" s="1">
        <v>360</v>
      </c>
      <c r="K285" s="1">
        <v>81</v>
      </c>
      <c r="L285" s="1">
        <v>513</v>
      </c>
      <c r="M285" s="1">
        <v>128</v>
      </c>
      <c r="N285" s="1">
        <v>6</v>
      </c>
      <c r="O285" s="1">
        <v>18</v>
      </c>
      <c r="P285" s="5" t="s">
        <v>109</v>
      </c>
      <c r="Q285" s="5" t="s">
        <v>109</v>
      </c>
      <c r="R285" s="125">
        <v>1106</v>
      </c>
    </row>
    <row r="286" spans="7:19" x14ac:dyDescent="0.25">
      <c r="I286" s="1" t="s">
        <v>59</v>
      </c>
      <c r="J286" s="5" t="s">
        <v>109</v>
      </c>
      <c r="K286" s="5" t="s">
        <v>109</v>
      </c>
      <c r="L286" s="5" t="s">
        <v>109</v>
      </c>
      <c r="M286" s="1">
        <v>7</v>
      </c>
      <c r="N286" s="1">
        <v>18</v>
      </c>
      <c r="O286" s="5" t="s">
        <v>109</v>
      </c>
      <c r="P286" s="5" t="s">
        <v>109</v>
      </c>
      <c r="Q286" s="5" t="s">
        <v>109</v>
      </c>
      <c r="R286" s="1">
        <v>25</v>
      </c>
    </row>
    <row r="287" spans="7:19" x14ac:dyDescent="0.25">
      <c r="I287" s="1" t="s">
        <v>60</v>
      </c>
      <c r="J287" s="1">
        <v>96</v>
      </c>
      <c r="K287" s="5" t="s">
        <v>109</v>
      </c>
      <c r="L287" s="1">
        <v>770</v>
      </c>
      <c r="M287" s="1">
        <v>5</v>
      </c>
      <c r="N287" s="1">
        <v>162</v>
      </c>
      <c r="O287" s="1">
        <v>202</v>
      </c>
      <c r="P287" s="5" t="s">
        <v>109</v>
      </c>
      <c r="Q287" s="5" t="s">
        <v>109</v>
      </c>
      <c r="R287" s="125">
        <v>1235</v>
      </c>
    </row>
    <row r="288" spans="7:19" x14ac:dyDescent="0.25">
      <c r="I288" s="1" t="s">
        <v>61</v>
      </c>
      <c r="J288" s="1">
        <v>28</v>
      </c>
      <c r="K288" s="1">
        <v>1</v>
      </c>
      <c r="L288" s="5" t="s">
        <v>109</v>
      </c>
      <c r="M288" s="1">
        <v>1</v>
      </c>
      <c r="N288" s="1">
        <v>10</v>
      </c>
      <c r="O288" s="5" t="s">
        <v>109</v>
      </c>
      <c r="P288" s="1">
        <v>5</v>
      </c>
      <c r="Q288" s="5" t="s">
        <v>109</v>
      </c>
      <c r="R288" s="1">
        <v>45</v>
      </c>
    </row>
    <row r="289" spans="7:18" x14ac:dyDescent="0.25">
      <c r="I289" s="1" t="s">
        <v>11</v>
      </c>
      <c r="J289" s="125">
        <v>7197</v>
      </c>
      <c r="K289" s="125">
        <v>2457</v>
      </c>
      <c r="L289" s="125">
        <v>6334</v>
      </c>
      <c r="M289" s="125">
        <v>2373</v>
      </c>
      <c r="N289" s="125">
        <v>1326</v>
      </c>
      <c r="O289" s="1">
        <v>573</v>
      </c>
      <c r="P289" s="1">
        <v>327</v>
      </c>
      <c r="Q289" s="5" t="s">
        <v>109</v>
      </c>
      <c r="R289" s="125">
        <v>20587</v>
      </c>
    </row>
    <row r="291" spans="7:18" x14ac:dyDescent="0.25">
      <c r="G291" s="1" t="s">
        <v>12</v>
      </c>
    </row>
    <row r="293" spans="7:18" x14ac:dyDescent="0.25">
      <c r="G293" s="1" t="s">
        <v>13</v>
      </c>
    </row>
    <row r="295" spans="7:18" x14ac:dyDescent="0.25">
      <c r="G295" s="1" t="s">
        <v>263</v>
      </c>
      <c r="K295" s="128"/>
      <c r="Q295" s="128"/>
    </row>
    <row r="299" spans="7:18" x14ac:dyDescent="0.25">
      <c r="G299" s="1" t="s">
        <v>359</v>
      </c>
    </row>
    <row r="301" spans="7:18" x14ac:dyDescent="0.25">
      <c r="H301" s="1" t="s">
        <v>0</v>
      </c>
      <c r="I301" s="1" t="s">
        <v>1</v>
      </c>
      <c r="J301" s="1" t="s">
        <v>2</v>
      </c>
      <c r="K301" s="1" t="s">
        <v>3</v>
      </c>
      <c r="L301" s="1" t="s">
        <v>4</v>
      </c>
      <c r="M301" s="1" t="s">
        <v>5</v>
      </c>
      <c r="N301" s="1" t="s">
        <v>6</v>
      </c>
      <c r="O301" s="1" t="s">
        <v>7</v>
      </c>
      <c r="P301" s="1" t="s">
        <v>8</v>
      </c>
    </row>
    <row r="302" spans="7:18" x14ac:dyDescent="0.25">
      <c r="G302" s="1" t="s">
        <v>54</v>
      </c>
      <c r="H302" s="1">
        <v>68.3</v>
      </c>
      <c r="I302" s="1">
        <v>173.1</v>
      </c>
      <c r="J302" s="1">
        <v>169.7</v>
      </c>
      <c r="K302" s="1">
        <v>55</v>
      </c>
      <c r="L302" s="1">
        <v>75.2</v>
      </c>
      <c r="M302" s="1">
        <v>15.3</v>
      </c>
      <c r="N302" s="1">
        <v>34.799999999999997</v>
      </c>
      <c r="O302" s="5" t="s">
        <v>109</v>
      </c>
      <c r="P302" s="1">
        <v>591.4</v>
      </c>
    </row>
    <row r="303" spans="7:18" x14ac:dyDescent="0.25">
      <c r="G303" s="1" t="s">
        <v>55</v>
      </c>
      <c r="H303" s="1">
        <v>707.2</v>
      </c>
      <c r="I303" s="1">
        <v>210.6</v>
      </c>
      <c r="J303" s="1">
        <v>972.9</v>
      </c>
      <c r="K303" s="1">
        <v>297.2</v>
      </c>
      <c r="L303" s="1">
        <v>60.4</v>
      </c>
      <c r="M303" s="1">
        <v>76.2</v>
      </c>
      <c r="N303" s="1">
        <v>24.5</v>
      </c>
      <c r="O303" s="5" t="s">
        <v>109</v>
      </c>
      <c r="P303" s="128">
        <v>2348.9</v>
      </c>
    </row>
    <row r="304" spans="7:18" x14ac:dyDescent="0.25">
      <c r="G304" s="1" t="s">
        <v>56</v>
      </c>
      <c r="H304" s="1">
        <v>32.200000000000003</v>
      </c>
      <c r="I304" s="5" t="s">
        <v>109</v>
      </c>
      <c r="J304" s="1">
        <v>101.1</v>
      </c>
      <c r="K304" s="1">
        <v>82.8</v>
      </c>
      <c r="L304" s="1">
        <v>22.7</v>
      </c>
      <c r="M304" s="1">
        <v>32</v>
      </c>
      <c r="N304" s="1">
        <v>3.2</v>
      </c>
      <c r="O304" s="5" t="s">
        <v>109</v>
      </c>
      <c r="P304" s="1">
        <v>274</v>
      </c>
    </row>
    <row r="305" spans="7:17" x14ac:dyDescent="0.25">
      <c r="G305" s="1" t="s">
        <v>57</v>
      </c>
      <c r="H305" s="5" t="s">
        <v>109</v>
      </c>
      <c r="I305" s="5" t="s">
        <v>109</v>
      </c>
      <c r="J305" s="5" t="s">
        <v>109</v>
      </c>
      <c r="K305" s="5" t="s">
        <v>109</v>
      </c>
      <c r="L305" s="5" t="s">
        <v>109</v>
      </c>
      <c r="M305" s="5" t="s">
        <v>109</v>
      </c>
      <c r="N305" s="5" t="s">
        <v>109</v>
      </c>
      <c r="O305" s="5" t="s">
        <v>109</v>
      </c>
      <c r="P305" s="5" t="s">
        <v>109</v>
      </c>
    </row>
    <row r="306" spans="7:17" x14ac:dyDescent="0.25">
      <c r="G306" s="1" t="s">
        <v>58</v>
      </c>
      <c r="H306" s="1">
        <v>47.3</v>
      </c>
      <c r="I306" s="1">
        <v>25.9</v>
      </c>
      <c r="J306" s="1">
        <v>63.7</v>
      </c>
      <c r="K306" s="1">
        <v>29.3</v>
      </c>
      <c r="L306" s="1">
        <v>1.8</v>
      </c>
      <c r="M306" s="1">
        <v>3.8</v>
      </c>
      <c r="N306" s="5" t="s">
        <v>109</v>
      </c>
      <c r="O306" s="5" t="s">
        <v>109</v>
      </c>
      <c r="P306" s="1">
        <v>171.7</v>
      </c>
    </row>
    <row r="307" spans="7:17" x14ac:dyDescent="0.25">
      <c r="G307" s="1" t="s">
        <v>60</v>
      </c>
      <c r="H307" s="1">
        <v>28.2</v>
      </c>
      <c r="I307" s="5" t="s">
        <v>109</v>
      </c>
      <c r="J307" s="1">
        <v>251</v>
      </c>
      <c r="K307" s="1">
        <v>0.8</v>
      </c>
      <c r="L307" s="1">
        <v>47.4</v>
      </c>
      <c r="M307" s="1">
        <v>61.4</v>
      </c>
      <c r="N307" s="5" t="s">
        <v>109</v>
      </c>
      <c r="O307" s="5" t="s">
        <v>109</v>
      </c>
      <c r="P307" s="1">
        <v>388.7</v>
      </c>
    </row>
    <row r="308" spans="7:17" x14ac:dyDescent="0.25">
      <c r="G308" s="1" t="s">
        <v>59</v>
      </c>
      <c r="H308" s="5" t="s">
        <v>109</v>
      </c>
      <c r="I308" s="5" t="s">
        <v>109</v>
      </c>
      <c r="J308" s="5" t="s">
        <v>109</v>
      </c>
      <c r="K308" s="1">
        <v>2.1</v>
      </c>
      <c r="L308" s="1">
        <v>5</v>
      </c>
      <c r="M308" s="5" t="s">
        <v>109</v>
      </c>
      <c r="N308" s="5" t="s">
        <v>109</v>
      </c>
      <c r="O308" s="5" t="s">
        <v>109</v>
      </c>
      <c r="P308" s="1">
        <v>7</v>
      </c>
      <c r="Q308" s="128"/>
    </row>
    <row r="309" spans="7:17" x14ac:dyDescent="0.25">
      <c r="G309" s="1" t="s">
        <v>61</v>
      </c>
      <c r="H309" s="1">
        <v>6.7</v>
      </c>
      <c r="I309" s="128">
        <v>0.5</v>
      </c>
      <c r="J309" s="5" t="s">
        <v>109</v>
      </c>
      <c r="K309" s="5" t="s">
        <v>109</v>
      </c>
      <c r="L309" s="1">
        <v>2.4</v>
      </c>
      <c r="M309" s="5" t="s">
        <v>109</v>
      </c>
      <c r="N309" s="1">
        <v>0.2</v>
      </c>
      <c r="O309" s="5" t="s">
        <v>109</v>
      </c>
      <c r="P309" s="1">
        <v>9.8000000000000007</v>
      </c>
      <c r="Q309" s="128"/>
    </row>
    <row r="310" spans="7:17" x14ac:dyDescent="0.25">
      <c r="G310" s="1" t="s">
        <v>62</v>
      </c>
      <c r="H310" s="1">
        <v>808.9</v>
      </c>
      <c r="I310" s="1">
        <v>419.4</v>
      </c>
      <c r="J310" s="128">
        <v>1286</v>
      </c>
      <c r="K310" s="1">
        <v>444.9</v>
      </c>
      <c r="L310" s="1">
        <v>203.4</v>
      </c>
      <c r="M310" s="1">
        <v>147.19999999999999</v>
      </c>
      <c r="N310" s="1">
        <v>70.900000000000006</v>
      </c>
      <c r="O310" s="5" t="s">
        <v>109</v>
      </c>
      <c r="P310" s="128">
        <v>3380.7</v>
      </c>
      <c r="Q310" s="128"/>
    </row>
    <row r="312" spans="7:17" x14ac:dyDescent="0.25">
      <c r="G312" s="1" t="s">
        <v>12</v>
      </c>
    </row>
    <row r="313" spans="7:17" x14ac:dyDescent="0.25">
      <c r="K313" s="128"/>
      <c r="Q313" s="128"/>
    </row>
    <row r="314" spans="7:17" x14ac:dyDescent="0.25">
      <c r="G314" s="1" t="s">
        <v>13</v>
      </c>
    </row>
    <row r="316" spans="7:17" x14ac:dyDescent="0.25">
      <c r="G316" s="1" t="s">
        <v>263</v>
      </c>
      <c r="I316" s="128"/>
      <c r="K316" s="128"/>
      <c r="L316" s="128"/>
      <c r="Q316" s="128"/>
    </row>
    <row r="320" spans="7:17" x14ac:dyDescent="0.25">
      <c r="G320" s="1" t="s">
        <v>360</v>
      </c>
    </row>
    <row r="322" spans="7:16" x14ac:dyDescent="0.25">
      <c r="H322" s="1" t="s">
        <v>0</v>
      </c>
      <c r="I322" s="1" t="s">
        <v>1</v>
      </c>
      <c r="J322" s="1" t="s">
        <v>2</v>
      </c>
      <c r="K322" s="1" t="s">
        <v>3</v>
      </c>
      <c r="L322" s="1" t="s">
        <v>4</v>
      </c>
      <c r="M322" s="1" t="s">
        <v>5</v>
      </c>
      <c r="N322" s="1" t="s">
        <v>6</v>
      </c>
      <c r="O322" s="1" t="s">
        <v>7</v>
      </c>
      <c r="P322" s="1" t="s">
        <v>8</v>
      </c>
    </row>
    <row r="323" spans="7:16" x14ac:dyDescent="0.25">
      <c r="G323" s="1" t="s">
        <v>54</v>
      </c>
      <c r="H323" s="1">
        <v>372</v>
      </c>
      <c r="I323" s="1">
        <v>728</v>
      </c>
      <c r="J323" s="1">
        <v>722</v>
      </c>
      <c r="K323" s="1">
        <v>381</v>
      </c>
      <c r="L323" s="1">
        <v>316</v>
      </c>
      <c r="M323" s="1">
        <v>54</v>
      </c>
      <c r="N323" s="1">
        <v>124</v>
      </c>
      <c r="O323" s="1">
        <v>780</v>
      </c>
      <c r="P323" s="128">
        <v>3477</v>
      </c>
    </row>
    <row r="324" spans="7:16" x14ac:dyDescent="0.25">
      <c r="G324" s="1" t="s">
        <v>55</v>
      </c>
      <c r="H324" s="128">
        <v>1508</v>
      </c>
      <c r="I324" s="1">
        <v>500</v>
      </c>
      <c r="J324" s="128">
        <v>1998</v>
      </c>
      <c r="K324" s="1">
        <v>787</v>
      </c>
      <c r="L324" s="1">
        <v>163</v>
      </c>
      <c r="M324" s="1">
        <v>162</v>
      </c>
      <c r="N324" s="1">
        <v>54</v>
      </c>
      <c r="O324" s="1">
        <v>465</v>
      </c>
      <c r="P324" s="128">
        <v>5637</v>
      </c>
    </row>
    <row r="325" spans="7:16" x14ac:dyDescent="0.25">
      <c r="G325" s="1" t="s">
        <v>56</v>
      </c>
      <c r="H325" s="1">
        <v>80</v>
      </c>
      <c r="I325" s="5" t="s">
        <v>109</v>
      </c>
      <c r="J325" s="1">
        <v>343</v>
      </c>
      <c r="K325" s="1">
        <v>209</v>
      </c>
      <c r="L325" s="1">
        <v>70</v>
      </c>
      <c r="M325" s="1">
        <v>67</v>
      </c>
      <c r="N325" s="1">
        <v>9</v>
      </c>
      <c r="O325" s="1">
        <v>251</v>
      </c>
      <c r="P325" s="128">
        <v>1029</v>
      </c>
    </row>
    <row r="326" spans="7:16" x14ac:dyDescent="0.25">
      <c r="G326" s="1" t="s">
        <v>57</v>
      </c>
      <c r="H326" s="5" t="s">
        <v>109</v>
      </c>
      <c r="I326" s="5" t="s">
        <v>109</v>
      </c>
      <c r="J326" s="5" t="s">
        <v>109</v>
      </c>
      <c r="K326" s="5" t="s">
        <v>109</v>
      </c>
      <c r="L326" s="1">
        <v>1</v>
      </c>
      <c r="M326" s="5" t="s">
        <v>109</v>
      </c>
      <c r="N326" s="5" t="s">
        <v>109</v>
      </c>
      <c r="O326" s="5" t="s">
        <v>109</v>
      </c>
      <c r="P326" s="1">
        <v>1</v>
      </c>
    </row>
    <row r="327" spans="7:16" x14ac:dyDescent="0.25">
      <c r="G327" s="1" t="s">
        <v>58</v>
      </c>
      <c r="H327" s="1">
        <v>167</v>
      </c>
      <c r="I327" s="1">
        <v>75</v>
      </c>
      <c r="J327" s="1">
        <v>280</v>
      </c>
      <c r="K327" s="1">
        <v>102</v>
      </c>
      <c r="L327" s="1">
        <v>3</v>
      </c>
      <c r="M327" s="1">
        <v>15</v>
      </c>
      <c r="N327" s="5" t="s">
        <v>109</v>
      </c>
      <c r="O327" s="5" t="s">
        <v>109</v>
      </c>
      <c r="P327" s="1">
        <v>642</v>
      </c>
    </row>
    <row r="328" spans="7:16" x14ac:dyDescent="0.25">
      <c r="G328" s="1" t="s">
        <v>60</v>
      </c>
      <c r="H328" s="1">
        <v>139</v>
      </c>
      <c r="I328" s="5" t="s">
        <v>109</v>
      </c>
      <c r="J328" s="128">
        <v>1096</v>
      </c>
      <c r="K328" s="1">
        <v>7</v>
      </c>
      <c r="L328" s="1">
        <v>222</v>
      </c>
      <c r="M328" s="1">
        <v>240</v>
      </c>
      <c r="N328" s="5" t="s">
        <v>109</v>
      </c>
      <c r="O328" s="5" t="s">
        <v>109</v>
      </c>
      <c r="P328" s="128">
        <v>1704</v>
      </c>
    </row>
    <row r="329" spans="7:16" x14ac:dyDescent="0.25">
      <c r="G329" s="1" t="s">
        <v>59</v>
      </c>
      <c r="H329" s="5" t="s">
        <v>109</v>
      </c>
      <c r="I329" s="5" t="s">
        <v>109</v>
      </c>
      <c r="J329" s="5" t="s">
        <v>109</v>
      </c>
      <c r="K329" s="1">
        <v>7</v>
      </c>
      <c r="L329" s="1">
        <v>16</v>
      </c>
      <c r="M329" s="5" t="s">
        <v>109</v>
      </c>
      <c r="N329" s="5" t="s">
        <v>109</v>
      </c>
      <c r="O329" s="5" t="s">
        <v>109</v>
      </c>
      <c r="P329" s="1">
        <v>23</v>
      </c>
    </row>
    <row r="330" spans="7:16" x14ac:dyDescent="0.25">
      <c r="G330" s="1" t="s">
        <v>61</v>
      </c>
      <c r="H330" s="1">
        <v>16</v>
      </c>
      <c r="I330" s="1">
        <v>1</v>
      </c>
      <c r="J330" s="5" t="s">
        <v>109</v>
      </c>
      <c r="K330" s="1">
        <v>1</v>
      </c>
      <c r="L330" s="1">
        <v>5</v>
      </c>
      <c r="M330" s="5" t="s">
        <v>109</v>
      </c>
      <c r="N330" s="1">
        <v>2</v>
      </c>
      <c r="O330" s="1">
        <v>302</v>
      </c>
      <c r="P330" s="1">
        <v>327</v>
      </c>
    </row>
    <row r="331" spans="7:16" x14ac:dyDescent="0.25">
      <c r="G331" s="1" t="s">
        <v>62</v>
      </c>
      <c r="H331" s="128">
        <v>1741</v>
      </c>
      <c r="I331" s="1">
        <v>999</v>
      </c>
      <c r="J331" s="128">
        <v>2449</v>
      </c>
      <c r="K331" s="128">
        <v>1177</v>
      </c>
      <c r="L331" s="1">
        <v>522</v>
      </c>
      <c r="M331" s="1">
        <v>257</v>
      </c>
      <c r="N331" s="1">
        <v>154</v>
      </c>
      <c r="O331" s="1">
        <v>995</v>
      </c>
      <c r="P331" s="128">
        <v>8294</v>
      </c>
    </row>
    <row r="333" spans="7:16" x14ac:dyDescent="0.25">
      <c r="G333" s="1" t="s">
        <v>12</v>
      </c>
    </row>
    <row r="335" spans="7:16" x14ac:dyDescent="0.25">
      <c r="G335" s="1" t="s">
        <v>13</v>
      </c>
    </row>
    <row r="337" spans="7:7" x14ac:dyDescent="0.25">
      <c r="G337" s="1" t="s">
        <v>263</v>
      </c>
    </row>
  </sheetData>
  <mergeCells count="6">
    <mergeCell ref="B24:J24"/>
    <mergeCell ref="B14:J14"/>
    <mergeCell ref="B4:J4"/>
    <mergeCell ref="A1:L1"/>
    <mergeCell ref="L14:T14"/>
    <mergeCell ref="L24:T24"/>
  </mergeCells>
  <pageMargins left="0.08" right="0.08" top="1" bottom="1" header="0.5" footer="0.5"/>
  <pageSetup orientation="landscape" blackAndWhite="1"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N28"/>
  <sheetViews>
    <sheetView zoomScaleNormal="100" workbookViewId="0">
      <selection sqref="A1:E1"/>
    </sheetView>
  </sheetViews>
  <sheetFormatPr defaultColWidth="9.140625" defaultRowHeight="15" x14ac:dyDescent="0.25"/>
  <cols>
    <col min="1" max="5" width="19.5703125" style="1" customWidth="1"/>
    <col min="6" max="16384" width="9.140625" style="1"/>
  </cols>
  <sheetData>
    <row r="1" spans="1:14" ht="27.75" customHeight="1" x14ac:dyDescent="0.25">
      <c r="A1" s="189" t="s">
        <v>326</v>
      </c>
      <c r="B1" s="189"/>
      <c r="C1" s="189"/>
      <c r="D1" s="189"/>
      <c r="E1" s="189"/>
    </row>
    <row r="2" spans="1:14" ht="3.75" customHeight="1" x14ac:dyDescent="0.25">
      <c r="A2" s="2"/>
    </row>
    <row r="3" spans="1:14" x14ac:dyDescent="0.25">
      <c r="A3" s="31" t="s">
        <v>127</v>
      </c>
      <c r="B3" s="3" t="s">
        <v>18</v>
      </c>
      <c r="C3" s="3" t="s">
        <v>19</v>
      </c>
      <c r="D3" s="3" t="s">
        <v>20</v>
      </c>
      <c r="E3" s="10" t="s">
        <v>11</v>
      </c>
    </row>
    <row r="4" spans="1:14" x14ac:dyDescent="0.25">
      <c r="A4" s="4">
        <v>1</v>
      </c>
      <c r="B4" s="8">
        <v>1945</v>
      </c>
      <c r="C4" s="8">
        <v>1829</v>
      </c>
      <c r="D4" s="8">
        <v>50</v>
      </c>
      <c r="E4" s="8">
        <v>3824</v>
      </c>
      <c r="F4" s="75"/>
      <c r="G4" s="8"/>
      <c r="H4" s="8"/>
      <c r="I4" s="8"/>
      <c r="J4" s="8"/>
      <c r="L4" s="120"/>
      <c r="N4" s="120"/>
    </row>
    <row r="5" spans="1:14" x14ac:dyDescent="0.25">
      <c r="A5" s="4">
        <v>2</v>
      </c>
      <c r="B5" s="8">
        <v>511</v>
      </c>
      <c r="C5" s="8">
        <v>321</v>
      </c>
      <c r="D5" s="8">
        <v>3</v>
      </c>
      <c r="E5" s="8">
        <v>835</v>
      </c>
      <c r="G5" s="8"/>
      <c r="H5" s="8"/>
      <c r="I5" s="8"/>
      <c r="J5" s="8"/>
    </row>
    <row r="6" spans="1:14" x14ac:dyDescent="0.25">
      <c r="A6" s="4">
        <v>3</v>
      </c>
      <c r="B6" s="8">
        <v>199</v>
      </c>
      <c r="C6" s="8">
        <v>116</v>
      </c>
      <c r="D6" s="8">
        <v>1</v>
      </c>
      <c r="E6" s="8">
        <v>316</v>
      </c>
      <c r="G6" s="8"/>
      <c r="H6" s="8"/>
      <c r="I6" s="8"/>
      <c r="J6" s="8"/>
    </row>
    <row r="7" spans="1:14" x14ac:dyDescent="0.25">
      <c r="A7" s="4">
        <v>4</v>
      </c>
      <c r="B7" s="8">
        <v>80</v>
      </c>
      <c r="C7" s="8">
        <v>68</v>
      </c>
      <c r="D7" s="74" t="s">
        <v>109</v>
      </c>
      <c r="E7" s="8">
        <v>148</v>
      </c>
      <c r="G7" s="8"/>
      <c r="H7" s="8"/>
      <c r="I7" s="8"/>
      <c r="J7" s="8"/>
    </row>
    <row r="8" spans="1:14" x14ac:dyDescent="0.25">
      <c r="A8" s="4">
        <v>5</v>
      </c>
      <c r="B8" s="8">
        <v>47</v>
      </c>
      <c r="C8" s="8">
        <v>27</v>
      </c>
      <c r="D8" s="74" t="s">
        <v>109</v>
      </c>
      <c r="E8" s="8">
        <v>74</v>
      </c>
      <c r="G8" s="8"/>
      <c r="H8" s="8"/>
      <c r="I8" s="8"/>
      <c r="J8" s="8"/>
    </row>
    <row r="9" spans="1:14" x14ac:dyDescent="0.25">
      <c r="A9" s="4" t="s">
        <v>63</v>
      </c>
      <c r="B9" s="8">
        <v>30</v>
      </c>
      <c r="C9" s="8">
        <v>32</v>
      </c>
      <c r="D9" s="74" t="s">
        <v>109</v>
      </c>
      <c r="E9" s="8">
        <v>62</v>
      </c>
      <c r="G9" s="8"/>
      <c r="H9" s="8"/>
      <c r="I9" s="8"/>
      <c r="J9" s="8"/>
    </row>
    <row r="10" spans="1:14" x14ac:dyDescent="0.25">
      <c r="A10" s="9" t="s">
        <v>11</v>
      </c>
      <c r="B10" s="94">
        <v>2812</v>
      </c>
      <c r="C10" s="94">
        <v>2393</v>
      </c>
      <c r="D10" s="94">
        <v>54</v>
      </c>
      <c r="E10" s="94">
        <v>5259</v>
      </c>
      <c r="F10" s="75"/>
      <c r="G10" s="8"/>
      <c r="H10" s="8"/>
      <c r="I10" s="8"/>
      <c r="J10" s="8"/>
    </row>
    <row r="11" spans="1:14" ht="3.75" customHeight="1" x14ac:dyDescent="0.25">
      <c r="A11" s="46"/>
      <c r="B11" s="46" t="s">
        <v>189</v>
      </c>
      <c r="C11" s="46" t="s">
        <v>189</v>
      </c>
      <c r="D11" s="46" t="s">
        <v>189</v>
      </c>
      <c r="E11" s="46" t="s">
        <v>189</v>
      </c>
    </row>
    <row r="12" spans="1:14" ht="12.75" customHeight="1" x14ac:dyDescent="0.25">
      <c r="A12" s="6" t="s">
        <v>12</v>
      </c>
    </row>
    <row r="13" spans="1:14" ht="12" customHeight="1" x14ac:dyDescent="0.25">
      <c r="A13" s="6" t="s">
        <v>23</v>
      </c>
    </row>
    <row r="14" spans="1:14" ht="13.5" customHeight="1" x14ac:dyDescent="0.25">
      <c r="A14" s="6" t="s">
        <v>327</v>
      </c>
    </row>
    <row r="15" spans="1:14" s="6" customFormat="1" ht="11.1" customHeight="1" x14ac:dyDescent="0.15">
      <c r="A15" s="6" t="s">
        <v>263</v>
      </c>
    </row>
    <row r="16" spans="1:14" ht="12" customHeight="1" x14ac:dyDescent="0.25">
      <c r="A16" s="2"/>
    </row>
    <row r="21" spans="2:9" x14ac:dyDescent="0.25">
      <c r="B21" s="120"/>
      <c r="C21" s="120"/>
      <c r="D21" s="120"/>
      <c r="E21" s="120"/>
    </row>
    <row r="22" spans="2:9" x14ac:dyDescent="0.25">
      <c r="F22" s="125"/>
      <c r="G22" s="125"/>
      <c r="I22" s="125"/>
    </row>
    <row r="28" spans="2:9" x14ac:dyDescent="0.25">
      <c r="F28" s="125"/>
      <c r="G28" s="125"/>
      <c r="I28" s="125"/>
    </row>
  </sheetData>
  <mergeCells count="1">
    <mergeCell ref="A1:E1"/>
  </mergeCells>
  <pageMargins left="0.08" right="0.08" top="1" bottom="1" header="0.5" footer="0.5"/>
  <pageSetup orientation="landscape" blackAndWhite="1"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T167"/>
  <sheetViews>
    <sheetView zoomScaleNormal="100" workbookViewId="0">
      <selection activeCell="H32" sqref="H32"/>
    </sheetView>
  </sheetViews>
  <sheetFormatPr defaultColWidth="9.140625" defaultRowHeight="15" x14ac:dyDescent="0.25"/>
  <cols>
    <col min="1" max="1" width="18.7109375" style="1" customWidth="1"/>
    <col min="2" max="12" width="11.42578125" style="1" bestFit="1" customWidth="1"/>
    <col min="13" max="16384" width="9.140625" style="1"/>
  </cols>
  <sheetData>
    <row r="1" spans="1:20" ht="30" customHeight="1" x14ac:dyDescent="0.25">
      <c r="A1" s="189" t="s">
        <v>249</v>
      </c>
      <c r="B1" s="206"/>
      <c r="C1" s="206"/>
      <c r="D1" s="206"/>
      <c r="E1" s="206"/>
      <c r="F1" s="206"/>
      <c r="G1" s="206"/>
      <c r="H1" s="206"/>
      <c r="I1" s="206"/>
      <c r="J1" s="206"/>
      <c r="K1" s="32"/>
      <c r="L1" s="32"/>
    </row>
    <row r="2" spans="1:20" ht="1.5" customHeight="1" x14ac:dyDescent="0.25">
      <c r="A2" s="2"/>
    </row>
    <row r="3" spans="1:20" x14ac:dyDescent="0.25">
      <c r="A3" s="49" t="s">
        <v>120</v>
      </c>
      <c r="B3" s="3" t="s">
        <v>0</v>
      </c>
      <c r="C3" s="3" t="s">
        <v>1</v>
      </c>
      <c r="D3" s="3" t="s">
        <v>2</v>
      </c>
      <c r="E3" s="3" t="s">
        <v>3</v>
      </c>
      <c r="F3" s="3" t="s">
        <v>4</v>
      </c>
      <c r="G3" s="3" t="s">
        <v>5</v>
      </c>
      <c r="H3" s="3" t="s">
        <v>6</v>
      </c>
      <c r="I3" s="3" t="s">
        <v>7</v>
      </c>
      <c r="J3" s="50" t="s">
        <v>8</v>
      </c>
    </row>
    <row r="4" spans="1:20" x14ac:dyDescent="0.25">
      <c r="A4" s="45"/>
      <c r="B4" s="212" t="s">
        <v>128</v>
      </c>
      <c r="C4" s="212"/>
      <c r="D4" s="212"/>
      <c r="E4" s="212"/>
      <c r="F4" s="212"/>
      <c r="G4" s="212"/>
      <c r="H4" s="212"/>
      <c r="I4" s="212"/>
      <c r="J4" s="212"/>
    </row>
    <row r="5" spans="1:20" ht="15" customHeight="1" x14ac:dyDescent="0.25">
      <c r="A5" s="4" t="s">
        <v>18</v>
      </c>
      <c r="B5" s="13">
        <v>72</v>
      </c>
      <c r="C5" s="13">
        <v>53</v>
      </c>
      <c r="D5" s="13">
        <v>63</v>
      </c>
      <c r="E5" s="13">
        <v>46</v>
      </c>
      <c r="F5" s="13">
        <v>46</v>
      </c>
      <c r="G5" s="13">
        <v>87</v>
      </c>
      <c r="H5" s="13">
        <v>42</v>
      </c>
      <c r="I5" s="13" t="s">
        <v>114</v>
      </c>
      <c r="J5" s="13">
        <v>59</v>
      </c>
      <c r="L5" s="13"/>
      <c r="M5" s="13"/>
      <c r="N5" s="13"/>
      <c r="O5" s="13"/>
      <c r="P5" s="13"/>
      <c r="Q5" s="13"/>
      <c r="R5" s="13"/>
      <c r="S5" s="13"/>
      <c r="T5" s="13"/>
    </row>
    <row r="6" spans="1:20" ht="15" customHeight="1" x14ac:dyDescent="0.25">
      <c r="A6" s="4" t="s">
        <v>19</v>
      </c>
      <c r="B6" s="13">
        <v>85</v>
      </c>
      <c r="C6" s="13">
        <v>60</v>
      </c>
      <c r="D6" s="13">
        <v>76</v>
      </c>
      <c r="E6" s="13">
        <v>53</v>
      </c>
      <c r="F6" s="13">
        <v>50</v>
      </c>
      <c r="G6" s="13">
        <v>89</v>
      </c>
      <c r="H6" s="13">
        <v>39</v>
      </c>
      <c r="I6" s="13" t="s">
        <v>114</v>
      </c>
      <c r="J6" s="13">
        <v>66</v>
      </c>
      <c r="L6" s="13"/>
      <c r="M6" s="13"/>
      <c r="N6" s="13"/>
      <c r="O6" s="13"/>
      <c r="P6" s="13"/>
      <c r="Q6" s="13"/>
      <c r="R6" s="13"/>
      <c r="S6" s="13"/>
      <c r="T6" s="13"/>
    </row>
    <row r="7" spans="1:20" ht="15" customHeight="1" x14ac:dyDescent="0.25">
      <c r="A7" s="4" t="s">
        <v>20</v>
      </c>
      <c r="B7" s="13">
        <v>92</v>
      </c>
      <c r="C7" s="13">
        <v>23</v>
      </c>
      <c r="D7" s="13">
        <v>118</v>
      </c>
      <c r="E7" s="37" t="s">
        <v>109</v>
      </c>
      <c r="F7" s="13">
        <v>182</v>
      </c>
      <c r="G7" s="13">
        <v>43</v>
      </c>
      <c r="H7" s="13" t="s">
        <v>109</v>
      </c>
      <c r="I7" s="13" t="s">
        <v>114</v>
      </c>
      <c r="J7" s="13">
        <v>88</v>
      </c>
      <c r="L7" s="13"/>
      <c r="M7" s="13"/>
      <c r="N7" s="13"/>
      <c r="O7" s="13"/>
      <c r="P7" s="13"/>
      <c r="Q7" s="13"/>
      <c r="R7" s="13"/>
      <c r="S7" s="13"/>
      <c r="T7" s="13"/>
    </row>
    <row r="8" spans="1:20" ht="15" customHeight="1" x14ac:dyDescent="0.25">
      <c r="A8" s="48" t="s">
        <v>11</v>
      </c>
      <c r="B8" s="101">
        <v>77</v>
      </c>
      <c r="C8" s="101">
        <v>59</v>
      </c>
      <c r="D8" s="101">
        <v>67</v>
      </c>
      <c r="E8" s="101">
        <v>48</v>
      </c>
      <c r="F8" s="101">
        <v>48</v>
      </c>
      <c r="G8" s="101">
        <v>87</v>
      </c>
      <c r="H8" s="101">
        <v>40</v>
      </c>
      <c r="I8" s="13" t="s">
        <v>114</v>
      </c>
      <c r="J8" s="101">
        <v>62</v>
      </c>
      <c r="L8" s="13"/>
      <c r="M8" s="13"/>
      <c r="N8" s="13"/>
      <c r="O8" s="13"/>
      <c r="P8" s="13"/>
      <c r="Q8" s="13"/>
      <c r="R8" s="13"/>
      <c r="S8" s="13"/>
      <c r="T8" s="13"/>
    </row>
    <row r="9" spans="1:20" ht="15" customHeight="1" x14ac:dyDescent="0.25">
      <c r="B9" s="212" t="s">
        <v>129</v>
      </c>
      <c r="C9" s="212"/>
      <c r="D9" s="212"/>
      <c r="E9" s="212"/>
      <c r="F9" s="212"/>
      <c r="G9" s="212"/>
      <c r="H9" s="212"/>
      <c r="I9" s="212"/>
      <c r="J9" s="212"/>
      <c r="L9" s="213"/>
      <c r="M9" s="213"/>
      <c r="N9" s="213"/>
      <c r="O9" s="213"/>
      <c r="P9" s="213"/>
      <c r="Q9" s="213"/>
      <c r="R9" s="213"/>
      <c r="S9" s="213"/>
      <c r="T9" s="213"/>
    </row>
    <row r="10" spans="1:20" ht="15" customHeight="1" x14ac:dyDescent="0.25">
      <c r="A10" s="4" t="s">
        <v>18</v>
      </c>
      <c r="B10" s="13">
        <v>104</v>
      </c>
      <c r="C10" s="13">
        <v>75</v>
      </c>
      <c r="D10" s="13">
        <v>93</v>
      </c>
      <c r="E10" s="13">
        <v>71</v>
      </c>
      <c r="F10" s="13">
        <v>67</v>
      </c>
      <c r="G10" s="13">
        <v>165</v>
      </c>
      <c r="H10" s="13">
        <v>49</v>
      </c>
      <c r="I10" s="13" t="s">
        <v>114</v>
      </c>
      <c r="J10" s="13">
        <v>91</v>
      </c>
      <c r="L10" s="13"/>
      <c r="M10" s="13"/>
      <c r="N10" s="13"/>
      <c r="O10" s="13"/>
      <c r="P10" s="13"/>
      <c r="Q10" s="13"/>
      <c r="R10" s="13"/>
      <c r="S10" s="13"/>
      <c r="T10" s="13"/>
    </row>
    <row r="11" spans="1:20" ht="15" customHeight="1" x14ac:dyDescent="0.25">
      <c r="A11" s="4" t="s">
        <v>19</v>
      </c>
      <c r="B11" s="13">
        <v>145</v>
      </c>
      <c r="C11" s="13">
        <v>81</v>
      </c>
      <c r="D11" s="13">
        <v>119</v>
      </c>
      <c r="E11" s="13">
        <v>74</v>
      </c>
      <c r="F11" s="13">
        <v>71</v>
      </c>
      <c r="G11" s="13">
        <v>182</v>
      </c>
      <c r="H11" s="13">
        <v>50</v>
      </c>
      <c r="I11" s="13" t="s">
        <v>114</v>
      </c>
      <c r="J11" s="13">
        <v>96</v>
      </c>
      <c r="L11" s="13"/>
      <c r="M11" s="13"/>
      <c r="N11" s="13"/>
      <c r="O11" s="13"/>
      <c r="P11" s="13"/>
      <c r="Q11" s="13"/>
      <c r="R11" s="13"/>
      <c r="S11" s="13"/>
      <c r="T11" s="13"/>
    </row>
    <row r="12" spans="1:20" ht="15" customHeight="1" x14ac:dyDescent="0.25">
      <c r="A12" s="4" t="s">
        <v>20</v>
      </c>
      <c r="B12" s="13">
        <v>113</v>
      </c>
      <c r="C12" s="13">
        <v>23</v>
      </c>
      <c r="D12" s="13">
        <v>155</v>
      </c>
      <c r="E12" s="37" t="s">
        <v>109</v>
      </c>
      <c r="F12" s="13">
        <v>182</v>
      </c>
      <c r="G12" s="13">
        <v>48</v>
      </c>
      <c r="H12" s="13" t="s">
        <v>109</v>
      </c>
      <c r="I12" s="13" t="s">
        <v>114</v>
      </c>
      <c r="J12" s="13">
        <v>113</v>
      </c>
      <c r="L12" s="13"/>
      <c r="M12" s="13"/>
      <c r="N12" s="13"/>
      <c r="O12" s="13"/>
      <c r="P12" s="13"/>
      <c r="Q12" s="13"/>
      <c r="R12" s="13"/>
      <c r="S12" s="13"/>
      <c r="T12" s="13"/>
    </row>
    <row r="13" spans="1:20" ht="15" customHeight="1" x14ac:dyDescent="0.25">
      <c r="A13" s="48" t="s">
        <v>11</v>
      </c>
      <c r="B13" s="101">
        <v>122</v>
      </c>
      <c r="C13" s="101">
        <v>78</v>
      </c>
      <c r="D13" s="101">
        <v>100</v>
      </c>
      <c r="E13" s="101">
        <v>71</v>
      </c>
      <c r="F13" s="101">
        <v>69</v>
      </c>
      <c r="G13" s="101">
        <v>168</v>
      </c>
      <c r="H13" s="101">
        <v>50</v>
      </c>
      <c r="I13" s="101" t="s">
        <v>114</v>
      </c>
      <c r="J13" s="101">
        <v>92</v>
      </c>
      <c r="L13" s="13"/>
      <c r="M13" s="13"/>
      <c r="N13" s="13"/>
      <c r="O13" s="13"/>
      <c r="P13" s="13"/>
      <c r="Q13" s="13"/>
      <c r="R13" s="13"/>
      <c r="S13" s="13"/>
      <c r="T13" s="13"/>
    </row>
    <row r="14" spans="1:20" ht="15" customHeight="1" x14ac:dyDescent="0.25">
      <c r="B14" s="213" t="s">
        <v>130</v>
      </c>
      <c r="C14" s="213"/>
      <c r="D14" s="213"/>
      <c r="E14" s="213"/>
      <c r="F14" s="213"/>
      <c r="G14" s="213"/>
      <c r="H14" s="213"/>
      <c r="I14" s="213"/>
      <c r="J14" s="213"/>
      <c r="L14" s="213"/>
      <c r="M14" s="213"/>
      <c r="N14" s="213"/>
      <c r="O14" s="213"/>
      <c r="P14" s="213"/>
      <c r="Q14" s="213"/>
      <c r="R14" s="213"/>
      <c r="S14" s="213"/>
      <c r="T14" s="213"/>
    </row>
    <row r="15" spans="1:20" ht="15" customHeight="1" x14ac:dyDescent="0.25">
      <c r="A15" s="4" t="s">
        <v>18</v>
      </c>
      <c r="B15" s="121">
        <v>1025</v>
      </c>
      <c r="C15" s="121">
        <v>197</v>
      </c>
      <c r="D15" s="121">
        <v>1670</v>
      </c>
      <c r="E15" s="121">
        <v>935</v>
      </c>
      <c r="F15" s="121">
        <v>379</v>
      </c>
      <c r="G15" s="121">
        <v>60</v>
      </c>
      <c r="H15" s="121">
        <v>66</v>
      </c>
      <c r="I15" s="121" t="s">
        <v>114</v>
      </c>
      <c r="J15" s="121">
        <v>4332</v>
      </c>
      <c r="L15" s="13"/>
      <c r="M15" s="13"/>
      <c r="N15" s="13"/>
      <c r="O15" s="13"/>
      <c r="P15" s="13"/>
      <c r="Q15" s="13"/>
      <c r="R15" s="13"/>
      <c r="S15" s="13"/>
      <c r="T15" s="13"/>
    </row>
    <row r="16" spans="1:20" ht="15" customHeight="1" x14ac:dyDescent="0.25">
      <c r="A16" s="4" t="s">
        <v>19</v>
      </c>
      <c r="B16" s="121">
        <v>685</v>
      </c>
      <c r="C16" s="121">
        <v>837</v>
      </c>
      <c r="D16" s="121">
        <v>760</v>
      </c>
      <c r="E16" s="121">
        <v>653</v>
      </c>
      <c r="F16" s="121">
        <v>265</v>
      </c>
      <c r="G16" s="121">
        <v>134</v>
      </c>
      <c r="H16" s="121">
        <v>128</v>
      </c>
      <c r="I16" s="121" t="s">
        <v>114</v>
      </c>
      <c r="J16" s="121">
        <v>3462</v>
      </c>
      <c r="L16" s="13"/>
      <c r="M16" s="13"/>
      <c r="N16" s="13"/>
      <c r="O16" s="13"/>
      <c r="P16" s="13"/>
      <c r="Q16" s="13"/>
      <c r="R16" s="13"/>
      <c r="S16" s="13"/>
      <c r="T16" s="13"/>
    </row>
    <row r="17" spans="1:20" ht="15" customHeight="1" x14ac:dyDescent="0.25">
      <c r="A17" s="4" t="s">
        <v>20</v>
      </c>
      <c r="B17" s="121">
        <v>47</v>
      </c>
      <c r="C17" s="121">
        <v>3</v>
      </c>
      <c r="D17" s="121">
        <v>4</v>
      </c>
      <c r="E17" s="122" t="s">
        <v>109</v>
      </c>
      <c r="F17" s="121">
        <v>2</v>
      </c>
      <c r="G17" s="121">
        <v>3</v>
      </c>
      <c r="H17" s="121" t="s">
        <v>109</v>
      </c>
      <c r="I17" s="121" t="s">
        <v>114</v>
      </c>
      <c r="J17" s="121">
        <v>59</v>
      </c>
      <c r="L17" s="13"/>
      <c r="M17" s="13"/>
      <c r="N17" s="13"/>
      <c r="O17" s="13"/>
      <c r="P17" s="13"/>
      <c r="Q17" s="13"/>
      <c r="R17" s="13"/>
      <c r="S17" s="13"/>
      <c r="T17" s="13"/>
    </row>
    <row r="18" spans="1:20" ht="15" customHeight="1" x14ac:dyDescent="0.25">
      <c r="A18" s="48" t="s">
        <v>11</v>
      </c>
      <c r="B18" s="123">
        <v>1757</v>
      </c>
      <c r="C18" s="123">
        <v>1037</v>
      </c>
      <c r="D18" s="123">
        <v>2434</v>
      </c>
      <c r="E18" s="123">
        <v>1588</v>
      </c>
      <c r="F18" s="123">
        <v>646</v>
      </c>
      <c r="G18" s="123">
        <v>197</v>
      </c>
      <c r="H18" s="123">
        <v>194</v>
      </c>
      <c r="I18" s="123" t="s">
        <v>114</v>
      </c>
      <c r="J18" s="123">
        <v>7853</v>
      </c>
      <c r="L18" s="13"/>
      <c r="M18" s="13"/>
      <c r="N18" s="13"/>
      <c r="O18" s="13"/>
      <c r="P18" s="13"/>
      <c r="Q18" s="13"/>
      <c r="R18" s="13"/>
      <c r="S18" s="13"/>
      <c r="T18" s="13"/>
    </row>
    <row r="19" spans="1:20" ht="15" customHeight="1" x14ac:dyDescent="0.25">
      <c r="B19" s="212" t="s">
        <v>131</v>
      </c>
      <c r="C19" s="212"/>
      <c r="D19" s="212"/>
      <c r="E19" s="212"/>
      <c r="F19" s="212"/>
      <c r="G19" s="212"/>
      <c r="H19" s="212"/>
      <c r="I19" s="212"/>
      <c r="J19" s="212"/>
      <c r="L19" s="213"/>
      <c r="M19" s="213"/>
      <c r="N19" s="213"/>
      <c r="O19" s="213"/>
      <c r="P19" s="213"/>
      <c r="Q19" s="213"/>
      <c r="R19" s="213"/>
      <c r="S19" s="213"/>
      <c r="T19" s="213"/>
    </row>
    <row r="20" spans="1:20" ht="15" customHeight="1" x14ac:dyDescent="0.25">
      <c r="A20" s="47" t="s">
        <v>18</v>
      </c>
      <c r="B20" s="121">
        <v>703</v>
      </c>
      <c r="C20" s="121">
        <v>139</v>
      </c>
      <c r="D20" s="121">
        <v>1085</v>
      </c>
      <c r="E20" s="121">
        <v>577</v>
      </c>
      <c r="F20" s="121">
        <v>225</v>
      </c>
      <c r="G20" s="121">
        <v>45</v>
      </c>
      <c r="H20" s="121">
        <v>38</v>
      </c>
      <c r="I20" s="121" t="s">
        <v>114</v>
      </c>
      <c r="J20" s="121">
        <v>2812</v>
      </c>
      <c r="L20" s="121"/>
      <c r="M20" s="121"/>
      <c r="N20" s="121"/>
      <c r="O20" s="121"/>
      <c r="P20" s="121"/>
      <c r="Q20" s="121"/>
      <c r="R20" s="121"/>
      <c r="S20" s="121"/>
      <c r="T20" s="121"/>
    </row>
    <row r="21" spans="1:20" ht="15" customHeight="1" x14ac:dyDescent="0.25">
      <c r="A21" s="47" t="s">
        <v>19</v>
      </c>
      <c r="B21" s="121">
        <v>529</v>
      </c>
      <c r="C21" s="121">
        <v>581</v>
      </c>
      <c r="D21" s="121">
        <v>555</v>
      </c>
      <c r="E21" s="121">
        <v>399</v>
      </c>
      <c r="F21" s="121">
        <v>161</v>
      </c>
      <c r="G21" s="121">
        <v>96</v>
      </c>
      <c r="H21" s="121">
        <v>72</v>
      </c>
      <c r="I21" s="121" t="s">
        <v>114</v>
      </c>
      <c r="J21" s="121">
        <v>2393</v>
      </c>
      <c r="L21" s="121"/>
      <c r="M21" s="121"/>
      <c r="N21" s="121"/>
      <c r="O21" s="121"/>
      <c r="P21" s="121"/>
      <c r="Q21" s="121"/>
      <c r="R21" s="121"/>
      <c r="S21" s="121"/>
      <c r="T21" s="121"/>
    </row>
    <row r="22" spans="1:20" ht="15" customHeight="1" x14ac:dyDescent="0.25">
      <c r="A22" s="4" t="s">
        <v>20</v>
      </c>
      <c r="B22" s="121">
        <v>43</v>
      </c>
      <c r="C22" s="121">
        <v>2</v>
      </c>
      <c r="D22" s="121">
        <v>4</v>
      </c>
      <c r="E22" s="121" t="s">
        <v>109</v>
      </c>
      <c r="F22" s="121">
        <v>2</v>
      </c>
      <c r="G22" s="121">
        <v>3</v>
      </c>
      <c r="H22" s="121" t="s">
        <v>109</v>
      </c>
      <c r="I22" s="121" t="s">
        <v>114</v>
      </c>
      <c r="J22" s="121">
        <v>54</v>
      </c>
      <c r="L22" s="121"/>
      <c r="M22" s="121"/>
      <c r="N22" s="121"/>
      <c r="O22" s="122"/>
      <c r="P22" s="121"/>
      <c r="Q22" s="121"/>
      <c r="R22" s="121"/>
      <c r="S22" s="121"/>
      <c r="T22" s="121"/>
    </row>
    <row r="23" spans="1:20" ht="15" customHeight="1" x14ac:dyDescent="0.25">
      <c r="A23" s="48" t="s">
        <v>11</v>
      </c>
      <c r="B23" s="121">
        <v>1275</v>
      </c>
      <c r="C23" s="121">
        <v>722</v>
      </c>
      <c r="D23" s="121">
        <v>1644</v>
      </c>
      <c r="E23" s="121">
        <v>976</v>
      </c>
      <c r="F23" s="121">
        <v>388</v>
      </c>
      <c r="G23" s="121">
        <v>144</v>
      </c>
      <c r="H23" s="121">
        <v>110</v>
      </c>
      <c r="I23" s="121" t="s">
        <v>114</v>
      </c>
      <c r="J23" s="121">
        <v>5259</v>
      </c>
      <c r="L23" s="123"/>
      <c r="M23" s="123"/>
      <c r="N23" s="123"/>
      <c r="O23" s="123"/>
      <c r="P23" s="123"/>
      <c r="Q23" s="123"/>
      <c r="R23" s="123"/>
      <c r="S23" s="123"/>
      <c r="T23" s="123"/>
    </row>
    <row r="24" spans="1:20" ht="2.25" customHeight="1" x14ac:dyDescent="0.25">
      <c r="A24" s="2"/>
    </row>
    <row r="25" spans="1:20" ht="11.1" customHeight="1" x14ac:dyDescent="0.25">
      <c r="A25" s="195" t="s">
        <v>23</v>
      </c>
      <c r="B25" s="195"/>
      <c r="C25" s="195"/>
      <c r="D25" s="195"/>
      <c r="E25" s="195"/>
      <c r="F25" s="195"/>
      <c r="G25" s="195"/>
      <c r="H25" s="195"/>
      <c r="I25" s="195"/>
      <c r="J25" s="195"/>
      <c r="K25" s="192"/>
      <c r="L25" s="192"/>
    </row>
    <row r="26" spans="1:20" s="6" customFormat="1" ht="11.1" customHeight="1" x14ac:dyDescent="0.15">
      <c r="A26" s="6" t="s">
        <v>64</v>
      </c>
    </row>
    <row r="27" spans="1:20" s="6" customFormat="1" ht="11.1" customHeight="1" x14ac:dyDescent="0.15">
      <c r="A27" s="6" t="s">
        <v>403</v>
      </c>
    </row>
    <row r="28" spans="1:20" s="6" customFormat="1" ht="11.1" customHeight="1" x14ac:dyDescent="0.15">
      <c r="A28" s="6" t="s">
        <v>65</v>
      </c>
    </row>
    <row r="29" spans="1:20" s="6" customFormat="1" ht="11.1" customHeight="1" x14ac:dyDescent="0.15">
      <c r="A29" s="6" t="s">
        <v>338</v>
      </c>
    </row>
    <row r="30" spans="1:20" s="6" customFormat="1" ht="11.1" customHeight="1" x14ac:dyDescent="0.15">
      <c r="A30" s="6" t="s">
        <v>14</v>
      </c>
    </row>
    <row r="31" spans="1:20" s="6" customFormat="1" ht="11.1" customHeight="1" x14ac:dyDescent="0.15">
      <c r="A31" s="6" t="s">
        <v>263</v>
      </c>
    </row>
    <row r="32" spans="1:20" ht="12" customHeight="1" x14ac:dyDescent="0.25">
      <c r="A32" s="2"/>
    </row>
    <row r="33" spans="2:2" x14ac:dyDescent="0.25">
      <c r="B33" s="125"/>
    </row>
    <row r="80" spans="5:13" x14ac:dyDescent="0.25">
      <c r="E80" s="125"/>
      <c r="G80" s="125"/>
      <c r="M80" s="125"/>
    </row>
    <row r="81" spans="5:13" x14ac:dyDescent="0.25">
      <c r="M81" s="125"/>
    </row>
    <row r="83" spans="5:13" x14ac:dyDescent="0.25">
      <c r="E83" s="125"/>
      <c r="F83" s="125"/>
      <c r="G83" s="125"/>
      <c r="H83" s="125"/>
      <c r="M83" s="125"/>
    </row>
    <row r="143" spans="5:13" x14ac:dyDescent="0.25">
      <c r="E143" s="125"/>
      <c r="G143" s="125"/>
      <c r="M143" s="125"/>
    </row>
    <row r="144" spans="5:13" x14ac:dyDescent="0.25">
      <c r="M144" s="125"/>
    </row>
    <row r="146" spans="5:13" x14ac:dyDescent="0.25">
      <c r="E146" s="125"/>
      <c r="F146" s="125"/>
      <c r="G146" s="125"/>
      <c r="H146" s="125"/>
      <c r="M146" s="125"/>
    </row>
    <row r="164" spans="4:12" x14ac:dyDescent="0.25">
      <c r="F164" s="125"/>
      <c r="L164" s="125"/>
    </row>
    <row r="165" spans="4:12" x14ac:dyDescent="0.25">
      <c r="L165" s="125"/>
    </row>
    <row r="167" spans="4:12" x14ac:dyDescent="0.25">
      <c r="D167" s="125"/>
      <c r="F167" s="125"/>
      <c r="L167" s="125"/>
    </row>
  </sheetData>
  <mergeCells count="9">
    <mergeCell ref="A25:L25"/>
    <mergeCell ref="A1:J1"/>
    <mergeCell ref="B4:J4"/>
    <mergeCell ref="B9:J9"/>
    <mergeCell ref="B14:J14"/>
    <mergeCell ref="B19:J19"/>
    <mergeCell ref="L9:T9"/>
    <mergeCell ref="L14:T14"/>
    <mergeCell ref="L19:T19"/>
  </mergeCells>
  <pageMargins left="0.08" right="0.08" top="1" bottom="1" header="0.5" footer="0.5"/>
  <pageSetup orientation="landscape" blackAndWhite="1"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Z58"/>
  <sheetViews>
    <sheetView zoomScaleNormal="100" workbookViewId="0">
      <selection sqref="A1:M1"/>
    </sheetView>
  </sheetViews>
  <sheetFormatPr defaultColWidth="9.140625" defaultRowHeight="15" x14ac:dyDescent="0.25"/>
  <cols>
    <col min="1" max="1" width="11.42578125" style="1" bestFit="1" customWidth="1"/>
    <col min="2" max="2" width="17.42578125" style="1" customWidth="1"/>
    <col min="3" max="11" width="11.42578125" style="1" bestFit="1" customWidth="1"/>
    <col min="12" max="12" width="11.42578125" style="1" customWidth="1"/>
    <col min="13" max="13" width="11.42578125" style="1" bestFit="1" customWidth="1"/>
    <col min="14" max="25" width="9.140625" style="1"/>
    <col min="26" max="26" width="17.85546875" style="1" bestFit="1" customWidth="1"/>
    <col min="27" max="16384" width="9.140625" style="1"/>
  </cols>
  <sheetData>
    <row r="1" spans="1:26" ht="27.75" customHeight="1" x14ac:dyDescent="0.25">
      <c r="A1" s="189" t="s">
        <v>339</v>
      </c>
      <c r="B1" s="189"/>
      <c r="C1" s="189"/>
      <c r="D1" s="189"/>
      <c r="E1" s="189"/>
      <c r="F1" s="189"/>
      <c r="G1" s="189"/>
      <c r="H1" s="189"/>
      <c r="I1" s="189"/>
      <c r="J1" s="189"/>
      <c r="K1" s="189"/>
      <c r="L1" s="189"/>
      <c r="M1" s="189"/>
    </row>
    <row r="2" spans="1:26" ht="3" customHeight="1" x14ac:dyDescent="0.25">
      <c r="A2" s="2"/>
    </row>
    <row r="3" spans="1:26" ht="23.25" x14ac:dyDescent="0.25">
      <c r="A3" s="31" t="s">
        <v>122</v>
      </c>
      <c r="B3" s="44" t="s">
        <v>120</v>
      </c>
      <c r="C3" s="31" t="s">
        <v>119</v>
      </c>
      <c r="D3" s="3" t="s">
        <v>0</v>
      </c>
      <c r="E3" s="3" t="s">
        <v>1</v>
      </c>
      <c r="F3" s="3" t="s">
        <v>2</v>
      </c>
      <c r="G3" s="3" t="s">
        <v>3</v>
      </c>
      <c r="H3" s="3" t="s">
        <v>4</v>
      </c>
      <c r="I3" s="3" t="s">
        <v>5</v>
      </c>
      <c r="J3" s="3" t="s">
        <v>6</v>
      </c>
      <c r="K3" s="3" t="s">
        <v>7</v>
      </c>
      <c r="L3" s="3" t="s">
        <v>199</v>
      </c>
      <c r="M3" s="3" t="s">
        <v>8</v>
      </c>
    </row>
    <row r="4" spans="1:26" x14ac:dyDescent="0.25">
      <c r="A4" s="197" t="s">
        <v>191</v>
      </c>
      <c r="B4" s="197" t="s">
        <v>18</v>
      </c>
      <c r="C4" s="4" t="s">
        <v>17</v>
      </c>
      <c r="D4" s="5">
        <v>184.6</v>
      </c>
      <c r="E4" s="5">
        <v>181.6</v>
      </c>
      <c r="F4" s="5">
        <v>195.7</v>
      </c>
      <c r="G4" s="5">
        <v>140.19999999999999</v>
      </c>
      <c r="H4" s="5">
        <v>159.6</v>
      </c>
      <c r="I4" s="5">
        <v>178.4</v>
      </c>
      <c r="J4" s="5">
        <v>183.3</v>
      </c>
      <c r="K4" s="5">
        <v>164.6</v>
      </c>
      <c r="L4" s="5">
        <v>178.8</v>
      </c>
      <c r="M4" s="5">
        <v>177.46299999999999</v>
      </c>
      <c r="O4" s="5"/>
      <c r="P4" s="5"/>
      <c r="Q4" s="5"/>
      <c r="R4" s="5"/>
      <c r="S4" s="5"/>
      <c r="T4" s="5"/>
      <c r="U4" s="5"/>
      <c r="V4" s="5"/>
      <c r="W4" s="5"/>
      <c r="X4" s="5"/>
      <c r="Z4" s="155"/>
    </row>
    <row r="5" spans="1:26" x14ac:dyDescent="0.25">
      <c r="A5" s="197"/>
      <c r="B5" s="197"/>
      <c r="C5" s="4" t="s">
        <v>21</v>
      </c>
      <c r="D5" s="5">
        <v>192.7</v>
      </c>
      <c r="E5" s="5">
        <v>170.4</v>
      </c>
      <c r="F5" s="5">
        <v>206.6</v>
      </c>
      <c r="G5" s="5">
        <v>134.69999999999999</v>
      </c>
      <c r="H5" s="5">
        <v>164.8</v>
      </c>
      <c r="I5" s="5">
        <v>177.3</v>
      </c>
      <c r="J5" s="5">
        <v>92.3</v>
      </c>
      <c r="K5" s="5">
        <v>163.30000000000001</v>
      </c>
      <c r="L5" s="5">
        <v>186.4</v>
      </c>
      <c r="M5" s="5">
        <v>185.489</v>
      </c>
      <c r="O5" s="5"/>
      <c r="P5" s="5"/>
      <c r="Q5" s="5"/>
      <c r="R5" s="5"/>
      <c r="S5" s="5"/>
      <c r="T5" s="5"/>
      <c r="U5" s="5"/>
      <c r="V5" s="5"/>
      <c r="W5" s="5"/>
      <c r="X5" s="5"/>
    </row>
    <row r="6" spans="1:26" x14ac:dyDescent="0.25">
      <c r="A6" s="197"/>
      <c r="B6" s="197"/>
      <c r="C6" s="95" t="s">
        <v>11</v>
      </c>
      <c r="D6" s="97">
        <v>186.5</v>
      </c>
      <c r="E6" s="97">
        <v>179.6</v>
      </c>
      <c r="F6" s="97">
        <v>198.6</v>
      </c>
      <c r="G6" s="97">
        <v>139.1</v>
      </c>
      <c r="H6" s="97">
        <v>160.9</v>
      </c>
      <c r="I6" s="97">
        <v>178.1</v>
      </c>
      <c r="J6" s="97">
        <v>155.6</v>
      </c>
      <c r="K6" s="97">
        <v>164.5</v>
      </c>
      <c r="L6" s="97">
        <v>180.6</v>
      </c>
      <c r="M6" s="97">
        <v>179.279</v>
      </c>
      <c r="O6" s="97"/>
      <c r="P6" s="97"/>
      <c r="Q6" s="97"/>
      <c r="R6" s="97"/>
      <c r="S6" s="97"/>
      <c r="T6" s="97"/>
      <c r="U6" s="97"/>
      <c r="V6" s="97"/>
      <c r="W6" s="97"/>
      <c r="X6" s="97"/>
    </row>
    <row r="7" spans="1:26" ht="15" customHeight="1" x14ac:dyDescent="0.25">
      <c r="A7" s="197"/>
      <c r="B7" s="197" t="s">
        <v>19</v>
      </c>
      <c r="C7" s="4" t="s">
        <v>17</v>
      </c>
      <c r="D7" s="5">
        <v>175.3</v>
      </c>
      <c r="E7" s="5">
        <v>169.5</v>
      </c>
      <c r="F7" s="5">
        <v>190.2</v>
      </c>
      <c r="G7" s="5">
        <v>150.69999999999999</v>
      </c>
      <c r="H7" s="5">
        <v>156.30000000000001</v>
      </c>
      <c r="I7" s="5">
        <v>192.7</v>
      </c>
      <c r="J7" s="5">
        <v>203.1</v>
      </c>
      <c r="K7" s="5">
        <v>157.30000000000001</v>
      </c>
      <c r="L7" s="5">
        <v>174.2</v>
      </c>
      <c r="M7" s="5">
        <v>174.155</v>
      </c>
      <c r="O7" s="5"/>
      <c r="P7" s="5"/>
      <c r="Q7" s="5"/>
      <c r="R7" s="5"/>
      <c r="S7" s="5"/>
      <c r="T7" s="5"/>
      <c r="U7" s="5"/>
      <c r="V7" s="5"/>
      <c r="W7" s="5"/>
      <c r="X7" s="5"/>
    </row>
    <row r="8" spans="1:26" x14ac:dyDescent="0.25">
      <c r="A8" s="197"/>
      <c r="B8" s="197"/>
      <c r="C8" s="4" t="s">
        <v>21</v>
      </c>
      <c r="D8" s="5">
        <v>177.4</v>
      </c>
      <c r="E8" s="5">
        <v>181.2</v>
      </c>
      <c r="F8" s="5">
        <v>186.2</v>
      </c>
      <c r="G8" s="5">
        <v>116.2</v>
      </c>
      <c r="H8" s="5">
        <v>144.19999999999999</v>
      </c>
      <c r="I8" s="5">
        <v>196.8</v>
      </c>
      <c r="J8" s="5">
        <v>173.9</v>
      </c>
      <c r="K8" s="5">
        <v>173.5</v>
      </c>
      <c r="L8" s="5">
        <v>172.8</v>
      </c>
      <c r="M8" s="5">
        <v>172.84100000000001</v>
      </c>
      <c r="O8" s="5"/>
      <c r="P8" s="5"/>
      <c r="Q8" s="5"/>
      <c r="R8" s="5"/>
      <c r="S8" s="5"/>
      <c r="T8" s="5"/>
      <c r="U8" s="5"/>
      <c r="V8" s="5"/>
      <c r="W8" s="5"/>
      <c r="X8" s="5"/>
    </row>
    <row r="9" spans="1:26" x14ac:dyDescent="0.25">
      <c r="A9" s="197"/>
      <c r="B9" s="197"/>
      <c r="C9" s="95" t="s">
        <v>11</v>
      </c>
      <c r="D9" s="97">
        <v>175.7</v>
      </c>
      <c r="E9" s="97">
        <v>171.4</v>
      </c>
      <c r="F9" s="97">
        <v>189.4</v>
      </c>
      <c r="G9" s="97">
        <v>144.30000000000001</v>
      </c>
      <c r="H9" s="97">
        <v>154.6</v>
      </c>
      <c r="I9" s="97">
        <v>193.8</v>
      </c>
      <c r="J9" s="97">
        <v>194.4</v>
      </c>
      <c r="K9" s="97">
        <v>160.4</v>
      </c>
      <c r="L9" s="97">
        <v>174</v>
      </c>
      <c r="M9" s="97">
        <v>173.911</v>
      </c>
      <c r="O9" s="97"/>
      <c r="P9" s="97"/>
      <c r="Q9" s="97"/>
      <c r="R9" s="97"/>
      <c r="S9" s="97"/>
      <c r="T9" s="97"/>
      <c r="U9" s="97"/>
      <c r="V9" s="97"/>
      <c r="W9" s="97"/>
      <c r="X9" s="97"/>
    </row>
    <row r="10" spans="1:26" x14ac:dyDescent="0.25">
      <c r="A10" s="197"/>
      <c r="B10" s="197" t="s">
        <v>11</v>
      </c>
      <c r="C10" s="4" t="s">
        <v>17</v>
      </c>
      <c r="D10" s="5">
        <v>177.4</v>
      </c>
      <c r="E10" s="5">
        <v>171.3</v>
      </c>
      <c r="F10" s="5">
        <v>193.1</v>
      </c>
      <c r="G10" s="5">
        <v>144.69999999999999</v>
      </c>
      <c r="H10" s="5">
        <v>157.4</v>
      </c>
      <c r="I10" s="5">
        <v>185.8</v>
      </c>
      <c r="J10" s="5">
        <v>199.2</v>
      </c>
      <c r="K10" s="5">
        <v>165.1</v>
      </c>
      <c r="L10" s="5">
        <v>175.7</v>
      </c>
      <c r="M10" s="5">
        <v>175.19200000000001</v>
      </c>
      <c r="O10" s="5"/>
      <c r="P10" s="5"/>
      <c r="Q10" s="5"/>
      <c r="R10" s="5"/>
      <c r="S10" s="5"/>
      <c r="T10" s="5"/>
      <c r="U10" s="5"/>
      <c r="V10" s="5"/>
      <c r="W10" s="5"/>
      <c r="X10" s="5"/>
    </row>
    <row r="11" spans="1:26" x14ac:dyDescent="0.25">
      <c r="A11" s="197"/>
      <c r="B11" s="197"/>
      <c r="C11" s="4" t="s">
        <v>21</v>
      </c>
      <c r="D11" s="5">
        <v>181</v>
      </c>
      <c r="E11" s="5">
        <v>178.8</v>
      </c>
      <c r="F11" s="5">
        <v>199.3</v>
      </c>
      <c r="G11" s="5">
        <v>127</v>
      </c>
      <c r="H11" s="5">
        <v>154.69999999999999</v>
      </c>
      <c r="I11" s="5">
        <v>181.4</v>
      </c>
      <c r="J11" s="5">
        <v>157.6</v>
      </c>
      <c r="K11" s="5">
        <v>164.4</v>
      </c>
      <c r="L11" s="5">
        <v>178.4</v>
      </c>
      <c r="M11" s="5">
        <v>178.048</v>
      </c>
      <c r="O11" s="5"/>
      <c r="P11" s="5"/>
      <c r="Q11" s="5"/>
      <c r="R11" s="5"/>
      <c r="S11" s="5"/>
      <c r="T11" s="5"/>
      <c r="U11" s="5"/>
      <c r="V11" s="5"/>
      <c r="W11" s="5"/>
      <c r="X11" s="5"/>
    </row>
    <row r="12" spans="1:26" x14ac:dyDescent="0.25">
      <c r="A12" s="197"/>
      <c r="B12" s="197"/>
      <c r="C12" s="95" t="s">
        <v>11</v>
      </c>
      <c r="D12" s="97">
        <v>178.2</v>
      </c>
      <c r="E12" s="97">
        <v>172.5</v>
      </c>
      <c r="F12" s="97">
        <v>194.5</v>
      </c>
      <c r="G12" s="97">
        <v>141.30000000000001</v>
      </c>
      <c r="H12" s="97">
        <v>156.9</v>
      </c>
      <c r="I12" s="97">
        <v>184.8</v>
      </c>
      <c r="J12" s="97">
        <v>186.8</v>
      </c>
      <c r="K12" s="97">
        <v>165.1</v>
      </c>
      <c r="L12" s="94">
        <v>176.2</v>
      </c>
      <c r="M12" s="97">
        <v>175.78399999999999</v>
      </c>
      <c r="O12" s="97"/>
      <c r="P12" s="97"/>
      <c r="Q12" s="97"/>
      <c r="R12" s="97"/>
      <c r="S12" s="97"/>
      <c r="T12" s="97"/>
      <c r="U12" s="97"/>
      <c r="V12" s="97"/>
      <c r="W12" s="94"/>
      <c r="X12" s="97"/>
    </row>
    <row r="13" spans="1:26" x14ac:dyDescent="0.25">
      <c r="A13" s="197" t="s">
        <v>192</v>
      </c>
      <c r="B13" s="197" t="s">
        <v>18</v>
      </c>
      <c r="C13" s="4" t="s">
        <v>17</v>
      </c>
      <c r="D13" s="5">
        <v>178.9</v>
      </c>
      <c r="E13" s="5">
        <v>182</v>
      </c>
      <c r="F13" s="5">
        <v>192.6</v>
      </c>
      <c r="G13" s="5">
        <v>143.80000000000001</v>
      </c>
      <c r="H13" s="5">
        <v>160.1</v>
      </c>
      <c r="I13" s="5">
        <v>209.5</v>
      </c>
      <c r="J13" s="5">
        <v>172.3</v>
      </c>
      <c r="K13" s="5">
        <v>179.5</v>
      </c>
      <c r="L13" s="5">
        <v>176.9</v>
      </c>
      <c r="M13" s="5">
        <v>177.18199999999999</v>
      </c>
      <c r="O13" s="5"/>
      <c r="P13" s="5"/>
      <c r="Q13" s="5"/>
      <c r="R13" s="5"/>
      <c r="S13" s="5"/>
      <c r="T13" s="5"/>
      <c r="U13" s="5"/>
      <c r="V13" s="5"/>
      <c r="W13" s="5"/>
      <c r="X13" s="5"/>
    </row>
    <row r="14" spans="1:26" x14ac:dyDescent="0.25">
      <c r="A14" s="197"/>
      <c r="B14" s="197"/>
      <c r="C14" s="4" t="s">
        <v>21</v>
      </c>
      <c r="D14" s="5">
        <v>175.1</v>
      </c>
      <c r="E14" s="5">
        <v>178.3</v>
      </c>
      <c r="F14" s="5">
        <v>207.8</v>
      </c>
      <c r="G14" s="5">
        <v>130.5</v>
      </c>
      <c r="H14" s="5">
        <v>153.69999999999999</v>
      </c>
      <c r="I14" s="5">
        <v>210.5</v>
      </c>
      <c r="J14" s="5">
        <v>91</v>
      </c>
      <c r="K14" s="5">
        <v>151.9</v>
      </c>
      <c r="L14" s="5">
        <v>181.2</v>
      </c>
      <c r="M14" s="5">
        <v>179.327</v>
      </c>
      <c r="O14" s="5"/>
      <c r="P14" s="5"/>
      <c r="Q14" s="5"/>
      <c r="R14" s="5"/>
      <c r="S14" s="5"/>
      <c r="T14" s="5"/>
      <c r="U14" s="5"/>
      <c r="V14" s="5"/>
      <c r="W14" s="5"/>
      <c r="X14" s="5"/>
    </row>
    <row r="15" spans="1:26" x14ac:dyDescent="0.25">
      <c r="A15" s="197"/>
      <c r="B15" s="197"/>
      <c r="C15" s="95" t="s">
        <v>11</v>
      </c>
      <c r="D15" s="97">
        <v>178.1</v>
      </c>
      <c r="E15" s="97">
        <v>181.4</v>
      </c>
      <c r="F15" s="97">
        <v>196.8</v>
      </c>
      <c r="G15" s="97">
        <v>140.80000000000001</v>
      </c>
      <c r="H15" s="97">
        <v>158.5</v>
      </c>
      <c r="I15" s="97">
        <v>209.8</v>
      </c>
      <c r="J15" s="97">
        <v>148.6</v>
      </c>
      <c r="K15" s="97">
        <v>175.3</v>
      </c>
      <c r="L15" s="97">
        <v>178</v>
      </c>
      <c r="M15" s="97">
        <v>177.733</v>
      </c>
      <c r="O15" s="97"/>
      <c r="P15" s="97"/>
      <c r="Q15" s="97"/>
      <c r="R15" s="97"/>
      <c r="S15" s="97"/>
      <c r="T15" s="97"/>
      <c r="U15" s="97"/>
      <c r="V15" s="97"/>
      <c r="W15" s="97"/>
      <c r="X15" s="97"/>
    </row>
    <row r="16" spans="1:26" ht="15" customHeight="1" x14ac:dyDescent="0.25">
      <c r="A16" s="197"/>
      <c r="B16" s="197" t="s">
        <v>19</v>
      </c>
      <c r="C16" s="4" t="s">
        <v>17</v>
      </c>
      <c r="D16" s="5">
        <v>177.6</v>
      </c>
      <c r="E16" s="5">
        <v>171.4</v>
      </c>
      <c r="F16" s="5">
        <v>197.3</v>
      </c>
      <c r="G16" s="5">
        <v>133.80000000000001</v>
      </c>
      <c r="H16" s="5">
        <v>169</v>
      </c>
      <c r="I16" s="5">
        <v>157.9</v>
      </c>
      <c r="J16" s="5">
        <v>168.1</v>
      </c>
      <c r="K16" s="5">
        <v>207.6</v>
      </c>
      <c r="L16" s="5">
        <v>173.9</v>
      </c>
      <c r="M16" s="5">
        <v>174.04900000000001</v>
      </c>
      <c r="O16" s="5"/>
      <c r="P16" s="5"/>
      <c r="Q16" s="5"/>
      <c r="R16" s="5"/>
      <c r="S16" s="5"/>
      <c r="T16" s="5"/>
      <c r="U16" s="5"/>
      <c r="V16" s="5"/>
      <c r="W16" s="5"/>
      <c r="X16" s="5"/>
    </row>
    <row r="17" spans="1:24" x14ac:dyDescent="0.25">
      <c r="A17" s="197"/>
      <c r="B17" s="197"/>
      <c r="C17" s="4" t="s">
        <v>21</v>
      </c>
      <c r="D17" s="5">
        <v>186.5</v>
      </c>
      <c r="E17" s="5">
        <v>175.3</v>
      </c>
      <c r="F17" s="5">
        <v>196.8</v>
      </c>
      <c r="G17" s="5">
        <v>135.6</v>
      </c>
      <c r="H17" s="5">
        <v>178</v>
      </c>
      <c r="I17" s="5">
        <v>198.1</v>
      </c>
      <c r="J17" s="5">
        <v>185.9</v>
      </c>
      <c r="K17" s="5">
        <v>156</v>
      </c>
      <c r="L17" s="5">
        <v>180.3</v>
      </c>
      <c r="M17" s="5">
        <v>180.25299999999999</v>
      </c>
      <c r="O17" s="5"/>
      <c r="P17" s="5"/>
      <c r="Q17" s="5"/>
      <c r="R17" s="5"/>
      <c r="S17" s="5"/>
      <c r="T17" s="5"/>
      <c r="U17" s="5"/>
      <c r="V17" s="5"/>
      <c r="W17" s="5"/>
      <c r="X17" s="5"/>
    </row>
    <row r="18" spans="1:24" x14ac:dyDescent="0.25">
      <c r="A18" s="197"/>
      <c r="B18" s="197"/>
      <c r="C18" s="95" t="s">
        <v>11</v>
      </c>
      <c r="D18" s="97">
        <v>179.1</v>
      </c>
      <c r="E18" s="97">
        <v>172</v>
      </c>
      <c r="F18" s="97">
        <v>197.2</v>
      </c>
      <c r="G18" s="97">
        <v>134.19999999999999</v>
      </c>
      <c r="H18" s="97">
        <v>170.4</v>
      </c>
      <c r="I18" s="97">
        <v>169</v>
      </c>
      <c r="J18" s="97">
        <v>173.7</v>
      </c>
      <c r="K18" s="97">
        <v>202.7</v>
      </c>
      <c r="L18" s="97">
        <v>175</v>
      </c>
      <c r="M18" s="97">
        <v>175.16399999999999</v>
      </c>
      <c r="O18" s="97"/>
      <c r="P18" s="97"/>
      <c r="Q18" s="97"/>
      <c r="R18" s="97"/>
      <c r="S18" s="97"/>
      <c r="T18" s="97"/>
      <c r="U18" s="97"/>
      <c r="V18" s="97"/>
      <c r="W18" s="97"/>
      <c r="X18" s="97"/>
    </row>
    <row r="19" spans="1:24" x14ac:dyDescent="0.25">
      <c r="A19" s="197"/>
      <c r="B19" s="197" t="s">
        <v>11</v>
      </c>
      <c r="C19" s="4" t="s">
        <v>17</v>
      </c>
      <c r="D19" s="5">
        <v>176.4</v>
      </c>
      <c r="E19" s="5">
        <v>172.9</v>
      </c>
      <c r="F19" s="5">
        <v>194.2</v>
      </c>
      <c r="G19" s="5">
        <v>139.5</v>
      </c>
      <c r="H19" s="5">
        <v>164.7</v>
      </c>
      <c r="I19" s="5">
        <v>171.8</v>
      </c>
      <c r="J19" s="5">
        <v>169</v>
      </c>
      <c r="K19" s="5">
        <v>182.9</v>
      </c>
      <c r="L19" s="5">
        <v>174.6</v>
      </c>
      <c r="M19" s="5">
        <v>175.05799999999999</v>
      </c>
      <c r="O19" s="5"/>
      <c r="P19" s="5"/>
      <c r="Q19" s="5"/>
      <c r="R19" s="5"/>
      <c r="S19" s="5"/>
      <c r="T19" s="5"/>
      <c r="U19" s="5"/>
      <c r="V19" s="5"/>
      <c r="W19" s="5"/>
      <c r="X19" s="5"/>
    </row>
    <row r="20" spans="1:24" x14ac:dyDescent="0.25">
      <c r="A20" s="197"/>
      <c r="B20" s="197"/>
      <c r="C20" s="4" t="s">
        <v>21</v>
      </c>
      <c r="D20" s="5">
        <v>178.8</v>
      </c>
      <c r="E20" s="5">
        <v>175.8</v>
      </c>
      <c r="F20" s="5">
        <v>204.5</v>
      </c>
      <c r="G20" s="5">
        <v>132.4</v>
      </c>
      <c r="H20" s="5">
        <v>165</v>
      </c>
      <c r="I20" s="5">
        <v>197.7</v>
      </c>
      <c r="J20" s="5">
        <v>167.4</v>
      </c>
      <c r="K20" s="5">
        <v>153.69999999999999</v>
      </c>
      <c r="L20" s="5">
        <v>180.4</v>
      </c>
      <c r="M20" s="5">
        <v>179.416</v>
      </c>
      <c r="O20" s="5"/>
      <c r="P20" s="5"/>
      <c r="Q20" s="5"/>
      <c r="R20" s="5"/>
      <c r="S20" s="5"/>
      <c r="T20" s="5"/>
      <c r="U20" s="5"/>
      <c r="V20" s="5"/>
      <c r="W20" s="5"/>
      <c r="X20" s="5"/>
    </row>
    <row r="21" spans="1:24" x14ac:dyDescent="0.25">
      <c r="A21" s="197"/>
      <c r="B21" s="197"/>
      <c r="C21" s="95" t="s">
        <v>11</v>
      </c>
      <c r="D21" s="97">
        <v>176.9</v>
      </c>
      <c r="E21" s="97">
        <v>173.3</v>
      </c>
      <c r="F21" s="97">
        <v>196.7</v>
      </c>
      <c r="G21" s="97">
        <v>138</v>
      </c>
      <c r="H21" s="97">
        <v>164.8</v>
      </c>
      <c r="I21" s="97">
        <v>178.5</v>
      </c>
      <c r="J21" s="97">
        <v>168.5</v>
      </c>
      <c r="K21" s="97">
        <v>178.5</v>
      </c>
      <c r="L21" s="97">
        <v>175.8</v>
      </c>
      <c r="M21" s="97">
        <v>175.97800000000001</v>
      </c>
      <c r="O21" s="97"/>
      <c r="P21" s="97"/>
      <c r="Q21" s="97"/>
      <c r="R21" s="97"/>
      <c r="S21" s="97"/>
      <c r="T21" s="97"/>
      <c r="U21" s="97"/>
      <c r="V21" s="97"/>
      <c r="W21" s="97"/>
      <c r="X21" s="97"/>
    </row>
    <row r="22" spans="1:24" x14ac:dyDescent="0.25">
      <c r="A22" s="197" t="s">
        <v>193</v>
      </c>
      <c r="B22" s="197" t="s">
        <v>18</v>
      </c>
      <c r="C22" s="4" t="s">
        <v>17</v>
      </c>
      <c r="D22" s="5">
        <v>175.3</v>
      </c>
      <c r="E22" s="5">
        <v>172.2</v>
      </c>
      <c r="F22" s="5">
        <v>186.8</v>
      </c>
      <c r="G22" s="5">
        <v>161.19999999999999</v>
      </c>
      <c r="H22" s="5">
        <v>157.1</v>
      </c>
      <c r="I22" s="5">
        <v>175.7</v>
      </c>
      <c r="J22" s="5">
        <v>132.80000000000001</v>
      </c>
      <c r="K22" s="5">
        <v>201.8</v>
      </c>
      <c r="L22" s="5">
        <v>175.3</v>
      </c>
      <c r="M22" s="5">
        <v>178.774</v>
      </c>
      <c r="O22" s="5"/>
      <c r="P22" s="5"/>
      <c r="Q22" s="5"/>
      <c r="R22" s="5"/>
      <c r="S22" s="5"/>
      <c r="T22" s="5"/>
      <c r="U22" s="5"/>
      <c r="V22" s="5"/>
      <c r="W22" s="5"/>
      <c r="X22" s="5"/>
    </row>
    <row r="23" spans="1:24" x14ac:dyDescent="0.25">
      <c r="A23" s="197"/>
      <c r="B23" s="197"/>
      <c r="C23" s="4" t="s">
        <v>21</v>
      </c>
      <c r="D23" s="5">
        <v>173.4</v>
      </c>
      <c r="E23" s="5">
        <v>154.5</v>
      </c>
      <c r="F23" s="5">
        <v>188.3</v>
      </c>
      <c r="G23" s="5">
        <v>152.4</v>
      </c>
      <c r="H23" s="5">
        <v>138.5</v>
      </c>
      <c r="I23" s="5">
        <v>165.5</v>
      </c>
      <c r="J23" s="5">
        <v>127.8</v>
      </c>
      <c r="K23" s="5">
        <v>198.2</v>
      </c>
      <c r="L23" s="5">
        <v>172</v>
      </c>
      <c r="M23" s="5">
        <v>174.02799999999999</v>
      </c>
      <c r="O23" s="5"/>
      <c r="P23" s="5"/>
      <c r="Q23" s="5"/>
      <c r="R23" s="5"/>
      <c r="S23" s="5"/>
      <c r="T23" s="5"/>
      <c r="U23" s="5"/>
      <c r="V23" s="5"/>
      <c r="W23" s="5"/>
      <c r="X23" s="5"/>
    </row>
    <row r="24" spans="1:24" x14ac:dyDescent="0.25">
      <c r="A24" s="197"/>
      <c r="B24" s="197"/>
      <c r="C24" s="95" t="s">
        <v>11</v>
      </c>
      <c r="D24" s="97">
        <v>174.9</v>
      </c>
      <c r="E24" s="97">
        <v>169.3</v>
      </c>
      <c r="F24" s="97">
        <v>187.3</v>
      </c>
      <c r="G24" s="97">
        <v>159.1</v>
      </c>
      <c r="H24" s="97">
        <v>150.9</v>
      </c>
      <c r="I24" s="97">
        <v>173.2</v>
      </c>
      <c r="J24" s="97">
        <v>132</v>
      </c>
      <c r="K24" s="97">
        <v>201.3</v>
      </c>
      <c r="L24" s="97">
        <v>174.5</v>
      </c>
      <c r="M24" s="97">
        <v>177.69499999999999</v>
      </c>
      <c r="O24" s="97"/>
      <c r="P24" s="97"/>
      <c r="Q24" s="97"/>
      <c r="R24" s="97"/>
      <c r="S24" s="97"/>
      <c r="T24" s="97"/>
      <c r="U24" s="97"/>
      <c r="V24" s="97"/>
      <c r="W24" s="97"/>
      <c r="X24" s="97"/>
    </row>
    <row r="25" spans="1:24" ht="15" customHeight="1" x14ac:dyDescent="0.25">
      <c r="A25" s="197"/>
      <c r="B25" s="197" t="s">
        <v>19</v>
      </c>
      <c r="C25" s="4" t="s">
        <v>17</v>
      </c>
      <c r="D25" s="5">
        <v>166.2</v>
      </c>
      <c r="E25" s="5">
        <v>163.1</v>
      </c>
      <c r="F25" s="5">
        <v>194.8</v>
      </c>
      <c r="G25" s="5">
        <v>137</v>
      </c>
      <c r="H25" s="5">
        <v>160.69999999999999</v>
      </c>
      <c r="I25" s="5">
        <v>191</v>
      </c>
      <c r="J25" s="5">
        <v>171.7</v>
      </c>
      <c r="K25" s="5">
        <v>256.3</v>
      </c>
      <c r="L25" s="5">
        <v>168.8</v>
      </c>
      <c r="M25" s="5">
        <v>169.357</v>
      </c>
      <c r="O25" s="5"/>
      <c r="P25" s="5"/>
      <c r="Q25" s="5"/>
      <c r="R25" s="5"/>
      <c r="S25" s="5"/>
      <c r="T25" s="5"/>
      <c r="U25" s="5"/>
      <c r="V25" s="5"/>
      <c r="W25" s="5"/>
      <c r="X25" s="5"/>
    </row>
    <row r="26" spans="1:24" x14ac:dyDescent="0.25">
      <c r="A26" s="197"/>
      <c r="B26" s="197"/>
      <c r="C26" s="4" t="s">
        <v>21</v>
      </c>
      <c r="D26" s="5">
        <v>162.5</v>
      </c>
      <c r="E26" s="5">
        <v>150</v>
      </c>
      <c r="F26" s="5">
        <v>204.8</v>
      </c>
      <c r="G26" s="5">
        <v>123.2</v>
      </c>
      <c r="H26" s="5">
        <v>141.6</v>
      </c>
      <c r="I26" s="5">
        <v>217.9</v>
      </c>
      <c r="J26" s="5">
        <v>174.5</v>
      </c>
      <c r="K26" s="5">
        <v>277</v>
      </c>
      <c r="L26" s="5">
        <v>166.9</v>
      </c>
      <c r="M26" s="5">
        <v>167.00899999999999</v>
      </c>
      <c r="O26" s="5"/>
      <c r="P26" s="5"/>
      <c r="Q26" s="5"/>
      <c r="R26" s="5"/>
      <c r="S26" s="5"/>
      <c r="T26" s="5"/>
      <c r="U26" s="5"/>
      <c r="V26" s="5"/>
      <c r="W26" s="5"/>
      <c r="X26" s="5"/>
    </row>
    <row r="27" spans="1:24" x14ac:dyDescent="0.25">
      <c r="A27" s="197"/>
      <c r="B27" s="197"/>
      <c r="C27" s="95" t="s">
        <v>11</v>
      </c>
      <c r="D27" s="97">
        <v>165.2</v>
      </c>
      <c r="E27" s="97">
        <v>161.4</v>
      </c>
      <c r="F27" s="97">
        <v>196.8</v>
      </c>
      <c r="G27" s="97">
        <v>134.19999999999999</v>
      </c>
      <c r="H27" s="97">
        <v>156.19999999999999</v>
      </c>
      <c r="I27" s="97">
        <v>199.5</v>
      </c>
      <c r="J27" s="97">
        <v>172.6</v>
      </c>
      <c r="K27" s="97">
        <v>257.39999999999998</v>
      </c>
      <c r="L27" s="97">
        <v>168.4</v>
      </c>
      <c r="M27" s="97">
        <v>168.852</v>
      </c>
      <c r="O27" s="97"/>
      <c r="P27" s="97"/>
      <c r="Q27" s="97"/>
      <c r="R27" s="97"/>
      <c r="S27" s="97"/>
      <c r="T27" s="97"/>
      <c r="U27" s="97"/>
      <c r="V27" s="97"/>
      <c r="W27" s="97"/>
      <c r="X27" s="97"/>
    </row>
    <row r="28" spans="1:24" x14ac:dyDescent="0.25">
      <c r="A28" s="197"/>
      <c r="B28" s="197" t="s">
        <v>11</v>
      </c>
      <c r="C28" s="4" t="s">
        <v>17</v>
      </c>
      <c r="D28" s="5">
        <v>170</v>
      </c>
      <c r="E28" s="5">
        <v>164.6</v>
      </c>
      <c r="F28" s="5">
        <v>189.7</v>
      </c>
      <c r="G28" s="5">
        <v>151</v>
      </c>
      <c r="H28" s="5">
        <v>159.1</v>
      </c>
      <c r="I28" s="5">
        <v>184.3</v>
      </c>
      <c r="J28" s="5">
        <v>160.69999999999999</v>
      </c>
      <c r="K28" s="5">
        <v>204.2</v>
      </c>
      <c r="L28" s="5">
        <v>171.6</v>
      </c>
      <c r="M28" s="5">
        <v>173.94900000000001</v>
      </c>
      <c r="O28" s="5"/>
      <c r="P28" s="5"/>
      <c r="Q28" s="5"/>
      <c r="R28" s="5"/>
      <c r="S28" s="5"/>
      <c r="T28" s="5"/>
      <c r="U28" s="5"/>
      <c r="V28" s="5"/>
      <c r="W28" s="5"/>
      <c r="X28" s="5"/>
    </row>
    <row r="29" spans="1:24" x14ac:dyDescent="0.25">
      <c r="A29" s="197"/>
      <c r="B29" s="197"/>
      <c r="C29" s="4" t="s">
        <v>21</v>
      </c>
      <c r="D29" s="5">
        <v>165.6</v>
      </c>
      <c r="E29" s="5">
        <v>150.80000000000001</v>
      </c>
      <c r="F29" s="5">
        <v>192.8</v>
      </c>
      <c r="G29" s="5">
        <v>141.5</v>
      </c>
      <c r="H29" s="5">
        <v>139.80000000000001</v>
      </c>
      <c r="I29" s="5">
        <v>202.2</v>
      </c>
      <c r="J29" s="5">
        <v>169</v>
      </c>
      <c r="K29" s="5">
        <v>194.9</v>
      </c>
      <c r="L29" s="5">
        <v>169</v>
      </c>
      <c r="M29" s="5">
        <v>170.232</v>
      </c>
      <c r="O29" s="5"/>
      <c r="P29" s="5"/>
      <c r="Q29" s="5"/>
      <c r="R29" s="5"/>
      <c r="S29" s="5"/>
      <c r="T29" s="5"/>
      <c r="U29" s="5"/>
      <c r="V29" s="5"/>
      <c r="W29" s="5"/>
      <c r="X29" s="5"/>
    </row>
    <row r="30" spans="1:24" x14ac:dyDescent="0.25">
      <c r="A30" s="197"/>
      <c r="B30" s="197"/>
      <c r="C30" s="95" t="s">
        <v>11</v>
      </c>
      <c r="D30" s="97">
        <v>169</v>
      </c>
      <c r="E30" s="97">
        <v>162.69999999999999</v>
      </c>
      <c r="F30" s="97">
        <v>190.6</v>
      </c>
      <c r="G30" s="97">
        <v>148.9</v>
      </c>
      <c r="H30" s="97">
        <v>153.69999999999999</v>
      </c>
      <c r="I30" s="97">
        <v>189.8</v>
      </c>
      <c r="J30" s="97">
        <v>163</v>
      </c>
      <c r="K30" s="97">
        <v>202.3</v>
      </c>
      <c r="L30" s="97">
        <v>171</v>
      </c>
      <c r="M30" s="97">
        <v>173.11500000000001</v>
      </c>
      <c r="O30" s="97"/>
      <c r="P30" s="97"/>
      <c r="Q30" s="97"/>
      <c r="R30" s="97"/>
      <c r="S30" s="97"/>
      <c r="T30" s="97"/>
      <c r="U30" s="97"/>
      <c r="V30" s="97"/>
      <c r="W30" s="97"/>
      <c r="X30" s="97"/>
    </row>
    <row r="31" spans="1:24" x14ac:dyDescent="0.25">
      <c r="A31" s="197" t="s">
        <v>194</v>
      </c>
      <c r="B31" s="197" t="s">
        <v>18</v>
      </c>
      <c r="C31" s="4" t="s">
        <v>17</v>
      </c>
      <c r="D31" s="5">
        <v>173.5</v>
      </c>
      <c r="E31" s="5">
        <v>158.6</v>
      </c>
      <c r="F31" s="5">
        <v>184.5</v>
      </c>
      <c r="G31" s="5">
        <v>155.4</v>
      </c>
      <c r="H31" s="5">
        <v>182.2</v>
      </c>
      <c r="I31" s="5">
        <v>216.7</v>
      </c>
      <c r="J31" s="5">
        <v>149</v>
      </c>
      <c r="K31" s="5" t="s">
        <v>114</v>
      </c>
      <c r="L31" s="5">
        <v>174.4</v>
      </c>
      <c r="M31" s="5" t="s">
        <v>114</v>
      </c>
      <c r="O31" s="5"/>
      <c r="P31" s="5"/>
      <c r="Q31" s="5"/>
      <c r="R31" s="5"/>
      <c r="S31" s="5"/>
      <c r="T31" s="5"/>
      <c r="U31" s="5"/>
      <c r="V31" s="5"/>
      <c r="W31" s="5"/>
      <c r="X31" s="5"/>
    </row>
    <row r="32" spans="1:24" x14ac:dyDescent="0.25">
      <c r="A32" s="197"/>
      <c r="B32" s="197"/>
      <c r="C32" s="4" t="s">
        <v>21</v>
      </c>
      <c r="D32" s="5">
        <v>178</v>
      </c>
      <c r="E32" s="5">
        <v>132.9</v>
      </c>
      <c r="F32" s="5">
        <v>191.6</v>
      </c>
      <c r="G32" s="5">
        <v>139.5</v>
      </c>
      <c r="H32" s="5">
        <v>166.4</v>
      </c>
      <c r="I32" s="5">
        <v>198.2</v>
      </c>
      <c r="J32" s="5">
        <v>131.80000000000001</v>
      </c>
      <c r="K32" s="5" t="s">
        <v>114</v>
      </c>
      <c r="L32" s="5">
        <v>174.4</v>
      </c>
      <c r="M32" s="5" t="s">
        <v>114</v>
      </c>
      <c r="O32" s="5"/>
      <c r="P32" s="5"/>
      <c r="Q32" s="5"/>
      <c r="R32" s="5"/>
      <c r="S32" s="5"/>
      <c r="T32" s="5"/>
      <c r="U32" s="5"/>
      <c r="V32" s="5"/>
      <c r="W32" s="5"/>
      <c r="X32" s="5"/>
    </row>
    <row r="33" spans="1:24" x14ac:dyDescent="0.25">
      <c r="A33" s="197"/>
      <c r="B33" s="197"/>
      <c r="C33" s="95" t="s">
        <v>11</v>
      </c>
      <c r="D33" s="97">
        <v>174.4</v>
      </c>
      <c r="E33" s="97">
        <v>155.5</v>
      </c>
      <c r="F33" s="97">
        <v>186.3</v>
      </c>
      <c r="G33" s="97">
        <v>151.5</v>
      </c>
      <c r="H33" s="97">
        <v>176.7</v>
      </c>
      <c r="I33" s="97">
        <v>210.4</v>
      </c>
      <c r="J33" s="97">
        <v>144.19999999999999</v>
      </c>
      <c r="K33" s="97" t="s">
        <v>114</v>
      </c>
      <c r="L33" s="97">
        <v>174.3</v>
      </c>
      <c r="M33" s="97" t="s">
        <v>114</v>
      </c>
      <c r="O33" s="97"/>
      <c r="P33" s="97"/>
      <c r="Q33" s="97"/>
      <c r="R33" s="97"/>
      <c r="S33" s="97"/>
      <c r="T33" s="97"/>
      <c r="U33" s="97"/>
      <c r="V33" s="5"/>
      <c r="W33" s="97"/>
      <c r="X33" s="97"/>
    </row>
    <row r="34" spans="1:24" ht="15" customHeight="1" x14ac:dyDescent="0.25">
      <c r="A34" s="197"/>
      <c r="B34" s="197" t="s">
        <v>19</v>
      </c>
      <c r="C34" s="4" t="s">
        <v>17</v>
      </c>
      <c r="D34" s="5">
        <v>167.1</v>
      </c>
      <c r="E34" s="5">
        <v>164.5</v>
      </c>
      <c r="F34" s="5">
        <v>198.6</v>
      </c>
      <c r="G34" s="5">
        <v>141.69999999999999</v>
      </c>
      <c r="H34" s="5">
        <v>164</v>
      </c>
      <c r="I34" s="5">
        <v>182.5</v>
      </c>
      <c r="J34" s="5">
        <v>186.2</v>
      </c>
      <c r="K34" s="5" t="s">
        <v>114</v>
      </c>
      <c r="L34" s="5">
        <v>171.8</v>
      </c>
      <c r="M34" s="5" t="s">
        <v>114</v>
      </c>
      <c r="O34" s="5"/>
      <c r="P34" s="5"/>
      <c r="Q34" s="5"/>
      <c r="R34" s="5"/>
      <c r="S34" s="5"/>
      <c r="T34" s="5"/>
      <c r="U34" s="5"/>
      <c r="V34" s="5"/>
      <c r="W34" s="5"/>
      <c r="X34" s="5"/>
    </row>
    <row r="35" spans="1:24" x14ac:dyDescent="0.25">
      <c r="A35" s="197"/>
      <c r="B35" s="197"/>
      <c r="C35" s="4" t="s">
        <v>21</v>
      </c>
      <c r="D35" s="5">
        <v>172.5</v>
      </c>
      <c r="E35" s="5">
        <v>184.8</v>
      </c>
      <c r="F35" s="5">
        <v>183.6</v>
      </c>
      <c r="G35" s="5">
        <v>141.69999999999999</v>
      </c>
      <c r="H35" s="5">
        <v>176.5</v>
      </c>
      <c r="I35" s="5">
        <v>184.3</v>
      </c>
      <c r="J35" s="5">
        <v>185.7</v>
      </c>
      <c r="K35" s="5" t="s">
        <v>114</v>
      </c>
      <c r="L35" s="5">
        <v>173.8</v>
      </c>
      <c r="M35" s="5" t="s">
        <v>114</v>
      </c>
      <c r="O35" s="5"/>
      <c r="P35" s="5"/>
      <c r="Q35" s="5"/>
      <c r="R35" s="5"/>
      <c r="S35" s="5"/>
      <c r="T35" s="5"/>
      <c r="U35" s="5"/>
      <c r="V35" s="5"/>
      <c r="W35" s="5"/>
      <c r="X35" s="5"/>
    </row>
    <row r="36" spans="1:24" x14ac:dyDescent="0.25">
      <c r="A36" s="197"/>
      <c r="B36" s="197"/>
      <c r="C36" s="95" t="s">
        <v>11</v>
      </c>
      <c r="D36" s="97">
        <v>168.2</v>
      </c>
      <c r="E36" s="97">
        <v>167</v>
      </c>
      <c r="F36" s="97">
        <v>195.5</v>
      </c>
      <c r="G36" s="97">
        <v>141.69999999999999</v>
      </c>
      <c r="H36" s="97">
        <v>166.7</v>
      </c>
      <c r="I36" s="97">
        <v>180.8</v>
      </c>
      <c r="J36" s="97">
        <v>186</v>
      </c>
      <c r="K36" s="97" t="s">
        <v>114</v>
      </c>
      <c r="L36" s="97">
        <v>172.1</v>
      </c>
      <c r="M36" s="97" t="s">
        <v>114</v>
      </c>
      <c r="O36" s="97"/>
      <c r="P36" s="97"/>
      <c r="Q36" s="97"/>
      <c r="R36" s="97"/>
      <c r="S36" s="97"/>
      <c r="T36" s="97"/>
      <c r="U36" s="97"/>
      <c r="V36" s="5"/>
      <c r="W36" s="97"/>
      <c r="X36" s="97"/>
    </row>
    <row r="37" spans="1:24" x14ac:dyDescent="0.25">
      <c r="A37" s="197"/>
      <c r="B37" s="197" t="s">
        <v>11</v>
      </c>
      <c r="C37" s="4" t="s">
        <v>17</v>
      </c>
      <c r="D37" s="5">
        <v>168.8</v>
      </c>
      <c r="E37" s="5">
        <v>163.4</v>
      </c>
      <c r="F37" s="5">
        <v>189.7</v>
      </c>
      <c r="G37" s="5">
        <v>149.69999999999999</v>
      </c>
      <c r="H37" s="5">
        <v>171.7</v>
      </c>
      <c r="I37" s="5">
        <v>192</v>
      </c>
      <c r="J37" s="5">
        <v>172.8</v>
      </c>
      <c r="K37" s="5" t="s">
        <v>114</v>
      </c>
      <c r="L37" s="5">
        <v>172.5</v>
      </c>
      <c r="M37" s="5" t="s">
        <v>114</v>
      </c>
      <c r="O37" s="5"/>
      <c r="P37" s="5"/>
      <c r="Q37" s="5"/>
      <c r="R37" s="5"/>
      <c r="S37" s="5"/>
      <c r="T37" s="5"/>
      <c r="U37" s="5"/>
      <c r="V37" s="5"/>
      <c r="W37" s="5"/>
      <c r="X37" s="5"/>
    </row>
    <row r="38" spans="1:24" x14ac:dyDescent="0.25">
      <c r="A38" s="197"/>
      <c r="B38" s="197"/>
      <c r="C38" s="4" t="s">
        <v>21</v>
      </c>
      <c r="D38" s="5">
        <v>174.8</v>
      </c>
      <c r="E38" s="5">
        <v>175.8</v>
      </c>
      <c r="F38" s="5">
        <v>189</v>
      </c>
      <c r="G38" s="5">
        <v>140.30000000000001</v>
      </c>
      <c r="H38" s="5">
        <v>170.2</v>
      </c>
      <c r="I38" s="5">
        <v>189.9</v>
      </c>
      <c r="J38" s="5">
        <v>168.8</v>
      </c>
      <c r="K38" s="5" t="s">
        <v>114</v>
      </c>
      <c r="L38" s="5">
        <v>173.8</v>
      </c>
      <c r="M38" s="5" t="s">
        <v>114</v>
      </c>
      <c r="O38" s="5"/>
      <c r="P38" s="5"/>
      <c r="Q38" s="5"/>
      <c r="R38" s="5"/>
      <c r="S38" s="5"/>
      <c r="T38" s="5"/>
      <c r="U38" s="5"/>
      <c r="V38" s="5"/>
      <c r="W38" s="5"/>
      <c r="X38" s="5"/>
    </row>
    <row r="39" spans="1:24" x14ac:dyDescent="0.25">
      <c r="A39" s="197"/>
      <c r="B39" s="197"/>
      <c r="C39" s="95" t="s">
        <v>11</v>
      </c>
      <c r="D39" s="97">
        <v>170</v>
      </c>
      <c r="E39" s="97">
        <v>165</v>
      </c>
      <c r="F39" s="97">
        <v>189.5</v>
      </c>
      <c r="G39" s="97">
        <v>147.5</v>
      </c>
      <c r="H39" s="97">
        <v>171.3</v>
      </c>
      <c r="I39" s="97">
        <v>189.9</v>
      </c>
      <c r="J39" s="97">
        <v>171.5</v>
      </c>
      <c r="K39" s="97" t="s">
        <v>114</v>
      </c>
      <c r="L39" s="94">
        <v>172.7</v>
      </c>
      <c r="M39" s="97" t="s">
        <v>114</v>
      </c>
      <c r="O39" s="97"/>
      <c r="P39" s="97"/>
      <c r="Q39" s="97"/>
      <c r="R39" s="97"/>
      <c r="S39" s="97"/>
      <c r="T39" s="97"/>
      <c r="U39" s="97"/>
      <c r="V39" s="5"/>
      <c r="W39" s="94"/>
      <c r="X39" s="97"/>
    </row>
    <row r="40" spans="1:24" x14ac:dyDescent="0.25">
      <c r="A40" s="197" t="s">
        <v>284</v>
      </c>
      <c r="B40" s="197" t="s">
        <v>18</v>
      </c>
      <c r="C40" s="4" t="s">
        <v>17</v>
      </c>
      <c r="D40" s="5">
        <v>165.1</v>
      </c>
      <c r="E40" s="5">
        <v>153.6</v>
      </c>
      <c r="F40" s="5">
        <v>180.5</v>
      </c>
      <c r="G40" s="5">
        <v>140.30000000000001</v>
      </c>
      <c r="H40" s="5">
        <v>151.5</v>
      </c>
      <c r="I40" s="5">
        <v>204.8</v>
      </c>
      <c r="J40" s="5">
        <v>146.6</v>
      </c>
      <c r="K40" s="5" t="s">
        <v>114</v>
      </c>
      <c r="L40" s="5">
        <v>165.5</v>
      </c>
      <c r="M40" s="5" t="s">
        <v>114</v>
      </c>
      <c r="O40" s="5"/>
      <c r="P40" s="5"/>
      <c r="Q40" s="5"/>
      <c r="R40" s="5"/>
      <c r="S40" s="5"/>
      <c r="T40" s="5"/>
      <c r="U40" s="5"/>
      <c r="V40" s="5"/>
      <c r="W40" s="5"/>
      <c r="X40" s="5"/>
    </row>
    <row r="41" spans="1:24" x14ac:dyDescent="0.25">
      <c r="A41" s="197"/>
      <c r="B41" s="197"/>
      <c r="C41" s="4" t="s">
        <v>21</v>
      </c>
      <c r="D41" s="5">
        <v>184</v>
      </c>
      <c r="E41" s="5">
        <v>117.3</v>
      </c>
      <c r="F41" s="5">
        <v>201.2</v>
      </c>
      <c r="G41" s="5">
        <v>137</v>
      </c>
      <c r="H41" s="5">
        <v>136.69999999999999</v>
      </c>
      <c r="I41" s="5">
        <v>242</v>
      </c>
      <c r="J41" s="5">
        <v>201.5</v>
      </c>
      <c r="K41" s="5" t="s">
        <v>114</v>
      </c>
      <c r="L41" s="5">
        <v>180.1</v>
      </c>
      <c r="M41" s="5" t="s">
        <v>114</v>
      </c>
      <c r="O41" s="5"/>
      <c r="P41" s="5"/>
      <c r="Q41" s="5"/>
      <c r="R41" s="5"/>
      <c r="S41" s="5"/>
      <c r="T41" s="5"/>
      <c r="U41" s="5"/>
      <c r="V41" s="5"/>
      <c r="W41" s="5"/>
      <c r="X41" s="5"/>
    </row>
    <row r="42" spans="1:24" x14ac:dyDescent="0.25">
      <c r="A42" s="197"/>
      <c r="B42" s="197"/>
      <c r="C42" s="95" t="s">
        <v>11</v>
      </c>
      <c r="D42" s="97">
        <v>169</v>
      </c>
      <c r="E42" s="97">
        <v>147.9</v>
      </c>
      <c r="F42" s="97">
        <v>186</v>
      </c>
      <c r="G42" s="97">
        <v>139.6</v>
      </c>
      <c r="H42" s="97">
        <v>147</v>
      </c>
      <c r="I42" s="97">
        <v>217.6</v>
      </c>
      <c r="J42" s="97">
        <v>159.19999999999999</v>
      </c>
      <c r="K42" s="97" t="s">
        <v>114</v>
      </c>
      <c r="L42" s="97">
        <v>169</v>
      </c>
      <c r="M42" s="97" t="s">
        <v>114</v>
      </c>
      <c r="O42" s="97"/>
      <c r="P42" s="97"/>
      <c r="Q42" s="97"/>
      <c r="R42" s="97"/>
      <c r="S42" s="97"/>
      <c r="T42" s="97"/>
      <c r="U42" s="97"/>
      <c r="V42" s="5"/>
      <c r="W42" s="97"/>
      <c r="X42" s="97"/>
    </row>
    <row r="43" spans="1:24" ht="15" customHeight="1" x14ac:dyDescent="0.25">
      <c r="A43" s="197"/>
      <c r="B43" s="197" t="s">
        <v>19</v>
      </c>
      <c r="C43" s="4" t="s">
        <v>17</v>
      </c>
      <c r="D43" s="5">
        <v>174.4</v>
      </c>
      <c r="E43" s="5">
        <v>156.69999999999999</v>
      </c>
      <c r="F43" s="5">
        <v>192.9</v>
      </c>
      <c r="G43" s="5">
        <v>138.30000000000001</v>
      </c>
      <c r="H43" s="5">
        <v>134.1</v>
      </c>
      <c r="I43" s="5">
        <v>211</v>
      </c>
      <c r="J43" s="5">
        <v>170</v>
      </c>
      <c r="K43" s="5" t="s">
        <v>114</v>
      </c>
      <c r="L43" s="5">
        <v>168.3</v>
      </c>
      <c r="M43" s="5" t="s">
        <v>114</v>
      </c>
      <c r="O43" s="5"/>
      <c r="P43" s="5"/>
      <c r="Q43" s="5"/>
      <c r="R43" s="5"/>
      <c r="S43" s="5"/>
      <c r="T43" s="5"/>
      <c r="U43" s="5"/>
      <c r="V43" s="5"/>
      <c r="W43" s="5"/>
      <c r="X43" s="5"/>
    </row>
    <row r="44" spans="1:24" x14ac:dyDescent="0.25">
      <c r="A44" s="197"/>
      <c r="B44" s="197"/>
      <c r="C44" s="4" t="s">
        <v>21</v>
      </c>
      <c r="D44" s="5">
        <v>175.4</v>
      </c>
      <c r="E44" s="5">
        <v>144.1</v>
      </c>
      <c r="F44" s="5">
        <v>189.8</v>
      </c>
      <c r="G44" s="5">
        <v>128.4</v>
      </c>
      <c r="H44" s="5">
        <v>146.9</v>
      </c>
      <c r="I44" s="5">
        <v>203.6</v>
      </c>
      <c r="J44" s="5">
        <v>177.7</v>
      </c>
      <c r="K44" s="5" t="s">
        <v>114</v>
      </c>
      <c r="L44" s="5">
        <v>166.9</v>
      </c>
      <c r="M44" s="5" t="s">
        <v>114</v>
      </c>
      <c r="O44" s="5"/>
      <c r="P44" s="5"/>
      <c r="Q44" s="5"/>
      <c r="R44" s="5"/>
      <c r="S44" s="5"/>
      <c r="T44" s="5"/>
      <c r="U44" s="5"/>
      <c r="V44" s="5"/>
      <c r="W44" s="5"/>
      <c r="X44" s="5"/>
    </row>
    <row r="45" spans="1:24" x14ac:dyDescent="0.25">
      <c r="A45" s="197"/>
      <c r="B45" s="197"/>
      <c r="C45" s="95" t="s">
        <v>11</v>
      </c>
      <c r="D45" s="97">
        <v>174.7</v>
      </c>
      <c r="E45" s="97">
        <v>155.19999999999999</v>
      </c>
      <c r="F45" s="97">
        <v>192.3</v>
      </c>
      <c r="G45" s="97">
        <v>136</v>
      </c>
      <c r="H45" s="97">
        <v>136.9</v>
      </c>
      <c r="I45" s="97">
        <v>210.7</v>
      </c>
      <c r="J45" s="97">
        <v>172.1</v>
      </c>
      <c r="K45" s="97" t="s">
        <v>114</v>
      </c>
      <c r="L45" s="97">
        <v>168.2</v>
      </c>
      <c r="M45" s="97" t="s">
        <v>114</v>
      </c>
      <c r="O45" s="97"/>
      <c r="P45" s="97"/>
      <c r="Q45" s="97"/>
      <c r="R45" s="97"/>
      <c r="S45" s="97"/>
      <c r="T45" s="97"/>
      <c r="U45" s="97"/>
      <c r="V45" s="5"/>
      <c r="W45" s="97"/>
      <c r="X45" s="97"/>
    </row>
    <row r="46" spans="1:24" x14ac:dyDescent="0.25">
      <c r="A46" s="197"/>
      <c r="B46" s="197" t="s">
        <v>11</v>
      </c>
      <c r="C46" s="4" t="s">
        <v>17</v>
      </c>
      <c r="D46" s="5">
        <v>167.3</v>
      </c>
      <c r="E46" s="5">
        <v>155.6</v>
      </c>
      <c r="F46" s="5">
        <v>184.9</v>
      </c>
      <c r="G46" s="5">
        <v>139.4</v>
      </c>
      <c r="H46" s="5">
        <v>142.9</v>
      </c>
      <c r="I46" s="5">
        <v>205.2</v>
      </c>
      <c r="J46" s="5">
        <v>162.30000000000001</v>
      </c>
      <c r="K46" s="5" t="s">
        <v>114</v>
      </c>
      <c r="L46" s="5">
        <v>166.2</v>
      </c>
      <c r="M46" s="5" t="s">
        <v>114</v>
      </c>
      <c r="O46" s="5"/>
      <c r="P46" s="5"/>
      <c r="Q46" s="5"/>
      <c r="R46" s="5"/>
      <c r="S46" s="5"/>
      <c r="T46" s="5"/>
      <c r="U46" s="5"/>
      <c r="V46" s="5"/>
      <c r="W46" s="5"/>
      <c r="X46" s="5"/>
    </row>
    <row r="47" spans="1:24" x14ac:dyDescent="0.25">
      <c r="A47" s="197"/>
      <c r="B47" s="197"/>
      <c r="C47" s="4" t="s">
        <v>21</v>
      </c>
      <c r="D47" s="5">
        <v>179.3</v>
      </c>
      <c r="E47" s="5">
        <v>137.69999999999999</v>
      </c>
      <c r="F47" s="5">
        <v>197.5</v>
      </c>
      <c r="G47" s="5">
        <v>133.4</v>
      </c>
      <c r="H47" s="5">
        <v>140.6</v>
      </c>
      <c r="I47" s="5">
        <v>217.7</v>
      </c>
      <c r="J47" s="5">
        <v>184</v>
      </c>
      <c r="K47" s="5" t="s">
        <v>114</v>
      </c>
      <c r="L47" s="5">
        <v>174.3</v>
      </c>
      <c r="M47" s="5" t="s">
        <v>114</v>
      </c>
      <c r="O47" s="5"/>
      <c r="P47" s="5"/>
      <c r="Q47" s="5"/>
      <c r="R47" s="5"/>
      <c r="S47" s="5"/>
      <c r="T47" s="5"/>
      <c r="U47" s="5"/>
      <c r="V47" s="5"/>
      <c r="W47" s="5"/>
      <c r="X47" s="5"/>
    </row>
    <row r="48" spans="1:24" x14ac:dyDescent="0.25">
      <c r="A48" s="197"/>
      <c r="B48" s="197"/>
      <c r="C48" s="95" t="s">
        <v>11</v>
      </c>
      <c r="D48" s="97">
        <v>169.7</v>
      </c>
      <c r="E48" s="97">
        <v>153.30000000000001</v>
      </c>
      <c r="F48" s="97">
        <v>187.9</v>
      </c>
      <c r="G48" s="97">
        <v>138.1</v>
      </c>
      <c r="H48" s="97">
        <v>142.30000000000001</v>
      </c>
      <c r="I48" s="97">
        <v>209.2</v>
      </c>
      <c r="J48" s="97">
        <v>168.1</v>
      </c>
      <c r="K48" s="97" t="s">
        <v>114</v>
      </c>
      <c r="L48" s="97">
        <v>167.9</v>
      </c>
      <c r="M48" s="97" t="s">
        <v>114</v>
      </c>
      <c r="O48" s="97"/>
      <c r="P48" s="97"/>
      <c r="Q48" s="97"/>
      <c r="R48" s="97"/>
      <c r="S48" s="97"/>
      <c r="T48" s="97"/>
      <c r="U48" s="97"/>
      <c r="V48" s="5"/>
      <c r="W48" s="97"/>
      <c r="X48" s="97"/>
    </row>
    <row r="49" spans="1:15" ht="2.25" customHeight="1" x14ac:dyDescent="0.25">
      <c r="A49" s="2"/>
      <c r="K49" s="5" t="s">
        <v>114</v>
      </c>
      <c r="L49" s="5"/>
      <c r="O49" s="127"/>
    </row>
    <row r="50" spans="1:15" ht="11.1" customHeight="1" x14ac:dyDescent="0.25">
      <c r="A50" s="195" t="s">
        <v>23</v>
      </c>
      <c r="B50" s="195"/>
      <c r="C50" s="195"/>
      <c r="D50" s="195"/>
      <c r="E50" s="195"/>
      <c r="F50" s="195"/>
      <c r="G50" s="195"/>
      <c r="H50" s="195"/>
      <c r="I50" s="195"/>
      <c r="J50" s="195"/>
      <c r="K50" s="195"/>
      <c r="L50" s="198"/>
      <c r="M50" s="195"/>
    </row>
    <row r="51" spans="1:15" s="6" customFormat="1" ht="11.1" customHeight="1" x14ac:dyDescent="0.15">
      <c r="A51" s="6" t="s">
        <v>153</v>
      </c>
    </row>
    <row r="52" spans="1:15" s="6" customFormat="1" ht="11.1" customHeight="1" x14ac:dyDescent="0.15">
      <c r="A52" s="6" t="s">
        <v>66</v>
      </c>
    </row>
    <row r="53" spans="1:15" s="6" customFormat="1" ht="11.1" customHeight="1" x14ac:dyDescent="0.15">
      <c r="A53" s="6" t="s">
        <v>67</v>
      </c>
    </row>
    <row r="54" spans="1:15" s="6" customFormat="1" ht="11.1" customHeight="1" x14ac:dyDescent="0.15">
      <c r="A54" s="6" t="s">
        <v>68</v>
      </c>
    </row>
    <row r="55" spans="1:15" s="6" customFormat="1" ht="11.1" customHeight="1" x14ac:dyDescent="0.15">
      <c r="A55" s="6" t="s">
        <v>340</v>
      </c>
    </row>
    <row r="56" spans="1:15" s="6" customFormat="1" ht="11.1" customHeight="1" x14ac:dyDescent="0.15">
      <c r="A56" s="6" t="s">
        <v>14</v>
      </c>
    </row>
    <row r="57" spans="1:15" s="6" customFormat="1" ht="11.1" customHeight="1" x14ac:dyDescent="0.15">
      <c r="A57" s="6" t="s">
        <v>263</v>
      </c>
    </row>
    <row r="58" spans="1:15" ht="12" customHeight="1" x14ac:dyDescent="0.25">
      <c r="A58" s="2"/>
    </row>
  </sheetData>
  <mergeCells count="22">
    <mergeCell ref="A1:M1"/>
    <mergeCell ref="A4:A12"/>
    <mergeCell ref="B4:B6"/>
    <mergeCell ref="B7:B9"/>
    <mergeCell ref="B10:B12"/>
    <mergeCell ref="A13:A21"/>
    <mergeCell ref="B13:B15"/>
    <mergeCell ref="B16:B18"/>
    <mergeCell ref="B19:B21"/>
    <mergeCell ref="A22:A30"/>
    <mergeCell ref="B22:B24"/>
    <mergeCell ref="B25:B27"/>
    <mergeCell ref="B28:B30"/>
    <mergeCell ref="A50:M50"/>
    <mergeCell ref="A31:A39"/>
    <mergeCell ref="B31:B33"/>
    <mergeCell ref="B34:B36"/>
    <mergeCell ref="B37:B39"/>
    <mergeCell ref="A40:A48"/>
    <mergeCell ref="B40:B42"/>
    <mergeCell ref="B43:B45"/>
    <mergeCell ref="B46:B48"/>
  </mergeCells>
  <pageMargins left="0.08" right="0.08" top="1" bottom="1" header="0.5" footer="0.5"/>
  <pageSetup orientation="landscape" blackAndWhite="1"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X61"/>
  <sheetViews>
    <sheetView zoomScaleNormal="100" workbookViewId="0">
      <selection sqref="A1:K1"/>
    </sheetView>
  </sheetViews>
  <sheetFormatPr defaultColWidth="9.140625" defaultRowHeight="15" x14ac:dyDescent="0.25"/>
  <cols>
    <col min="1" max="1" width="14" style="1" customWidth="1"/>
    <col min="2" max="2" width="16.28515625" style="1" customWidth="1"/>
    <col min="3" max="7" width="11.42578125" style="1" bestFit="1" customWidth="1"/>
    <col min="8" max="9" width="11.42578125" style="18" bestFit="1" customWidth="1"/>
    <col min="10" max="11" width="11.42578125" style="1" bestFit="1" customWidth="1"/>
    <col min="12" max="13" width="9.140625" style="1"/>
    <col min="14" max="14" width="17.85546875" style="1" bestFit="1" customWidth="1"/>
    <col min="15" max="16384" width="9.140625" style="1"/>
  </cols>
  <sheetData>
    <row r="1" spans="1:23" ht="33" customHeight="1" x14ac:dyDescent="0.25">
      <c r="A1" s="188" t="s">
        <v>328</v>
      </c>
      <c r="B1" s="188"/>
      <c r="C1" s="188"/>
      <c r="D1" s="188"/>
      <c r="E1" s="188"/>
      <c r="F1" s="188"/>
      <c r="G1" s="188"/>
      <c r="H1" s="188"/>
      <c r="I1" s="188"/>
      <c r="J1" s="188"/>
      <c r="K1" s="188"/>
    </row>
    <row r="2" spans="1:23" ht="3" customHeight="1" x14ac:dyDescent="0.25">
      <c r="A2" s="2"/>
    </row>
    <row r="3" spans="1:23" x14ac:dyDescent="0.25">
      <c r="A3" s="40" t="s">
        <v>132</v>
      </c>
      <c r="B3" s="40" t="s">
        <v>120</v>
      </c>
      <c r="C3" s="3" t="s">
        <v>0</v>
      </c>
      <c r="D3" s="3" t="s">
        <v>1</v>
      </c>
      <c r="E3" s="3" t="s">
        <v>2</v>
      </c>
      <c r="F3" s="3" t="s">
        <v>3</v>
      </c>
      <c r="G3" s="3" t="s">
        <v>4</v>
      </c>
      <c r="H3" s="68" t="s">
        <v>5</v>
      </c>
      <c r="I3" s="68" t="s">
        <v>6</v>
      </c>
      <c r="J3" s="3" t="s">
        <v>7</v>
      </c>
      <c r="K3" s="3" t="s">
        <v>8</v>
      </c>
    </row>
    <row r="4" spans="1:23" ht="15" customHeight="1" x14ac:dyDescent="0.25">
      <c r="A4" s="187" t="s">
        <v>69</v>
      </c>
      <c r="B4" s="23" t="s">
        <v>18</v>
      </c>
      <c r="C4" s="5">
        <v>55.9</v>
      </c>
      <c r="D4" s="5">
        <v>41.8</v>
      </c>
      <c r="E4" s="5">
        <v>141.69999999999999</v>
      </c>
      <c r="F4" s="5">
        <v>32.6</v>
      </c>
      <c r="G4" s="5">
        <v>53.5</v>
      </c>
      <c r="H4" s="5">
        <v>10</v>
      </c>
      <c r="I4" s="5">
        <v>13.6</v>
      </c>
      <c r="J4" s="5" t="s">
        <v>114</v>
      </c>
      <c r="K4" s="5">
        <v>349</v>
      </c>
      <c r="M4" s="5"/>
      <c r="N4" s="5"/>
      <c r="O4" s="5"/>
      <c r="P4" s="5"/>
      <c r="Q4" s="5"/>
      <c r="R4" s="5"/>
      <c r="S4" s="5"/>
      <c r="T4" s="5"/>
      <c r="U4" s="5"/>
      <c r="W4" s="127"/>
    </row>
    <row r="5" spans="1:23" ht="15" customHeight="1" x14ac:dyDescent="0.25">
      <c r="A5" s="187"/>
      <c r="B5" s="23" t="s">
        <v>19</v>
      </c>
      <c r="C5" s="5">
        <v>24</v>
      </c>
      <c r="D5" s="5">
        <v>166.4</v>
      </c>
      <c r="E5" s="5">
        <v>71</v>
      </c>
      <c r="F5" s="5">
        <v>27.4</v>
      </c>
      <c r="G5" s="5">
        <v>36.200000000000003</v>
      </c>
      <c r="H5" s="5">
        <v>12.7</v>
      </c>
      <c r="I5" s="5">
        <v>34.5</v>
      </c>
      <c r="J5" s="5" t="s">
        <v>114</v>
      </c>
      <c r="K5" s="5">
        <v>372.1</v>
      </c>
      <c r="M5" s="5"/>
      <c r="N5" s="5"/>
      <c r="O5" s="5"/>
      <c r="P5" s="5"/>
      <c r="Q5" s="5"/>
      <c r="R5" s="5"/>
      <c r="S5" s="5"/>
      <c r="T5" s="5"/>
      <c r="U5" s="5"/>
    </row>
    <row r="6" spans="1:23" ht="15" customHeight="1" x14ac:dyDescent="0.25">
      <c r="A6" s="187"/>
      <c r="B6" s="23" t="s">
        <v>20</v>
      </c>
      <c r="C6" s="5">
        <v>1.5</v>
      </c>
      <c r="D6" s="5">
        <v>0.3</v>
      </c>
      <c r="E6" s="5">
        <v>0.4</v>
      </c>
      <c r="F6" s="8" t="s">
        <v>109</v>
      </c>
      <c r="G6" s="5">
        <v>0.9</v>
      </c>
      <c r="H6" s="5">
        <v>0.2</v>
      </c>
      <c r="I6" s="5" t="s">
        <v>109</v>
      </c>
      <c r="J6" s="5" t="s">
        <v>114</v>
      </c>
      <c r="K6" s="5">
        <v>3.4</v>
      </c>
      <c r="M6" s="5"/>
      <c r="N6" s="5"/>
      <c r="O6" s="5"/>
      <c r="P6" s="8"/>
      <c r="Q6" s="5"/>
      <c r="R6" s="5"/>
      <c r="S6" s="5"/>
      <c r="T6" s="5"/>
      <c r="U6" s="5"/>
    </row>
    <row r="7" spans="1:23" ht="15" customHeight="1" x14ac:dyDescent="0.25">
      <c r="A7" s="187"/>
      <c r="B7" s="27" t="s">
        <v>11</v>
      </c>
      <c r="C7" s="97">
        <v>81.400000000000006</v>
      </c>
      <c r="D7" s="97">
        <v>208.4</v>
      </c>
      <c r="E7" s="97">
        <v>213</v>
      </c>
      <c r="F7" s="97">
        <v>60</v>
      </c>
      <c r="G7" s="97">
        <v>90.6</v>
      </c>
      <c r="H7" s="97">
        <v>22.9</v>
      </c>
      <c r="I7" s="97">
        <v>48.1</v>
      </c>
      <c r="J7" s="97" t="s">
        <v>114</v>
      </c>
      <c r="K7" s="97">
        <v>724.4</v>
      </c>
      <c r="M7" s="97"/>
      <c r="N7" s="97"/>
      <c r="O7" s="97"/>
      <c r="P7" s="97"/>
      <c r="Q7" s="97"/>
      <c r="R7" s="97"/>
      <c r="S7" s="97"/>
      <c r="T7" s="97"/>
      <c r="U7" s="97"/>
      <c r="V7" s="129"/>
    </row>
    <row r="8" spans="1:23" ht="15" customHeight="1" x14ac:dyDescent="0.25">
      <c r="A8" s="187" t="s">
        <v>70</v>
      </c>
      <c r="B8" s="23" t="s">
        <v>18</v>
      </c>
      <c r="C8" s="5">
        <v>386</v>
      </c>
      <c r="D8" s="5">
        <v>41.7</v>
      </c>
      <c r="E8" s="5">
        <v>695.3</v>
      </c>
      <c r="F8" s="5">
        <v>232.4</v>
      </c>
      <c r="G8" s="5">
        <v>65</v>
      </c>
      <c r="H8" s="5">
        <v>44.4</v>
      </c>
      <c r="I8" s="5">
        <v>9</v>
      </c>
      <c r="J8" s="5" t="s">
        <v>114</v>
      </c>
      <c r="K8" s="5">
        <v>1473.9</v>
      </c>
      <c r="M8" s="5"/>
      <c r="N8" s="5"/>
      <c r="O8" s="5"/>
      <c r="P8" s="5"/>
      <c r="Q8" s="5"/>
      <c r="R8" s="5"/>
      <c r="S8" s="5"/>
      <c r="T8" s="5"/>
      <c r="U8" s="5"/>
    </row>
    <row r="9" spans="1:23" ht="15" customHeight="1" x14ac:dyDescent="0.25">
      <c r="A9" s="187"/>
      <c r="B9" s="23" t="s">
        <v>19</v>
      </c>
      <c r="C9" s="5">
        <v>329.1</v>
      </c>
      <c r="D9" s="5">
        <v>192.6</v>
      </c>
      <c r="E9" s="5">
        <v>424.2</v>
      </c>
      <c r="F9" s="5">
        <v>163.69999999999999</v>
      </c>
      <c r="G9" s="5">
        <v>56.3</v>
      </c>
      <c r="H9" s="5">
        <v>80.7</v>
      </c>
      <c r="I9" s="5">
        <v>18</v>
      </c>
      <c r="J9" s="5" t="s">
        <v>114</v>
      </c>
      <c r="K9" s="5">
        <v>1264.5999999999999</v>
      </c>
      <c r="M9" s="5"/>
      <c r="N9" s="5"/>
      <c r="O9" s="5"/>
      <c r="P9" s="5"/>
      <c r="Q9" s="5"/>
      <c r="R9" s="5"/>
      <c r="S9" s="5"/>
      <c r="T9" s="5"/>
      <c r="U9" s="5"/>
    </row>
    <row r="10" spans="1:23" ht="15" customHeight="1" x14ac:dyDescent="0.25">
      <c r="A10" s="187"/>
      <c r="B10" s="23" t="s">
        <v>20</v>
      </c>
      <c r="C10" s="5">
        <v>23.5</v>
      </c>
      <c r="D10" s="8" t="s">
        <v>109</v>
      </c>
      <c r="E10" s="5">
        <v>3.9</v>
      </c>
      <c r="F10" s="8" t="s">
        <v>109</v>
      </c>
      <c r="G10" s="5">
        <v>2.2000000000000002</v>
      </c>
      <c r="H10" s="5">
        <v>0.5</v>
      </c>
      <c r="I10" s="5" t="s">
        <v>109</v>
      </c>
      <c r="J10" s="5" t="s">
        <v>114</v>
      </c>
      <c r="K10" s="5">
        <v>30.1</v>
      </c>
      <c r="M10" s="5"/>
      <c r="N10" s="8"/>
      <c r="O10" s="5"/>
      <c r="P10" s="8"/>
      <c r="Q10" s="5"/>
      <c r="R10" s="5"/>
      <c r="S10" s="5"/>
      <c r="T10" s="5"/>
      <c r="U10" s="5"/>
    </row>
    <row r="11" spans="1:23" ht="15" customHeight="1" x14ac:dyDescent="0.25">
      <c r="A11" s="187"/>
      <c r="B11" s="27" t="s">
        <v>11</v>
      </c>
      <c r="C11" s="97">
        <v>738.6</v>
      </c>
      <c r="D11" s="97">
        <v>234.4</v>
      </c>
      <c r="E11" s="97">
        <v>1123.5</v>
      </c>
      <c r="F11" s="97">
        <v>396.1</v>
      </c>
      <c r="G11" s="97">
        <v>123.5</v>
      </c>
      <c r="H11" s="97">
        <v>125.6</v>
      </c>
      <c r="I11" s="97">
        <v>27</v>
      </c>
      <c r="J11" s="97" t="s">
        <v>114</v>
      </c>
      <c r="K11" s="97">
        <v>2768.7</v>
      </c>
      <c r="L11" s="129"/>
      <c r="M11" s="97"/>
      <c r="N11" s="97"/>
      <c r="O11" s="97"/>
      <c r="P11" s="97"/>
      <c r="Q11" s="97"/>
      <c r="R11" s="97"/>
      <c r="S11" s="97"/>
      <c r="T11" s="97"/>
      <c r="U11" s="97"/>
      <c r="V11" s="129"/>
      <c r="W11" s="129"/>
    </row>
    <row r="12" spans="1:23" ht="15" customHeight="1" x14ac:dyDescent="0.25">
      <c r="A12" s="187" t="s">
        <v>11</v>
      </c>
      <c r="B12" s="23" t="s">
        <v>18</v>
      </c>
      <c r="C12" s="5">
        <v>432.1</v>
      </c>
      <c r="D12" s="5">
        <v>78.599999999999994</v>
      </c>
      <c r="E12" s="5">
        <v>785.7</v>
      </c>
      <c r="F12" s="5">
        <v>259.5</v>
      </c>
      <c r="G12" s="5">
        <v>112.3</v>
      </c>
      <c r="H12" s="5">
        <v>53.6</v>
      </c>
      <c r="I12" s="5">
        <v>20.9</v>
      </c>
      <c r="J12" s="5" t="s">
        <v>114</v>
      </c>
      <c r="K12" s="5">
        <v>1742.7</v>
      </c>
      <c r="M12" s="5"/>
      <c r="N12" s="5"/>
      <c r="O12" s="5"/>
      <c r="P12" s="5"/>
      <c r="Q12" s="5"/>
      <c r="R12" s="5"/>
      <c r="S12" s="5"/>
      <c r="T12" s="5"/>
      <c r="U12" s="5"/>
    </row>
    <row r="13" spans="1:23" ht="15" customHeight="1" x14ac:dyDescent="0.25">
      <c r="A13" s="187"/>
      <c r="B13" s="23" t="s">
        <v>19</v>
      </c>
      <c r="C13" s="5">
        <v>350.2</v>
      </c>
      <c r="D13" s="5">
        <v>340.4</v>
      </c>
      <c r="E13" s="5">
        <v>473.8</v>
      </c>
      <c r="F13" s="5">
        <v>185.4</v>
      </c>
      <c r="G13" s="5">
        <v>88.1</v>
      </c>
      <c r="H13" s="5">
        <v>92.9</v>
      </c>
      <c r="I13" s="5">
        <v>50</v>
      </c>
      <c r="J13" s="5" t="s">
        <v>114</v>
      </c>
      <c r="K13" s="5">
        <v>1580.6</v>
      </c>
      <c r="M13" s="5"/>
      <c r="N13" s="5"/>
      <c r="O13" s="5"/>
      <c r="P13" s="5"/>
      <c r="Q13" s="5"/>
      <c r="R13" s="5"/>
      <c r="S13" s="5"/>
      <c r="T13" s="5"/>
      <c r="U13" s="5"/>
    </row>
    <row r="14" spans="1:23" ht="15" customHeight="1" x14ac:dyDescent="0.25">
      <c r="A14" s="187"/>
      <c r="B14" s="23" t="s">
        <v>20</v>
      </c>
      <c r="C14" s="5">
        <v>26.6</v>
      </c>
      <c r="D14" s="5">
        <v>0.4</v>
      </c>
      <c r="E14" s="5">
        <v>4.3</v>
      </c>
      <c r="F14" s="8" t="s">
        <v>109</v>
      </c>
      <c r="G14" s="5">
        <v>3.1</v>
      </c>
      <c r="H14" s="5">
        <v>0.7</v>
      </c>
      <c r="I14" s="5" t="s">
        <v>109</v>
      </c>
      <c r="J14" s="5" t="s">
        <v>114</v>
      </c>
      <c r="K14" s="5">
        <v>35.1</v>
      </c>
      <c r="M14" s="5"/>
      <c r="N14" s="5"/>
      <c r="O14" s="5"/>
      <c r="P14" s="8"/>
      <c r="Q14" s="5"/>
      <c r="R14" s="5"/>
      <c r="S14" s="5"/>
      <c r="T14" s="5"/>
      <c r="U14" s="5"/>
    </row>
    <row r="15" spans="1:23" ht="15" customHeight="1" x14ac:dyDescent="0.25">
      <c r="A15" s="187"/>
      <c r="B15" s="27" t="s">
        <v>11</v>
      </c>
      <c r="C15" s="97">
        <v>808.9</v>
      </c>
      <c r="D15" s="97">
        <v>419.4</v>
      </c>
      <c r="E15" s="97">
        <v>1263.8</v>
      </c>
      <c r="F15" s="97">
        <v>444.9</v>
      </c>
      <c r="G15" s="97">
        <v>203.4</v>
      </c>
      <c r="H15" s="97">
        <v>147.19999999999999</v>
      </c>
      <c r="I15" s="97">
        <v>70.900000000000006</v>
      </c>
      <c r="J15" s="97" t="s">
        <v>114</v>
      </c>
      <c r="K15" s="97">
        <v>3358.4</v>
      </c>
      <c r="M15" s="97"/>
      <c r="N15" s="97"/>
      <c r="O15" s="97"/>
      <c r="P15" s="97"/>
      <c r="Q15" s="97"/>
      <c r="R15" s="97"/>
      <c r="S15" s="97"/>
      <c r="T15" s="97"/>
      <c r="U15" s="97"/>
    </row>
    <row r="16" spans="1:23" ht="1.5" customHeight="1" x14ac:dyDescent="0.25">
      <c r="A16" s="2"/>
      <c r="J16" s="5" t="s">
        <v>114</v>
      </c>
      <c r="M16" s="129"/>
      <c r="N16" s="155"/>
    </row>
    <row r="17" spans="1:24" ht="11.1" customHeight="1" x14ac:dyDescent="0.25">
      <c r="A17" s="184" t="s">
        <v>12</v>
      </c>
      <c r="B17" s="184"/>
      <c r="C17" s="184"/>
      <c r="D17" s="184"/>
      <c r="E17" s="184"/>
      <c r="F17" s="184"/>
      <c r="G17" s="184"/>
      <c r="H17" s="184"/>
      <c r="I17" s="184"/>
      <c r="J17" s="184"/>
      <c r="K17" s="184"/>
    </row>
    <row r="18" spans="1:24" s="6" customFormat="1" ht="11.1" customHeight="1" x14ac:dyDescent="0.15">
      <c r="A18" s="6" t="s">
        <v>13</v>
      </c>
      <c r="H18" s="69"/>
      <c r="I18" s="69"/>
    </row>
    <row r="19" spans="1:24" s="6" customFormat="1" ht="13.5" customHeight="1" x14ac:dyDescent="0.15">
      <c r="A19" s="186" t="s">
        <v>23</v>
      </c>
      <c r="B19" s="186"/>
      <c r="C19" s="186"/>
      <c r="D19" s="186"/>
      <c r="E19" s="186"/>
      <c r="F19" s="186"/>
      <c r="G19" s="186"/>
      <c r="H19" s="186"/>
      <c r="I19" s="186"/>
      <c r="J19" s="186"/>
      <c r="K19" s="186"/>
    </row>
    <row r="20" spans="1:24" s="6" customFormat="1" ht="21" customHeight="1" x14ac:dyDescent="0.15">
      <c r="A20" s="186" t="s">
        <v>73</v>
      </c>
      <c r="B20" s="186"/>
      <c r="C20" s="186"/>
      <c r="D20" s="186"/>
      <c r="E20" s="186"/>
      <c r="F20" s="186"/>
      <c r="G20" s="186"/>
      <c r="H20" s="186"/>
      <c r="I20" s="186"/>
      <c r="J20" s="186"/>
      <c r="K20" s="186"/>
    </row>
    <row r="21" spans="1:24" s="6" customFormat="1" ht="9" x14ac:dyDescent="0.15">
      <c r="A21" s="186" t="s">
        <v>264</v>
      </c>
      <c r="B21" s="186"/>
      <c r="C21" s="186"/>
      <c r="D21" s="186"/>
      <c r="E21" s="186"/>
      <c r="F21" s="186"/>
      <c r="G21" s="186"/>
      <c r="H21" s="186"/>
      <c r="I21" s="186"/>
      <c r="J21" s="186"/>
      <c r="K21" s="186"/>
    </row>
    <row r="22" spans="1:24" s="6" customFormat="1" ht="11.1" customHeight="1" x14ac:dyDescent="0.15">
      <c r="A22" s="6" t="s">
        <v>14</v>
      </c>
      <c r="H22" s="69"/>
      <c r="I22" s="69"/>
    </row>
    <row r="23" spans="1:24" s="6" customFormat="1" ht="11.1" customHeight="1" x14ac:dyDescent="0.15">
      <c r="A23" s="6" t="s">
        <v>263</v>
      </c>
      <c r="H23" s="69"/>
      <c r="I23" s="69"/>
    </row>
    <row r="24" spans="1:24" ht="12" customHeight="1" x14ac:dyDescent="0.25">
      <c r="A24" s="2"/>
    </row>
    <row r="25" spans="1:24" ht="27.95" customHeight="1" x14ac:dyDescent="0.25">
      <c r="A25" s="189" t="s">
        <v>329</v>
      </c>
      <c r="B25" s="189"/>
      <c r="C25" s="189"/>
      <c r="D25" s="189"/>
      <c r="E25" s="189"/>
      <c r="F25" s="189"/>
      <c r="G25" s="189"/>
      <c r="H25" s="189"/>
      <c r="I25" s="189"/>
      <c r="J25" s="189"/>
      <c r="K25" s="189"/>
    </row>
    <row r="26" spans="1:24" ht="1.5" customHeight="1" x14ac:dyDescent="0.25">
      <c r="A26" s="2"/>
    </row>
    <row r="27" spans="1:24" x14ac:dyDescent="0.25">
      <c r="A27" s="40" t="s">
        <v>132</v>
      </c>
      <c r="B27" s="40" t="s">
        <v>120</v>
      </c>
      <c r="C27" s="3" t="s">
        <v>0</v>
      </c>
      <c r="D27" s="3" t="s">
        <v>1</v>
      </c>
      <c r="E27" s="3" t="s">
        <v>2</v>
      </c>
      <c r="F27" s="3" t="s">
        <v>3</v>
      </c>
      <c r="G27" s="3" t="s">
        <v>4</v>
      </c>
      <c r="H27" s="68" t="s">
        <v>5</v>
      </c>
      <c r="I27" s="68" t="s">
        <v>6</v>
      </c>
      <c r="J27" s="3" t="s">
        <v>7</v>
      </c>
      <c r="K27" s="10" t="s">
        <v>8</v>
      </c>
      <c r="L27" s="8"/>
      <c r="M27" s="8"/>
      <c r="N27" s="8"/>
      <c r="O27" s="8"/>
      <c r="P27" s="8"/>
      <c r="Q27" s="8"/>
      <c r="R27" s="8"/>
      <c r="S27" s="8"/>
      <c r="T27" s="8"/>
      <c r="U27" s="8"/>
      <c r="V27" s="8"/>
      <c r="W27" s="8"/>
    </row>
    <row r="28" spans="1:24" x14ac:dyDescent="0.25">
      <c r="A28" s="187" t="s">
        <v>69</v>
      </c>
      <c r="B28" s="23" t="s">
        <v>18</v>
      </c>
      <c r="C28" s="112">
        <v>237</v>
      </c>
      <c r="D28" s="112">
        <v>150</v>
      </c>
      <c r="E28" s="112">
        <v>493</v>
      </c>
      <c r="F28" s="112">
        <v>234</v>
      </c>
      <c r="G28" s="112">
        <v>179</v>
      </c>
      <c r="H28" s="8" t="s">
        <v>116</v>
      </c>
      <c r="I28" s="8" t="s">
        <v>116</v>
      </c>
      <c r="J28" s="112">
        <v>730</v>
      </c>
      <c r="K28" s="112">
        <v>2087</v>
      </c>
      <c r="L28" s="8"/>
      <c r="M28" s="8"/>
      <c r="N28" s="8"/>
      <c r="O28" s="8"/>
      <c r="P28" s="8"/>
      <c r="Q28" s="8"/>
      <c r="R28" s="8"/>
      <c r="S28" s="8"/>
      <c r="T28" s="8"/>
      <c r="U28" s="8"/>
      <c r="V28" s="8"/>
      <c r="W28" s="8"/>
      <c r="X28" s="120"/>
    </row>
    <row r="29" spans="1:24" x14ac:dyDescent="0.25">
      <c r="A29" s="187"/>
      <c r="B29" s="23" t="s">
        <v>19</v>
      </c>
      <c r="C29" s="8">
        <v>127</v>
      </c>
      <c r="D29" s="8">
        <v>575</v>
      </c>
      <c r="E29" s="8">
        <v>243</v>
      </c>
      <c r="F29" s="8">
        <v>147</v>
      </c>
      <c r="G29" s="8">
        <v>133</v>
      </c>
      <c r="H29" s="8" t="s">
        <v>116</v>
      </c>
      <c r="I29" s="8" t="s">
        <v>116</v>
      </c>
      <c r="J29" s="8">
        <v>28</v>
      </c>
      <c r="K29" s="8">
        <v>1365</v>
      </c>
      <c r="M29" s="8"/>
      <c r="N29" s="8"/>
      <c r="O29" s="8"/>
      <c r="P29" s="8"/>
      <c r="Q29" s="8"/>
      <c r="R29" s="8"/>
      <c r="S29" s="8"/>
      <c r="T29" s="8"/>
      <c r="U29" s="8"/>
    </row>
    <row r="30" spans="1:24" x14ac:dyDescent="0.25">
      <c r="A30" s="187"/>
      <c r="B30" s="23" t="s">
        <v>20</v>
      </c>
      <c r="C30" s="8">
        <v>8</v>
      </c>
      <c r="D30" s="8">
        <v>3</v>
      </c>
      <c r="E30" s="8">
        <v>2</v>
      </c>
      <c r="F30" s="8" t="s">
        <v>109</v>
      </c>
      <c r="G30" s="8">
        <v>4</v>
      </c>
      <c r="H30" s="8">
        <v>2</v>
      </c>
      <c r="I30" s="8" t="s">
        <v>109</v>
      </c>
      <c r="J30" s="8">
        <v>22</v>
      </c>
      <c r="K30" s="8">
        <v>41</v>
      </c>
      <c r="M30" s="8"/>
      <c r="N30" s="8"/>
      <c r="O30" s="8"/>
      <c r="P30" s="8"/>
      <c r="Q30" s="8"/>
      <c r="R30" s="8"/>
      <c r="S30" s="8"/>
      <c r="T30" s="8"/>
      <c r="U30" s="8"/>
    </row>
    <row r="31" spans="1:24" x14ac:dyDescent="0.25">
      <c r="A31" s="187"/>
      <c r="B31" s="30" t="s">
        <v>11</v>
      </c>
      <c r="C31" s="94">
        <v>372</v>
      </c>
      <c r="D31" s="94">
        <v>728</v>
      </c>
      <c r="E31" s="94">
        <v>738</v>
      </c>
      <c r="F31" s="94">
        <v>381</v>
      </c>
      <c r="G31" s="94">
        <v>316</v>
      </c>
      <c r="H31" s="94">
        <v>54</v>
      </c>
      <c r="I31" s="94">
        <v>124</v>
      </c>
      <c r="J31" s="94">
        <v>780</v>
      </c>
      <c r="K31" s="94">
        <v>3493</v>
      </c>
      <c r="M31" s="94"/>
      <c r="N31" s="94"/>
      <c r="O31" s="94"/>
      <c r="P31" s="94"/>
      <c r="Q31" s="94"/>
      <c r="R31" s="94"/>
      <c r="S31" s="94"/>
      <c r="T31" s="94"/>
      <c r="U31" s="94"/>
      <c r="V31" s="120"/>
      <c r="W31" s="120"/>
    </row>
    <row r="32" spans="1:24" x14ac:dyDescent="0.25">
      <c r="A32" s="187" t="s">
        <v>70</v>
      </c>
      <c r="B32" s="23" t="s">
        <v>18</v>
      </c>
      <c r="C32" s="8">
        <v>836</v>
      </c>
      <c r="D32" s="8">
        <v>98</v>
      </c>
      <c r="E32" s="8">
        <v>1406</v>
      </c>
      <c r="F32" s="8">
        <v>554</v>
      </c>
      <c r="G32" s="8">
        <v>172</v>
      </c>
      <c r="H32" s="8" t="s">
        <v>116</v>
      </c>
      <c r="I32" s="8" t="s">
        <v>116</v>
      </c>
      <c r="J32" s="8">
        <v>561</v>
      </c>
      <c r="K32" s="8">
        <v>3725</v>
      </c>
      <c r="M32" s="8"/>
      <c r="N32" s="8"/>
      <c r="O32" s="8"/>
      <c r="P32" s="8"/>
      <c r="Q32" s="8"/>
      <c r="R32" s="8"/>
      <c r="S32" s="8"/>
      <c r="T32" s="8"/>
      <c r="U32" s="8"/>
    </row>
    <row r="33" spans="1:24" x14ac:dyDescent="0.25">
      <c r="A33" s="187"/>
      <c r="B33" s="23" t="s">
        <v>19</v>
      </c>
      <c r="C33" s="8">
        <v>677</v>
      </c>
      <c r="D33" s="8">
        <v>465</v>
      </c>
      <c r="E33" s="8">
        <v>830</v>
      </c>
      <c r="F33" s="8">
        <v>439</v>
      </c>
      <c r="G33" s="8">
        <v>150</v>
      </c>
      <c r="H33" s="8" t="s">
        <v>116</v>
      </c>
      <c r="I33" s="8" t="s">
        <v>116</v>
      </c>
      <c r="J33" s="8">
        <v>29</v>
      </c>
      <c r="K33" s="8">
        <v>2777</v>
      </c>
      <c r="M33" s="8"/>
      <c r="N33" s="8"/>
      <c r="O33" s="8"/>
      <c r="P33" s="8"/>
      <c r="Q33" s="8"/>
      <c r="R33" s="8"/>
      <c r="S33" s="8"/>
      <c r="T33" s="8"/>
      <c r="U33" s="8"/>
    </row>
    <row r="34" spans="1:24" x14ac:dyDescent="0.25">
      <c r="A34" s="187"/>
      <c r="B34" s="23" t="s">
        <v>20</v>
      </c>
      <c r="C34" s="8">
        <v>65</v>
      </c>
      <c r="D34" s="8">
        <v>2</v>
      </c>
      <c r="E34" s="8">
        <v>11</v>
      </c>
      <c r="F34" s="8" t="s">
        <v>109</v>
      </c>
      <c r="G34" s="8">
        <v>5</v>
      </c>
      <c r="H34" s="8">
        <v>5</v>
      </c>
      <c r="I34" s="8" t="s">
        <v>109</v>
      </c>
      <c r="J34" s="8">
        <v>18</v>
      </c>
      <c r="K34" s="8">
        <v>106</v>
      </c>
      <c r="M34" s="8"/>
      <c r="N34" s="8"/>
      <c r="O34" s="8"/>
      <c r="P34" s="8"/>
      <c r="Q34" s="8"/>
      <c r="R34" s="8"/>
      <c r="S34" s="8"/>
      <c r="T34" s="8"/>
      <c r="U34" s="8"/>
    </row>
    <row r="35" spans="1:24" x14ac:dyDescent="0.25">
      <c r="A35" s="187"/>
      <c r="B35" s="30" t="s">
        <v>11</v>
      </c>
      <c r="C35" s="94">
        <v>1578</v>
      </c>
      <c r="D35" s="94">
        <v>565</v>
      </c>
      <c r="E35" s="94">
        <v>2247</v>
      </c>
      <c r="F35" s="94">
        <v>993</v>
      </c>
      <c r="G35" s="94">
        <v>327</v>
      </c>
      <c r="H35" s="94">
        <v>231</v>
      </c>
      <c r="I35" s="94">
        <v>59</v>
      </c>
      <c r="J35" s="94">
        <v>608</v>
      </c>
      <c r="K35" s="94">
        <v>6608</v>
      </c>
      <c r="M35" s="94"/>
      <c r="N35" s="94"/>
      <c r="O35" s="94"/>
      <c r="P35" s="94"/>
      <c r="Q35" s="94"/>
      <c r="R35" s="94"/>
      <c r="S35" s="94"/>
      <c r="T35" s="94"/>
      <c r="U35" s="94"/>
      <c r="V35" s="120"/>
      <c r="W35" s="120"/>
      <c r="X35" s="120"/>
    </row>
    <row r="36" spans="1:24" x14ac:dyDescent="0.25">
      <c r="A36" s="187" t="s">
        <v>11</v>
      </c>
      <c r="B36" s="23" t="s">
        <v>18</v>
      </c>
      <c r="C36" s="8">
        <v>934</v>
      </c>
      <c r="D36" s="8">
        <v>194</v>
      </c>
      <c r="E36" s="8">
        <v>1543</v>
      </c>
      <c r="F36" s="8">
        <v>679</v>
      </c>
      <c r="G36" s="8">
        <v>279</v>
      </c>
      <c r="H36" s="8">
        <v>90</v>
      </c>
      <c r="I36" s="8">
        <v>48</v>
      </c>
      <c r="J36" s="8">
        <v>917</v>
      </c>
      <c r="K36" s="8">
        <v>4684</v>
      </c>
      <c r="M36" s="8"/>
      <c r="N36" s="8"/>
      <c r="O36" s="8"/>
      <c r="P36" s="8"/>
      <c r="Q36" s="8"/>
      <c r="R36" s="8"/>
      <c r="S36" s="8"/>
      <c r="T36" s="8"/>
      <c r="U36" s="8"/>
    </row>
    <row r="37" spans="1:24" x14ac:dyDescent="0.25">
      <c r="A37" s="187"/>
      <c r="B37" s="23" t="s">
        <v>19</v>
      </c>
      <c r="C37" s="8">
        <v>732</v>
      </c>
      <c r="D37" s="8">
        <v>801</v>
      </c>
      <c r="E37" s="8">
        <v>900</v>
      </c>
      <c r="F37" s="8">
        <v>498</v>
      </c>
      <c r="G37" s="8">
        <v>235</v>
      </c>
      <c r="H37" s="8">
        <v>161</v>
      </c>
      <c r="I37" s="8">
        <v>106</v>
      </c>
      <c r="J37" s="8">
        <v>44</v>
      </c>
      <c r="K37" s="8">
        <v>3477</v>
      </c>
      <c r="M37" s="8"/>
      <c r="N37" s="8"/>
      <c r="O37" s="8"/>
      <c r="P37" s="8"/>
      <c r="Q37" s="8"/>
      <c r="R37" s="8"/>
      <c r="S37" s="8"/>
      <c r="T37" s="8"/>
      <c r="U37" s="8"/>
    </row>
    <row r="38" spans="1:24" x14ac:dyDescent="0.25">
      <c r="A38" s="187"/>
      <c r="B38" s="23" t="s">
        <v>20</v>
      </c>
      <c r="C38" s="8">
        <v>75</v>
      </c>
      <c r="D38" s="8">
        <v>4</v>
      </c>
      <c r="E38" s="8">
        <v>13</v>
      </c>
      <c r="F38" s="8" t="s">
        <v>109</v>
      </c>
      <c r="G38" s="8">
        <v>8</v>
      </c>
      <c r="H38" s="8">
        <v>6</v>
      </c>
      <c r="I38" s="8" t="s">
        <v>109</v>
      </c>
      <c r="J38" s="8">
        <v>34</v>
      </c>
      <c r="K38" s="8">
        <v>140</v>
      </c>
      <c r="L38" s="8"/>
      <c r="M38" s="8"/>
      <c r="N38" s="8"/>
      <c r="O38" s="8"/>
      <c r="P38" s="8"/>
      <c r="Q38" s="8"/>
      <c r="R38" s="8"/>
      <c r="S38" s="8"/>
      <c r="T38" s="8"/>
      <c r="U38" s="8"/>
      <c r="V38" s="8"/>
      <c r="W38" s="8"/>
    </row>
    <row r="39" spans="1:24" x14ac:dyDescent="0.25">
      <c r="A39" s="193"/>
      <c r="B39" s="93" t="s">
        <v>11</v>
      </c>
      <c r="C39" s="132">
        <v>1741</v>
      </c>
      <c r="D39" s="132">
        <v>999</v>
      </c>
      <c r="E39" s="132">
        <v>2456</v>
      </c>
      <c r="F39" s="132">
        <v>1177</v>
      </c>
      <c r="G39" s="132">
        <v>522</v>
      </c>
      <c r="H39" s="132">
        <v>257</v>
      </c>
      <c r="I39" s="132">
        <v>154</v>
      </c>
      <c r="J39" s="132">
        <v>995</v>
      </c>
      <c r="K39" s="132">
        <v>8301</v>
      </c>
      <c r="L39" s="8"/>
      <c r="M39" s="8"/>
      <c r="N39" s="8"/>
      <c r="O39" s="8"/>
      <c r="P39" s="8"/>
      <c r="Q39" s="8"/>
      <c r="R39" s="8"/>
      <c r="S39" s="8"/>
      <c r="T39" s="8"/>
      <c r="U39" s="8"/>
      <c r="V39" s="8"/>
      <c r="W39" s="8"/>
    </row>
    <row r="40" spans="1:24" ht="2.25" customHeight="1" x14ac:dyDescent="0.25">
      <c r="A40" s="2"/>
      <c r="L40" s="8"/>
      <c r="M40" s="8"/>
      <c r="N40" s="8"/>
      <c r="O40" s="8"/>
      <c r="P40" s="8"/>
      <c r="Q40" s="8"/>
      <c r="R40" s="8"/>
      <c r="S40" s="8"/>
      <c r="T40" s="8"/>
      <c r="U40" s="8"/>
      <c r="V40" s="8"/>
      <c r="W40" s="8"/>
    </row>
    <row r="41" spans="1:24" ht="11.25" customHeight="1" x14ac:dyDescent="0.25">
      <c r="A41" s="113" t="s">
        <v>213</v>
      </c>
      <c r="L41" s="8"/>
      <c r="M41" s="8"/>
      <c r="N41" s="8"/>
      <c r="O41" s="8"/>
      <c r="P41" s="8"/>
      <c r="Q41" s="8"/>
      <c r="R41" s="8"/>
      <c r="S41" s="8"/>
      <c r="T41" s="8"/>
      <c r="U41" s="8"/>
      <c r="V41" s="8"/>
      <c r="W41" s="8"/>
    </row>
    <row r="42" spans="1:24" ht="12.75" customHeight="1" x14ac:dyDescent="0.25">
      <c r="A42" s="113" t="s">
        <v>72</v>
      </c>
      <c r="B42" s="113"/>
      <c r="C42" s="113"/>
      <c r="D42" s="113"/>
      <c r="E42" s="113"/>
      <c r="F42" s="113"/>
      <c r="G42" s="113"/>
      <c r="H42" s="113"/>
      <c r="I42" s="113"/>
      <c r="J42" s="113"/>
      <c r="K42" s="113"/>
      <c r="L42" s="113"/>
    </row>
    <row r="43" spans="1:24" ht="12.75" customHeight="1" x14ac:dyDescent="0.25">
      <c r="A43" s="6"/>
      <c r="I43" s="131"/>
    </row>
    <row r="44" spans="1:24" s="6" customFormat="1" ht="11.1" customHeight="1" x14ac:dyDescent="0.15">
      <c r="A44" s="6" t="s">
        <v>263</v>
      </c>
      <c r="H44" s="69"/>
      <c r="I44" s="69"/>
    </row>
    <row r="45" spans="1:24" ht="12" customHeight="1" x14ac:dyDescent="0.25">
      <c r="A45" s="2"/>
      <c r="H45" s="136"/>
      <c r="N45" s="128"/>
    </row>
    <row r="46" spans="1:24" x14ac:dyDescent="0.25">
      <c r="O46" s="128"/>
    </row>
    <row r="48" spans="1:24" x14ac:dyDescent="0.25">
      <c r="G48" s="128"/>
      <c r="I48" s="136"/>
      <c r="J48" s="128"/>
      <c r="O48" s="128"/>
    </row>
    <row r="49" spans="8:17" x14ac:dyDescent="0.25">
      <c r="P49" s="125"/>
    </row>
    <row r="50" spans="8:17" x14ac:dyDescent="0.25">
      <c r="P50" s="125"/>
      <c r="Q50" s="125"/>
    </row>
    <row r="51" spans="8:17" x14ac:dyDescent="0.25">
      <c r="Q51" s="125"/>
    </row>
    <row r="52" spans="8:17" x14ac:dyDescent="0.25">
      <c r="P52" s="125"/>
    </row>
    <row r="53" spans="8:17" x14ac:dyDescent="0.25">
      <c r="J53" s="125"/>
      <c r="P53" s="125"/>
      <c r="Q53" s="125"/>
    </row>
    <row r="54" spans="8:17" x14ac:dyDescent="0.25">
      <c r="K54" s="125"/>
      <c r="N54" s="128"/>
      <c r="P54" s="125"/>
      <c r="Q54" s="125"/>
    </row>
    <row r="55" spans="8:17" x14ac:dyDescent="0.25">
      <c r="N55" s="128"/>
      <c r="Q55" s="125"/>
    </row>
    <row r="56" spans="8:17" x14ac:dyDescent="0.25">
      <c r="H56" s="130"/>
      <c r="J56" s="125"/>
      <c r="P56" s="125"/>
    </row>
    <row r="57" spans="8:17" x14ac:dyDescent="0.25">
      <c r="H57" s="136"/>
      <c r="I57" s="130"/>
      <c r="K57" s="125"/>
      <c r="L57" s="125"/>
      <c r="N57" s="128"/>
      <c r="Q57" s="125"/>
    </row>
    <row r="58" spans="8:17" x14ac:dyDescent="0.25">
      <c r="N58" s="128"/>
    </row>
    <row r="59" spans="8:17" x14ac:dyDescent="0.25">
      <c r="N59" s="128"/>
    </row>
    <row r="61" spans="8:17" x14ac:dyDescent="0.25">
      <c r="H61" s="136"/>
      <c r="N61" s="128"/>
    </row>
  </sheetData>
  <mergeCells count="12">
    <mergeCell ref="A1:K1"/>
    <mergeCell ref="A4:A7"/>
    <mergeCell ref="A8:A11"/>
    <mergeCell ref="A12:A15"/>
    <mergeCell ref="A36:A39"/>
    <mergeCell ref="A20:K20"/>
    <mergeCell ref="A19:K19"/>
    <mergeCell ref="A17:K17"/>
    <mergeCell ref="A25:K25"/>
    <mergeCell ref="A28:A31"/>
    <mergeCell ref="A32:A35"/>
    <mergeCell ref="A21:K21"/>
  </mergeCells>
  <pageMargins left="0.08" right="0.08" top="1" bottom="1" header="0.5" footer="0.5"/>
  <pageSetup orientation="landscape" blackAndWhite="1"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W87"/>
  <sheetViews>
    <sheetView zoomScaleNormal="100" workbookViewId="0">
      <selection sqref="A1:K1"/>
    </sheetView>
  </sheetViews>
  <sheetFormatPr defaultColWidth="9.140625" defaultRowHeight="15" x14ac:dyDescent="0.25"/>
  <cols>
    <col min="1" max="1" width="14.28515625" style="1" customWidth="1"/>
    <col min="2" max="2" width="17.140625" style="1" customWidth="1"/>
    <col min="3" max="11" width="11.42578125" style="1" bestFit="1" customWidth="1"/>
    <col min="12" max="13" width="9.140625" style="1"/>
    <col min="14" max="14" width="18.85546875" style="1" bestFit="1" customWidth="1"/>
    <col min="15" max="16384" width="9.140625" style="1"/>
  </cols>
  <sheetData>
    <row r="1" spans="1:23" ht="35.25" customHeight="1" x14ac:dyDescent="0.25">
      <c r="A1" s="188" t="s">
        <v>330</v>
      </c>
      <c r="B1" s="188"/>
      <c r="C1" s="188"/>
      <c r="D1" s="188"/>
      <c r="E1" s="188"/>
      <c r="F1" s="188"/>
      <c r="G1" s="188"/>
      <c r="H1" s="188"/>
      <c r="I1" s="188"/>
      <c r="J1" s="188"/>
      <c r="K1" s="188"/>
    </row>
    <row r="2" spans="1:23" s="11" customFormat="1" ht="3" customHeight="1" x14ac:dyDescent="0.2">
      <c r="A2" s="11" t="s">
        <v>14</v>
      </c>
    </row>
    <row r="3" spans="1:23" x14ac:dyDescent="0.25">
      <c r="A3" s="22" t="s">
        <v>132</v>
      </c>
      <c r="B3" s="22" t="s">
        <v>120</v>
      </c>
      <c r="C3" s="3" t="s">
        <v>0</v>
      </c>
      <c r="D3" s="3" t="s">
        <v>1</v>
      </c>
      <c r="E3" s="3" t="s">
        <v>2</v>
      </c>
      <c r="F3" s="3" t="s">
        <v>3</v>
      </c>
      <c r="G3" s="3" t="s">
        <v>4</v>
      </c>
      <c r="H3" s="3" t="s">
        <v>5</v>
      </c>
      <c r="I3" s="3" t="s">
        <v>6</v>
      </c>
      <c r="J3" s="3" t="s">
        <v>7</v>
      </c>
      <c r="K3" s="3" t="s">
        <v>8</v>
      </c>
    </row>
    <row r="4" spans="1:23" ht="15" customHeight="1" x14ac:dyDescent="0.25">
      <c r="A4" s="187" t="s">
        <v>69</v>
      </c>
      <c r="B4" s="23" t="s">
        <v>18</v>
      </c>
      <c r="C4" s="5">
        <v>53.1</v>
      </c>
      <c r="D4" s="5">
        <v>20</v>
      </c>
      <c r="E4" s="5">
        <v>128.1</v>
      </c>
      <c r="F4" s="5">
        <v>32.5</v>
      </c>
      <c r="G4" s="5">
        <v>48.5</v>
      </c>
      <c r="H4" s="5">
        <v>7.6</v>
      </c>
      <c r="I4" s="5">
        <v>10.8</v>
      </c>
      <c r="J4" s="5" t="s">
        <v>114</v>
      </c>
      <c r="K4" s="5">
        <v>300.7</v>
      </c>
      <c r="M4" s="5"/>
      <c r="N4" s="5"/>
      <c r="O4" s="5"/>
      <c r="P4" s="5"/>
      <c r="Q4" s="5"/>
      <c r="R4" s="5"/>
      <c r="S4" s="5"/>
      <c r="T4" s="5"/>
      <c r="U4" s="5"/>
      <c r="W4" s="127"/>
    </row>
    <row r="5" spans="1:23" ht="15" customHeight="1" x14ac:dyDescent="0.25">
      <c r="A5" s="187"/>
      <c r="B5" s="23" t="s">
        <v>19</v>
      </c>
      <c r="C5" s="5">
        <v>23.2</v>
      </c>
      <c r="D5" s="5">
        <v>88</v>
      </c>
      <c r="E5" s="5">
        <v>62.1</v>
      </c>
      <c r="F5" s="5">
        <v>27.2</v>
      </c>
      <c r="G5" s="5">
        <v>32</v>
      </c>
      <c r="H5" s="5">
        <v>9</v>
      </c>
      <c r="I5" s="5">
        <v>19.100000000000001</v>
      </c>
      <c r="J5" s="5" t="s">
        <v>114</v>
      </c>
      <c r="K5" s="5">
        <v>260.60000000000002</v>
      </c>
      <c r="M5" s="5"/>
      <c r="N5" s="5"/>
      <c r="O5" s="5"/>
      <c r="P5" s="5"/>
      <c r="Q5" s="5"/>
      <c r="R5" s="5"/>
      <c r="S5" s="5"/>
      <c r="T5" s="5"/>
      <c r="U5" s="5"/>
    </row>
    <row r="6" spans="1:23" ht="15" customHeight="1" x14ac:dyDescent="0.25">
      <c r="A6" s="187"/>
      <c r="B6" s="23" t="s">
        <v>20</v>
      </c>
      <c r="C6" s="5">
        <v>1.5</v>
      </c>
      <c r="D6" s="24">
        <v>0.3</v>
      </c>
      <c r="E6" s="5">
        <v>0.4</v>
      </c>
      <c r="F6" s="29" t="s">
        <v>109</v>
      </c>
      <c r="G6" s="29">
        <v>0.6</v>
      </c>
      <c r="H6" s="5">
        <v>0.1</v>
      </c>
      <c r="I6" s="5" t="s">
        <v>109</v>
      </c>
      <c r="J6" s="5" t="s">
        <v>114</v>
      </c>
      <c r="K6" s="5">
        <v>2.9</v>
      </c>
      <c r="M6" s="5"/>
      <c r="N6" s="5"/>
      <c r="O6" s="5"/>
      <c r="P6" s="8"/>
      <c r="Q6" s="8"/>
      <c r="R6" s="5"/>
      <c r="S6" s="5"/>
      <c r="T6" s="5"/>
      <c r="U6" s="5"/>
    </row>
    <row r="7" spans="1:23" ht="15" customHeight="1" x14ac:dyDescent="0.25">
      <c r="A7" s="187"/>
      <c r="B7" s="27" t="s">
        <v>11</v>
      </c>
      <c r="C7" s="97">
        <v>77.8</v>
      </c>
      <c r="D7" s="97">
        <v>108.2</v>
      </c>
      <c r="E7" s="97">
        <v>190.6</v>
      </c>
      <c r="F7" s="97">
        <v>59.8</v>
      </c>
      <c r="G7" s="97">
        <v>81.099999999999994</v>
      </c>
      <c r="H7" s="97">
        <v>16.8</v>
      </c>
      <c r="I7" s="97">
        <v>29.9</v>
      </c>
      <c r="J7" s="97" t="s">
        <v>114</v>
      </c>
      <c r="K7" s="97">
        <v>564.20000000000005</v>
      </c>
      <c r="M7" s="97"/>
      <c r="N7" s="97"/>
      <c r="O7" s="97"/>
      <c r="P7" s="97"/>
      <c r="Q7" s="97"/>
      <c r="R7" s="97"/>
      <c r="S7" s="97"/>
      <c r="T7" s="97"/>
      <c r="U7" s="97"/>
    </row>
    <row r="8" spans="1:23" ht="15" customHeight="1" x14ac:dyDescent="0.25">
      <c r="A8" s="187" t="s">
        <v>70</v>
      </c>
      <c r="B8" s="23" t="s">
        <v>18</v>
      </c>
      <c r="C8" s="5">
        <v>353.7</v>
      </c>
      <c r="D8" s="5">
        <v>25.1</v>
      </c>
      <c r="E8" s="5">
        <v>507.2</v>
      </c>
      <c r="F8" s="5">
        <v>189</v>
      </c>
      <c r="G8" s="5">
        <v>54</v>
      </c>
      <c r="H8" s="5">
        <v>31.2</v>
      </c>
      <c r="I8" s="5">
        <v>6.7</v>
      </c>
      <c r="J8" s="5" t="s">
        <v>114</v>
      </c>
      <c r="K8" s="5">
        <v>1166.9000000000001</v>
      </c>
      <c r="M8" s="5"/>
      <c r="N8" s="5"/>
      <c r="O8" s="5"/>
      <c r="P8" s="5"/>
      <c r="Q8" s="5"/>
      <c r="R8" s="5"/>
      <c r="S8" s="5"/>
      <c r="T8" s="5"/>
      <c r="U8" s="5"/>
    </row>
    <row r="9" spans="1:23" ht="15" customHeight="1" x14ac:dyDescent="0.25">
      <c r="A9" s="187"/>
      <c r="B9" s="23" t="s">
        <v>19</v>
      </c>
      <c r="C9" s="5">
        <v>297.3</v>
      </c>
      <c r="D9" s="5">
        <v>110.6</v>
      </c>
      <c r="E9" s="5">
        <v>225.4</v>
      </c>
      <c r="F9" s="5">
        <v>130.30000000000001</v>
      </c>
      <c r="G9" s="5">
        <v>41.6</v>
      </c>
      <c r="H9" s="5">
        <v>49.4</v>
      </c>
      <c r="I9" s="5">
        <v>15</v>
      </c>
      <c r="J9" s="5" t="s">
        <v>114</v>
      </c>
      <c r="K9" s="5">
        <v>869.5</v>
      </c>
      <c r="M9" s="5"/>
      <c r="N9" s="5"/>
      <c r="O9" s="5"/>
      <c r="P9" s="5"/>
      <c r="Q9" s="5"/>
      <c r="R9" s="5"/>
      <c r="S9" s="5"/>
      <c r="T9" s="5"/>
      <c r="U9" s="5"/>
    </row>
    <row r="10" spans="1:23" ht="15" customHeight="1" x14ac:dyDescent="0.25">
      <c r="A10" s="187"/>
      <c r="B10" s="23" t="s">
        <v>20</v>
      </c>
      <c r="C10" s="5">
        <v>22.3</v>
      </c>
      <c r="D10" s="24">
        <v>0.1</v>
      </c>
      <c r="E10" s="5">
        <v>3.4</v>
      </c>
      <c r="F10" s="29" t="s">
        <v>109</v>
      </c>
      <c r="G10" s="5">
        <v>1.8</v>
      </c>
      <c r="H10" s="5">
        <v>0.3</v>
      </c>
      <c r="I10" s="5" t="s">
        <v>109</v>
      </c>
      <c r="J10" s="5" t="s">
        <v>114</v>
      </c>
      <c r="K10" s="5">
        <v>27.8</v>
      </c>
      <c r="M10" s="5"/>
      <c r="N10" s="5"/>
      <c r="O10" s="5"/>
      <c r="P10" s="8"/>
      <c r="Q10" s="5"/>
      <c r="R10" s="5"/>
      <c r="S10" s="5"/>
      <c r="T10" s="5"/>
      <c r="U10" s="5"/>
    </row>
    <row r="11" spans="1:23" ht="15" customHeight="1" x14ac:dyDescent="0.25">
      <c r="A11" s="187"/>
      <c r="B11" s="27" t="s">
        <v>11</v>
      </c>
      <c r="C11" s="97">
        <v>673.2</v>
      </c>
      <c r="D11" s="97">
        <v>135.80000000000001</v>
      </c>
      <c r="E11" s="97">
        <v>736</v>
      </c>
      <c r="F11" s="97">
        <v>319.2</v>
      </c>
      <c r="G11" s="97">
        <v>97.4</v>
      </c>
      <c r="H11" s="97">
        <v>80.900000000000006</v>
      </c>
      <c r="I11" s="97">
        <v>21.7</v>
      </c>
      <c r="J11" s="97" t="s">
        <v>114</v>
      </c>
      <c r="K11" s="97">
        <v>2064.1999999999998</v>
      </c>
      <c r="M11" s="97"/>
      <c r="N11" s="97"/>
      <c r="O11" s="97"/>
      <c r="P11" s="97"/>
      <c r="Q11" s="97"/>
      <c r="R11" s="97"/>
      <c r="S11" s="97"/>
      <c r="T11" s="97"/>
      <c r="U11" s="97"/>
      <c r="V11" s="129"/>
    </row>
    <row r="12" spans="1:23" ht="15" customHeight="1" x14ac:dyDescent="0.25">
      <c r="A12" s="187" t="s">
        <v>11</v>
      </c>
      <c r="B12" s="23" t="s">
        <v>18</v>
      </c>
      <c r="C12" s="5">
        <v>396.6</v>
      </c>
      <c r="D12" s="5">
        <v>42.1</v>
      </c>
      <c r="E12" s="5">
        <v>587.70000000000005</v>
      </c>
      <c r="F12" s="5">
        <v>216</v>
      </c>
      <c r="G12" s="5">
        <v>97.1</v>
      </c>
      <c r="H12" s="5">
        <v>38.1</v>
      </c>
      <c r="I12" s="5">
        <v>15.8</v>
      </c>
      <c r="J12" s="5" t="s">
        <v>114</v>
      </c>
      <c r="K12" s="5">
        <v>1393.3</v>
      </c>
      <c r="M12" s="5"/>
      <c r="N12" s="5"/>
      <c r="O12" s="5"/>
      <c r="P12" s="5"/>
      <c r="Q12" s="5"/>
      <c r="R12" s="5"/>
      <c r="S12" s="5"/>
      <c r="T12" s="5"/>
      <c r="U12" s="5"/>
    </row>
    <row r="13" spans="1:23" ht="15" customHeight="1" x14ac:dyDescent="0.25">
      <c r="A13" s="187"/>
      <c r="B13" s="23" t="s">
        <v>19</v>
      </c>
      <c r="C13" s="5">
        <v>317.7</v>
      </c>
      <c r="D13" s="5">
        <v>186.2</v>
      </c>
      <c r="E13" s="5">
        <v>268.60000000000002</v>
      </c>
      <c r="F13" s="5">
        <v>151.80000000000001</v>
      </c>
      <c r="G13" s="5">
        <v>69.599999999999994</v>
      </c>
      <c r="H13" s="5">
        <v>57.9</v>
      </c>
      <c r="I13" s="5">
        <v>31.6</v>
      </c>
      <c r="J13" s="5" t="s">
        <v>114</v>
      </c>
      <c r="K13" s="5">
        <v>1083.4000000000001</v>
      </c>
      <c r="M13" s="5"/>
      <c r="N13" s="5"/>
      <c r="O13" s="5"/>
      <c r="P13" s="5"/>
      <c r="Q13" s="5"/>
      <c r="R13" s="5"/>
      <c r="S13" s="5"/>
      <c r="T13" s="5"/>
      <c r="U13" s="5"/>
    </row>
    <row r="14" spans="1:23" ht="15" customHeight="1" x14ac:dyDescent="0.25">
      <c r="A14" s="187"/>
      <c r="B14" s="23" t="s">
        <v>20</v>
      </c>
      <c r="C14" s="5">
        <v>25.2</v>
      </c>
      <c r="D14" s="24">
        <v>0.4</v>
      </c>
      <c r="E14" s="5">
        <v>3.7</v>
      </c>
      <c r="F14" s="29" t="s">
        <v>109</v>
      </c>
      <c r="G14" s="5">
        <v>2.2999999999999998</v>
      </c>
      <c r="H14" s="5">
        <v>0.4</v>
      </c>
      <c r="I14" s="5" t="s">
        <v>109</v>
      </c>
      <c r="J14" s="5" t="s">
        <v>114</v>
      </c>
      <c r="K14" s="5">
        <v>32.1</v>
      </c>
      <c r="M14" s="5"/>
      <c r="N14" s="5"/>
      <c r="O14" s="5"/>
      <c r="P14" s="8"/>
      <c r="Q14" s="5"/>
      <c r="R14" s="5"/>
      <c r="S14" s="5"/>
      <c r="T14" s="5"/>
      <c r="U14" s="5"/>
    </row>
    <row r="15" spans="1:23" ht="15" customHeight="1" x14ac:dyDescent="0.25">
      <c r="A15" s="187"/>
      <c r="B15" s="27" t="s">
        <v>11</v>
      </c>
      <c r="C15" s="97">
        <v>739.5</v>
      </c>
      <c r="D15" s="97">
        <v>228.7</v>
      </c>
      <c r="E15" s="97">
        <v>860</v>
      </c>
      <c r="F15" s="97">
        <v>367.8</v>
      </c>
      <c r="G15" s="97">
        <v>169.1</v>
      </c>
      <c r="H15" s="97">
        <v>96.4</v>
      </c>
      <c r="I15" s="97">
        <v>47.4</v>
      </c>
      <c r="J15" s="97" t="s">
        <v>114</v>
      </c>
      <c r="K15" s="97">
        <v>2508.8000000000002</v>
      </c>
      <c r="M15" s="97"/>
      <c r="N15" s="97"/>
      <c r="O15" s="97"/>
      <c r="P15" s="97"/>
      <c r="Q15" s="97"/>
      <c r="R15" s="97"/>
      <c r="S15" s="97"/>
      <c r="T15" s="97"/>
      <c r="U15" s="97"/>
      <c r="V15" s="129"/>
    </row>
    <row r="16" spans="1:23" ht="1.5" customHeight="1" x14ac:dyDescent="0.25">
      <c r="A16" s="2"/>
      <c r="M16" s="129"/>
      <c r="N16" s="162"/>
    </row>
    <row r="17" spans="1:23" ht="11.1" customHeight="1" x14ac:dyDescent="0.25">
      <c r="A17" s="184" t="s">
        <v>12</v>
      </c>
      <c r="B17" s="184"/>
      <c r="C17" s="184"/>
      <c r="D17" s="184"/>
      <c r="E17" s="184"/>
      <c r="F17" s="184"/>
      <c r="G17" s="184"/>
      <c r="H17" s="184"/>
      <c r="I17" s="184"/>
      <c r="J17" s="184"/>
      <c r="K17" s="184"/>
    </row>
    <row r="18" spans="1:23" s="6" customFormat="1" ht="11.1" customHeight="1" x14ac:dyDescent="0.15">
      <c r="A18" s="6" t="s">
        <v>13</v>
      </c>
    </row>
    <row r="19" spans="1:23" s="12" customFormat="1" ht="11.1" customHeight="1" x14ac:dyDescent="0.2">
      <c r="A19" s="39" t="s">
        <v>23</v>
      </c>
    </row>
    <row r="20" spans="1:23" s="6" customFormat="1" ht="20.25" customHeight="1" x14ac:dyDescent="0.15">
      <c r="A20" s="186" t="s">
        <v>73</v>
      </c>
      <c r="B20" s="186"/>
      <c r="C20" s="186"/>
      <c r="D20" s="186"/>
      <c r="E20" s="186"/>
      <c r="F20" s="186"/>
      <c r="G20" s="186"/>
      <c r="H20" s="186"/>
      <c r="I20" s="186"/>
      <c r="J20" s="186"/>
      <c r="K20" s="186"/>
    </row>
    <row r="21" spans="1:23" s="6" customFormat="1" ht="20.25" customHeight="1" x14ac:dyDescent="0.15">
      <c r="A21" s="186" t="s">
        <v>29</v>
      </c>
      <c r="B21" s="186"/>
      <c r="C21" s="186"/>
      <c r="D21" s="186"/>
      <c r="E21" s="186"/>
      <c r="F21" s="186"/>
      <c r="G21" s="186"/>
      <c r="H21" s="186"/>
      <c r="I21" s="186"/>
      <c r="J21" s="186"/>
      <c r="K21" s="186"/>
    </row>
    <row r="22" spans="1:23" s="6" customFormat="1" ht="11.1" customHeight="1" x14ac:dyDescent="0.15">
      <c r="A22" s="186" t="s">
        <v>271</v>
      </c>
      <c r="B22" s="186"/>
      <c r="C22" s="186"/>
      <c r="D22" s="186"/>
      <c r="E22" s="186"/>
      <c r="F22" s="186"/>
      <c r="G22" s="186"/>
      <c r="H22" s="186"/>
      <c r="I22" s="186"/>
      <c r="J22" s="186"/>
      <c r="K22" s="186"/>
    </row>
    <row r="23" spans="1:23" s="6" customFormat="1" ht="11.1" customHeight="1" x14ac:dyDescent="0.15">
      <c r="A23" s="92"/>
      <c r="B23" s="92"/>
      <c r="C23" s="92"/>
      <c r="D23" s="92"/>
      <c r="E23" s="92"/>
      <c r="F23" s="92"/>
      <c r="G23" s="92"/>
      <c r="H23" s="92"/>
      <c r="I23" s="92"/>
      <c r="J23" s="92"/>
      <c r="K23" s="92"/>
    </row>
    <row r="24" spans="1:23" s="6" customFormat="1" ht="11.1" customHeight="1" x14ac:dyDescent="0.15">
      <c r="A24" s="6" t="s">
        <v>263</v>
      </c>
    </row>
    <row r="25" spans="1:23" ht="12" customHeight="1" x14ac:dyDescent="0.25">
      <c r="A25" s="2"/>
    </row>
    <row r="26" spans="1:23" ht="42" customHeight="1" x14ac:dyDescent="0.25">
      <c r="A26" s="189" t="s">
        <v>331</v>
      </c>
      <c r="B26" s="189"/>
      <c r="C26" s="189"/>
      <c r="D26" s="189"/>
      <c r="E26" s="189"/>
      <c r="F26" s="189"/>
      <c r="G26" s="189"/>
      <c r="H26" s="189"/>
      <c r="I26" s="189"/>
      <c r="J26" s="189"/>
      <c r="K26" s="189"/>
    </row>
    <row r="27" spans="1:23" ht="2.25" customHeight="1" x14ac:dyDescent="0.25">
      <c r="A27" s="2"/>
    </row>
    <row r="28" spans="1:23" x14ac:dyDescent="0.25">
      <c r="A28" s="22" t="s">
        <v>132</v>
      </c>
      <c r="B28" s="22" t="s">
        <v>120</v>
      </c>
      <c r="C28" s="3" t="s">
        <v>0</v>
      </c>
      <c r="D28" s="3" t="s">
        <v>1</v>
      </c>
      <c r="E28" s="3" t="s">
        <v>2</v>
      </c>
      <c r="F28" s="3" t="s">
        <v>3</v>
      </c>
      <c r="G28" s="3" t="s">
        <v>4</v>
      </c>
      <c r="H28" s="3" t="s">
        <v>5</v>
      </c>
      <c r="I28" s="3" t="s">
        <v>6</v>
      </c>
      <c r="J28" s="3" t="s">
        <v>7</v>
      </c>
      <c r="K28" s="3" t="s">
        <v>8</v>
      </c>
    </row>
    <row r="29" spans="1:23" ht="15" customHeight="1" x14ac:dyDescent="0.25">
      <c r="A29" s="197" t="s">
        <v>69</v>
      </c>
      <c r="B29" s="4" t="s">
        <v>18</v>
      </c>
      <c r="C29" s="152">
        <v>226</v>
      </c>
      <c r="D29" s="8">
        <v>86</v>
      </c>
      <c r="E29" s="8">
        <v>464</v>
      </c>
      <c r="F29" s="8">
        <v>233</v>
      </c>
      <c r="G29" s="8">
        <v>168</v>
      </c>
      <c r="H29" s="8">
        <v>20</v>
      </c>
      <c r="I29" s="8">
        <v>33</v>
      </c>
      <c r="J29" s="8">
        <v>498</v>
      </c>
      <c r="K29" s="8">
        <v>1728</v>
      </c>
      <c r="M29" s="8"/>
      <c r="N29" s="8"/>
      <c r="O29" s="8"/>
      <c r="P29" s="8"/>
      <c r="Q29" s="8"/>
      <c r="R29" s="8"/>
      <c r="S29" s="8"/>
      <c r="T29" s="8"/>
      <c r="U29" s="8"/>
      <c r="W29" s="120"/>
    </row>
    <row r="30" spans="1:23" ht="15" customHeight="1" x14ac:dyDescent="0.25">
      <c r="A30" s="197"/>
      <c r="B30" s="4" t="s">
        <v>19</v>
      </c>
      <c r="C30" s="8">
        <v>125</v>
      </c>
      <c r="D30" s="8">
        <v>361</v>
      </c>
      <c r="E30" s="8">
        <v>224</v>
      </c>
      <c r="F30" s="8">
        <v>146</v>
      </c>
      <c r="G30" s="8">
        <v>122</v>
      </c>
      <c r="H30" s="8">
        <v>19</v>
      </c>
      <c r="I30" s="8">
        <v>70</v>
      </c>
      <c r="J30" s="8">
        <v>17</v>
      </c>
      <c r="K30" s="8">
        <v>1084</v>
      </c>
      <c r="M30" s="8"/>
      <c r="N30" s="8"/>
      <c r="O30" s="8"/>
      <c r="P30" s="8"/>
      <c r="Q30" s="8"/>
      <c r="R30" s="8"/>
      <c r="S30" s="8"/>
      <c r="T30" s="8"/>
      <c r="U30" s="8"/>
    </row>
    <row r="31" spans="1:23" ht="15" customHeight="1" x14ac:dyDescent="0.25">
      <c r="A31" s="197"/>
      <c r="B31" s="4" t="s">
        <v>20</v>
      </c>
      <c r="C31" s="8">
        <v>8</v>
      </c>
      <c r="D31" s="29">
        <v>3</v>
      </c>
      <c r="E31" s="8">
        <v>2</v>
      </c>
      <c r="F31" s="74" t="s">
        <v>109</v>
      </c>
      <c r="G31" s="29">
        <v>3</v>
      </c>
      <c r="H31" s="8">
        <v>1</v>
      </c>
      <c r="I31" s="74" t="s">
        <v>109</v>
      </c>
      <c r="J31" s="8">
        <v>14</v>
      </c>
      <c r="K31" s="8">
        <v>31</v>
      </c>
      <c r="M31" s="8"/>
      <c r="N31" s="8"/>
      <c r="O31" s="8"/>
      <c r="P31" s="8"/>
      <c r="Q31" s="8"/>
      <c r="R31" s="8"/>
      <c r="S31" s="8"/>
      <c r="T31" s="8"/>
      <c r="U31" s="8"/>
    </row>
    <row r="32" spans="1:23" ht="15" customHeight="1" x14ac:dyDescent="0.25">
      <c r="A32" s="197"/>
      <c r="B32" s="95" t="s">
        <v>11</v>
      </c>
      <c r="C32" s="94">
        <v>359</v>
      </c>
      <c r="D32" s="94">
        <v>450</v>
      </c>
      <c r="E32" s="94">
        <v>690</v>
      </c>
      <c r="F32" s="94">
        <v>379</v>
      </c>
      <c r="G32" s="94">
        <v>293</v>
      </c>
      <c r="H32" s="94">
        <v>40</v>
      </c>
      <c r="I32" s="94">
        <v>103</v>
      </c>
      <c r="J32" s="94">
        <v>529</v>
      </c>
      <c r="K32" s="94">
        <v>2843</v>
      </c>
      <c r="M32" s="94"/>
      <c r="N32" s="94"/>
      <c r="O32" s="94"/>
      <c r="P32" s="94"/>
      <c r="Q32" s="94"/>
      <c r="R32" s="94"/>
      <c r="S32" s="94"/>
      <c r="T32" s="94"/>
      <c r="U32" s="94"/>
    </row>
    <row r="33" spans="1:22" ht="15" customHeight="1" x14ac:dyDescent="0.25">
      <c r="A33" s="197" t="s">
        <v>70</v>
      </c>
      <c r="B33" s="4" t="s">
        <v>18</v>
      </c>
      <c r="C33" s="8">
        <v>749</v>
      </c>
      <c r="D33" s="8">
        <v>58</v>
      </c>
      <c r="E33" s="8">
        <v>1087</v>
      </c>
      <c r="F33" s="8">
        <v>448</v>
      </c>
      <c r="G33" s="8">
        <v>138</v>
      </c>
      <c r="H33" s="8">
        <v>56</v>
      </c>
      <c r="I33" s="8">
        <v>15</v>
      </c>
      <c r="J33" s="8">
        <v>265</v>
      </c>
      <c r="K33" s="8">
        <v>2816</v>
      </c>
      <c r="M33" s="8"/>
      <c r="N33" s="8"/>
      <c r="O33" s="8"/>
      <c r="P33" s="8"/>
      <c r="Q33" s="8"/>
      <c r="R33" s="8"/>
      <c r="S33" s="8"/>
      <c r="T33" s="8"/>
      <c r="U33" s="8"/>
    </row>
    <row r="34" spans="1:22" ht="15" customHeight="1" x14ac:dyDescent="0.25">
      <c r="A34" s="197"/>
      <c r="B34" s="4" t="s">
        <v>19</v>
      </c>
      <c r="C34" s="8">
        <v>595</v>
      </c>
      <c r="D34" s="8">
        <v>268</v>
      </c>
      <c r="E34" s="8">
        <v>527</v>
      </c>
      <c r="F34" s="8">
        <v>346</v>
      </c>
      <c r="G34" s="8">
        <v>112</v>
      </c>
      <c r="H34" s="8">
        <v>95</v>
      </c>
      <c r="I34" s="8">
        <v>33</v>
      </c>
      <c r="J34" s="8">
        <v>10</v>
      </c>
      <c r="K34" s="8">
        <v>1986</v>
      </c>
      <c r="M34" s="8"/>
      <c r="N34" s="8"/>
      <c r="O34" s="8"/>
      <c r="P34" s="8"/>
      <c r="Q34" s="8"/>
      <c r="R34" s="8"/>
      <c r="S34" s="8"/>
      <c r="T34" s="8"/>
      <c r="U34" s="8"/>
    </row>
    <row r="35" spans="1:22" ht="15" customHeight="1" x14ac:dyDescent="0.25">
      <c r="A35" s="197"/>
      <c r="B35" s="4" t="s">
        <v>20</v>
      </c>
      <c r="C35" s="8">
        <v>61</v>
      </c>
      <c r="D35" s="29">
        <v>2</v>
      </c>
      <c r="E35" s="8">
        <v>10</v>
      </c>
      <c r="F35" s="74" t="s">
        <v>109</v>
      </c>
      <c r="G35" s="8">
        <v>4</v>
      </c>
      <c r="H35" s="8">
        <v>4</v>
      </c>
      <c r="I35" s="74" t="s">
        <v>109</v>
      </c>
      <c r="J35" s="8">
        <v>7</v>
      </c>
      <c r="K35" s="8">
        <v>88</v>
      </c>
      <c r="M35" s="8"/>
      <c r="N35" s="8"/>
      <c r="O35" s="8"/>
      <c r="P35" s="8"/>
      <c r="Q35" s="8"/>
      <c r="R35" s="8"/>
      <c r="S35" s="8"/>
      <c r="T35" s="8"/>
      <c r="U35" s="8"/>
    </row>
    <row r="36" spans="1:22" ht="15" customHeight="1" x14ac:dyDescent="0.25">
      <c r="A36" s="197"/>
      <c r="B36" s="95" t="s">
        <v>11</v>
      </c>
      <c r="C36" s="94">
        <v>1405</v>
      </c>
      <c r="D36" s="94">
        <v>328</v>
      </c>
      <c r="E36" s="94">
        <v>1624</v>
      </c>
      <c r="F36" s="94">
        <v>794</v>
      </c>
      <c r="G36" s="94">
        <v>254</v>
      </c>
      <c r="H36" s="94">
        <v>155</v>
      </c>
      <c r="I36" s="94">
        <v>48</v>
      </c>
      <c r="J36" s="94">
        <v>282</v>
      </c>
      <c r="K36" s="94">
        <v>4890</v>
      </c>
      <c r="M36" s="94"/>
      <c r="N36" s="94"/>
      <c r="O36" s="94"/>
      <c r="P36" s="94"/>
      <c r="Q36" s="94"/>
      <c r="R36" s="94"/>
      <c r="S36" s="94"/>
      <c r="T36" s="94"/>
      <c r="U36" s="94"/>
      <c r="V36" s="120"/>
    </row>
    <row r="37" spans="1:22" ht="15" customHeight="1" x14ac:dyDescent="0.25">
      <c r="A37" s="197" t="s">
        <v>11</v>
      </c>
      <c r="B37" s="4" t="s">
        <v>18</v>
      </c>
      <c r="C37" s="8">
        <v>892</v>
      </c>
      <c r="D37" s="8">
        <v>113</v>
      </c>
      <c r="E37" s="8">
        <v>1276</v>
      </c>
      <c r="F37" s="8">
        <v>619</v>
      </c>
      <c r="G37" s="8">
        <v>251</v>
      </c>
      <c r="H37" s="8">
        <v>76</v>
      </c>
      <c r="I37" s="8">
        <v>43</v>
      </c>
      <c r="J37" s="8">
        <v>591</v>
      </c>
      <c r="K37" s="8">
        <v>3861</v>
      </c>
      <c r="M37" s="8"/>
      <c r="N37" s="8"/>
      <c r="O37" s="8"/>
      <c r="P37" s="8"/>
      <c r="Q37" s="8"/>
      <c r="R37" s="8"/>
      <c r="S37" s="8"/>
      <c r="T37" s="8"/>
      <c r="U37" s="8"/>
    </row>
    <row r="38" spans="1:22" ht="15" customHeight="1" x14ac:dyDescent="0.25">
      <c r="A38" s="197"/>
      <c r="B38" s="4" t="s">
        <v>19</v>
      </c>
      <c r="C38" s="8">
        <v>703</v>
      </c>
      <c r="D38" s="8">
        <v>484</v>
      </c>
      <c r="E38" s="8">
        <v>645</v>
      </c>
      <c r="F38" s="8">
        <v>456</v>
      </c>
      <c r="G38" s="8">
        <v>201</v>
      </c>
      <c r="H38" s="8">
        <v>127</v>
      </c>
      <c r="I38" s="8">
        <v>90</v>
      </c>
      <c r="J38" s="8">
        <v>24</v>
      </c>
      <c r="K38" s="8">
        <v>2730</v>
      </c>
      <c r="M38" s="8"/>
      <c r="N38" s="8"/>
      <c r="O38" s="8"/>
      <c r="P38" s="8"/>
      <c r="Q38" s="8"/>
      <c r="R38" s="8"/>
      <c r="S38" s="8"/>
      <c r="T38" s="8"/>
      <c r="U38" s="8"/>
    </row>
    <row r="39" spans="1:22" ht="15" customHeight="1" x14ac:dyDescent="0.25">
      <c r="A39" s="197"/>
      <c r="B39" s="4" t="s">
        <v>20</v>
      </c>
      <c r="C39" s="8">
        <v>73</v>
      </c>
      <c r="D39" s="29">
        <v>4</v>
      </c>
      <c r="E39" s="8">
        <v>12</v>
      </c>
      <c r="F39" s="29" t="s">
        <v>109</v>
      </c>
      <c r="G39" s="8">
        <v>7</v>
      </c>
      <c r="H39" s="8">
        <v>5</v>
      </c>
      <c r="I39" s="8" t="s">
        <v>109</v>
      </c>
      <c r="J39" s="8">
        <v>17</v>
      </c>
      <c r="K39" s="8">
        <v>118</v>
      </c>
      <c r="M39" s="8"/>
      <c r="N39" s="8"/>
      <c r="O39" s="8"/>
      <c r="P39" s="8"/>
      <c r="Q39" s="8"/>
      <c r="R39" s="8"/>
      <c r="S39" s="8"/>
      <c r="T39" s="8"/>
      <c r="U39" s="8"/>
    </row>
    <row r="40" spans="1:22" ht="15" customHeight="1" x14ac:dyDescent="0.25">
      <c r="A40" s="197"/>
      <c r="B40" s="95" t="s">
        <v>11</v>
      </c>
      <c r="C40" s="94">
        <v>1668</v>
      </c>
      <c r="D40" s="94">
        <v>601</v>
      </c>
      <c r="E40" s="94">
        <v>1933</v>
      </c>
      <c r="F40" s="94">
        <v>1075</v>
      </c>
      <c r="G40" s="94">
        <v>459</v>
      </c>
      <c r="H40" s="94">
        <v>208</v>
      </c>
      <c r="I40" s="94">
        <v>133</v>
      </c>
      <c r="J40" s="94">
        <v>632</v>
      </c>
      <c r="K40" s="94">
        <v>6709</v>
      </c>
      <c r="M40" s="94"/>
      <c r="N40" s="94"/>
      <c r="O40" s="94"/>
      <c r="P40" s="94"/>
      <c r="Q40" s="94"/>
      <c r="R40" s="94"/>
      <c r="S40" s="94"/>
      <c r="T40" s="94"/>
      <c r="U40" s="94"/>
      <c r="V40" s="120"/>
    </row>
    <row r="41" spans="1:22" ht="2.25" customHeight="1" x14ac:dyDescent="0.25">
      <c r="A41" s="27"/>
      <c r="B41" s="23"/>
      <c r="C41" s="29"/>
      <c r="D41" s="29"/>
      <c r="E41" s="29"/>
      <c r="F41" s="29"/>
      <c r="G41" s="29"/>
      <c r="H41" s="29"/>
      <c r="I41" s="29"/>
      <c r="J41" s="29"/>
      <c r="K41" s="29"/>
    </row>
    <row r="42" spans="1:22" ht="11.1" customHeight="1" x14ac:dyDescent="0.25">
      <c r="A42" s="195" t="s">
        <v>23</v>
      </c>
      <c r="B42" s="195"/>
      <c r="C42" s="195"/>
      <c r="D42" s="195"/>
      <c r="E42" s="195"/>
      <c r="F42" s="195"/>
      <c r="G42" s="195"/>
      <c r="H42" s="195"/>
      <c r="I42" s="195"/>
      <c r="J42" s="195"/>
      <c r="K42" s="195"/>
    </row>
    <row r="43" spans="1:22" s="6" customFormat="1" ht="19.5" customHeight="1" x14ac:dyDescent="0.15">
      <c r="A43" s="186" t="s">
        <v>73</v>
      </c>
      <c r="B43" s="186"/>
      <c r="C43" s="186"/>
      <c r="D43" s="186"/>
      <c r="E43" s="186"/>
      <c r="F43" s="186"/>
      <c r="G43" s="186"/>
      <c r="H43" s="186"/>
      <c r="I43" s="186"/>
      <c r="J43" s="186"/>
      <c r="K43" s="186"/>
    </row>
    <row r="44" spans="1:22" s="6" customFormat="1" ht="21.75" customHeight="1" x14ac:dyDescent="0.15">
      <c r="A44" s="208" t="s">
        <v>30</v>
      </c>
      <c r="B44" s="208"/>
      <c r="C44" s="208"/>
      <c r="D44" s="208"/>
      <c r="E44" s="208"/>
      <c r="F44" s="208"/>
      <c r="G44" s="208"/>
      <c r="H44" s="208"/>
      <c r="I44" s="208"/>
      <c r="J44" s="208"/>
      <c r="K44" s="208"/>
    </row>
    <row r="45" spans="1:22" s="6" customFormat="1" ht="11.1" customHeight="1" x14ac:dyDescent="0.15">
      <c r="A45" s="6" t="s">
        <v>14</v>
      </c>
    </row>
    <row r="46" spans="1:22" s="6" customFormat="1" ht="11.1" customHeight="1" x14ac:dyDescent="0.15">
      <c r="A46" s="6" t="s">
        <v>263</v>
      </c>
    </row>
    <row r="47" spans="1:22" ht="12" customHeight="1" x14ac:dyDescent="0.25">
      <c r="A47" s="2"/>
    </row>
    <row r="55" spans="7:13" x14ac:dyDescent="0.25">
      <c r="M55" s="128"/>
    </row>
    <row r="56" spans="7:13" x14ac:dyDescent="0.25">
      <c r="M56" s="128"/>
    </row>
    <row r="58" spans="7:13" x14ac:dyDescent="0.25">
      <c r="G58" s="128"/>
      <c r="M58" s="128"/>
    </row>
    <row r="65" spans="13:13" x14ac:dyDescent="0.25">
      <c r="M65" s="128"/>
    </row>
    <row r="68" spans="13:13" x14ac:dyDescent="0.25">
      <c r="M68" s="128"/>
    </row>
    <row r="84" spans="13:13" x14ac:dyDescent="0.25">
      <c r="M84" s="128"/>
    </row>
    <row r="85" spans="13:13" x14ac:dyDescent="0.25">
      <c r="M85" s="128"/>
    </row>
    <row r="87" spans="13:13" x14ac:dyDescent="0.25">
      <c r="M87" s="128"/>
    </row>
  </sheetData>
  <mergeCells count="15">
    <mergeCell ref="A1:K1"/>
    <mergeCell ref="A4:A7"/>
    <mergeCell ref="A8:A11"/>
    <mergeCell ref="A12:A15"/>
    <mergeCell ref="A17:K17"/>
    <mergeCell ref="A42:K42"/>
    <mergeCell ref="A21:K21"/>
    <mergeCell ref="A20:K20"/>
    <mergeCell ref="A43:K43"/>
    <mergeCell ref="A44:K44"/>
    <mergeCell ref="A26:K26"/>
    <mergeCell ref="A29:A32"/>
    <mergeCell ref="A33:A36"/>
    <mergeCell ref="A37:A40"/>
    <mergeCell ref="A22:K22"/>
  </mergeCells>
  <pageMargins left="0.08" right="0.08" top="1" bottom="1" header="0.5" footer="0.5"/>
  <pageSetup orientation="landscape" blackAndWhite="1" horizontalDpi="300" verticalDpi="30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X42"/>
  <sheetViews>
    <sheetView zoomScaleNormal="100" workbookViewId="0">
      <selection sqref="A1:K1"/>
    </sheetView>
  </sheetViews>
  <sheetFormatPr defaultColWidth="9.140625" defaultRowHeight="15" x14ac:dyDescent="0.25"/>
  <cols>
    <col min="1" max="1" width="13.140625" style="1" customWidth="1"/>
    <col min="2" max="2" width="16" style="1" customWidth="1"/>
    <col min="3" max="11" width="11.42578125" style="1" bestFit="1" customWidth="1"/>
    <col min="12" max="16384" width="9.140625" style="1"/>
  </cols>
  <sheetData>
    <row r="1" spans="1:23" ht="27.75" customHeight="1" x14ac:dyDescent="0.25">
      <c r="A1" s="188" t="s">
        <v>341</v>
      </c>
      <c r="B1" s="201"/>
      <c r="C1" s="201"/>
      <c r="D1" s="201"/>
      <c r="E1" s="201"/>
      <c r="F1" s="201"/>
      <c r="G1" s="201"/>
      <c r="H1" s="201"/>
      <c r="I1" s="201"/>
      <c r="J1" s="201"/>
      <c r="K1" s="201"/>
    </row>
    <row r="2" spans="1:23" ht="2.25" customHeight="1" x14ac:dyDescent="0.25">
      <c r="A2" s="2"/>
    </row>
    <row r="3" spans="1:23" ht="15" customHeight="1" x14ac:dyDescent="0.25">
      <c r="A3" s="40" t="s">
        <v>132</v>
      </c>
      <c r="B3" s="40" t="s">
        <v>120</v>
      </c>
      <c r="C3" s="3" t="s">
        <v>0</v>
      </c>
      <c r="D3" s="3" t="s">
        <v>1</v>
      </c>
      <c r="E3" s="3" t="s">
        <v>2</v>
      </c>
      <c r="F3" s="3" t="s">
        <v>3</v>
      </c>
      <c r="G3" s="3" t="s">
        <v>4</v>
      </c>
      <c r="H3" s="3" t="s">
        <v>5</v>
      </c>
      <c r="I3" s="3" t="s">
        <v>6</v>
      </c>
      <c r="J3" s="3" t="s">
        <v>7</v>
      </c>
      <c r="K3" s="3" t="s">
        <v>8</v>
      </c>
    </row>
    <row r="4" spans="1:23" ht="15" customHeight="1" x14ac:dyDescent="0.25">
      <c r="A4" s="187" t="s">
        <v>69</v>
      </c>
      <c r="B4" s="4" t="s">
        <v>18</v>
      </c>
      <c r="C4" s="5">
        <v>8.5640000000000001</v>
      </c>
      <c r="D4" s="5">
        <v>14.301</v>
      </c>
      <c r="E4" s="5">
        <v>25.068999999999999</v>
      </c>
      <c r="F4" s="5">
        <v>15.644</v>
      </c>
      <c r="G4" s="8">
        <v>50.814</v>
      </c>
      <c r="H4" s="5">
        <v>12.563000000000001</v>
      </c>
      <c r="I4" s="8">
        <v>98.281999999999996</v>
      </c>
      <c r="J4" s="5" t="s">
        <v>114</v>
      </c>
      <c r="K4" s="5">
        <v>18.265000000000001</v>
      </c>
      <c r="M4" s="5"/>
      <c r="N4" s="5"/>
      <c r="O4" s="5"/>
      <c r="P4" s="5"/>
      <c r="Q4" s="5"/>
      <c r="R4" s="5"/>
      <c r="S4" s="5"/>
      <c r="T4" s="5"/>
      <c r="U4" s="5"/>
      <c r="W4" s="127"/>
    </row>
    <row r="5" spans="1:23" ht="15" customHeight="1" x14ac:dyDescent="0.25">
      <c r="A5" s="187"/>
      <c r="B5" s="4" t="s">
        <v>19</v>
      </c>
      <c r="C5" s="5">
        <v>0.30099999999999999</v>
      </c>
      <c r="D5" s="5">
        <v>1.3460000000000001</v>
      </c>
      <c r="E5" s="5">
        <v>1.171</v>
      </c>
      <c r="F5" s="5">
        <v>0.97499999999999998</v>
      </c>
      <c r="G5" s="5">
        <v>1.8979999999999999</v>
      </c>
      <c r="H5" s="5">
        <v>1.887</v>
      </c>
      <c r="I5" s="5">
        <v>5.819</v>
      </c>
      <c r="J5" s="5" t="s">
        <v>114</v>
      </c>
      <c r="K5" s="5">
        <v>1.05</v>
      </c>
      <c r="M5" s="5"/>
      <c r="N5" s="5"/>
      <c r="O5" s="5"/>
      <c r="P5" s="5"/>
      <c r="Q5" s="5"/>
      <c r="R5" s="5"/>
      <c r="S5" s="5"/>
      <c r="T5" s="5"/>
      <c r="U5" s="5"/>
    </row>
    <row r="6" spans="1:23" s="57" customFormat="1" ht="15" customHeight="1" x14ac:dyDescent="0.25">
      <c r="A6" s="187"/>
      <c r="B6" s="27" t="s">
        <v>11</v>
      </c>
      <c r="C6" s="97">
        <v>0.93500000000000005</v>
      </c>
      <c r="D6" s="97">
        <v>1.621</v>
      </c>
      <c r="E6" s="97">
        <v>3.278</v>
      </c>
      <c r="F6" s="97">
        <v>1.9910000000000001</v>
      </c>
      <c r="G6" s="97">
        <v>4.556</v>
      </c>
      <c r="H6" s="97">
        <v>3.1120000000000001</v>
      </c>
      <c r="I6" s="97">
        <v>8.8019999999999996</v>
      </c>
      <c r="J6" s="97" t="s">
        <v>114</v>
      </c>
      <c r="K6" s="97">
        <v>2.1309999999999998</v>
      </c>
      <c r="M6" s="5"/>
      <c r="N6" s="5"/>
      <c r="O6" s="5"/>
      <c r="P6" s="5"/>
      <c r="Q6" s="5"/>
      <c r="R6" s="5"/>
      <c r="S6" s="5"/>
      <c r="T6" s="97"/>
      <c r="U6" s="5"/>
    </row>
    <row r="7" spans="1:23" ht="15" customHeight="1" x14ac:dyDescent="0.25">
      <c r="A7" s="187" t="s">
        <v>70</v>
      </c>
      <c r="B7" s="4" t="s">
        <v>18</v>
      </c>
      <c r="C7" s="5">
        <v>57.027999999999999</v>
      </c>
      <c r="D7" s="5">
        <v>18.007999999999999</v>
      </c>
      <c r="E7" s="8">
        <v>99.260999999999996</v>
      </c>
      <c r="F7" s="5">
        <v>90.870999999999995</v>
      </c>
      <c r="G7" s="5">
        <v>56.505000000000003</v>
      </c>
      <c r="H7" s="5">
        <v>51.304000000000002</v>
      </c>
      <c r="I7" s="5">
        <v>60.936</v>
      </c>
      <c r="J7" s="5" t="s">
        <v>114</v>
      </c>
      <c r="K7" s="5">
        <v>70.888000000000005</v>
      </c>
      <c r="M7" s="5"/>
      <c r="N7" s="5"/>
      <c r="O7" s="5"/>
      <c r="P7" s="5"/>
      <c r="Q7" s="5"/>
      <c r="R7" s="5"/>
      <c r="S7" s="5"/>
      <c r="T7" s="5"/>
      <c r="U7" s="5"/>
    </row>
    <row r="8" spans="1:23" ht="15" customHeight="1" x14ac:dyDescent="0.25">
      <c r="A8" s="187"/>
      <c r="B8" s="4" t="s">
        <v>19</v>
      </c>
      <c r="C8" s="5">
        <v>3.863</v>
      </c>
      <c r="D8" s="5">
        <v>1.6919999999999999</v>
      </c>
      <c r="E8" s="5">
        <v>4.25</v>
      </c>
      <c r="F8" s="5">
        <v>4.6619999999999999</v>
      </c>
      <c r="G8" s="5">
        <v>2.4700000000000002</v>
      </c>
      <c r="H8" s="5">
        <v>10.295</v>
      </c>
      <c r="I8" s="5">
        <v>4.5759999999999996</v>
      </c>
      <c r="J8" s="5" t="s">
        <v>114</v>
      </c>
      <c r="K8" s="5">
        <v>3.5030000000000001</v>
      </c>
      <c r="M8" s="5"/>
      <c r="N8" s="5"/>
      <c r="O8" s="5"/>
      <c r="P8" s="5"/>
      <c r="Q8" s="5"/>
      <c r="R8" s="5"/>
      <c r="S8" s="5"/>
      <c r="T8" s="5"/>
      <c r="U8" s="5"/>
    </row>
    <row r="9" spans="1:23" s="57" customFormat="1" ht="15" customHeight="1" x14ac:dyDescent="0.25">
      <c r="A9" s="187"/>
      <c r="B9" s="27" t="s">
        <v>11</v>
      </c>
      <c r="C9" s="97">
        <v>8.0950000000000006</v>
      </c>
      <c r="D9" s="97">
        <v>2.0339999999999998</v>
      </c>
      <c r="E9" s="97">
        <v>12.657</v>
      </c>
      <c r="F9" s="97">
        <v>10.632999999999999</v>
      </c>
      <c r="G9" s="97">
        <v>5.4690000000000003</v>
      </c>
      <c r="H9" s="97">
        <v>14.972</v>
      </c>
      <c r="I9" s="97">
        <v>6.3940000000000001</v>
      </c>
      <c r="J9" s="97" t="s">
        <v>114</v>
      </c>
      <c r="K9" s="97">
        <v>7.7990000000000004</v>
      </c>
      <c r="M9" s="5"/>
      <c r="N9" s="5"/>
      <c r="O9" s="5"/>
      <c r="P9" s="5"/>
      <c r="Q9" s="5"/>
      <c r="R9" s="5"/>
      <c r="S9" s="5"/>
      <c r="T9" s="97"/>
      <c r="U9" s="5"/>
    </row>
    <row r="10" spans="1:23" ht="15" customHeight="1" x14ac:dyDescent="0.25">
      <c r="A10" s="187" t="s">
        <v>11</v>
      </c>
      <c r="B10" s="4" t="s">
        <v>18</v>
      </c>
      <c r="C10" s="5">
        <v>63.941000000000003</v>
      </c>
      <c r="D10" s="5">
        <v>30.193000000000001</v>
      </c>
      <c r="E10" s="5">
        <v>115.002</v>
      </c>
      <c r="F10" s="5">
        <v>103.889</v>
      </c>
      <c r="G10" s="5">
        <v>101.63</v>
      </c>
      <c r="H10" s="5">
        <v>62.59</v>
      </c>
      <c r="I10" s="5">
        <v>143.934</v>
      </c>
      <c r="J10" s="5" t="s">
        <v>114</v>
      </c>
      <c r="K10" s="5">
        <v>84.646000000000001</v>
      </c>
      <c r="M10" s="5"/>
      <c r="N10" s="5"/>
      <c r="O10" s="5"/>
      <c r="P10" s="5"/>
      <c r="Q10" s="5"/>
      <c r="R10" s="5"/>
      <c r="S10" s="5"/>
      <c r="T10" s="5"/>
      <c r="U10" s="5"/>
    </row>
    <row r="11" spans="1:23" ht="15" customHeight="1" x14ac:dyDescent="0.25">
      <c r="A11" s="187"/>
      <c r="B11" s="4" t="s">
        <v>19</v>
      </c>
      <c r="C11" s="5">
        <v>4.1280000000000001</v>
      </c>
      <c r="D11" s="5">
        <v>2.8490000000000002</v>
      </c>
      <c r="E11" s="5">
        <v>5.0640000000000001</v>
      </c>
      <c r="F11" s="5">
        <v>5.4329999999999998</v>
      </c>
      <c r="G11" s="5">
        <v>4.133</v>
      </c>
      <c r="H11" s="5">
        <v>12.07</v>
      </c>
      <c r="I11" s="5">
        <v>9.6270000000000007</v>
      </c>
      <c r="J11" s="5" t="s">
        <v>114</v>
      </c>
      <c r="K11" s="5">
        <v>4.3650000000000002</v>
      </c>
      <c r="M11" s="5"/>
      <c r="N11" s="5"/>
      <c r="O11" s="5"/>
      <c r="P11" s="5"/>
      <c r="Q11" s="5"/>
      <c r="R11" s="5"/>
      <c r="S11" s="5"/>
      <c r="T11" s="5"/>
      <c r="U11" s="5"/>
    </row>
    <row r="12" spans="1:23" s="57" customFormat="1" ht="15" customHeight="1" x14ac:dyDescent="0.25">
      <c r="A12" s="187"/>
      <c r="B12" s="27" t="s">
        <v>11</v>
      </c>
      <c r="C12" s="97">
        <v>8.8919999999999995</v>
      </c>
      <c r="D12" s="97">
        <v>3.4260000000000002</v>
      </c>
      <c r="E12" s="97">
        <v>14.79</v>
      </c>
      <c r="F12" s="97">
        <v>12.252000000000001</v>
      </c>
      <c r="G12" s="97">
        <v>9.4969999999999999</v>
      </c>
      <c r="H12" s="97">
        <v>17.84</v>
      </c>
      <c r="I12" s="97">
        <v>13.96</v>
      </c>
      <c r="J12" s="97" t="s">
        <v>114</v>
      </c>
      <c r="K12" s="97">
        <v>9.4779999999999998</v>
      </c>
      <c r="M12" s="5"/>
      <c r="N12" s="5"/>
      <c r="O12" s="5"/>
      <c r="P12" s="5"/>
      <c r="Q12" s="5"/>
      <c r="R12" s="5"/>
      <c r="S12" s="5"/>
      <c r="T12" s="97"/>
      <c r="U12" s="5"/>
    </row>
    <row r="13" spans="1:23" ht="0.75" customHeight="1" x14ac:dyDescent="0.25">
      <c r="A13" s="2"/>
    </row>
    <row r="14" spans="1:23" ht="11.1" customHeight="1" x14ac:dyDescent="0.25">
      <c r="A14" s="195" t="s">
        <v>23</v>
      </c>
      <c r="B14" s="195"/>
      <c r="C14" s="195"/>
      <c r="D14" s="195"/>
      <c r="E14" s="195"/>
      <c r="F14" s="195"/>
      <c r="G14" s="195"/>
      <c r="H14" s="195"/>
      <c r="I14" s="195"/>
      <c r="J14" s="195"/>
      <c r="K14" s="195"/>
    </row>
    <row r="15" spans="1:23" s="6" customFormat="1" ht="11.1" customHeight="1" x14ac:dyDescent="0.15">
      <c r="A15" s="6" t="s">
        <v>24</v>
      </c>
    </row>
    <row r="16" spans="1:23" s="6" customFormat="1" ht="21.75" customHeight="1" x14ac:dyDescent="0.15">
      <c r="A16" s="186" t="s">
        <v>29</v>
      </c>
      <c r="B16" s="186"/>
      <c r="C16" s="186"/>
      <c r="D16" s="186"/>
      <c r="E16" s="186"/>
      <c r="F16" s="186"/>
      <c r="G16" s="186"/>
      <c r="H16" s="186"/>
      <c r="I16" s="186"/>
      <c r="J16" s="186"/>
      <c r="K16" s="186"/>
    </row>
    <row r="17" spans="1:24" s="6" customFormat="1" ht="9" x14ac:dyDescent="0.15">
      <c r="A17" s="186" t="s">
        <v>271</v>
      </c>
      <c r="B17" s="186"/>
      <c r="C17" s="186"/>
      <c r="D17" s="186"/>
      <c r="E17" s="186"/>
      <c r="F17" s="186"/>
      <c r="G17" s="186"/>
      <c r="H17" s="186"/>
      <c r="I17" s="186"/>
      <c r="J17" s="186"/>
      <c r="K17" s="186"/>
    </row>
    <row r="18" spans="1:24" s="6" customFormat="1" ht="9" x14ac:dyDescent="0.15">
      <c r="A18" s="6" t="s">
        <v>206</v>
      </c>
      <c r="B18" s="92"/>
      <c r="C18" s="92"/>
      <c r="D18" s="92"/>
      <c r="E18" s="92"/>
      <c r="F18" s="92"/>
      <c r="G18" s="92"/>
      <c r="H18" s="92"/>
      <c r="I18" s="92"/>
      <c r="J18" s="92"/>
      <c r="K18" s="92"/>
    </row>
    <row r="19" spans="1:24" s="6" customFormat="1" ht="11.1" customHeight="1" x14ac:dyDescent="0.15">
      <c r="A19" s="6" t="s">
        <v>14</v>
      </c>
    </row>
    <row r="20" spans="1:24" s="6" customFormat="1" ht="11.1" customHeight="1" x14ac:dyDescent="0.15">
      <c r="A20" s="6" t="s">
        <v>212</v>
      </c>
    </row>
    <row r="21" spans="1:24" ht="12" customHeight="1" x14ac:dyDescent="0.25">
      <c r="A21" s="2"/>
    </row>
    <row r="22" spans="1:24" ht="27.95" customHeight="1" x14ac:dyDescent="0.25">
      <c r="A22" s="189" t="s">
        <v>332</v>
      </c>
      <c r="B22" s="189"/>
      <c r="C22" s="189"/>
      <c r="D22" s="189"/>
      <c r="E22" s="189"/>
      <c r="F22" s="189"/>
      <c r="G22" s="189"/>
      <c r="H22" s="189"/>
      <c r="I22" s="189"/>
      <c r="J22" s="189"/>
      <c r="K22" s="189"/>
    </row>
    <row r="23" spans="1:24" ht="3" customHeight="1" x14ac:dyDescent="0.25">
      <c r="A23" s="2"/>
    </row>
    <row r="24" spans="1:24" ht="15" customHeight="1" x14ac:dyDescent="0.25">
      <c r="A24" s="40" t="s">
        <v>132</v>
      </c>
      <c r="B24" s="40" t="s">
        <v>120</v>
      </c>
      <c r="C24" s="3" t="s">
        <v>0</v>
      </c>
      <c r="D24" s="3" t="s">
        <v>1</v>
      </c>
      <c r="E24" s="3" t="s">
        <v>2</v>
      </c>
      <c r="F24" s="3" t="s">
        <v>3</v>
      </c>
      <c r="G24" s="3" t="s">
        <v>4</v>
      </c>
      <c r="H24" s="3" t="s">
        <v>5</v>
      </c>
      <c r="I24" s="3" t="s">
        <v>6</v>
      </c>
      <c r="J24" s="3" t="s">
        <v>7</v>
      </c>
      <c r="K24" s="3" t="s">
        <v>8</v>
      </c>
    </row>
    <row r="25" spans="1:24" ht="15" customHeight="1" x14ac:dyDescent="0.25">
      <c r="A25" s="187" t="s">
        <v>69</v>
      </c>
      <c r="B25" s="4" t="s">
        <v>18</v>
      </c>
      <c r="C25" s="165">
        <v>36.44</v>
      </c>
      <c r="D25" s="165">
        <v>61.604999999999997</v>
      </c>
      <c r="E25" s="165">
        <v>90.802999999999997</v>
      </c>
      <c r="F25" s="165">
        <v>112.054</v>
      </c>
      <c r="G25" s="165">
        <v>175.852</v>
      </c>
      <c r="H25" s="165">
        <v>32.845999999999997</v>
      </c>
      <c r="I25" s="165">
        <v>301.50799999999998</v>
      </c>
      <c r="J25" s="165">
        <v>437.41800000000001</v>
      </c>
      <c r="K25" s="165">
        <v>98.185000000000002</v>
      </c>
      <c r="M25" s="5"/>
      <c r="N25" s="5"/>
      <c r="O25" s="5"/>
      <c r="P25" s="5"/>
      <c r="Q25" s="5"/>
      <c r="R25" s="5"/>
      <c r="S25" s="5"/>
      <c r="T25" s="5"/>
      <c r="U25" s="5"/>
      <c r="X25" s="127"/>
    </row>
    <row r="26" spans="1:24" ht="15" customHeight="1" x14ac:dyDescent="0.25">
      <c r="A26" s="187"/>
      <c r="B26" s="4" t="s">
        <v>19</v>
      </c>
      <c r="C26" s="165">
        <v>1.6240000000000001</v>
      </c>
      <c r="D26" s="165">
        <v>5.5229999999999997</v>
      </c>
      <c r="E26" s="165">
        <v>4.2240000000000002</v>
      </c>
      <c r="F26" s="165">
        <v>5.2249999999999996</v>
      </c>
      <c r="G26" s="165">
        <v>7.242</v>
      </c>
      <c r="H26" s="165">
        <v>3.9620000000000002</v>
      </c>
      <c r="I26" s="165">
        <v>21.323</v>
      </c>
      <c r="J26" s="165">
        <v>10.497999999999999</v>
      </c>
      <c r="K26" s="165">
        <v>4.3390000000000004</v>
      </c>
      <c r="M26" s="5"/>
      <c r="N26" s="5"/>
      <c r="O26" s="5"/>
      <c r="P26" s="5"/>
      <c r="Q26" s="5"/>
      <c r="R26" s="5"/>
      <c r="S26" s="5"/>
      <c r="T26" s="5"/>
      <c r="U26" s="5"/>
    </row>
    <row r="27" spans="1:24" s="57" customFormat="1" ht="15" customHeight="1" x14ac:dyDescent="0.25">
      <c r="A27" s="187"/>
      <c r="B27" s="27" t="s">
        <v>11</v>
      </c>
      <c r="C27" s="97">
        <v>4.3170000000000002</v>
      </c>
      <c r="D27" s="97">
        <v>6.7409999999999997</v>
      </c>
      <c r="E27" s="97">
        <v>11.867000000000001</v>
      </c>
      <c r="F27" s="97">
        <v>12.622999999999999</v>
      </c>
      <c r="G27" s="97">
        <v>16.46</v>
      </c>
      <c r="H27" s="97">
        <v>7.4009999999999998</v>
      </c>
      <c r="I27" s="97">
        <v>30.363</v>
      </c>
      <c r="J27" s="97">
        <v>191.81299999999999</v>
      </c>
      <c r="K27" s="97">
        <v>10.63</v>
      </c>
      <c r="M27" s="97"/>
      <c r="N27" s="97"/>
      <c r="O27" s="97"/>
      <c r="P27" s="97"/>
      <c r="Q27" s="97"/>
      <c r="R27" s="97"/>
      <c r="S27" s="97"/>
      <c r="T27" s="97"/>
      <c r="U27" s="97"/>
    </row>
    <row r="28" spans="1:24" ht="15" customHeight="1" x14ac:dyDescent="0.25">
      <c r="A28" s="187" t="s">
        <v>70</v>
      </c>
      <c r="B28" s="4" t="s">
        <v>18</v>
      </c>
      <c r="C28" s="165">
        <v>120.76900000000001</v>
      </c>
      <c r="D28" s="165">
        <v>41.546999999999997</v>
      </c>
      <c r="E28" s="165">
        <v>212.72200000000001</v>
      </c>
      <c r="F28" s="165">
        <v>215.452</v>
      </c>
      <c r="G28" s="165">
        <v>144.44999999999999</v>
      </c>
      <c r="H28" s="165">
        <v>91.968999999999994</v>
      </c>
      <c r="I28" s="165">
        <v>137.04900000000001</v>
      </c>
      <c r="J28" s="165">
        <v>232.762</v>
      </c>
      <c r="K28" s="165">
        <v>160.005</v>
      </c>
      <c r="M28" s="5"/>
      <c r="N28" s="5"/>
      <c r="O28" s="5"/>
      <c r="P28" s="5"/>
      <c r="Q28" s="5"/>
      <c r="R28" s="5"/>
      <c r="S28" s="5"/>
      <c r="T28" s="5"/>
      <c r="U28" s="5"/>
    </row>
    <row r="29" spans="1:24" ht="15" customHeight="1" x14ac:dyDescent="0.25">
      <c r="A29" s="187"/>
      <c r="B29" s="4" t="s">
        <v>19</v>
      </c>
      <c r="C29" s="165">
        <v>7.7309999999999999</v>
      </c>
      <c r="D29" s="165">
        <v>4.0999999999999996</v>
      </c>
      <c r="E29" s="165">
        <v>9.9369999999999994</v>
      </c>
      <c r="F29" s="165">
        <v>12.381</v>
      </c>
      <c r="G29" s="165">
        <v>6.649</v>
      </c>
      <c r="H29" s="165">
        <v>19.809999999999999</v>
      </c>
      <c r="I29" s="165">
        <v>10.052</v>
      </c>
      <c r="J29" s="165">
        <v>6.1749999999999998</v>
      </c>
      <c r="K29" s="165">
        <v>7.9489999999999998</v>
      </c>
      <c r="M29" s="5"/>
      <c r="N29" s="5"/>
      <c r="O29" s="5"/>
      <c r="P29" s="5"/>
      <c r="Q29" s="5"/>
      <c r="R29" s="5"/>
      <c r="S29" s="5"/>
      <c r="T29" s="5"/>
      <c r="U29" s="5"/>
    </row>
    <row r="30" spans="1:24" s="57" customFormat="1" ht="15" customHeight="1" x14ac:dyDescent="0.25">
      <c r="A30" s="187"/>
      <c r="B30" s="27" t="s">
        <v>11</v>
      </c>
      <c r="C30" s="97">
        <v>16.893999999999998</v>
      </c>
      <c r="D30" s="97">
        <v>4.9130000000000003</v>
      </c>
      <c r="E30" s="97">
        <v>27.93</v>
      </c>
      <c r="F30" s="97">
        <v>26.445</v>
      </c>
      <c r="G30" s="97">
        <v>14.269</v>
      </c>
      <c r="H30" s="97">
        <v>28.68</v>
      </c>
      <c r="I30" s="97">
        <v>14.15</v>
      </c>
      <c r="J30" s="97">
        <v>102.252</v>
      </c>
      <c r="K30" s="97">
        <v>18.283999999999999</v>
      </c>
      <c r="M30" s="97"/>
      <c r="N30" s="97"/>
      <c r="O30" s="97"/>
      <c r="P30" s="97"/>
      <c r="Q30" s="97"/>
      <c r="R30" s="97"/>
      <c r="S30" s="97"/>
      <c r="T30" s="97"/>
      <c r="U30" s="97"/>
    </row>
    <row r="31" spans="1:24" ht="15" customHeight="1" x14ac:dyDescent="0.25">
      <c r="A31" s="187" t="s">
        <v>11</v>
      </c>
      <c r="B31" s="4" t="s">
        <v>18</v>
      </c>
      <c r="C31" s="165">
        <v>143.827</v>
      </c>
      <c r="D31" s="165">
        <v>80.945999999999998</v>
      </c>
      <c r="E31" s="165">
        <v>249.709</v>
      </c>
      <c r="F31" s="165">
        <v>297.68900000000002</v>
      </c>
      <c r="G31" s="165">
        <v>262.73099999999999</v>
      </c>
      <c r="H31" s="165">
        <v>124.815</v>
      </c>
      <c r="I31" s="165">
        <v>392.87299999999999</v>
      </c>
      <c r="J31" s="165">
        <v>519.10400000000004</v>
      </c>
      <c r="K31" s="165">
        <v>219.38200000000001</v>
      </c>
      <c r="M31" s="5"/>
      <c r="N31" s="5"/>
      <c r="O31" s="5"/>
      <c r="P31" s="5"/>
      <c r="Q31" s="5"/>
      <c r="R31" s="5"/>
      <c r="S31" s="5"/>
      <c r="T31" s="5"/>
      <c r="U31" s="5"/>
    </row>
    <row r="32" spans="1:24" ht="15" customHeight="1" x14ac:dyDescent="0.25">
      <c r="A32" s="187"/>
      <c r="B32" s="4" t="s">
        <v>19</v>
      </c>
      <c r="C32" s="165">
        <v>9.1340000000000003</v>
      </c>
      <c r="D32" s="165">
        <v>7.4050000000000002</v>
      </c>
      <c r="E32" s="165">
        <v>12.162000000000001</v>
      </c>
      <c r="F32" s="165">
        <v>16.318000000000001</v>
      </c>
      <c r="G32" s="165">
        <v>11.932</v>
      </c>
      <c r="H32" s="165">
        <v>26.483000000000001</v>
      </c>
      <c r="I32" s="165">
        <v>27.414999999999999</v>
      </c>
      <c r="J32" s="165">
        <v>14.82</v>
      </c>
      <c r="K32" s="165">
        <v>10.927</v>
      </c>
      <c r="M32" s="5"/>
      <c r="N32" s="5"/>
      <c r="O32" s="5"/>
      <c r="P32" s="5"/>
      <c r="Q32" s="5"/>
      <c r="R32" s="5"/>
      <c r="S32" s="5"/>
      <c r="T32" s="5"/>
      <c r="U32" s="5"/>
    </row>
    <row r="33" spans="1:21" s="57" customFormat="1" ht="15" customHeight="1" x14ac:dyDescent="0.25">
      <c r="A33" s="187"/>
      <c r="B33" s="27" t="s">
        <v>11</v>
      </c>
      <c r="C33" s="97">
        <v>20.056999999999999</v>
      </c>
      <c r="D33" s="97">
        <v>9.0030000000000001</v>
      </c>
      <c r="E33" s="97">
        <v>33.244</v>
      </c>
      <c r="F33" s="97">
        <v>35.804000000000002</v>
      </c>
      <c r="G33" s="97">
        <v>25.786000000000001</v>
      </c>
      <c r="H33" s="97">
        <v>38.487000000000002</v>
      </c>
      <c r="I33" s="97">
        <v>39.206000000000003</v>
      </c>
      <c r="J33" s="97">
        <v>229.16</v>
      </c>
      <c r="K33" s="97">
        <v>25.085000000000001</v>
      </c>
      <c r="M33" s="97"/>
      <c r="N33" s="97"/>
      <c r="O33" s="97"/>
      <c r="P33" s="97"/>
      <c r="Q33" s="97"/>
      <c r="R33" s="97"/>
      <c r="S33" s="97"/>
      <c r="T33" s="97"/>
      <c r="U33" s="97"/>
    </row>
    <row r="34" spans="1:21" ht="1.5" customHeight="1" x14ac:dyDescent="0.25">
      <c r="A34" s="2"/>
    </row>
    <row r="35" spans="1:21" ht="11.1" customHeight="1" x14ac:dyDescent="0.25">
      <c r="A35" s="195" t="s">
        <v>23</v>
      </c>
      <c r="B35" s="195"/>
      <c r="C35" s="195"/>
      <c r="D35" s="195"/>
      <c r="E35" s="195"/>
      <c r="F35" s="195"/>
      <c r="G35" s="195"/>
      <c r="H35" s="195"/>
      <c r="I35" s="195"/>
      <c r="J35" s="195"/>
      <c r="K35" s="195"/>
    </row>
    <row r="36" spans="1:21" s="6" customFormat="1" ht="11.1" customHeight="1" x14ac:dyDescent="0.15">
      <c r="A36" s="6" t="s">
        <v>24</v>
      </c>
    </row>
    <row r="37" spans="1:21" s="6" customFormat="1" ht="11.1" customHeight="1" x14ac:dyDescent="0.15">
      <c r="A37" s="6" t="s">
        <v>25</v>
      </c>
    </row>
    <row r="38" spans="1:21" s="6" customFormat="1" ht="19.5" customHeight="1" x14ac:dyDescent="0.15">
      <c r="A38" s="186" t="s">
        <v>27</v>
      </c>
      <c r="B38" s="186"/>
      <c r="C38" s="186"/>
      <c r="D38" s="186"/>
      <c r="E38" s="186"/>
      <c r="F38" s="186"/>
      <c r="G38" s="186"/>
      <c r="H38" s="186"/>
      <c r="I38" s="186"/>
      <c r="J38" s="186"/>
      <c r="K38" s="186"/>
    </row>
    <row r="39" spans="1:21" s="6" customFormat="1" ht="9" x14ac:dyDescent="0.15">
      <c r="A39" s="6" t="s">
        <v>272</v>
      </c>
      <c r="B39" s="92"/>
      <c r="C39" s="92"/>
      <c r="D39" s="92"/>
      <c r="E39" s="92"/>
      <c r="F39" s="92"/>
      <c r="G39" s="92"/>
      <c r="H39" s="92"/>
      <c r="I39" s="92"/>
      <c r="J39" s="92"/>
      <c r="K39" s="92"/>
    </row>
    <row r="40" spans="1:21" s="6" customFormat="1" ht="11.1" customHeight="1" x14ac:dyDescent="0.15">
      <c r="A40" s="6" t="s">
        <v>14</v>
      </c>
    </row>
    <row r="41" spans="1:21" s="6" customFormat="1" ht="11.1" customHeight="1" x14ac:dyDescent="0.15">
      <c r="A41" s="6" t="s">
        <v>408</v>
      </c>
    </row>
    <row r="42" spans="1:21" ht="12" customHeight="1" x14ac:dyDescent="0.25">
      <c r="A42" s="2"/>
    </row>
  </sheetData>
  <mergeCells count="13">
    <mergeCell ref="A38:K38"/>
    <mergeCell ref="A35:K35"/>
    <mergeCell ref="A1:K1"/>
    <mergeCell ref="A4:A6"/>
    <mergeCell ref="A7:A9"/>
    <mergeCell ref="A10:A12"/>
    <mergeCell ref="A14:K14"/>
    <mergeCell ref="A16:K16"/>
    <mergeCell ref="A22:K22"/>
    <mergeCell ref="A25:A27"/>
    <mergeCell ref="A28:A30"/>
    <mergeCell ref="A31:A33"/>
    <mergeCell ref="A17:K17"/>
  </mergeCells>
  <pageMargins left="0.08" right="0.08" top="1" bottom="1" header="0.5" footer="0.5"/>
  <pageSetup orientation="landscape" blackAndWhite="1"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Z317"/>
  <sheetViews>
    <sheetView zoomScaleNormal="100" workbookViewId="0">
      <selection sqref="A1:M1"/>
    </sheetView>
  </sheetViews>
  <sheetFormatPr defaultColWidth="9.140625" defaultRowHeight="15" x14ac:dyDescent="0.25"/>
  <cols>
    <col min="1" max="1" width="18.5703125" style="1" customWidth="1"/>
    <col min="2" max="11" width="11.42578125" style="1" bestFit="1" customWidth="1"/>
    <col min="12" max="12" width="11.140625" style="1" customWidth="1"/>
    <col min="13" max="13" width="11.42578125" style="1" bestFit="1" customWidth="1"/>
    <col min="14" max="16384" width="9.140625" style="1"/>
  </cols>
  <sheetData>
    <row r="1" spans="1:26" ht="30.75" customHeight="1" x14ac:dyDescent="0.25">
      <c r="A1" s="188" t="s">
        <v>333</v>
      </c>
      <c r="B1" s="201"/>
      <c r="C1" s="201"/>
      <c r="D1" s="201"/>
      <c r="E1" s="201"/>
      <c r="F1" s="201"/>
      <c r="G1" s="201"/>
      <c r="H1" s="201"/>
      <c r="I1" s="201"/>
      <c r="J1" s="201"/>
      <c r="K1" s="201"/>
      <c r="L1" s="201"/>
      <c r="M1" s="201"/>
      <c r="Q1" s="114"/>
      <c r="V1" s="129"/>
    </row>
    <row r="2" spans="1:26" ht="2.25" customHeight="1" x14ac:dyDescent="0.25">
      <c r="A2" s="2"/>
    </row>
    <row r="3" spans="1:26" ht="23.25" customHeight="1" x14ac:dyDescent="0.25">
      <c r="A3" s="40" t="s">
        <v>120</v>
      </c>
      <c r="B3" s="40" t="s">
        <v>132</v>
      </c>
      <c r="C3" s="40" t="s">
        <v>122</v>
      </c>
      <c r="D3" s="3" t="s">
        <v>0</v>
      </c>
      <c r="E3" s="3" t="s">
        <v>1</v>
      </c>
      <c r="F3" s="3" t="s">
        <v>2</v>
      </c>
      <c r="G3" s="3" t="s">
        <v>3</v>
      </c>
      <c r="H3" s="3" t="s">
        <v>4</v>
      </c>
      <c r="I3" s="3" t="s">
        <v>5</v>
      </c>
      <c r="J3" s="3" t="s">
        <v>6</v>
      </c>
      <c r="K3" s="3" t="s">
        <v>7</v>
      </c>
      <c r="L3" s="3" t="s">
        <v>199</v>
      </c>
      <c r="M3" s="3" t="s">
        <v>8</v>
      </c>
      <c r="Y3" s="129"/>
    </row>
    <row r="4" spans="1:26" ht="15" customHeight="1" x14ac:dyDescent="0.25">
      <c r="A4" s="187" t="s">
        <v>18</v>
      </c>
      <c r="B4" s="187" t="s">
        <v>69</v>
      </c>
      <c r="C4" s="4" t="s">
        <v>191</v>
      </c>
      <c r="D4" s="137">
        <v>42.8</v>
      </c>
      <c r="E4" s="137">
        <v>48.3</v>
      </c>
      <c r="F4" s="137">
        <v>91.4</v>
      </c>
      <c r="G4" s="137">
        <v>23.4</v>
      </c>
      <c r="H4" s="137">
        <v>35.700000000000003</v>
      </c>
      <c r="I4" s="137">
        <v>3.1</v>
      </c>
      <c r="J4" s="137">
        <v>5.0999999999999996</v>
      </c>
      <c r="K4" s="137">
        <v>38.299999999999997</v>
      </c>
      <c r="L4" s="137">
        <v>249.8</v>
      </c>
      <c r="M4" s="137">
        <v>288.2</v>
      </c>
      <c r="O4" s="137"/>
      <c r="P4" s="137"/>
      <c r="Q4" s="137"/>
      <c r="R4" s="137"/>
      <c r="S4" s="137"/>
      <c r="T4" s="137"/>
      <c r="U4" s="137"/>
      <c r="V4" s="137"/>
      <c r="W4" s="137"/>
      <c r="X4" s="137"/>
      <c r="Z4" s="127"/>
    </row>
    <row r="5" spans="1:26" ht="15" customHeight="1" x14ac:dyDescent="0.25">
      <c r="A5" s="187"/>
      <c r="B5" s="187"/>
      <c r="C5" s="4" t="s">
        <v>192</v>
      </c>
      <c r="D5" s="137">
        <v>47.4</v>
      </c>
      <c r="E5" s="137">
        <v>50.3</v>
      </c>
      <c r="F5" s="137">
        <v>105</v>
      </c>
      <c r="G5" s="137">
        <v>35.1</v>
      </c>
      <c r="H5" s="137">
        <v>43.4</v>
      </c>
      <c r="I5" s="137">
        <v>4.3</v>
      </c>
      <c r="J5" s="137">
        <v>5.8</v>
      </c>
      <c r="K5" s="137">
        <v>70</v>
      </c>
      <c r="L5" s="137">
        <v>291.3</v>
      </c>
      <c r="M5" s="137">
        <v>361.3</v>
      </c>
      <c r="O5" s="137"/>
      <c r="P5" s="137"/>
      <c r="Q5" s="137"/>
      <c r="R5" s="137"/>
      <c r="S5" s="137"/>
      <c r="T5" s="137"/>
      <c r="U5" s="137"/>
      <c r="V5" s="137"/>
      <c r="W5" s="137"/>
      <c r="X5" s="137"/>
    </row>
    <row r="6" spans="1:26" ht="15" customHeight="1" x14ac:dyDescent="0.25">
      <c r="A6" s="187"/>
      <c r="B6" s="187"/>
      <c r="C6" s="4" t="s">
        <v>193</v>
      </c>
      <c r="D6" s="137">
        <v>51.6</v>
      </c>
      <c r="E6" s="137">
        <v>44.5</v>
      </c>
      <c r="F6" s="137">
        <v>143.6</v>
      </c>
      <c r="G6" s="137">
        <v>38.5</v>
      </c>
      <c r="H6" s="137">
        <v>59.5</v>
      </c>
      <c r="I6" s="137">
        <v>6.6</v>
      </c>
      <c r="J6" s="137">
        <v>7.2</v>
      </c>
      <c r="K6" s="137">
        <v>132.19999999999999</v>
      </c>
      <c r="L6" s="137">
        <v>351.5</v>
      </c>
      <c r="M6" s="137">
        <v>483.7</v>
      </c>
      <c r="O6" s="137"/>
      <c r="P6" s="137"/>
      <c r="Q6" s="137"/>
      <c r="R6" s="137"/>
      <c r="S6" s="137"/>
      <c r="T6" s="137"/>
      <c r="U6" s="137"/>
      <c r="V6" s="137"/>
      <c r="W6" s="137"/>
      <c r="X6" s="137"/>
    </row>
    <row r="7" spans="1:26" ht="15" customHeight="1" x14ac:dyDescent="0.25">
      <c r="A7" s="187"/>
      <c r="B7" s="187"/>
      <c r="C7" s="4" t="s">
        <v>194</v>
      </c>
      <c r="D7" s="137">
        <v>58.3</v>
      </c>
      <c r="E7" s="137">
        <v>39.700000000000003</v>
      </c>
      <c r="F7" s="137">
        <v>130.69999999999999</v>
      </c>
      <c r="G7" s="137">
        <v>40.4</v>
      </c>
      <c r="H7" s="137">
        <v>62</v>
      </c>
      <c r="I7" s="137">
        <v>5.2</v>
      </c>
      <c r="J7" s="137">
        <v>10.9</v>
      </c>
      <c r="K7" s="137" t="s">
        <v>114</v>
      </c>
      <c r="L7" s="137">
        <v>347.2</v>
      </c>
      <c r="M7" s="137" t="s">
        <v>114</v>
      </c>
      <c r="O7" s="137"/>
      <c r="P7" s="137"/>
      <c r="Q7" s="137"/>
      <c r="R7" s="137"/>
      <c r="S7" s="137"/>
      <c r="T7" s="137"/>
      <c r="U7" s="137"/>
      <c r="V7" s="137"/>
      <c r="W7" s="137"/>
      <c r="X7" s="137"/>
    </row>
    <row r="8" spans="1:26" ht="15" customHeight="1" x14ac:dyDescent="0.25">
      <c r="A8" s="187"/>
      <c r="B8" s="187"/>
      <c r="C8" s="4" t="s">
        <v>284</v>
      </c>
      <c r="D8" s="137">
        <v>55.9</v>
      </c>
      <c r="E8" s="137">
        <v>41.8</v>
      </c>
      <c r="F8" s="137">
        <v>141.69999999999999</v>
      </c>
      <c r="G8" s="137">
        <v>32.6</v>
      </c>
      <c r="H8" s="137">
        <v>53.5</v>
      </c>
      <c r="I8" s="137">
        <v>10</v>
      </c>
      <c r="J8" s="137">
        <v>13.6</v>
      </c>
      <c r="K8" s="137" t="s">
        <v>114</v>
      </c>
      <c r="L8" s="137">
        <v>349</v>
      </c>
      <c r="M8" s="137" t="s">
        <v>114</v>
      </c>
      <c r="O8" s="137"/>
      <c r="P8" s="137"/>
      <c r="Q8" s="137"/>
      <c r="R8" s="137"/>
      <c r="S8" s="137"/>
      <c r="T8" s="137"/>
      <c r="U8" s="137"/>
      <c r="V8" s="137"/>
      <c r="W8" s="137"/>
      <c r="X8" s="137"/>
    </row>
    <row r="9" spans="1:26" ht="15" customHeight="1" x14ac:dyDescent="0.25">
      <c r="A9" s="187"/>
      <c r="B9" s="187" t="s">
        <v>70</v>
      </c>
      <c r="C9" s="4" t="s">
        <v>191</v>
      </c>
      <c r="D9" s="137">
        <v>396.5</v>
      </c>
      <c r="E9" s="137">
        <v>61.4</v>
      </c>
      <c r="F9" s="137">
        <v>762.1</v>
      </c>
      <c r="G9" s="137">
        <v>236.8</v>
      </c>
      <c r="H9" s="137">
        <v>52.1</v>
      </c>
      <c r="I9" s="137">
        <v>34</v>
      </c>
      <c r="J9" s="137">
        <v>6.3</v>
      </c>
      <c r="K9" s="137">
        <v>79.900000000000006</v>
      </c>
      <c r="L9" s="137">
        <v>1549.3</v>
      </c>
      <c r="M9" s="137">
        <v>1629.2</v>
      </c>
      <c r="O9" s="137"/>
      <c r="P9" s="137"/>
      <c r="Q9" s="137"/>
      <c r="R9" s="137"/>
      <c r="S9" s="137"/>
      <c r="T9" s="137"/>
      <c r="U9" s="137"/>
      <c r="V9" s="137"/>
      <c r="W9" s="137"/>
      <c r="X9" s="137"/>
    </row>
    <row r="10" spans="1:26" ht="15" customHeight="1" x14ac:dyDescent="0.25">
      <c r="A10" s="187"/>
      <c r="B10" s="187"/>
      <c r="C10" s="4" t="s">
        <v>192</v>
      </c>
      <c r="D10" s="137">
        <v>367.4</v>
      </c>
      <c r="E10" s="137">
        <v>46.3</v>
      </c>
      <c r="F10" s="137">
        <v>745</v>
      </c>
      <c r="G10" s="137">
        <v>244.3</v>
      </c>
      <c r="H10" s="137">
        <v>47.2</v>
      </c>
      <c r="I10" s="137">
        <v>28.2</v>
      </c>
      <c r="J10" s="137">
        <v>4.4000000000000004</v>
      </c>
      <c r="K10" s="137">
        <v>101</v>
      </c>
      <c r="L10" s="137">
        <v>1482.8</v>
      </c>
      <c r="M10" s="137">
        <v>1583.8</v>
      </c>
      <c r="O10" s="137"/>
      <c r="P10" s="137"/>
      <c r="Q10" s="137"/>
      <c r="R10" s="137"/>
      <c r="S10" s="137"/>
      <c r="T10" s="137"/>
      <c r="U10" s="137"/>
      <c r="V10" s="137"/>
      <c r="W10" s="137"/>
      <c r="X10" s="137"/>
    </row>
    <row r="11" spans="1:26" ht="15" customHeight="1" x14ac:dyDescent="0.25">
      <c r="A11" s="187"/>
      <c r="B11" s="187"/>
      <c r="C11" s="4" t="s">
        <v>193</v>
      </c>
      <c r="D11" s="137">
        <v>378.4</v>
      </c>
      <c r="E11" s="137">
        <v>46.1</v>
      </c>
      <c r="F11" s="137">
        <v>694.5</v>
      </c>
      <c r="G11" s="137">
        <v>303.60000000000002</v>
      </c>
      <c r="H11" s="137">
        <v>49.5</v>
      </c>
      <c r="I11" s="137">
        <v>23.3</v>
      </c>
      <c r="J11" s="137">
        <v>3.2</v>
      </c>
      <c r="K11" s="137">
        <v>159.5</v>
      </c>
      <c r="L11" s="137">
        <v>1498.7</v>
      </c>
      <c r="M11" s="137">
        <v>1658.2</v>
      </c>
      <c r="O11" s="137"/>
      <c r="P11" s="137"/>
      <c r="Q11" s="137"/>
      <c r="R11" s="137"/>
      <c r="S11" s="137"/>
      <c r="T11" s="137"/>
      <c r="U11" s="137"/>
      <c r="V11" s="137"/>
      <c r="W11" s="137"/>
      <c r="X11" s="137"/>
    </row>
    <row r="12" spans="1:26" ht="15" customHeight="1" x14ac:dyDescent="0.25">
      <c r="A12" s="187"/>
      <c r="B12" s="187"/>
      <c r="C12" s="4" t="s">
        <v>194</v>
      </c>
      <c r="D12" s="137">
        <v>380.3</v>
      </c>
      <c r="E12" s="137">
        <v>36.9</v>
      </c>
      <c r="F12" s="137">
        <v>711</v>
      </c>
      <c r="G12" s="137">
        <v>281.60000000000002</v>
      </c>
      <c r="H12" s="137">
        <v>79</v>
      </c>
      <c r="I12" s="137">
        <v>32.799999999999997</v>
      </c>
      <c r="J12" s="137">
        <v>6.3</v>
      </c>
      <c r="K12" s="137" t="s">
        <v>114</v>
      </c>
      <c r="L12" s="137">
        <v>1527.8</v>
      </c>
      <c r="M12" s="137" t="s">
        <v>114</v>
      </c>
      <c r="O12" s="137"/>
      <c r="P12" s="137"/>
      <c r="Q12" s="137"/>
      <c r="R12" s="137"/>
      <c r="S12" s="137"/>
      <c r="T12" s="137"/>
      <c r="U12" s="137"/>
      <c r="V12" s="137"/>
      <c r="W12" s="137"/>
      <c r="X12" s="137"/>
    </row>
    <row r="13" spans="1:26" ht="15" customHeight="1" x14ac:dyDescent="0.25">
      <c r="A13" s="187"/>
      <c r="B13" s="187"/>
      <c r="C13" s="4" t="s">
        <v>284</v>
      </c>
      <c r="D13" s="137">
        <v>386</v>
      </c>
      <c r="E13" s="137">
        <v>41.7</v>
      </c>
      <c r="F13" s="137">
        <v>695.3</v>
      </c>
      <c r="G13" s="137">
        <v>232.4</v>
      </c>
      <c r="H13" s="137">
        <v>65</v>
      </c>
      <c r="I13" s="137">
        <v>44.4</v>
      </c>
      <c r="J13" s="137">
        <v>9</v>
      </c>
      <c r="K13" s="137" t="s">
        <v>114</v>
      </c>
      <c r="L13" s="137">
        <v>1473.9</v>
      </c>
      <c r="M13" s="137" t="s">
        <v>114</v>
      </c>
      <c r="O13" s="137"/>
      <c r="P13" s="137"/>
      <c r="Q13" s="137"/>
      <c r="R13" s="137"/>
      <c r="S13" s="137"/>
      <c r="T13" s="137"/>
      <c r="U13" s="137"/>
      <c r="V13" s="137"/>
      <c r="W13" s="137"/>
      <c r="X13" s="137"/>
    </row>
    <row r="14" spans="1:26" ht="15" customHeight="1" x14ac:dyDescent="0.25">
      <c r="A14" s="187"/>
      <c r="B14" s="187" t="s">
        <v>71</v>
      </c>
      <c r="C14" s="4" t="s">
        <v>191</v>
      </c>
      <c r="D14" s="137">
        <v>3.5</v>
      </c>
      <c r="E14" s="138" t="s">
        <v>109</v>
      </c>
      <c r="F14" s="138" t="s">
        <v>109</v>
      </c>
      <c r="G14" s="138" t="s">
        <v>109</v>
      </c>
      <c r="H14" s="137">
        <v>2.5</v>
      </c>
      <c r="I14" s="138" t="s">
        <v>109</v>
      </c>
      <c r="J14" s="138" t="s">
        <v>109</v>
      </c>
      <c r="K14" s="137">
        <v>32.5</v>
      </c>
      <c r="L14" s="137">
        <v>6</v>
      </c>
      <c r="M14" s="137">
        <v>38.5</v>
      </c>
      <c r="O14" s="137"/>
      <c r="P14" s="137"/>
      <c r="Q14" s="137"/>
      <c r="R14" s="137"/>
      <c r="S14" s="137"/>
      <c r="T14" s="137"/>
      <c r="U14" s="137"/>
      <c r="V14" s="137"/>
      <c r="W14" s="137"/>
      <c r="X14" s="137"/>
    </row>
    <row r="15" spans="1:26" ht="15" customHeight="1" x14ac:dyDescent="0.25">
      <c r="A15" s="187"/>
      <c r="B15" s="187"/>
      <c r="C15" s="4" t="s">
        <v>192</v>
      </c>
      <c r="D15" s="137">
        <v>5.0999999999999996</v>
      </c>
      <c r="E15" s="138" t="s">
        <v>109</v>
      </c>
      <c r="F15" s="138" t="s">
        <v>109</v>
      </c>
      <c r="G15" s="138" t="s">
        <v>109</v>
      </c>
      <c r="H15" s="137">
        <v>1.3</v>
      </c>
      <c r="I15" s="138" t="s">
        <v>109</v>
      </c>
      <c r="J15" s="138" t="s">
        <v>109</v>
      </c>
      <c r="K15" s="137">
        <v>38.1</v>
      </c>
      <c r="L15" s="137">
        <v>6.5</v>
      </c>
      <c r="M15" s="137">
        <v>44.6</v>
      </c>
      <c r="O15" s="137"/>
      <c r="P15" s="137"/>
      <c r="Q15" s="137"/>
      <c r="R15" s="137"/>
      <c r="S15" s="137"/>
      <c r="T15" s="137"/>
      <c r="U15" s="137"/>
      <c r="V15" s="137"/>
      <c r="W15" s="137"/>
      <c r="X15" s="137"/>
    </row>
    <row r="16" spans="1:26" ht="15" customHeight="1" x14ac:dyDescent="0.25">
      <c r="A16" s="187"/>
      <c r="B16" s="187"/>
      <c r="C16" s="4" t="s">
        <v>193</v>
      </c>
      <c r="D16" s="137">
        <v>1.5</v>
      </c>
      <c r="E16" s="138" t="s">
        <v>109</v>
      </c>
      <c r="F16" s="138" t="s">
        <v>109</v>
      </c>
      <c r="G16" s="138" t="s">
        <v>109</v>
      </c>
      <c r="H16" s="137">
        <v>1.8</v>
      </c>
      <c r="I16" s="138" t="s">
        <v>109</v>
      </c>
      <c r="J16" s="138" t="s">
        <v>109</v>
      </c>
      <c r="K16" s="137">
        <v>49.9</v>
      </c>
      <c r="L16" s="137">
        <v>3.3</v>
      </c>
      <c r="M16" s="137">
        <v>53.2</v>
      </c>
      <c r="O16" s="137"/>
      <c r="P16" s="137"/>
      <c r="Q16" s="137"/>
      <c r="R16" s="137"/>
      <c r="S16" s="137"/>
      <c r="T16" s="137"/>
      <c r="U16" s="137"/>
      <c r="V16" s="137"/>
      <c r="W16" s="137"/>
      <c r="X16" s="137"/>
    </row>
    <row r="17" spans="1:24" ht="15" customHeight="1" x14ac:dyDescent="0.25">
      <c r="A17" s="187"/>
      <c r="B17" s="187"/>
      <c r="C17" s="4" t="s">
        <v>194</v>
      </c>
      <c r="D17" s="137">
        <v>1.8</v>
      </c>
      <c r="E17" s="138" t="s">
        <v>109</v>
      </c>
      <c r="F17" s="138" t="s">
        <v>109</v>
      </c>
      <c r="G17" s="138" t="s">
        <v>109</v>
      </c>
      <c r="H17" s="137">
        <v>2.8</v>
      </c>
      <c r="I17" s="138" t="s">
        <v>109</v>
      </c>
      <c r="J17" s="138" t="s">
        <v>109</v>
      </c>
      <c r="K17" s="137" t="s">
        <v>114</v>
      </c>
      <c r="L17" s="137">
        <v>4.5999999999999996</v>
      </c>
      <c r="M17" s="137" t="s">
        <v>114</v>
      </c>
      <c r="O17" s="137"/>
      <c r="P17" s="137"/>
      <c r="Q17" s="137"/>
      <c r="R17" s="137"/>
      <c r="S17" s="137"/>
      <c r="T17" s="137"/>
      <c r="U17" s="137"/>
      <c r="V17" s="137"/>
      <c r="W17" s="137"/>
      <c r="X17" s="137"/>
    </row>
    <row r="18" spans="1:24" ht="15" customHeight="1" x14ac:dyDescent="0.25">
      <c r="A18" s="187"/>
      <c r="B18" s="187"/>
      <c r="C18" s="4" t="s">
        <v>284</v>
      </c>
      <c r="D18" s="137">
        <v>3.4</v>
      </c>
      <c r="E18" s="138" t="s">
        <v>109</v>
      </c>
      <c r="F18" s="138" t="s">
        <v>109</v>
      </c>
      <c r="G18" s="137" t="s">
        <v>109</v>
      </c>
      <c r="H18" s="137">
        <v>2.2999999999999998</v>
      </c>
      <c r="I18" s="138" t="s">
        <v>109</v>
      </c>
      <c r="J18" s="138" t="s">
        <v>109</v>
      </c>
      <c r="K18" s="137" t="s">
        <v>114</v>
      </c>
      <c r="L18" s="137">
        <v>5.8</v>
      </c>
      <c r="M18" s="137" t="s">
        <v>114</v>
      </c>
      <c r="O18" s="137"/>
      <c r="P18" s="137"/>
      <c r="Q18" s="137"/>
      <c r="R18" s="137"/>
      <c r="S18" s="137"/>
      <c r="T18" s="137"/>
      <c r="U18" s="137"/>
      <c r="V18" s="137"/>
      <c r="W18" s="137"/>
      <c r="X18" s="137"/>
    </row>
    <row r="19" spans="1:24" ht="15" customHeight="1" x14ac:dyDescent="0.25">
      <c r="A19" s="187"/>
      <c r="B19" s="187" t="s">
        <v>11</v>
      </c>
      <c r="C19" s="95" t="s">
        <v>191</v>
      </c>
      <c r="D19" s="139">
        <v>427.4</v>
      </c>
      <c r="E19" s="139">
        <v>104.7</v>
      </c>
      <c r="F19" s="139">
        <v>817.1</v>
      </c>
      <c r="G19" s="139">
        <v>251</v>
      </c>
      <c r="H19" s="139">
        <v>84.1</v>
      </c>
      <c r="I19" s="139">
        <v>36.6</v>
      </c>
      <c r="J19" s="139">
        <v>9.8000000000000007</v>
      </c>
      <c r="K19" s="139">
        <v>136.4</v>
      </c>
      <c r="L19" s="139">
        <v>1730.7</v>
      </c>
      <c r="M19" s="139">
        <v>1867.1</v>
      </c>
      <c r="O19" s="139"/>
      <c r="P19" s="139"/>
      <c r="Q19" s="139"/>
      <c r="R19" s="139"/>
      <c r="S19" s="139"/>
      <c r="T19" s="139"/>
      <c r="U19" s="139"/>
      <c r="V19" s="139"/>
      <c r="W19" s="139"/>
      <c r="X19" s="139"/>
    </row>
    <row r="20" spans="1:24" ht="15" customHeight="1" x14ac:dyDescent="0.25">
      <c r="A20" s="187"/>
      <c r="B20" s="187"/>
      <c r="C20" s="95" t="s">
        <v>192</v>
      </c>
      <c r="D20" s="139">
        <v>404.8</v>
      </c>
      <c r="E20" s="139">
        <v>90.4</v>
      </c>
      <c r="F20" s="139">
        <v>805</v>
      </c>
      <c r="G20" s="139">
        <v>269.5</v>
      </c>
      <c r="H20" s="139">
        <v>86.8</v>
      </c>
      <c r="I20" s="139">
        <v>32.200000000000003</v>
      </c>
      <c r="J20" s="139">
        <v>9.8000000000000007</v>
      </c>
      <c r="K20" s="139">
        <v>176.1</v>
      </c>
      <c r="L20" s="139">
        <v>1698.3</v>
      </c>
      <c r="M20" s="139">
        <v>1874.4</v>
      </c>
      <c r="O20" s="139"/>
      <c r="P20" s="139"/>
      <c r="Q20" s="139"/>
      <c r="R20" s="139"/>
      <c r="S20" s="139"/>
      <c r="T20" s="139"/>
      <c r="U20" s="139"/>
      <c r="V20" s="139"/>
      <c r="W20" s="139"/>
      <c r="X20" s="139"/>
    </row>
    <row r="21" spans="1:24" ht="15" customHeight="1" x14ac:dyDescent="0.25">
      <c r="A21" s="187"/>
      <c r="B21" s="187"/>
      <c r="C21" s="95" t="s">
        <v>193</v>
      </c>
      <c r="D21" s="139">
        <v>414.8</v>
      </c>
      <c r="E21" s="139">
        <v>85.7</v>
      </c>
      <c r="F21" s="139">
        <v>780.4</v>
      </c>
      <c r="G21" s="139">
        <v>332.4</v>
      </c>
      <c r="H21" s="139">
        <v>101.2</v>
      </c>
      <c r="I21" s="139">
        <v>29.4</v>
      </c>
      <c r="J21" s="139">
        <v>10.1</v>
      </c>
      <c r="K21" s="139">
        <v>271.7</v>
      </c>
      <c r="L21" s="139">
        <v>1754.1</v>
      </c>
      <c r="M21" s="139">
        <v>2025.8</v>
      </c>
      <c r="O21" s="139"/>
      <c r="P21" s="139"/>
      <c r="Q21" s="139"/>
      <c r="R21" s="139"/>
      <c r="S21" s="139"/>
      <c r="T21" s="139"/>
      <c r="U21" s="139"/>
      <c r="V21" s="139"/>
      <c r="W21" s="139"/>
      <c r="X21" s="139"/>
    </row>
    <row r="22" spans="1:24" ht="15" customHeight="1" x14ac:dyDescent="0.25">
      <c r="A22" s="187"/>
      <c r="B22" s="187"/>
      <c r="C22" s="95" t="s">
        <v>194</v>
      </c>
      <c r="D22" s="139">
        <v>427.3</v>
      </c>
      <c r="E22" s="139">
        <v>70.2</v>
      </c>
      <c r="F22" s="139">
        <v>789.7</v>
      </c>
      <c r="G22" s="139">
        <v>312.8</v>
      </c>
      <c r="H22" s="139">
        <v>136.9</v>
      </c>
      <c r="I22" s="139">
        <v>37.4</v>
      </c>
      <c r="J22" s="139">
        <v>17</v>
      </c>
      <c r="K22" s="139" t="s">
        <v>114</v>
      </c>
      <c r="L22" s="139">
        <v>1791.3</v>
      </c>
      <c r="M22" s="139" t="s">
        <v>114</v>
      </c>
      <c r="O22" s="139"/>
      <c r="P22" s="139"/>
      <c r="Q22" s="139"/>
      <c r="R22" s="139"/>
      <c r="S22" s="139"/>
      <c r="T22" s="139"/>
      <c r="U22" s="139"/>
      <c r="V22" s="139"/>
      <c r="W22" s="139"/>
      <c r="X22" s="139"/>
    </row>
    <row r="23" spans="1:24" ht="15" customHeight="1" x14ac:dyDescent="0.25">
      <c r="A23" s="187"/>
      <c r="B23" s="187"/>
      <c r="C23" s="95" t="s">
        <v>284</v>
      </c>
      <c r="D23" s="139">
        <v>432.1</v>
      </c>
      <c r="E23" s="139">
        <v>78.599999999999994</v>
      </c>
      <c r="F23" s="139">
        <v>785.7</v>
      </c>
      <c r="G23" s="139">
        <v>259.5</v>
      </c>
      <c r="H23" s="139">
        <v>112.3</v>
      </c>
      <c r="I23" s="139">
        <v>53.6</v>
      </c>
      <c r="J23" s="139">
        <v>20.9</v>
      </c>
      <c r="K23" s="139" t="s">
        <v>114</v>
      </c>
      <c r="L23" s="139">
        <v>1742.7</v>
      </c>
      <c r="M23" s="139" t="s">
        <v>114</v>
      </c>
      <c r="O23" s="139"/>
      <c r="P23" s="139"/>
      <c r="Q23" s="139"/>
      <c r="R23" s="139"/>
      <c r="S23" s="139"/>
      <c r="T23" s="139"/>
      <c r="U23" s="139"/>
      <c r="V23" s="139"/>
      <c r="W23" s="139"/>
      <c r="X23" s="139"/>
    </row>
    <row r="24" spans="1:24" ht="15" customHeight="1" x14ac:dyDescent="0.25">
      <c r="A24" s="187" t="s">
        <v>19</v>
      </c>
      <c r="B24" s="187" t="s">
        <v>69</v>
      </c>
      <c r="C24" s="4" t="s">
        <v>191</v>
      </c>
      <c r="D24" s="137">
        <v>52.6</v>
      </c>
      <c r="E24" s="137">
        <v>315.60000000000002</v>
      </c>
      <c r="F24" s="137">
        <v>70</v>
      </c>
      <c r="G24" s="137">
        <v>14.2</v>
      </c>
      <c r="H24" s="137">
        <v>34.700000000000003</v>
      </c>
      <c r="I24" s="137">
        <v>3.5</v>
      </c>
      <c r="J24" s="137">
        <v>21.6</v>
      </c>
      <c r="K24" s="137">
        <v>1.7</v>
      </c>
      <c r="L24" s="137">
        <v>512</v>
      </c>
      <c r="M24" s="137">
        <v>513.70000000000005</v>
      </c>
      <c r="O24" s="137"/>
      <c r="P24" s="137"/>
      <c r="Q24" s="137"/>
      <c r="R24" s="137"/>
      <c r="S24" s="137"/>
      <c r="T24" s="137"/>
      <c r="U24" s="137"/>
      <c r="V24" s="137"/>
      <c r="W24" s="137"/>
      <c r="X24" s="137"/>
    </row>
    <row r="25" spans="1:24" ht="15" customHeight="1" x14ac:dyDescent="0.25">
      <c r="A25" s="187"/>
      <c r="B25" s="187"/>
      <c r="C25" s="4" t="s">
        <v>192</v>
      </c>
      <c r="D25" s="137">
        <v>39.799999999999997</v>
      </c>
      <c r="E25" s="137">
        <v>275.10000000000002</v>
      </c>
      <c r="F25" s="137">
        <v>63.5</v>
      </c>
      <c r="G25" s="137">
        <v>24.4</v>
      </c>
      <c r="H25" s="137">
        <v>42.3</v>
      </c>
      <c r="I25" s="137">
        <v>3.8</v>
      </c>
      <c r="J25" s="137">
        <v>28.8</v>
      </c>
      <c r="K25" s="137">
        <v>4.5</v>
      </c>
      <c r="L25" s="137">
        <v>477.7</v>
      </c>
      <c r="M25" s="137">
        <v>482.2</v>
      </c>
      <c r="O25" s="137"/>
      <c r="P25" s="137"/>
      <c r="Q25" s="137"/>
      <c r="R25" s="137"/>
      <c r="S25" s="137"/>
      <c r="T25" s="137"/>
      <c r="U25" s="137"/>
      <c r="V25" s="137"/>
      <c r="W25" s="137"/>
      <c r="X25" s="137"/>
    </row>
    <row r="26" spans="1:24" ht="15" customHeight="1" x14ac:dyDescent="0.25">
      <c r="A26" s="187"/>
      <c r="B26" s="187"/>
      <c r="C26" s="4" t="s">
        <v>193</v>
      </c>
      <c r="D26" s="137">
        <v>20.7</v>
      </c>
      <c r="E26" s="137">
        <v>225.8</v>
      </c>
      <c r="F26" s="137">
        <v>77.2</v>
      </c>
      <c r="G26" s="137">
        <v>24.4</v>
      </c>
      <c r="H26" s="137">
        <v>44.2</v>
      </c>
      <c r="I26" s="137">
        <v>10.5</v>
      </c>
      <c r="J26" s="137">
        <v>29</v>
      </c>
      <c r="K26" s="137">
        <v>4.8</v>
      </c>
      <c r="L26" s="137">
        <v>431.7</v>
      </c>
      <c r="M26" s="137">
        <v>436.5</v>
      </c>
      <c r="O26" s="137"/>
      <c r="P26" s="137"/>
      <c r="Q26" s="137"/>
      <c r="R26" s="137"/>
      <c r="S26" s="137"/>
      <c r="T26" s="137"/>
      <c r="U26" s="137"/>
      <c r="V26" s="137"/>
      <c r="W26" s="137"/>
      <c r="X26" s="137"/>
    </row>
    <row r="27" spans="1:24" ht="15" customHeight="1" x14ac:dyDescent="0.25">
      <c r="A27" s="187"/>
      <c r="B27" s="187"/>
      <c r="C27" s="4" t="s">
        <v>194</v>
      </c>
      <c r="D27" s="137">
        <v>19.899999999999999</v>
      </c>
      <c r="E27" s="137">
        <v>191</v>
      </c>
      <c r="F27" s="137">
        <v>79.8</v>
      </c>
      <c r="G27" s="137">
        <v>26.7</v>
      </c>
      <c r="H27" s="137">
        <v>33.799999999999997</v>
      </c>
      <c r="I27" s="137">
        <v>10.199999999999999</v>
      </c>
      <c r="J27" s="137">
        <v>37.799999999999997</v>
      </c>
      <c r="K27" s="137" t="s">
        <v>114</v>
      </c>
      <c r="L27" s="137">
        <v>399</v>
      </c>
      <c r="M27" s="137" t="s">
        <v>114</v>
      </c>
      <c r="O27" s="137"/>
      <c r="P27" s="137"/>
      <c r="Q27" s="137"/>
      <c r="R27" s="137"/>
      <c r="S27" s="137"/>
      <c r="T27" s="137"/>
      <c r="U27" s="137"/>
      <c r="V27" s="137"/>
      <c r="W27" s="137"/>
      <c r="X27" s="137"/>
    </row>
    <row r="28" spans="1:24" ht="15" customHeight="1" x14ac:dyDescent="0.25">
      <c r="A28" s="187"/>
      <c r="B28" s="187"/>
      <c r="C28" s="4" t="s">
        <v>284</v>
      </c>
      <c r="D28" s="137">
        <v>24</v>
      </c>
      <c r="E28" s="137">
        <v>166.4</v>
      </c>
      <c r="F28" s="137">
        <v>71</v>
      </c>
      <c r="G28" s="137">
        <v>27.4</v>
      </c>
      <c r="H28" s="137">
        <v>36.200000000000003</v>
      </c>
      <c r="I28" s="137">
        <v>12.7</v>
      </c>
      <c r="J28" s="137">
        <v>34.5</v>
      </c>
      <c r="K28" s="137" t="s">
        <v>114</v>
      </c>
      <c r="L28" s="137">
        <v>372.1</v>
      </c>
      <c r="M28" s="137" t="s">
        <v>114</v>
      </c>
      <c r="O28" s="137"/>
      <c r="P28" s="137"/>
      <c r="Q28" s="137"/>
      <c r="R28" s="137"/>
      <c r="S28" s="137"/>
      <c r="T28" s="137"/>
      <c r="U28" s="137"/>
      <c r="V28" s="137"/>
      <c r="W28" s="137"/>
      <c r="X28" s="137"/>
    </row>
    <row r="29" spans="1:24" ht="15" customHeight="1" x14ac:dyDescent="0.25">
      <c r="A29" s="187"/>
      <c r="B29" s="187" t="s">
        <v>70</v>
      </c>
      <c r="C29" s="4" t="s">
        <v>191</v>
      </c>
      <c r="D29" s="137">
        <v>477</v>
      </c>
      <c r="E29" s="137">
        <v>310.89999999999998</v>
      </c>
      <c r="F29" s="137">
        <v>509.3</v>
      </c>
      <c r="G29" s="137">
        <v>186.7</v>
      </c>
      <c r="H29" s="137">
        <v>73.5</v>
      </c>
      <c r="I29" s="137">
        <v>65.099999999999994</v>
      </c>
      <c r="J29" s="137">
        <v>33.6</v>
      </c>
      <c r="K29" s="137">
        <v>7.5</v>
      </c>
      <c r="L29" s="137">
        <v>1655.9</v>
      </c>
      <c r="M29" s="137">
        <v>1663.4</v>
      </c>
      <c r="O29" s="137"/>
      <c r="P29" s="137"/>
      <c r="Q29" s="137"/>
      <c r="R29" s="137"/>
      <c r="S29" s="137"/>
      <c r="T29" s="137"/>
      <c r="U29" s="137"/>
      <c r="V29" s="137"/>
      <c r="W29" s="137"/>
      <c r="X29" s="137"/>
    </row>
    <row r="30" spans="1:24" ht="15" customHeight="1" x14ac:dyDescent="0.25">
      <c r="A30" s="187"/>
      <c r="B30" s="187"/>
      <c r="C30" s="4" t="s">
        <v>192</v>
      </c>
      <c r="D30" s="137">
        <v>431.5</v>
      </c>
      <c r="E30" s="137">
        <v>287.89999999999998</v>
      </c>
      <c r="F30" s="137">
        <v>497.1</v>
      </c>
      <c r="G30" s="137">
        <v>165.6</v>
      </c>
      <c r="H30" s="137">
        <v>77.8</v>
      </c>
      <c r="I30" s="137">
        <v>51.8</v>
      </c>
      <c r="J30" s="137">
        <v>19.8</v>
      </c>
      <c r="K30" s="137">
        <v>7.6</v>
      </c>
      <c r="L30" s="137">
        <v>1531.5</v>
      </c>
      <c r="M30" s="137">
        <v>1539.2</v>
      </c>
      <c r="O30" s="137"/>
      <c r="P30" s="137"/>
      <c r="Q30" s="137"/>
      <c r="R30" s="137"/>
      <c r="S30" s="137"/>
      <c r="T30" s="137"/>
      <c r="U30" s="137"/>
      <c r="V30" s="137"/>
      <c r="W30" s="137"/>
      <c r="X30" s="137"/>
    </row>
    <row r="31" spans="1:24" ht="15" customHeight="1" x14ac:dyDescent="0.25">
      <c r="A31" s="187"/>
      <c r="B31" s="187"/>
      <c r="C31" s="4" t="s">
        <v>193</v>
      </c>
      <c r="D31" s="137">
        <v>343.4</v>
      </c>
      <c r="E31" s="137">
        <v>204.6</v>
      </c>
      <c r="F31" s="137">
        <v>458.1</v>
      </c>
      <c r="G31" s="137">
        <v>175.3</v>
      </c>
      <c r="H31" s="137">
        <v>91.9</v>
      </c>
      <c r="I31" s="137">
        <v>55.3</v>
      </c>
      <c r="J31" s="137">
        <v>18.100000000000001</v>
      </c>
      <c r="K31" s="137">
        <v>9</v>
      </c>
      <c r="L31" s="137">
        <v>1346.8</v>
      </c>
      <c r="M31" s="137">
        <v>1355.8</v>
      </c>
      <c r="O31" s="137"/>
      <c r="P31" s="137"/>
      <c r="Q31" s="137"/>
      <c r="R31" s="137"/>
      <c r="S31" s="137"/>
      <c r="T31" s="137"/>
      <c r="U31" s="137"/>
      <c r="V31" s="137"/>
      <c r="W31" s="137"/>
      <c r="X31" s="137"/>
    </row>
    <row r="32" spans="1:24" ht="15" customHeight="1" x14ac:dyDescent="0.25">
      <c r="A32" s="187"/>
      <c r="B32" s="187"/>
      <c r="C32" s="4" t="s">
        <v>194</v>
      </c>
      <c r="D32" s="137">
        <v>323.89999999999998</v>
      </c>
      <c r="E32" s="137">
        <v>187.6</v>
      </c>
      <c r="F32" s="137">
        <v>434.7</v>
      </c>
      <c r="G32" s="137">
        <v>182.3</v>
      </c>
      <c r="H32" s="137">
        <v>96.4</v>
      </c>
      <c r="I32" s="137">
        <v>60.6</v>
      </c>
      <c r="J32" s="137">
        <v>19.399999999999999</v>
      </c>
      <c r="K32" s="137" t="s">
        <v>114</v>
      </c>
      <c r="L32" s="137">
        <v>1304.9000000000001</v>
      </c>
      <c r="M32" s="137" t="s">
        <v>114</v>
      </c>
      <c r="O32" s="137"/>
      <c r="P32" s="137"/>
      <c r="Q32" s="137"/>
      <c r="R32" s="137"/>
      <c r="S32" s="137"/>
      <c r="T32" s="137"/>
      <c r="U32" s="137"/>
      <c r="V32" s="137"/>
      <c r="W32" s="137"/>
      <c r="X32" s="137"/>
    </row>
    <row r="33" spans="1:24" ht="15" customHeight="1" x14ac:dyDescent="0.25">
      <c r="A33" s="187"/>
      <c r="B33" s="187"/>
      <c r="C33" s="4" t="s">
        <v>284</v>
      </c>
      <c r="D33" s="137">
        <v>329.1</v>
      </c>
      <c r="E33" s="137">
        <v>192.6</v>
      </c>
      <c r="F33" s="137">
        <v>424.2</v>
      </c>
      <c r="G33" s="137">
        <v>163.69999999999999</v>
      </c>
      <c r="H33" s="137">
        <v>56.3</v>
      </c>
      <c r="I33" s="137">
        <v>80.7</v>
      </c>
      <c r="J33" s="137">
        <v>18</v>
      </c>
      <c r="K33" s="137" t="s">
        <v>114</v>
      </c>
      <c r="L33" s="137">
        <v>1264.5999999999999</v>
      </c>
      <c r="M33" s="137" t="s">
        <v>114</v>
      </c>
      <c r="O33" s="137"/>
      <c r="P33" s="137"/>
      <c r="Q33" s="137"/>
      <c r="R33" s="137"/>
      <c r="S33" s="137"/>
      <c r="T33" s="137"/>
      <c r="U33" s="137"/>
      <c r="V33" s="137"/>
      <c r="W33" s="137"/>
      <c r="X33" s="137"/>
    </row>
    <row r="34" spans="1:24" ht="15" customHeight="1" x14ac:dyDescent="0.25">
      <c r="A34" s="187"/>
      <c r="B34" s="187" t="s">
        <v>71</v>
      </c>
      <c r="C34" s="4" t="s">
        <v>191</v>
      </c>
      <c r="D34" s="137">
        <v>4.5999999999999996</v>
      </c>
      <c r="E34" s="138" t="s">
        <v>109</v>
      </c>
      <c r="F34" s="138" t="s">
        <v>109</v>
      </c>
      <c r="G34" s="138" t="s">
        <v>109</v>
      </c>
      <c r="H34" s="137">
        <v>0.6</v>
      </c>
      <c r="I34" s="138" t="s">
        <v>109</v>
      </c>
      <c r="J34" s="138" t="s">
        <v>109</v>
      </c>
      <c r="K34" s="138">
        <v>0.1</v>
      </c>
      <c r="L34" s="137">
        <v>5.0999999999999996</v>
      </c>
      <c r="M34" s="137">
        <v>5.2</v>
      </c>
      <c r="O34" s="137"/>
      <c r="P34" s="137"/>
      <c r="Q34" s="137"/>
      <c r="R34" s="137"/>
      <c r="S34" s="137"/>
      <c r="T34" s="137"/>
      <c r="U34" s="137"/>
      <c r="V34" s="137"/>
      <c r="W34" s="137"/>
      <c r="X34" s="137"/>
    </row>
    <row r="35" spans="1:24" ht="15" customHeight="1" x14ac:dyDescent="0.25">
      <c r="A35" s="187"/>
      <c r="B35" s="187"/>
      <c r="C35" s="4" t="s">
        <v>192</v>
      </c>
      <c r="D35" s="137">
        <v>4</v>
      </c>
      <c r="E35" s="138" t="s">
        <v>109</v>
      </c>
      <c r="F35" s="138" t="s">
        <v>109</v>
      </c>
      <c r="G35" s="138" t="s">
        <v>109</v>
      </c>
      <c r="H35" s="137">
        <v>1.6</v>
      </c>
      <c r="I35" s="138" t="s">
        <v>109</v>
      </c>
      <c r="J35" s="138" t="s">
        <v>109</v>
      </c>
      <c r="K35" s="137">
        <v>1.3</v>
      </c>
      <c r="L35" s="137">
        <v>5.6</v>
      </c>
      <c r="M35" s="137">
        <v>7</v>
      </c>
      <c r="O35" s="137"/>
      <c r="P35" s="137"/>
      <c r="Q35" s="137"/>
      <c r="R35" s="137"/>
      <c r="S35" s="137"/>
      <c r="T35" s="137"/>
      <c r="U35" s="137"/>
      <c r="V35" s="137"/>
      <c r="W35" s="137"/>
      <c r="X35" s="137"/>
    </row>
    <row r="36" spans="1:24" ht="15" customHeight="1" x14ac:dyDescent="0.25">
      <c r="A36" s="187"/>
      <c r="B36" s="187"/>
      <c r="C36" s="4" t="s">
        <v>193</v>
      </c>
      <c r="D36" s="137">
        <v>2.5</v>
      </c>
      <c r="E36" s="138" t="s">
        <v>109</v>
      </c>
      <c r="F36" s="138" t="s">
        <v>109</v>
      </c>
      <c r="G36" s="138" t="s">
        <v>109</v>
      </c>
      <c r="H36" s="137">
        <v>0.7</v>
      </c>
      <c r="I36" s="138" t="s">
        <v>109</v>
      </c>
      <c r="J36" s="138">
        <v>0.5</v>
      </c>
      <c r="K36" s="137">
        <v>1.6</v>
      </c>
      <c r="L36" s="137">
        <v>3.8</v>
      </c>
      <c r="M36" s="137">
        <v>5.4</v>
      </c>
      <c r="O36" s="137"/>
      <c r="P36" s="137"/>
      <c r="Q36" s="137"/>
      <c r="R36" s="137"/>
      <c r="S36" s="137"/>
      <c r="T36" s="137"/>
      <c r="U36" s="137"/>
      <c r="V36" s="137"/>
      <c r="W36" s="137"/>
      <c r="X36" s="137"/>
    </row>
    <row r="37" spans="1:24" ht="15" customHeight="1" x14ac:dyDescent="0.25">
      <c r="A37" s="187"/>
      <c r="B37" s="187"/>
      <c r="C37" s="4" t="s">
        <v>194</v>
      </c>
      <c r="D37" s="137">
        <v>1.8</v>
      </c>
      <c r="E37" s="138" t="s">
        <v>109</v>
      </c>
      <c r="F37" s="138" t="s">
        <v>109</v>
      </c>
      <c r="G37" s="138" t="s">
        <v>109</v>
      </c>
      <c r="H37" s="137">
        <v>1.4</v>
      </c>
      <c r="I37" s="138" t="s">
        <v>109</v>
      </c>
      <c r="J37" s="138">
        <v>0.1</v>
      </c>
      <c r="K37" s="137" t="s">
        <v>114</v>
      </c>
      <c r="L37" s="137">
        <v>3.3</v>
      </c>
      <c r="M37" s="137">
        <v>3.3</v>
      </c>
      <c r="O37" s="137"/>
      <c r="P37" s="137"/>
      <c r="Q37" s="137"/>
      <c r="R37" s="137"/>
      <c r="S37" s="137"/>
      <c r="T37" s="137"/>
      <c r="U37" s="137"/>
      <c r="V37" s="137"/>
      <c r="W37" s="137"/>
      <c r="X37" s="137"/>
    </row>
    <row r="38" spans="1:24" ht="15" customHeight="1" x14ac:dyDescent="0.25">
      <c r="A38" s="187"/>
      <c r="B38" s="187"/>
      <c r="C38" s="4" t="s">
        <v>284</v>
      </c>
      <c r="D38" s="137">
        <v>1.2</v>
      </c>
      <c r="E38" s="137">
        <v>0.5</v>
      </c>
      <c r="F38" s="138" t="s">
        <v>109</v>
      </c>
      <c r="G38" s="138" t="s">
        <v>109</v>
      </c>
      <c r="H38" s="137" t="s">
        <v>109</v>
      </c>
      <c r="I38" s="138" t="s">
        <v>109</v>
      </c>
      <c r="J38" s="138">
        <v>0.2</v>
      </c>
      <c r="K38" s="137" t="s">
        <v>114</v>
      </c>
      <c r="L38" s="137">
        <v>2</v>
      </c>
      <c r="M38" s="137">
        <v>2</v>
      </c>
      <c r="O38" s="137"/>
      <c r="P38" s="137"/>
      <c r="Q38" s="137"/>
      <c r="R38" s="137"/>
      <c r="S38" s="137"/>
      <c r="T38" s="137"/>
      <c r="U38" s="137"/>
      <c r="V38" s="137"/>
      <c r="W38" s="137"/>
      <c r="X38" s="137"/>
    </row>
    <row r="39" spans="1:24" ht="15" customHeight="1" x14ac:dyDescent="0.25">
      <c r="A39" s="187"/>
      <c r="B39" s="187" t="s">
        <v>11</v>
      </c>
      <c r="C39" s="95" t="s">
        <v>191</v>
      </c>
      <c r="D39" s="139">
        <v>516.6</v>
      </c>
      <c r="E39" s="139">
        <v>582.4</v>
      </c>
      <c r="F39" s="139">
        <v>553.79999999999995</v>
      </c>
      <c r="G39" s="139">
        <v>195.9</v>
      </c>
      <c r="H39" s="139">
        <v>105.4</v>
      </c>
      <c r="I39" s="139">
        <v>67.900000000000006</v>
      </c>
      <c r="J39" s="139">
        <v>50</v>
      </c>
      <c r="K39" s="139">
        <v>9.1999999999999993</v>
      </c>
      <c r="L39" s="139">
        <v>2072</v>
      </c>
      <c r="M39" s="139">
        <v>2081.1999999999998</v>
      </c>
      <c r="O39" s="139"/>
      <c r="P39" s="139"/>
      <c r="Q39" s="139"/>
      <c r="R39" s="139"/>
      <c r="S39" s="139"/>
      <c r="T39" s="139"/>
      <c r="U39" s="139"/>
      <c r="V39" s="139"/>
      <c r="W39" s="139"/>
      <c r="X39" s="139"/>
    </row>
    <row r="40" spans="1:24" ht="15" customHeight="1" x14ac:dyDescent="0.25">
      <c r="A40" s="187"/>
      <c r="B40" s="187"/>
      <c r="C40" s="95" t="s">
        <v>192</v>
      </c>
      <c r="D40" s="139">
        <v>465.5</v>
      </c>
      <c r="E40" s="139">
        <v>520.9</v>
      </c>
      <c r="F40" s="139">
        <v>532.29999999999995</v>
      </c>
      <c r="G40" s="139">
        <v>184.4</v>
      </c>
      <c r="H40" s="139">
        <v>111.5</v>
      </c>
      <c r="I40" s="139">
        <v>55.5</v>
      </c>
      <c r="J40" s="139">
        <v>43.8</v>
      </c>
      <c r="K40" s="139">
        <v>11.7</v>
      </c>
      <c r="L40" s="139">
        <v>1913.8</v>
      </c>
      <c r="M40" s="139">
        <v>1925.5</v>
      </c>
      <c r="O40" s="139"/>
      <c r="P40" s="139"/>
      <c r="Q40" s="139"/>
      <c r="R40" s="139"/>
      <c r="S40" s="139"/>
      <c r="T40" s="139"/>
      <c r="U40" s="139"/>
      <c r="V40" s="139"/>
      <c r="W40" s="139"/>
      <c r="X40" s="139"/>
    </row>
    <row r="41" spans="1:24" ht="15" customHeight="1" x14ac:dyDescent="0.25">
      <c r="A41" s="187"/>
      <c r="B41" s="187"/>
      <c r="C41" s="95" t="s">
        <v>193</v>
      </c>
      <c r="D41" s="139">
        <v>361.4</v>
      </c>
      <c r="E41" s="139">
        <v>405.2</v>
      </c>
      <c r="F41" s="139">
        <v>504.3</v>
      </c>
      <c r="G41" s="139">
        <v>194.7</v>
      </c>
      <c r="H41" s="139">
        <v>124.4</v>
      </c>
      <c r="I41" s="139">
        <v>65.599999999999994</v>
      </c>
      <c r="J41" s="139">
        <v>44.4</v>
      </c>
      <c r="K41" s="139">
        <v>13.4</v>
      </c>
      <c r="L41" s="139">
        <v>1699.9</v>
      </c>
      <c r="M41" s="139">
        <v>1713.3</v>
      </c>
      <c r="O41" s="139"/>
      <c r="P41" s="139"/>
      <c r="Q41" s="139"/>
      <c r="R41" s="139"/>
      <c r="S41" s="139"/>
      <c r="T41" s="139"/>
      <c r="U41" s="139"/>
      <c r="V41" s="139"/>
      <c r="W41" s="139"/>
      <c r="X41" s="139"/>
    </row>
    <row r="42" spans="1:24" ht="15" customHeight="1" x14ac:dyDescent="0.25">
      <c r="A42" s="187"/>
      <c r="B42" s="187"/>
      <c r="C42" s="95" t="s">
        <v>194</v>
      </c>
      <c r="D42" s="139">
        <v>341.6</v>
      </c>
      <c r="E42" s="139">
        <v>353.4</v>
      </c>
      <c r="F42" s="139">
        <v>490.2</v>
      </c>
      <c r="G42" s="139">
        <v>202.5</v>
      </c>
      <c r="H42" s="139">
        <v>125</v>
      </c>
      <c r="I42" s="139">
        <v>69.3</v>
      </c>
      <c r="J42" s="139">
        <v>54.8</v>
      </c>
      <c r="K42" s="139" t="s">
        <v>114</v>
      </c>
      <c r="L42" s="139">
        <v>1636.8</v>
      </c>
      <c r="M42" s="139" t="s">
        <v>114</v>
      </c>
      <c r="O42" s="139"/>
      <c r="P42" s="139"/>
      <c r="Q42" s="139"/>
      <c r="R42" s="139"/>
      <c r="S42" s="139"/>
      <c r="T42" s="139"/>
      <c r="U42" s="139"/>
      <c r="V42" s="139"/>
      <c r="W42" s="139"/>
      <c r="X42" s="139"/>
    </row>
    <row r="43" spans="1:24" ht="15" customHeight="1" x14ac:dyDescent="0.25">
      <c r="A43" s="187"/>
      <c r="B43" s="187"/>
      <c r="C43" s="95" t="s">
        <v>284</v>
      </c>
      <c r="D43" s="139">
        <v>350.2</v>
      </c>
      <c r="E43" s="139">
        <v>340.4</v>
      </c>
      <c r="F43" s="139">
        <v>473.8</v>
      </c>
      <c r="G43" s="139">
        <v>185.4</v>
      </c>
      <c r="H43" s="139">
        <v>88.1</v>
      </c>
      <c r="I43" s="139">
        <v>92.9</v>
      </c>
      <c r="J43" s="139">
        <v>50</v>
      </c>
      <c r="K43" s="139" t="s">
        <v>114</v>
      </c>
      <c r="L43" s="139">
        <v>1580.6</v>
      </c>
      <c r="M43" s="139" t="s">
        <v>114</v>
      </c>
      <c r="O43" s="139"/>
      <c r="P43" s="139"/>
      <c r="Q43" s="139"/>
      <c r="R43" s="139"/>
      <c r="S43" s="139"/>
      <c r="T43" s="139"/>
      <c r="U43" s="139"/>
      <c r="V43" s="139"/>
      <c r="W43" s="139"/>
      <c r="X43" s="139"/>
    </row>
    <row r="44" spans="1:24" ht="15" customHeight="1" x14ac:dyDescent="0.25">
      <c r="A44" s="187" t="s">
        <v>20</v>
      </c>
      <c r="B44" s="187" t="s">
        <v>69</v>
      </c>
      <c r="C44" s="4" t="s">
        <v>191</v>
      </c>
      <c r="D44" s="137">
        <v>0.8</v>
      </c>
      <c r="E44" s="138" t="s">
        <v>109</v>
      </c>
      <c r="F44" s="137">
        <v>0.6</v>
      </c>
      <c r="G44" s="138" t="s">
        <v>109</v>
      </c>
      <c r="H44" s="137">
        <v>0.3</v>
      </c>
      <c r="I44" s="137">
        <v>0.2</v>
      </c>
      <c r="J44" s="138" t="s">
        <v>109</v>
      </c>
      <c r="K44" s="137">
        <v>0.8</v>
      </c>
      <c r="L44" s="137">
        <v>1.8</v>
      </c>
      <c r="M44" s="137">
        <v>2.6</v>
      </c>
      <c r="O44" s="137"/>
      <c r="P44" s="137"/>
      <c r="Q44" s="137"/>
      <c r="R44" s="137"/>
      <c r="S44" s="137"/>
      <c r="T44" s="137"/>
      <c r="U44" s="137"/>
      <c r="V44" s="137"/>
      <c r="W44" s="137"/>
      <c r="X44" s="137"/>
    </row>
    <row r="45" spans="1:24" ht="15" customHeight="1" x14ac:dyDescent="0.25">
      <c r="A45" s="187"/>
      <c r="B45" s="187"/>
      <c r="C45" s="4" t="s">
        <v>192</v>
      </c>
      <c r="D45" s="137">
        <v>0.7</v>
      </c>
      <c r="E45" s="138" t="s">
        <v>109</v>
      </c>
      <c r="F45" s="137">
        <v>0.1</v>
      </c>
      <c r="G45" s="138" t="s">
        <v>109</v>
      </c>
      <c r="H45" s="138" t="s">
        <v>109</v>
      </c>
      <c r="I45" s="137">
        <v>0.2</v>
      </c>
      <c r="J45" s="138" t="s">
        <v>109</v>
      </c>
      <c r="K45" s="137">
        <v>0.7</v>
      </c>
      <c r="L45" s="137">
        <v>1</v>
      </c>
      <c r="M45" s="137">
        <v>1.6</v>
      </c>
      <c r="O45" s="137"/>
      <c r="P45" s="137"/>
      <c r="Q45" s="137"/>
      <c r="R45" s="137"/>
      <c r="S45" s="137"/>
      <c r="T45" s="137"/>
      <c r="U45" s="137"/>
      <c r="V45" s="137"/>
      <c r="W45" s="137"/>
      <c r="X45" s="137"/>
    </row>
    <row r="46" spans="1:24" ht="15" customHeight="1" x14ac:dyDescent="0.25">
      <c r="A46" s="187"/>
      <c r="B46" s="187"/>
      <c r="C46" s="4" t="s">
        <v>193</v>
      </c>
      <c r="D46" s="137">
        <v>0.6</v>
      </c>
      <c r="E46" s="138" t="s">
        <v>109</v>
      </c>
      <c r="F46" s="137" t="s">
        <v>109</v>
      </c>
      <c r="G46" s="138" t="s">
        <v>109</v>
      </c>
      <c r="H46" s="138" t="s">
        <v>109</v>
      </c>
      <c r="I46" s="137">
        <v>0.6</v>
      </c>
      <c r="J46" s="138">
        <v>0.1</v>
      </c>
      <c r="K46" s="137">
        <v>4.0999999999999996</v>
      </c>
      <c r="L46" s="137">
        <v>1.4</v>
      </c>
      <c r="M46" s="137">
        <v>5.5</v>
      </c>
      <c r="O46" s="137"/>
      <c r="P46" s="137"/>
      <c r="Q46" s="137"/>
      <c r="R46" s="137"/>
      <c r="S46" s="137"/>
      <c r="T46" s="137"/>
      <c r="U46" s="137"/>
      <c r="V46" s="137"/>
      <c r="W46" s="137"/>
      <c r="X46" s="137"/>
    </row>
    <row r="47" spans="1:24" ht="15" customHeight="1" x14ac:dyDescent="0.25">
      <c r="A47" s="187"/>
      <c r="B47" s="187"/>
      <c r="C47" s="4" t="s">
        <v>194</v>
      </c>
      <c r="D47" s="137">
        <v>1.2</v>
      </c>
      <c r="E47" s="137" t="s">
        <v>109</v>
      </c>
      <c r="F47" s="137" t="s">
        <v>109</v>
      </c>
      <c r="G47" s="138" t="s">
        <v>109</v>
      </c>
      <c r="H47" s="138" t="s">
        <v>109</v>
      </c>
      <c r="I47" s="137" t="s">
        <v>109</v>
      </c>
      <c r="J47" s="137">
        <v>0.1</v>
      </c>
      <c r="K47" s="137" t="s">
        <v>114</v>
      </c>
      <c r="L47" s="137">
        <v>1.3</v>
      </c>
      <c r="M47" s="137" t="s">
        <v>114</v>
      </c>
      <c r="O47" s="137"/>
      <c r="P47" s="137"/>
      <c r="Q47" s="137"/>
      <c r="R47" s="137"/>
      <c r="S47" s="137"/>
      <c r="T47" s="137"/>
      <c r="U47" s="137"/>
      <c r="V47" s="137"/>
      <c r="W47" s="137"/>
      <c r="X47" s="137"/>
    </row>
    <row r="48" spans="1:24" ht="15" customHeight="1" x14ac:dyDescent="0.25">
      <c r="A48" s="187"/>
      <c r="B48" s="187"/>
      <c r="C48" s="4" t="s">
        <v>284</v>
      </c>
      <c r="D48" s="137">
        <v>1.5</v>
      </c>
      <c r="E48" s="137">
        <v>0.3</v>
      </c>
      <c r="F48" s="137">
        <v>0.4</v>
      </c>
      <c r="G48" s="138" t="s">
        <v>109</v>
      </c>
      <c r="H48" s="137">
        <v>0.9</v>
      </c>
      <c r="I48" s="137">
        <v>0.2</v>
      </c>
      <c r="J48" s="137" t="s">
        <v>109</v>
      </c>
      <c r="K48" s="137" t="s">
        <v>114</v>
      </c>
      <c r="L48" s="137">
        <v>3.4</v>
      </c>
      <c r="M48" s="137" t="s">
        <v>114</v>
      </c>
      <c r="O48" s="137"/>
      <c r="P48" s="137"/>
      <c r="Q48" s="137"/>
      <c r="R48" s="137"/>
      <c r="S48" s="137"/>
      <c r="T48" s="137"/>
      <c r="U48" s="137"/>
      <c r="V48" s="137"/>
      <c r="W48" s="137"/>
      <c r="X48" s="137"/>
    </row>
    <row r="49" spans="1:24" ht="15" customHeight="1" x14ac:dyDescent="0.25">
      <c r="A49" s="187"/>
      <c r="B49" s="187" t="s">
        <v>70</v>
      </c>
      <c r="C49" s="4" t="s">
        <v>191</v>
      </c>
      <c r="D49" s="137">
        <v>40.1</v>
      </c>
      <c r="E49" s="138">
        <v>0.1</v>
      </c>
      <c r="F49" s="137">
        <v>5.8</v>
      </c>
      <c r="G49" s="138" t="s">
        <v>109</v>
      </c>
      <c r="H49" s="137">
        <v>1</v>
      </c>
      <c r="I49" s="137">
        <v>4.5999999999999996</v>
      </c>
      <c r="J49" s="138" t="s">
        <v>109</v>
      </c>
      <c r="K49" s="137">
        <v>2.5</v>
      </c>
      <c r="L49" s="137">
        <v>51.6</v>
      </c>
      <c r="M49" s="137">
        <v>54.1</v>
      </c>
      <c r="O49" s="137"/>
      <c r="P49" s="137"/>
      <c r="Q49" s="137"/>
      <c r="R49" s="137"/>
      <c r="S49" s="137"/>
      <c r="T49" s="137"/>
      <c r="U49" s="137"/>
      <c r="V49" s="137"/>
      <c r="W49" s="137"/>
      <c r="X49" s="137"/>
    </row>
    <row r="50" spans="1:24" ht="15" customHeight="1" x14ac:dyDescent="0.25">
      <c r="A50" s="187"/>
      <c r="B50" s="187"/>
      <c r="C50" s="4" t="s">
        <v>192</v>
      </c>
      <c r="D50" s="137">
        <v>32.4</v>
      </c>
      <c r="E50" s="137" t="s">
        <v>109</v>
      </c>
      <c r="F50" s="137">
        <v>4.7</v>
      </c>
      <c r="G50" s="138" t="s">
        <v>109</v>
      </c>
      <c r="H50" s="137">
        <v>1.6</v>
      </c>
      <c r="I50" s="137">
        <v>0.1</v>
      </c>
      <c r="J50" s="138" t="s">
        <v>109</v>
      </c>
      <c r="K50" s="137">
        <v>4.5999999999999996</v>
      </c>
      <c r="L50" s="137">
        <v>38.799999999999997</v>
      </c>
      <c r="M50" s="137">
        <v>43.4</v>
      </c>
      <c r="O50" s="137"/>
      <c r="P50" s="137"/>
      <c r="Q50" s="137"/>
      <c r="R50" s="137"/>
      <c r="S50" s="137"/>
      <c r="T50" s="137"/>
      <c r="U50" s="137"/>
      <c r="V50" s="137"/>
      <c r="W50" s="137"/>
      <c r="X50" s="137"/>
    </row>
    <row r="51" spans="1:24" ht="15" customHeight="1" x14ac:dyDescent="0.25">
      <c r="A51" s="187"/>
      <c r="B51" s="187"/>
      <c r="C51" s="4" t="s">
        <v>193</v>
      </c>
      <c r="D51" s="137">
        <v>31.2</v>
      </c>
      <c r="E51" s="138" t="s">
        <v>109</v>
      </c>
      <c r="F51" s="137">
        <v>2.9</v>
      </c>
      <c r="G51" s="138" t="s">
        <v>109</v>
      </c>
      <c r="H51" s="137">
        <v>1.6</v>
      </c>
      <c r="I51" s="137" t="s">
        <v>109</v>
      </c>
      <c r="J51" s="138">
        <v>0.7</v>
      </c>
      <c r="K51" s="137">
        <v>4.8</v>
      </c>
      <c r="L51" s="137">
        <v>36.4</v>
      </c>
      <c r="M51" s="137">
        <v>41.1</v>
      </c>
      <c r="O51" s="137"/>
      <c r="P51" s="137"/>
      <c r="Q51" s="137"/>
      <c r="R51" s="137"/>
      <c r="S51" s="137"/>
      <c r="T51" s="137"/>
      <c r="U51" s="137"/>
      <c r="V51" s="137"/>
      <c r="W51" s="137"/>
      <c r="X51" s="137"/>
    </row>
    <row r="52" spans="1:24" ht="15" customHeight="1" x14ac:dyDescent="0.25">
      <c r="A52" s="187"/>
      <c r="B52" s="187"/>
      <c r="C52" s="4" t="s">
        <v>194</v>
      </c>
      <c r="D52" s="137">
        <v>26.2</v>
      </c>
      <c r="E52" s="138" t="s">
        <v>109</v>
      </c>
      <c r="F52" s="137">
        <v>2.5</v>
      </c>
      <c r="G52" s="138" t="s">
        <v>109</v>
      </c>
      <c r="H52" s="137">
        <v>0.6</v>
      </c>
      <c r="I52" s="137">
        <v>0.4</v>
      </c>
      <c r="J52" s="137">
        <v>0.3</v>
      </c>
      <c r="K52" s="137" t="s">
        <v>114</v>
      </c>
      <c r="L52" s="137">
        <v>29.9</v>
      </c>
      <c r="M52" s="137" t="s">
        <v>114</v>
      </c>
      <c r="O52" s="137"/>
      <c r="P52" s="137"/>
      <c r="Q52" s="137"/>
      <c r="R52" s="137"/>
      <c r="S52" s="137"/>
      <c r="T52" s="137"/>
      <c r="U52" s="137"/>
      <c r="V52" s="137"/>
      <c r="W52" s="137"/>
      <c r="X52" s="137"/>
    </row>
    <row r="53" spans="1:24" ht="15" customHeight="1" x14ac:dyDescent="0.25">
      <c r="A53" s="187"/>
      <c r="B53" s="187"/>
      <c r="C53" s="4" t="s">
        <v>284</v>
      </c>
      <c r="D53" s="137">
        <v>23.5</v>
      </c>
      <c r="E53" s="138">
        <v>0.1</v>
      </c>
      <c r="F53" s="137">
        <v>3.9</v>
      </c>
      <c r="G53" s="138" t="s">
        <v>109</v>
      </c>
      <c r="H53" s="137">
        <v>2.2000000000000002</v>
      </c>
      <c r="I53" s="137">
        <v>0.5</v>
      </c>
      <c r="J53" s="137" t="s">
        <v>109</v>
      </c>
      <c r="K53" s="137" t="s">
        <v>114</v>
      </c>
      <c r="L53" s="137">
        <v>30.1</v>
      </c>
      <c r="M53" s="137" t="s">
        <v>114</v>
      </c>
      <c r="O53" s="137"/>
      <c r="P53" s="137"/>
      <c r="Q53" s="137"/>
      <c r="R53" s="137"/>
      <c r="S53" s="137"/>
      <c r="T53" s="137"/>
      <c r="U53" s="137"/>
      <c r="V53" s="137"/>
      <c r="W53" s="137"/>
      <c r="X53" s="137"/>
    </row>
    <row r="54" spans="1:24" ht="15" customHeight="1" x14ac:dyDescent="0.25">
      <c r="A54" s="187"/>
      <c r="B54" s="187" t="s">
        <v>71</v>
      </c>
      <c r="C54" s="4" t="s">
        <v>191</v>
      </c>
      <c r="D54" s="137">
        <v>0.6</v>
      </c>
      <c r="E54" s="138" t="s">
        <v>109</v>
      </c>
      <c r="F54" s="138" t="s">
        <v>109</v>
      </c>
      <c r="G54" s="138" t="s">
        <v>109</v>
      </c>
      <c r="H54" s="138" t="s">
        <v>109</v>
      </c>
      <c r="I54" s="138" t="s">
        <v>109</v>
      </c>
      <c r="J54" s="138" t="s">
        <v>109</v>
      </c>
      <c r="K54" s="138">
        <v>2</v>
      </c>
      <c r="L54" s="137">
        <v>0.6</v>
      </c>
      <c r="M54" s="137">
        <v>2.6</v>
      </c>
      <c r="O54" s="137"/>
      <c r="P54" s="137"/>
      <c r="Q54" s="137"/>
      <c r="R54" s="137"/>
      <c r="S54" s="137"/>
      <c r="T54" s="137"/>
      <c r="U54" s="137"/>
      <c r="V54" s="137"/>
      <c r="W54" s="137"/>
      <c r="X54" s="137"/>
    </row>
    <row r="55" spans="1:24" ht="15" customHeight="1" x14ac:dyDescent="0.25">
      <c r="A55" s="187"/>
      <c r="B55" s="187"/>
      <c r="C55" s="4" t="s">
        <v>192</v>
      </c>
      <c r="D55" s="137">
        <v>0.7</v>
      </c>
      <c r="E55" s="138" t="s">
        <v>109</v>
      </c>
      <c r="F55" s="138" t="s">
        <v>109</v>
      </c>
      <c r="G55" s="138" t="s">
        <v>109</v>
      </c>
      <c r="H55" s="138" t="s">
        <v>109</v>
      </c>
      <c r="I55" s="138" t="s">
        <v>109</v>
      </c>
      <c r="J55" s="138" t="s">
        <v>109</v>
      </c>
      <c r="K55" s="138">
        <v>2</v>
      </c>
      <c r="L55" s="137">
        <v>0.7</v>
      </c>
      <c r="M55" s="137">
        <v>2.7</v>
      </c>
      <c r="O55" s="137"/>
      <c r="P55" s="137"/>
      <c r="Q55" s="137"/>
      <c r="R55" s="137"/>
      <c r="S55" s="137"/>
      <c r="T55" s="137"/>
      <c r="U55" s="137"/>
      <c r="V55" s="137"/>
      <c r="W55" s="137"/>
      <c r="X55" s="137"/>
    </row>
    <row r="56" spans="1:24" ht="15" customHeight="1" x14ac:dyDescent="0.25">
      <c r="A56" s="187"/>
      <c r="B56" s="187"/>
      <c r="C56" s="4" t="s">
        <v>193</v>
      </c>
      <c r="D56" s="137" t="s">
        <v>109</v>
      </c>
      <c r="E56" s="138" t="s">
        <v>109</v>
      </c>
      <c r="F56" s="138" t="s">
        <v>109</v>
      </c>
      <c r="G56" s="138" t="s">
        <v>109</v>
      </c>
      <c r="H56" s="138" t="s">
        <v>109</v>
      </c>
      <c r="I56" s="138" t="s">
        <v>109</v>
      </c>
      <c r="J56" s="138" t="s">
        <v>109</v>
      </c>
      <c r="K56" s="138">
        <v>2.5</v>
      </c>
      <c r="L56" s="137" t="s">
        <v>189</v>
      </c>
      <c r="M56" s="137">
        <v>2.5</v>
      </c>
      <c r="O56" s="137"/>
      <c r="P56" s="137"/>
      <c r="Q56" s="137"/>
      <c r="R56" s="137"/>
      <c r="S56" s="137"/>
      <c r="T56" s="137"/>
      <c r="U56" s="137"/>
      <c r="V56" s="137"/>
      <c r="W56" s="137"/>
      <c r="X56" s="137"/>
    </row>
    <row r="57" spans="1:24" ht="15" customHeight="1" x14ac:dyDescent="0.25">
      <c r="A57" s="187"/>
      <c r="B57" s="187"/>
      <c r="C57" s="4" t="s">
        <v>194</v>
      </c>
      <c r="D57" s="138">
        <v>0.7</v>
      </c>
      <c r="E57" s="138" t="s">
        <v>109</v>
      </c>
      <c r="F57" s="138" t="s">
        <v>109</v>
      </c>
      <c r="G57" s="138" t="s">
        <v>109</v>
      </c>
      <c r="H57" s="138" t="s">
        <v>109</v>
      </c>
      <c r="I57" s="138" t="s">
        <v>109</v>
      </c>
      <c r="J57" s="138" t="s">
        <v>109</v>
      </c>
      <c r="K57" s="137" t="s">
        <v>114</v>
      </c>
      <c r="L57" s="138">
        <v>0.7</v>
      </c>
      <c r="M57" s="137" t="s">
        <v>114</v>
      </c>
      <c r="O57" s="137"/>
      <c r="P57" s="137"/>
      <c r="Q57" s="137"/>
      <c r="R57" s="137"/>
      <c r="S57" s="137"/>
      <c r="T57" s="137"/>
      <c r="U57" s="137"/>
      <c r="V57" s="137"/>
      <c r="W57" s="137"/>
      <c r="X57" s="137"/>
    </row>
    <row r="58" spans="1:24" ht="15" customHeight="1" x14ac:dyDescent="0.25">
      <c r="A58" s="187"/>
      <c r="B58" s="187"/>
      <c r="C58" s="4" t="s">
        <v>284</v>
      </c>
      <c r="D58" s="137">
        <v>2</v>
      </c>
      <c r="E58" s="138" t="s">
        <v>109</v>
      </c>
      <c r="F58" s="138" t="s">
        <v>109</v>
      </c>
      <c r="G58" s="138" t="s">
        <v>109</v>
      </c>
      <c r="H58" s="138" t="s">
        <v>109</v>
      </c>
      <c r="I58" s="138" t="s">
        <v>109</v>
      </c>
      <c r="J58" s="138" t="s">
        <v>109</v>
      </c>
      <c r="K58" s="137" t="s">
        <v>114</v>
      </c>
      <c r="L58" s="137">
        <v>2</v>
      </c>
      <c r="M58" s="137" t="s">
        <v>114</v>
      </c>
      <c r="O58" s="137"/>
      <c r="P58" s="137"/>
      <c r="Q58" s="137"/>
      <c r="R58" s="137"/>
      <c r="S58" s="137"/>
      <c r="T58" s="137"/>
      <c r="U58" s="137"/>
      <c r="V58" s="137"/>
      <c r="W58" s="137"/>
      <c r="X58" s="137"/>
    </row>
    <row r="59" spans="1:24" ht="15" customHeight="1" x14ac:dyDescent="0.25">
      <c r="A59" s="187"/>
      <c r="B59" s="187" t="s">
        <v>11</v>
      </c>
      <c r="C59" s="95" t="s">
        <v>191</v>
      </c>
      <c r="D59" s="139">
        <v>41.3</v>
      </c>
      <c r="E59" s="138">
        <v>0.1</v>
      </c>
      <c r="F59" s="139">
        <v>6.5</v>
      </c>
      <c r="G59" s="138" t="s">
        <v>109</v>
      </c>
      <c r="H59" s="139">
        <v>1.2</v>
      </c>
      <c r="I59" s="139">
        <v>4.8</v>
      </c>
      <c r="J59" s="138" t="s">
        <v>109</v>
      </c>
      <c r="K59" s="139">
        <v>5.3</v>
      </c>
      <c r="L59" s="139">
        <v>53.9</v>
      </c>
      <c r="M59" s="139">
        <v>59.2</v>
      </c>
      <c r="O59" s="139"/>
      <c r="P59" s="137"/>
      <c r="Q59" s="139"/>
      <c r="R59" s="137"/>
      <c r="S59" s="139"/>
      <c r="T59" s="139"/>
      <c r="U59" s="137"/>
      <c r="V59" s="139"/>
      <c r="W59" s="139"/>
      <c r="X59" s="139"/>
    </row>
    <row r="60" spans="1:24" ht="15" customHeight="1" x14ac:dyDescent="0.25">
      <c r="A60" s="187"/>
      <c r="B60" s="187"/>
      <c r="C60" s="95" t="s">
        <v>192</v>
      </c>
      <c r="D60" s="139">
        <v>33.4</v>
      </c>
      <c r="E60" s="139" t="s">
        <v>109</v>
      </c>
      <c r="F60" s="139">
        <v>4.8</v>
      </c>
      <c r="G60" s="138" t="s">
        <v>109</v>
      </c>
      <c r="H60" s="139">
        <v>1.6</v>
      </c>
      <c r="I60" s="139">
        <v>0.3</v>
      </c>
      <c r="J60" s="138" t="s">
        <v>109</v>
      </c>
      <c r="K60" s="139">
        <v>6.7</v>
      </c>
      <c r="L60" s="139">
        <v>40.1</v>
      </c>
      <c r="M60" s="139">
        <v>46.8</v>
      </c>
      <c r="O60" s="139"/>
      <c r="P60" s="139"/>
      <c r="Q60" s="139"/>
      <c r="R60" s="137"/>
      <c r="S60" s="139"/>
      <c r="T60" s="139"/>
      <c r="U60" s="137"/>
      <c r="V60" s="139"/>
      <c r="W60" s="139"/>
      <c r="X60" s="139"/>
    </row>
    <row r="61" spans="1:24" ht="15" customHeight="1" x14ac:dyDescent="0.25">
      <c r="A61" s="187"/>
      <c r="B61" s="187"/>
      <c r="C61" s="95" t="s">
        <v>193</v>
      </c>
      <c r="D61" s="139">
        <v>31.8</v>
      </c>
      <c r="E61" s="138" t="s">
        <v>109</v>
      </c>
      <c r="F61" s="139">
        <v>2.9</v>
      </c>
      <c r="G61" s="138" t="s">
        <v>109</v>
      </c>
      <c r="H61" s="139">
        <v>1.6</v>
      </c>
      <c r="I61" s="139">
        <v>0.6</v>
      </c>
      <c r="J61" s="138">
        <v>0.8</v>
      </c>
      <c r="K61" s="139">
        <v>10.7</v>
      </c>
      <c r="L61" s="139">
        <v>37.700000000000003</v>
      </c>
      <c r="M61" s="139">
        <v>48.4</v>
      </c>
      <c r="O61" s="139"/>
      <c r="P61" s="137"/>
      <c r="Q61" s="139"/>
      <c r="R61" s="137"/>
      <c r="S61" s="139"/>
      <c r="T61" s="139"/>
      <c r="U61" s="137"/>
      <c r="V61" s="139"/>
      <c r="W61" s="139"/>
      <c r="X61" s="139"/>
    </row>
    <row r="62" spans="1:24" ht="15" customHeight="1" x14ac:dyDescent="0.25">
      <c r="A62" s="187"/>
      <c r="B62" s="187"/>
      <c r="C62" s="95" t="s">
        <v>194</v>
      </c>
      <c r="D62" s="139">
        <v>27.9</v>
      </c>
      <c r="E62" s="139" t="s">
        <v>109</v>
      </c>
      <c r="F62" s="139">
        <v>2.5</v>
      </c>
      <c r="G62" s="138" t="s">
        <v>109</v>
      </c>
      <c r="H62" s="139">
        <v>0.6</v>
      </c>
      <c r="I62" s="139">
        <v>0.4</v>
      </c>
      <c r="J62" s="139">
        <v>0.4</v>
      </c>
      <c r="K62" s="139" t="s">
        <v>114</v>
      </c>
      <c r="L62" s="139">
        <v>31.8</v>
      </c>
      <c r="M62" s="139" t="s">
        <v>114</v>
      </c>
      <c r="O62" s="139"/>
      <c r="P62" s="139"/>
      <c r="Q62" s="139"/>
      <c r="R62" s="137"/>
      <c r="S62" s="139"/>
      <c r="T62" s="139"/>
      <c r="U62" s="139"/>
      <c r="V62" s="139"/>
      <c r="W62" s="139"/>
      <c r="X62" s="139"/>
    </row>
    <row r="63" spans="1:24" ht="15" customHeight="1" x14ac:dyDescent="0.25">
      <c r="A63" s="187"/>
      <c r="B63" s="187"/>
      <c r="C63" s="95" t="s">
        <v>284</v>
      </c>
      <c r="D63" s="139">
        <v>26.6</v>
      </c>
      <c r="E63" s="139">
        <v>0.4</v>
      </c>
      <c r="F63" s="139">
        <v>4.3</v>
      </c>
      <c r="G63" s="138" t="s">
        <v>109</v>
      </c>
      <c r="H63" s="139">
        <v>3.1</v>
      </c>
      <c r="I63" s="139">
        <v>0.7</v>
      </c>
      <c r="J63" s="139" t="s">
        <v>109</v>
      </c>
      <c r="K63" s="139" t="s">
        <v>114</v>
      </c>
      <c r="L63" s="139">
        <v>35.1</v>
      </c>
      <c r="M63" s="139" t="s">
        <v>114</v>
      </c>
      <c r="O63" s="139"/>
      <c r="P63" s="139"/>
      <c r="Q63" s="139"/>
      <c r="R63" s="137"/>
      <c r="S63" s="139"/>
      <c r="T63" s="139"/>
      <c r="U63" s="139"/>
      <c r="V63" s="139"/>
      <c r="W63" s="139"/>
      <c r="X63" s="139"/>
    </row>
    <row r="64" spans="1:24" ht="15" customHeight="1" x14ac:dyDescent="0.25">
      <c r="A64" s="187" t="s">
        <v>11</v>
      </c>
      <c r="B64" s="187" t="s">
        <v>69</v>
      </c>
      <c r="C64" s="4" t="s">
        <v>191</v>
      </c>
      <c r="D64" s="137">
        <v>96.2</v>
      </c>
      <c r="E64" s="137">
        <v>363.8</v>
      </c>
      <c r="F64" s="137">
        <v>162</v>
      </c>
      <c r="G64" s="137">
        <v>37.6</v>
      </c>
      <c r="H64" s="137">
        <v>70.599999999999994</v>
      </c>
      <c r="I64" s="137">
        <v>6.8</v>
      </c>
      <c r="J64" s="137">
        <v>26.7</v>
      </c>
      <c r="K64" s="137">
        <v>40.9</v>
      </c>
      <c r="L64" s="137">
        <v>763.6</v>
      </c>
      <c r="M64" s="137">
        <v>804.5</v>
      </c>
      <c r="O64" s="137"/>
      <c r="P64" s="137"/>
      <c r="Q64" s="137"/>
      <c r="R64" s="137"/>
      <c r="S64" s="137"/>
      <c r="T64" s="137"/>
      <c r="U64" s="137"/>
      <c r="V64" s="137"/>
      <c r="W64" s="137"/>
      <c r="X64" s="137"/>
    </row>
    <row r="65" spans="1:24" ht="15" customHeight="1" x14ac:dyDescent="0.25">
      <c r="A65" s="187"/>
      <c r="B65" s="187"/>
      <c r="C65" s="4" t="s">
        <v>192</v>
      </c>
      <c r="D65" s="137">
        <v>88</v>
      </c>
      <c r="E65" s="137">
        <v>325.3</v>
      </c>
      <c r="F65" s="137">
        <v>168.6</v>
      </c>
      <c r="G65" s="137">
        <v>59.5</v>
      </c>
      <c r="H65" s="137">
        <v>85.7</v>
      </c>
      <c r="I65" s="137">
        <v>8.3000000000000007</v>
      </c>
      <c r="J65" s="137">
        <v>34.5</v>
      </c>
      <c r="K65" s="137">
        <v>75.099999999999994</v>
      </c>
      <c r="L65" s="137">
        <v>769.9</v>
      </c>
      <c r="M65" s="137">
        <v>845.1</v>
      </c>
      <c r="O65" s="137"/>
      <c r="P65" s="137"/>
      <c r="Q65" s="137"/>
      <c r="R65" s="137"/>
      <c r="S65" s="137"/>
      <c r="T65" s="137"/>
      <c r="U65" s="137"/>
      <c r="V65" s="137"/>
      <c r="W65" s="137"/>
      <c r="X65" s="137"/>
    </row>
    <row r="66" spans="1:24" ht="15" customHeight="1" x14ac:dyDescent="0.25">
      <c r="A66" s="187"/>
      <c r="B66" s="187"/>
      <c r="C66" s="4" t="s">
        <v>193</v>
      </c>
      <c r="D66" s="137">
        <v>72.900000000000006</v>
      </c>
      <c r="E66" s="137">
        <v>270.3</v>
      </c>
      <c r="F66" s="137">
        <v>220.8</v>
      </c>
      <c r="G66" s="137">
        <v>62.9</v>
      </c>
      <c r="H66" s="137">
        <v>103.7</v>
      </c>
      <c r="I66" s="137">
        <v>17.7</v>
      </c>
      <c r="J66" s="137">
        <v>36.299999999999997</v>
      </c>
      <c r="K66" s="137">
        <v>141.1</v>
      </c>
      <c r="L66" s="137">
        <v>784.6</v>
      </c>
      <c r="M66" s="137">
        <v>925.7</v>
      </c>
      <c r="O66" s="137"/>
      <c r="P66" s="137"/>
      <c r="Q66" s="137"/>
      <c r="R66" s="137"/>
      <c r="S66" s="137"/>
      <c r="T66" s="137"/>
      <c r="U66" s="137"/>
      <c r="V66" s="137"/>
      <c r="W66" s="137"/>
      <c r="X66" s="137"/>
    </row>
    <row r="67" spans="1:24" ht="15" customHeight="1" x14ac:dyDescent="0.25">
      <c r="A67" s="187"/>
      <c r="B67" s="187"/>
      <c r="C67" s="4" t="s">
        <v>194</v>
      </c>
      <c r="D67" s="137">
        <v>79.5</v>
      </c>
      <c r="E67" s="137">
        <v>230.6</v>
      </c>
      <c r="F67" s="137">
        <v>210.5</v>
      </c>
      <c r="G67" s="137">
        <v>67.099999999999994</v>
      </c>
      <c r="H67" s="137">
        <v>95.8</v>
      </c>
      <c r="I67" s="137">
        <v>15.3</v>
      </c>
      <c r="J67" s="137">
        <v>48.8</v>
      </c>
      <c r="K67" s="137" t="s">
        <v>114</v>
      </c>
      <c r="L67" s="137">
        <v>747.6</v>
      </c>
      <c r="M67" s="137" t="s">
        <v>114</v>
      </c>
      <c r="O67" s="137"/>
      <c r="P67" s="137"/>
      <c r="Q67" s="137"/>
      <c r="R67" s="137"/>
      <c r="S67" s="137"/>
      <c r="T67" s="137"/>
      <c r="U67" s="137"/>
      <c r="V67" s="137"/>
      <c r="W67" s="137"/>
      <c r="X67" s="137"/>
    </row>
    <row r="68" spans="1:24" ht="15" customHeight="1" x14ac:dyDescent="0.25">
      <c r="A68" s="187"/>
      <c r="B68" s="187"/>
      <c r="C68" s="4" t="s">
        <v>284</v>
      </c>
      <c r="D68" s="137">
        <v>81.400000000000006</v>
      </c>
      <c r="E68" s="137">
        <v>208.4</v>
      </c>
      <c r="F68" s="137">
        <v>213</v>
      </c>
      <c r="G68" s="137">
        <v>60</v>
      </c>
      <c r="H68" s="137">
        <v>90.6</v>
      </c>
      <c r="I68" s="137">
        <v>22.9</v>
      </c>
      <c r="J68" s="137">
        <v>48.1</v>
      </c>
      <c r="K68" s="137" t="s">
        <v>114</v>
      </c>
      <c r="L68" s="137">
        <v>724.4</v>
      </c>
      <c r="M68" s="137" t="s">
        <v>114</v>
      </c>
      <c r="O68" s="137"/>
      <c r="P68" s="137"/>
      <c r="Q68" s="137"/>
      <c r="R68" s="137"/>
      <c r="S68" s="137"/>
      <c r="T68" s="137"/>
      <c r="U68" s="137"/>
      <c r="V68" s="137"/>
      <c r="W68" s="137"/>
      <c r="X68" s="137"/>
    </row>
    <row r="69" spans="1:24" ht="15" customHeight="1" x14ac:dyDescent="0.25">
      <c r="A69" s="187"/>
      <c r="B69" s="187" t="s">
        <v>70</v>
      </c>
      <c r="C69" s="4" t="s">
        <v>191</v>
      </c>
      <c r="D69" s="137">
        <v>913.5</v>
      </c>
      <c r="E69" s="137">
        <v>372.4</v>
      </c>
      <c r="F69" s="137">
        <v>1277.2</v>
      </c>
      <c r="G69" s="137">
        <v>423.5</v>
      </c>
      <c r="H69" s="137">
        <v>126.6</v>
      </c>
      <c r="I69" s="137">
        <v>103.7</v>
      </c>
      <c r="J69" s="137">
        <v>39.9</v>
      </c>
      <c r="K69" s="137">
        <v>89.9</v>
      </c>
      <c r="L69" s="137">
        <v>3256.8</v>
      </c>
      <c r="M69" s="137">
        <v>3346.7</v>
      </c>
      <c r="O69" s="137"/>
      <c r="P69" s="137"/>
      <c r="Q69" s="137"/>
      <c r="R69" s="137"/>
      <c r="S69" s="137"/>
      <c r="T69" s="137"/>
      <c r="U69" s="137"/>
      <c r="V69" s="137"/>
      <c r="W69" s="137"/>
      <c r="X69" s="137"/>
    </row>
    <row r="70" spans="1:24" ht="15" customHeight="1" x14ac:dyDescent="0.25">
      <c r="A70" s="187"/>
      <c r="B70" s="187"/>
      <c r="C70" s="4" t="s">
        <v>192</v>
      </c>
      <c r="D70" s="137">
        <v>831.3</v>
      </c>
      <c r="E70" s="137">
        <v>334.2</v>
      </c>
      <c r="F70" s="137">
        <v>1246.9000000000001</v>
      </c>
      <c r="G70" s="137">
        <v>409.9</v>
      </c>
      <c r="H70" s="137">
        <v>126.6</v>
      </c>
      <c r="I70" s="137">
        <v>80.2</v>
      </c>
      <c r="J70" s="137">
        <v>24.2</v>
      </c>
      <c r="K70" s="137">
        <v>113.2</v>
      </c>
      <c r="L70" s="137">
        <v>3053.2</v>
      </c>
      <c r="M70" s="137">
        <v>3166.4</v>
      </c>
      <c r="O70" s="137"/>
      <c r="P70" s="137"/>
      <c r="Q70" s="137"/>
      <c r="R70" s="137"/>
      <c r="S70" s="137"/>
      <c r="T70" s="137"/>
      <c r="U70" s="137"/>
      <c r="V70" s="137"/>
      <c r="W70" s="137"/>
      <c r="X70" s="137"/>
    </row>
    <row r="71" spans="1:24" ht="15" customHeight="1" x14ac:dyDescent="0.25">
      <c r="A71" s="187"/>
      <c r="B71" s="187"/>
      <c r="C71" s="4" t="s">
        <v>193</v>
      </c>
      <c r="D71" s="137">
        <v>752.9</v>
      </c>
      <c r="E71" s="137">
        <v>250.8</v>
      </c>
      <c r="F71" s="137">
        <v>1155.5</v>
      </c>
      <c r="G71" s="137">
        <v>478.9</v>
      </c>
      <c r="H71" s="137">
        <v>143</v>
      </c>
      <c r="I71" s="137">
        <v>78.599999999999994</v>
      </c>
      <c r="J71" s="137">
        <v>22.1</v>
      </c>
      <c r="K71" s="137">
        <v>173.3</v>
      </c>
      <c r="L71" s="137">
        <v>2881.9</v>
      </c>
      <c r="M71" s="137">
        <v>3055.2</v>
      </c>
      <c r="O71" s="137"/>
      <c r="P71" s="137"/>
      <c r="Q71" s="137"/>
      <c r="R71" s="137"/>
      <c r="S71" s="137"/>
      <c r="T71" s="137"/>
      <c r="U71" s="137"/>
      <c r="V71" s="137"/>
      <c r="W71" s="137"/>
      <c r="X71" s="137"/>
    </row>
    <row r="72" spans="1:24" ht="15" customHeight="1" x14ac:dyDescent="0.25">
      <c r="A72" s="187"/>
      <c r="B72" s="187"/>
      <c r="C72" s="4" t="s">
        <v>194</v>
      </c>
      <c r="D72" s="137">
        <v>730.4</v>
      </c>
      <c r="E72" s="137">
        <v>224.5</v>
      </c>
      <c r="F72" s="137">
        <v>1148.2</v>
      </c>
      <c r="G72" s="137">
        <v>463.9</v>
      </c>
      <c r="H72" s="137">
        <v>176</v>
      </c>
      <c r="I72" s="137">
        <v>93.8</v>
      </c>
      <c r="J72" s="137">
        <v>26</v>
      </c>
      <c r="K72" s="137" t="s">
        <v>114</v>
      </c>
      <c r="L72" s="137">
        <v>2862.7</v>
      </c>
      <c r="M72" s="137" t="s">
        <v>114</v>
      </c>
      <c r="O72" s="137"/>
      <c r="P72" s="137"/>
      <c r="Q72" s="137"/>
      <c r="R72" s="137"/>
      <c r="S72" s="137"/>
      <c r="T72" s="137"/>
      <c r="U72" s="137"/>
      <c r="V72" s="137"/>
      <c r="W72" s="137"/>
      <c r="X72" s="137"/>
    </row>
    <row r="73" spans="1:24" ht="15" customHeight="1" x14ac:dyDescent="0.25">
      <c r="A73" s="187"/>
      <c r="B73" s="187"/>
      <c r="C73" s="4" t="s">
        <v>284</v>
      </c>
      <c r="D73" s="137">
        <v>738.6</v>
      </c>
      <c r="E73" s="137">
        <v>234.4</v>
      </c>
      <c r="F73" s="137">
        <v>1123.5</v>
      </c>
      <c r="G73" s="137">
        <v>396.1</v>
      </c>
      <c r="H73" s="137">
        <v>123.5</v>
      </c>
      <c r="I73" s="137">
        <v>125.6</v>
      </c>
      <c r="J73" s="137">
        <v>27</v>
      </c>
      <c r="K73" s="137" t="s">
        <v>114</v>
      </c>
      <c r="L73" s="137">
        <v>2768.7</v>
      </c>
      <c r="M73" s="137" t="s">
        <v>114</v>
      </c>
      <c r="O73" s="137"/>
      <c r="P73" s="137"/>
      <c r="Q73" s="137"/>
      <c r="R73" s="137"/>
      <c r="S73" s="137"/>
      <c r="T73" s="137"/>
      <c r="U73" s="137"/>
      <c r="V73" s="137"/>
      <c r="W73" s="137"/>
      <c r="X73" s="137"/>
    </row>
    <row r="74" spans="1:24" ht="15" customHeight="1" x14ac:dyDescent="0.25">
      <c r="A74" s="187"/>
      <c r="B74" s="187" t="s">
        <v>71</v>
      </c>
      <c r="C74" s="4" t="s">
        <v>191</v>
      </c>
      <c r="D74" s="137">
        <v>8.6</v>
      </c>
      <c r="E74" s="138" t="s">
        <v>109</v>
      </c>
      <c r="F74" s="138" t="s">
        <v>109</v>
      </c>
      <c r="G74" s="138" t="s">
        <v>109</v>
      </c>
      <c r="H74" s="137">
        <v>3.1</v>
      </c>
      <c r="I74" s="138" t="s">
        <v>109</v>
      </c>
      <c r="J74" s="138" t="s">
        <v>109</v>
      </c>
      <c r="K74" s="137">
        <v>34.6</v>
      </c>
      <c r="L74" s="137">
        <v>11.7</v>
      </c>
      <c r="M74" s="137">
        <v>46.4</v>
      </c>
      <c r="O74" s="137"/>
      <c r="P74" s="137"/>
      <c r="Q74" s="137"/>
      <c r="R74" s="137"/>
      <c r="S74" s="137"/>
      <c r="T74" s="137"/>
      <c r="U74" s="137"/>
      <c r="V74" s="137"/>
      <c r="W74" s="137"/>
      <c r="X74" s="137"/>
    </row>
    <row r="75" spans="1:24" ht="15" customHeight="1" x14ac:dyDescent="0.25">
      <c r="A75" s="187"/>
      <c r="B75" s="187"/>
      <c r="C75" s="4" t="s">
        <v>192</v>
      </c>
      <c r="D75" s="137">
        <v>9.8000000000000007</v>
      </c>
      <c r="E75" s="138" t="s">
        <v>109</v>
      </c>
      <c r="F75" s="138" t="s">
        <v>109</v>
      </c>
      <c r="G75" s="138" t="s">
        <v>109</v>
      </c>
      <c r="H75" s="137">
        <v>2.9</v>
      </c>
      <c r="I75" s="138" t="s">
        <v>109</v>
      </c>
      <c r="J75" s="138" t="s">
        <v>109</v>
      </c>
      <c r="K75" s="137">
        <v>41.5</v>
      </c>
      <c r="L75" s="137">
        <v>12.7</v>
      </c>
      <c r="M75" s="137">
        <v>54.2</v>
      </c>
      <c r="O75" s="137"/>
      <c r="P75" s="137"/>
      <c r="Q75" s="137"/>
      <c r="R75" s="137"/>
      <c r="S75" s="137"/>
      <c r="T75" s="137"/>
      <c r="U75" s="137"/>
      <c r="V75" s="137"/>
      <c r="W75" s="137"/>
      <c r="X75" s="137"/>
    </row>
    <row r="76" spans="1:24" ht="15" customHeight="1" x14ac:dyDescent="0.25">
      <c r="A76" s="187"/>
      <c r="B76" s="187"/>
      <c r="C76" s="4" t="s">
        <v>193</v>
      </c>
      <c r="D76" s="137">
        <v>4.0999999999999996</v>
      </c>
      <c r="E76" s="138" t="s">
        <v>109</v>
      </c>
      <c r="F76" s="138" t="s">
        <v>109</v>
      </c>
      <c r="G76" s="138" t="s">
        <v>109</v>
      </c>
      <c r="H76" s="137">
        <v>2.5</v>
      </c>
      <c r="I76" s="138" t="s">
        <v>109</v>
      </c>
      <c r="J76" s="138">
        <v>0.5</v>
      </c>
      <c r="K76" s="137">
        <v>54</v>
      </c>
      <c r="L76" s="137">
        <v>7.1</v>
      </c>
      <c r="M76" s="137">
        <v>61.1</v>
      </c>
      <c r="O76" s="137"/>
      <c r="P76" s="137"/>
      <c r="Q76" s="137"/>
      <c r="R76" s="137"/>
      <c r="S76" s="137"/>
      <c r="T76" s="137"/>
      <c r="U76" s="137"/>
      <c r="V76" s="137"/>
      <c r="W76" s="137"/>
      <c r="X76" s="137"/>
    </row>
    <row r="77" spans="1:24" ht="15" customHeight="1" x14ac:dyDescent="0.25">
      <c r="A77" s="187"/>
      <c r="B77" s="187"/>
      <c r="C77" s="4" t="s">
        <v>194</v>
      </c>
      <c r="D77" s="137">
        <v>4.3</v>
      </c>
      <c r="E77" s="138" t="s">
        <v>109</v>
      </c>
      <c r="F77" s="138" t="s">
        <v>109</v>
      </c>
      <c r="G77" s="138" t="s">
        <v>109</v>
      </c>
      <c r="H77" s="137">
        <v>4.2</v>
      </c>
      <c r="I77" s="138" t="s">
        <v>109</v>
      </c>
      <c r="J77" s="138">
        <v>0.1</v>
      </c>
      <c r="K77" s="137" t="s">
        <v>114</v>
      </c>
      <c r="L77" s="137">
        <v>8.5</v>
      </c>
      <c r="M77" s="137" t="s">
        <v>114</v>
      </c>
      <c r="O77" s="137"/>
      <c r="P77" s="137"/>
      <c r="Q77" s="137"/>
      <c r="R77" s="137"/>
      <c r="S77" s="137"/>
      <c r="T77" s="137"/>
      <c r="U77" s="137"/>
      <c r="V77" s="137"/>
      <c r="W77" s="137"/>
      <c r="X77" s="137"/>
    </row>
    <row r="78" spans="1:24" ht="15" customHeight="1" x14ac:dyDescent="0.25">
      <c r="A78" s="187"/>
      <c r="B78" s="187"/>
      <c r="C78" s="4" t="s">
        <v>284</v>
      </c>
      <c r="D78" s="137">
        <v>6.7</v>
      </c>
      <c r="E78" s="138">
        <v>0.5</v>
      </c>
      <c r="F78" s="138" t="s">
        <v>109</v>
      </c>
      <c r="G78" s="138" t="s">
        <v>109</v>
      </c>
      <c r="H78" s="137">
        <v>2.2999999999999998</v>
      </c>
      <c r="I78" s="138" t="s">
        <v>109</v>
      </c>
      <c r="J78" s="138">
        <v>0.2</v>
      </c>
      <c r="K78" s="137" t="s">
        <v>114</v>
      </c>
      <c r="L78" s="137">
        <v>9.8000000000000007</v>
      </c>
      <c r="M78" s="137" t="s">
        <v>114</v>
      </c>
      <c r="O78" s="137"/>
      <c r="P78" s="137"/>
      <c r="Q78" s="137"/>
      <c r="R78" s="137"/>
      <c r="S78" s="137"/>
      <c r="T78" s="137"/>
      <c r="U78" s="137"/>
      <c r="V78" s="137"/>
      <c r="W78" s="137"/>
      <c r="X78" s="137"/>
    </row>
    <row r="79" spans="1:24" ht="15" customHeight="1" x14ac:dyDescent="0.25">
      <c r="A79" s="187"/>
      <c r="B79" s="187" t="s">
        <v>11</v>
      </c>
      <c r="C79" s="4" t="s">
        <v>191</v>
      </c>
      <c r="D79" s="139">
        <v>985.3</v>
      </c>
      <c r="E79" s="139">
        <v>687.2</v>
      </c>
      <c r="F79" s="139">
        <v>1377.4</v>
      </c>
      <c r="G79" s="139">
        <v>446.9</v>
      </c>
      <c r="H79" s="139">
        <v>190.7</v>
      </c>
      <c r="I79" s="139">
        <v>109.3</v>
      </c>
      <c r="J79" s="139">
        <v>59.8</v>
      </c>
      <c r="K79" s="139">
        <v>150.9</v>
      </c>
      <c r="L79" s="139">
        <v>3856.6</v>
      </c>
      <c r="M79" s="139">
        <v>4007.5</v>
      </c>
      <c r="O79" s="139"/>
      <c r="P79" s="139"/>
      <c r="Q79" s="139"/>
      <c r="R79" s="139"/>
      <c r="S79" s="139"/>
      <c r="T79" s="139"/>
      <c r="U79" s="139"/>
      <c r="V79" s="139"/>
      <c r="W79" s="139"/>
      <c r="X79" s="139"/>
    </row>
    <row r="80" spans="1:24" ht="15" customHeight="1" x14ac:dyDescent="0.25">
      <c r="A80" s="187"/>
      <c r="B80" s="187"/>
      <c r="C80" s="4" t="s">
        <v>192</v>
      </c>
      <c r="D80" s="139">
        <v>903.6</v>
      </c>
      <c r="E80" s="139">
        <v>611.29999999999995</v>
      </c>
      <c r="F80" s="139">
        <v>1342.1</v>
      </c>
      <c r="G80" s="139">
        <v>453.9</v>
      </c>
      <c r="H80" s="139">
        <v>199.9</v>
      </c>
      <c r="I80" s="139">
        <v>88</v>
      </c>
      <c r="J80" s="139">
        <v>53.5</v>
      </c>
      <c r="K80" s="139">
        <v>194.5</v>
      </c>
      <c r="L80" s="139">
        <v>3652.2</v>
      </c>
      <c r="M80" s="139">
        <v>3846.7</v>
      </c>
      <c r="O80" s="139"/>
      <c r="P80" s="139"/>
      <c r="Q80" s="139"/>
      <c r="R80" s="139"/>
      <c r="S80" s="139"/>
      <c r="T80" s="139"/>
      <c r="U80" s="139"/>
      <c r="V80" s="139"/>
      <c r="W80" s="139"/>
      <c r="X80" s="139"/>
    </row>
    <row r="81" spans="1:24" ht="15" customHeight="1" x14ac:dyDescent="0.25">
      <c r="A81" s="187"/>
      <c r="B81" s="187"/>
      <c r="C81" s="4" t="s">
        <v>193</v>
      </c>
      <c r="D81" s="139">
        <v>807.9</v>
      </c>
      <c r="E81" s="139">
        <v>490.9</v>
      </c>
      <c r="F81" s="139">
        <v>1287.5999999999999</v>
      </c>
      <c r="G81" s="139">
        <v>527.1</v>
      </c>
      <c r="H81" s="139">
        <v>227.3</v>
      </c>
      <c r="I81" s="139">
        <v>95.6</v>
      </c>
      <c r="J81" s="139">
        <v>55.3</v>
      </c>
      <c r="K81" s="139">
        <v>295.7</v>
      </c>
      <c r="L81" s="139">
        <v>3491.7</v>
      </c>
      <c r="M81" s="139">
        <v>3787.4</v>
      </c>
      <c r="O81" s="139"/>
      <c r="P81" s="139"/>
      <c r="Q81" s="139"/>
      <c r="R81" s="139"/>
      <c r="S81" s="139"/>
      <c r="T81" s="139"/>
      <c r="U81" s="139"/>
      <c r="V81" s="139"/>
      <c r="W81" s="139"/>
      <c r="X81" s="139"/>
    </row>
    <row r="82" spans="1:24" ht="15" customHeight="1" x14ac:dyDescent="0.25">
      <c r="A82" s="187"/>
      <c r="B82" s="187"/>
      <c r="C82" s="4" t="s">
        <v>194</v>
      </c>
      <c r="D82" s="139">
        <v>796.8</v>
      </c>
      <c r="E82" s="139">
        <v>423.6</v>
      </c>
      <c r="F82" s="139">
        <v>1282.4000000000001</v>
      </c>
      <c r="G82" s="139">
        <v>515.29999999999995</v>
      </c>
      <c r="H82" s="139">
        <v>262.60000000000002</v>
      </c>
      <c r="I82" s="139">
        <v>107.1</v>
      </c>
      <c r="J82" s="139">
        <v>72.099999999999994</v>
      </c>
      <c r="K82" s="139" t="s">
        <v>114</v>
      </c>
      <c r="L82" s="139">
        <v>3460</v>
      </c>
      <c r="M82" s="139" t="s">
        <v>114</v>
      </c>
      <c r="O82" s="139"/>
      <c r="P82" s="139"/>
      <c r="Q82" s="139"/>
      <c r="R82" s="139"/>
      <c r="S82" s="139"/>
      <c r="T82" s="139"/>
      <c r="U82" s="139"/>
      <c r="V82" s="139"/>
      <c r="W82" s="139"/>
      <c r="X82" s="139"/>
    </row>
    <row r="83" spans="1:24" ht="15" customHeight="1" x14ac:dyDescent="0.25">
      <c r="A83" s="187"/>
      <c r="B83" s="187"/>
      <c r="C83" s="4" t="s">
        <v>284</v>
      </c>
      <c r="D83" s="139">
        <v>808.9</v>
      </c>
      <c r="E83" s="139">
        <v>419.4</v>
      </c>
      <c r="F83" s="139">
        <v>1263.8</v>
      </c>
      <c r="G83" s="139">
        <v>444.9</v>
      </c>
      <c r="H83" s="139">
        <v>203.4</v>
      </c>
      <c r="I83" s="139">
        <v>147.19999999999999</v>
      </c>
      <c r="J83" s="139">
        <v>70.900000000000006</v>
      </c>
      <c r="K83" s="139" t="s">
        <v>114</v>
      </c>
      <c r="L83" s="139">
        <v>3358.4</v>
      </c>
      <c r="M83" s="139" t="s">
        <v>114</v>
      </c>
      <c r="O83" s="139"/>
      <c r="P83" s="139"/>
      <c r="Q83" s="139"/>
      <c r="R83" s="139"/>
      <c r="S83" s="139"/>
      <c r="T83" s="139"/>
      <c r="U83" s="139"/>
      <c r="V83" s="139"/>
      <c r="W83" s="139"/>
      <c r="X83" s="139"/>
    </row>
    <row r="84" spans="1:24" ht="1.5" customHeight="1" x14ac:dyDescent="0.25">
      <c r="A84" s="2"/>
    </row>
    <row r="85" spans="1:24" ht="11.1" customHeight="1" x14ac:dyDescent="0.25">
      <c r="A85" s="184" t="s">
        <v>12</v>
      </c>
      <c r="B85" s="184"/>
      <c r="C85" s="184"/>
      <c r="D85" s="184"/>
      <c r="E85" s="184"/>
      <c r="F85" s="184"/>
      <c r="G85" s="184"/>
      <c r="H85" s="184"/>
      <c r="I85" s="184"/>
      <c r="J85" s="184"/>
      <c r="K85" s="184"/>
      <c r="L85" s="190"/>
      <c r="M85" s="184"/>
    </row>
    <row r="86" spans="1:24" s="6" customFormat="1" ht="11.1" customHeight="1" x14ac:dyDescent="0.15">
      <c r="A86" s="6" t="s">
        <v>13</v>
      </c>
    </row>
    <row r="87" spans="1:24" s="12" customFormat="1" ht="11.1" customHeight="1" x14ac:dyDescent="0.2">
      <c r="A87" s="39" t="s">
        <v>23</v>
      </c>
    </row>
    <row r="88" spans="1:24" s="6" customFormat="1" ht="11.1" customHeight="1" x14ac:dyDescent="0.15">
      <c r="A88" s="6" t="s">
        <v>73</v>
      </c>
    </row>
    <row r="89" spans="1:24" s="6" customFormat="1" ht="11.1" customHeight="1" x14ac:dyDescent="0.15">
      <c r="A89" s="6" t="s">
        <v>36</v>
      </c>
    </row>
    <row r="90" spans="1:24" s="6" customFormat="1" ht="11.1" customHeight="1" x14ac:dyDescent="0.15">
      <c r="A90" s="6" t="s">
        <v>74</v>
      </c>
    </row>
    <row r="91" spans="1:24" s="6" customFormat="1" ht="11.1" customHeight="1" x14ac:dyDescent="0.15">
      <c r="A91" s="6" t="s">
        <v>303</v>
      </c>
    </row>
    <row r="92" spans="1:24" s="6" customFormat="1" ht="11.1" customHeight="1" x14ac:dyDescent="0.15">
      <c r="A92" s="6" t="s">
        <v>14</v>
      </c>
    </row>
    <row r="93" spans="1:24" s="6" customFormat="1" ht="11.1" customHeight="1" x14ac:dyDescent="0.15">
      <c r="A93" s="6" t="s">
        <v>263</v>
      </c>
    </row>
    <row r="94" spans="1:24" ht="12" customHeight="1" x14ac:dyDescent="0.25">
      <c r="A94" s="2"/>
    </row>
    <row r="117" spans="16:25" x14ac:dyDescent="0.25">
      <c r="Q117" s="128"/>
      <c r="R117" s="128"/>
    </row>
    <row r="118" spans="16:25" x14ac:dyDescent="0.25">
      <c r="Q118" s="128"/>
      <c r="R118" s="128"/>
    </row>
    <row r="119" spans="16:25" x14ac:dyDescent="0.25">
      <c r="Q119" s="128"/>
      <c r="R119" s="128"/>
    </row>
    <row r="120" spans="16:25" x14ac:dyDescent="0.25">
      <c r="Q120" s="128"/>
      <c r="R120" s="128"/>
    </row>
    <row r="121" spans="16:25" x14ac:dyDescent="0.25">
      <c r="Q121" s="128"/>
      <c r="R121" s="128"/>
    </row>
    <row r="126" spans="16:25" x14ac:dyDescent="0.25">
      <c r="P126" s="5"/>
      <c r="Q126" s="5"/>
      <c r="R126" s="5"/>
      <c r="S126" s="5"/>
      <c r="T126" s="5"/>
      <c r="U126" s="5"/>
      <c r="V126" s="5"/>
      <c r="W126" s="5"/>
      <c r="X126" s="5"/>
      <c r="Y126" s="5"/>
    </row>
    <row r="127" spans="16:25" x14ac:dyDescent="0.25">
      <c r="P127" s="5"/>
      <c r="Q127" s="5"/>
      <c r="R127" s="5"/>
      <c r="S127" s="5"/>
      <c r="T127" s="5"/>
      <c r="U127" s="5"/>
      <c r="V127" s="5"/>
      <c r="W127" s="5"/>
      <c r="X127" s="5"/>
      <c r="Y127" s="5"/>
    </row>
    <row r="128" spans="16:25" x14ac:dyDescent="0.25">
      <c r="P128" s="5"/>
      <c r="Q128" s="5"/>
      <c r="R128" s="5"/>
      <c r="S128" s="5"/>
      <c r="T128" s="5"/>
      <c r="U128" s="5"/>
      <c r="V128" s="5"/>
      <c r="W128" s="5"/>
      <c r="X128" s="5"/>
      <c r="Y128" s="5"/>
    </row>
    <row r="129" spans="16:25" x14ac:dyDescent="0.25">
      <c r="P129" s="5"/>
      <c r="Q129" s="5"/>
      <c r="R129" s="5"/>
      <c r="S129" s="5"/>
      <c r="T129" s="5"/>
      <c r="U129" s="5"/>
      <c r="V129" s="5"/>
      <c r="W129" s="5"/>
      <c r="X129" s="5"/>
      <c r="Y129" s="5"/>
    </row>
    <row r="130" spans="16:25" x14ac:dyDescent="0.25">
      <c r="P130" s="5"/>
      <c r="Q130" s="5"/>
      <c r="R130" s="5"/>
      <c r="S130" s="5"/>
      <c r="T130" s="5"/>
      <c r="U130" s="5"/>
      <c r="V130" s="5"/>
      <c r="W130" s="5"/>
      <c r="X130" s="5"/>
      <c r="Y130" s="5"/>
    </row>
    <row r="131" spans="16:25" x14ac:dyDescent="0.25">
      <c r="P131" s="5"/>
      <c r="Q131" s="5"/>
      <c r="R131" s="5"/>
      <c r="S131" s="5"/>
      <c r="T131" s="5"/>
      <c r="U131" s="5"/>
      <c r="V131" s="5"/>
      <c r="W131" s="5"/>
      <c r="X131" s="5"/>
      <c r="Y131" s="5"/>
    </row>
    <row r="132" spans="16:25" x14ac:dyDescent="0.25">
      <c r="P132" s="5"/>
      <c r="Q132" s="5"/>
      <c r="R132" s="5"/>
      <c r="S132" s="5"/>
      <c r="T132" s="5"/>
      <c r="U132" s="5"/>
      <c r="V132" s="5"/>
      <c r="W132" s="5"/>
      <c r="X132" s="5"/>
      <c r="Y132" s="5"/>
    </row>
    <row r="133" spans="16:25" x14ac:dyDescent="0.25">
      <c r="P133" s="5"/>
      <c r="Q133" s="5"/>
      <c r="R133" s="5"/>
      <c r="S133" s="5"/>
      <c r="T133" s="5"/>
      <c r="U133" s="5"/>
      <c r="V133" s="5"/>
      <c r="W133" s="5"/>
      <c r="X133" s="5"/>
      <c r="Y133" s="5"/>
    </row>
    <row r="134" spans="16:25" x14ac:dyDescent="0.25">
      <c r="P134" s="5"/>
      <c r="Q134" s="5"/>
      <c r="R134" s="5"/>
      <c r="S134" s="5"/>
      <c r="T134" s="5"/>
      <c r="U134" s="5"/>
      <c r="V134" s="5"/>
      <c r="W134" s="5"/>
      <c r="X134" s="5"/>
      <c r="Y134" s="5"/>
    </row>
    <row r="135" spans="16:25" x14ac:dyDescent="0.25">
      <c r="P135" s="5"/>
      <c r="Q135" s="5"/>
      <c r="R135" s="5"/>
      <c r="S135" s="5"/>
      <c r="T135" s="5"/>
      <c r="U135" s="5"/>
      <c r="V135" s="5"/>
      <c r="W135" s="5"/>
      <c r="X135" s="5"/>
      <c r="Y135" s="5"/>
    </row>
    <row r="136" spans="16:25" x14ac:dyDescent="0.25">
      <c r="P136" s="5"/>
      <c r="Q136" s="5"/>
      <c r="R136" s="5"/>
      <c r="S136" s="5"/>
      <c r="T136" s="5"/>
      <c r="U136" s="5"/>
      <c r="V136" s="5"/>
      <c r="W136" s="5"/>
      <c r="X136" s="5"/>
      <c r="Y136" s="5"/>
    </row>
    <row r="137" spans="16:25" x14ac:dyDescent="0.25">
      <c r="P137" s="5"/>
      <c r="Q137" s="5"/>
      <c r="R137" s="5"/>
      <c r="S137" s="5"/>
      <c r="T137" s="5"/>
      <c r="U137" s="5"/>
      <c r="V137" s="5"/>
      <c r="W137" s="5"/>
      <c r="X137" s="5"/>
      <c r="Y137" s="5"/>
    </row>
    <row r="138" spans="16:25" x14ac:dyDescent="0.25">
      <c r="P138" s="5"/>
      <c r="Q138" s="5"/>
      <c r="R138" s="5"/>
      <c r="S138" s="5"/>
      <c r="T138" s="5"/>
      <c r="U138" s="5"/>
      <c r="V138" s="5"/>
      <c r="W138" s="5"/>
      <c r="X138" s="5"/>
      <c r="Y138" s="5"/>
    </row>
    <row r="139" spans="16:25" x14ac:dyDescent="0.25">
      <c r="P139" s="5"/>
      <c r="Q139" s="5"/>
      <c r="R139" s="5"/>
      <c r="S139" s="5"/>
      <c r="T139" s="5"/>
      <c r="U139" s="5"/>
      <c r="V139" s="5"/>
      <c r="W139" s="5"/>
      <c r="X139" s="5"/>
      <c r="Y139" s="5"/>
    </row>
    <row r="140" spans="16:25" x14ac:dyDescent="0.25">
      <c r="P140" s="5"/>
      <c r="Q140" s="5"/>
      <c r="R140" s="5"/>
      <c r="S140" s="5"/>
      <c r="T140" s="5"/>
      <c r="U140" s="5"/>
      <c r="V140" s="5"/>
      <c r="W140" s="5"/>
      <c r="X140" s="5"/>
      <c r="Y140" s="5"/>
    </row>
    <row r="141" spans="16:25" x14ac:dyDescent="0.25">
      <c r="P141" s="5"/>
      <c r="Q141" s="5"/>
      <c r="R141" s="5"/>
      <c r="S141" s="5"/>
      <c r="T141" s="5"/>
      <c r="U141" s="5"/>
      <c r="V141" s="5"/>
      <c r="W141" s="5"/>
      <c r="X141" s="5"/>
      <c r="Y141" s="5"/>
    </row>
    <row r="142" spans="16:25" x14ac:dyDescent="0.25">
      <c r="P142" s="5"/>
      <c r="Q142" s="5"/>
      <c r="R142" s="5"/>
      <c r="S142" s="5"/>
      <c r="T142" s="5"/>
      <c r="U142" s="5"/>
      <c r="V142" s="5"/>
      <c r="W142" s="5"/>
      <c r="X142" s="5"/>
      <c r="Y142" s="5"/>
    </row>
    <row r="143" spans="16:25" x14ac:dyDescent="0.25">
      <c r="P143" s="5"/>
      <c r="Q143" s="5"/>
      <c r="R143" s="5"/>
      <c r="S143" s="5"/>
      <c r="T143" s="5"/>
      <c r="U143" s="5"/>
      <c r="V143" s="5"/>
      <c r="W143" s="5"/>
      <c r="X143" s="5"/>
      <c r="Y143" s="5"/>
    </row>
    <row r="144" spans="16:25" x14ac:dyDescent="0.25">
      <c r="P144" s="5"/>
      <c r="Q144" s="5"/>
      <c r="R144" s="5"/>
      <c r="S144" s="5"/>
      <c r="T144" s="5"/>
      <c r="U144" s="5"/>
      <c r="V144" s="5"/>
      <c r="W144" s="5"/>
      <c r="X144" s="5"/>
      <c r="Y144" s="5"/>
    </row>
    <row r="145" spans="16:25" x14ac:dyDescent="0.25">
      <c r="P145" s="5"/>
      <c r="Q145" s="5"/>
      <c r="R145" s="5"/>
      <c r="S145" s="5"/>
      <c r="T145" s="5"/>
      <c r="U145" s="5"/>
      <c r="V145" s="5"/>
      <c r="W145" s="5"/>
      <c r="X145" s="5"/>
      <c r="Y145" s="5"/>
    </row>
    <row r="146" spans="16:25" x14ac:dyDescent="0.25">
      <c r="P146" s="5"/>
      <c r="Q146" s="5"/>
      <c r="R146" s="5"/>
      <c r="S146" s="5"/>
      <c r="T146" s="5"/>
      <c r="U146" s="5"/>
      <c r="V146" s="5"/>
      <c r="W146" s="5"/>
      <c r="X146" s="5"/>
      <c r="Y146" s="5"/>
    </row>
    <row r="147" spans="16:25" x14ac:dyDescent="0.25">
      <c r="P147" s="5"/>
      <c r="Q147" s="5"/>
      <c r="R147" s="5"/>
      <c r="S147" s="5"/>
      <c r="T147" s="5"/>
      <c r="U147" s="5"/>
      <c r="V147" s="5"/>
      <c r="W147" s="5"/>
      <c r="X147" s="5"/>
      <c r="Y147" s="5"/>
    </row>
    <row r="148" spans="16:25" x14ac:dyDescent="0.25">
      <c r="P148" s="5"/>
      <c r="Q148" s="5"/>
      <c r="R148" s="5"/>
      <c r="S148" s="5"/>
      <c r="T148" s="5"/>
      <c r="U148" s="5"/>
      <c r="V148" s="5"/>
      <c r="W148" s="5"/>
      <c r="X148" s="5"/>
      <c r="Y148" s="5"/>
    </row>
    <row r="149" spans="16:25" x14ac:dyDescent="0.25">
      <c r="P149" s="5"/>
      <c r="Q149" s="5"/>
      <c r="R149" s="5"/>
      <c r="S149" s="5"/>
      <c r="T149" s="5"/>
      <c r="U149" s="5"/>
      <c r="V149" s="5"/>
      <c r="W149" s="5"/>
      <c r="X149" s="5"/>
      <c r="Y149" s="5"/>
    </row>
    <row r="150" spans="16:25" x14ac:dyDescent="0.25">
      <c r="P150" s="5"/>
      <c r="Q150" s="5"/>
      <c r="R150" s="5"/>
      <c r="S150" s="5"/>
      <c r="T150" s="5"/>
      <c r="U150" s="5"/>
      <c r="V150" s="5"/>
      <c r="W150" s="5"/>
      <c r="X150" s="5"/>
      <c r="Y150" s="5"/>
    </row>
    <row r="151" spans="16:25" x14ac:dyDescent="0.25">
      <c r="P151" s="5"/>
      <c r="Q151" s="5"/>
      <c r="R151" s="5"/>
      <c r="S151" s="5"/>
      <c r="T151" s="5"/>
      <c r="U151" s="5"/>
      <c r="V151" s="5"/>
      <c r="W151" s="5"/>
      <c r="X151" s="5"/>
      <c r="Y151" s="5"/>
    </row>
    <row r="152" spans="16:25" x14ac:dyDescent="0.25">
      <c r="P152" s="5"/>
      <c r="Q152" s="5"/>
      <c r="R152" s="5"/>
      <c r="S152" s="5"/>
      <c r="T152" s="5"/>
      <c r="U152" s="5"/>
      <c r="V152" s="5"/>
      <c r="W152" s="5"/>
      <c r="X152" s="5"/>
      <c r="Y152" s="5"/>
    </row>
    <row r="153" spans="16:25" x14ac:dyDescent="0.25">
      <c r="P153" s="5"/>
      <c r="Q153" s="5"/>
      <c r="R153" s="5"/>
      <c r="S153" s="5"/>
      <c r="T153" s="5"/>
      <c r="U153" s="5"/>
      <c r="V153" s="5"/>
      <c r="W153" s="5"/>
      <c r="X153" s="5"/>
      <c r="Y153" s="5"/>
    </row>
    <row r="154" spans="16:25" x14ac:dyDescent="0.25">
      <c r="P154" s="5"/>
      <c r="Q154" s="5"/>
      <c r="R154" s="5"/>
      <c r="S154" s="5"/>
      <c r="T154" s="5"/>
      <c r="U154" s="5"/>
      <c r="V154" s="5"/>
      <c r="W154" s="5"/>
      <c r="X154" s="5"/>
      <c r="Y154" s="5"/>
    </row>
    <row r="155" spans="16:25" x14ac:dyDescent="0.25">
      <c r="P155" s="5"/>
      <c r="Q155" s="5"/>
      <c r="R155" s="5"/>
      <c r="S155" s="5"/>
      <c r="T155" s="5"/>
      <c r="U155" s="5"/>
      <c r="V155" s="5"/>
      <c r="W155" s="5"/>
      <c r="X155" s="5"/>
      <c r="Y155" s="5"/>
    </row>
    <row r="156" spans="16:25" x14ac:dyDescent="0.25">
      <c r="P156" s="5"/>
      <c r="Q156" s="5"/>
      <c r="R156" s="5"/>
      <c r="S156" s="5"/>
      <c r="T156" s="5"/>
      <c r="U156" s="5"/>
      <c r="V156" s="5"/>
      <c r="W156" s="5"/>
      <c r="X156" s="5"/>
      <c r="Y156" s="5"/>
    </row>
    <row r="157" spans="16:25" x14ac:dyDescent="0.25">
      <c r="P157" s="5"/>
      <c r="Q157" s="5"/>
      <c r="R157" s="5"/>
      <c r="S157" s="5"/>
      <c r="T157" s="5"/>
      <c r="U157" s="5"/>
      <c r="V157" s="5"/>
      <c r="W157" s="5"/>
      <c r="X157" s="5"/>
      <c r="Y157" s="5"/>
    </row>
    <row r="158" spans="16:25" x14ac:dyDescent="0.25">
      <c r="P158" s="5"/>
      <c r="Q158" s="5"/>
      <c r="R158" s="5"/>
      <c r="S158" s="5"/>
      <c r="T158" s="5"/>
      <c r="U158" s="5"/>
      <c r="V158" s="5"/>
      <c r="W158" s="5"/>
      <c r="X158" s="5"/>
      <c r="Y158" s="5"/>
    </row>
    <row r="159" spans="16:25" x14ac:dyDescent="0.25">
      <c r="P159" s="5"/>
      <c r="Q159" s="5"/>
      <c r="R159" s="5"/>
      <c r="S159" s="5"/>
      <c r="T159" s="5"/>
      <c r="U159" s="5"/>
      <c r="V159" s="5"/>
      <c r="W159" s="5"/>
      <c r="X159" s="5"/>
      <c r="Y159" s="5"/>
    </row>
    <row r="160" spans="16:25" x14ac:dyDescent="0.25">
      <c r="P160" s="5"/>
      <c r="Q160" s="5"/>
      <c r="R160" s="5"/>
      <c r="S160" s="5"/>
      <c r="T160" s="5"/>
      <c r="U160" s="5"/>
      <c r="V160" s="5"/>
      <c r="W160" s="5"/>
      <c r="X160" s="5"/>
      <c r="Y160" s="5"/>
    </row>
    <row r="161" spans="11:25" x14ac:dyDescent="0.25">
      <c r="P161" s="5"/>
      <c r="Q161" s="5"/>
      <c r="R161" s="5"/>
      <c r="S161" s="5"/>
      <c r="T161" s="5"/>
      <c r="U161" s="5"/>
      <c r="V161" s="5"/>
      <c r="W161" s="5"/>
      <c r="X161" s="5"/>
      <c r="Y161" s="5"/>
    </row>
    <row r="162" spans="11:25" x14ac:dyDescent="0.25">
      <c r="P162" s="5"/>
      <c r="Q162" s="5"/>
      <c r="R162" s="5"/>
      <c r="S162" s="5"/>
      <c r="T162" s="5"/>
      <c r="U162" s="5"/>
      <c r="V162" s="5"/>
      <c r="W162" s="5"/>
      <c r="X162" s="5"/>
      <c r="Y162" s="5"/>
    </row>
    <row r="163" spans="11:25" x14ac:dyDescent="0.25">
      <c r="K163" s="128"/>
      <c r="P163" s="5"/>
      <c r="Q163" s="5"/>
      <c r="R163" s="5"/>
      <c r="S163" s="5"/>
      <c r="T163" s="5"/>
      <c r="U163" s="5"/>
      <c r="V163" s="5"/>
      <c r="W163" s="5"/>
      <c r="X163" s="5"/>
      <c r="Y163" s="5"/>
    </row>
    <row r="164" spans="11:25" x14ac:dyDescent="0.25">
      <c r="K164" s="128"/>
      <c r="P164" s="5"/>
      <c r="Q164" s="5"/>
      <c r="R164" s="5"/>
      <c r="S164" s="5"/>
      <c r="T164" s="5"/>
      <c r="U164" s="5"/>
      <c r="V164" s="5"/>
      <c r="W164" s="5"/>
      <c r="X164" s="5"/>
      <c r="Y164" s="5"/>
    </row>
    <row r="165" spans="11:25" x14ac:dyDescent="0.25">
      <c r="K165" s="128"/>
      <c r="P165" s="5"/>
      <c r="Q165" s="5"/>
      <c r="R165" s="5"/>
      <c r="S165" s="5"/>
      <c r="T165" s="5"/>
      <c r="U165" s="5"/>
      <c r="V165" s="5"/>
      <c r="W165" s="5"/>
      <c r="X165" s="5"/>
      <c r="Y165" s="5"/>
    </row>
    <row r="166" spans="11:25" x14ac:dyDescent="0.25">
      <c r="K166" s="128"/>
      <c r="P166" s="5"/>
      <c r="Q166" s="5"/>
      <c r="R166" s="5"/>
      <c r="S166" s="5"/>
      <c r="T166" s="5"/>
      <c r="U166" s="5"/>
      <c r="V166" s="5"/>
      <c r="W166" s="5"/>
      <c r="X166" s="5"/>
      <c r="Y166" s="5"/>
    </row>
    <row r="167" spans="11:25" x14ac:dyDescent="0.25">
      <c r="P167" s="5"/>
      <c r="Q167" s="5"/>
      <c r="R167" s="5"/>
      <c r="S167" s="5"/>
      <c r="T167" s="5"/>
      <c r="U167" s="5"/>
      <c r="V167" s="5"/>
      <c r="W167" s="5"/>
      <c r="X167" s="5"/>
      <c r="Y167" s="5"/>
    </row>
    <row r="168" spans="11:25" x14ac:dyDescent="0.25">
      <c r="P168" s="5"/>
      <c r="Q168" s="5"/>
      <c r="R168" s="5"/>
      <c r="S168" s="5"/>
      <c r="T168" s="5"/>
      <c r="U168" s="5"/>
      <c r="V168" s="5"/>
      <c r="W168" s="5"/>
      <c r="X168" s="5"/>
      <c r="Y168" s="5"/>
    </row>
    <row r="169" spans="11:25" x14ac:dyDescent="0.25">
      <c r="P169" s="5"/>
      <c r="Q169" s="5"/>
      <c r="R169" s="5"/>
      <c r="S169" s="5"/>
      <c r="T169" s="5"/>
      <c r="U169" s="5"/>
      <c r="V169" s="5"/>
      <c r="W169" s="5"/>
      <c r="X169" s="5"/>
      <c r="Y169" s="5"/>
    </row>
    <row r="170" spans="11:25" x14ac:dyDescent="0.25">
      <c r="P170" s="5"/>
      <c r="Q170" s="5"/>
      <c r="R170" s="5"/>
      <c r="S170" s="5"/>
      <c r="T170" s="5"/>
      <c r="U170" s="5"/>
      <c r="V170" s="5"/>
      <c r="W170" s="5"/>
      <c r="X170" s="5"/>
      <c r="Y170" s="5"/>
    </row>
    <row r="171" spans="11:25" x14ac:dyDescent="0.25">
      <c r="P171" s="5"/>
      <c r="Q171" s="5"/>
      <c r="R171" s="5"/>
      <c r="S171" s="5"/>
      <c r="T171" s="5"/>
      <c r="U171" s="5"/>
      <c r="V171" s="5"/>
      <c r="W171" s="5"/>
      <c r="X171" s="5"/>
      <c r="Y171" s="5"/>
    </row>
    <row r="172" spans="11:25" x14ac:dyDescent="0.25">
      <c r="P172" s="5"/>
      <c r="Q172" s="5"/>
      <c r="R172" s="5"/>
      <c r="S172" s="5"/>
      <c r="T172" s="5"/>
      <c r="U172" s="5"/>
      <c r="V172" s="5"/>
      <c r="W172" s="5"/>
      <c r="X172" s="5"/>
      <c r="Y172" s="5"/>
    </row>
    <row r="173" spans="11:25" x14ac:dyDescent="0.25">
      <c r="P173" s="5"/>
      <c r="Q173" s="5"/>
      <c r="R173" s="5"/>
      <c r="S173" s="5"/>
      <c r="T173" s="5"/>
      <c r="U173" s="5"/>
      <c r="V173" s="5"/>
      <c r="W173" s="5"/>
      <c r="X173" s="5"/>
      <c r="Y173" s="5"/>
    </row>
    <row r="174" spans="11:25" x14ac:dyDescent="0.25">
      <c r="P174" s="5"/>
      <c r="Q174" s="5"/>
      <c r="R174" s="5"/>
      <c r="S174" s="5"/>
      <c r="T174" s="5"/>
      <c r="U174" s="5"/>
      <c r="V174" s="5"/>
      <c r="W174" s="5"/>
      <c r="X174" s="5"/>
      <c r="Y174" s="5"/>
    </row>
    <row r="175" spans="11:25" x14ac:dyDescent="0.25">
      <c r="P175" s="5"/>
      <c r="Q175" s="5"/>
      <c r="R175" s="5"/>
      <c r="S175" s="5"/>
      <c r="T175" s="5"/>
      <c r="U175" s="5"/>
      <c r="V175" s="5"/>
      <c r="W175" s="5"/>
      <c r="X175" s="5"/>
      <c r="Y175" s="5"/>
    </row>
    <row r="176" spans="11:25" x14ac:dyDescent="0.25">
      <c r="P176" s="5"/>
      <c r="Q176" s="5"/>
      <c r="R176" s="5"/>
      <c r="S176" s="5"/>
      <c r="T176" s="5"/>
      <c r="U176" s="5"/>
      <c r="V176" s="5"/>
      <c r="W176" s="5"/>
      <c r="X176" s="5"/>
      <c r="Y176" s="5"/>
    </row>
    <row r="177" spans="16:25" x14ac:dyDescent="0.25">
      <c r="P177" s="5"/>
      <c r="Q177" s="5"/>
      <c r="R177" s="5"/>
      <c r="S177" s="5"/>
      <c r="T177" s="5"/>
      <c r="U177" s="5"/>
      <c r="V177" s="5"/>
      <c r="W177" s="5"/>
      <c r="X177" s="5"/>
      <c r="Y177" s="5"/>
    </row>
    <row r="178" spans="16:25" x14ac:dyDescent="0.25">
      <c r="P178" s="5"/>
      <c r="Q178" s="5"/>
      <c r="R178" s="5"/>
      <c r="S178" s="5"/>
      <c r="T178" s="5"/>
      <c r="U178" s="5"/>
      <c r="V178" s="5"/>
      <c r="W178" s="5"/>
      <c r="X178" s="5"/>
      <c r="Y178" s="5"/>
    </row>
    <row r="179" spans="16:25" x14ac:dyDescent="0.25">
      <c r="P179" s="5"/>
      <c r="Q179" s="5"/>
      <c r="R179" s="5"/>
      <c r="S179" s="5"/>
      <c r="T179" s="5"/>
      <c r="U179" s="5"/>
      <c r="V179" s="5"/>
      <c r="W179" s="5"/>
      <c r="X179" s="5"/>
      <c r="Y179" s="5"/>
    </row>
    <row r="180" spans="16:25" x14ac:dyDescent="0.25">
      <c r="P180" s="5"/>
      <c r="Q180" s="5"/>
      <c r="R180" s="5"/>
      <c r="S180" s="5"/>
      <c r="T180" s="5"/>
      <c r="U180" s="5"/>
      <c r="V180" s="5"/>
      <c r="W180" s="5"/>
      <c r="X180" s="5"/>
      <c r="Y180" s="5"/>
    </row>
    <row r="181" spans="16:25" x14ac:dyDescent="0.25">
      <c r="P181" s="5"/>
      <c r="Q181" s="5"/>
      <c r="R181" s="5"/>
      <c r="S181" s="5"/>
      <c r="T181" s="5"/>
      <c r="U181" s="5"/>
      <c r="V181" s="5"/>
      <c r="W181" s="5"/>
      <c r="X181" s="5"/>
      <c r="Y181" s="5"/>
    </row>
    <row r="182" spans="16:25" x14ac:dyDescent="0.25">
      <c r="P182" s="5"/>
      <c r="Q182" s="5"/>
      <c r="R182" s="5"/>
      <c r="S182" s="5"/>
      <c r="T182" s="5"/>
      <c r="U182" s="5"/>
      <c r="V182" s="5"/>
      <c r="W182" s="5"/>
      <c r="X182" s="5"/>
      <c r="Y182" s="5"/>
    </row>
    <row r="183" spans="16:25" x14ac:dyDescent="0.25">
      <c r="P183" s="5"/>
      <c r="Q183" s="5"/>
      <c r="R183" s="5"/>
      <c r="S183" s="5"/>
      <c r="T183" s="5"/>
      <c r="U183" s="5"/>
      <c r="V183" s="5"/>
      <c r="W183" s="5"/>
      <c r="X183" s="5"/>
      <c r="Y183" s="5"/>
    </row>
    <row r="184" spans="16:25" x14ac:dyDescent="0.25">
      <c r="P184" s="5"/>
      <c r="Q184" s="5"/>
      <c r="R184" s="5"/>
      <c r="S184" s="5"/>
      <c r="T184" s="5"/>
      <c r="U184" s="5"/>
      <c r="V184" s="5"/>
      <c r="W184" s="5"/>
      <c r="X184" s="5"/>
      <c r="Y184" s="5"/>
    </row>
    <row r="185" spans="16:25" x14ac:dyDescent="0.25">
      <c r="P185" s="5"/>
      <c r="Q185" s="5"/>
      <c r="R185" s="5"/>
      <c r="S185" s="5"/>
      <c r="T185" s="5"/>
      <c r="U185" s="5"/>
      <c r="V185" s="5"/>
      <c r="W185" s="5"/>
      <c r="X185" s="5"/>
      <c r="Y185" s="5"/>
    </row>
    <row r="186" spans="16:25" x14ac:dyDescent="0.25">
      <c r="P186" s="5"/>
      <c r="Q186" s="5"/>
      <c r="R186" s="5"/>
      <c r="S186" s="5"/>
      <c r="T186" s="5"/>
      <c r="U186" s="5"/>
      <c r="V186" s="5"/>
      <c r="W186" s="5"/>
      <c r="X186" s="5"/>
      <c r="Y186" s="5"/>
    </row>
    <row r="187" spans="16:25" x14ac:dyDescent="0.25">
      <c r="P187" s="5"/>
      <c r="Q187" s="5"/>
      <c r="R187" s="5"/>
      <c r="S187" s="5"/>
      <c r="T187" s="5"/>
      <c r="U187" s="5"/>
      <c r="V187" s="5"/>
      <c r="W187" s="5"/>
      <c r="X187" s="5"/>
      <c r="Y187" s="5"/>
    </row>
    <row r="188" spans="16:25" x14ac:dyDescent="0.25">
      <c r="P188" s="5"/>
      <c r="Q188" s="5"/>
      <c r="R188" s="5"/>
      <c r="S188" s="5"/>
      <c r="T188" s="5"/>
      <c r="U188" s="5"/>
      <c r="V188" s="5"/>
      <c r="W188" s="5"/>
      <c r="X188" s="5"/>
      <c r="Y188" s="5"/>
    </row>
    <row r="189" spans="16:25" x14ac:dyDescent="0.25">
      <c r="P189" s="5"/>
      <c r="Q189" s="5"/>
      <c r="R189" s="5"/>
      <c r="S189" s="5"/>
      <c r="T189" s="5"/>
      <c r="U189" s="5"/>
      <c r="V189" s="5"/>
      <c r="W189" s="5"/>
      <c r="X189" s="5"/>
      <c r="Y189" s="5"/>
    </row>
    <row r="190" spans="16:25" x14ac:dyDescent="0.25">
      <c r="P190" s="5"/>
      <c r="Q190" s="5"/>
      <c r="R190" s="5"/>
      <c r="S190" s="5"/>
      <c r="T190" s="5"/>
      <c r="U190" s="5"/>
      <c r="V190" s="5"/>
      <c r="W190" s="5"/>
      <c r="X190" s="5"/>
      <c r="Y190" s="5"/>
    </row>
    <row r="191" spans="16:25" x14ac:dyDescent="0.25">
      <c r="P191" s="5"/>
      <c r="Q191" s="5"/>
      <c r="R191" s="5"/>
      <c r="S191" s="5"/>
      <c r="T191" s="5"/>
      <c r="U191" s="5"/>
      <c r="V191" s="5"/>
      <c r="W191" s="5"/>
      <c r="X191" s="5"/>
      <c r="Y191" s="5"/>
    </row>
    <row r="192" spans="16:25" x14ac:dyDescent="0.25">
      <c r="P192" s="5"/>
      <c r="Q192" s="5"/>
      <c r="R192" s="5"/>
      <c r="S192" s="5"/>
      <c r="T192" s="5"/>
      <c r="U192" s="5"/>
      <c r="V192" s="5"/>
      <c r="W192" s="5"/>
      <c r="X192" s="5"/>
      <c r="Y192" s="5"/>
    </row>
    <row r="193" spans="10:25" x14ac:dyDescent="0.25">
      <c r="P193" s="5"/>
      <c r="Q193" s="5"/>
      <c r="R193" s="5"/>
      <c r="S193" s="5"/>
      <c r="T193" s="5"/>
      <c r="U193" s="5"/>
      <c r="V193" s="5"/>
      <c r="W193" s="5"/>
      <c r="X193" s="5"/>
      <c r="Y193" s="5"/>
    </row>
    <row r="194" spans="10:25" x14ac:dyDescent="0.25">
      <c r="P194" s="5"/>
      <c r="Q194" s="5"/>
      <c r="R194" s="5"/>
      <c r="S194" s="5"/>
      <c r="T194" s="5"/>
      <c r="U194" s="5"/>
      <c r="V194" s="5"/>
      <c r="W194" s="5"/>
      <c r="X194" s="5"/>
      <c r="Y194" s="5"/>
    </row>
    <row r="195" spans="10:25" x14ac:dyDescent="0.25">
      <c r="P195" s="5"/>
      <c r="Q195" s="5"/>
      <c r="R195" s="5"/>
      <c r="S195" s="5"/>
      <c r="T195" s="5"/>
      <c r="U195" s="5"/>
      <c r="V195" s="5"/>
      <c r="W195" s="5"/>
      <c r="X195" s="5"/>
      <c r="Y195" s="5"/>
    </row>
    <row r="196" spans="10:25" x14ac:dyDescent="0.25">
      <c r="P196" s="5"/>
      <c r="Q196" s="5"/>
      <c r="R196" s="5"/>
      <c r="S196" s="5"/>
      <c r="T196" s="5"/>
      <c r="U196" s="5"/>
      <c r="V196" s="5"/>
      <c r="W196" s="5"/>
      <c r="X196" s="5"/>
      <c r="Y196" s="5"/>
    </row>
    <row r="197" spans="10:25" x14ac:dyDescent="0.25">
      <c r="P197" s="5"/>
      <c r="Q197" s="5"/>
      <c r="R197" s="5"/>
      <c r="S197" s="5"/>
      <c r="T197" s="5"/>
      <c r="U197" s="5"/>
      <c r="V197" s="5"/>
      <c r="W197" s="5"/>
      <c r="X197" s="5"/>
      <c r="Y197" s="5"/>
    </row>
    <row r="198" spans="10:25" x14ac:dyDescent="0.25">
      <c r="P198" s="5"/>
      <c r="Q198" s="5"/>
      <c r="R198" s="5"/>
      <c r="S198" s="5"/>
      <c r="T198" s="5"/>
      <c r="U198" s="5"/>
      <c r="V198" s="5"/>
      <c r="W198" s="5"/>
      <c r="X198" s="5"/>
      <c r="Y198" s="5"/>
    </row>
    <row r="199" spans="10:25" x14ac:dyDescent="0.25">
      <c r="P199" s="5"/>
      <c r="Q199" s="5"/>
      <c r="R199" s="5"/>
      <c r="S199" s="5"/>
      <c r="T199" s="5"/>
      <c r="U199" s="5"/>
      <c r="V199" s="5"/>
      <c r="W199" s="5"/>
      <c r="X199" s="5"/>
      <c r="Y199" s="5"/>
    </row>
    <row r="200" spans="10:25" x14ac:dyDescent="0.25">
      <c r="P200" s="5"/>
      <c r="Q200" s="5"/>
      <c r="R200" s="5"/>
      <c r="S200" s="5"/>
      <c r="T200" s="5"/>
      <c r="U200" s="5"/>
      <c r="V200" s="5"/>
      <c r="W200" s="5"/>
      <c r="X200" s="5"/>
      <c r="Y200" s="5"/>
    </row>
    <row r="201" spans="10:25" x14ac:dyDescent="0.25">
      <c r="J201" s="128"/>
      <c r="P201" s="5"/>
      <c r="Q201" s="5"/>
      <c r="R201" s="5"/>
      <c r="S201" s="5"/>
      <c r="T201" s="5"/>
      <c r="U201" s="5"/>
      <c r="V201" s="5"/>
      <c r="W201" s="5"/>
      <c r="X201" s="5"/>
      <c r="Y201" s="5"/>
    </row>
    <row r="202" spans="10:25" x14ac:dyDescent="0.25">
      <c r="J202" s="128"/>
      <c r="P202" s="5"/>
      <c r="Q202" s="5"/>
      <c r="R202" s="5"/>
      <c r="S202" s="5"/>
      <c r="T202" s="5"/>
      <c r="U202" s="5"/>
      <c r="V202" s="5"/>
      <c r="W202" s="5"/>
      <c r="X202" s="5"/>
      <c r="Y202" s="5"/>
    </row>
    <row r="203" spans="10:25" x14ac:dyDescent="0.25">
      <c r="J203" s="128"/>
      <c r="P203" s="5"/>
      <c r="Q203" s="5"/>
      <c r="R203" s="5"/>
      <c r="S203" s="5"/>
      <c r="T203" s="5"/>
      <c r="U203" s="5"/>
      <c r="V203" s="5"/>
      <c r="W203" s="5"/>
      <c r="X203" s="5"/>
      <c r="Y203" s="5"/>
    </row>
    <row r="204" spans="10:25" x14ac:dyDescent="0.25">
      <c r="J204" s="128"/>
      <c r="P204" s="5"/>
      <c r="Q204" s="5"/>
      <c r="R204" s="5"/>
      <c r="S204" s="5"/>
      <c r="T204" s="5"/>
      <c r="U204" s="5"/>
      <c r="V204" s="5"/>
      <c r="W204" s="5"/>
      <c r="X204" s="5"/>
      <c r="Y204" s="5"/>
    </row>
    <row r="205" spans="10:25" x14ac:dyDescent="0.25">
      <c r="J205" s="128"/>
      <c r="P205" s="5"/>
      <c r="Q205" s="5"/>
      <c r="R205" s="5"/>
      <c r="S205" s="5"/>
      <c r="T205" s="5"/>
      <c r="U205" s="5"/>
      <c r="V205" s="5"/>
      <c r="W205" s="5"/>
      <c r="X205" s="5"/>
      <c r="Y205" s="5"/>
    </row>
    <row r="229" spans="17:18" x14ac:dyDescent="0.25">
      <c r="Q229" s="128"/>
      <c r="R229" s="128"/>
    </row>
    <row r="230" spans="17:18" x14ac:dyDescent="0.25">
      <c r="Q230" s="128"/>
      <c r="R230" s="128"/>
    </row>
    <row r="231" spans="17:18" x14ac:dyDescent="0.25">
      <c r="Q231" s="128"/>
      <c r="R231" s="128"/>
    </row>
    <row r="232" spans="17:18" x14ac:dyDescent="0.25">
      <c r="Q232" s="128"/>
      <c r="R232" s="128"/>
    </row>
    <row r="233" spans="17:18" x14ac:dyDescent="0.25">
      <c r="Q233" s="128"/>
      <c r="R233" s="128"/>
    </row>
    <row r="241" spans="17:18" x14ac:dyDescent="0.25">
      <c r="Q241" s="128"/>
      <c r="R241" s="128"/>
    </row>
    <row r="242" spans="17:18" x14ac:dyDescent="0.25">
      <c r="Q242" s="128"/>
      <c r="R242" s="128"/>
    </row>
    <row r="243" spans="17:18" x14ac:dyDescent="0.25">
      <c r="Q243" s="128"/>
      <c r="R243" s="128"/>
    </row>
    <row r="244" spans="17:18" x14ac:dyDescent="0.25">
      <c r="Q244" s="128"/>
      <c r="R244" s="128"/>
    </row>
    <row r="245" spans="17:18" x14ac:dyDescent="0.25">
      <c r="Q245" s="128"/>
      <c r="R245" s="128"/>
    </row>
    <row r="253" spans="17:18" x14ac:dyDescent="0.25">
      <c r="Q253" s="128"/>
      <c r="R253" s="128"/>
    </row>
    <row r="254" spans="17:18" x14ac:dyDescent="0.25">
      <c r="Q254" s="128"/>
      <c r="R254" s="128"/>
    </row>
    <row r="255" spans="17:18" x14ac:dyDescent="0.25">
      <c r="Q255" s="128"/>
      <c r="R255" s="128"/>
    </row>
    <row r="256" spans="17:18" x14ac:dyDescent="0.25">
      <c r="Q256" s="128"/>
      <c r="R256" s="128"/>
    </row>
    <row r="257" spans="17:18" x14ac:dyDescent="0.25">
      <c r="Q257" s="128"/>
      <c r="R257" s="128"/>
    </row>
    <row r="265" spans="17:18" x14ac:dyDescent="0.25">
      <c r="Q265" s="128"/>
      <c r="R265" s="128"/>
    </row>
    <row r="266" spans="17:18" x14ac:dyDescent="0.25">
      <c r="Q266" s="128"/>
      <c r="R266" s="128"/>
    </row>
    <row r="267" spans="17:18" x14ac:dyDescent="0.25">
      <c r="Q267" s="128"/>
      <c r="R267" s="128"/>
    </row>
    <row r="268" spans="17:18" x14ac:dyDescent="0.25">
      <c r="Q268" s="128"/>
      <c r="R268" s="128"/>
    </row>
    <row r="269" spans="17:18" x14ac:dyDescent="0.25">
      <c r="Q269" s="128"/>
      <c r="R269" s="128"/>
    </row>
    <row r="296" spans="11:18" x14ac:dyDescent="0.25">
      <c r="Q296" s="128"/>
    </row>
    <row r="297" spans="11:18" x14ac:dyDescent="0.25">
      <c r="Q297" s="128"/>
    </row>
    <row r="298" spans="11:18" x14ac:dyDescent="0.25">
      <c r="Q298" s="128"/>
    </row>
    <row r="299" spans="11:18" x14ac:dyDescent="0.25">
      <c r="Q299" s="128"/>
    </row>
    <row r="301" spans="11:18" x14ac:dyDescent="0.25">
      <c r="K301" s="128"/>
      <c r="Q301" s="128"/>
      <c r="R301" s="128"/>
    </row>
    <row r="302" spans="11:18" x14ac:dyDescent="0.25">
      <c r="K302" s="128"/>
      <c r="Q302" s="128"/>
      <c r="R302" s="128"/>
    </row>
    <row r="303" spans="11:18" x14ac:dyDescent="0.25">
      <c r="K303" s="128"/>
      <c r="Q303" s="128"/>
      <c r="R303" s="128"/>
    </row>
    <row r="304" spans="11:18" x14ac:dyDescent="0.25">
      <c r="K304" s="128"/>
      <c r="Q304" s="128"/>
      <c r="R304" s="128"/>
    </row>
    <row r="305" spans="11:18" x14ac:dyDescent="0.25">
      <c r="K305" s="128"/>
      <c r="Q305" s="128"/>
      <c r="R305" s="128"/>
    </row>
    <row r="313" spans="11:18" x14ac:dyDescent="0.25">
      <c r="K313" s="128"/>
      <c r="Q313" s="128"/>
      <c r="R313" s="128"/>
    </row>
    <row r="314" spans="11:18" x14ac:dyDescent="0.25">
      <c r="K314" s="128"/>
      <c r="Q314" s="128"/>
      <c r="R314" s="128"/>
    </row>
    <row r="315" spans="11:18" x14ac:dyDescent="0.25">
      <c r="K315" s="128"/>
      <c r="Q315" s="128"/>
      <c r="R315" s="128"/>
    </row>
    <row r="316" spans="11:18" x14ac:dyDescent="0.25">
      <c r="K316" s="128"/>
      <c r="Q316" s="128"/>
      <c r="R316" s="128"/>
    </row>
    <row r="317" spans="11:18" x14ac:dyDescent="0.25">
      <c r="K317" s="128"/>
      <c r="Q317" s="128"/>
      <c r="R317" s="128"/>
    </row>
  </sheetData>
  <mergeCells count="22">
    <mergeCell ref="A1:M1"/>
    <mergeCell ref="A4:A23"/>
    <mergeCell ref="B4:B8"/>
    <mergeCell ref="B9:B13"/>
    <mergeCell ref="B14:B18"/>
    <mergeCell ref="B19:B23"/>
    <mergeCell ref="A85:M85"/>
    <mergeCell ref="A24:A43"/>
    <mergeCell ref="B24:B28"/>
    <mergeCell ref="B29:B33"/>
    <mergeCell ref="B34:B38"/>
    <mergeCell ref="B39:B43"/>
    <mergeCell ref="A44:A63"/>
    <mergeCell ref="B44:B48"/>
    <mergeCell ref="B49:B53"/>
    <mergeCell ref="B54:B58"/>
    <mergeCell ref="B59:B63"/>
    <mergeCell ref="A64:A83"/>
    <mergeCell ref="B64:B68"/>
    <mergeCell ref="B69:B73"/>
    <mergeCell ref="B74:B78"/>
    <mergeCell ref="B79:B83"/>
  </mergeCells>
  <pageMargins left="0.08" right="0.08" top="1" bottom="1" header="0.5" footer="0.5"/>
  <pageSetup orientation="landscape" blackAndWhite="1"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T24"/>
  <sheetViews>
    <sheetView zoomScaleNormal="100" workbookViewId="0">
      <selection sqref="A1:J1"/>
    </sheetView>
  </sheetViews>
  <sheetFormatPr defaultColWidth="9.140625" defaultRowHeight="15" x14ac:dyDescent="0.25"/>
  <cols>
    <col min="1" max="1" width="38" style="1" customWidth="1"/>
    <col min="2" max="12" width="11.42578125" style="1" bestFit="1" customWidth="1"/>
    <col min="13" max="16384" width="9.140625" style="1"/>
  </cols>
  <sheetData>
    <row r="1" spans="1:20" ht="30.75" customHeight="1" x14ac:dyDescent="0.25">
      <c r="A1" s="189" t="s">
        <v>316</v>
      </c>
      <c r="B1" s="189"/>
      <c r="C1" s="189"/>
      <c r="D1" s="189"/>
      <c r="E1" s="189"/>
      <c r="F1" s="189"/>
      <c r="G1" s="189"/>
      <c r="H1" s="189"/>
      <c r="I1" s="189"/>
      <c r="J1" s="189"/>
      <c r="K1" s="32"/>
      <c r="L1" s="32"/>
    </row>
    <row r="2" spans="1:20" ht="3.75" customHeight="1" x14ac:dyDescent="0.25">
      <c r="A2" s="2"/>
    </row>
    <row r="3" spans="1:20" x14ac:dyDescent="0.25">
      <c r="A3" s="31" t="s">
        <v>156</v>
      </c>
      <c r="B3" s="3" t="s">
        <v>0</v>
      </c>
      <c r="C3" s="3" t="s">
        <v>1</v>
      </c>
      <c r="D3" s="3" t="s">
        <v>2</v>
      </c>
      <c r="E3" s="3" t="s">
        <v>3</v>
      </c>
      <c r="F3" s="3" t="s">
        <v>4</v>
      </c>
      <c r="G3" s="3" t="s">
        <v>5</v>
      </c>
      <c r="H3" s="3" t="s">
        <v>6</v>
      </c>
      <c r="I3" s="3" t="s">
        <v>7</v>
      </c>
      <c r="J3" s="3" t="s">
        <v>8</v>
      </c>
    </row>
    <row r="4" spans="1:20" x14ac:dyDescent="0.25">
      <c r="A4" s="4" t="s">
        <v>154</v>
      </c>
      <c r="B4" s="8">
        <v>99</v>
      </c>
      <c r="C4" s="8">
        <v>417</v>
      </c>
      <c r="D4" s="8">
        <v>52</v>
      </c>
      <c r="E4" s="8">
        <v>265</v>
      </c>
      <c r="F4" s="8">
        <v>38</v>
      </c>
      <c r="G4" s="8">
        <v>4</v>
      </c>
      <c r="H4" s="8">
        <v>36</v>
      </c>
      <c r="I4" s="8" t="s">
        <v>114</v>
      </c>
      <c r="J4" s="8">
        <v>911</v>
      </c>
      <c r="L4" s="8"/>
      <c r="M4" s="8"/>
      <c r="N4" s="8"/>
      <c r="O4" s="8"/>
      <c r="P4" s="8"/>
      <c r="Q4" s="8"/>
      <c r="R4" s="8"/>
      <c r="S4" s="8"/>
      <c r="T4" s="8"/>
    </row>
    <row r="5" spans="1:20" x14ac:dyDescent="0.25">
      <c r="A5" s="4" t="s">
        <v>157</v>
      </c>
      <c r="B5" s="8">
        <v>113</v>
      </c>
      <c r="C5" s="8">
        <v>325</v>
      </c>
      <c r="D5" s="8">
        <v>81</v>
      </c>
      <c r="E5" s="8">
        <v>71</v>
      </c>
      <c r="F5" s="8">
        <v>69</v>
      </c>
      <c r="G5" s="8">
        <v>10</v>
      </c>
      <c r="H5" s="8">
        <v>30</v>
      </c>
      <c r="I5" s="8" t="s">
        <v>114</v>
      </c>
      <c r="J5" s="8">
        <v>699</v>
      </c>
      <c r="L5" s="8"/>
      <c r="M5" s="8"/>
      <c r="N5" s="8"/>
      <c r="O5" s="8"/>
      <c r="P5" s="8"/>
      <c r="Q5" s="8"/>
      <c r="R5" s="8"/>
      <c r="S5" s="8"/>
      <c r="T5" s="8"/>
    </row>
    <row r="6" spans="1:20" x14ac:dyDescent="0.25">
      <c r="A6" s="4" t="s">
        <v>158</v>
      </c>
      <c r="B6" s="8">
        <v>57</v>
      </c>
      <c r="C6" s="8">
        <v>220</v>
      </c>
      <c r="D6" s="8">
        <v>64</v>
      </c>
      <c r="E6" s="8">
        <v>36</v>
      </c>
      <c r="F6" s="8">
        <v>57</v>
      </c>
      <c r="G6" s="8" t="s">
        <v>116</v>
      </c>
      <c r="H6" s="8" t="s">
        <v>116</v>
      </c>
      <c r="I6" s="8" t="s">
        <v>114</v>
      </c>
      <c r="J6" s="8">
        <v>464</v>
      </c>
      <c r="L6" s="8"/>
      <c r="M6" s="8"/>
      <c r="N6" s="8"/>
      <c r="O6" s="8"/>
      <c r="P6" s="8"/>
      <c r="Q6" s="8"/>
      <c r="R6" s="8"/>
      <c r="S6" s="8"/>
      <c r="T6" s="8"/>
    </row>
    <row r="7" spans="1:20" x14ac:dyDescent="0.25">
      <c r="A7" s="4" t="s">
        <v>159</v>
      </c>
      <c r="B7" s="8">
        <v>57</v>
      </c>
      <c r="C7" s="8">
        <v>120</v>
      </c>
      <c r="D7" s="8">
        <v>49</v>
      </c>
      <c r="E7" s="8">
        <v>17</v>
      </c>
      <c r="F7" s="8">
        <v>57</v>
      </c>
      <c r="G7" s="8" t="s">
        <v>116</v>
      </c>
      <c r="H7" s="8" t="s">
        <v>116</v>
      </c>
      <c r="I7" s="8" t="s">
        <v>114</v>
      </c>
      <c r="J7" s="8">
        <v>318</v>
      </c>
      <c r="L7" s="8"/>
      <c r="M7" s="8"/>
      <c r="N7" s="8"/>
      <c r="O7" s="8"/>
      <c r="P7" s="8"/>
      <c r="Q7" s="8"/>
      <c r="R7" s="8"/>
      <c r="S7" s="8"/>
      <c r="T7" s="8"/>
    </row>
    <row r="8" spans="1:20" x14ac:dyDescent="0.25">
      <c r="A8" s="4" t="s">
        <v>75</v>
      </c>
      <c r="B8" s="8">
        <v>75</v>
      </c>
      <c r="C8" s="8">
        <v>201</v>
      </c>
      <c r="D8" s="8">
        <v>204</v>
      </c>
      <c r="E8" s="8">
        <v>23</v>
      </c>
      <c r="F8" s="8">
        <v>100</v>
      </c>
      <c r="G8" s="8">
        <v>20</v>
      </c>
      <c r="H8" s="8">
        <v>21</v>
      </c>
      <c r="I8" s="8" t="s">
        <v>114</v>
      </c>
      <c r="J8" s="8">
        <v>644</v>
      </c>
      <c r="L8" s="8"/>
      <c r="M8" s="8"/>
      <c r="N8" s="8"/>
      <c r="O8" s="8"/>
      <c r="P8" s="8"/>
      <c r="Q8" s="8"/>
      <c r="R8" s="8"/>
      <c r="S8" s="8"/>
      <c r="T8" s="8"/>
    </row>
    <row r="9" spans="1:20" x14ac:dyDescent="0.25">
      <c r="A9" s="58" t="s">
        <v>160</v>
      </c>
      <c r="B9" s="94">
        <v>401</v>
      </c>
      <c r="C9" s="94">
        <v>1283</v>
      </c>
      <c r="D9" s="94">
        <v>450</v>
      </c>
      <c r="E9" s="94">
        <v>412</v>
      </c>
      <c r="F9" s="94">
        <v>321</v>
      </c>
      <c r="G9" s="94">
        <v>42</v>
      </c>
      <c r="H9" s="94">
        <v>127</v>
      </c>
      <c r="I9" s="94" t="s">
        <v>114</v>
      </c>
      <c r="J9" s="94">
        <v>3036</v>
      </c>
      <c r="L9" s="94"/>
      <c r="M9" s="94"/>
      <c r="N9" s="94"/>
      <c r="O9" s="94"/>
      <c r="P9" s="94"/>
      <c r="Q9" s="94"/>
      <c r="R9" s="94"/>
      <c r="S9" s="94"/>
      <c r="T9" s="94"/>
    </row>
    <row r="10" spans="1:20" x14ac:dyDescent="0.25">
      <c r="A10" s="58" t="s">
        <v>161</v>
      </c>
      <c r="B10" s="94">
        <v>431</v>
      </c>
      <c r="C10" s="94">
        <v>1342</v>
      </c>
      <c r="D10" s="94">
        <v>854</v>
      </c>
      <c r="E10" s="94">
        <v>808</v>
      </c>
      <c r="F10" s="94">
        <v>721</v>
      </c>
      <c r="G10" s="94">
        <v>47</v>
      </c>
      <c r="H10" s="94">
        <v>170</v>
      </c>
      <c r="I10" s="94" t="s">
        <v>114</v>
      </c>
      <c r="J10" s="94">
        <v>4373</v>
      </c>
      <c r="L10" s="94"/>
      <c r="M10" s="94"/>
      <c r="N10" s="94"/>
      <c r="O10" s="94"/>
      <c r="P10" s="94"/>
      <c r="Q10" s="94"/>
      <c r="R10" s="94"/>
      <c r="S10" s="94"/>
      <c r="T10" s="94"/>
    </row>
    <row r="11" spans="1:20" ht="1.5" customHeight="1" x14ac:dyDescent="0.25">
      <c r="A11" s="90"/>
      <c r="B11" s="80"/>
      <c r="C11" s="80"/>
      <c r="D11" s="80"/>
      <c r="E11" s="80"/>
      <c r="F11" s="80"/>
      <c r="G11" s="80"/>
      <c r="H11" s="80"/>
      <c r="I11" s="80"/>
      <c r="J11" s="80"/>
    </row>
    <row r="12" spans="1:20" x14ac:dyDescent="0.25">
      <c r="A12" s="192" t="s">
        <v>23</v>
      </c>
      <c r="B12" s="192"/>
      <c r="C12" s="192"/>
      <c r="D12" s="192"/>
      <c r="E12" s="192"/>
      <c r="F12" s="192"/>
      <c r="G12" s="192"/>
      <c r="H12" s="192"/>
      <c r="I12" s="192"/>
      <c r="J12" s="192"/>
      <c r="K12" s="192"/>
      <c r="L12" s="192"/>
    </row>
    <row r="13" spans="1:20" x14ac:dyDescent="0.25">
      <c r="A13" s="6" t="s">
        <v>76</v>
      </c>
      <c r="B13" s="6"/>
      <c r="C13" s="6"/>
      <c r="D13" s="6"/>
      <c r="E13" s="6"/>
      <c r="F13" s="6"/>
      <c r="G13" s="6"/>
      <c r="H13" s="6"/>
      <c r="I13" s="6"/>
      <c r="J13" s="6"/>
      <c r="K13" s="6"/>
      <c r="L13" s="6"/>
    </row>
    <row r="14" spans="1:20" x14ac:dyDescent="0.25">
      <c r="A14" s="6" t="s">
        <v>77</v>
      </c>
      <c r="B14" s="6"/>
      <c r="C14" s="6"/>
      <c r="D14" s="6"/>
      <c r="E14" s="6"/>
      <c r="F14" s="6"/>
      <c r="G14" s="6"/>
      <c r="H14" s="6"/>
      <c r="I14" s="6"/>
      <c r="J14" s="6"/>
      <c r="K14" s="6"/>
      <c r="L14" s="6"/>
    </row>
    <row r="15" spans="1:20" x14ac:dyDescent="0.25">
      <c r="A15" s="6" t="s">
        <v>317</v>
      </c>
      <c r="B15" s="6"/>
      <c r="C15" s="6"/>
      <c r="D15" s="6"/>
      <c r="E15" s="6"/>
      <c r="F15" s="6"/>
      <c r="G15" s="6"/>
      <c r="H15" s="6"/>
      <c r="I15" s="6"/>
      <c r="J15" s="6"/>
      <c r="K15" s="6"/>
      <c r="L15" s="6"/>
    </row>
    <row r="16" spans="1:20" x14ac:dyDescent="0.25">
      <c r="A16" s="6"/>
      <c r="B16" s="6"/>
      <c r="C16" s="6"/>
      <c r="D16" s="6"/>
      <c r="E16" s="6"/>
      <c r="F16" s="6"/>
      <c r="G16" s="6"/>
      <c r="H16" s="6"/>
      <c r="I16" s="6"/>
      <c r="J16" s="6"/>
      <c r="K16" s="6"/>
      <c r="L16" s="6"/>
    </row>
    <row r="17" spans="1:12" x14ac:dyDescent="0.25">
      <c r="A17" s="6" t="s">
        <v>263</v>
      </c>
      <c r="B17" s="6"/>
      <c r="C17" s="6"/>
      <c r="D17" s="6"/>
      <c r="E17" s="6"/>
      <c r="F17" s="6"/>
      <c r="G17" s="6"/>
      <c r="H17" s="6"/>
      <c r="I17" s="6"/>
      <c r="J17" s="6"/>
      <c r="K17" s="6"/>
      <c r="L17" s="6"/>
    </row>
    <row r="24" spans="1:12" x14ac:dyDescent="0.25">
      <c r="D24" s="120"/>
    </row>
  </sheetData>
  <mergeCells count="2">
    <mergeCell ref="A1:J1"/>
    <mergeCell ref="A12:L12"/>
  </mergeCells>
  <pageMargins left="0.08" right="0.08" top="1" bottom="1" header="0.5" footer="0.5"/>
  <pageSetup orientation="landscape" blackAndWhite="1"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T49"/>
  <sheetViews>
    <sheetView zoomScaleNormal="100" workbookViewId="0">
      <selection sqref="A1:J1"/>
    </sheetView>
  </sheetViews>
  <sheetFormatPr defaultColWidth="9.140625" defaultRowHeight="15" x14ac:dyDescent="0.25"/>
  <cols>
    <col min="1" max="1" width="36.140625" style="1" customWidth="1"/>
    <col min="2" max="12" width="11.42578125" style="1" bestFit="1" customWidth="1"/>
    <col min="13" max="16384" width="9.140625" style="1"/>
  </cols>
  <sheetData>
    <row r="1" spans="1:20" x14ac:dyDescent="0.25">
      <c r="A1" s="185" t="s">
        <v>334</v>
      </c>
      <c r="B1" s="185"/>
      <c r="C1" s="185"/>
      <c r="D1" s="185"/>
      <c r="E1" s="185"/>
      <c r="F1" s="185"/>
      <c r="G1" s="185"/>
      <c r="H1" s="185"/>
      <c r="I1" s="185"/>
      <c r="J1" s="185"/>
      <c r="K1" s="32"/>
      <c r="L1" s="32"/>
    </row>
    <row r="2" spans="1:20" ht="3" customHeight="1" x14ac:dyDescent="0.25">
      <c r="A2" s="2"/>
    </row>
    <row r="3" spans="1:20" x14ac:dyDescent="0.25">
      <c r="A3" s="31" t="s">
        <v>156</v>
      </c>
      <c r="B3" s="3" t="s">
        <v>0</v>
      </c>
      <c r="C3" s="3" t="s">
        <v>1</v>
      </c>
      <c r="D3" s="3" t="s">
        <v>2</v>
      </c>
      <c r="E3" s="3" t="s">
        <v>3</v>
      </c>
      <c r="F3" s="3" t="s">
        <v>4</v>
      </c>
      <c r="G3" s="3" t="s">
        <v>5</v>
      </c>
      <c r="H3" s="3" t="s">
        <v>6</v>
      </c>
      <c r="I3" s="3" t="s">
        <v>7</v>
      </c>
      <c r="J3" s="3" t="s">
        <v>8</v>
      </c>
    </row>
    <row r="4" spans="1:20" x14ac:dyDescent="0.25">
      <c r="A4" s="4" t="s">
        <v>155</v>
      </c>
      <c r="B4" s="8">
        <v>142</v>
      </c>
      <c r="C4" s="8">
        <v>9</v>
      </c>
      <c r="D4" s="8">
        <v>89</v>
      </c>
      <c r="E4" s="8">
        <v>56</v>
      </c>
      <c r="F4" s="8" t="s">
        <v>116</v>
      </c>
      <c r="G4" s="8" t="s">
        <v>109</v>
      </c>
      <c r="H4" s="8" t="s">
        <v>116</v>
      </c>
      <c r="I4" s="8" t="s">
        <v>114</v>
      </c>
      <c r="J4" s="8">
        <v>302</v>
      </c>
      <c r="L4" s="8"/>
      <c r="M4" s="8"/>
      <c r="N4" s="8"/>
      <c r="O4" s="8"/>
      <c r="P4" s="8"/>
      <c r="Q4" s="8"/>
      <c r="R4" s="8"/>
      <c r="S4" s="8"/>
      <c r="T4" s="8"/>
    </row>
    <row r="5" spans="1:20" x14ac:dyDescent="0.25">
      <c r="A5" s="4" t="s">
        <v>78</v>
      </c>
      <c r="B5" s="8">
        <v>890</v>
      </c>
      <c r="C5" s="8">
        <v>81</v>
      </c>
      <c r="D5" s="8">
        <v>662</v>
      </c>
      <c r="E5" s="8">
        <v>334</v>
      </c>
      <c r="F5" s="8">
        <v>45</v>
      </c>
      <c r="G5" s="8">
        <v>9</v>
      </c>
      <c r="H5" s="8">
        <v>9</v>
      </c>
      <c r="I5" s="8" t="s">
        <v>114</v>
      </c>
      <c r="J5" s="8">
        <v>2030</v>
      </c>
      <c r="L5" s="8"/>
      <c r="M5" s="8"/>
      <c r="N5" s="8"/>
      <c r="O5" s="8"/>
      <c r="P5" s="8"/>
      <c r="Q5" s="8"/>
      <c r="R5" s="8"/>
      <c r="S5" s="8"/>
      <c r="T5" s="8"/>
    </row>
    <row r="6" spans="1:20" x14ac:dyDescent="0.25">
      <c r="A6" s="4" t="s">
        <v>79</v>
      </c>
      <c r="B6" s="8">
        <v>823</v>
      </c>
      <c r="C6" s="8">
        <v>75</v>
      </c>
      <c r="D6" s="8">
        <v>411</v>
      </c>
      <c r="E6" s="8">
        <v>161</v>
      </c>
      <c r="F6" s="8">
        <v>39</v>
      </c>
      <c r="G6" s="8">
        <v>6</v>
      </c>
      <c r="H6" s="8">
        <v>16</v>
      </c>
      <c r="I6" s="8" t="s">
        <v>114</v>
      </c>
      <c r="J6" s="8">
        <v>1531</v>
      </c>
      <c r="L6" s="8"/>
      <c r="M6" s="8"/>
      <c r="N6" s="8"/>
      <c r="O6" s="8"/>
      <c r="P6" s="8"/>
      <c r="Q6" s="8"/>
      <c r="R6" s="8"/>
      <c r="S6" s="8"/>
      <c r="T6" s="8"/>
    </row>
    <row r="7" spans="1:20" x14ac:dyDescent="0.25">
      <c r="A7" s="4" t="s">
        <v>80</v>
      </c>
      <c r="B7" s="8">
        <v>587</v>
      </c>
      <c r="C7" s="8">
        <v>68</v>
      </c>
      <c r="D7" s="8">
        <v>234</v>
      </c>
      <c r="E7" s="8">
        <v>46</v>
      </c>
      <c r="F7" s="8" t="s">
        <v>116</v>
      </c>
      <c r="G7" s="8">
        <v>7</v>
      </c>
      <c r="H7" s="8" t="s">
        <v>116</v>
      </c>
      <c r="I7" s="8" t="s">
        <v>114</v>
      </c>
      <c r="J7" s="8">
        <v>962</v>
      </c>
      <c r="L7" s="8"/>
      <c r="M7" s="8"/>
      <c r="N7" s="8"/>
      <c r="O7" s="8"/>
      <c r="P7" s="8"/>
      <c r="Q7" s="8"/>
      <c r="R7" s="8"/>
      <c r="S7" s="8"/>
      <c r="T7" s="8"/>
    </row>
    <row r="8" spans="1:20" x14ac:dyDescent="0.25">
      <c r="A8" s="4" t="s">
        <v>81</v>
      </c>
      <c r="B8" s="8">
        <v>752</v>
      </c>
      <c r="C8" s="8">
        <v>127</v>
      </c>
      <c r="D8" s="8">
        <v>420</v>
      </c>
      <c r="E8" s="8">
        <v>19</v>
      </c>
      <c r="F8" s="8">
        <v>18</v>
      </c>
      <c r="G8" s="8">
        <v>57</v>
      </c>
      <c r="H8" s="8">
        <v>8</v>
      </c>
      <c r="I8" s="8" t="s">
        <v>114</v>
      </c>
      <c r="J8" s="8">
        <v>1401</v>
      </c>
      <c r="L8" s="8"/>
      <c r="M8" s="8"/>
      <c r="N8" s="8"/>
      <c r="O8" s="8"/>
      <c r="P8" s="8"/>
      <c r="Q8" s="8"/>
      <c r="R8" s="8"/>
      <c r="S8" s="8"/>
      <c r="T8" s="8"/>
    </row>
    <row r="9" spans="1:20" x14ac:dyDescent="0.25">
      <c r="A9" s="58" t="s">
        <v>160</v>
      </c>
      <c r="B9" s="94">
        <v>3194</v>
      </c>
      <c r="C9" s="94">
        <v>360</v>
      </c>
      <c r="D9" s="94">
        <v>1816</v>
      </c>
      <c r="E9" s="94">
        <v>616</v>
      </c>
      <c r="F9" s="94">
        <v>120</v>
      </c>
      <c r="G9" s="94">
        <v>79</v>
      </c>
      <c r="H9" s="94">
        <v>41</v>
      </c>
      <c r="I9" s="94" t="s">
        <v>114</v>
      </c>
      <c r="J9" s="94">
        <v>6226</v>
      </c>
      <c r="L9" s="94"/>
      <c r="M9" s="94"/>
      <c r="N9" s="94"/>
      <c r="O9" s="94"/>
      <c r="P9" s="94"/>
      <c r="Q9" s="94"/>
      <c r="R9" s="94"/>
      <c r="S9" s="94"/>
      <c r="T9" s="94"/>
    </row>
    <row r="10" spans="1:20" x14ac:dyDescent="0.25">
      <c r="A10" s="58" t="s">
        <v>161</v>
      </c>
      <c r="B10" s="94">
        <v>4026</v>
      </c>
      <c r="C10" s="94">
        <v>408</v>
      </c>
      <c r="D10" s="94">
        <v>2068</v>
      </c>
      <c r="E10" s="94">
        <v>770</v>
      </c>
      <c r="F10" s="94">
        <v>128</v>
      </c>
      <c r="G10" s="94">
        <v>85</v>
      </c>
      <c r="H10" s="94">
        <v>44</v>
      </c>
      <c r="I10" s="94" t="s">
        <v>114</v>
      </c>
      <c r="J10" s="94">
        <v>7529</v>
      </c>
      <c r="L10" s="94"/>
      <c r="M10" s="94"/>
      <c r="N10" s="94"/>
      <c r="O10" s="94"/>
      <c r="P10" s="94"/>
      <c r="Q10" s="94"/>
      <c r="R10" s="94"/>
      <c r="S10" s="94"/>
      <c r="T10" s="94"/>
    </row>
    <row r="11" spans="1:20" ht="3.75" customHeight="1" x14ac:dyDescent="0.25">
      <c r="A11" s="115"/>
      <c r="B11" s="80"/>
      <c r="C11" s="80"/>
      <c r="D11" s="80"/>
      <c r="E11" s="80"/>
      <c r="F11" s="80"/>
      <c r="G11" s="80"/>
      <c r="H11" s="80"/>
      <c r="I11" s="140" t="s">
        <v>114</v>
      </c>
      <c r="J11" s="80"/>
    </row>
    <row r="12" spans="1:20" ht="13.5" customHeight="1" x14ac:dyDescent="0.25">
      <c r="A12" s="6" t="s">
        <v>213</v>
      </c>
      <c r="B12" s="102"/>
      <c r="C12" s="102"/>
      <c r="D12" s="102"/>
      <c r="E12" s="102"/>
      <c r="F12" s="102"/>
      <c r="G12" s="102"/>
      <c r="H12" s="102"/>
      <c r="I12" s="102"/>
      <c r="J12" s="102"/>
    </row>
    <row r="13" spans="1:20" ht="14.25" customHeight="1" x14ac:dyDescent="0.25">
      <c r="A13" s="192" t="s">
        <v>23</v>
      </c>
      <c r="B13" s="192"/>
      <c r="C13" s="192"/>
      <c r="D13" s="192"/>
      <c r="E13" s="192"/>
      <c r="F13" s="192"/>
      <c r="G13" s="192"/>
      <c r="H13" s="192"/>
      <c r="I13" s="192"/>
      <c r="J13" s="192"/>
      <c r="K13" s="192"/>
      <c r="L13" s="192"/>
    </row>
    <row r="14" spans="1:20" ht="13.5" customHeight="1" x14ac:dyDescent="0.25">
      <c r="A14" s="6" t="s">
        <v>76</v>
      </c>
      <c r="B14" s="6"/>
      <c r="C14" s="6"/>
      <c r="D14" s="6"/>
      <c r="E14" s="6"/>
      <c r="F14" s="6"/>
      <c r="G14" s="6"/>
      <c r="H14" s="6"/>
      <c r="I14" s="6"/>
      <c r="J14" s="6"/>
      <c r="K14" s="6"/>
      <c r="L14" s="6"/>
    </row>
    <row r="15" spans="1:20" x14ac:dyDescent="0.25">
      <c r="A15" s="6" t="s">
        <v>77</v>
      </c>
      <c r="B15" s="6"/>
      <c r="C15" s="6"/>
      <c r="D15" s="6"/>
      <c r="E15" s="6"/>
      <c r="F15" s="6"/>
      <c r="G15" s="6"/>
      <c r="H15" s="6"/>
      <c r="I15" s="6"/>
      <c r="J15" s="6"/>
      <c r="K15" s="6"/>
      <c r="L15" s="6"/>
    </row>
    <row r="16" spans="1:20" x14ac:dyDescent="0.25">
      <c r="A16" s="6" t="s">
        <v>65</v>
      </c>
      <c r="B16" s="6"/>
      <c r="C16" s="6"/>
      <c r="D16" s="6"/>
      <c r="E16" s="6"/>
      <c r="F16" s="6"/>
      <c r="G16" s="6"/>
      <c r="H16" s="6"/>
      <c r="I16" s="6"/>
      <c r="J16" s="6"/>
      <c r="K16" s="6"/>
      <c r="L16" s="6"/>
    </row>
    <row r="17" spans="1:13" x14ac:dyDescent="0.25">
      <c r="A17" s="6" t="s">
        <v>335</v>
      </c>
      <c r="B17" s="6"/>
      <c r="C17" s="6"/>
      <c r="D17" s="6"/>
      <c r="E17" s="6"/>
      <c r="F17" s="6"/>
      <c r="G17" s="6"/>
      <c r="H17" s="6"/>
      <c r="I17" s="6"/>
      <c r="J17" s="6"/>
      <c r="K17" s="6"/>
      <c r="L17" s="6"/>
    </row>
    <row r="18" spans="1:13" x14ac:dyDescent="0.25">
      <c r="A18" s="6"/>
      <c r="B18" s="6"/>
      <c r="C18" s="6"/>
      <c r="D18" s="6"/>
      <c r="E18" s="6"/>
      <c r="F18" s="6"/>
      <c r="G18" s="6"/>
      <c r="H18" s="6"/>
      <c r="I18" s="6"/>
      <c r="J18" s="6"/>
      <c r="K18" s="6"/>
      <c r="L18" s="6"/>
    </row>
    <row r="19" spans="1:13" x14ac:dyDescent="0.25">
      <c r="A19" s="6" t="s">
        <v>263</v>
      </c>
      <c r="B19" s="6"/>
      <c r="C19" s="6"/>
      <c r="D19" s="6"/>
      <c r="E19" s="6"/>
      <c r="F19" s="6"/>
      <c r="G19" s="6"/>
      <c r="H19" s="6"/>
      <c r="I19" s="6"/>
      <c r="J19" s="6"/>
      <c r="K19" s="6"/>
      <c r="L19" s="6"/>
    </row>
    <row r="20" spans="1:13" x14ac:dyDescent="0.25">
      <c r="A20" s="2"/>
    </row>
    <row r="26" spans="1:13" x14ac:dyDescent="0.25">
      <c r="D26" s="120"/>
    </row>
    <row r="28" spans="1:13" x14ac:dyDescent="0.25">
      <c r="M28" s="125"/>
    </row>
    <row r="29" spans="1:13" x14ac:dyDescent="0.25">
      <c r="M29" s="125"/>
    </row>
    <row r="31" spans="1:13" x14ac:dyDescent="0.25">
      <c r="M31" s="125"/>
    </row>
    <row r="32" spans="1:13" x14ac:dyDescent="0.25">
      <c r="E32" s="125"/>
      <c r="G32" s="125"/>
      <c r="M32" s="125"/>
    </row>
    <row r="49" spans="5:13" x14ac:dyDescent="0.25">
      <c r="E49" s="125"/>
      <c r="G49" s="125"/>
      <c r="M49" s="125"/>
    </row>
  </sheetData>
  <mergeCells count="2">
    <mergeCell ref="A1:J1"/>
    <mergeCell ref="A13:L13"/>
  </mergeCells>
  <pageMargins left="0.08" right="0.08" top="1" bottom="1" header="0.5" footer="0.5"/>
  <pageSetup orientation="landscape" blackAndWhite="1"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V46"/>
  <sheetViews>
    <sheetView topLeftCell="D1" zoomScaleNormal="100" workbookViewId="0">
      <selection sqref="A1:L1"/>
    </sheetView>
  </sheetViews>
  <sheetFormatPr defaultColWidth="9.140625" defaultRowHeight="15" x14ac:dyDescent="0.25"/>
  <cols>
    <col min="1" max="1" width="35.7109375" style="1" customWidth="1"/>
    <col min="2" max="12" width="11.42578125" style="1" bestFit="1" customWidth="1"/>
    <col min="13" max="16384" width="9.140625" style="1"/>
  </cols>
  <sheetData>
    <row r="1" spans="1:22" ht="27.95" customHeight="1" x14ac:dyDescent="0.25">
      <c r="A1" s="185" t="s">
        <v>336</v>
      </c>
      <c r="B1" s="185"/>
      <c r="C1" s="185"/>
      <c r="D1" s="185"/>
      <c r="E1" s="185"/>
      <c r="F1" s="185"/>
      <c r="G1" s="185"/>
      <c r="H1" s="185"/>
      <c r="I1" s="185"/>
      <c r="J1" s="185"/>
      <c r="K1" s="185"/>
      <c r="L1" s="185"/>
    </row>
    <row r="2" spans="1:22" ht="0.75" customHeight="1" x14ac:dyDescent="0.25">
      <c r="A2" s="2"/>
    </row>
    <row r="3" spans="1:22" x14ac:dyDescent="0.25">
      <c r="A3" s="31" t="s">
        <v>156</v>
      </c>
      <c r="B3" s="3" t="s">
        <v>0</v>
      </c>
      <c r="C3" s="3" t="s">
        <v>1</v>
      </c>
      <c r="D3" s="3" t="s">
        <v>2</v>
      </c>
      <c r="E3" s="3" t="s">
        <v>3</v>
      </c>
      <c r="F3" s="3" t="s">
        <v>4</v>
      </c>
      <c r="G3" s="3" t="s">
        <v>5</v>
      </c>
      <c r="H3" s="3" t="s">
        <v>6</v>
      </c>
      <c r="I3" s="3" t="s">
        <v>7</v>
      </c>
      <c r="J3" s="3" t="s">
        <v>8</v>
      </c>
    </row>
    <row r="4" spans="1:22" x14ac:dyDescent="0.25">
      <c r="A4" s="4" t="s">
        <v>155</v>
      </c>
      <c r="B4" s="8">
        <v>34</v>
      </c>
      <c r="C4" s="29">
        <v>3</v>
      </c>
      <c r="D4" s="8">
        <v>12</v>
      </c>
      <c r="E4" s="8">
        <v>33</v>
      </c>
      <c r="F4" s="29" t="s">
        <v>109</v>
      </c>
      <c r="G4" s="8" t="s">
        <v>109</v>
      </c>
      <c r="H4" s="29" t="s">
        <v>109</v>
      </c>
      <c r="I4" s="8" t="s">
        <v>114</v>
      </c>
      <c r="J4" s="8">
        <v>82</v>
      </c>
      <c r="K4" s="120"/>
      <c r="L4" s="8"/>
      <c r="M4" s="8"/>
      <c r="N4" s="8"/>
      <c r="O4" s="8"/>
      <c r="P4" s="8"/>
      <c r="Q4" s="8"/>
      <c r="R4" s="8"/>
      <c r="S4" s="8"/>
      <c r="T4" s="8"/>
      <c r="V4" s="120"/>
    </row>
    <row r="5" spans="1:22" x14ac:dyDescent="0.25">
      <c r="A5" s="4" t="s">
        <v>78</v>
      </c>
      <c r="B5" s="8">
        <v>143</v>
      </c>
      <c r="C5" s="8" t="s">
        <v>116</v>
      </c>
      <c r="D5" s="8">
        <v>24</v>
      </c>
      <c r="E5" s="8">
        <v>59</v>
      </c>
      <c r="F5" s="8" t="s">
        <v>109</v>
      </c>
      <c r="G5" s="8" t="s">
        <v>116</v>
      </c>
      <c r="H5" s="29" t="s">
        <v>109</v>
      </c>
      <c r="I5" s="8" t="s">
        <v>114</v>
      </c>
      <c r="J5" s="8">
        <v>253</v>
      </c>
      <c r="K5" s="120"/>
      <c r="L5" s="8"/>
      <c r="M5" s="8"/>
      <c r="N5" s="8"/>
      <c r="O5" s="8"/>
      <c r="P5" s="8"/>
      <c r="Q5" s="8"/>
      <c r="R5" s="8"/>
      <c r="S5" s="8"/>
      <c r="T5" s="8"/>
    </row>
    <row r="6" spans="1:22" x14ac:dyDescent="0.25">
      <c r="A6" s="4" t="s">
        <v>79</v>
      </c>
      <c r="B6" s="8">
        <v>78</v>
      </c>
      <c r="C6" s="8" t="s">
        <v>116</v>
      </c>
      <c r="D6" s="8">
        <v>31</v>
      </c>
      <c r="E6" s="8">
        <v>32</v>
      </c>
      <c r="F6" s="8" t="s">
        <v>109</v>
      </c>
      <c r="G6" s="8" t="s">
        <v>116</v>
      </c>
      <c r="H6" s="8" t="s">
        <v>116</v>
      </c>
      <c r="I6" s="8" t="s">
        <v>114</v>
      </c>
      <c r="J6" s="8">
        <v>150</v>
      </c>
      <c r="K6" s="120"/>
      <c r="L6" s="8"/>
      <c r="M6" s="8"/>
      <c r="N6" s="8"/>
      <c r="O6" s="8"/>
      <c r="P6" s="8"/>
      <c r="Q6" s="8"/>
      <c r="R6" s="8"/>
      <c r="S6" s="8"/>
      <c r="T6" s="8"/>
    </row>
    <row r="7" spans="1:22" x14ac:dyDescent="0.25">
      <c r="A7" s="4" t="s">
        <v>80</v>
      </c>
      <c r="B7" s="8">
        <v>66</v>
      </c>
      <c r="C7" s="8">
        <v>4</v>
      </c>
      <c r="D7" s="8">
        <v>38</v>
      </c>
      <c r="E7" s="8">
        <v>16</v>
      </c>
      <c r="F7" s="8" t="s">
        <v>109</v>
      </c>
      <c r="G7" s="8" t="s">
        <v>109</v>
      </c>
      <c r="H7" s="29" t="s">
        <v>109</v>
      </c>
      <c r="I7" s="8" t="s">
        <v>114</v>
      </c>
      <c r="J7" s="8">
        <v>124</v>
      </c>
      <c r="K7" s="120"/>
      <c r="L7" s="8"/>
      <c r="M7" s="8"/>
      <c r="N7" s="8"/>
      <c r="O7" s="8"/>
      <c r="P7" s="8"/>
      <c r="Q7" s="8"/>
      <c r="R7" s="8"/>
      <c r="S7" s="8"/>
      <c r="T7" s="8"/>
    </row>
    <row r="8" spans="1:22" x14ac:dyDescent="0.25">
      <c r="A8" s="4" t="s">
        <v>81</v>
      </c>
      <c r="B8" s="8">
        <v>40</v>
      </c>
      <c r="C8" s="8">
        <v>8</v>
      </c>
      <c r="D8" s="8">
        <v>28</v>
      </c>
      <c r="E8" s="8">
        <v>9</v>
      </c>
      <c r="F8" s="8" t="s">
        <v>109</v>
      </c>
      <c r="G8" s="8" t="s">
        <v>109</v>
      </c>
      <c r="H8" s="29" t="s">
        <v>109</v>
      </c>
      <c r="I8" s="8" t="s">
        <v>114</v>
      </c>
      <c r="J8" s="8">
        <v>85</v>
      </c>
      <c r="K8" s="120"/>
      <c r="L8" s="8"/>
      <c r="M8" s="8"/>
      <c r="N8" s="8"/>
      <c r="O8" s="8"/>
      <c r="P8" s="8"/>
      <c r="Q8" s="8"/>
      <c r="R8" s="8"/>
      <c r="S8" s="8"/>
      <c r="T8" s="8"/>
    </row>
    <row r="9" spans="1:22" x14ac:dyDescent="0.25">
      <c r="A9" s="58" t="s">
        <v>162</v>
      </c>
      <c r="B9" s="94">
        <v>361</v>
      </c>
      <c r="C9" s="94">
        <v>43</v>
      </c>
      <c r="D9" s="94">
        <v>133</v>
      </c>
      <c r="E9" s="94">
        <v>149</v>
      </c>
      <c r="F9" s="94" t="s">
        <v>109</v>
      </c>
      <c r="G9" s="94" t="s">
        <v>116</v>
      </c>
      <c r="H9" s="94" t="s">
        <v>116</v>
      </c>
      <c r="I9" s="94" t="s">
        <v>114</v>
      </c>
      <c r="J9" s="94">
        <v>694</v>
      </c>
      <c r="K9" s="120"/>
      <c r="L9" s="8"/>
      <c r="M9" s="8"/>
      <c r="N9" s="8"/>
      <c r="O9" s="8"/>
      <c r="P9" s="8"/>
      <c r="Q9" s="8"/>
      <c r="R9" s="8"/>
      <c r="S9" s="8"/>
      <c r="T9" s="8"/>
    </row>
    <row r="10" spans="1:22" x14ac:dyDescent="0.25">
      <c r="A10" s="58" t="s">
        <v>161</v>
      </c>
      <c r="B10" s="94">
        <v>4026</v>
      </c>
      <c r="C10" s="94">
        <v>408</v>
      </c>
      <c r="D10" s="94">
        <v>2068</v>
      </c>
      <c r="E10" s="94">
        <v>770</v>
      </c>
      <c r="F10" s="94">
        <v>128</v>
      </c>
      <c r="G10" s="94">
        <v>85</v>
      </c>
      <c r="H10" s="94">
        <v>44</v>
      </c>
      <c r="I10" s="94" t="s">
        <v>114</v>
      </c>
      <c r="J10" s="94">
        <v>7529</v>
      </c>
      <c r="K10" s="120"/>
      <c r="L10" s="8"/>
      <c r="M10" s="8"/>
      <c r="N10" s="8"/>
      <c r="O10" s="8"/>
      <c r="P10" s="8"/>
      <c r="Q10" s="8"/>
      <c r="R10" s="8"/>
      <c r="S10" s="8"/>
      <c r="T10" s="8"/>
    </row>
    <row r="11" spans="1:22" ht="4.5" customHeight="1" x14ac:dyDescent="0.25">
      <c r="A11" s="59"/>
      <c r="B11" s="80"/>
      <c r="C11" s="80"/>
      <c r="D11" s="80"/>
      <c r="E11" s="80"/>
      <c r="F11" s="80"/>
      <c r="G11" s="80"/>
      <c r="H11" s="80"/>
      <c r="I11" s="80"/>
      <c r="J11" s="80"/>
      <c r="K11" s="57"/>
      <c r="L11" s="57"/>
    </row>
    <row r="12" spans="1:22" ht="3" customHeight="1" x14ac:dyDescent="0.25"/>
    <row r="13" spans="1:22" ht="12" customHeight="1" x14ac:dyDescent="0.25">
      <c r="A13" s="6" t="s">
        <v>213</v>
      </c>
    </row>
    <row r="14" spans="1:22" ht="12.75" customHeight="1" x14ac:dyDescent="0.25">
      <c r="A14" s="192" t="s">
        <v>23</v>
      </c>
      <c r="B14" s="192"/>
      <c r="C14" s="192"/>
      <c r="D14" s="192"/>
      <c r="E14" s="192"/>
      <c r="F14" s="192"/>
      <c r="G14" s="192"/>
      <c r="H14" s="192"/>
      <c r="I14" s="192"/>
      <c r="J14" s="192"/>
      <c r="K14" s="192"/>
      <c r="L14" s="192"/>
    </row>
    <row r="15" spans="1:22" ht="11.25" customHeight="1" x14ac:dyDescent="0.25">
      <c r="A15" s="6" t="s">
        <v>76</v>
      </c>
      <c r="B15" s="6"/>
      <c r="C15" s="6"/>
      <c r="D15" s="6"/>
      <c r="E15" s="6"/>
      <c r="F15" s="6"/>
      <c r="G15" s="6"/>
      <c r="H15" s="6"/>
      <c r="I15" s="6"/>
      <c r="J15" s="6"/>
      <c r="K15" s="6"/>
      <c r="L15" s="6"/>
    </row>
    <row r="16" spans="1:22" ht="10.5" customHeight="1" x14ac:dyDescent="0.25">
      <c r="A16" s="6" t="s">
        <v>77</v>
      </c>
      <c r="B16" s="6"/>
      <c r="C16" s="6"/>
      <c r="D16" s="6"/>
      <c r="E16" s="6"/>
      <c r="F16" s="6"/>
      <c r="G16" s="6"/>
      <c r="H16" s="6"/>
      <c r="I16" s="6"/>
      <c r="J16" s="6"/>
      <c r="K16" s="6"/>
      <c r="L16" s="6"/>
    </row>
    <row r="17" spans="1:12" ht="12.75" customHeight="1" x14ac:dyDescent="0.25">
      <c r="A17" s="6" t="s">
        <v>317</v>
      </c>
      <c r="B17" s="6"/>
      <c r="C17" s="6"/>
      <c r="D17" s="6"/>
      <c r="E17" s="6"/>
      <c r="F17" s="6"/>
      <c r="G17" s="6"/>
      <c r="H17" s="6"/>
      <c r="I17" s="6"/>
      <c r="J17" s="6"/>
      <c r="K17" s="6"/>
      <c r="L17" s="6"/>
    </row>
    <row r="18" spans="1:12" x14ac:dyDescent="0.25">
      <c r="A18" s="6"/>
      <c r="B18" s="6"/>
      <c r="C18" s="6"/>
      <c r="D18" s="6"/>
      <c r="E18" s="6"/>
      <c r="F18" s="6"/>
      <c r="G18" s="6"/>
      <c r="H18" s="6"/>
      <c r="I18" s="6"/>
      <c r="J18" s="6"/>
      <c r="K18" s="6"/>
      <c r="L18" s="6"/>
    </row>
    <row r="19" spans="1:12" ht="9.75" customHeight="1" x14ac:dyDescent="0.25">
      <c r="A19" s="6" t="s">
        <v>263</v>
      </c>
      <c r="B19" s="6"/>
      <c r="C19" s="6"/>
      <c r="D19" s="6"/>
      <c r="E19" s="6"/>
      <c r="F19" s="6"/>
      <c r="G19" s="6"/>
      <c r="H19" s="6"/>
      <c r="I19" s="6"/>
      <c r="J19" s="6"/>
      <c r="K19" s="6"/>
      <c r="L19" s="6"/>
    </row>
    <row r="20" spans="1:12" x14ac:dyDescent="0.25">
      <c r="A20" s="2"/>
    </row>
    <row r="24" spans="1:12" x14ac:dyDescent="0.25">
      <c r="D24" s="120"/>
    </row>
    <row r="26" spans="1:12" x14ac:dyDescent="0.25">
      <c r="C26" s="120"/>
      <c r="D26" s="141"/>
      <c r="E26" s="141"/>
      <c r="F26" s="141"/>
      <c r="G26" s="141"/>
      <c r="H26" s="141"/>
      <c r="I26" s="141"/>
      <c r="J26" s="141"/>
      <c r="K26" s="141"/>
      <c r="L26" s="141"/>
    </row>
    <row r="27" spans="1:12" x14ac:dyDescent="0.25">
      <c r="C27" s="120"/>
      <c r="D27" s="141"/>
      <c r="E27" s="141"/>
      <c r="F27" s="141"/>
      <c r="G27" s="141"/>
      <c r="H27" s="141"/>
      <c r="I27" s="141"/>
      <c r="J27" s="141"/>
      <c r="K27" s="141"/>
      <c r="L27" s="141"/>
    </row>
    <row r="28" spans="1:12" x14ac:dyDescent="0.25">
      <c r="D28" s="141"/>
      <c r="E28" s="141"/>
      <c r="F28" s="141"/>
      <c r="G28" s="141"/>
      <c r="H28" s="141"/>
      <c r="I28" s="141"/>
      <c r="J28" s="141"/>
      <c r="K28" s="141"/>
      <c r="L28" s="141"/>
    </row>
    <row r="29" spans="1:12" x14ac:dyDescent="0.25">
      <c r="D29" s="141"/>
      <c r="E29" s="141"/>
      <c r="F29" s="141"/>
      <c r="G29" s="141"/>
      <c r="H29" s="141"/>
      <c r="I29" s="141"/>
      <c r="J29" s="141"/>
      <c r="K29" s="141"/>
      <c r="L29" s="141"/>
    </row>
    <row r="30" spans="1:12" x14ac:dyDescent="0.25">
      <c r="D30" s="141"/>
      <c r="E30" s="141"/>
      <c r="F30" s="141"/>
      <c r="G30" s="141"/>
      <c r="H30" s="141"/>
      <c r="I30" s="141"/>
      <c r="J30" s="141"/>
      <c r="K30" s="141"/>
      <c r="L30" s="141"/>
    </row>
    <row r="31" spans="1:12" x14ac:dyDescent="0.25">
      <c r="D31" s="141"/>
      <c r="E31" s="141"/>
      <c r="F31" s="141"/>
      <c r="G31" s="141"/>
      <c r="H31" s="141"/>
      <c r="I31" s="141"/>
      <c r="J31" s="141"/>
      <c r="K31" s="141"/>
      <c r="L31" s="141"/>
    </row>
    <row r="46" spans="4:12" x14ac:dyDescent="0.25">
      <c r="D46" s="125"/>
      <c r="F46" s="125"/>
      <c r="L46" s="125"/>
    </row>
  </sheetData>
  <mergeCells count="2">
    <mergeCell ref="A14:L14"/>
    <mergeCell ref="A1:L1"/>
  </mergeCells>
  <pageMargins left="0.08" right="0.08" top="1" bottom="1" header="0.5" footer="0.5"/>
  <pageSetup orientation="landscape" blackAndWhite="1"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T32"/>
  <sheetViews>
    <sheetView zoomScaleNormal="100" workbookViewId="0">
      <selection sqref="A1:K1"/>
    </sheetView>
  </sheetViews>
  <sheetFormatPr defaultColWidth="9.140625" defaultRowHeight="15" x14ac:dyDescent="0.25"/>
  <cols>
    <col min="1" max="1" width="45.28515625" style="1" customWidth="1"/>
    <col min="2" max="2" width="11.42578125" style="1" bestFit="1" customWidth="1"/>
    <col min="3" max="3" width="10.42578125" style="1" customWidth="1"/>
    <col min="4" max="11" width="11.42578125" style="1" bestFit="1" customWidth="1"/>
    <col min="12" max="16384" width="9.140625" style="1"/>
  </cols>
  <sheetData>
    <row r="1" spans="1:20" ht="27.95" customHeight="1" x14ac:dyDescent="0.25">
      <c r="A1" s="185" t="s">
        <v>337</v>
      </c>
      <c r="B1" s="185"/>
      <c r="C1" s="185"/>
      <c r="D1" s="185"/>
      <c r="E1" s="185"/>
      <c r="F1" s="185"/>
      <c r="G1" s="185"/>
      <c r="H1" s="185"/>
      <c r="I1" s="185"/>
      <c r="J1" s="185"/>
      <c r="K1" s="185"/>
    </row>
    <row r="2" spans="1:20" ht="3" customHeight="1" x14ac:dyDescent="0.25">
      <c r="A2" s="2"/>
    </row>
    <row r="3" spans="1:20" x14ac:dyDescent="0.25">
      <c r="A3" s="31" t="s">
        <v>156</v>
      </c>
      <c r="B3" s="3" t="s">
        <v>0</v>
      </c>
      <c r="C3" s="3" t="s">
        <v>1</v>
      </c>
      <c r="D3" s="3" t="s">
        <v>2</v>
      </c>
      <c r="E3" s="3" t="s">
        <v>3</v>
      </c>
      <c r="F3" s="3" t="s">
        <v>4</v>
      </c>
      <c r="G3" s="3" t="s">
        <v>5</v>
      </c>
      <c r="H3" s="3" t="s">
        <v>6</v>
      </c>
      <c r="I3" s="3" t="s">
        <v>7</v>
      </c>
      <c r="J3" s="3" t="s">
        <v>8</v>
      </c>
    </row>
    <row r="4" spans="1:20" x14ac:dyDescent="0.25">
      <c r="A4" s="23" t="s">
        <v>155</v>
      </c>
      <c r="B4" s="13">
        <v>7</v>
      </c>
      <c r="C4" s="56" t="s">
        <v>109</v>
      </c>
      <c r="D4" s="13">
        <v>15</v>
      </c>
      <c r="E4" s="13">
        <v>10</v>
      </c>
      <c r="F4" s="13">
        <v>1</v>
      </c>
      <c r="G4" s="56" t="s">
        <v>109</v>
      </c>
      <c r="H4" s="56" t="s">
        <v>109</v>
      </c>
      <c r="I4" s="13" t="s">
        <v>114</v>
      </c>
      <c r="J4" s="13">
        <v>33</v>
      </c>
      <c r="L4" s="13"/>
      <c r="M4" s="13"/>
      <c r="N4" s="13"/>
      <c r="O4" s="13"/>
      <c r="P4" s="13"/>
      <c r="Q4" s="13"/>
      <c r="R4" s="13"/>
      <c r="S4" s="13"/>
      <c r="T4" s="13"/>
    </row>
    <row r="5" spans="1:20" x14ac:dyDescent="0.25">
      <c r="A5" s="4" t="s">
        <v>78</v>
      </c>
      <c r="B5" s="13">
        <v>10</v>
      </c>
      <c r="C5" s="56" t="s">
        <v>109</v>
      </c>
      <c r="D5" s="13">
        <v>73</v>
      </c>
      <c r="E5" s="13">
        <v>48</v>
      </c>
      <c r="F5" s="8" t="s">
        <v>116</v>
      </c>
      <c r="G5" s="13" t="s">
        <v>109</v>
      </c>
      <c r="H5" s="8" t="s">
        <v>116</v>
      </c>
      <c r="I5" s="13" t="s">
        <v>114</v>
      </c>
      <c r="J5" s="13">
        <v>153</v>
      </c>
      <c r="L5" s="13"/>
      <c r="M5" s="13"/>
      <c r="N5" s="13"/>
      <c r="O5" s="13"/>
      <c r="P5" s="13"/>
      <c r="Q5" s="13"/>
      <c r="R5" s="13"/>
      <c r="S5" s="13"/>
      <c r="T5" s="13"/>
    </row>
    <row r="6" spans="1:20" x14ac:dyDescent="0.25">
      <c r="A6" s="4" t="s">
        <v>79</v>
      </c>
      <c r="B6" s="13">
        <v>24</v>
      </c>
      <c r="C6" s="56" t="s">
        <v>109</v>
      </c>
      <c r="D6" s="13">
        <v>64</v>
      </c>
      <c r="E6" s="13">
        <v>27</v>
      </c>
      <c r="F6" s="13">
        <v>15</v>
      </c>
      <c r="G6" s="8" t="s">
        <v>116</v>
      </c>
      <c r="H6" s="8" t="s">
        <v>116</v>
      </c>
      <c r="I6" s="13" t="s">
        <v>114</v>
      </c>
      <c r="J6" s="13">
        <v>132</v>
      </c>
      <c r="L6" s="13"/>
      <c r="M6" s="13"/>
      <c r="N6" s="13"/>
      <c r="O6" s="13"/>
      <c r="P6" s="13"/>
      <c r="Q6" s="13"/>
      <c r="R6" s="13"/>
      <c r="S6" s="13"/>
      <c r="T6" s="13"/>
    </row>
    <row r="7" spans="1:20" x14ac:dyDescent="0.25">
      <c r="A7" s="4" t="s">
        <v>80</v>
      </c>
      <c r="B7" s="13">
        <v>9</v>
      </c>
      <c r="C7" s="56" t="s">
        <v>109</v>
      </c>
      <c r="D7" s="13">
        <v>15</v>
      </c>
      <c r="E7" s="13">
        <v>12</v>
      </c>
      <c r="F7" s="13">
        <v>2</v>
      </c>
      <c r="G7" s="56" t="s">
        <v>109</v>
      </c>
      <c r="H7" s="56" t="s">
        <v>109</v>
      </c>
      <c r="I7" s="13" t="s">
        <v>114</v>
      </c>
      <c r="J7" s="13">
        <v>38</v>
      </c>
      <c r="L7" s="13"/>
      <c r="M7" s="13"/>
      <c r="N7" s="13"/>
      <c r="O7" s="13"/>
      <c r="P7" s="13"/>
      <c r="Q7" s="13"/>
      <c r="R7" s="13"/>
      <c r="S7" s="13"/>
      <c r="T7" s="13"/>
    </row>
    <row r="8" spans="1:20" x14ac:dyDescent="0.25">
      <c r="A8" s="4" t="s">
        <v>81</v>
      </c>
      <c r="B8" s="13">
        <v>19</v>
      </c>
      <c r="C8" s="56" t="s">
        <v>109</v>
      </c>
      <c r="D8" s="13">
        <v>20</v>
      </c>
      <c r="E8" s="13">
        <v>16</v>
      </c>
      <c r="F8" s="8" t="s">
        <v>116</v>
      </c>
      <c r="G8" s="8" t="s">
        <v>116</v>
      </c>
      <c r="H8" s="8" t="s">
        <v>116</v>
      </c>
      <c r="I8" s="13" t="s">
        <v>114</v>
      </c>
      <c r="J8" s="13">
        <v>86</v>
      </c>
      <c r="L8" s="13"/>
      <c r="M8" s="13"/>
      <c r="N8" s="13"/>
      <c r="O8" s="13"/>
      <c r="P8" s="13"/>
      <c r="Q8" s="13"/>
      <c r="R8" s="13"/>
      <c r="S8" s="13"/>
      <c r="T8" s="13"/>
    </row>
    <row r="9" spans="1:20" x14ac:dyDescent="0.25">
      <c r="A9" s="58" t="s">
        <v>160</v>
      </c>
      <c r="B9" s="101">
        <v>69</v>
      </c>
      <c r="C9" s="101" t="s">
        <v>109</v>
      </c>
      <c r="D9" s="101">
        <v>187</v>
      </c>
      <c r="E9" s="101">
        <v>113</v>
      </c>
      <c r="F9" s="101">
        <v>43</v>
      </c>
      <c r="G9" s="101">
        <v>24</v>
      </c>
      <c r="H9" s="101">
        <v>6</v>
      </c>
      <c r="I9" s="101" t="s">
        <v>114</v>
      </c>
      <c r="J9" s="101">
        <v>442</v>
      </c>
      <c r="L9" s="101"/>
      <c r="M9" s="101"/>
      <c r="N9" s="101"/>
      <c r="O9" s="101"/>
      <c r="P9" s="101"/>
      <c r="Q9" s="101"/>
      <c r="R9" s="101"/>
      <c r="S9" s="101"/>
      <c r="T9" s="101"/>
    </row>
    <row r="10" spans="1:20" x14ac:dyDescent="0.25">
      <c r="A10" s="58" t="s">
        <v>161</v>
      </c>
      <c r="B10" s="101">
        <v>96</v>
      </c>
      <c r="C10" s="101" t="s">
        <v>109</v>
      </c>
      <c r="D10" s="101">
        <v>316</v>
      </c>
      <c r="E10" s="101">
        <v>182</v>
      </c>
      <c r="F10" s="101">
        <v>56</v>
      </c>
      <c r="G10" s="101">
        <v>36</v>
      </c>
      <c r="H10" s="101">
        <v>7</v>
      </c>
      <c r="I10" s="101" t="s">
        <v>114</v>
      </c>
      <c r="J10" s="101">
        <v>693</v>
      </c>
      <c r="L10" s="101"/>
      <c r="M10" s="101"/>
      <c r="N10" s="101"/>
      <c r="O10" s="101"/>
      <c r="P10" s="101"/>
      <c r="Q10" s="101"/>
      <c r="R10" s="101"/>
      <c r="S10" s="101"/>
      <c r="T10" s="101"/>
    </row>
    <row r="11" spans="1:20" ht="4.5" customHeight="1" x14ac:dyDescent="0.25">
      <c r="A11" s="59"/>
      <c r="B11" s="80"/>
      <c r="C11" s="80"/>
      <c r="D11" s="80"/>
      <c r="E11" s="80"/>
      <c r="F11" s="80"/>
      <c r="G11" s="80"/>
      <c r="H11" s="80"/>
      <c r="I11" s="102"/>
      <c r="J11" s="101"/>
      <c r="K11" s="1" t="str">
        <f t="shared" ref="K11" si="0">IF(B11=0,"-",B11)</f>
        <v>-</v>
      </c>
    </row>
    <row r="12" spans="1:20" ht="12.75" customHeight="1" x14ac:dyDescent="0.25">
      <c r="A12" s="6" t="s">
        <v>213</v>
      </c>
      <c r="B12" s="102"/>
      <c r="C12" s="102"/>
      <c r="D12" s="102"/>
      <c r="E12" s="102"/>
      <c r="F12" s="102"/>
      <c r="G12" s="102"/>
      <c r="H12" s="102"/>
      <c r="I12" s="150"/>
      <c r="J12" s="91"/>
    </row>
    <row r="13" spans="1:20" ht="12.75" customHeight="1" x14ac:dyDescent="0.25">
      <c r="A13" s="192" t="s">
        <v>23</v>
      </c>
      <c r="B13" s="192"/>
      <c r="C13" s="192"/>
      <c r="D13" s="192"/>
      <c r="E13" s="192"/>
      <c r="F13" s="192"/>
      <c r="G13" s="192"/>
      <c r="H13" s="192"/>
      <c r="I13" s="192"/>
      <c r="J13" s="192"/>
      <c r="K13" s="192"/>
    </row>
    <row r="14" spans="1:20" ht="12.75" customHeight="1" x14ac:dyDescent="0.25">
      <c r="A14" s="6" t="s">
        <v>76</v>
      </c>
      <c r="B14" s="6"/>
      <c r="C14" s="6"/>
      <c r="D14" s="6"/>
      <c r="E14" s="6"/>
      <c r="F14" s="6"/>
      <c r="G14" s="6"/>
      <c r="H14" s="6"/>
      <c r="I14" s="6"/>
      <c r="J14" s="6"/>
      <c r="K14" s="6"/>
    </row>
    <row r="15" spans="1:20" ht="10.5" customHeight="1" x14ac:dyDescent="0.25">
      <c r="A15" s="6" t="s">
        <v>77</v>
      </c>
      <c r="B15" s="6"/>
      <c r="C15" s="6"/>
      <c r="D15" s="6"/>
      <c r="E15" s="6"/>
      <c r="F15" s="6"/>
      <c r="G15" s="6"/>
      <c r="H15" s="6"/>
      <c r="I15" s="6"/>
      <c r="J15" s="6"/>
      <c r="K15" s="6"/>
    </row>
    <row r="16" spans="1:20" ht="10.5" customHeight="1" x14ac:dyDescent="0.25">
      <c r="A16" s="6" t="s">
        <v>317</v>
      </c>
      <c r="B16" s="6"/>
      <c r="C16" s="6"/>
      <c r="D16" s="6"/>
      <c r="E16" s="6"/>
      <c r="F16" s="6"/>
      <c r="G16" s="6"/>
      <c r="H16" s="6"/>
      <c r="I16" s="6"/>
      <c r="J16" s="6"/>
      <c r="K16" s="6"/>
    </row>
    <row r="17" spans="1:11" x14ac:dyDescent="0.25">
      <c r="A17" s="6"/>
      <c r="B17" s="6"/>
      <c r="C17" s="6"/>
      <c r="D17" s="6"/>
      <c r="E17" s="6"/>
      <c r="F17" s="6"/>
      <c r="G17" s="6"/>
      <c r="H17" s="6"/>
      <c r="I17" s="6"/>
      <c r="J17" s="6"/>
      <c r="K17" s="6"/>
    </row>
    <row r="18" spans="1:11" x14ac:dyDescent="0.25">
      <c r="A18" s="6" t="s">
        <v>263</v>
      </c>
      <c r="B18" s="6"/>
      <c r="C18" s="6"/>
      <c r="D18" s="6"/>
      <c r="E18" s="6"/>
      <c r="F18" s="6"/>
      <c r="G18" s="134"/>
      <c r="H18" s="6"/>
      <c r="I18" s="6"/>
      <c r="J18" s="6"/>
      <c r="K18" s="6"/>
    </row>
    <row r="19" spans="1:11" x14ac:dyDescent="0.25">
      <c r="B19" s="75"/>
      <c r="C19" s="75"/>
      <c r="D19" s="75"/>
      <c r="E19" s="75"/>
      <c r="F19" s="75"/>
      <c r="G19" s="75"/>
      <c r="H19" s="75"/>
      <c r="I19" s="75"/>
    </row>
    <row r="25" spans="1:11" x14ac:dyDescent="0.25">
      <c r="C25" s="120"/>
    </row>
    <row r="27" spans="1:11" x14ac:dyDescent="0.25">
      <c r="D27" s="141"/>
      <c r="E27" s="141"/>
      <c r="F27" s="141"/>
      <c r="G27" s="141"/>
      <c r="H27" s="141"/>
      <c r="I27" s="141"/>
      <c r="J27" s="141"/>
      <c r="K27" s="141"/>
    </row>
    <row r="28" spans="1:11" x14ac:dyDescent="0.25">
      <c r="D28" s="141"/>
      <c r="E28" s="141"/>
      <c r="F28" s="141"/>
      <c r="G28" s="141"/>
      <c r="H28" s="141"/>
      <c r="I28" s="141"/>
      <c r="J28" s="141"/>
      <c r="K28" s="141"/>
    </row>
    <row r="29" spans="1:11" x14ac:dyDescent="0.25">
      <c r="D29" s="141"/>
      <c r="E29" s="141"/>
      <c r="F29" s="141"/>
      <c r="G29" s="141"/>
      <c r="H29" s="141"/>
      <c r="I29" s="141"/>
      <c r="J29" s="141"/>
      <c r="K29" s="141"/>
    </row>
    <row r="30" spans="1:11" x14ac:dyDescent="0.25">
      <c r="D30" s="141"/>
      <c r="E30" s="141"/>
      <c r="F30" s="141"/>
      <c r="G30" s="141"/>
      <c r="H30" s="141"/>
      <c r="I30" s="141"/>
      <c r="J30" s="141"/>
      <c r="K30" s="141"/>
    </row>
    <row r="31" spans="1:11" x14ac:dyDescent="0.25">
      <c r="D31" s="141"/>
      <c r="E31" s="141"/>
      <c r="F31" s="141"/>
      <c r="G31" s="141"/>
      <c r="H31" s="141"/>
      <c r="I31" s="141"/>
      <c r="J31" s="141"/>
      <c r="K31" s="141"/>
    </row>
    <row r="32" spans="1:11" x14ac:dyDescent="0.25">
      <c r="D32" s="141"/>
      <c r="E32" s="141"/>
      <c r="F32" s="141"/>
      <c r="G32" s="141"/>
      <c r="H32" s="141"/>
      <c r="I32" s="141"/>
      <c r="J32" s="141"/>
      <c r="K32" s="141"/>
    </row>
  </sheetData>
  <mergeCells count="2">
    <mergeCell ref="A13:K13"/>
    <mergeCell ref="A1:K1"/>
  </mergeCells>
  <pageMargins left="0.08" right="0.08" top="1" bottom="1" header="0.5" footer="0.5"/>
  <pageSetup orientation="landscape" blackAndWhite="1"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f3f4cf65-69e8-4317-9b9f-5948cc4bd257"/>
    <AIHW_PPR_Checksum xmlns="f3f4cf65-69e8-4317-9b9f-5948cc4bd257" xsi:nil="true"/>
    <AIHW_PPR_AnalysisFileRunBy xmlns="f3f4cf65-69e8-4317-9b9f-5948cc4bd257">
      <UserInfo>
        <DisplayName/>
        <AccountId xsi:nil="true"/>
        <AccountType/>
      </UserInfo>
    </AIHW_PPR_AnalysisFileRunBy>
    <AIHW_PPR_AnalysisFilePath xmlns="f3f4cf65-69e8-4317-9b9f-5948cc4bd257" xsi:nil="true"/>
    <AIHW_PPR_AnalysisFileVersion xmlns="f3f4cf65-69e8-4317-9b9f-5948cc4bd257" xsi:nil="true"/>
    <AIHW_PPR_AnalysisFileRunDate xmlns="f3f4cf65-69e8-4317-9b9f-5948cc4bd257" xsi:nil="true"/>
    <AIHW_PPR_AnalysisFileSessionId xmlns="f3f4cf65-69e8-4317-9b9f-5948cc4bd25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051E28ABE109934E8EA3D483DBEDA3FE" ma:contentTypeVersion="1" ma:contentTypeDescription="Create a new data object document." ma:contentTypeScope="" ma:versionID="caf4e9fcbb7e1d35ec9b882f3779a9ff">
  <xsd:schema xmlns:xsd="http://www.w3.org/2001/XMLSchema" xmlns:xs="http://www.w3.org/2001/XMLSchema" xmlns:p="http://schemas.microsoft.com/office/2006/metadata/properties" xmlns:ns2="f3f4cf65-69e8-4317-9b9f-5948cc4bd257" targetNamespace="http://schemas.microsoft.com/office/2006/metadata/properties" ma:root="true" ma:fieldsID="53752c5a13bab9259417d183a7287b68" ns2:_="">
    <xsd:import namespace="f3f4cf65-69e8-4317-9b9f-5948cc4bd257"/>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f4cf65-69e8-4317-9b9f-5948cc4bd257"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55a84455-29a1-4e7a-a3a1-ba55714ba46b}" ma:internalName="AIHW_PPR_ProjectCategoryLookup" ma:showField="Title" ma:web="{f3f4cf65-69e8-4317-9b9f-5948cc4bd257}">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B58F52-A8D9-4F6A-9908-DB5089BAFA43}">
  <ds:schemaRefs>
    <ds:schemaRef ds:uri="http://schemas.microsoft.com/sharepoint/v3/contenttype/forms"/>
  </ds:schemaRefs>
</ds:datastoreItem>
</file>

<file path=customXml/itemProps2.xml><?xml version="1.0" encoding="utf-8"?>
<ds:datastoreItem xmlns:ds="http://schemas.openxmlformats.org/officeDocument/2006/customXml" ds:itemID="{B1C83B73-1B47-4CA7-A41E-474BEB6CA9B9}">
  <ds:schemaRefs>
    <ds:schemaRef ds:uri="http://schemas.microsoft.com/office/infopath/2007/PartnerControls"/>
    <ds:schemaRef ds:uri="http://schemas.openxmlformats.org/package/2006/metadata/core-properties"/>
    <ds:schemaRef ds:uri="f3f4cf65-69e8-4317-9b9f-5948cc4bd257"/>
    <ds:schemaRef ds:uri="http://www.w3.org/XML/1998/namespace"/>
    <ds:schemaRef ds:uri="http://purl.org/dc/terms/"/>
    <ds:schemaRef ds:uri="http://schemas.microsoft.com/office/2006/documentManagement/types"/>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89CC5A84-6F65-4E00-8743-8524E6EFB7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f4cf65-69e8-4317-9b9f-5948cc4bd2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Contents</vt:lpstr>
      <vt:lpstr>Notes and symbols</vt:lpstr>
      <vt:lpstr>Table S34</vt:lpstr>
      <vt:lpstr>Table S35</vt:lpstr>
      <vt:lpstr>Table S36</vt:lpstr>
      <vt:lpstr>Table S37</vt:lpstr>
      <vt:lpstr>Table S38</vt:lpstr>
      <vt:lpstr>Table S39</vt:lpstr>
      <vt:lpstr>Table S40</vt:lpstr>
      <vt:lpstr>Table S41</vt:lpstr>
      <vt:lpstr>Table S42</vt:lpstr>
      <vt:lpstr>Table S43</vt:lpstr>
      <vt:lpstr>Table S44</vt:lpstr>
      <vt:lpstr>Table S45</vt:lpstr>
      <vt:lpstr>Table S46</vt:lpstr>
      <vt:lpstr>Table S47</vt:lpstr>
      <vt:lpstr>Table S48</vt:lpstr>
      <vt:lpstr>Table S49</vt:lpstr>
      <vt:lpstr>Table S50</vt:lpstr>
      <vt:lpstr>Table S51</vt:lpstr>
      <vt:lpstr>Table S52</vt:lpstr>
      <vt:lpstr>Table S53</vt:lpstr>
      <vt:lpstr>Table S54</vt:lpstr>
      <vt:lpstr>Table S55</vt:lpstr>
      <vt:lpstr>Table S56</vt:lpstr>
      <vt:lpstr>Table S57</vt:lpstr>
      <vt:lpstr>Table S58</vt:lpstr>
      <vt:lpstr>Table S59</vt:lpstr>
      <vt:lpstr>Table S60</vt:lpstr>
      <vt:lpstr>Table S61</vt:lpstr>
      <vt:lpstr>Table S62</vt:lpstr>
      <vt:lpstr>Table S63</vt:lpstr>
      <vt:lpstr>Table S64</vt:lpstr>
      <vt:lpstr>Table S65</vt:lpstr>
      <vt:lpstr>Table S66</vt:lpstr>
      <vt:lpstr>Table S67</vt:lpstr>
      <vt:lpstr>Table S68</vt:lpstr>
      <vt:lpstr>Table S69</vt:lpstr>
      <vt:lpstr>Table S70</vt:lpstr>
      <vt:lpstr>Table S71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tables—Characteristics of young people under community-based supervision: S34 to S71</dc:title>
  <dc:creator>AIHW</dc:creator>
  <dcterms:created xsi:type="dcterms:W3CDTF">2023-10-03T03:36:25Z</dcterms:created>
  <dcterms:modified xsi:type="dcterms:W3CDTF">2026-05-12T01:47:42Z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0x010100B4A1F787F0C441AC878A307E051D262E00226E8B188E214B8AB06D165B586CEFC300051E28ABE109934E8EA3D483DBEDA3FE</vt:lpwstr>
  </property>
  <property fmtid="{D5CDD505-2E9C-101B-9397-08002B2CF9AE}" pid="3" name="SharedWithUsers">
    <vt:lpwstr>11462;#Crowhurst, Sina</vt:lpwstr>
  </property>
</Properties>
</file>