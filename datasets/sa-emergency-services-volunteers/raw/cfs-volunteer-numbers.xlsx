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CFS Vol #s" sheetId="1" r:id="rId1"/>
  </sheets>
  <calcPr calcId="145621"/>
</workbook>
</file>

<file path=xl/calcChain.xml><?xml version="1.0" encoding="utf-8"?>
<calcChain xmlns="http://schemas.openxmlformats.org/spreadsheetml/2006/main">
  <c r="Q59" i="1" l="1"/>
  <c r="P59" i="1"/>
  <c r="M59" i="1"/>
  <c r="L59" i="1"/>
  <c r="I59" i="1"/>
  <c r="H59" i="1"/>
  <c r="E59" i="1"/>
  <c r="D59" i="1"/>
  <c r="Q58" i="1"/>
  <c r="P58" i="1"/>
  <c r="M58" i="1"/>
  <c r="L58" i="1"/>
  <c r="I58" i="1"/>
  <c r="H58" i="1"/>
  <c r="E58" i="1"/>
  <c r="D58" i="1"/>
  <c r="Q57" i="1"/>
  <c r="P57" i="1"/>
  <c r="M57" i="1"/>
  <c r="L57" i="1"/>
  <c r="I57" i="1"/>
  <c r="H57" i="1"/>
  <c r="E57" i="1"/>
  <c r="D57" i="1"/>
  <c r="Q56" i="1"/>
  <c r="P56" i="1"/>
  <c r="M56" i="1"/>
  <c r="L56" i="1"/>
  <c r="I56" i="1"/>
  <c r="H56" i="1"/>
  <c r="E56" i="1"/>
  <c r="D56" i="1"/>
  <c r="Q55" i="1"/>
  <c r="P55" i="1"/>
  <c r="M55" i="1"/>
  <c r="L55" i="1"/>
  <c r="I55" i="1"/>
  <c r="H55" i="1"/>
  <c r="E55" i="1"/>
  <c r="D55" i="1"/>
  <c r="Q54" i="1"/>
  <c r="P54" i="1"/>
  <c r="M54" i="1"/>
  <c r="L54" i="1"/>
  <c r="I54" i="1"/>
  <c r="H54" i="1"/>
  <c r="E54" i="1"/>
  <c r="D54" i="1"/>
  <c r="Q53" i="1"/>
  <c r="P53" i="1"/>
  <c r="M53" i="1"/>
  <c r="L53" i="1"/>
  <c r="I53" i="1"/>
  <c r="H53" i="1"/>
  <c r="E53" i="1"/>
  <c r="D53" i="1"/>
  <c r="Q52" i="1"/>
  <c r="P52" i="1"/>
  <c r="L52" i="1"/>
  <c r="I52" i="1"/>
  <c r="H52" i="1"/>
  <c r="E52" i="1"/>
  <c r="D52" i="1"/>
  <c r="Q51" i="1"/>
  <c r="P51" i="1"/>
  <c r="L51" i="1"/>
  <c r="I51" i="1"/>
  <c r="H51" i="1"/>
  <c r="E51" i="1"/>
  <c r="D51" i="1"/>
  <c r="K47" i="1"/>
  <c r="L47" i="1" s="1"/>
  <c r="J47" i="1"/>
  <c r="M47" i="1" s="1"/>
  <c r="G47" i="1"/>
  <c r="H47" i="1" s="1"/>
  <c r="F47" i="1"/>
  <c r="I47" i="1" s="1"/>
  <c r="C47" i="1"/>
  <c r="O47" i="1" s="1"/>
  <c r="B47" i="1"/>
  <c r="N47" i="1" s="1"/>
  <c r="O46" i="1"/>
  <c r="P46" i="1" s="1"/>
  <c r="N46" i="1"/>
  <c r="Q46" i="1" s="1"/>
  <c r="M46" i="1"/>
  <c r="L46" i="1"/>
  <c r="I46" i="1"/>
  <c r="H46" i="1"/>
  <c r="E46" i="1"/>
  <c r="D46" i="1"/>
  <c r="P45" i="1"/>
  <c r="O45" i="1"/>
  <c r="Q45" i="1" s="1"/>
  <c r="N45" i="1"/>
  <c r="M45" i="1"/>
  <c r="L45" i="1"/>
  <c r="I45" i="1"/>
  <c r="H45" i="1"/>
  <c r="E45" i="1"/>
  <c r="D45" i="1"/>
  <c r="O44" i="1"/>
  <c r="P44" i="1" s="1"/>
  <c r="N44" i="1"/>
  <c r="Q44" i="1" s="1"/>
  <c r="M44" i="1"/>
  <c r="L44" i="1"/>
  <c r="I44" i="1"/>
  <c r="H44" i="1"/>
  <c r="E44" i="1"/>
  <c r="D44" i="1"/>
  <c r="P43" i="1"/>
  <c r="O43" i="1"/>
  <c r="Q43" i="1" s="1"/>
  <c r="N43" i="1"/>
  <c r="M43" i="1"/>
  <c r="L43" i="1"/>
  <c r="I43" i="1"/>
  <c r="H43" i="1"/>
  <c r="E43" i="1"/>
  <c r="D43" i="1"/>
  <c r="O42" i="1"/>
  <c r="P42" i="1" s="1"/>
  <c r="N42" i="1"/>
  <c r="Q42" i="1" s="1"/>
  <c r="M42" i="1"/>
  <c r="L42" i="1"/>
  <c r="I42" i="1"/>
  <c r="H42" i="1"/>
  <c r="E42" i="1"/>
  <c r="D42" i="1"/>
  <c r="P41" i="1"/>
  <c r="O41" i="1"/>
  <c r="Q41" i="1" s="1"/>
  <c r="N41" i="1"/>
  <c r="M41" i="1"/>
  <c r="L41" i="1"/>
  <c r="I41" i="1"/>
  <c r="H41" i="1"/>
  <c r="E41" i="1"/>
  <c r="D41" i="1"/>
  <c r="O40" i="1"/>
  <c r="P40" i="1" s="1"/>
  <c r="N40" i="1"/>
  <c r="Q40" i="1" s="1"/>
  <c r="L40" i="1"/>
  <c r="H40" i="1"/>
  <c r="E40" i="1"/>
  <c r="D40" i="1"/>
  <c r="O39" i="1"/>
  <c r="P39" i="1" s="1"/>
  <c r="N39" i="1"/>
  <c r="Q39" i="1" s="1"/>
  <c r="L39" i="1"/>
  <c r="I39" i="1"/>
  <c r="H39" i="1"/>
  <c r="E39" i="1"/>
  <c r="D39" i="1"/>
  <c r="K35" i="1"/>
  <c r="L35" i="1" s="1"/>
  <c r="J35" i="1"/>
  <c r="G35" i="1"/>
  <c r="H35" i="1" s="1"/>
  <c r="F35" i="1"/>
  <c r="C35" i="1"/>
  <c r="D35" i="1" s="1"/>
  <c r="B35" i="1"/>
  <c r="N35" i="1" s="1"/>
  <c r="O34" i="1"/>
  <c r="P34" i="1" s="1"/>
  <c r="N34" i="1"/>
  <c r="M34" i="1"/>
  <c r="L34" i="1"/>
  <c r="I34" i="1"/>
  <c r="H34" i="1"/>
  <c r="E34" i="1"/>
  <c r="D34" i="1"/>
  <c r="Q33" i="1"/>
  <c r="P33" i="1"/>
  <c r="O33" i="1"/>
  <c r="N33" i="1"/>
  <c r="M33" i="1"/>
  <c r="L33" i="1"/>
  <c r="I33" i="1"/>
  <c r="H33" i="1"/>
  <c r="E33" i="1"/>
  <c r="D33" i="1"/>
  <c r="O32" i="1"/>
  <c r="P32" i="1" s="1"/>
  <c r="N32" i="1"/>
  <c r="M32" i="1"/>
  <c r="L32" i="1"/>
  <c r="I32" i="1"/>
  <c r="H32" i="1"/>
  <c r="E32" i="1"/>
  <c r="D32" i="1"/>
  <c r="Q31" i="1"/>
  <c r="P31" i="1"/>
  <c r="O31" i="1"/>
  <c r="N31" i="1"/>
  <c r="M31" i="1"/>
  <c r="L31" i="1"/>
  <c r="I31" i="1"/>
  <c r="H31" i="1"/>
  <c r="E31" i="1"/>
  <c r="D31" i="1"/>
  <c r="O30" i="1"/>
  <c r="P30" i="1" s="1"/>
  <c r="N30" i="1"/>
  <c r="M30" i="1"/>
  <c r="L30" i="1"/>
  <c r="I30" i="1"/>
  <c r="H30" i="1"/>
  <c r="E30" i="1"/>
  <c r="D30" i="1"/>
  <c r="Q29" i="1"/>
  <c r="P29" i="1"/>
  <c r="O29" i="1"/>
  <c r="N29" i="1"/>
  <c r="M29" i="1"/>
  <c r="L29" i="1"/>
  <c r="I29" i="1"/>
  <c r="H29" i="1"/>
  <c r="E29" i="1"/>
  <c r="D29" i="1"/>
  <c r="O28" i="1"/>
  <c r="P28" i="1" s="1"/>
  <c r="N28" i="1"/>
  <c r="L28" i="1"/>
  <c r="I28" i="1"/>
  <c r="H28" i="1"/>
  <c r="E28" i="1"/>
  <c r="D28" i="1"/>
  <c r="P27" i="1"/>
  <c r="O27" i="1"/>
  <c r="Q27" i="1" s="1"/>
  <c r="N27" i="1"/>
  <c r="L27" i="1"/>
  <c r="I27" i="1"/>
  <c r="H27" i="1"/>
  <c r="E27" i="1"/>
  <c r="D27" i="1"/>
  <c r="J23" i="1"/>
  <c r="M23" i="1" s="1"/>
  <c r="I23" i="1"/>
  <c r="F23" i="1"/>
  <c r="N23" i="1" s="1"/>
  <c r="Q23" i="1" s="1"/>
  <c r="B23" i="1"/>
  <c r="E23" i="1" s="1"/>
  <c r="Q22" i="1"/>
  <c r="N22" i="1"/>
  <c r="M22" i="1"/>
  <c r="I22" i="1"/>
  <c r="E22" i="1"/>
  <c r="Q21" i="1"/>
  <c r="N21" i="1"/>
  <c r="M21" i="1"/>
  <c r="I21" i="1"/>
  <c r="E21" i="1"/>
  <c r="N20" i="1"/>
  <c r="Q20" i="1" s="1"/>
  <c r="M20" i="1"/>
  <c r="I20" i="1"/>
  <c r="E20" i="1"/>
  <c r="N19" i="1"/>
  <c r="Q19" i="1" s="1"/>
  <c r="M19" i="1"/>
  <c r="I19" i="1"/>
  <c r="E19" i="1"/>
  <c r="Q18" i="1"/>
  <c r="N18" i="1"/>
  <c r="M18" i="1"/>
  <c r="I18" i="1"/>
  <c r="E18" i="1"/>
  <c r="Q17" i="1"/>
  <c r="N17" i="1"/>
  <c r="M17" i="1"/>
  <c r="I17" i="1"/>
  <c r="E17" i="1"/>
  <c r="N16" i="1"/>
  <c r="Q16" i="1" s="1"/>
  <c r="I16" i="1"/>
  <c r="E16" i="1"/>
  <c r="N15" i="1"/>
  <c r="Q15" i="1" s="1"/>
  <c r="I15" i="1"/>
  <c r="E15" i="1"/>
  <c r="Q11" i="1"/>
  <c r="P11" i="1"/>
  <c r="M11" i="1"/>
  <c r="L11" i="1"/>
  <c r="I11" i="1"/>
  <c r="H11" i="1"/>
  <c r="E11" i="1"/>
  <c r="D11" i="1"/>
  <c r="Q10" i="1"/>
  <c r="P10" i="1"/>
  <c r="M10" i="1"/>
  <c r="L10" i="1"/>
  <c r="I10" i="1"/>
  <c r="H10" i="1"/>
  <c r="E10" i="1"/>
  <c r="D10" i="1"/>
  <c r="Q9" i="1"/>
  <c r="P9" i="1"/>
  <c r="M9" i="1"/>
  <c r="L9" i="1"/>
  <c r="I9" i="1"/>
  <c r="H9" i="1"/>
  <c r="E9" i="1"/>
  <c r="D9" i="1"/>
  <c r="Q8" i="1"/>
  <c r="P8" i="1"/>
  <c r="M8" i="1"/>
  <c r="L8" i="1"/>
  <c r="I8" i="1"/>
  <c r="H8" i="1"/>
  <c r="E8" i="1"/>
  <c r="D8" i="1"/>
  <c r="Q7" i="1"/>
  <c r="P7" i="1"/>
  <c r="M7" i="1"/>
  <c r="L7" i="1"/>
  <c r="I7" i="1"/>
  <c r="H7" i="1"/>
  <c r="E7" i="1"/>
  <c r="D7" i="1"/>
  <c r="Q6" i="1"/>
  <c r="P6" i="1"/>
  <c r="M6" i="1"/>
  <c r="L6" i="1"/>
  <c r="I6" i="1"/>
  <c r="H6" i="1"/>
  <c r="E6" i="1"/>
  <c r="D6" i="1"/>
  <c r="Q5" i="1"/>
  <c r="P5" i="1"/>
  <c r="M5" i="1"/>
  <c r="L5" i="1"/>
  <c r="I5" i="1"/>
  <c r="H5" i="1"/>
  <c r="E5" i="1"/>
  <c r="D5" i="1"/>
  <c r="Q4" i="1"/>
  <c r="P4" i="1"/>
  <c r="L4" i="1"/>
  <c r="I4" i="1"/>
  <c r="H4" i="1"/>
  <c r="E4" i="1"/>
  <c r="D4" i="1"/>
  <c r="Q3" i="1"/>
  <c r="P3" i="1"/>
  <c r="L3" i="1"/>
  <c r="I3" i="1"/>
  <c r="H3" i="1"/>
  <c r="E3" i="1"/>
  <c r="D3" i="1"/>
  <c r="Q47" i="1" l="1"/>
  <c r="P47" i="1"/>
  <c r="Q28" i="1"/>
  <c r="Q30" i="1"/>
  <c r="Q32" i="1"/>
  <c r="Q34" i="1"/>
  <c r="E35" i="1"/>
  <c r="I35" i="1"/>
  <c r="M35" i="1"/>
  <c r="D47" i="1"/>
  <c r="E47" i="1"/>
  <c r="O35" i="1"/>
  <c r="P35" i="1" l="1"/>
  <c r="Q35" i="1"/>
</calcChain>
</file>

<file path=xl/sharedStrings.xml><?xml version="1.0" encoding="utf-8"?>
<sst xmlns="http://schemas.openxmlformats.org/spreadsheetml/2006/main" count="80" uniqueCount="10">
  <si>
    <t>Region</t>
  </si>
  <si>
    <t>Fire Fighters</t>
  </si>
  <si>
    <t>Operational Support</t>
  </si>
  <si>
    <t>Cadets</t>
  </si>
  <si>
    <t>Total</t>
  </si>
  <si>
    <t>Net Change</t>
  </si>
  <si>
    <t>% Change</t>
  </si>
  <si>
    <t>DEWNR</t>
  </si>
  <si>
    <t>S/OPS</t>
  </si>
  <si>
    <t>DENR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</si>
</sst>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top"/>
    </xf>
    <xf numFmtId="0" fontId="1" fillId="0" borderId="0">
      <alignment vertical="top"/>
    </xf>
  </cellStyleXfs>
  <cellXfs count="78">
    <xf numFmtId="0" fontId="0" fillId="0" borderId="0" xfId="0"/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17" fontId="2" fillId="0" borderId="1" xfId="1" applyNumberFormat="1" applyFont="1" applyBorder="1" applyAlignment="1" applyProtection="1">
      <alignment horizontal="center" vertical="center" wrapText="1"/>
      <protection locked="0"/>
    </xf>
    <xf numFmtId="0" fontId="2" fillId="2" borderId="7" xfId="1" applyFont="1" applyFill="1" applyBorder="1" applyAlignment="1" applyProtection="1">
      <alignment horizontal="center" vertical="center" wrapText="1"/>
      <protection locked="0"/>
    </xf>
    <xf numFmtId="0" fontId="2" fillId="3" borderId="7" xfId="1" applyFont="1" applyFill="1" applyBorder="1" applyAlignment="1" applyProtection="1">
      <alignment horizontal="center" vertical="center" wrapText="1"/>
      <protection locked="0"/>
    </xf>
    <xf numFmtId="0" fontId="2" fillId="4" borderId="7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 wrapText="1"/>
      <protection locked="0"/>
    </xf>
    <xf numFmtId="10" fontId="3" fillId="3" borderId="8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8" xfId="1" applyFont="1" applyFill="1" applyBorder="1" applyAlignment="1" applyProtection="1">
      <alignment horizontal="center" vertical="center" wrapText="1"/>
      <protection locked="0"/>
    </xf>
    <xf numFmtId="0" fontId="2" fillId="2" borderId="8" xfId="1" applyFont="1" applyFill="1" applyBorder="1" applyAlignment="1" applyProtection="1">
      <alignment horizontal="center" vertical="center" wrapText="1"/>
      <protection locked="0"/>
    </xf>
    <xf numFmtId="10" fontId="2" fillId="3" borderId="8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8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2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10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17" fontId="2" fillId="0" borderId="8" xfId="0" applyNumberFormat="1" applyFont="1" applyBorder="1" applyAlignment="1" applyProtection="1">
      <alignment horizontal="center" vertical="center" wrapText="1"/>
      <protection locked="0"/>
    </xf>
    <xf numFmtId="17" fontId="2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" fontId="6" fillId="0" borderId="7" xfId="0" applyNumberFormat="1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0" fontId="6" fillId="3" borderId="10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9" fontId="6" fillId="3" borderId="10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9"/>
  <sheetViews>
    <sheetView tabSelected="1" workbookViewId="0">
      <selection activeCell="I19" sqref="I19"/>
    </sheetView>
  </sheetViews>
  <sheetFormatPr defaultRowHeight="15" x14ac:dyDescent="0.25"/>
  <sheetData>
    <row r="1" spans="1:17" ht="15.75" thickBot="1" x14ac:dyDescent="0.3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6"/>
      <c r="I1" s="7"/>
      <c r="J1" s="8" t="s">
        <v>3</v>
      </c>
      <c r="K1" s="3"/>
      <c r="L1" s="3"/>
      <c r="M1" s="4"/>
      <c r="N1" s="5" t="s">
        <v>4</v>
      </c>
      <c r="O1" s="6"/>
      <c r="P1" s="6"/>
      <c r="Q1" s="7"/>
    </row>
    <row r="2" spans="1:17" ht="26.25" thickBot="1" x14ac:dyDescent="0.3">
      <c r="A2" s="9"/>
      <c r="B2" s="10">
        <v>42522</v>
      </c>
      <c r="C2" s="10">
        <v>42887</v>
      </c>
      <c r="D2" s="11" t="s">
        <v>5</v>
      </c>
      <c r="E2" s="12" t="s">
        <v>6</v>
      </c>
      <c r="F2" s="10">
        <v>42522</v>
      </c>
      <c r="G2" s="10">
        <v>42887</v>
      </c>
      <c r="H2" s="11" t="s">
        <v>5</v>
      </c>
      <c r="I2" s="12" t="s">
        <v>6</v>
      </c>
      <c r="J2" s="10">
        <v>42522</v>
      </c>
      <c r="K2" s="10">
        <v>42887</v>
      </c>
      <c r="L2" s="11" t="s">
        <v>5</v>
      </c>
      <c r="M2" s="12" t="s">
        <v>6</v>
      </c>
      <c r="N2" s="10">
        <v>42522</v>
      </c>
      <c r="O2" s="10">
        <v>42887</v>
      </c>
      <c r="P2" s="13" t="s">
        <v>5</v>
      </c>
      <c r="Q2" s="12" t="s">
        <v>6</v>
      </c>
    </row>
    <row r="3" spans="1:17" ht="15.75" thickBot="1" x14ac:dyDescent="0.3">
      <c r="A3" s="14" t="s">
        <v>7</v>
      </c>
      <c r="B3" s="15">
        <v>361</v>
      </c>
      <c r="C3" s="15">
        <v>357</v>
      </c>
      <c r="D3" s="16">
        <f t="shared" ref="D3:D11" si="0">C3-B3</f>
        <v>-4</v>
      </c>
      <c r="E3" s="17">
        <f t="shared" ref="E3:E11" si="1">SUM(C3-B3)/B3</f>
        <v>-1.1080332409972299E-2</v>
      </c>
      <c r="F3" s="15">
        <v>142</v>
      </c>
      <c r="G3" s="15">
        <v>167</v>
      </c>
      <c r="H3" s="16">
        <f t="shared" ref="H3:H11" si="2">G3-F3</f>
        <v>25</v>
      </c>
      <c r="I3" s="17">
        <f t="shared" ref="I3:I11" si="3">SUM(G3-F3)/F3</f>
        <v>0.176056338028169</v>
      </c>
      <c r="J3" s="15">
        <v>0</v>
      </c>
      <c r="K3" s="15">
        <v>0</v>
      </c>
      <c r="L3" s="16">
        <f t="shared" ref="L3:L11" si="4">K3-J3</f>
        <v>0</v>
      </c>
      <c r="M3" s="17">
        <v>0</v>
      </c>
      <c r="N3" s="15">
        <v>503</v>
      </c>
      <c r="O3" s="15">
        <v>524</v>
      </c>
      <c r="P3" s="18">
        <f t="shared" ref="P3:P11" si="5">O3-N3</f>
        <v>21</v>
      </c>
      <c r="Q3" s="17">
        <f t="shared" ref="Q3:Q11" si="6">SUM(O3-N3)/N3</f>
        <v>4.1749502982107355E-2</v>
      </c>
    </row>
    <row r="4" spans="1:17" ht="15.75" thickBot="1" x14ac:dyDescent="0.3">
      <c r="A4" s="14" t="s">
        <v>8</v>
      </c>
      <c r="B4" s="15">
        <v>21</v>
      </c>
      <c r="C4" s="15">
        <v>18</v>
      </c>
      <c r="D4" s="16">
        <f t="shared" si="0"/>
        <v>-3</v>
      </c>
      <c r="E4" s="17">
        <f t="shared" si="1"/>
        <v>-0.14285714285714285</v>
      </c>
      <c r="F4" s="15">
        <v>2</v>
      </c>
      <c r="G4" s="15">
        <v>1</v>
      </c>
      <c r="H4" s="16">
        <f t="shared" si="2"/>
        <v>-1</v>
      </c>
      <c r="I4" s="17">
        <f t="shared" si="3"/>
        <v>-0.5</v>
      </c>
      <c r="J4" s="15">
        <v>0</v>
      </c>
      <c r="K4" s="15">
        <v>0</v>
      </c>
      <c r="L4" s="16">
        <f t="shared" si="4"/>
        <v>0</v>
      </c>
      <c r="M4" s="17">
        <v>0</v>
      </c>
      <c r="N4" s="15">
        <v>23</v>
      </c>
      <c r="O4" s="15">
        <v>19</v>
      </c>
      <c r="P4" s="18">
        <f t="shared" si="5"/>
        <v>-4</v>
      </c>
      <c r="Q4" s="17">
        <f t="shared" si="6"/>
        <v>-0.17391304347826086</v>
      </c>
    </row>
    <row r="5" spans="1:17" ht="15.75" thickBot="1" x14ac:dyDescent="0.3">
      <c r="A5" s="14">
        <v>1</v>
      </c>
      <c r="B5" s="15">
        <v>2403</v>
      </c>
      <c r="C5" s="15">
        <v>2318</v>
      </c>
      <c r="D5" s="16">
        <f t="shared" si="0"/>
        <v>-85</v>
      </c>
      <c r="E5" s="17">
        <f t="shared" si="1"/>
        <v>-3.537245110278818E-2</v>
      </c>
      <c r="F5" s="15">
        <v>738</v>
      </c>
      <c r="G5" s="15">
        <v>759</v>
      </c>
      <c r="H5" s="16">
        <f t="shared" si="2"/>
        <v>21</v>
      </c>
      <c r="I5" s="17">
        <f t="shared" si="3"/>
        <v>2.8455284552845527E-2</v>
      </c>
      <c r="J5" s="15">
        <v>236</v>
      </c>
      <c r="K5" s="15">
        <v>211</v>
      </c>
      <c r="L5" s="16">
        <f t="shared" si="4"/>
        <v>-25</v>
      </c>
      <c r="M5" s="17">
        <f t="shared" ref="M5:M11" si="7">SUM(K5-J5)/J5</f>
        <v>-0.1059322033898305</v>
      </c>
      <c r="N5" s="15">
        <v>3377</v>
      </c>
      <c r="O5" s="15">
        <v>3288</v>
      </c>
      <c r="P5" s="18">
        <f t="shared" si="5"/>
        <v>-89</v>
      </c>
      <c r="Q5" s="17">
        <f t="shared" si="6"/>
        <v>-2.6354752739117561E-2</v>
      </c>
    </row>
    <row r="6" spans="1:17" ht="15.75" thickBot="1" x14ac:dyDescent="0.3">
      <c r="A6" s="14">
        <v>2</v>
      </c>
      <c r="B6" s="15">
        <v>2217</v>
      </c>
      <c r="C6" s="15">
        <v>2137</v>
      </c>
      <c r="D6" s="16">
        <f t="shared" si="0"/>
        <v>-80</v>
      </c>
      <c r="E6" s="17">
        <f t="shared" si="1"/>
        <v>-3.6084799278304013E-2</v>
      </c>
      <c r="F6" s="15">
        <v>431</v>
      </c>
      <c r="G6" s="15">
        <v>410</v>
      </c>
      <c r="H6" s="16">
        <f t="shared" si="2"/>
        <v>-21</v>
      </c>
      <c r="I6" s="17">
        <f t="shared" si="3"/>
        <v>-4.8723897911832945E-2</v>
      </c>
      <c r="J6" s="15">
        <v>234</v>
      </c>
      <c r="K6" s="15">
        <v>240</v>
      </c>
      <c r="L6" s="16">
        <f t="shared" si="4"/>
        <v>6</v>
      </c>
      <c r="M6" s="17">
        <f t="shared" si="7"/>
        <v>2.564102564102564E-2</v>
      </c>
      <c r="N6" s="15">
        <v>2882</v>
      </c>
      <c r="O6" s="15">
        <v>2787</v>
      </c>
      <c r="P6" s="18">
        <f t="shared" si="5"/>
        <v>-95</v>
      </c>
      <c r="Q6" s="17">
        <f t="shared" si="6"/>
        <v>-3.2963219986120749E-2</v>
      </c>
    </row>
    <row r="7" spans="1:17" ht="15.75" thickBot="1" x14ac:dyDescent="0.3">
      <c r="A7" s="14">
        <v>3</v>
      </c>
      <c r="B7" s="15">
        <v>1155</v>
      </c>
      <c r="C7" s="15">
        <v>1146</v>
      </c>
      <c r="D7" s="16">
        <f t="shared" si="0"/>
        <v>-9</v>
      </c>
      <c r="E7" s="17">
        <f t="shared" si="1"/>
        <v>-7.7922077922077922E-3</v>
      </c>
      <c r="F7" s="15">
        <v>191</v>
      </c>
      <c r="G7" s="15">
        <v>192</v>
      </c>
      <c r="H7" s="16">
        <f t="shared" si="2"/>
        <v>1</v>
      </c>
      <c r="I7" s="17">
        <f t="shared" si="3"/>
        <v>5.235602094240838E-3</v>
      </c>
      <c r="J7" s="15">
        <v>66</v>
      </c>
      <c r="K7" s="15">
        <v>51</v>
      </c>
      <c r="L7" s="16">
        <f t="shared" si="4"/>
        <v>-15</v>
      </c>
      <c r="M7" s="17">
        <f t="shared" si="7"/>
        <v>-0.22727272727272727</v>
      </c>
      <c r="N7" s="15">
        <v>1412</v>
      </c>
      <c r="O7" s="15">
        <v>1389</v>
      </c>
      <c r="P7" s="18">
        <f t="shared" si="5"/>
        <v>-23</v>
      </c>
      <c r="Q7" s="17">
        <f t="shared" si="6"/>
        <v>-1.6288951841359773E-2</v>
      </c>
    </row>
    <row r="8" spans="1:17" ht="15.75" thickBot="1" x14ac:dyDescent="0.3">
      <c r="A8" s="14">
        <v>4</v>
      </c>
      <c r="B8" s="15">
        <v>1575</v>
      </c>
      <c r="C8" s="15">
        <v>1526</v>
      </c>
      <c r="D8" s="16">
        <f t="shared" si="0"/>
        <v>-49</v>
      </c>
      <c r="E8" s="17">
        <f t="shared" si="1"/>
        <v>-3.111111111111111E-2</v>
      </c>
      <c r="F8" s="15">
        <v>261</v>
      </c>
      <c r="G8" s="15">
        <v>282</v>
      </c>
      <c r="H8" s="16">
        <f t="shared" si="2"/>
        <v>21</v>
      </c>
      <c r="I8" s="17">
        <f t="shared" si="3"/>
        <v>8.0459770114942528E-2</v>
      </c>
      <c r="J8" s="15">
        <v>152</v>
      </c>
      <c r="K8" s="15">
        <v>133</v>
      </c>
      <c r="L8" s="16">
        <f t="shared" si="4"/>
        <v>-19</v>
      </c>
      <c r="M8" s="17">
        <f t="shared" si="7"/>
        <v>-0.125</v>
      </c>
      <c r="N8" s="15">
        <v>1988</v>
      </c>
      <c r="O8" s="15">
        <v>1941</v>
      </c>
      <c r="P8" s="18">
        <f t="shared" si="5"/>
        <v>-47</v>
      </c>
      <c r="Q8" s="17">
        <f t="shared" si="6"/>
        <v>-2.3641851106639838E-2</v>
      </c>
    </row>
    <row r="9" spans="1:17" ht="15.75" thickBot="1" x14ac:dyDescent="0.3">
      <c r="A9" s="14">
        <v>5</v>
      </c>
      <c r="B9" s="15">
        <v>1695</v>
      </c>
      <c r="C9" s="15">
        <v>1635</v>
      </c>
      <c r="D9" s="16">
        <f t="shared" si="0"/>
        <v>-60</v>
      </c>
      <c r="E9" s="17">
        <f t="shared" si="1"/>
        <v>-3.5398230088495575E-2</v>
      </c>
      <c r="F9" s="15">
        <v>288</v>
      </c>
      <c r="G9" s="15">
        <v>274</v>
      </c>
      <c r="H9" s="16">
        <f t="shared" si="2"/>
        <v>-14</v>
      </c>
      <c r="I9" s="17">
        <f t="shared" si="3"/>
        <v>-4.8611111111111112E-2</v>
      </c>
      <c r="J9" s="15">
        <v>45</v>
      </c>
      <c r="K9" s="15">
        <v>37</v>
      </c>
      <c r="L9" s="16">
        <f t="shared" si="4"/>
        <v>-8</v>
      </c>
      <c r="M9" s="17">
        <f t="shared" si="7"/>
        <v>-0.17777777777777778</v>
      </c>
      <c r="N9" s="15">
        <v>2028</v>
      </c>
      <c r="O9" s="15">
        <v>1946</v>
      </c>
      <c r="P9" s="18">
        <f t="shared" si="5"/>
        <v>-82</v>
      </c>
      <c r="Q9" s="17">
        <f t="shared" si="6"/>
        <v>-4.0433925049309663E-2</v>
      </c>
    </row>
    <row r="10" spans="1:17" ht="15.75" thickBot="1" x14ac:dyDescent="0.3">
      <c r="A10" s="14">
        <v>6</v>
      </c>
      <c r="B10" s="15">
        <v>1370</v>
      </c>
      <c r="C10" s="15">
        <v>1339</v>
      </c>
      <c r="D10" s="16">
        <f t="shared" si="0"/>
        <v>-31</v>
      </c>
      <c r="E10" s="17">
        <f t="shared" si="1"/>
        <v>-2.2627737226277374E-2</v>
      </c>
      <c r="F10" s="15">
        <v>296</v>
      </c>
      <c r="G10" s="15">
        <v>276</v>
      </c>
      <c r="H10" s="16">
        <f t="shared" si="2"/>
        <v>-20</v>
      </c>
      <c r="I10" s="17">
        <f t="shared" si="3"/>
        <v>-6.7567567567567571E-2</v>
      </c>
      <c r="J10" s="15">
        <v>49</v>
      </c>
      <c r="K10" s="15">
        <v>41</v>
      </c>
      <c r="L10" s="16">
        <f t="shared" si="4"/>
        <v>-8</v>
      </c>
      <c r="M10" s="17">
        <f t="shared" si="7"/>
        <v>-0.16326530612244897</v>
      </c>
      <c r="N10" s="15">
        <v>1715</v>
      </c>
      <c r="O10" s="15">
        <v>1656</v>
      </c>
      <c r="P10" s="18">
        <f t="shared" si="5"/>
        <v>-59</v>
      </c>
      <c r="Q10" s="17">
        <f t="shared" si="6"/>
        <v>-3.4402332361516033E-2</v>
      </c>
    </row>
    <row r="11" spans="1:17" ht="15.75" thickBot="1" x14ac:dyDescent="0.3">
      <c r="A11" s="14" t="s">
        <v>4</v>
      </c>
      <c r="B11" s="14">
        <v>10797</v>
      </c>
      <c r="C11" s="14">
        <v>10476</v>
      </c>
      <c r="D11" s="19">
        <f t="shared" si="0"/>
        <v>-321</v>
      </c>
      <c r="E11" s="20">
        <f t="shared" si="1"/>
        <v>-2.97304806890803E-2</v>
      </c>
      <c r="F11" s="14">
        <v>2349</v>
      </c>
      <c r="G11" s="14">
        <v>2361</v>
      </c>
      <c r="H11" s="19">
        <f t="shared" si="2"/>
        <v>12</v>
      </c>
      <c r="I11" s="20">
        <f t="shared" si="3"/>
        <v>5.108556832694764E-3</v>
      </c>
      <c r="J11" s="14">
        <v>782</v>
      </c>
      <c r="K11" s="14">
        <v>713</v>
      </c>
      <c r="L11" s="19">
        <f t="shared" si="4"/>
        <v>-69</v>
      </c>
      <c r="M11" s="20">
        <f t="shared" si="7"/>
        <v>-8.8235294117647065E-2</v>
      </c>
      <c r="N11" s="14">
        <v>13928</v>
      </c>
      <c r="O11" s="14">
        <v>13550</v>
      </c>
      <c r="P11" s="21">
        <f t="shared" si="5"/>
        <v>-378</v>
      </c>
      <c r="Q11" s="20">
        <f t="shared" si="6"/>
        <v>-2.7139574956921309E-2</v>
      </c>
    </row>
    <row r="12" spans="1:17" ht="15.75" thickBot="1" x14ac:dyDescent="0.3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ht="15.75" thickBot="1" x14ac:dyDescent="0.3">
      <c r="A13" s="1" t="s">
        <v>0</v>
      </c>
      <c r="B13" s="2" t="s">
        <v>1</v>
      </c>
      <c r="C13" s="3"/>
      <c r="D13" s="3"/>
      <c r="E13" s="4"/>
      <c r="F13" s="5" t="s">
        <v>2</v>
      </c>
      <c r="G13" s="6"/>
      <c r="H13" s="6"/>
      <c r="I13" s="7"/>
      <c r="J13" s="8" t="s">
        <v>3</v>
      </c>
      <c r="K13" s="3"/>
      <c r="L13" s="3"/>
      <c r="M13" s="4"/>
      <c r="N13" s="5" t="s">
        <v>4</v>
      </c>
      <c r="O13" s="6"/>
      <c r="P13" s="6"/>
      <c r="Q13" s="7"/>
    </row>
    <row r="14" spans="1:17" ht="26.25" thickBot="1" x14ac:dyDescent="0.3">
      <c r="A14" s="9"/>
      <c r="B14" s="24">
        <v>42156</v>
      </c>
      <c r="C14" s="10">
        <v>42522</v>
      </c>
      <c r="D14" s="11" t="s">
        <v>5</v>
      </c>
      <c r="E14" s="12" t="s">
        <v>6</v>
      </c>
      <c r="F14" s="24">
        <v>42156</v>
      </c>
      <c r="G14" s="10">
        <v>42522</v>
      </c>
      <c r="H14" s="11" t="s">
        <v>5</v>
      </c>
      <c r="I14" s="12" t="s">
        <v>6</v>
      </c>
      <c r="J14" s="24">
        <v>42156</v>
      </c>
      <c r="K14" s="10">
        <v>42522</v>
      </c>
      <c r="L14" s="11" t="s">
        <v>5</v>
      </c>
      <c r="M14" s="12" t="s">
        <v>6</v>
      </c>
      <c r="N14" s="24">
        <v>42156</v>
      </c>
      <c r="O14" s="10">
        <v>42522</v>
      </c>
      <c r="P14" s="13" t="s">
        <v>5</v>
      </c>
      <c r="Q14" s="12" t="s">
        <v>6</v>
      </c>
    </row>
    <row r="15" spans="1:17" ht="15.75" thickBot="1" x14ac:dyDescent="0.3">
      <c r="A15" s="14" t="s">
        <v>7</v>
      </c>
      <c r="B15" s="25">
        <v>343</v>
      </c>
      <c r="C15" s="15">
        <v>361</v>
      </c>
      <c r="D15" s="16">
        <v>18</v>
      </c>
      <c r="E15" s="17">
        <f t="shared" ref="E15:E23" si="8">SUM(C15-B15)/B15</f>
        <v>5.2478134110787174E-2</v>
      </c>
      <c r="F15" s="25">
        <v>160</v>
      </c>
      <c r="G15" s="15">
        <v>142</v>
      </c>
      <c r="H15" s="16">
        <v>-18</v>
      </c>
      <c r="I15" s="17">
        <f t="shared" ref="I15:I23" si="9">SUM(G15-F15)/F15</f>
        <v>-0.1125</v>
      </c>
      <c r="J15" s="25">
        <v>0</v>
      </c>
      <c r="K15" s="15">
        <v>0</v>
      </c>
      <c r="L15" s="16">
        <v>0</v>
      </c>
      <c r="M15" s="17">
        <v>0</v>
      </c>
      <c r="N15" s="25">
        <f t="shared" ref="N15:N23" si="10">B15+F15+J15</f>
        <v>503</v>
      </c>
      <c r="O15" s="15">
        <v>503</v>
      </c>
      <c r="P15" s="18">
        <v>0</v>
      </c>
      <c r="Q15" s="17">
        <f t="shared" ref="Q15:Q23" si="11">SUM(O15-N15)/N15</f>
        <v>0</v>
      </c>
    </row>
    <row r="16" spans="1:17" ht="15.75" thickBot="1" x14ac:dyDescent="0.3">
      <c r="A16" s="14" t="s">
        <v>8</v>
      </c>
      <c r="B16" s="25">
        <v>16</v>
      </c>
      <c r="C16" s="15">
        <v>21</v>
      </c>
      <c r="D16" s="16">
        <v>5</v>
      </c>
      <c r="E16" s="17">
        <f t="shared" si="8"/>
        <v>0.3125</v>
      </c>
      <c r="F16" s="25">
        <v>2</v>
      </c>
      <c r="G16" s="15">
        <v>2</v>
      </c>
      <c r="H16" s="16">
        <v>0</v>
      </c>
      <c r="I16" s="17">
        <f t="shared" si="9"/>
        <v>0</v>
      </c>
      <c r="J16" s="25">
        <v>0</v>
      </c>
      <c r="K16" s="15">
        <v>0</v>
      </c>
      <c r="L16" s="16">
        <v>0</v>
      </c>
      <c r="M16" s="17">
        <v>0</v>
      </c>
      <c r="N16" s="25">
        <f t="shared" si="10"/>
        <v>18</v>
      </c>
      <c r="O16" s="15">
        <v>23</v>
      </c>
      <c r="P16" s="18">
        <v>5</v>
      </c>
      <c r="Q16" s="17">
        <f t="shared" si="11"/>
        <v>0.27777777777777779</v>
      </c>
    </row>
    <row r="17" spans="1:17" ht="15.75" thickBot="1" x14ac:dyDescent="0.3">
      <c r="A17" s="14">
        <v>1</v>
      </c>
      <c r="B17" s="25">
        <v>2447</v>
      </c>
      <c r="C17" s="15">
        <v>2403</v>
      </c>
      <c r="D17" s="16">
        <v>-44</v>
      </c>
      <c r="E17" s="17">
        <f t="shared" si="8"/>
        <v>-1.7981201471189211E-2</v>
      </c>
      <c r="F17" s="25">
        <v>697</v>
      </c>
      <c r="G17" s="15">
        <v>738</v>
      </c>
      <c r="H17" s="16">
        <v>41</v>
      </c>
      <c r="I17" s="17">
        <f t="shared" si="9"/>
        <v>5.8823529411764705E-2</v>
      </c>
      <c r="J17" s="25">
        <v>231</v>
      </c>
      <c r="K17" s="15">
        <v>236</v>
      </c>
      <c r="L17" s="16">
        <v>5</v>
      </c>
      <c r="M17" s="17">
        <f t="shared" ref="M17:M23" si="12">SUM(K17-J17)/J17</f>
        <v>2.1645021645021644E-2</v>
      </c>
      <c r="N17" s="25">
        <f t="shared" si="10"/>
        <v>3375</v>
      </c>
      <c r="O17" s="15">
        <v>3377</v>
      </c>
      <c r="P17" s="18">
        <v>2</v>
      </c>
      <c r="Q17" s="17">
        <f t="shared" si="11"/>
        <v>5.9259259259259258E-4</v>
      </c>
    </row>
    <row r="18" spans="1:17" ht="15.75" thickBot="1" x14ac:dyDescent="0.3">
      <c r="A18" s="14">
        <v>2</v>
      </c>
      <c r="B18" s="25">
        <v>2206</v>
      </c>
      <c r="C18" s="15">
        <v>2217</v>
      </c>
      <c r="D18" s="16">
        <v>11</v>
      </c>
      <c r="E18" s="17">
        <f t="shared" si="8"/>
        <v>4.9864007252946509E-3</v>
      </c>
      <c r="F18" s="25">
        <v>414</v>
      </c>
      <c r="G18" s="15">
        <v>431</v>
      </c>
      <c r="H18" s="16">
        <v>17</v>
      </c>
      <c r="I18" s="17">
        <f t="shared" si="9"/>
        <v>4.1062801932367152E-2</v>
      </c>
      <c r="J18" s="25">
        <v>261</v>
      </c>
      <c r="K18" s="15">
        <v>234</v>
      </c>
      <c r="L18" s="16">
        <v>-27</v>
      </c>
      <c r="M18" s="17">
        <f t="shared" si="12"/>
        <v>-0.10344827586206896</v>
      </c>
      <c r="N18" s="25">
        <f t="shared" si="10"/>
        <v>2881</v>
      </c>
      <c r="O18" s="15">
        <v>2882</v>
      </c>
      <c r="P18" s="18">
        <v>1</v>
      </c>
      <c r="Q18" s="17">
        <f t="shared" si="11"/>
        <v>3.4710170079833391E-4</v>
      </c>
    </row>
    <row r="19" spans="1:17" ht="15.75" thickBot="1" x14ac:dyDescent="0.3">
      <c r="A19" s="14">
        <v>3</v>
      </c>
      <c r="B19" s="25">
        <v>1175</v>
      </c>
      <c r="C19" s="15">
        <v>1155</v>
      </c>
      <c r="D19" s="16">
        <v>-20</v>
      </c>
      <c r="E19" s="17">
        <f t="shared" si="8"/>
        <v>-1.7021276595744681E-2</v>
      </c>
      <c r="F19" s="25">
        <v>185</v>
      </c>
      <c r="G19" s="15">
        <v>191</v>
      </c>
      <c r="H19" s="16">
        <v>6</v>
      </c>
      <c r="I19" s="17">
        <f t="shared" si="9"/>
        <v>3.2432432432432434E-2</v>
      </c>
      <c r="J19" s="25">
        <v>74</v>
      </c>
      <c r="K19" s="15">
        <v>66</v>
      </c>
      <c r="L19" s="16">
        <v>-8</v>
      </c>
      <c r="M19" s="17">
        <f t="shared" si="12"/>
        <v>-0.10810810810810811</v>
      </c>
      <c r="N19" s="25">
        <f t="shared" si="10"/>
        <v>1434</v>
      </c>
      <c r="O19" s="15">
        <v>1412</v>
      </c>
      <c r="P19" s="18">
        <v>-22</v>
      </c>
      <c r="Q19" s="17">
        <f t="shared" si="11"/>
        <v>-1.5341701534170154E-2</v>
      </c>
    </row>
    <row r="20" spans="1:17" ht="15.75" thickBot="1" x14ac:dyDescent="0.3">
      <c r="A20" s="14">
        <v>4</v>
      </c>
      <c r="B20" s="25">
        <v>1574</v>
      </c>
      <c r="C20" s="15">
        <v>1575</v>
      </c>
      <c r="D20" s="16">
        <v>1</v>
      </c>
      <c r="E20" s="17">
        <f t="shared" si="8"/>
        <v>6.3532401524777639E-4</v>
      </c>
      <c r="F20" s="25">
        <v>256</v>
      </c>
      <c r="G20" s="15">
        <v>261</v>
      </c>
      <c r="H20" s="16">
        <v>5</v>
      </c>
      <c r="I20" s="17">
        <f t="shared" si="9"/>
        <v>1.953125E-2</v>
      </c>
      <c r="J20" s="25">
        <v>167</v>
      </c>
      <c r="K20" s="15">
        <v>152</v>
      </c>
      <c r="L20" s="16">
        <v>-15</v>
      </c>
      <c r="M20" s="17">
        <f t="shared" si="12"/>
        <v>-8.9820359281437126E-2</v>
      </c>
      <c r="N20" s="25">
        <f t="shared" si="10"/>
        <v>1997</v>
      </c>
      <c r="O20" s="15">
        <v>1988</v>
      </c>
      <c r="P20" s="18">
        <v>-9</v>
      </c>
      <c r="Q20" s="17">
        <f t="shared" si="11"/>
        <v>-4.5067601402103159E-3</v>
      </c>
    </row>
    <row r="21" spans="1:17" ht="15.75" thickBot="1" x14ac:dyDescent="0.3">
      <c r="A21" s="14">
        <v>5</v>
      </c>
      <c r="B21" s="25">
        <v>1713</v>
      </c>
      <c r="C21" s="15">
        <v>1695</v>
      </c>
      <c r="D21" s="16">
        <v>-18</v>
      </c>
      <c r="E21" s="17">
        <f t="shared" si="8"/>
        <v>-1.0507880910683012E-2</v>
      </c>
      <c r="F21" s="25">
        <v>313</v>
      </c>
      <c r="G21" s="15">
        <v>288</v>
      </c>
      <c r="H21" s="16">
        <v>-25</v>
      </c>
      <c r="I21" s="17">
        <f t="shared" si="9"/>
        <v>-7.9872204472843447E-2</v>
      </c>
      <c r="J21" s="25">
        <v>49</v>
      </c>
      <c r="K21" s="15">
        <v>45</v>
      </c>
      <c r="L21" s="16">
        <v>-4</v>
      </c>
      <c r="M21" s="17">
        <f t="shared" si="12"/>
        <v>-8.1632653061224483E-2</v>
      </c>
      <c r="N21" s="25">
        <f t="shared" si="10"/>
        <v>2075</v>
      </c>
      <c r="O21" s="15">
        <v>2028</v>
      </c>
      <c r="P21" s="18">
        <v>-47</v>
      </c>
      <c r="Q21" s="17">
        <f t="shared" si="11"/>
        <v>-2.2650602409638555E-2</v>
      </c>
    </row>
    <row r="22" spans="1:17" ht="15.75" thickBot="1" x14ac:dyDescent="0.3">
      <c r="A22" s="14">
        <v>6</v>
      </c>
      <c r="B22" s="25">
        <v>1374</v>
      </c>
      <c r="C22" s="15">
        <v>1370</v>
      </c>
      <c r="D22" s="16">
        <v>-4</v>
      </c>
      <c r="E22" s="17">
        <f t="shared" si="8"/>
        <v>-2.911208151382824E-3</v>
      </c>
      <c r="F22" s="25">
        <v>299</v>
      </c>
      <c r="G22" s="15">
        <v>296</v>
      </c>
      <c r="H22" s="16">
        <v>-3</v>
      </c>
      <c r="I22" s="17">
        <f t="shared" si="9"/>
        <v>-1.0033444816053512E-2</v>
      </c>
      <c r="J22" s="25">
        <v>48</v>
      </c>
      <c r="K22" s="15">
        <v>49</v>
      </c>
      <c r="L22" s="16">
        <v>1</v>
      </c>
      <c r="M22" s="17">
        <f t="shared" si="12"/>
        <v>2.0833333333333332E-2</v>
      </c>
      <c r="N22" s="25">
        <f t="shared" si="10"/>
        <v>1721</v>
      </c>
      <c r="O22" s="15">
        <v>1715</v>
      </c>
      <c r="P22" s="18">
        <v>-6</v>
      </c>
      <c r="Q22" s="17">
        <f t="shared" si="11"/>
        <v>-3.4863451481696689E-3</v>
      </c>
    </row>
    <row r="23" spans="1:17" ht="15.75" thickBot="1" x14ac:dyDescent="0.3">
      <c r="A23" s="14" t="s">
        <v>4</v>
      </c>
      <c r="B23" s="26">
        <f>SUM(B15:B22)</f>
        <v>10848</v>
      </c>
      <c r="C23" s="14">
        <v>10797</v>
      </c>
      <c r="D23" s="19">
        <v>-51</v>
      </c>
      <c r="E23" s="17">
        <f t="shared" si="8"/>
        <v>-4.701327433628319E-3</v>
      </c>
      <c r="F23" s="26">
        <f>SUM(F15:F22)</f>
        <v>2326</v>
      </c>
      <c r="G23" s="14">
        <v>2349</v>
      </c>
      <c r="H23" s="19">
        <v>23</v>
      </c>
      <c r="I23" s="17">
        <f t="shared" si="9"/>
        <v>9.888220120378332E-3</v>
      </c>
      <c r="J23" s="26">
        <f>SUM(J15:J22)</f>
        <v>830</v>
      </c>
      <c r="K23" s="14">
        <v>782</v>
      </c>
      <c r="L23" s="19">
        <v>-48</v>
      </c>
      <c r="M23" s="17">
        <f t="shared" si="12"/>
        <v>-5.7831325301204821E-2</v>
      </c>
      <c r="N23" s="26">
        <f t="shared" si="10"/>
        <v>14004</v>
      </c>
      <c r="O23" s="14">
        <v>13928</v>
      </c>
      <c r="P23" s="21">
        <v>-76</v>
      </c>
      <c r="Q23" s="17">
        <f t="shared" si="11"/>
        <v>-5.4270208511853759E-3</v>
      </c>
    </row>
    <row r="24" spans="1:17" ht="15.75" thickBot="1" x14ac:dyDescent="0.3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15.75" thickBot="1" x14ac:dyDescent="0.3">
      <c r="A25" s="27" t="s">
        <v>0</v>
      </c>
      <c r="B25" s="28" t="s">
        <v>1</v>
      </c>
      <c r="C25" s="29"/>
      <c r="D25" s="29"/>
      <c r="E25" s="30"/>
      <c r="F25" s="31" t="s">
        <v>2</v>
      </c>
      <c r="G25" s="32"/>
      <c r="H25" s="32"/>
      <c r="I25" s="33"/>
      <c r="J25" s="34" t="s">
        <v>3</v>
      </c>
      <c r="K25" s="29"/>
      <c r="L25" s="29"/>
      <c r="M25" s="30"/>
      <c r="N25" s="31" t="s">
        <v>4</v>
      </c>
      <c r="O25" s="32"/>
      <c r="P25" s="32"/>
      <c r="Q25" s="33"/>
    </row>
    <row r="26" spans="1:17" ht="26.25" thickBot="1" x14ac:dyDescent="0.3">
      <c r="A26" s="35"/>
      <c r="B26" s="24">
        <v>41791</v>
      </c>
      <c r="C26" s="24">
        <v>42156</v>
      </c>
      <c r="D26" s="36" t="s">
        <v>5</v>
      </c>
      <c r="E26" s="37" t="s">
        <v>6</v>
      </c>
      <c r="F26" s="24">
        <v>41791</v>
      </c>
      <c r="G26" s="24">
        <v>42156</v>
      </c>
      <c r="H26" s="36" t="s">
        <v>5</v>
      </c>
      <c r="I26" s="37" t="s">
        <v>6</v>
      </c>
      <c r="J26" s="24">
        <v>41791</v>
      </c>
      <c r="K26" s="24">
        <v>42156</v>
      </c>
      <c r="L26" s="36" t="s">
        <v>5</v>
      </c>
      <c r="M26" s="37" t="s">
        <v>6</v>
      </c>
      <c r="N26" s="24">
        <v>41791</v>
      </c>
      <c r="O26" s="24">
        <v>42156</v>
      </c>
      <c r="P26" s="38" t="s">
        <v>5</v>
      </c>
      <c r="Q26" s="37" t="s">
        <v>6</v>
      </c>
    </row>
    <row r="27" spans="1:17" ht="15.75" thickBot="1" x14ac:dyDescent="0.3">
      <c r="A27" s="26" t="s">
        <v>7</v>
      </c>
      <c r="B27" s="25">
        <v>344</v>
      </c>
      <c r="C27" s="25">
        <v>343</v>
      </c>
      <c r="D27" s="39">
        <f t="shared" ref="D27:D35" si="13">C27-B27</f>
        <v>-1</v>
      </c>
      <c r="E27" s="40">
        <f t="shared" ref="E27:E35" si="14">(C27-B27)/B27</f>
        <v>-2.9069767441860465E-3</v>
      </c>
      <c r="F27" s="25">
        <v>122</v>
      </c>
      <c r="G27" s="25">
        <v>160</v>
      </c>
      <c r="H27" s="39">
        <f t="shared" ref="H27:H35" si="15">G27-F27</f>
        <v>38</v>
      </c>
      <c r="I27" s="40">
        <f t="shared" ref="I27:I35" si="16">(G27-F27)/F27</f>
        <v>0.31147540983606559</v>
      </c>
      <c r="J27" s="25">
        <v>0</v>
      </c>
      <c r="K27" s="25">
        <v>0</v>
      </c>
      <c r="L27" s="39">
        <f t="shared" ref="L27:L35" si="17">K27-J27</f>
        <v>0</v>
      </c>
      <c r="M27" s="40">
        <v>0</v>
      </c>
      <c r="N27" s="25">
        <f t="shared" ref="N27:O35" si="18">B27+F27+J27</f>
        <v>466</v>
      </c>
      <c r="O27" s="25">
        <f t="shared" si="18"/>
        <v>503</v>
      </c>
      <c r="P27" s="41">
        <f t="shared" ref="P27:P35" si="19">O27-N27</f>
        <v>37</v>
      </c>
      <c r="Q27" s="40">
        <f t="shared" ref="Q27:Q35" si="20">(O27-N27)/N27</f>
        <v>7.9399141630901282E-2</v>
      </c>
    </row>
    <row r="28" spans="1:17" ht="15.75" thickBot="1" x14ac:dyDescent="0.3">
      <c r="A28" s="26" t="s">
        <v>8</v>
      </c>
      <c r="B28" s="25">
        <v>13</v>
      </c>
      <c r="C28" s="25">
        <v>16</v>
      </c>
      <c r="D28" s="39">
        <f t="shared" si="13"/>
        <v>3</v>
      </c>
      <c r="E28" s="40">
        <f t="shared" si="14"/>
        <v>0.23076923076923078</v>
      </c>
      <c r="F28" s="25">
        <v>3</v>
      </c>
      <c r="G28" s="25">
        <v>2</v>
      </c>
      <c r="H28" s="39">
        <f t="shared" si="15"/>
        <v>-1</v>
      </c>
      <c r="I28" s="40">
        <f t="shared" si="16"/>
        <v>-0.33333333333333331</v>
      </c>
      <c r="J28" s="25">
        <v>0</v>
      </c>
      <c r="K28" s="25">
        <v>0</v>
      </c>
      <c r="L28" s="39">
        <f t="shared" si="17"/>
        <v>0</v>
      </c>
      <c r="M28" s="40">
        <v>0</v>
      </c>
      <c r="N28" s="25">
        <f t="shared" si="18"/>
        <v>16</v>
      </c>
      <c r="O28" s="25">
        <f t="shared" si="18"/>
        <v>18</v>
      </c>
      <c r="P28" s="41">
        <f t="shared" si="19"/>
        <v>2</v>
      </c>
      <c r="Q28" s="40">
        <f t="shared" si="20"/>
        <v>0.125</v>
      </c>
    </row>
    <row r="29" spans="1:17" ht="15.75" thickBot="1" x14ac:dyDescent="0.3">
      <c r="A29" s="26">
        <v>1</v>
      </c>
      <c r="B29" s="25">
        <v>2394</v>
      </c>
      <c r="C29" s="25">
        <v>2447</v>
      </c>
      <c r="D29" s="39">
        <f t="shared" si="13"/>
        <v>53</v>
      </c>
      <c r="E29" s="40">
        <f t="shared" si="14"/>
        <v>2.2138680033416874E-2</v>
      </c>
      <c r="F29" s="25">
        <v>698</v>
      </c>
      <c r="G29" s="25">
        <v>697</v>
      </c>
      <c r="H29" s="39">
        <f t="shared" si="15"/>
        <v>-1</v>
      </c>
      <c r="I29" s="40">
        <f t="shared" si="16"/>
        <v>-1.4326647564469914E-3</v>
      </c>
      <c r="J29" s="25">
        <v>209</v>
      </c>
      <c r="K29" s="25">
        <v>231</v>
      </c>
      <c r="L29" s="39">
        <f t="shared" si="17"/>
        <v>22</v>
      </c>
      <c r="M29" s="40">
        <f t="shared" ref="M29:M35" si="21">(K29-J29)/J29</f>
        <v>0.10526315789473684</v>
      </c>
      <c r="N29" s="25">
        <f t="shared" si="18"/>
        <v>3301</v>
      </c>
      <c r="O29" s="25">
        <f t="shared" si="18"/>
        <v>3375</v>
      </c>
      <c r="P29" s="41">
        <f t="shared" si="19"/>
        <v>74</v>
      </c>
      <c r="Q29" s="40">
        <f t="shared" si="20"/>
        <v>2.2417449257800665E-2</v>
      </c>
    </row>
    <row r="30" spans="1:17" ht="15.75" thickBot="1" x14ac:dyDescent="0.3">
      <c r="A30" s="26">
        <v>2</v>
      </c>
      <c r="B30" s="25">
        <v>2133</v>
      </c>
      <c r="C30" s="25">
        <v>2206</v>
      </c>
      <c r="D30" s="39">
        <f t="shared" si="13"/>
        <v>73</v>
      </c>
      <c r="E30" s="40">
        <f t="shared" si="14"/>
        <v>3.4224097515236758E-2</v>
      </c>
      <c r="F30" s="25">
        <v>403</v>
      </c>
      <c r="G30" s="25">
        <v>414</v>
      </c>
      <c r="H30" s="39">
        <f t="shared" si="15"/>
        <v>11</v>
      </c>
      <c r="I30" s="40">
        <f t="shared" si="16"/>
        <v>2.729528535980149E-2</v>
      </c>
      <c r="J30" s="25">
        <v>248</v>
      </c>
      <c r="K30" s="25">
        <v>261</v>
      </c>
      <c r="L30" s="39">
        <f t="shared" si="17"/>
        <v>13</v>
      </c>
      <c r="M30" s="40">
        <f t="shared" si="21"/>
        <v>5.2419354838709679E-2</v>
      </c>
      <c r="N30" s="25">
        <f t="shared" si="18"/>
        <v>2784</v>
      </c>
      <c r="O30" s="25">
        <f t="shared" si="18"/>
        <v>2881</v>
      </c>
      <c r="P30" s="41">
        <f t="shared" si="19"/>
        <v>97</v>
      </c>
      <c r="Q30" s="40">
        <f t="shared" si="20"/>
        <v>3.4841954022988508E-2</v>
      </c>
    </row>
    <row r="31" spans="1:17" ht="15.75" thickBot="1" x14ac:dyDescent="0.3">
      <c r="A31" s="26">
        <v>3</v>
      </c>
      <c r="B31" s="25">
        <v>1167</v>
      </c>
      <c r="C31" s="25">
        <v>1175</v>
      </c>
      <c r="D31" s="39">
        <f t="shared" si="13"/>
        <v>8</v>
      </c>
      <c r="E31" s="40">
        <f t="shared" si="14"/>
        <v>6.8551842330762643E-3</v>
      </c>
      <c r="F31" s="25">
        <v>184</v>
      </c>
      <c r="G31" s="25">
        <v>185</v>
      </c>
      <c r="H31" s="39">
        <f t="shared" si="15"/>
        <v>1</v>
      </c>
      <c r="I31" s="40">
        <f t="shared" si="16"/>
        <v>5.434782608695652E-3</v>
      </c>
      <c r="J31" s="25">
        <v>77</v>
      </c>
      <c r="K31" s="25">
        <v>74</v>
      </c>
      <c r="L31" s="39">
        <f t="shared" si="17"/>
        <v>-3</v>
      </c>
      <c r="M31" s="40">
        <f t="shared" si="21"/>
        <v>-3.896103896103896E-2</v>
      </c>
      <c r="N31" s="25">
        <f t="shared" si="18"/>
        <v>1428</v>
      </c>
      <c r="O31" s="25">
        <f t="shared" si="18"/>
        <v>1434</v>
      </c>
      <c r="P31" s="41">
        <f t="shared" si="19"/>
        <v>6</v>
      </c>
      <c r="Q31" s="40">
        <f t="shared" si="20"/>
        <v>4.2016806722689074E-3</v>
      </c>
    </row>
    <row r="32" spans="1:17" ht="15.75" thickBot="1" x14ac:dyDescent="0.3">
      <c r="A32" s="26">
        <v>4</v>
      </c>
      <c r="B32" s="25">
        <v>1482</v>
      </c>
      <c r="C32" s="25">
        <v>1574</v>
      </c>
      <c r="D32" s="39">
        <f t="shared" si="13"/>
        <v>92</v>
      </c>
      <c r="E32" s="40">
        <f t="shared" si="14"/>
        <v>6.2078272604588397E-2</v>
      </c>
      <c r="F32" s="25">
        <v>251</v>
      </c>
      <c r="G32" s="25">
        <v>256</v>
      </c>
      <c r="H32" s="39">
        <f t="shared" si="15"/>
        <v>5</v>
      </c>
      <c r="I32" s="40">
        <f t="shared" si="16"/>
        <v>1.9920318725099601E-2</v>
      </c>
      <c r="J32" s="25">
        <v>158</v>
      </c>
      <c r="K32" s="25">
        <v>167</v>
      </c>
      <c r="L32" s="39">
        <f t="shared" si="17"/>
        <v>9</v>
      </c>
      <c r="M32" s="40">
        <f t="shared" si="21"/>
        <v>5.6962025316455694E-2</v>
      </c>
      <c r="N32" s="25">
        <f t="shared" si="18"/>
        <v>1891</v>
      </c>
      <c r="O32" s="25">
        <f t="shared" si="18"/>
        <v>1997</v>
      </c>
      <c r="P32" s="41">
        <f t="shared" si="19"/>
        <v>106</v>
      </c>
      <c r="Q32" s="40">
        <f t="shared" si="20"/>
        <v>5.6054997355896349E-2</v>
      </c>
    </row>
    <row r="33" spans="1:17" ht="15.75" thickBot="1" x14ac:dyDescent="0.3">
      <c r="A33" s="26">
        <v>5</v>
      </c>
      <c r="B33" s="25">
        <v>1809</v>
      </c>
      <c r="C33" s="25">
        <v>1713</v>
      </c>
      <c r="D33" s="39">
        <f t="shared" si="13"/>
        <v>-96</v>
      </c>
      <c r="E33" s="40">
        <f t="shared" si="14"/>
        <v>-5.306799336650083E-2</v>
      </c>
      <c r="F33" s="25">
        <v>308</v>
      </c>
      <c r="G33" s="25">
        <v>313</v>
      </c>
      <c r="H33" s="39">
        <f t="shared" si="15"/>
        <v>5</v>
      </c>
      <c r="I33" s="40">
        <f t="shared" si="16"/>
        <v>1.6233766233766232E-2</v>
      </c>
      <c r="J33" s="25">
        <v>48</v>
      </c>
      <c r="K33" s="25">
        <v>49</v>
      </c>
      <c r="L33" s="39">
        <f t="shared" si="17"/>
        <v>1</v>
      </c>
      <c r="M33" s="40">
        <f t="shared" si="21"/>
        <v>2.0833333333333332E-2</v>
      </c>
      <c r="N33" s="25">
        <f t="shared" si="18"/>
        <v>2165</v>
      </c>
      <c r="O33" s="25">
        <f t="shared" si="18"/>
        <v>2075</v>
      </c>
      <c r="P33" s="41">
        <f t="shared" si="19"/>
        <v>-90</v>
      </c>
      <c r="Q33" s="40">
        <f t="shared" si="20"/>
        <v>-4.1570438799076209E-2</v>
      </c>
    </row>
    <row r="34" spans="1:17" ht="15.75" thickBot="1" x14ac:dyDescent="0.3">
      <c r="A34" s="26">
        <v>6</v>
      </c>
      <c r="B34" s="25">
        <v>1361</v>
      </c>
      <c r="C34" s="25">
        <v>1374</v>
      </c>
      <c r="D34" s="39">
        <f t="shared" si="13"/>
        <v>13</v>
      </c>
      <c r="E34" s="40">
        <f t="shared" si="14"/>
        <v>9.5518001469507719E-3</v>
      </c>
      <c r="F34" s="25">
        <v>291</v>
      </c>
      <c r="G34" s="25">
        <v>299</v>
      </c>
      <c r="H34" s="39">
        <f t="shared" si="15"/>
        <v>8</v>
      </c>
      <c r="I34" s="40">
        <f t="shared" si="16"/>
        <v>2.7491408934707903E-2</v>
      </c>
      <c r="J34" s="25">
        <v>34</v>
      </c>
      <c r="K34" s="25">
        <v>48</v>
      </c>
      <c r="L34" s="39">
        <f t="shared" si="17"/>
        <v>14</v>
      </c>
      <c r="M34" s="40">
        <f t="shared" si="21"/>
        <v>0.41176470588235292</v>
      </c>
      <c r="N34" s="25">
        <f t="shared" si="18"/>
        <v>1686</v>
      </c>
      <c r="O34" s="25">
        <f t="shared" si="18"/>
        <v>1721</v>
      </c>
      <c r="P34" s="41">
        <f t="shared" si="19"/>
        <v>35</v>
      </c>
      <c r="Q34" s="40">
        <f t="shared" si="20"/>
        <v>2.0759193357058125E-2</v>
      </c>
    </row>
    <row r="35" spans="1:17" ht="15.75" thickBot="1" x14ac:dyDescent="0.3">
      <c r="A35" s="26" t="s">
        <v>4</v>
      </c>
      <c r="B35" s="26">
        <f>B27+B28+B29+B30+B31+B32+B33+B34</f>
        <v>10703</v>
      </c>
      <c r="C35" s="26">
        <f>SUM(C27:C34)</f>
        <v>10848</v>
      </c>
      <c r="D35" s="39">
        <f t="shared" si="13"/>
        <v>145</v>
      </c>
      <c r="E35" s="40">
        <f t="shared" si="14"/>
        <v>1.354760347566103E-2</v>
      </c>
      <c r="F35" s="26">
        <f>F27+F28+F29+F30+F31+F32+F33+F34</f>
        <v>2260</v>
      </c>
      <c r="G35" s="42">
        <f>SUM(G27:G34)</f>
        <v>2326</v>
      </c>
      <c r="H35" s="39">
        <f t="shared" si="15"/>
        <v>66</v>
      </c>
      <c r="I35" s="40">
        <f t="shared" si="16"/>
        <v>2.9203539823008849E-2</v>
      </c>
      <c r="J35" s="26">
        <f>J27+J28+J29+J30+J31+J32+J33+J34</f>
        <v>774</v>
      </c>
      <c r="K35" s="26">
        <f>SUM(K27:K34)</f>
        <v>830</v>
      </c>
      <c r="L35" s="39">
        <f t="shared" si="17"/>
        <v>56</v>
      </c>
      <c r="M35" s="40">
        <f t="shared" si="21"/>
        <v>7.2351421188630485E-2</v>
      </c>
      <c r="N35" s="42">
        <f t="shared" si="18"/>
        <v>13737</v>
      </c>
      <c r="O35" s="26">
        <f t="shared" si="18"/>
        <v>14004</v>
      </c>
      <c r="P35" s="41">
        <f t="shared" si="19"/>
        <v>267</v>
      </c>
      <c r="Q35" s="40">
        <f t="shared" si="20"/>
        <v>1.9436558200480455E-2</v>
      </c>
    </row>
    <row r="36" spans="1:17" ht="15.75" thickBot="1" x14ac:dyDescent="0.3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17" ht="15.75" thickBot="1" x14ac:dyDescent="0.3">
      <c r="A37" s="27" t="s">
        <v>0</v>
      </c>
      <c r="B37" s="28" t="s">
        <v>1</v>
      </c>
      <c r="C37" s="29"/>
      <c r="D37" s="29"/>
      <c r="E37" s="30"/>
      <c r="F37" s="31" t="s">
        <v>2</v>
      </c>
      <c r="G37" s="32"/>
      <c r="H37" s="32"/>
      <c r="I37" s="33"/>
      <c r="J37" s="34" t="s">
        <v>3</v>
      </c>
      <c r="K37" s="29"/>
      <c r="L37" s="29"/>
      <c r="M37" s="30"/>
      <c r="N37" s="31" t="s">
        <v>4</v>
      </c>
      <c r="O37" s="32"/>
      <c r="P37" s="32"/>
      <c r="Q37" s="33"/>
    </row>
    <row r="38" spans="1:17" ht="26.25" thickBot="1" x14ac:dyDescent="0.3">
      <c r="A38" s="35"/>
      <c r="B38" s="43">
        <v>41426</v>
      </c>
      <c r="C38" s="24">
        <v>41791</v>
      </c>
      <c r="D38" s="36" t="s">
        <v>5</v>
      </c>
      <c r="E38" s="37" t="s">
        <v>6</v>
      </c>
      <c r="F38" s="44">
        <v>41426</v>
      </c>
      <c r="G38" s="24">
        <v>41791</v>
      </c>
      <c r="H38" s="36" t="s">
        <v>5</v>
      </c>
      <c r="I38" s="37" t="s">
        <v>6</v>
      </c>
      <c r="J38" s="44">
        <v>41426</v>
      </c>
      <c r="K38" s="24">
        <v>41791</v>
      </c>
      <c r="L38" s="36" t="s">
        <v>5</v>
      </c>
      <c r="M38" s="37" t="s">
        <v>6</v>
      </c>
      <c r="N38" s="44">
        <v>41426</v>
      </c>
      <c r="O38" s="24">
        <v>41791</v>
      </c>
      <c r="P38" s="38" t="s">
        <v>5</v>
      </c>
      <c r="Q38" s="37" t="s">
        <v>6</v>
      </c>
    </row>
    <row r="39" spans="1:17" ht="15.75" thickBot="1" x14ac:dyDescent="0.3">
      <c r="A39" s="26" t="s">
        <v>7</v>
      </c>
      <c r="B39" s="45">
        <v>342</v>
      </c>
      <c r="C39" s="25">
        <v>344</v>
      </c>
      <c r="D39" s="39">
        <f t="shared" ref="D39:D47" si="22">C39-B39</f>
        <v>2</v>
      </c>
      <c r="E39" s="40">
        <f t="shared" ref="E39:E47" si="23">(C39-B39)/B39</f>
        <v>5.8479532163742687E-3</v>
      </c>
      <c r="F39" s="45">
        <v>147</v>
      </c>
      <c r="G39" s="25">
        <v>122</v>
      </c>
      <c r="H39" s="39">
        <f t="shared" ref="H39:H47" si="24">G39-F39</f>
        <v>-25</v>
      </c>
      <c r="I39" s="40">
        <f>(G39-F39)/F39</f>
        <v>-0.17006802721088435</v>
      </c>
      <c r="J39" s="45">
        <v>0</v>
      </c>
      <c r="K39" s="25">
        <v>0</v>
      </c>
      <c r="L39" s="39">
        <f t="shared" ref="L39:L47" si="25">K39-J39</f>
        <v>0</v>
      </c>
      <c r="M39" s="40">
        <v>0</v>
      </c>
      <c r="N39" s="45">
        <f t="shared" ref="N39:N47" si="26">SUM(B39,F39,J39)</f>
        <v>489</v>
      </c>
      <c r="O39" s="25">
        <f t="shared" ref="O39:O47" si="27">C39+G39+K39</f>
        <v>466</v>
      </c>
      <c r="P39" s="41">
        <f t="shared" ref="P39:P47" si="28">O39-N39</f>
        <v>-23</v>
      </c>
      <c r="Q39" s="40">
        <f t="shared" ref="Q39:Q47" si="29">(O39-N39)/N39</f>
        <v>-4.7034764826175871E-2</v>
      </c>
    </row>
    <row r="40" spans="1:17" ht="15.75" thickBot="1" x14ac:dyDescent="0.3">
      <c r="A40" s="26" t="s">
        <v>8</v>
      </c>
      <c r="B40" s="46">
        <v>20</v>
      </c>
      <c r="C40" s="25">
        <v>13</v>
      </c>
      <c r="D40" s="39">
        <f t="shared" si="22"/>
        <v>-7</v>
      </c>
      <c r="E40" s="40">
        <f t="shared" si="23"/>
        <v>-0.35</v>
      </c>
      <c r="F40" s="46">
        <v>0</v>
      </c>
      <c r="G40" s="25">
        <v>3</v>
      </c>
      <c r="H40" s="39">
        <f t="shared" si="24"/>
        <v>3</v>
      </c>
      <c r="I40" s="40">
        <v>1</v>
      </c>
      <c r="J40" s="46">
        <v>0</v>
      </c>
      <c r="K40" s="25">
        <v>0</v>
      </c>
      <c r="L40" s="39">
        <f t="shared" si="25"/>
        <v>0</v>
      </c>
      <c r="M40" s="40">
        <v>0</v>
      </c>
      <c r="N40" s="45">
        <f t="shared" si="26"/>
        <v>20</v>
      </c>
      <c r="O40" s="25">
        <f t="shared" si="27"/>
        <v>16</v>
      </c>
      <c r="P40" s="41">
        <f t="shared" si="28"/>
        <v>-4</v>
      </c>
      <c r="Q40" s="40">
        <f t="shared" si="29"/>
        <v>-0.2</v>
      </c>
    </row>
    <row r="41" spans="1:17" ht="15.75" thickBot="1" x14ac:dyDescent="0.3">
      <c r="A41" s="26">
        <v>1</v>
      </c>
      <c r="B41" s="46">
        <v>2330</v>
      </c>
      <c r="C41" s="25">
        <v>2394</v>
      </c>
      <c r="D41" s="39">
        <f t="shared" si="22"/>
        <v>64</v>
      </c>
      <c r="E41" s="40">
        <f t="shared" si="23"/>
        <v>2.7467811158798282E-2</v>
      </c>
      <c r="F41" s="46">
        <v>730</v>
      </c>
      <c r="G41" s="25">
        <v>698</v>
      </c>
      <c r="H41" s="39">
        <f t="shared" si="24"/>
        <v>-32</v>
      </c>
      <c r="I41" s="40">
        <f t="shared" ref="I41:I47" si="30">(G41-F41)/F41</f>
        <v>-4.3835616438356165E-2</v>
      </c>
      <c r="J41" s="46">
        <v>233</v>
      </c>
      <c r="K41" s="25">
        <v>209</v>
      </c>
      <c r="L41" s="39">
        <f t="shared" si="25"/>
        <v>-24</v>
      </c>
      <c r="M41" s="40">
        <f t="shared" ref="M41:M47" si="31">(K41-J41)/J41</f>
        <v>-0.10300429184549356</v>
      </c>
      <c r="N41" s="45">
        <f t="shared" si="26"/>
        <v>3293</v>
      </c>
      <c r="O41" s="25">
        <f t="shared" si="27"/>
        <v>3301</v>
      </c>
      <c r="P41" s="41">
        <f t="shared" si="28"/>
        <v>8</v>
      </c>
      <c r="Q41" s="40">
        <f t="shared" si="29"/>
        <v>2.4293956878226543E-3</v>
      </c>
    </row>
    <row r="42" spans="1:17" ht="15.75" thickBot="1" x14ac:dyDescent="0.3">
      <c r="A42" s="26">
        <v>2</v>
      </c>
      <c r="B42" s="46">
        <v>2080</v>
      </c>
      <c r="C42" s="25">
        <v>2133</v>
      </c>
      <c r="D42" s="39">
        <f t="shared" si="22"/>
        <v>53</v>
      </c>
      <c r="E42" s="40">
        <f t="shared" si="23"/>
        <v>2.548076923076923E-2</v>
      </c>
      <c r="F42" s="46">
        <v>409</v>
      </c>
      <c r="G42" s="25">
        <v>403</v>
      </c>
      <c r="H42" s="39">
        <f t="shared" si="24"/>
        <v>-6</v>
      </c>
      <c r="I42" s="40">
        <f t="shared" si="30"/>
        <v>-1.4669926650366748E-2</v>
      </c>
      <c r="J42" s="46">
        <v>274</v>
      </c>
      <c r="K42" s="25">
        <v>248</v>
      </c>
      <c r="L42" s="39">
        <f t="shared" si="25"/>
        <v>-26</v>
      </c>
      <c r="M42" s="40">
        <f t="shared" si="31"/>
        <v>-9.4890510948905105E-2</v>
      </c>
      <c r="N42" s="45">
        <f t="shared" si="26"/>
        <v>2763</v>
      </c>
      <c r="O42" s="25">
        <f t="shared" si="27"/>
        <v>2784</v>
      </c>
      <c r="P42" s="41">
        <f t="shared" si="28"/>
        <v>21</v>
      </c>
      <c r="Q42" s="40">
        <f t="shared" si="29"/>
        <v>7.6004343105320303E-3</v>
      </c>
    </row>
    <row r="43" spans="1:17" ht="15.75" thickBot="1" x14ac:dyDescent="0.3">
      <c r="A43" s="26">
        <v>3</v>
      </c>
      <c r="B43" s="46">
        <v>1164</v>
      </c>
      <c r="C43" s="25">
        <v>1167</v>
      </c>
      <c r="D43" s="39">
        <f t="shared" si="22"/>
        <v>3</v>
      </c>
      <c r="E43" s="40">
        <f t="shared" si="23"/>
        <v>2.5773195876288659E-3</v>
      </c>
      <c r="F43" s="46">
        <v>203</v>
      </c>
      <c r="G43" s="25">
        <v>184</v>
      </c>
      <c r="H43" s="39">
        <f t="shared" si="24"/>
        <v>-19</v>
      </c>
      <c r="I43" s="40">
        <f t="shared" si="30"/>
        <v>-9.3596059113300489E-2</v>
      </c>
      <c r="J43" s="46">
        <v>68</v>
      </c>
      <c r="K43" s="25">
        <v>77</v>
      </c>
      <c r="L43" s="39">
        <f t="shared" si="25"/>
        <v>9</v>
      </c>
      <c r="M43" s="40">
        <f t="shared" si="31"/>
        <v>0.13235294117647059</v>
      </c>
      <c r="N43" s="45">
        <f t="shared" si="26"/>
        <v>1435</v>
      </c>
      <c r="O43" s="25">
        <f t="shared" si="27"/>
        <v>1428</v>
      </c>
      <c r="P43" s="41">
        <f t="shared" si="28"/>
        <v>-7</v>
      </c>
      <c r="Q43" s="40">
        <f t="shared" si="29"/>
        <v>-4.8780487804878049E-3</v>
      </c>
    </row>
    <row r="44" spans="1:17" ht="15.75" thickBot="1" x14ac:dyDescent="0.3">
      <c r="A44" s="26">
        <v>4</v>
      </c>
      <c r="B44" s="46">
        <v>1372</v>
      </c>
      <c r="C44" s="25">
        <v>1482</v>
      </c>
      <c r="D44" s="39">
        <f t="shared" si="22"/>
        <v>110</v>
      </c>
      <c r="E44" s="40">
        <f t="shared" si="23"/>
        <v>8.0174927113702624E-2</v>
      </c>
      <c r="F44" s="46">
        <v>267</v>
      </c>
      <c r="G44" s="25">
        <v>251</v>
      </c>
      <c r="H44" s="39">
        <f t="shared" si="24"/>
        <v>-16</v>
      </c>
      <c r="I44" s="40">
        <f t="shared" si="30"/>
        <v>-5.9925093632958802E-2</v>
      </c>
      <c r="J44" s="46">
        <v>183</v>
      </c>
      <c r="K44" s="25">
        <v>158</v>
      </c>
      <c r="L44" s="39">
        <f t="shared" si="25"/>
        <v>-25</v>
      </c>
      <c r="M44" s="40">
        <f t="shared" si="31"/>
        <v>-0.13661202185792351</v>
      </c>
      <c r="N44" s="45">
        <f t="shared" si="26"/>
        <v>1822</v>
      </c>
      <c r="O44" s="25">
        <f t="shared" si="27"/>
        <v>1891</v>
      </c>
      <c r="P44" s="41">
        <f t="shared" si="28"/>
        <v>69</v>
      </c>
      <c r="Q44" s="40">
        <f t="shared" si="29"/>
        <v>3.7870472008781561E-2</v>
      </c>
    </row>
    <row r="45" spans="1:17" ht="15.75" thickBot="1" x14ac:dyDescent="0.3">
      <c r="A45" s="26">
        <v>5</v>
      </c>
      <c r="B45" s="46">
        <v>1817</v>
      </c>
      <c r="C45" s="25">
        <v>1809</v>
      </c>
      <c r="D45" s="39">
        <f t="shared" si="22"/>
        <v>-8</v>
      </c>
      <c r="E45" s="40">
        <f t="shared" si="23"/>
        <v>-4.4028618602091358E-3</v>
      </c>
      <c r="F45" s="46">
        <v>308</v>
      </c>
      <c r="G45" s="25">
        <v>308</v>
      </c>
      <c r="H45" s="39">
        <f t="shared" si="24"/>
        <v>0</v>
      </c>
      <c r="I45" s="40">
        <f t="shared" si="30"/>
        <v>0</v>
      </c>
      <c r="J45" s="46">
        <v>49</v>
      </c>
      <c r="K45" s="25">
        <v>48</v>
      </c>
      <c r="L45" s="39">
        <f t="shared" si="25"/>
        <v>-1</v>
      </c>
      <c r="M45" s="40">
        <f t="shared" si="31"/>
        <v>-2.0408163265306121E-2</v>
      </c>
      <c r="N45" s="45">
        <f t="shared" si="26"/>
        <v>2174</v>
      </c>
      <c r="O45" s="25">
        <f t="shared" si="27"/>
        <v>2165</v>
      </c>
      <c r="P45" s="41">
        <f t="shared" si="28"/>
        <v>-9</v>
      </c>
      <c r="Q45" s="40">
        <f t="shared" si="29"/>
        <v>-4.1398344066237349E-3</v>
      </c>
    </row>
    <row r="46" spans="1:17" ht="15.75" thickBot="1" x14ac:dyDescent="0.3">
      <c r="A46" s="26">
        <v>6</v>
      </c>
      <c r="B46" s="46">
        <v>1343</v>
      </c>
      <c r="C46" s="25">
        <v>1361</v>
      </c>
      <c r="D46" s="39">
        <f t="shared" si="22"/>
        <v>18</v>
      </c>
      <c r="E46" s="40">
        <f t="shared" si="23"/>
        <v>1.3402829486224869E-2</v>
      </c>
      <c r="F46" s="46">
        <v>293</v>
      </c>
      <c r="G46" s="25">
        <v>291</v>
      </c>
      <c r="H46" s="39">
        <f t="shared" si="24"/>
        <v>-2</v>
      </c>
      <c r="I46" s="40">
        <f t="shared" si="30"/>
        <v>-6.8259385665529011E-3</v>
      </c>
      <c r="J46" s="46">
        <v>46</v>
      </c>
      <c r="K46" s="25">
        <v>34</v>
      </c>
      <c r="L46" s="39">
        <f t="shared" si="25"/>
        <v>-12</v>
      </c>
      <c r="M46" s="40">
        <f t="shared" si="31"/>
        <v>-0.2608695652173913</v>
      </c>
      <c r="N46" s="45">
        <f t="shared" si="26"/>
        <v>1682</v>
      </c>
      <c r="O46" s="25">
        <f t="shared" si="27"/>
        <v>1686</v>
      </c>
      <c r="P46" s="41">
        <f t="shared" si="28"/>
        <v>4</v>
      </c>
      <c r="Q46" s="40">
        <f t="shared" si="29"/>
        <v>2.3781212841854932E-3</v>
      </c>
    </row>
    <row r="47" spans="1:17" ht="15.75" thickBot="1" x14ac:dyDescent="0.3">
      <c r="A47" s="26" t="s">
        <v>4</v>
      </c>
      <c r="B47" s="47">
        <f>SUM(B39:B46)</f>
        <v>10468</v>
      </c>
      <c r="C47" s="26">
        <f>C39+C40+C41+C42+C43+C44+C45+C46</f>
        <v>10703</v>
      </c>
      <c r="D47" s="39">
        <f t="shared" si="22"/>
        <v>235</v>
      </c>
      <c r="E47" s="40">
        <f t="shared" si="23"/>
        <v>2.2449369507069165E-2</v>
      </c>
      <c r="F47" s="47">
        <f>SUM(F39:F46)</f>
        <v>2357</v>
      </c>
      <c r="G47" s="26">
        <f>G39+G40+G41+G42+G43+G44+G45+G46</f>
        <v>2260</v>
      </c>
      <c r="H47" s="39">
        <f t="shared" si="24"/>
        <v>-97</v>
      </c>
      <c r="I47" s="40">
        <f t="shared" si="30"/>
        <v>-4.1154009333899025E-2</v>
      </c>
      <c r="J47" s="47">
        <f>SUM(J39:J46)</f>
        <v>853</v>
      </c>
      <c r="K47" s="26">
        <f>K39+K40+K41+K42+K43+K44+K45+K46</f>
        <v>774</v>
      </c>
      <c r="L47" s="39">
        <f t="shared" si="25"/>
        <v>-79</v>
      </c>
      <c r="M47" s="40">
        <f t="shared" si="31"/>
        <v>-9.2614302461899181E-2</v>
      </c>
      <c r="N47" s="48">
        <f t="shared" si="26"/>
        <v>13678</v>
      </c>
      <c r="O47" s="26">
        <f t="shared" si="27"/>
        <v>13737</v>
      </c>
      <c r="P47" s="41">
        <f t="shared" si="28"/>
        <v>59</v>
      </c>
      <c r="Q47" s="40">
        <f t="shared" si="29"/>
        <v>4.3134961251644977E-3</v>
      </c>
    </row>
    <row r="48" spans="1:17" ht="15.75" thickBot="1" x14ac:dyDescent="0.3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</row>
    <row r="49" spans="1:17" ht="15.75" thickBot="1" x14ac:dyDescent="0.3">
      <c r="A49" s="51" t="s">
        <v>0</v>
      </c>
      <c r="B49" s="52" t="s">
        <v>1</v>
      </c>
      <c r="C49" s="53"/>
      <c r="D49" s="53"/>
      <c r="E49" s="54"/>
      <c r="F49" s="55" t="s">
        <v>2</v>
      </c>
      <c r="G49" s="56"/>
      <c r="H49" s="56"/>
      <c r="I49" s="57"/>
      <c r="J49" s="58" t="s">
        <v>3</v>
      </c>
      <c r="K49" s="53"/>
      <c r="L49" s="53"/>
      <c r="M49" s="54"/>
      <c r="N49" s="55" t="s">
        <v>4</v>
      </c>
      <c r="O49" s="56"/>
      <c r="P49" s="56"/>
      <c r="Q49" s="57"/>
    </row>
    <row r="50" spans="1:17" ht="26.25" thickBot="1" x14ac:dyDescent="0.3">
      <c r="A50" s="59"/>
      <c r="B50" s="60">
        <v>41061</v>
      </c>
      <c r="C50" s="60">
        <v>41426</v>
      </c>
      <c r="D50" s="61" t="s">
        <v>5</v>
      </c>
      <c r="E50" s="62" t="s">
        <v>6</v>
      </c>
      <c r="F50" s="60">
        <v>41061</v>
      </c>
      <c r="G50" s="60">
        <v>41426</v>
      </c>
      <c r="H50" s="61" t="s">
        <v>5</v>
      </c>
      <c r="I50" s="62" t="s">
        <v>6</v>
      </c>
      <c r="J50" s="60">
        <v>41061</v>
      </c>
      <c r="K50" s="60">
        <v>41426</v>
      </c>
      <c r="L50" s="61" t="s">
        <v>5</v>
      </c>
      <c r="M50" s="62" t="s">
        <v>6</v>
      </c>
      <c r="N50" s="60">
        <v>41061</v>
      </c>
      <c r="O50" s="60">
        <v>41426</v>
      </c>
      <c r="P50" s="63" t="s">
        <v>5</v>
      </c>
      <c r="Q50" s="62" t="s">
        <v>6</v>
      </c>
    </row>
    <row r="51" spans="1:17" ht="15.75" thickBot="1" x14ac:dyDescent="0.3">
      <c r="A51" s="64" t="s">
        <v>9</v>
      </c>
      <c r="B51" s="65">
        <v>324</v>
      </c>
      <c r="C51" s="66">
        <v>342</v>
      </c>
      <c r="D51" s="67">
        <f t="shared" ref="D51:D59" si="32">C51-B51</f>
        <v>18</v>
      </c>
      <c r="E51" s="68">
        <f t="shared" ref="E51:E59" si="33">(C51-B51)/B51</f>
        <v>5.5555555555555552E-2</v>
      </c>
      <c r="F51" s="66">
        <v>174</v>
      </c>
      <c r="G51" s="66">
        <v>147</v>
      </c>
      <c r="H51" s="67">
        <f t="shared" ref="H51:H59" si="34">G51-F51</f>
        <v>-27</v>
      </c>
      <c r="I51" s="68">
        <f t="shared" ref="I51:I59" si="35">(G51-F51)/F51</f>
        <v>-0.15517241379310345</v>
      </c>
      <c r="J51" s="66">
        <v>0</v>
      </c>
      <c r="K51" s="66">
        <v>0</v>
      </c>
      <c r="L51" s="67">
        <f t="shared" ref="L51:L59" si="36">K51-J51</f>
        <v>0</v>
      </c>
      <c r="M51" s="68">
        <v>0</v>
      </c>
      <c r="N51" s="66">
        <v>498</v>
      </c>
      <c r="O51" s="66">
        <v>489</v>
      </c>
      <c r="P51" s="69">
        <f t="shared" ref="P51:P59" si="37">O51-N51</f>
        <v>-9</v>
      </c>
      <c r="Q51" s="70">
        <f t="shared" ref="Q51:Q59" si="38">(O51-N51)/N51</f>
        <v>-1.8072289156626505E-2</v>
      </c>
    </row>
    <row r="52" spans="1:17" ht="15.75" thickBot="1" x14ac:dyDescent="0.3">
      <c r="A52" s="71" t="s">
        <v>8</v>
      </c>
      <c r="B52" s="72">
        <v>24</v>
      </c>
      <c r="C52" s="72">
        <v>20</v>
      </c>
      <c r="D52" s="67">
        <f t="shared" si="32"/>
        <v>-4</v>
      </c>
      <c r="E52" s="68">
        <f t="shared" si="33"/>
        <v>-0.16666666666666666</v>
      </c>
      <c r="F52" s="72">
        <v>2</v>
      </c>
      <c r="G52" s="72">
        <v>0</v>
      </c>
      <c r="H52" s="67">
        <f t="shared" si="34"/>
        <v>-2</v>
      </c>
      <c r="I52" s="68">
        <f t="shared" si="35"/>
        <v>-1</v>
      </c>
      <c r="J52" s="72">
        <v>0</v>
      </c>
      <c r="K52" s="72">
        <v>0</v>
      </c>
      <c r="L52" s="67">
        <f t="shared" si="36"/>
        <v>0</v>
      </c>
      <c r="M52" s="68">
        <v>0</v>
      </c>
      <c r="N52" s="72">
        <v>26</v>
      </c>
      <c r="O52" s="72">
        <v>20</v>
      </c>
      <c r="P52" s="69">
        <f t="shared" si="37"/>
        <v>-6</v>
      </c>
      <c r="Q52" s="70">
        <f t="shared" si="38"/>
        <v>-0.23076923076923078</v>
      </c>
    </row>
    <row r="53" spans="1:17" ht="15.75" thickBot="1" x14ac:dyDescent="0.3">
      <c r="A53" s="73">
        <v>1</v>
      </c>
      <c r="B53" s="72">
        <v>2346</v>
      </c>
      <c r="C53" s="72">
        <v>2330</v>
      </c>
      <c r="D53" s="67">
        <f t="shared" si="32"/>
        <v>-16</v>
      </c>
      <c r="E53" s="68">
        <f t="shared" si="33"/>
        <v>-6.8201193520886615E-3</v>
      </c>
      <c r="F53" s="72">
        <v>722</v>
      </c>
      <c r="G53" s="72">
        <v>730</v>
      </c>
      <c r="H53" s="67">
        <f t="shared" si="34"/>
        <v>8</v>
      </c>
      <c r="I53" s="68">
        <f t="shared" si="35"/>
        <v>1.1080332409972299E-2</v>
      </c>
      <c r="J53" s="72">
        <v>281</v>
      </c>
      <c r="K53" s="72">
        <v>233</v>
      </c>
      <c r="L53" s="67">
        <f t="shared" si="36"/>
        <v>-48</v>
      </c>
      <c r="M53" s="68">
        <f t="shared" ref="M53:M59" si="39">(K53-J53)/J53</f>
        <v>-0.1708185053380783</v>
      </c>
      <c r="N53" s="72">
        <v>3349</v>
      </c>
      <c r="O53" s="72">
        <v>3293</v>
      </c>
      <c r="P53" s="69">
        <f t="shared" si="37"/>
        <v>-56</v>
      </c>
      <c r="Q53" s="70">
        <f t="shared" si="38"/>
        <v>-1.6721409375933114E-2</v>
      </c>
    </row>
    <row r="54" spans="1:17" ht="15.75" thickBot="1" x14ac:dyDescent="0.3">
      <c r="A54" s="73">
        <v>2</v>
      </c>
      <c r="B54" s="72">
        <v>2047</v>
      </c>
      <c r="C54" s="72">
        <v>2080</v>
      </c>
      <c r="D54" s="67">
        <f t="shared" si="32"/>
        <v>33</v>
      </c>
      <c r="E54" s="68">
        <f t="shared" si="33"/>
        <v>1.6121152906692721E-2</v>
      </c>
      <c r="F54" s="72">
        <v>409</v>
      </c>
      <c r="G54" s="72">
        <v>409</v>
      </c>
      <c r="H54" s="67">
        <f t="shared" si="34"/>
        <v>0</v>
      </c>
      <c r="I54" s="68">
        <f t="shared" si="35"/>
        <v>0</v>
      </c>
      <c r="J54" s="72">
        <v>278</v>
      </c>
      <c r="K54" s="72">
        <v>274</v>
      </c>
      <c r="L54" s="67">
        <f t="shared" si="36"/>
        <v>-4</v>
      </c>
      <c r="M54" s="68">
        <f t="shared" si="39"/>
        <v>-1.4388489208633094E-2</v>
      </c>
      <c r="N54" s="72">
        <v>2734</v>
      </c>
      <c r="O54" s="72">
        <v>2763</v>
      </c>
      <c r="P54" s="69">
        <f t="shared" si="37"/>
        <v>29</v>
      </c>
      <c r="Q54" s="70">
        <f t="shared" si="38"/>
        <v>1.0607168983174835E-2</v>
      </c>
    </row>
    <row r="55" spans="1:17" ht="15.75" thickBot="1" x14ac:dyDescent="0.3">
      <c r="A55" s="73">
        <v>3</v>
      </c>
      <c r="B55" s="72">
        <v>1148</v>
      </c>
      <c r="C55" s="72">
        <v>1164</v>
      </c>
      <c r="D55" s="67">
        <f t="shared" si="32"/>
        <v>16</v>
      </c>
      <c r="E55" s="68">
        <f t="shared" si="33"/>
        <v>1.3937282229965157E-2</v>
      </c>
      <c r="F55" s="72">
        <v>205</v>
      </c>
      <c r="G55" s="72">
        <v>203</v>
      </c>
      <c r="H55" s="67">
        <f t="shared" si="34"/>
        <v>-2</v>
      </c>
      <c r="I55" s="68">
        <f t="shared" si="35"/>
        <v>-9.7560975609756097E-3</v>
      </c>
      <c r="J55" s="72">
        <v>85</v>
      </c>
      <c r="K55" s="72">
        <v>68</v>
      </c>
      <c r="L55" s="67">
        <f t="shared" si="36"/>
        <v>-17</v>
      </c>
      <c r="M55" s="68">
        <f t="shared" si="39"/>
        <v>-0.2</v>
      </c>
      <c r="N55" s="72">
        <v>1438</v>
      </c>
      <c r="O55" s="72">
        <v>1435</v>
      </c>
      <c r="P55" s="69">
        <f t="shared" si="37"/>
        <v>-3</v>
      </c>
      <c r="Q55" s="70">
        <f t="shared" si="38"/>
        <v>-2.086230876216968E-3</v>
      </c>
    </row>
    <row r="56" spans="1:17" ht="15.75" thickBot="1" x14ac:dyDescent="0.3">
      <c r="A56" s="73">
        <v>4</v>
      </c>
      <c r="B56" s="72">
        <v>1367</v>
      </c>
      <c r="C56" s="72">
        <v>1372</v>
      </c>
      <c r="D56" s="67">
        <f t="shared" si="32"/>
        <v>5</v>
      </c>
      <c r="E56" s="68">
        <f t="shared" si="33"/>
        <v>3.6576444769568397E-3</v>
      </c>
      <c r="F56" s="72">
        <v>299</v>
      </c>
      <c r="G56" s="72">
        <v>267</v>
      </c>
      <c r="H56" s="67">
        <f t="shared" si="34"/>
        <v>-32</v>
      </c>
      <c r="I56" s="68">
        <f t="shared" si="35"/>
        <v>-0.10702341137123746</v>
      </c>
      <c r="J56" s="72">
        <v>189</v>
      </c>
      <c r="K56" s="72">
        <v>183</v>
      </c>
      <c r="L56" s="67">
        <f t="shared" si="36"/>
        <v>-6</v>
      </c>
      <c r="M56" s="68">
        <f t="shared" si="39"/>
        <v>-3.1746031746031744E-2</v>
      </c>
      <c r="N56" s="72">
        <v>1855</v>
      </c>
      <c r="O56" s="72">
        <v>1822</v>
      </c>
      <c r="P56" s="69">
        <f t="shared" si="37"/>
        <v>-33</v>
      </c>
      <c r="Q56" s="70">
        <f t="shared" si="38"/>
        <v>-1.778975741239892E-2</v>
      </c>
    </row>
    <row r="57" spans="1:17" ht="15.75" thickBot="1" x14ac:dyDescent="0.3">
      <c r="A57" s="73">
        <v>5</v>
      </c>
      <c r="B57" s="72">
        <v>1778</v>
      </c>
      <c r="C57" s="72">
        <v>1817</v>
      </c>
      <c r="D57" s="67">
        <f t="shared" si="32"/>
        <v>39</v>
      </c>
      <c r="E57" s="68">
        <f t="shared" si="33"/>
        <v>2.1934758155230598E-2</v>
      </c>
      <c r="F57" s="72">
        <v>324</v>
      </c>
      <c r="G57" s="72">
        <v>308</v>
      </c>
      <c r="H57" s="67">
        <f t="shared" si="34"/>
        <v>-16</v>
      </c>
      <c r="I57" s="68">
        <f t="shared" si="35"/>
        <v>-4.9382716049382713E-2</v>
      </c>
      <c r="J57" s="72">
        <v>64</v>
      </c>
      <c r="K57" s="72">
        <v>49</v>
      </c>
      <c r="L57" s="67">
        <f t="shared" si="36"/>
        <v>-15</v>
      </c>
      <c r="M57" s="68">
        <f t="shared" si="39"/>
        <v>-0.234375</v>
      </c>
      <c r="N57" s="72">
        <v>2166</v>
      </c>
      <c r="O57" s="72">
        <v>2174</v>
      </c>
      <c r="P57" s="69">
        <f t="shared" si="37"/>
        <v>8</v>
      </c>
      <c r="Q57" s="70">
        <f t="shared" si="38"/>
        <v>3.6934441366574329E-3</v>
      </c>
    </row>
    <row r="58" spans="1:17" ht="15.75" thickBot="1" x14ac:dyDescent="0.3">
      <c r="A58" s="74">
        <v>6</v>
      </c>
      <c r="B58" s="72">
        <v>1344</v>
      </c>
      <c r="C58" s="72">
        <v>1343</v>
      </c>
      <c r="D58" s="67">
        <f t="shared" si="32"/>
        <v>-1</v>
      </c>
      <c r="E58" s="68">
        <f t="shared" si="33"/>
        <v>-7.4404761904761901E-4</v>
      </c>
      <c r="F58" s="72">
        <v>313</v>
      </c>
      <c r="G58" s="72">
        <v>293</v>
      </c>
      <c r="H58" s="67">
        <f t="shared" si="34"/>
        <v>-20</v>
      </c>
      <c r="I58" s="68">
        <f t="shared" si="35"/>
        <v>-6.3897763578274758E-2</v>
      </c>
      <c r="J58" s="72">
        <v>55</v>
      </c>
      <c r="K58" s="72">
        <v>46</v>
      </c>
      <c r="L58" s="67">
        <f t="shared" si="36"/>
        <v>-9</v>
      </c>
      <c r="M58" s="68">
        <f t="shared" si="39"/>
        <v>-0.16363636363636364</v>
      </c>
      <c r="N58" s="72">
        <v>1712</v>
      </c>
      <c r="O58" s="72">
        <v>1682</v>
      </c>
      <c r="P58" s="69">
        <f t="shared" si="37"/>
        <v>-30</v>
      </c>
      <c r="Q58" s="70">
        <f t="shared" si="38"/>
        <v>-1.7523364485981307E-2</v>
      </c>
    </row>
    <row r="59" spans="1:17" ht="15.75" thickBot="1" x14ac:dyDescent="0.3">
      <c r="A59" s="75" t="s">
        <v>4</v>
      </c>
      <c r="B59" s="76">
        <v>10378</v>
      </c>
      <c r="C59" s="76">
        <v>10468</v>
      </c>
      <c r="D59" s="67">
        <f t="shared" si="32"/>
        <v>90</v>
      </c>
      <c r="E59" s="68">
        <f t="shared" si="33"/>
        <v>8.6721911736365384E-3</v>
      </c>
      <c r="F59" s="76">
        <v>2448</v>
      </c>
      <c r="G59" s="76">
        <v>2357</v>
      </c>
      <c r="H59" s="67">
        <f t="shared" si="34"/>
        <v>-91</v>
      </c>
      <c r="I59" s="68">
        <f t="shared" si="35"/>
        <v>-3.7173202614379085E-2</v>
      </c>
      <c r="J59" s="76">
        <v>952</v>
      </c>
      <c r="K59" s="76">
        <v>853</v>
      </c>
      <c r="L59" s="77">
        <f t="shared" si="36"/>
        <v>-99</v>
      </c>
      <c r="M59" s="68">
        <f t="shared" si="39"/>
        <v>-0.10399159663865547</v>
      </c>
      <c r="N59" s="76">
        <v>13778</v>
      </c>
      <c r="O59" s="76">
        <v>13678</v>
      </c>
      <c r="P59" s="69">
        <f t="shared" si="37"/>
        <v>-100</v>
      </c>
      <c r="Q59" s="70">
        <f t="shared" si="38"/>
        <v>-7.2579474524604439E-3</v>
      </c>
    </row>
  </sheetData>
  <mergeCells count="25">
    <mergeCell ref="A49:A50"/>
    <mergeCell ref="B49:E49"/>
    <mergeCell ref="F49:I49"/>
    <mergeCell ref="J49:M49"/>
    <mergeCell ref="N49:Q49"/>
    <mergeCell ref="A25:A26"/>
    <mergeCell ref="B25:E25"/>
    <mergeCell ref="F25:I25"/>
    <mergeCell ref="J25:M25"/>
    <mergeCell ref="N25:Q25"/>
    <mergeCell ref="A37:A38"/>
    <mergeCell ref="B37:E37"/>
    <mergeCell ref="F37:I37"/>
    <mergeCell ref="J37:M37"/>
    <mergeCell ref="N37:Q37"/>
    <mergeCell ref="A1:A2"/>
    <mergeCell ref="B1:E1"/>
    <mergeCell ref="F1:I1"/>
    <mergeCell ref="J1:M1"/>
    <mergeCell ref="N1:Q1"/>
    <mergeCell ref="A13:A14"/>
    <mergeCell ref="B13:E13"/>
    <mergeCell ref="F13:I13"/>
    <mergeCell ref="J13:M13"/>
    <mergeCell ref="N13:Q13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 Vol #s</vt:lpstr>
    </vt:vector>
  </TitlesOfParts>
  <Company>ESO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Branka McIntyre</dc:creator>
  <cp:lastModifiedBy>Branka McIntyre</cp:lastModifiedBy>
  <dcterms:created xsi:type="dcterms:W3CDTF">2017-11-16T22:38:36Z</dcterms:created>
  <dcterms:modified xsi:type="dcterms:W3CDTF">2017-11-16T22:39:18Z</dcterms:modified>
</cp:coreProperties>
</file>