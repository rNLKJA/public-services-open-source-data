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Published/"/>
    </mc:Choice>
  </mc:AlternateContent>
  <xr:revisionPtr revIDLastSave="35" documentId="8_{DD0833AB-004A-4E67-B1E9-D5FF5F3D3577}" xr6:coauthVersionLast="47" xr6:coauthVersionMax="47" xr10:uidLastSave="{1D9D9912-B4B3-4DBB-A798-99F8446223F3}"/>
  <bookViews>
    <workbookView xWindow="29655" yWindow="150" windowWidth="26505" windowHeight="16620" xr2:uid="{0BB4EA5F-F5E9-4BBC-A6BD-A478169870DF}"/>
  </bookViews>
  <sheets>
    <sheet name="Table - SOMIH dwellings" sheetId="2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7" i="2" l="1"/>
  <c r="F77" i="2"/>
  <c r="N77" i="2"/>
  <c r="M77" i="2"/>
  <c r="L77" i="2"/>
  <c r="J77" i="2"/>
  <c r="I77" i="2"/>
  <c r="E77" i="2"/>
  <c r="C76" i="2"/>
  <c r="D77" i="2"/>
  <c r="G76" i="2"/>
  <c r="B77" i="2"/>
</calcChain>
</file>

<file path=xl/sharedStrings.xml><?xml version="1.0" encoding="utf-8"?>
<sst xmlns="http://schemas.openxmlformats.org/spreadsheetml/2006/main" count="195" uniqueCount="90">
  <si>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</si>
  <si>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</si>
  <si>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</si>
  <si>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</si>
  <si>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</si>
  <si>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</si>
  <si>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Number of bedrooms in dwelling</t>
  </si>
  <si>
    <t>Dwelling type</t>
  </si>
  <si>
    <t>Local Government Area</t>
  </si>
  <si>
    <t>Number of Dwellings</t>
  </si>
  <si>
    <t>Rate per 10,000 of all residential dwellings</t>
  </si>
  <si>
    <t>Tenantable Dwellings</t>
  </si>
  <si>
    <t>Untenantable Dwellings or undergoing major redevelopment</t>
  </si>
  <si>
    <t>Number of Occupied Dwellings</t>
  </si>
  <si>
    <t>% of Tenantable dwellings that are Occupied</t>
  </si>
  <si>
    <t>Average market rent of dwelling, 30 June</t>
  </si>
  <si>
    <t>1 or 2 bedrooms</t>
  </si>
  <si>
    <t>3 bedrooms</t>
  </si>
  <si>
    <t>4 or more bedrooms</t>
  </si>
  <si>
    <t>Separate houses</t>
  </si>
  <si>
    <t>Semi-detached</t>
  </si>
  <si>
    <t>Flat, unit or apartment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</si>
  <si>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</si>
  <si>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</si>
  <si>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</si>
  <si>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</si>
  <si>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</si>
  <si>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</si>
  <si>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</si>
  <si>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</si>
  <si>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</si>
  <si>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</si>
  <si>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</si>
  <si>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</si>
  <si>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</si>
  <si>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</si>
  <si>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</si>
  <si>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</si>
  <si>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</si>
  <si>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</si>
  <si>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</si>
  <si>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</si>
  <si>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</si>
  <si>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</si>
  <si>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</si>
  <si>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</si>
  <si>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</si>
  <si>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</si>
  <si>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</si>
  <si>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</si>
  <si>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</si>
  <si>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</si>
  <si>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</si>
  <si>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</si>
  <si>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</si>
  <si>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</si>
  <si>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</si>
  <si>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</si>
  <si>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</si>
  <si>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</si>
  <si>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</si>
  <si>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</si>
  <si>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</si>
  <si>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</si>
  <si>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</si>
  <si>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</si>
  <si>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</si>
  <si>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</si>
  <si>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</si>
  <si>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</si>
  <si>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</si>
  <si>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</si>
  <si>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</si>
  <si>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</si>
  <si>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</si>
  <si>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</si>
  <si>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</si>
  <si>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</si>
  <si>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</si>
  <si>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</si>
  <si>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</si>
  <si>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</si>
  <si>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</si>
  <si>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Total - dwellings</t>
  </si>
  <si>
    <t>% Total - dwellings</t>
  </si>
  <si>
    <t>Dwellings, at 30 June 2020 - State Owned and Managed Indigenous Housing</t>
  </si>
  <si>
    <t>Characteristics of State Owned and Managed Indigenous Housing Dwellings, as at 30 June 2020</t>
  </si>
  <si>
    <t>n.p.</t>
  </si>
  <si>
    <t/>
  </si>
  <si>
    <t>1. Counts are not provided where Local Government Areas (LGAs) have one to three dwellings in total, all counts for the LGA are replaced with "n.p."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</si>
</sst>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2" borderId="4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1" fontId="8" fillId="0" borderId="0" xfId="0" applyNumberFormat="1" applyFont="1"/>
    <xf numFmtId="9" fontId="8" fillId="0" borderId="0" xfId="0" applyNumberFormat="1" applyFont="1"/>
    <xf numFmtId="9" fontId="5" fillId="0" borderId="0" xfId="0" applyNumberFormat="1" applyFont="1"/>
    <xf numFmtId="0" fontId="9" fillId="0" borderId="0" xfId="0" applyFont="1"/>
    <xf numFmtId="0" fontId="10" fillId="0" borderId="0" xfId="0" applyFont="1"/>
    <xf numFmtId="0" fontId="7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5521-EBBF-48E4-AEE6-A85D5058F91E}">
  <sheetPr>
    <tabColor theme="9" tint="0.79998168889431442"/>
    <pageSetUpPr fitToPage="1"/>
  </sheetPr>
  <dimension ref="A1:N77"/>
  <sheetViews>
    <sheetView tabSelected="1" workbookViewId="0">
      <pane ySplit="14" topLeftCell="A15" activePane="bottomLeft" state="frozen"/>
      <selection activeCell="A7" sqref="A7"/>
      <selection pane="bottomLeft" activeCell="G19" sqref="G19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85</v>
      </c>
    </row>
    <row r="2" spans="1:14" x14ac:dyDescent="0.25">
      <c r="A2" s="2" t="s">
        <v>0</v>
      </c>
    </row>
    <row r="3" spans="1:14" x14ac:dyDescent="0.25">
      <c r="A3" s="19"/>
    </row>
    <row r="4" spans="1:14" s="20" customFormat="1" ht="12.75" x14ac:dyDescent="0.2">
      <c r="A4" s="3" t="s">
        <v>1</v>
      </c>
    </row>
    <row r="5" spans="1:14" s="20" customFormat="1" ht="12.75" x14ac:dyDescent="0.2">
      <c r="A5" s="3" t="s">
        <v>89</v>
      </c>
    </row>
    <row r="6" spans="1:14" s="20" customFormat="1" ht="12.75" x14ac:dyDescent="0.2">
      <c r="A6" s="3" t="s">
        <v>2</v>
      </c>
    </row>
    <row r="7" spans="1:14" s="20" customFormat="1" ht="12.75" x14ac:dyDescent="0.2">
      <c r="A7" s="3" t="s">
        <v>3</v>
      </c>
    </row>
    <row r="8" spans="1:14" s="20" customFormat="1" ht="12.75" x14ac:dyDescent="0.2">
      <c r="A8" s="3" t="s">
        <v>4</v>
      </c>
    </row>
    <row r="9" spans="1:14" s="20" customFormat="1" ht="12.75" x14ac:dyDescent="0.2">
      <c r="A9" s="4"/>
    </row>
    <row r="10" spans="1:14" s="20" customFormat="1" ht="12.75" x14ac:dyDescent="0.2">
      <c r="A10" s="3" t="s">
        <v>5</v>
      </c>
    </row>
    <row r="12" spans="1:14" x14ac:dyDescent="0.25">
      <c r="A12" s="5" t="s">
        <v>86</v>
      </c>
    </row>
    <row r="13" spans="1:14" x14ac:dyDescent="0.25">
      <c r="B13" s="6"/>
      <c r="C13" s="6"/>
      <c r="D13" s="6"/>
      <c r="E13" s="6"/>
      <c r="F13" s="6"/>
      <c r="G13" s="6"/>
      <c r="H13" s="6"/>
      <c r="I13" s="21" t="s">
        <v>6</v>
      </c>
      <c r="J13" s="22"/>
      <c r="K13" s="23"/>
      <c r="L13" s="21" t="s">
        <v>7</v>
      </c>
      <c r="M13" s="22"/>
      <c r="N13" s="23"/>
    </row>
    <row r="14" spans="1:14" ht="71.25" x14ac:dyDescent="0.25">
      <c r="A14" s="7" t="s">
        <v>8</v>
      </c>
      <c r="B14" s="8" t="s">
        <v>9</v>
      </c>
      <c r="C14" s="9" t="s">
        <v>10</v>
      </c>
      <c r="D14" s="8" t="s">
        <v>11</v>
      </c>
      <c r="E14" s="8" t="s">
        <v>12</v>
      </c>
      <c r="F14" s="8" t="s">
        <v>13</v>
      </c>
      <c r="G14" s="8" t="s">
        <v>14</v>
      </c>
      <c r="H14" s="8" t="s">
        <v>15</v>
      </c>
      <c r="I14" s="8" t="s">
        <v>16</v>
      </c>
      <c r="J14" s="8" t="s">
        <v>17</v>
      </c>
      <c r="K14" s="8" t="s">
        <v>18</v>
      </c>
      <c r="L14" s="8" t="s">
        <v>19</v>
      </c>
      <c r="M14" s="8" t="s">
        <v>20</v>
      </c>
      <c r="N14" s="8" t="s">
        <v>21</v>
      </c>
    </row>
    <row r="15" spans="1:14" x14ac:dyDescent="0.25">
      <c r="A15" s="6" t="s">
        <v>22</v>
      </c>
      <c r="B15" s="10">
        <v>0</v>
      </c>
      <c r="C15" s="11">
        <v>0</v>
      </c>
      <c r="D15" s="10">
        <v>0</v>
      </c>
      <c r="E15" s="10">
        <v>0</v>
      </c>
      <c r="F15" s="10">
        <v>0</v>
      </c>
      <c r="G15" s="12" t="s">
        <v>88</v>
      </c>
      <c r="H15" s="13" t="s">
        <v>88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4" x14ac:dyDescent="0.25">
      <c r="A16" s="6" t="s">
        <v>23</v>
      </c>
      <c r="B16" s="10">
        <v>0</v>
      </c>
      <c r="C16" s="11">
        <v>0</v>
      </c>
      <c r="D16" s="10">
        <v>0</v>
      </c>
      <c r="E16" s="10">
        <v>0</v>
      </c>
      <c r="F16" s="10">
        <v>0</v>
      </c>
      <c r="G16" s="12" t="s">
        <v>88</v>
      </c>
      <c r="H16" s="13" t="s">
        <v>88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25">
      <c r="A17" s="6" t="s">
        <v>24</v>
      </c>
      <c r="B17" s="10">
        <v>0</v>
      </c>
      <c r="C17" s="11">
        <v>0</v>
      </c>
      <c r="D17" s="10">
        <v>0</v>
      </c>
      <c r="E17" s="10">
        <v>0</v>
      </c>
      <c r="F17" s="10">
        <v>0</v>
      </c>
      <c r="G17" s="12" t="s">
        <v>88</v>
      </c>
      <c r="H17" s="13" t="s">
        <v>88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25">
      <c r="A18" s="6" t="s">
        <v>25</v>
      </c>
      <c r="B18" s="10">
        <v>0</v>
      </c>
      <c r="C18" s="11">
        <v>0</v>
      </c>
      <c r="D18" s="10">
        <v>0</v>
      </c>
      <c r="E18" s="10">
        <v>0</v>
      </c>
      <c r="F18" s="10">
        <v>0</v>
      </c>
      <c r="G18" s="12" t="s">
        <v>88</v>
      </c>
      <c r="H18" s="13" t="s">
        <v>88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x14ac:dyDescent="0.25">
      <c r="A19" s="6" t="s">
        <v>26</v>
      </c>
      <c r="B19" s="10">
        <v>25</v>
      </c>
      <c r="C19" s="11">
        <v>50.940316947301199</v>
      </c>
      <c r="D19" s="10">
        <v>25</v>
      </c>
      <c r="E19" s="10">
        <v>0</v>
      </c>
      <c r="F19" s="10">
        <v>25</v>
      </c>
      <c r="G19" s="12">
        <v>1</v>
      </c>
      <c r="H19" s="13">
        <v>205.46153846153845</v>
      </c>
      <c r="I19" s="10">
        <v>0</v>
      </c>
      <c r="J19" s="10">
        <v>20</v>
      </c>
      <c r="K19" s="10">
        <v>5</v>
      </c>
      <c r="L19" s="10">
        <v>25</v>
      </c>
      <c r="M19" s="10">
        <v>0</v>
      </c>
      <c r="N19" s="10">
        <v>0</v>
      </c>
    </row>
    <row r="20" spans="1:14" x14ac:dyDescent="0.25">
      <c r="A20" s="6" t="s">
        <v>27</v>
      </c>
      <c r="B20" s="10" t="s">
        <v>87</v>
      </c>
      <c r="C20" s="11" t="s">
        <v>87</v>
      </c>
      <c r="D20" s="10" t="s">
        <v>87</v>
      </c>
      <c r="E20" s="10" t="s">
        <v>87</v>
      </c>
      <c r="F20" s="10" t="s">
        <v>87</v>
      </c>
      <c r="G20" s="12" t="s">
        <v>87</v>
      </c>
      <c r="H20" s="13" t="s">
        <v>87</v>
      </c>
      <c r="I20" s="10" t="s">
        <v>87</v>
      </c>
      <c r="J20" s="10" t="s">
        <v>87</v>
      </c>
      <c r="K20" s="10" t="s">
        <v>87</v>
      </c>
      <c r="L20" s="10" t="s">
        <v>87</v>
      </c>
      <c r="M20" s="10" t="s">
        <v>87</v>
      </c>
      <c r="N20" s="10" t="s">
        <v>87</v>
      </c>
    </row>
    <row r="21" spans="1:14" x14ac:dyDescent="0.25">
      <c r="A21" s="6" t="s">
        <v>28</v>
      </c>
      <c r="B21" s="10" t="s">
        <v>87</v>
      </c>
      <c r="C21" s="11" t="s">
        <v>87</v>
      </c>
      <c r="D21" s="10" t="s">
        <v>87</v>
      </c>
      <c r="E21" s="10" t="s">
        <v>87</v>
      </c>
      <c r="F21" s="10" t="s">
        <v>87</v>
      </c>
      <c r="G21" s="12" t="s">
        <v>87</v>
      </c>
      <c r="H21" s="13" t="s">
        <v>87</v>
      </c>
      <c r="I21" s="10" t="s">
        <v>87</v>
      </c>
      <c r="J21" s="10" t="s">
        <v>87</v>
      </c>
      <c r="K21" s="10" t="s">
        <v>87</v>
      </c>
      <c r="L21" s="10" t="s">
        <v>87</v>
      </c>
      <c r="M21" s="10" t="s">
        <v>87</v>
      </c>
      <c r="N21" s="10" t="s">
        <v>87</v>
      </c>
    </row>
    <row r="22" spans="1:14" x14ac:dyDescent="0.25">
      <c r="A22" s="6" t="s">
        <v>29</v>
      </c>
      <c r="B22" s="10" t="s">
        <v>87</v>
      </c>
      <c r="C22" s="11" t="s">
        <v>87</v>
      </c>
      <c r="D22" s="10" t="s">
        <v>87</v>
      </c>
      <c r="E22" s="10" t="s">
        <v>87</v>
      </c>
      <c r="F22" s="10" t="s">
        <v>87</v>
      </c>
      <c r="G22" s="12" t="s">
        <v>87</v>
      </c>
      <c r="H22" s="13" t="s">
        <v>87</v>
      </c>
      <c r="I22" s="10" t="s">
        <v>87</v>
      </c>
      <c r="J22" s="10" t="s">
        <v>87</v>
      </c>
      <c r="K22" s="10" t="s">
        <v>87</v>
      </c>
      <c r="L22" s="10" t="s">
        <v>87</v>
      </c>
      <c r="M22" s="10" t="s">
        <v>87</v>
      </c>
      <c r="N22" s="10" t="s">
        <v>87</v>
      </c>
    </row>
    <row r="23" spans="1:14" x14ac:dyDescent="0.25">
      <c r="A23" s="6" t="s">
        <v>30</v>
      </c>
      <c r="B23" s="10">
        <v>60</v>
      </c>
      <c r="C23" s="11">
        <v>10.871724750021832</v>
      </c>
      <c r="D23" s="10">
        <v>55</v>
      </c>
      <c r="E23" s="10">
        <v>5</v>
      </c>
      <c r="F23" s="10">
        <v>50</v>
      </c>
      <c r="G23" s="12">
        <v>0.90909090909090906</v>
      </c>
      <c r="H23" s="13">
        <v>377.31034482758622</v>
      </c>
      <c r="I23" s="10">
        <v>25</v>
      </c>
      <c r="J23" s="10">
        <v>25</v>
      </c>
      <c r="K23" s="10">
        <v>10</v>
      </c>
      <c r="L23" s="10">
        <v>45</v>
      </c>
      <c r="M23" s="10">
        <v>10</v>
      </c>
      <c r="N23" s="10">
        <v>0</v>
      </c>
    </row>
    <row r="24" spans="1:14" x14ac:dyDescent="0.25">
      <c r="A24" s="6" t="s">
        <v>31</v>
      </c>
      <c r="B24" s="10">
        <v>10</v>
      </c>
      <c r="C24" s="11">
        <v>4.3683108610731569</v>
      </c>
      <c r="D24" s="10">
        <v>10</v>
      </c>
      <c r="E24" s="10">
        <v>0</v>
      </c>
      <c r="F24" s="10">
        <v>5</v>
      </c>
      <c r="G24" s="12">
        <v>0.5</v>
      </c>
      <c r="H24" s="13">
        <v>404.25</v>
      </c>
      <c r="I24" s="10">
        <v>0</v>
      </c>
      <c r="J24" s="10">
        <v>5</v>
      </c>
      <c r="K24" s="10">
        <v>0</v>
      </c>
      <c r="L24" s="10">
        <v>10</v>
      </c>
      <c r="M24" s="10">
        <v>0</v>
      </c>
      <c r="N24" s="10">
        <v>0</v>
      </c>
    </row>
    <row r="25" spans="1:14" x14ac:dyDescent="0.25">
      <c r="A25" s="6" t="s">
        <v>32</v>
      </c>
      <c r="B25" s="10">
        <v>50</v>
      </c>
      <c r="C25" s="11">
        <v>12.261290170963591</v>
      </c>
      <c r="D25" s="10">
        <v>50</v>
      </c>
      <c r="E25" s="10">
        <v>5</v>
      </c>
      <c r="F25" s="10">
        <v>45</v>
      </c>
      <c r="G25" s="12">
        <v>0.9</v>
      </c>
      <c r="H25" s="13">
        <v>368.15686274509807</v>
      </c>
      <c r="I25" s="10">
        <v>10</v>
      </c>
      <c r="J25" s="10">
        <v>35</v>
      </c>
      <c r="K25" s="10">
        <v>5</v>
      </c>
      <c r="L25" s="10">
        <v>45</v>
      </c>
      <c r="M25" s="10">
        <v>5</v>
      </c>
      <c r="N25" s="10">
        <v>0</v>
      </c>
    </row>
    <row r="26" spans="1:14" x14ac:dyDescent="0.25">
      <c r="A26" s="6" t="s">
        <v>33</v>
      </c>
      <c r="B26" s="10">
        <v>15</v>
      </c>
      <c r="C26" s="11">
        <v>5.5847141371460731</v>
      </c>
      <c r="D26" s="10">
        <v>15</v>
      </c>
      <c r="E26" s="10">
        <v>0</v>
      </c>
      <c r="F26" s="10">
        <v>15</v>
      </c>
      <c r="G26" s="12">
        <v>1</v>
      </c>
      <c r="H26" s="13">
        <v>380.93333333333334</v>
      </c>
      <c r="I26" s="10">
        <v>5</v>
      </c>
      <c r="J26" s="10">
        <v>5</v>
      </c>
      <c r="K26" s="10">
        <v>0</v>
      </c>
      <c r="L26" s="10">
        <v>10</v>
      </c>
      <c r="M26" s="10">
        <v>5</v>
      </c>
      <c r="N26" s="10">
        <v>0</v>
      </c>
    </row>
    <row r="27" spans="1:14" x14ac:dyDescent="0.25">
      <c r="A27" s="6" t="s">
        <v>34</v>
      </c>
      <c r="B27" s="10">
        <v>20</v>
      </c>
      <c r="C27" s="11">
        <v>14.335502391007033</v>
      </c>
      <c r="D27" s="10">
        <v>20</v>
      </c>
      <c r="E27" s="10">
        <v>0</v>
      </c>
      <c r="F27" s="10">
        <v>20</v>
      </c>
      <c r="G27" s="12">
        <v>1</v>
      </c>
      <c r="H27" s="13">
        <v>243</v>
      </c>
      <c r="I27" s="10">
        <v>0</v>
      </c>
      <c r="J27" s="10">
        <v>10</v>
      </c>
      <c r="K27" s="10">
        <v>5</v>
      </c>
      <c r="L27" s="10">
        <v>15</v>
      </c>
      <c r="M27" s="10">
        <v>0</v>
      </c>
      <c r="N27" s="10">
        <v>0</v>
      </c>
    </row>
    <row r="28" spans="1:14" x14ac:dyDescent="0.25">
      <c r="A28" s="6" t="s">
        <v>35</v>
      </c>
      <c r="B28" s="10">
        <v>5</v>
      </c>
      <c r="C28" s="11">
        <v>2.2494784925653017</v>
      </c>
      <c r="D28" s="10">
        <v>5</v>
      </c>
      <c r="E28" s="10">
        <v>0</v>
      </c>
      <c r="F28" s="10">
        <v>5</v>
      </c>
      <c r="G28" s="12">
        <v>1</v>
      </c>
      <c r="H28" s="13">
        <v>511</v>
      </c>
      <c r="I28" s="10">
        <v>0</v>
      </c>
      <c r="J28" s="10">
        <v>0</v>
      </c>
      <c r="K28" s="10">
        <v>0</v>
      </c>
      <c r="L28" s="10">
        <v>5</v>
      </c>
      <c r="M28" s="10">
        <v>0</v>
      </c>
      <c r="N28" s="10">
        <v>0</v>
      </c>
    </row>
    <row r="29" spans="1:14" x14ac:dyDescent="0.25">
      <c r="A29" s="6" t="s">
        <v>36</v>
      </c>
      <c r="B29" s="10">
        <v>75</v>
      </c>
      <c r="C29" s="11">
        <v>10.052329143361284</v>
      </c>
      <c r="D29" s="10">
        <v>70</v>
      </c>
      <c r="E29" s="10">
        <v>5</v>
      </c>
      <c r="F29" s="10">
        <v>70</v>
      </c>
      <c r="G29" s="12">
        <v>1</v>
      </c>
      <c r="H29" s="13">
        <v>288.45945945945948</v>
      </c>
      <c r="I29" s="10">
        <v>5</v>
      </c>
      <c r="J29" s="10">
        <v>55</v>
      </c>
      <c r="K29" s="10">
        <v>15</v>
      </c>
      <c r="L29" s="10">
        <v>75</v>
      </c>
      <c r="M29" s="10">
        <v>0</v>
      </c>
      <c r="N29" s="10">
        <v>0</v>
      </c>
    </row>
    <row r="30" spans="1:14" x14ac:dyDescent="0.25">
      <c r="A30" s="6" t="s">
        <v>37</v>
      </c>
      <c r="B30" s="10">
        <v>55</v>
      </c>
      <c r="C30" s="11">
        <v>14.199255895643116</v>
      </c>
      <c r="D30" s="10">
        <v>55</v>
      </c>
      <c r="E30" s="10">
        <v>0</v>
      </c>
      <c r="F30" s="10">
        <v>50</v>
      </c>
      <c r="G30" s="12">
        <v>0.90909090909090906</v>
      </c>
      <c r="H30" s="13">
        <v>258.28571428571428</v>
      </c>
      <c r="I30" s="10">
        <v>0</v>
      </c>
      <c r="J30" s="10">
        <v>35</v>
      </c>
      <c r="K30" s="10">
        <v>20</v>
      </c>
      <c r="L30" s="10">
        <v>55</v>
      </c>
      <c r="M30" s="10">
        <v>0</v>
      </c>
      <c r="N30" s="10">
        <v>0</v>
      </c>
    </row>
    <row r="31" spans="1:14" x14ac:dyDescent="0.25">
      <c r="A31" s="6" t="s">
        <v>38</v>
      </c>
      <c r="B31" s="10">
        <v>210</v>
      </c>
      <c r="C31" s="11">
        <v>37.671309439626619</v>
      </c>
      <c r="D31" s="10">
        <v>205</v>
      </c>
      <c r="E31" s="10">
        <v>5</v>
      </c>
      <c r="F31" s="10">
        <v>200</v>
      </c>
      <c r="G31" s="12">
        <v>0.97560975609756095</v>
      </c>
      <c r="H31" s="13">
        <v>345.93333333333334</v>
      </c>
      <c r="I31" s="10">
        <v>45</v>
      </c>
      <c r="J31" s="10">
        <v>125</v>
      </c>
      <c r="K31" s="10">
        <v>40</v>
      </c>
      <c r="L31" s="10">
        <v>195</v>
      </c>
      <c r="M31" s="10">
        <v>15</v>
      </c>
      <c r="N31" s="10">
        <v>0</v>
      </c>
    </row>
    <row r="32" spans="1:14" x14ac:dyDescent="0.25">
      <c r="A32" s="6" t="s">
        <v>39</v>
      </c>
      <c r="B32" s="10">
        <v>85</v>
      </c>
      <c r="C32" s="11">
        <v>128.21008823927934</v>
      </c>
      <c r="D32" s="10">
        <v>85</v>
      </c>
      <c r="E32" s="10">
        <v>0</v>
      </c>
      <c r="F32" s="10">
        <v>85</v>
      </c>
      <c r="G32" s="12">
        <v>1</v>
      </c>
      <c r="H32" s="13">
        <v>258.80459770114942</v>
      </c>
      <c r="I32" s="10">
        <v>15</v>
      </c>
      <c r="J32" s="10">
        <v>50</v>
      </c>
      <c r="K32" s="10">
        <v>20</v>
      </c>
      <c r="L32" s="10">
        <v>75</v>
      </c>
      <c r="M32" s="10">
        <v>10</v>
      </c>
      <c r="N32" s="10">
        <v>0</v>
      </c>
    </row>
    <row r="33" spans="1:14" x14ac:dyDescent="0.25">
      <c r="A33" s="6" t="s">
        <v>40</v>
      </c>
      <c r="B33" s="10">
        <v>25</v>
      </c>
      <c r="C33" s="11">
        <v>26.510263641083057</v>
      </c>
      <c r="D33" s="10">
        <v>25</v>
      </c>
      <c r="E33" s="10">
        <v>0</v>
      </c>
      <c r="F33" s="10">
        <v>20</v>
      </c>
      <c r="G33" s="12">
        <v>0.8</v>
      </c>
      <c r="H33" s="13">
        <v>427</v>
      </c>
      <c r="I33" s="10">
        <v>5</v>
      </c>
      <c r="J33" s="10">
        <v>10</v>
      </c>
      <c r="K33" s="10">
        <v>5</v>
      </c>
      <c r="L33" s="10">
        <v>20</v>
      </c>
      <c r="M33" s="10">
        <v>5</v>
      </c>
      <c r="N33" s="10">
        <v>0</v>
      </c>
    </row>
    <row r="34" spans="1:14" x14ac:dyDescent="0.25">
      <c r="A34" s="6" t="s">
        <v>41</v>
      </c>
      <c r="B34" s="10">
        <v>175</v>
      </c>
      <c r="C34" s="11">
        <v>30.934255657475045</v>
      </c>
      <c r="D34" s="10">
        <v>170</v>
      </c>
      <c r="E34" s="10">
        <v>5</v>
      </c>
      <c r="F34" s="10">
        <v>165</v>
      </c>
      <c r="G34" s="12">
        <v>0.97058823529411764</v>
      </c>
      <c r="H34" s="13">
        <v>295.2342857142857</v>
      </c>
      <c r="I34" s="10">
        <v>10</v>
      </c>
      <c r="J34" s="10">
        <v>130</v>
      </c>
      <c r="K34" s="10">
        <v>35</v>
      </c>
      <c r="L34" s="10">
        <v>165</v>
      </c>
      <c r="M34" s="10">
        <v>10</v>
      </c>
      <c r="N34" s="10">
        <v>0</v>
      </c>
    </row>
    <row r="35" spans="1:14" x14ac:dyDescent="0.25">
      <c r="A35" s="6" t="s">
        <v>42</v>
      </c>
      <c r="B35" s="10">
        <v>55</v>
      </c>
      <c r="C35" s="11">
        <v>13.979409220217319</v>
      </c>
      <c r="D35" s="10">
        <v>55</v>
      </c>
      <c r="E35" s="10">
        <v>0</v>
      </c>
      <c r="F35" s="10">
        <v>50</v>
      </c>
      <c r="G35" s="12">
        <v>0.90909090909090906</v>
      </c>
      <c r="H35" s="13">
        <v>326.31578947368422</v>
      </c>
      <c r="I35" s="10">
        <v>5</v>
      </c>
      <c r="J35" s="10">
        <v>50</v>
      </c>
      <c r="K35" s="10">
        <v>5</v>
      </c>
      <c r="L35" s="10">
        <v>55</v>
      </c>
      <c r="M35" s="10">
        <v>0</v>
      </c>
      <c r="N35" s="10">
        <v>0</v>
      </c>
    </row>
    <row r="36" spans="1:14" x14ac:dyDescent="0.25">
      <c r="A36" s="6" t="s">
        <v>43</v>
      </c>
      <c r="B36" s="10">
        <v>10</v>
      </c>
      <c r="C36" s="11">
        <v>4.6930834345970318</v>
      </c>
      <c r="D36" s="10">
        <v>10</v>
      </c>
      <c r="E36" s="10">
        <v>0</v>
      </c>
      <c r="F36" s="10">
        <v>10</v>
      </c>
      <c r="G36" s="12">
        <v>1</v>
      </c>
      <c r="H36" s="13">
        <v>512.75</v>
      </c>
      <c r="I36" s="10">
        <v>0</v>
      </c>
      <c r="J36" s="10">
        <v>5</v>
      </c>
      <c r="K36" s="10">
        <v>0</v>
      </c>
      <c r="L36" s="10">
        <v>5</v>
      </c>
      <c r="M36" s="10">
        <v>0</v>
      </c>
      <c r="N36" s="10">
        <v>0</v>
      </c>
    </row>
    <row r="37" spans="1:14" x14ac:dyDescent="0.25">
      <c r="A37" s="6" t="s">
        <v>44</v>
      </c>
      <c r="B37" s="10">
        <v>50</v>
      </c>
      <c r="C37" s="11">
        <v>17.886248238915975</v>
      </c>
      <c r="D37" s="10">
        <v>50</v>
      </c>
      <c r="E37" s="10">
        <v>0</v>
      </c>
      <c r="F37" s="10">
        <v>45</v>
      </c>
      <c r="G37" s="12">
        <v>0.9</v>
      </c>
      <c r="H37" s="13">
        <v>419.79591836734693</v>
      </c>
      <c r="I37" s="10">
        <v>10</v>
      </c>
      <c r="J37" s="10">
        <v>30</v>
      </c>
      <c r="K37" s="10">
        <v>10</v>
      </c>
      <c r="L37" s="10">
        <v>45</v>
      </c>
      <c r="M37" s="10">
        <v>0</v>
      </c>
      <c r="N37" s="10">
        <v>0</v>
      </c>
    </row>
    <row r="38" spans="1:14" x14ac:dyDescent="0.25">
      <c r="A38" s="6" t="s">
        <v>45</v>
      </c>
      <c r="B38" s="10">
        <v>25</v>
      </c>
      <c r="C38" s="11">
        <v>22.563071552604328</v>
      </c>
      <c r="D38" s="10">
        <v>25</v>
      </c>
      <c r="E38" s="10">
        <v>0</v>
      </c>
      <c r="F38" s="10">
        <v>25</v>
      </c>
      <c r="G38" s="12">
        <v>1</v>
      </c>
      <c r="H38" s="13">
        <v>262.48</v>
      </c>
      <c r="I38" s="10">
        <v>0</v>
      </c>
      <c r="J38" s="10">
        <v>20</v>
      </c>
      <c r="K38" s="10">
        <v>5</v>
      </c>
      <c r="L38" s="10">
        <v>25</v>
      </c>
      <c r="M38" s="10">
        <v>0</v>
      </c>
      <c r="N38" s="10">
        <v>0</v>
      </c>
    </row>
    <row r="39" spans="1:14" x14ac:dyDescent="0.25">
      <c r="A39" s="6" t="s">
        <v>46</v>
      </c>
      <c r="B39" s="10" t="s">
        <v>87</v>
      </c>
      <c r="C39" s="11" t="s">
        <v>87</v>
      </c>
      <c r="D39" s="10" t="s">
        <v>87</v>
      </c>
      <c r="E39" s="10" t="s">
        <v>87</v>
      </c>
      <c r="F39" s="10" t="s">
        <v>87</v>
      </c>
      <c r="G39" s="12" t="s">
        <v>87</v>
      </c>
      <c r="H39" s="13" t="s">
        <v>87</v>
      </c>
      <c r="I39" s="10" t="s">
        <v>87</v>
      </c>
      <c r="J39" s="10" t="s">
        <v>87</v>
      </c>
      <c r="K39" s="10" t="s">
        <v>87</v>
      </c>
      <c r="L39" s="10" t="s">
        <v>87</v>
      </c>
      <c r="M39" s="10" t="s">
        <v>87</v>
      </c>
      <c r="N39" s="10" t="s">
        <v>87</v>
      </c>
    </row>
    <row r="40" spans="1:14" x14ac:dyDescent="0.25">
      <c r="A40" s="6" t="s">
        <v>47</v>
      </c>
      <c r="B40" s="10" t="s">
        <v>87</v>
      </c>
      <c r="C40" s="11" t="s">
        <v>87</v>
      </c>
      <c r="D40" s="10" t="s">
        <v>87</v>
      </c>
      <c r="E40" s="10" t="s">
        <v>87</v>
      </c>
      <c r="F40" s="10" t="s">
        <v>87</v>
      </c>
      <c r="G40" s="12" t="s">
        <v>87</v>
      </c>
      <c r="H40" s="13" t="s">
        <v>87</v>
      </c>
      <c r="I40" s="10" t="s">
        <v>87</v>
      </c>
      <c r="J40" s="10" t="s">
        <v>87</v>
      </c>
      <c r="K40" s="10" t="s">
        <v>87</v>
      </c>
      <c r="L40" s="10" t="s">
        <v>87</v>
      </c>
      <c r="M40" s="10" t="s">
        <v>87</v>
      </c>
      <c r="N40" s="10" t="s">
        <v>87</v>
      </c>
    </row>
    <row r="41" spans="1:14" x14ac:dyDescent="0.25">
      <c r="A41" s="6" t="s">
        <v>48</v>
      </c>
      <c r="B41" s="10">
        <v>15</v>
      </c>
      <c r="C41" s="11">
        <v>17.601664802236591</v>
      </c>
      <c r="D41" s="10">
        <v>15</v>
      </c>
      <c r="E41" s="10">
        <v>0</v>
      </c>
      <c r="F41" s="10">
        <v>15</v>
      </c>
      <c r="G41" s="12">
        <v>1</v>
      </c>
      <c r="H41" s="13">
        <v>232.25</v>
      </c>
      <c r="I41" s="10">
        <v>5</v>
      </c>
      <c r="J41" s="10">
        <v>10</v>
      </c>
      <c r="K41" s="10">
        <v>5</v>
      </c>
      <c r="L41" s="10">
        <v>10</v>
      </c>
      <c r="M41" s="10">
        <v>5</v>
      </c>
      <c r="N41" s="10">
        <v>0</v>
      </c>
    </row>
    <row r="42" spans="1:14" x14ac:dyDescent="0.25">
      <c r="A42" s="6" t="s">
        <v>49</v>
      </c>
      <c r="B42" s="10">
        <v>0</v>
      </c>
      <c r="C42" s="11">
        <v>0</v>
      </c>
      <c r="D42" s="10">
        <v>0</v>
      </c>
      <c r="E42" s="10">
        <v>0</v>
      </c>
      <c r="F42" s="10">
        <v>0</v>
      </c>
      <c r="G42" s="12"/>
      <c r="H42" s="13" t="s">
        <v>88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x14ac:dyDescent="0.25">
      <c r="A43" s="6" t="s">
        <v>50</v>
      </c>
      <c r="B43" s="10">
        <v>0</v>
      </c>
      <c r="C43" s="11">
        <v>0</v>
      </c>
      <c r="D43" s="10">
        <v>0</v>
      </c>
      <c r="E43" s="10">
        <v>0</v>
      </c>
      <c r="F43" s="10">
        <v>0</v>
      </c>
      <c r="G43" s="12"/>
      <c r="H43" s="13" t="s">
        <v>88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</row>
    <row r="44" spans="1:14" x14ac:dyDescent="0.25">
      <c r="A44" s="6" t="s">
        <v>51</v>
      </c>
      <c r="B44" s="10">
        <v>60</v>
      </c>
      <c r="C44" s="11">
        <v>306.24650398787918</v>
      </c>
      <c r="D44" s="10">
        <v>60</v>
      </c>
      <c r="E44" s="10">
        <v>0</v>
      </c>
      <c r="F44" s="10">
        <v>55</v>
      </c>
      <c r="G44" s="12">
        <v>0.91666666666666663</v>
      </c>
      <c r="H44" s="13">
        <v>230.67741935483872</v>
      </c>
      <c r="I44" s="10">
        <v>10</v>
      </c>
      <c r="J44" s="10">
        <v>45</v>
      </c>
      <c r="K44" s="10">
        <v>5</v>
      </c>
      <c r="L44" s="10">
        <v>55</v>
      </c>
      <c r="M44" s="10">
        <v>5</v>
      </c>
      <c r="N44" s="10">
        <v>0</v>
      </c>
    </row>
    <row r="45" spans="1:14" x14ac:dyDescent="0.25">
      <c r="A45" s="6" t="s">
        <v>52</v>
      </c>
      <c r="B45" s="10">
        <v>0</v>
      </c>
      <c r="C45" s="11">
        <v>0</v>
      </c>
      <c r="D45" s="10">
        <v>0</v>
      </c>
      <c r="E45" s="10">
        <v>0</v>
      </c>
      <c r="F45" s="10">
        <v>0</v>
      </c>
      <c r="G45" s="12"/>
      <c r="H45" s="13" t="s">
        <v>88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 spans="1:14" x14ac:dyDescent="0.25">
      <c r="A46" s="6" t="s">
        <v>53</v>
      </c>
      <c r="B46" s="10">
        <v>50</v>
      </c>
      <c r="C46" s="11">
        <v>354.79164691400712</v>
      </c>
      <c r="D46" s="10">
        <v>45</v>
      </c>
      <c r="E46" s="10">
        <v>0</v>
      </c>
      <c r="F46" s="10">
        <v>45</v>
      </c>
      <c r="G46" s="12">
        <v>1</v>
      </c>
      <c r="H46" s="13">
        <v>175.83333333333334</v>
      </c>
      <c r="I46" s="10">
        <v>10</v>
      </c>
      <c r="J46" s="10">
        <v>35</v>
      </c>
      <c r="K46" s="10">
        <v>5</v>
      </c>
      <c r="L46" s="10">
        <v>50</v>
      </c>
      <c r="M46" s="10">
        <v>0</v>
      </c>
      <c r="N46" s="10">
        <v>0</v>
      </c>
    </row>
    <row r="47" spans="1:14" x14ac:dyDescent="0.25">
      <c r="A47" s="6" t="s">
        <v>54</v>
      </c>
      <c r="B47" s="10">
        <v>0</v>
      </c>
      <c r="C47" s="11">
        <v>0</v>
      </c>
      <c r="D47" s="10">
        <v>0</v>
      </c>
      <c r="E47" s="10">
        <v>0</v>
      </c>
      <c r="F47" s="10">
        <v>0</v>
      </c>
      <c r="G47" s="12"/>
      <c r="H47" s="13" t="s">
        <v>88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</row>
    <row r="48" spans="1:14" x14ac:dyDescent="0.25">
      <c r="A48" s="6" t="s">
        <v>55</v>
      </c>
      <c r="B48" s="10">
        <v>0</v>
      </c>
      <c r="C48" s="11">
        <v>0</v>
      </c>
      <c r="D48" s="10">
        <v>0</v>
      </c>
      <c r="E48" s="10">
        <v>0</v>
      </c>
      <c r="F48" s="10">
        <v>0</v>
      </c>
      <c r="G48" s="12"/>
      <c r="H48" s="13" t="s">
        <v>88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x14ac:dyDescent="0.25">
      <c r="A49" s="6" t="s">
        <v>56</v>
      </c>
      <c r="B49" s="10">
        <v>5</v>
      </c>
      <c r="C49" s="11">
        <v>7.073058962704839</v>
      </c>
      <c r="D49" s="10">
        <v>5</v>
      </c>
      <c r="E49" s="10">
        <v>0</v>
      </c>
      <c r="F49" s="10">
        <v>5</v>
      </c>
      <c r="G49" s="12">
        <v>1</v>
      </c>
      <c r="H49" s="13">
        <v>231.5</v>
      </c>
      <c r="I49" s="10">
        <v>0</v>
      </c>
      <c r="J49" s="10">
        <v>5</v>
      </c>
      <c r="K49" s="10">
        <v>0</v>
      </c>
      <c r="L49" s="10">
        <v>5</v>
      </c>
      <c r="M49" s="10">
        <v>0</v>
      </c>
      <c r="N49" s="10">
        <v>0</v>
      </c>
    </row>
    <row r="50" spans="1:14" x14ac:dyDescent="0.25">
      <c r="A50" s="6" t="s">
        <v>57</v>
      </c>
      <c r="B50" s="10">
        <v>0</v>
      </c>
      <c r="C50" s="11">
        <v>0</v>
      </c>
      <c r="D50" s="10">
        <v>0</v>
      </c>
      <c r="E50" s="10">
        <v>0</v>
      </c>
      <c r="F50" s="10">
        <v>0</v>
      </c>
      <c r="G50" s="12"/>
      <c r="H50" s="13" t="s">
        <v>88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x14ac:dyDescent="0.25">
      <c r="A51" s="6" t="s">
        <v>58</v>
      </c>
      <c r="B51" s="10">
        <v>0</v>
      </c>
      <c r="C51" s="11">
        <v>0</v>
      </c>
      <c r="D51" s="10">
        <v>0</v>
      </c>
      <c r="E51" s="10">
        <v>0</v>
      </c>
      <c r="F51" s="10">
        <v>0</v>
      </c>
      <c r="G51" s="12"/>
      <c r="H51" s="13" t="s">
        <v>88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2" spans="1:14" x14ac:dyDescent="0.25">
      <c r="A52" s="6" t="s">
        <v>59</v>
      </c>
      <c r="B52" s="10">
        <v>0</v>
      </c>
      <c r="C52" s="11">
        <v>0</v>
      </c>
      <c r="D52" s="10">
        <v>0</v>
      </c>
      <c r="E52" s="10">
        <v>0</v>
      </c>
      <c r="F52" s="10">
        <v>0</v>
      </c>
      <c r="G52" s="12"/>
      <c r="H52" s="13" t="s">
        <v>88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x14ac:dyDescent="0.25">
      <c r="A53" s="6" t="s">
        <v>60</v>
      </c>
      <c r="B53" s="10">
        <v>0</v>
      </c>
      <c r="C53" s="11">
        <v>0</v>
      </c>
      <c r="D53" s="10">
        <v>0</v>
      </c>
      <c r="E53" s="10">
        <v>0</v>
      </c>
      <c r="F53" s="10">
        <v>0</v>
      </c>
      <c r="G53" s="12"/>
      <c r="H53" s="13" t="s">
        <v>88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</row>
    <row r="54" spans="1:14" x14ac:dyDescent="0.25">
      <c r="A54" s="6" t="s">
        <v>61</v>
      </c>
      <c r="B54" s="10">
        <v>0</v>
      </c>
      <c r="C54" s="11">
        <v>0</v>
      </c>
      <c r="D54" s="10">
        <v>0</v>
      </c>
      <c r="E54" s="10">
        <v>0</v>
      </c>
      <c r="F54" s="10">
        <v>0</v>
      </c>
      <c r="G54" s="12"/>
      <c r="H54" s="13" t="s">
        <v>88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x14ac:dyDescent="0.25">
      <c r="A55" s="6" t="s">
        <v>62</v>
      </c>
      <c r="B55" s="10">
        <v>0</v>
      </c>
      <c r="C55" s="11">
        <v>0</v>
      </c>
      <c r="D55" s="10">
        <v>0</v>
      </c>
      <c r="E55" s="10">
        <v>0</v>
      </c>
      <c r="F55" s="10">
        <v>0</v>
      </c>
      <c r="G55" s="12"/>
      <c r="H55" s="13" t="s">
        <v>88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</row>
    <row r="56" spans="1:14" x14ac:dyDescent="0.25">
      <c r="A56" s="6" t="s">
        <v>63</v>
      </c>
      <c r="B56" s="10">
        <v>0</v>
      </c>
      <c r="C56" s="11">
        <v>0</v>
      </c>
      <c r="D56" s="10">
        <v>0</v>
      </c>
      <c r="E56" s="10">
        <v>0</v>
      </c>
      <c r="F56" s="10">
        <v>0</v>
      </c>
      <c r="G56" s="12"/>
      <c r="H56" s="13" t="s">
        <v>88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x14ac:dyDescent="0.25">
      <c r="A57" s="6" t="s">
        <v>64</v>
      </c>
      <c r="B57" s="10" t="s">
        <v>87</v>
      </c>
      <c r="C57" s="11" t="s">
        <v>87</v>
      </c>
      <c r="D57" s="10" t="s">
        <v>87</v>
      </c>
      <c r="E57" s="10" t="s">
        <v>87</v>
      </c>
      <c r="F57" s="10" t="s">
        <v>87</v>
      </c>
      <c r="G57" s="12" t="s">
        <v>87</v>
      </c>
      <c r="H57" s="13" t="s">
        <v>87</v>
      </c>
      <c r="I57" s="10" t="s">
        <v>87</v>
      </c>
      <c r="J57" s="10" t="s">
        <v>87</v>
      </c>
      <c r="K57" s="10" t="s">
        <v>87</v>
      </c>
      <c r="L57" s="10" t="s">
        <v>87</v>
      </c>
      <c r="M57" s="10" t="s">
        <v>87</v>
      </c>
      <c r="N57" s="10" t="s">
        <v>87</v>
      </c>
    </row>
    <row r="58" spans="1:14" x14ac:dyDescent="0.25">
      <c r="A58" s="6" t="s">
        <v>65</v>
      </c>
      <c r="B58" s="10">
        <v>5</v>
      </c>
      <c r="C58" s="11">
        <v>8.6497671723741618</v>
      </c>
      <c r="D58" s="10">
        <v>5</v>
      </c>
      <c r="E58" s="10">
        <v>0</v>
      </c>
      <c r="F58" s="10">
        <v>5</v>
      </c>
      <c r="G58" s="12">
        <v>1</v>
      </c>
      <c r="H58" s="13">
        <v>236</v>
      </c>
      <c r="I58" s="10">
        <v>0</v>
      </c>
      <c r="J58" s="10">
        <v>5</v>
      </c>
      <c r="K58" s="10">
        <v>0</v>
      </c>
      <c r="L58" s="10">
        <v>5</v>
      </c>
      <c r="M58" s="10">
        <v>0</v>
      </c>
      <c r="N58" s="10">
        <v>0</v>
      </c>
    </row>
    <row r="59" spans="1:14" x14ac:dyDescent="0.25">
      <c r="A59" s="6" t="s">
        <v>66</v>
      </c>
      <c r="B59" s="10">
        <v>0</v>
      </c>
      <c r="C59" s="11">
        <v>0</v>
      </c>
      <c r="D59" s="10">
        <v>0</v>
      </c>
      <c r="E59" s="10">
        <v>0</v>
      </c>
      <c r="F59" s="10">
        <v>0</v>
      </c>
      <c r="G59" s="12"/>
      <c r="H59" s="13" t="s">
        <v>88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25">
      <c r="A60" s="6" t="s">
        <v>67</v>
      </c>
      <c r="B60" s="10">
        <v>0</v>
      </c>
      <c r="C60" s="11">
        <v>0</v>
      </c>
      <c r="D60" s="10">
        <v>0</v>
      </c>
      <c r="E60" s="10">
        <v>0</v>
      </c>
      <c r="F60" s="10">
        <v>0</v>
      </c>
      <c r="G60" s="12"/>
      <c r="H60" s="13" t="s">
        <v>88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x14ac:dyDescent="0.25">
      <c r="A61" s="6" t="s">
        <v>68</v>
      </c>
      <c r="B61" s="10">
        <v>0</v>
      </c>
      <c r="C61" s="11">
        <v>0</v>
      </c>
      <c r="D61" s="10">
        <v>0</v>
      </c>
      <c r="E61" s="10">
        <v>0</v>
      </c>
      <c r="F61" s="10">
        <v>0</v>
      </c>
      <c r="G61" s="12"/>
      <c r="H61" s="13" t="s">
        <v>88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 spans="1:14" x14ac:dyDescent="0.25">
      <c r="A62" s="6" t="s">
        <v>69</v>
      </c>
      <c r="B62" s="10">
        <v>25</v>
      </c>
      <c r="C62" s="11">
        <v>88.691820496392381</v>
      </c>
      <c r="D62" s="10">
        <v>25</v>
      </c>
      <c r="E62" s="10">
        <v>0</v>
      </c>
      <c r="F62" s="10">
        <v>25</v>
      </c>
      <c r="G62" s="12">
        <v>1</v>
      </c>
      <c r="H62" s="13">
        <v>91.230769230769226</v>
      </c>
      <c r="I62" s="10">
        <v>5</v>
      </c>
      <c r="J62" s="10">
        <v>15</v>
      </c>
      <c r="K62" s="10">
        <v>5</v>
      </c>
      <c r="L62" s="10">
        <v>25</v>
      </c>
      <c r="M62" s="10">
        <v>0</v>
      </c>
      <c r="N62" s="10">
        <v>0</v>
      </c>
    </row>
    <row r="63" spans="1:14" x14ac:dyDescent="0.25">
      <c r="A63" s="6" t="s">
        <v>70</v>
      </c>
      <c r="B63" s="10">
        <v>135</v>
      </c>
      <c r="C63" s="11">
        <v>203.09304054664284</v>
      </c>
      <c r="D63" s="10">
        <v>130</v>
      </c>
      <c r="E63" s="10">
        <v>5</v>
      </c>
      <c r="F63" s="10">
        <v>125</v>
      </c>
      <c r="G63" s="12">
        <v>0.96153846153846156</v>
      </c>
      <c r="H63" s="13">
        <v>238.26470588235293</v>
      </c>
      <c r="I63" s="10">
        <v>15</v>
      </c>
      <c r="J63" s="10">
        <v>90</v>
      </c>
      <c r="K63" s="10">
        <v>30</v>
      </c>
      <c r="L63" s="10">
        <v>135</v>
      </c>
      <c r="M63" s="10">
        <v>0</v>
      </c>
      <c r="N63" s="10">
        <v>0</v>
      </c>
    </row>
    <row r="64" spans="1:14" x14ac:dyDescent="0.25">
      <c r="A64" s="6" t="s">
        <v>71</v>
      </c>
      <c r="B64" s="10">
        <v>5</v>
      </c>
      <c r="C64" s="11">
        <v>8.2705679273423307</v>
      </c>
      <c r="D64" s="10">
        <v>5</v>
      </c>
      <c r="E64" s="10">
        <v>0</v>
      </c>
      <c r="F64" s="10">
        <v>5</v>
      </c>
      <c r="G64" s="12">
        <v>1</v>
      </c>
      <c r="H64" s="13">
        <v>226</v>
      </c>
      <c r="I64" s="10">
        <v>0</v>
      </c>
      <c r="J64" s="10">
        <v>5</v>
      </c>
      <c r="K64" s="10">
        <v>0</v>
      </c>
      <c r="L64" s="10">
        <v>5</v>
      </c>
      <c r="M64" s="10">
        <v>0</v>
      </c>
      <c r="N64" s="10">
        <v>0</v>
      </c>
    </row>
    <row r="65" spans="1:14" x14ac:dyDescent="0.25">
      <c r="A65" s="6" t="s">
        <v>72</v>
      </c>
      <c r="B65" s="10">
        <v>0</v>
      </c>
      <c r="C65" s="11">
        <v>0</v>
      </c>
      <c r="D65" s="10">
        <v>0</v>
      </c>
      <c r="E65" s="10">
        <v>0</v>
      </c>
      <c r="F65" s="10">
        <v>0</v>
      </c>
      <c r="G65" s="12"/>
      <c r="H65" s="13" t="s">
        <v>88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</row>
    <row r="66" spans="1:14" x14ac:dyDescent="0.25">
      <c r="A66" s="6" t="s">
        <v>73</v>
      </c>
      <c r="B66" s="10">
        <v>10</v>
      </c>
      <c r="C66" s="11">
        <v>19.770383593418924</v>
      </c>
      <c r="D66" s="10">
        <v>10</v>
      </c>
      <c r="E66" s="10">
        <v>0</v>
      </c>
      <c r="F66" s="10">
        <v>10</v>
      </c>
      <c r="G66" s="12">
        <v>1</v>
      </c>
      <c r="H66" s="13">
        <v>217.77777777777777</v>
      </c>
      <c r="I66" s="10">
        <v>0</v>
      </c>
      <c r="J66" s="10">
        <v>5</v>
      </c>
      <c r="K66" s="10">
        <v>0</v>
      </c>
      <c r="L66" s="10">
        <v>10</v>
      </c>
      <c r="M66" s="10">
        <v>0</v>
      </c>
      <c r="N66" s="10">
        <v>0</v>
      </c>
    </row>
    <row r="67" spans="1:14" x14ac:dyDescent="0.25">
      <c r="A67" s="6" t="s">
        <v>74</v>
      </c>
      <c r="B67" s="10">
        <v>0</v>
      </c>
      <c r="C67" s="11">
        <v>0</v>
      </c>
      <c r="D67" s="10">
        <v>0</v>
      </c>
      <c r="E67" s="10">
        <v>0</v>
      </c>
      <c r="F67" s="10">
        <v>0</v>
      </c>
      <c r="G67" s="12"/>
      <c r="H67" s="13" t="s">
        <v>88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5">
      <c r="A68" s="6" t="s">
        <v>75</v>
      </c>
      <c r="B68" s="10">
        <v>0</v>
      </c>
      <c r="C68" s="11">
        <v>0</v>
      </c>
      <c r="D68" s="10">
        <v>0</v>
      </c>
      <c r="E68" s="10">
        <v>0</v>
      </c>
      <c r="F68" s="10">
        <v>0</v>
      </c>
      <c r="G68" s="12"/>
      <c r="H68" s="13" t="s">
        <v>88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25">
      <c r="A69" s="6" t="s">
        <v>76</v>
      </c>
      <c r="B69" s="10">
        <v>0</v>
      </c>
      <c r="C69" s="11">
        <v>0</v>
      </c>
      <c r="D69" s="10">
        <v>0</v>
      </c>
      <c r="E69" s="10">
        <v>0</v>
      </c>
      <c r="F69" s="10">
        <v>0</v>
      </c>
      <c r="G69" s="12"/>
      <c r="H69" s="13" t="s">
        <v>88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25">
      <c r="A70" s="6" t="s">
        <v>77</v>
      </c>
      <c r="B70" s="10">
        <v>10</v>
      </c>
      <c r="C70" s="11">
        <v>125.26610840442932</v>
      </c>
      <c r="D70" s="10">
        <v>10</v>
      </c>
      <c r="E70" s="10">
        <v>0</v>
      </c>
      <c r="F70" s="10">
        <v>10</v>
      </c>
      <c r="G70" s="12">
        <v>1</v>
      </c>
      <c r="H70" s="13">
        <v>168.5</v>
      </c>
      <c r="I70" s="10">
        <v>0</v>
      </c>
      <c r="J70" s="10">
        <v>10</v>
      </c>
      <c r="K70" s="10">
        <v>5</v>
      </c>
      <c r="L70" s="10">
        <v>10</v>
      </c>
      <c r="M70" s="10">
        <v>0</v>
      </c>
      <c r="N70" s="10">
        <v>0</v>
      </c>
    </row>
    <row r="71" spans="1:14" x14ac:dyDescent="0.25">
      <c r="A71" s="6" t="s">
        <v>78</v>
      </c>
      <c r="B71" s="10">
        <v>75</v>
      </c>
      <c r="C71" s="11">
        <v>74.619127433840646</v>
      </c>
      <c r="D71" s="10">
        <v>75</v>
      </c>
      <c r="E71" s="10">
        <v>0</v>
      </c>
      <c r="F71" s="10">
        <v>70</v>
      </c>
      <c r="G71" s="12">
        <v>0.93333333333333335</v>
      </c>
      <c r="H71" s="13">
        <v>229.22666666666666</v>
      </c>
      <c r="I71" s="10">
        <v>15</v>
      </c>
      <c r="J71" s="10">
        <v>45</v>
      </c>
      <c r="K71" s="10">
        <v>15</v>
      </c>
      <c r="L71" s="10">
        <v>65</v>
      </c>
      <c r="M71" s="10">
        <v>10</v>
      </c>
      <c r="N71" s="10">
        <v>0</v>
      </c>
    </row>
    <row r="72" spans="1:14" x14ac:dyDescent="0.25">
      <c r="A72" s="6" t="s">
        <v>79</v>
      </c>
      <c r="B72" s="10">
        <v>10</v>
      </c>
      <c r="C72" s="11">
        <v>6.9629876297837434</v>
      </c>
      <c r="D72" s="10">
        <v>10</v>
      </c>
      <c r="E72" s="10">
        <v>0</v>
      </c>
      <c r="F72" s="10">
        <v>10</v>
      </c>
      <c r="G72" s="12">
        <v>1</v>
      </c>
      <c r="H72" s="13">
        <v>261.5</v>
      </c>
      <c r="I72" s="10">
        <v>0</v>
      </c>
      <c r="J72" s="10">
        <v>5</v>
      </c>
      <c r="K72" s="10">
        <v>0</v>
      </c>
      <c r="L72" s="10">
        <v>5</v>
      </c>
      <c r="M72" s="10">
        <v>0</v>
      </c>
      <c r="N72" s="10">
        <v>0</v>
      </c>
    </row>
    <row r="73" spans="1:14" x14ac:dyDescent="0.25">
      <c r="A73" s="6" t="s">
        <v>80</v>
      </c>
      <c r="B73" s="10">
        <v>0</v>
      </c>
      <c r="C73" s="11">
        <v>0</v>
      </c>
      <c r="D73" s="10">
        <v>0</v>
      </c>
      <c r="E73" s="10">
        <v>0</v>
      </c>
      <c r="F73" s="10">
        <v>0</v>
      </c>
      <c r="G73" s="12"/>
      <c r="H73" s="13" t="s">
        <v>88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25">
      <c r="A74" s="6" t="s">
        <v>81</v>
      </c>
      <c r="B74" s="10">
        <v>0</v>
      </c>
      <c r="C74" s="11">
        <v>0</v>
      </c>
      <c r="D74" s="10">
        <v>0</v>
      </c>
      <c r="E74" s="10">
        <v>0</v>
      </c>
      <c r="F74" s="10">
        <v>0</v>
      </c>
      <c r="G74" s="12"/>
      <c r="H74" s="13" t="s">
        <v>88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x14ac:dyDescent="0.25">
      <c r="A75" s="6" t="s">
        <v>82</v>
      </c>
      <c r="B75" s="10">
        <v>20</v>
      </c>
      <c r="C75" s="11">
        <v>22.439042127352646</v>
      </c>
      <c r="D75" s="10">
        <v>20</v>
      </c>
      <c r="E75" s="10">
        <v>0</v>
      </c>
      <c r="F75" s="10">
        <v>20</v>
      </c>
      <c r="G75" s="12">
        <v>1</v>
      </c>
      <c r="H75" s="13">
        <v>217.36363636363637</v>
      </c>
      <c r="I75" s="10">
        <v>5</v>
      </c>
      <c r="J75" s="10">
        <v>15</v>
      </c>
      <c r="K75" s="10">
        <v>5</v>
      </c>
      <c r="L75" s="10">
        <v>20</v>
      </c>
      <c r="M75" s="10">
        <v>0</v>
      </c>
      <c r="N75" s="10">
        <v>0</v>
      </c>
    </row>
    <row r="76" spans="1:14" x14ac:dyDescent="0.25">
      <c r="A76" s="14" t="s">
        <v>83</v>
      </c>
      <c r="B76" s="15">
        <v>1388</v>
      </c>
      <c r="C76" s="16">
        <f>B76*10000/791700</f>
        <v>17.53189339396236</v>
      </c>
      <c r="D76" s="15">
        <v>1359</v>
      </c>
      <c r="E76" s="15">
        <v>29</v>
      </c>
      <c r="F76" s="15">
        <v>1304</v>
      </c>
      <c r="G76" s="17">
        <f t="shared" ref="G76" si="0">IF(D76=0,"",F76/D76)</f>
        <v>0.95952906548933037</v>
      </c>
      <c r="H76" s="17"/>
      <c r="I76" s="15">
        <v>220</v>
      </c>
      <c r="J76" s="15">
        <v>906</v>
      </c>
      <c r="K76" s="15">
        <v>262</v>
      </c>
      <c r="L76" s="15">
        <v>1297</v>
      </c>
      <c r="M76" s="15">
        <v>91</v>
      </c>
      <c r="N76" s="15">
        <v>0</v>
      </c>
    </row>
    <row r="77" spans="1:14" s="6" customFormat="1" x14ac:dyDescent="0.25">
      <c r="A77" s="14" t="s">
        <v>84</v>
      </c>
      <c r="B77" s="18">
        <f>B76/$B76</f>
        <v>1</v>
      </c>
      <c r="C77" s="18"/>
      <c r="D77" s="18">
        <f t="shared" ref="D77:N77" si="1">D76/$B76</f>
        <v>0.97910662824207495</v>
      </c>
      <c r="E77" s="18">
        <f t="shared" si="1"/>
        <v>2.0893371757925071E-2</v>
      </c>
      <c r="F77" s="18">
        <f t="shared" si="1"/>
        <v>0.93948126801152743</v>
      </c>
      <c r="G77" s="18"/>
      <c r="H77" s="18"/>
      <c r="I77" s="18">
        <f t="shared" si="1"/>
        <v>0.15850144092219021</v>
      </c>
      <c r="J77" s="18">
        <f t="shared" si="1"/>
        <v>0.6527377521613833</v>
      </c>
      <c r="K77" s="18">
        <f t="shared" si="1"/>
        <v>0.18876080691642652</v>
      </c>
      <c r="L77" s="18">
        <f t="shared" si="1"/>
        <v>0.93443804034582134</v>
      </c>
      <c r="M77" s="18">
        <f t="shared" si="1"/>
        <v>6.5561959654178673E-2</v>
      </c>
      <c r="N77" s="18">
        <f t="shared" si="1"/>
        <v>0</v>
      </c>
    </row>
  </sheetData>
  <mergeCells count="2">
    <mergeCell ref="I13:K13"/>
    <mergeCell ref="L13:N13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dwellings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