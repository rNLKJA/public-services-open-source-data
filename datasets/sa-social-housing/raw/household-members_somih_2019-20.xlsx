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22" documentId="8_{DD0833AB-004A-4E67-B1E9-D5FF5F3D3577}" xr6:coauthVersionLast="47" xr6:coauthVersionMax="47" xr10:uidLastSave="{FAFB0127-6CD2-47A2-B73C-700518FC9373}"/>
  <bookViews>
    <workbookView xWindow="45" yWindow="780" windowWidth="26505" windowHeight="16620" xr2:uid="{0BB4EA5F-F5E9-4BBC-A6BD-A478169870DF}"/>
  </bookViews>
  <sheets>
    <sheet name="Table - SOMIH household members" sheetId="8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7" i="8" l="1"/>
  <c r="M77" i="8"/>
  <c r="L77" i="8"/>
  <c r="K77" i="8"/>
  <c r="J77" i="8"/>
  <c r="I77" i="8"/>
  <c r="H77" i="8"/>
  <c r="G77" i="8"/>
  <c r="F77" i="8"/>
  <c r="E77" i="8"/>
  <c r="D77" i="8"/>
  <c r="C77" i="8"/>
  <c r="B77" i="8"/>
</calcChain>
</file>

<file path=xl/sharedStrings.xml><?xml version="1.0" encoding="utf-8"?>
<sst xmlns="http://schemas.openxmlformats.org/spreadsheetml/2006/main" count="127" uniqueCount="89">
  <si>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</si>
  <si>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</si>
  <si>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</si>
  <si>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</si>
  <si>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</si>
  <si>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</si>
  <si>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</si>
  <si>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</si>
  <si>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</si>
  <si>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</si>
  <si>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</si>
  <si>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</si>
  <si>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</si>
  <si>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</si>
  <si>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</si>
  <si>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</si>
  <si>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</si>
  <si>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</si>
  <si>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</si>
  <si>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</si>
  <si>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</si>
  <si>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</si>
  <si>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</si>
  <si>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</si>
  <si>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</si>
  <si>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</si>
  <si>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</si>
  <si>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</si>
  <si>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</si>
  <si>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</si>
  <si>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</si>
  <si>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</si>
  <si>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</si>
  <si>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</si>
  <si>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</si>
  <si>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</si>
  <si>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</si>
  <si>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</si>
  <si>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</si>
  <si>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</si>
  <si>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</si>
  <si>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</si>
  <si>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</si>
  <si>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</si>
  <si>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</si>
  <si>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</si>
  <si>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</si>
  <si>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</si>
  <si>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</si>
  <si>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</si>
  <si>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</si>
  <si>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</si>
  <si>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</si>
  <si>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</si>
  <si>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</si>
  <si>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</si>
  <si>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</si>
  <si>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</si>
  <si>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</si>
  <si>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</si>
  <si>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</si>
  <si>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</si>
  <si>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</si>
  <si>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</si>
  <si>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</si>
  <si>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</si>
  <si>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</si>
  <si>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</si>
  <si>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Number of household members</t>
  </si>
  <si>
    <t>1. Counts are not provided where Local Government Areas (LGAs) have one to three household members in total, all counts for the LGA are replaced with "n.p."</t>
  </si>
  <si>
    <t>Sex of household member</t>
  </si>
  <si>
    <t>Age of household member</t>
  </si>
  <si>
    <t>Male</t>
  </si>
  <si>
    <t>Female</t>
  </si>
  <si>
    <t>Not stated</t>
  </si>
  <si>
    <t>birth to 4 years</t>
  </si>
  <si>
    <t>5 to 14 years</t>
  </si>
  <si>
    <t>15 to 24 years</t>
  </si>
  <si>
    <t>25 to 34 years</t>
  </si>
  <si>
    <t>35 to 44 years</t>
  </si>
  <si>
    <t>45 to 54 years</t>
  </si>
  <si>
    <t>55 to 64 years</t>
  </si>
  <si>
    <t>65 to 74 years</t>
  </si>
  <si>
    <t>75 years or more</t>
  </si>
  <si>
    <t>Total - household members</t>
  </si>
  <si>
    <t>% Total - household members</t>
  </si>
  <si>
    <t>Household members, at 30 June 2020 - State Owned and Managed Indigenous Housing</t>
  </si>
  <si>
    <t>Characteristics of households members in State Owned and Managed Indigenous Housing at 30 June 2020</t>
  </si>
  <si>
    <t>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</si>
</sst>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4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9" fontId="5" fillId="0" borderId="0" xfId="0" applyNumberFormat="1" applyFont="1"/>
    <xf numFmtId="0" fontId="9" fillId="0" borderId="0" xfId="0" applyFont="1"/>
    <xf numFmtId="0" fontId="10" fillId="0" borderId="0" xfId="0" applyFont="1"/>
    <xf numFmtId="0" fontId="7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7A56-0541-4D57-9BF0-B63A8B17E6BD}">
  <sheetPr>
    <tabColor theme="9" tint="0.79998168889431442"/>
    <pageSetUpPr fitToPage="1"/>
  </sheetPr>
  <dimension ref="A1:N83"/>
  <sheetViews>
    <sheetView tabSelected="1" workbookViewId="0">
      <pane ySplit="14" topLeftCell="A15" activePane="bottomLeft" state="frozen"/>
      <selection activeCell="E12" sqref="E12"/>
      <selection pane="bottomLeft" activeCell="A24" sqref="A24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86</v>
      </c>
    </row>
    <row r="2" spans="1:14" x14ac:dyDescent="0.25">
      <c r="A2" s="2" t="s">
        <v>0</v>
      </c>
    </row>
    <row r="3" spans="1:14" x14ac:dyDescent="0.25">
      <c r="A3" s="13"/>
    </row>
    <row r="4" spans="1:14" s="14" customFormat="1" ht="12.75" x14ac:dyDescent="0.2">
      <c r="A4" s="3" t="s">
        <v>1</v>
      </c>
    </row>
    <row r="5" spans="1:14" s="14" customFormat="1" ht="12.75" x14ac:dyDescent="0.2">
      <c r="A5" s="3" t="s">
        <v>69</v>
      </c>
    </row>
    <row r="6" spans="1:14" s="14" customFormat="1" ht="12.75" x14ac:dyDescent="0.2">
      <c r="A6" s="3" t="s">
        <v>2</v>
      </c>
    </row>
    <row r="7" spans="1:14" s="14" customFormat="1" ht="12.75" x14ac:dyDescent="0.2">
      <c r="A7" s="4" t="s">
        <v>3</v>
      </c>
    </row>
    <row r="8" spans="1:14" s="14" customFormat="1" ht="12.75" x14ac:dyDescent="0.2">
      <c r="A8" s="3" t="s">
        <v>4</v>
      </c>
    </row>
    <row r="9" spans="1:14" s="14" customFormat="1" ht="12.75" x14ac:dyDescent="0.2">
      <c r="A9" s="3"/>
    </row>
    <row r="10" spans="1:14" s="14" customFormat="1" ht="12.75" x14ac:dyDescent="0.2">
      <c r="A10" s="3" t="s">
        <v>5</v>
      </c>
    </row>
    <row r="11" spans="1:14" x14ac:dyDescent="0.25">
      <c r="A11" s="3"/>
    </row>
    <row r="12" spans="1:14" x14ac:dyDescent="0.25">
      <c r="A12" s="5" t="s">
        <v>87</v>
      </c>
    </row>
    <row r="13" spans="1:14" s="6" customFormat="1" x14ac:dyDescent="0.2">
      <c r="C13" s="15" t="s">
        <v>70</v>
      </c>
      <c r="D13" s="16"/>
      <c r="E13" s="17"/>
      <c r="F13" s="15" t="s">
        <v>71</v>
      </c>
      <c r="G13" s="16"/>
      <c r="H13" s="16"/>
      <c r="I13" s="16"/>
      <c r="J13" s="16"/>
      <c r="K13" s="16"/>
      <c r="L13" s="16"/>
      <c r="M13" s="16"/>
      <c r="N13" s="17"/>
    </row>
    <row r="14" spans="1:14" ht="42.75" x14ac:dyDescent="0.25">
      <c r="A14" s="7" t="s">
        <v>6</v>
      </c>
      <c r="B14" s="8" t="s">
        <v>68</v>
      </c>
      <c r="C14" s="8" t="s">
        <v>72</v>
      </c>
      <c r="D14" s="8" t="s">
        <v>73</v>
      </c>
      <c r="E14" s="8" t="s">
        <v>74</v>
      </c>
      <c r="F14" s="8" t="s">
        <v>75</v>
      </c>
      <c r="G14" s="8" t="s">
        <v>76</v>
      </c>
      <c r="H14" s="8" t="s">
        <v>77</v>
      </c>
      <c r="I14" s="8" t="s">
        <v>78</v>
      </c>
      <c r="J14" s="8" t="s">
        <v>79</v>
      </c>
      <c r="K14" s="8" t="s">
        <v>80</v>
      </c>
      <c r="L14" s="8" t="s">
        <v>81</v>
      </c>
      <c r="M14" s="8" t="s">
        <v>82</v>
      </c>
      <c r="N14" s="8" t="s">
        <v>83</v>
      </c>
    </row>
    <row r="15" spans="1:14" x14ac:dyDescent="0.25">
      <c r="A15" s="6" t="s">
        <v>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x14ac:dyDescent="0.25">
      <c r="A16" s="6" t="s">
        <v>8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spans="1:14" x14ac:dyDescent="0.25">
      <c r="A17" s="6" t="s">
        <v>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x14ac:dyDescent="0.25">
      <c r="A18" s="6" t="s">
        <v>10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spans="1:14" x14ac:dyDescent="0.25">
      <c r="A19" s="6" t="s">
        <v>11</v>
      </c>
      <c r="B19" s="9">
        <v>70</v>
      </c>
      <c r="C19" s="9">
        <v>35</v>
      </c>
      <c r="D19" s="9">
        <v>30</v>
      </c>
      <c r="E19" s="9">
        <v>0</v>
      </c>
      <c r="F19" s="9">
        <v>5</v>
      </c>
      <c r="G19" s="9">
        <v>15</v>
      </c>
      <c r="H19" s="9">
        <v>5</v>
      </c>
      <c r="I19" s="9">
        <v>10</v>
      </c>
      <c r="J19" s="9">
        <v>5</v>
      </c>
      <c r="K19" s="9">
        <v>10</v>
      </c>
      <c r="L19" s="9">
        <v>5</v>
      </c>
      <c r="M19" s="9">
        <v>5</v>
      </c>
      <c r="N19" s="9">
        <v>5</v>
      </c>
    </row>
    <row r="20" spans="1:14" x14ac:dyDescent="0.25">
      <c r="A20" s="6" t="s">
        <v>12</v>
      </c>
      <c r="B20" s="9">
        <v>5</v>
      </c>
      <c r="C20" s="9">
        <v>5</v>
      </c>
      <c r="D20" s="9">
        <v>5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spans="1:14" x14ac:dyDescent="0.25">
      <c r="A21" s="6" t="s">
        <v>13</v>
      </c>
      <c r="B21" s="9" t="s">
        <v>88</v>
      </c>
      <c r="C21" s="9" t="s">
        <v>88</v>
      </c>
      <c r="D21" s="9" t="s">
        <v>88</v>
      </c>
      <c r="E21" s="9" t="s">
        <v>88</v>
      </c>
      <c r="F21" s="9" t="s">
        <v>88</v>
      </c>
      <c r="G21" s="9" t="s">
        <v>88</v>
      </c>
      <c r="H21" s="9" t="s">
        <v>88</v>
      </c>
      <c r="I21" s="9" t="s">
        <v>88</v>
      </c>
      <c r="J21" s="9" t="s">
        <v>88</v>
      </c>
      <c r="K21" s="9" t="s">
        <v>88</v>
      </c>
      <c r="L21" s="9" t="s">
        <v>88</v>
      </c>
      <c r="M21" s="9" t="s">
        <v>88</v>
      </c>
      <c r="N21" s="9" t="s">
        <v>88</v>
      </c>
    </row>
    <row r="22" spans="1:14" x14ac:dyDescent="0.25">
      <c r="A22" s="6" t="s">
        <v>14</v>
      </c>
      <c r="B22" s="9" t="s">
        <v>88</v>
      </c>
      <c r="C22" s="9" t="s">
        <v>88</v>
      </c>
      <c r="D22" s="9" t="s">
        <v>88</v>
      </c>
      <c r="E22" s="9" t="s">
        <v>88</v>
      </c>
      <c r="F22" s="9" t="s">
        <v>88</v>
      </c>
      <c r="G22" s="9" t="s">
        <v>88</v>
      </c>
      <c r="H22" s="9" t="s">
        <v>88</v>
      </c>
      <c r="I22" s="9" t="s">
        <v>88</v>
      </c>
      <c r="J22" s="9" t="s">
        <v>88</v>
      </c>
      <c r="K22" s="9" t="s">
        <v>88</v>
      </c>
      <c r="L22" s="9" t="s">
        <v>88</v>
      </c>
      <c r="M22" s="9" t="s">
        <v>88</v>
      </c>
      <c r="N22" s="9" t="s">
        <v>88</v>
      </c>
    </row>
    <row r="23" spans="1:14" x14ac:dyDescent="0.25">
      <c r="A23" s="6" t="s">
        <v>15</v>
      </c>
      <c r="B23" s="9">
        <v>110</v>
      </c>
      <c r="C23" s="9">
        <v>45</v>
      </c>
      <c r="D23" s="9">
        <v>65</v>
      </c>
      <c r="E23" s="9">
        <v>0</v>
      </c>
      <c r="F23" s="9">
        <v>5</v>
      </c>
      <c r="G23" s="9">
        <v>25</v>
      </c>
      <c r="H23" s="9">
        <v>20</v>
      </c>
      <c r="I23" s="9">
        <v>5</v>
      </c>
      <c r="J23" s="9">
        <v>5</v>
      </c>
      <c r="K23" s="9">
        <v>15</v>
      </c>
      <c r="L23" s="9">
        <v>15</v>
      </c>
      <c r="M23" s="9">
        <v>10</v>
      </c>
      <c r="N23" s="9">
        <v>5</v>
      </c>
    </row>
    <row r="24" spans="1:14" x14ac:dyDescent="0.25">
      <c r="A24" s="6" t="s">
        <v>16</v>
      </c>
      <c r="B24" s="9">
        <v>20</v>
      </c>
      <c r="C24" s="9">
        <v>10</v>
      </c>
      <c r="D24" s="9">
        <v>5</v>
      </c>
      <c r="E24" s="9">
        <v>0</v>
      </c>
      <c r="F24" s="9">
        <v>0</v>
      </c>
      <c r="G24" s="9">
        <v>0</v>
      </c>
      <c r="H24" s="9">
        <v>5</v>
      </c>
      <c r="I24" s="9">
        <v>0</v>
      </c>
      <c r="J24" s="9">
        <v>0</v>
      </c>
      <c r="K24" s="9">
        <v>0</v>
      </c>
      <c r="L24" s="9">
        <v>5</v>
      </c>
      <c r="M24" s="9">
        <v>0</v>
      </c>
      <c r="N24" s="9">
        <v>0</v>
      </c>
    </row>
    <row r="25" spans="1:14" x14ac:dyDescent="0.25">
      <c r="A25" s="6" t="s">
        <v>17</v>
      </c>
      <c r="B25" s="9">
        <v>115</v>
      </c>
      <c r="C25" s="9">
        <v>50</v>
      </c>
      <c r="D25" s="9">
        <v>65</v>
      </c>
      <c r="E25" s="9">
        <v>0</v>
      </c>
      <c r="F25" s="9">
        <v>10</v>
      </c>
      <c r="G25" s="9">
        <v>30</v>
      </c>
      <c r="H25" s="9">
        <v>15</v>
      </c>
      <c r="I25" s="9">
        <v>10</v>
      </c>
      <c r="J25" s="9">
        <v>10</v>
      </c>
      <c r="K25" s="9">
        <v>15</v>
      </c>
      <c r="L25" s="9">
        <v>20</v>
      </c>
      <c r="M25" s="9">
        <v>5</v>
      </c>
      <c r="N25" s="9">
        <v>0</v>
      </c>
    </row>
    <row r="26" spans="1:14" x14ac:dyDescent="0.25">
      <c r="A26" s="6" t="s">
        <v>18</v>
      </c>
      <c r="B26" s="9">
        <v>25</v>
      </c>
      <c r="C26" s="9">
        <v>10</v>
      </c>
      <c r="D26" s="9">
        <v>15</v>
      </c>
      <c r="E26" s="9">
        <v>0</v>
      </c>
      <c r="F26" s="9">
        <v>0</v>
      </c>
      <c r="G26" s="9">
        <v>5</v>
      </c>
      <c r="H26" s="9">
        <v>5</v>
      </c>
      <c r="I26" s="9">
        <v>0</v>
      </c>
      <c r="J26" s="9">
        <v>5</v>
      </c>
      <c r="K26" s="9">
        <v>0</v>
      </c>
      <c r="L26" s="9">
        <v>5</v>
      </c>
      <c r="M26" s="9">
        <v>0</v>
      </c>
      <c r="N26" s="9">
        <v>5</v>
      </c>
    </row>
    <row r="27" spans="1:14" x14ac:dyDescent="0.25">
      <c r="A27" s="6" t="s">
        <v>19</v>
      </c>
      <c r="B27" s="9">
        <v>60</v>
      </c>
      <c r="C27" s="9">
        <v>25</v>
      </c>
      <c r="D27" s="9">
        <v>35</v>
      </c>
      <c r="E27" s="9">
        <v>0</v>
      </c>
      <c r="F27" s="9">
        <v>5</v>
      </c>
      <c r="G27" s="9">
        <v>15</v>
      </c>
      <c r="H27" s="9">
        <v>10</v>
      </c>
      <c r="I27" s="9">
        <v>5</v>
      </c>
      <c r="J27" s="9">
        <v>10</v>
      </c>
      <c r="K27" s="9">
        <v>5</v>
      </c>
      <c r="L27" s="9">
        <v>5</v>
      </c>
      <c r="M27" s="9">
        <v>0</v>
      </c>
      <c r="N27" s="9">
        <v>0</v>
      </c>
    </row>
    <row r="28" spans="1:14" x14ac:dyDescent="0.25">
      <c r="A28" s="6" t="s">
        <v>20</v>
      </c>
      <c r="B28" s="9">
        <v>10</v>
      </c>
      <c r="C28" s="9">
        <v>5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x14ac:dyDescent="0.25">
      <c r="A29" s="6" t="s">
        <v>21</v>
      </c>
      <c r="B29" s="9">
        <v>195</v>
      </c>
      <c r="C29" s="9">
        <v>85</v>
      </c>
      <c r="D29" s="9">
        <v>110</v>
      </c>
      <c r="E29" s="9">
        <v>0</v>
      </c>
      <c r="F29" s="9">
        <v>15</v>
      </c>
      <c r="G29" s="9">
        <v>65</v>
      </c>
      <c r="H29" s="9">
        <v>35</v>
      </c>
      <c r="I29" s="9">
        <v>15</v>
      </c>
      <c r="J29" s="9">
        <v>20</v>
      </c>
      <c r="K29" s="9">
        <v>20</v>
      </c>
      <c r="L29" s="9">
        <v>20</v>
      </c>
      <c r="M29" s="9">
        <v>5</v>
      </c>
      <c r="N29" s="9">
        <v>0</v>
      </c>
    </row>
    <row r="30" spans="1:14" x14ac:dyDescent="0.25">
      <c r="A30" s="6" t="s">
        <v>22</v>
      </c>
      <c r="B30" s="9">
        <v>165</v>
      </c>
      <c r="C30" s="9">
        <v>70</v>
      </c>
      <c r="D30" s="9">
        <v>95</v>
      </c>
      <c r="E30" s="9">
        <v>0</v>
      </c>
      <c r="F30" s="9">
        <v>10</v>
      </c>
      <c r="G30" s="9">
        <v>50</v>
      </c>
      <c r="H30" s="9">
        <v>30</v>
      </c>
      <c r="I30" s="9">
        <v>15</v>
      </c>
      <c r="J30" s="9">
        <v>10</v>
      </c>
      <c r="K30" s="9">
        <v>20</v>
      </c>
      <c r="L30" s="9">
        <v>15</v>
      </c>
      <c r="M30" s="9">
        <v>10</v>
      </c>
      <c r="N30" s="9">
        <v>5</v>
      </c>
    </row>
    <row r="31" spans="1:14" x14ac:dyDescent="0.25">
      <c r="A31" s="6" t="s">
        <v>23</v>
      </c>
      <c r="B31" s="9">
        <v>490</v>
      </c>
      <c r="C31" s="9">
        <v>200</v>
      </c>
      <c r="D31" s="9">
        <v>285</v>
      </c>
      <c r="E31" s="9">
        <v>5</v>
      </c>
      <c r="F31" s="9">
        <v>30</v>
      </c>
      <c r="G31" s="9">
        <v>120</v>
      </c>
      <c r="H31" s="9">
        <v>90</v>
      </c>
      <c r="I31" s="9">
        <v>40</v>
      </c>
      <c r="J31" s="9">
        <v>65</v>
      </c>
      <c r="K31" s="9">
        <v>60</v>
      </c>
      <c r="L31" s="9">
        <v>55</v>
      </c>
      <c r="M31" s="9">
        <v>25</v>
      </c>
      <c r="N31" s="9">
        <v>10</v>
      </c>
    </row>
    <row r="32" spans="1:14" x14ac:dyDescent="0.25">
      <c r="A32" s="6" t="s">
        <v>24</v>
      </c>
      <c r="B32" s="9">
        <v>235</v>
      </c>
      <c r="C32" s="9">
        <v>100</v>
      </c>
      <c r="D32" s="9">
        <v>130</v>
      </c>
      <c r="E32" s="9">
        <v>0</v>
      </c>
      <c r="F32" s="9">
        <v>15</v>
      </c>
      <c r="G32" s="9">
        <v>75</v>
      </c>
      <c r="H32" s="9">
        <v>30</v>
      </c>
      <c r="I32" s="9">
        <v>20</v>
      </c>
      <c r="J32" s="9">
        <v>30</v>
      </c>
      <c r="K32" s="9">
        <v>30</v>
      </c>
      <c r="L32" s="9">
        <v>15</v>
      </c>
      <c r="M32" s="9">
        <v>15</v>
      </c>
      <c r="N32" s="9">
        <v>10</v>
      </c>
    </row>
    <row r="33" spans="1:14" x14ac:dyDescent="0.25">
      <c r="A33" s="6" t="s">
        <v>25</v>
      </c>
      <c r="B33" s="9">
        <v>40</v>
      </c>
      <c r="C33" s="9">
        <v>20</v>
      </c>
      <c r="D33" s="9">
        <v>20</v>
      </c>
      <c r="E33" s="9">
        <v>0</v>
      </c>
      <c r="F33" s="9">
        <v>5</v>
      </c>
      <c r="G33" s="9">
        <v>5</v>
      </c>
      <c r="H33" s="9">
        <v>5</v>
      </c>
      <c r="I33" s="9">
        <v>0</v>
      </c>
      <c r="J33" s="9">
        <v>5</v>
      </c>
      <c r="K33" s="9">
        <v>10</v>
      </c>
      <c r="L33" s="9">
        <v>5</v>
      </c>
      <c r="M33" s="9">
        <v>0</v>
      </c>
      <c r="N33" s="9">
        <v>0</v>
      </c>
    </row>
    <row r="34" spans="1:14" x14ac:dyDescent="0.25">
      <c r="A34" s="6" t="s">
        <v>26</v>
      </c>
      <c r="B34" s="9">
        <v>415</v>
      </c>
      <c r="C34" s="9">
        <v>180</v>
      </c>
      <c r="D34" s="9">
        <v>230</v>
      </c>
      <c r="E34" s="9">
        <v>0</v>
      </c>
      <c r="F34" s="9">
        <v>20</v>
      </c>
      <c r="G34" s="9">
        <v>95</v>
      </c>
      <c r="H34" s="9">
        <v>75</v>
      </c>
      <c r="I34" s="9">
        <v>40</v>
      </c>
      <c r="J34" s="9">
        <v>50</v>
      </c>
      <c r="K34" s="9">
        <v>55</v>
      </c>
      <c r="L34" s="9">
        <v>50</v>
      </c>
      <c r="M34" s="9">
        <v>20</v>
      </c>
      <c r="N34" s="9">
        <v>5</v>
      </c>
    </row>
    <row r="35" spans="1:14" x14ac:dyDescent="0.25">
      <c r="A35" s="6" t="s">
        <v>27</v>
      </c>
      <c r="B35" s="9">
        <v>125</v>
      </c>
      <c r="C35" s="9">
        <v>50</v>
      </c>
      <c r="D35" s="9">
        <v>70</v>
      </c>
      <c r="E35" s="9">
        <v>0</v>
      </c>
      <c r="F35" s="9">
        <v>5</v>
      </c>
      <c r="G35" s="9">
        <v>35</v>
      </c>
      <c r="H35" s="9">
        <v>15</v>
      </c>
      <c r="I35" s="9">
        <v>15</v>
      </c>
      <c r="J35" s="9">
        <v>15</v>
      </c>
      <c r="K35" s="9">
        <v>20</v>
      </c>
      <c r="L35" s="9">
        <v>10</v>
      </c>
      <c r="M35" s="9">
        <v>5</v>
      </c>
      <c r="N35" s="9">
        <v>0</v>
      </c>
    </row>
    <row r="36" spans="1:14" x14ac:dyDescent="0.25">
      <c r="A36" s="6" t="s">
        <v>28</v>
      </c>
      <c r="B36" s="9">
        <v>20</v>
      </c>
      <c r="C36" s="9">
        <v>10</v>
      </c>
      <c r="D36" s="9">
        <v>15</v>
      </c>
      <c r="E36" s="9">
        <v>0</v>
      </c>
      <c r="F36" s="9">
        <v>0</v>
      </c>
      <c r="G36" s="9">
        <v>5</v>
      </c>
      <c r="H36" s="9">
        <v>5</v>
      </c>
      <c r="I36" s="9">
        <v>5</v>
      </c>
      <c r="J36" s="9">
        <v>0</v>
      </c>
      <c r="K36" s="9">
        <v>0</v>
      </c>
      <c r="L36" s="9">
        <v>0</v>
      </c>
      <c r="M36" s="9">
        <v>5</v>
      </c>
      <c r="N36" s="9">
        <v>0</v>
      </c>
    </row>
    <row r="37" spans="1:14" x14ac:dyDescent="0.25">
      <c r="A37" s="6" t="s">
        <v>29</v>
      </c>
      <c r="B37" s="9">
        <v>95</v>
      </c>
      <c r="C37" s="9">
        <v>40</v>
      </c>
      <c r="D37" s="9">
        <v>55</v>
      </c>
      <c r="E37" s="9">
        <v>0</v>
      </c>
      <c r="F37" s="9">
        <v>0</v>
      </c>
      <c r="G37" s="9">
        <v>15</v>
      </c>
      <c r="H37" s="9">
        <v>15</v>
      </c>
      <c r="I37" s="9">
        <v>15</v>
      </c>
      <c r="J37" s="9">
        <v>5</v>
      </c>
      <c r="K37" s="9">
        <v>20</v>
      </c>
      <c r="L37" s="9">
        <v>15</v>
      </c>
      <c r="M37" s="9">
        <v>5</v>
      </c>
      <c r="N37" s="9">
        <v>5</v>
      </c>
    </row>
    <row r="38" spans="1:14" x14ac:dyDescent="0.25">
      <c r="A38" s="6" t="s">
        <v>30</v>
      </c>
      <c r="B38" s="9">
        <v>70</v>
      </c>
      <c r="C38" s="9">
        <v>25</v>
      </c>
      <c r="D38" s="9">
        <v>45</v>
      </c>
      <c r="E38" s="9">
        <v>0</v>
      </c>
      <c r="F38" s="9">
        <v>5</v>
      </c>
      <c r="G38" s="9">
        <v>20</v>
      </c>
      <c r="H38" s="9">
        <v>15</v>
      </c>
      <c r="I38" s="9">
        <v>10</v>
      </c>
      <c r="J38" s="9">
        <v>5</v>
      </c>
      <c r="K38" s="9">
        <v>10</v>
      </c>
      <c r="L38" s="9">
        <v>5</v>
      </c>
      <c r="M38" s="9">
        <v>0</v>
      </c>
      <c r="N38" s="9">
        <v>0</v>
      </c>
    </row>
    <row r="39" spans="1:14" x14ac:dyDescent="0.25">
      <c r="A39" s="6" t="s">
        <v>31</v>
      </c>
      <c r="B39" s="9" t="s">
        <v>88</v>
      </c>
      <c r="C39" s="9" t="s">
        <v>88</v>
      </c>
      <c r="D39" s="9" t="s">
        <v>88</v>
      </c>
      <c r="E39" s="9" t="s">
        <v>88</v>
      </c>
      <c r="F39" s="9" t="s">
        <v>88</v>
      </c>
      <c r="G39" s="9" t="s">
        <v>88</v>
      </c>
      <c r="H39" s="9" t="s">
        <v>88</v>
      </c>
      <c r="I39" s="9" t="s">
        <v>88</v>
      </c>
      <c r="J39" s="9" t="s">
        <v>88</v>
      </c>
      <c r="K39" s="9" t="s">
        <v>88</v>
      </c>
      <c r="L39" s="9" t="s">
        <v>88</v>
      </c>
      <c r="M39" s="9" t="s">
        <v>88</v>
      </c>
      <c r="N39" s="9" t="s">
        <v>88</v>
      </c>
    </row>
    <row r="40" spans="1:14" x14ac:dyDescent="0.25">
      <c r="A40" s="6" t="s">
        <v>32</v>
      </c>
      <c r="B40" s="9">
        <v>5</v>
      </c>
      <c r="C40" s="9">
        <v>5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spans="1:14" x14ac:dyDescent="0.25">
      <c r="A41" s="6" t="s">
        <v>33</v>
      </c>
      <c r="B41" s="9">
        <v>40</v>
      </c>
      <c r="C41" s="9">
        <v>20</v>
      </c>
      <c r="D41" s="9">
        <v>20</v>
      </c>
      <c r="E41" s="9">
        <v>0</v>
      </c>
      <c r="F41" s="9">
        <v>0</v>
      </c>
      <c r="G41" s="9">
        <v>10</v>
      </c>
      <c r="H41" s="9">
        <v>5</v>
      </c>
      <c r="I41" s="9">
        <v>5</v>
      </c>
      <c r="J41" s="9">
        <v>5</v>
      </c>
      <c r="K41" s="9">
        <v>10</v>
      </c>
      <c r="L41" s="9">
        <v>5</v>
      </c>
      <c r="M41" s="9">
        <v>0</v>
      </c>
      <c r="N41" s="9">
        <v>0</v>
      </c>
    </row>
    <row r="42" spans="1:14" x14ac:dyDescent="0.25">
      <c r="A42" s="6" t="s">
        <v>34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spans="1:14" x14ac:dyDescent="0.25">
      <c r="A43" s="6" t="s">
        <v>35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x14ac:dyDescent="0.25">
      <c r="A44" s="6" t="s">
        <v>36</v>
      </c>
      <c r="B44" s="9">
        <v>140</v>
      </c>
      <c r="C44" s="9">
        <v>55</v>
      </c>
      <c r="D44" s="9">
        <v>80</v>
      </c>
      <c r="E44" s="9">
        <v>0</v>
      </c>
      <c r="F44" s="9">
        <v>20</v>
      </c>
      <c r="G44" s="9">
        <v>35</v>
      </c>
      <c r="H44" s="9">
        <v>15</v>
      </c>
      <c r="I44" s="9">
        <v>20</v>
      </c>
      <c r="J44" s="9">
        <v>15</v>
      </c>
      <c r="K44" s="9">
        <v>10</v>
      </c>
      <c r="L44" s="9">
        <v>10</v>
      </c>
      <c r="M44" s="9">
        <v>5</v>
      </c>
      <c r="N44" s="9">
        <v>0</v>
      </c>
    </row>
    <row r="45" spans="1:14" x14ac:dyDescent="0.25">
      <c r="A45" s="6" t="s">
        <v>37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6" t="s">
        <v>38</v>
      </c>
      <c r="B46" s="9">
        <v>130</v>
      </c>
      <c r="C46" s="9">
        <v>60</v>
      </c>
      <c r="D46" s="9">
        <v>70</v>
      </c>
      <c r="E46" s="9">
        <v>0</v>
      </c>
      <c r="F46" s="9">
        <v>10</v>
      </c>
      <c r="G46" s="9">
        <v>40</v>
      </c>
      <c r="H46" s="9">
        <v>25</v>
      </c>
      <c r="I46" s="9">
        <v>15</v>
      </c>
      <c r="J46" s="9">
        <v>10</v>
      </c>
      <c r="K46" s="9">
        <v>20</v>
      </c>
      <c r="L46" s="9">
        <v>10</v>
      </c>
      <c r="M46" s="9">
        <v>0</v>
      </c>
      <c r="N46" s="9">
        <v>0</v>
      </c>
    </row>
    <row r="47" spans="1:14" x14ac:dyDescent="0.25">
      <c r="A47" s="6" t="s">
        <v>39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6" t="s">
        <v>40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x14ac:dyDescent="0.25">
      <c r="A49" s="6" t="s">
        <v>41</v>
      </c>
      <c r="B49" s="9">
        <v>10</v>
      </c>
      <c r="C49" s="9">
        <v>5</v>
      </c>
      <c r="D49" s="9">
        <v>5</v>
      </c>
      <c r="E49" s="9">
        <v>0</v>
      </c>
      <c r="F49" s="9">
        <v>0</v>
      </c>
      <c r="G49" s="9">
        <v>0</v>
      </c>
      <c r="H49" s="9">
        <v>5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x14ac:dyDescent="0.25">
      <c r="A50" s="6" t="s">
        <v>42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 spans="1:14" x14ac:dyDescent="0.25">
      <c r="A51" s="6" t="s">
        <v>43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x14ac:dyDescent="0.25">
      <c r="A52" s="6" t="s">
        <v>44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 spans="1:14" x14ac:dyDescent="0.25">
      <c r="A53" s="6" t="s">
        <v>45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x14ac:dyDescent="0.25">
      <c r="A54" s="6" t="s">
        <v>46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spans="1:14" x14ac:dyDescent="0.25">
      <c r="A55" s="6" t="s">
        <v>47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x14ac:dyDescent="0.25">
      <c r="A56" s="6" t="s">
        <v>48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 spans="1:14" x14ac:dyDescent="0.25">
      <c r="A57" s="6" t="s">
        <v>49</v>
      </c>
      <c r="B57" s="9">
        <v>5</v>
      </c>
      <c r="C57" s="9">
        <v>5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x14ac:dyDescent="0.25">
      <c r="A58" s="6" t="s">
        <v>50</v>
      </c>
      <c r="B58" s="9">
        <v>15</v>
      </c>
      <c r="C58" s="9">
        <v>5</v>
      </c>
      <c r="D58" s="9">
        <v>10</v>
      </c>
      <c r="E58" s="9">
        <v>0</v>
      </c>
      <c r="F58" s="9">
        <v>0</v>
      </c>
      <c r="G58" s="9">
        <v>5</v>
      </c>
      <c r="H58" s="9">
        <v>5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 spans="1:14" x14ac:dyDescent="0.25">
      <c r="A59" s="6" t="s">
        <v>51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x14ac:dyDescent="0.25">
      <c r="A60" s="6" t="s">
        <v>52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 spans="1:14" x14ac:dyDescent="0.25">
      <c r="A61" s="6" t="s">
        <v>53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x14ac:dyDescent="0.25">
      <c r="A62" s="6" t="s">
        <v>54</v>
      </c>
      <c r="B62" s="9">
        <v>80</v>
      </c>
      <c r="C62" s="9">
        <v>40</v>
      </c>
      <c r="D62" s="9">
        <v>40</v>
      </c>
      <c r="E62" s="9">
        <v>5</v>
      </c>
      <c r="F62" s="9">
        <v>5</v>
      </c>
      <c r="G62" s="9">
        <v>15</v>
      </c>
      <c r="H62" s="9">
        <v>15</v>
      </c>
      <c r="I62" s="9">
        <v>15</v>
      </c>
      <c r="J62" s="9">
        <v>5</v>
      </c>
      <c r="K62" s="9">
        <v>15</v>
      </c>
      <c r="L62" s="9">
        <v>5</v>
      </c>
      <c r="M62" s="9">
        <v>5</v>
      </c>
      <c r="N62" s="9">
        <v>5</v>
      </c>
    </row>
    <row r="63" spans="1:14" x14ac:dyDescent="0.25">
      <c r="A63" s="6" t="s">
        <v>55</v>
      </c>
      <c r="B63" s="9">
        <v>360</v>
      </c>
      <c r="C63" s="9">
        <v>155</v>
      </c>
      <c r="D63" s="9">
        <v>200</v>
      </c>
      <c r="E63" s="9">
        <v>5</v>
      </c>
      <c r="F63" s="9">
        <v>15</v>
      </c>
      <c r="G63" s="9">
        <v>100</v>
      </c>
      <c r="H63" s="9">
        <v>55</v>
      </c>
      <c r="I63" s="9">
        <v>35</v>
      </c>
      <c r="J63" s="9">
        <v>35</v>
      </c>
      <c r="K63" s="9">
        <v>50</v>
      </c>
      <c r="L63" s="9">
        <v>35</v>
      </c>
      <c r="M63" s="9">
        <v>25</v>
      </c>
      <c r="N63" s="9">
        <v>5</v>
      </c>
    </row>
    <row r="64" spans="1:14" x14ac:dyDescent="0.25">
      <c r="A64" s="6" t="s">
        <v>56</v>
      </c>
      <c r="B64" s="9">
        <v>25</v>
      </c>
      <c r="C64" s="9">
        <v>15</v>
      </c>
      <c r="D64" s="9">
        <v>15</v>
      </c>
      <c r="E64" s="9">
        <v>0</v>
      </c>
      <c r="F64" s="9">
        <v>5</v>
      </c>
      <c r="G64" s="9">
        <v>10</v>
      </c>
      <c r="H64" s="9">
        <v>0</v>
      </c>
      <c r="I64" s="9">
        <v>5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 spans="1:14" x14ac:dyDescent="0.25">
      <c r="A65" s="6" t="s">
        <v>57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x14ac:dyDescent="0.25">
      <c r="A66" s="6" t="s">
        <v>58</v>
      </c>
      <c r="B66" s="9">
        <v>25</v>
      </c>
      <c r="C66" s="9">
        <v>5</v>
      </c>
      <c r="D66" s="9">
        <v>20</v>
      </c>
      <c r="E66" s="9">
        <v>0</v>
      </c>
      <c r="F66" s="9">
        <v>0</v>
      </c>
      <c r="G66" s="9">
        <v>5</v>
      </c>
      <c r="H66" s="9">
        <v>5</v>
      </c>
      <c r="I66" s="9">
        <v>0</v>
      </c>
      <c r="J66" s="9">
        <v>5</v>
      </c>
      <c r="K66" s="9">
        <v>0</v>
      </c>
      <c r="L66" s="9">
        <v>0</v>
      </c>
      <c r="M66" s="9">
        <v>0</v>
      </c>
      <c r="N66" s="9">
        <v>0</v>
      </c>
    </row>
    <row r="67" spans="1:14" x14ac:dyDescent="0.25">
      <c r="A67" s="6" t="s">
        <v>59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x14ac:dyDescent="0.25">
      <c r="A68" s="6" t="s">
        <v>60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 spans="1:14" x14ac:dyDescent="0.25">
      <c r="A69" s="6" t="s">
        <v>61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x14ac:dyDescent="0.25">
      <c r="A70" s="6" t="s">
        <v>62</v>
      </c>
      <c r="B70" s="9">
        <v>25</v>
      </c>
      <c r="C70" s="9">
        <v>10</v>
      </c>
      <c r="D70" s="9">
        <v>15</v>
      </c>
      <c r="E70" s="9">
        <v>0</v>
      </c>
      <c r="F70" s="9">
        <v>5</v>
      </c>
      <c r="G70" s="9">
        <v>5</v>
      </c>
      <c r="H70" s="9">
        <v>0</v>
      </c>
      <c r="I70" s="9">
        <v>0</v>
      </c>
      <c r="J70" s="9">
        <v>0</v>
      </c>
      <c r="K70" s="9">
        <v>5</v>
      </c>
      <c r="L70" s="9">
        <v>5</v>
      </c>
      <c r="M70" s="9">
        <v>5</v>
      </c>
      <c r="N70" s="9">
        <v>0</v>
      </c>
    </row>
    <row r="71" spans="1:14" x14ac:dyDescent="0.25">
      <c r="A71" s="6" t="s">
        <v>63</v>
      </c>
      <c r="B71" s="9">
        <v>175</v>
      </c>
      <c r="C71" s="9">
        <v>70</v>
      </c>
      <c r="D71" s="9">
        <v>100</v>
      </c>
      <c r="E71" s="9">
        <v>0</v>
      </c>
      <c r="F71" s="9">
        <v>10</v>
      </c>
      <c r="G71" s="9">
        <v>50</v>
      </c>
      <c r="H71" s="9">
        <v>30</v>
      </c>
      <c r="I71" s="9">
        <v>15</v>
      </c>
      <c r="J71" s="9">
        <v>25</v>
      </c>
      <c r="K71" s="9">
        <v>15</v>
      </c>
      <c r="L71" s="9">
        <v>15</v>
      </c>
      <c r="M71" s="9">
        <v>15</v>
      </c>
      <c r="N71" s="9">
        <v>5</v>
      </c>
    </row>
    <row r="72" spans="1:14" x14ac:dyDescent="0.25">
      <c r="A72" s="6" t="s">
        <v>64</v>
      </c>
      <c r="B72" s="9">
        <v>20</v>
      </c>
      <c r="C72" s="9">
        <v>10</v>
      </c>
      <c r="D72" s="9">
        <v>10</v>
      </c>
      <c r="E72" s="9">
        <v>0</v>
      </c>
      <c r="F72" s="9">
        <v>0</v>
      </c>
      <c r="G72" s="9">
        <v>5</v>
      </c>
      <c r="H72" s="9">
        <v>5</v>
      </c>
      <c r="I72" s="9">
        <v>0</v>
      </c>
      <c r="J72" s="9">
        <v>0</v>
      </c>
      <c r="K72" s="9">
        <v>5</v>
      </c>
      <c r="L72" s="9">
        <v>5</v>
      </c>
      <c r="M72" s="9">
        <v>0</v>
      </c>
      <c r="N72" s="9">
        <v>0</v>
      </c>
    </row>
    <row r="73" spans="1:14" x14ac:dyDescent="0.25">
      <c r="A73" s="6" t="s">
        <v>65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x14ac:dyDescent="0.25">
      <c r="A74" s="6" t="s">
        <v>66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</row>
    <row r="75" spans="1:14" x14ac:dyDescent="0.25">
      <c r="A75" s="6" t="s">
        <v>67</v>
      </c>
      <c r="B75" s="9">
        <v>55</v>
      </c>
      <c r="C75" s="9">
        <v>25</v>
      </c>
      <c r="D75" s="9">
        <v>30</v>
      </c>
      <c r="E75" s="9">
        <v>0</v>
      </c>
      <c r="F75" s="9">
        <v>5</v>
      </c>
      <c r="G75" s="9">
        <v>15</v>
      </c>
      <c r="H75" s="9">
        <v>10</v>
      </c>
      <c r="I75" s="9">
        <v>5</v>
      </c>
      <c r="J75" s="9">
        <v>10</v>
      </c>
      <c r="K75" s="9">
        <v>10</v>
      </c>
      <c r="L75" s="9">
        <v>5</v>
      </c>
      <c r="M75" s="9">
        <v>0</v>
      </c>
      <c r="N75" s="9">
        <v>0</v>
      </c>
    </row>
    <row r="76" spans="1:14" x14ac:dyDescent="0.25">
      <c r="A76" s="10" t="s">
        <v>84</v>
      </c>
      <c r="B76" s="11">
        <v>3377</v>
      </c>
      <c r="C76" s="11">
        <v>1456</v>
      </c>
      <c r="D76" s="11">
        <v>1895</v>
      </c>
      <c r="E76" s="11">
        <v>26</v>
      </c>
      <c r="F76" s="11">
        <v>222</v>
      </c>
      <c r="G76" s="11">
        <v>866</v>
      </c>
      <c r="H76" s="11">
        <v>555</v>
      </c>
      <c r="I76" s="11">
        <v>327</v>
      </c>
      <c r="J76" s="11">
        <v>375</v>
      </c>
      <c r="K76" s="11">
        <v>434</v>
      </c>
      <c r="L76" s="11">
        <v>347</v>
      </c>
      <c r="M76" s="11">
        <v>180</v>
      </c>
      <c r="N76" s="11">
        <v>71</v>
      </c>
    </row>
    <row r="77" spans="1:14" x14ac:dyDescent="0.25">
      <c r="A77" s="10" t="s">
        <v>85</v>
      </c>
      <c r="B77" s="12">
        <f>B76/$B76</f>
        <v>1</v>
      </c>
      <c r="C77" s="12">
        <f>C76/$B76</f>
        <v>0.43115190997927155</v>
      </c>
      <c r="D77" s="12">
        <f t="shared" ref="D77:N77" si="0">D76/$B76</f>
        <v>0.56114894877109855</v>
      </c>
      <c r="E77" s="12">
        <f t="shared" si="0"/>
        <v>7.6991412496298494E-3</v>
      </c>
      <c r="F77" s="12">
        <f t="shared" si="0"/>
        <v>6.5738821439147166E-2</v>
      </c>
      <c r="G77" s="12">
        <f t="shared" si="0"/>
        <v>0.25644062777613263</v>
      </c>
      <c r="H77" s="12">
        <f t="shared" si="0"/>
        <v>0.16434705359786794</v>
      </c>
      <c r="I77" s="12">
        <f t="shared" si="0"/>
        <v>9.6831507254960023E-2</v>
      </c>
      <c r="J77" s="12">
        <f t="shared" si="0"/>
        <v>0.1110453064850459</v>
      </c>
      <c r="K77" s="12">
        <f t="shared" si="0"/>
        <v>0.12851643470535978</v>
      </c>
      <c r="L77" s="12">
        <f t="shared" si="0"/>
        <v>0.10275392360082913</v>
      </c>
      <c r="M77" s="12">
        <f t="shared" si="0"/>
        <v>5.3301747112822033E-2</v>
      </c>
      <c r="N77" s="12">
        <f t="shared" si="0"/>
        <v>2.1024578027835358E-2</v>
      </c>
    </row>
    <row r="83" spans="6:6" x14ac:dyDescent="0.25">
      <c r="F83">
        <v>213</v>
      </c>
    </row>
  </sheetData>
  <mergeCells count="2">
    <mergeCell ref="C13:E13"/>
    <mergeCell ref="F13:N13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household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2022-06-06T00:49:29Z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