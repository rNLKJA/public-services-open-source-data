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chwarts\Downloads\"/>
    </mc:Choice>
  </mc:AlternateContent>
  <xr:revisionPtr revIDLastSave="0" documentId="8_{B4973DEC-8631-43AA-B458-269BB26EABEB}" xr6:coauthVersionLast="47" xr6:coauthVersionMax="47" xr10:uidLastSave="{00000000-0000-0000-0000-000000000000}"/>
  <bookViews>
    <workbookView xWindow="28680" yWindow="-120" windowWidth="29040" windowHeight="15720" firstSheet="1" activeTab="1" xr2:uid="{00000000-000D-0000-FFFF-FFFF00000000}"/>
  </bookViews>
  <sheets>
    <sheet name="Notes and Symbols" sheetId="56" r:id="rId1"/>
    <sheet name="Contents" sheetId="1" r:id="rId2"/>
    <sheet name="Table S72" sheetId="2" r:id="rId3"/>
    <sheet name="Table S73" sheetId="3" r:id="rId4"/>
    <sheet name="Table S74" sheetId="4" r:id="rId5"/>
    <sheet name="Table S75" sheetId="5" r:id="rId6"/>
    <sheet name="Table S76" sheetId="6" r:id="rId7"/>
    <sheet name="Table S77" sheetId="7" r:id="rId8"/>
    <sheet name="Table S78" sheetId="8" r:id="rId9"/>
    <sheet name="Table S79" sheetId="9" r:id="rId10"/>
    <sheet name="Table S80" sheetId="10" r:id="rId11"/>
    <sheet name="Table S81" sheetId="11" r:id="rId12"/>
    <sheet name="Table S82" sheetId="12" r:id="rId13"/>
    <sheet name="Table S83" sheetId="13" r:id="rId14"/>
    <sheet name="Table S84" sheetId="14" r:id="rId15"/>
    <sheet name="Table S85" sheetId="15" r:id="rId16"/>
    <sheet name="Table S86" sheetId="16" r:id="rId17"/>
    <sheet name="Table S87" sheetId="17" r:id="rId18"/>
    <sheet name="Table S88" sheetId="18" r:id="rId19"/>
    <sheet name="Table S89" sheetId="19" r:id="rId20"/>
    <sheet name="Table S90" sheetId="20" r:id="rId21"/>
    <sheet name="Table S91" sheetId="21" r:id="rId22"/>
    <sheet name="Table S92" sheetId="22" r:id="rId23"/>
    <sheet name="Table S93" sheetId="23" r:id="rId24"/>
    <sheet name="Table S94" sheetId="24" r:id="rId25"/>
    <sheet name="Table S95" sheetId="25" r:id="rId26"/>
    <sheet name="Table S96" sheetId="26" r:id="rId27"/>
    <sheet name="Table S97" sheetId="27" r:id="rId28"/>
    <sheet name="Table S98" sheetId="28" r:id="rId29"/>
    <sheet name="Table S99" sheetId="29" r:id="rId30"/>
    <sheet name="Table S100" sheetId="30" r:id="rId31"/>
    <sheet name="Table S101" sheetId="31" r:id="rId32"/>
    <sheet name="Table S102" sheetId="32" r:id="rId33"/>
    <sheet name="Table S103" sheetId="33" r:id="rId34"/>
    <sheet name="Table S104" sheetId="34" r:id="rId35"/>
    <sheet name="Table S105" sheetId="35" r:id="rId36"/>
    <sheet name="Table S106" sheetId="36" r:id="rId37"/>
    <sheet name="Table S107" sheetId="37" r:id="rId38"/>
    <sheet name="Table S108" sheetId="38" r:id="rId39"/>
    <sheet name="Table S109" sheetId="39" r:id="rId40"/>
    <sheet name="Table S110" sheetId="40" r:id="rId41"/>
    <sheet name="Table S111" sheetId="41" r:id="rId42"/>
    <sheet name="Table S112" sheetId="42" r:id="rId43"/>
    <sheet name="Table S113" sheetId="43" r:id="rId44"/>
    <sheet name="Table S114" sheetId="44" r:id="rId45"/>
    <sheet name="Table S115" sheetId="45" r:id="rId46"/>
    <sheet name="Table S116" sheetId="46" r:id="rId47"/>
    <sheet name="Table S117" sheetId="47" r:id="rId48"/>
    <sheet name="Table S118" sheetId="48" r:id="rId49"/>
    <sheet name="Table S119" sheetId="49" r:id="rId50"/>
    <sheet name="Table S120" sheetId="50" r:id="rId51"/>
    <sheet name="Table S121" sheetId="51" r:id="rId52"/>
    <sheet name="Table S122" sheetId="52" r:id="rId53"/>
    <sheet name="Table S123" sheetId="53" r:id="rId54"/>
    <sheet name="Table S124" sheetId="54" r:id="rId55"/>
    <sheet name="Table S125" sheetId="55" r:id="rId5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5" i="9" l="1"/>
  <c r="O55" i="9"/>
  <c r="P55" i="9"/>
  <c r="Q55" i="9"/>
  <c r="R55" i="9"/>
  <c r="S55" i="9"/>
  <c r="T55" i="9"/>
  <c r="U55" i="9"/>
  <c r="M55" i="9"/>
  <c r="P20" i="8"/>
  <c r="O20" i="8"/>
  <c r="N20" i="8"/>
  <c r="Q20" i="8"/>
  <c r="R20" i="8"/>
  <c r="S20" i="8"/>
  <c r="T20" i="8"/>
  <c r="U20" i="8"/>
  <c r="M20" i="8"/>
</calcChain>
</file>

<file path=xl/sharedStrings.xml><?xml version="1.0" encoding="utf-8"?>
<sst xmlns="http://schemas.openxmlformats.org/spreadsheetml/2006/main" count="6503" uniqueCount="458">
  <si>
    <t/>
  </si>
  <si>
    <t>NSW</t>
  </si>
  <si>
    <t>Vic</t>
  </si>
  <si>
    <t>Qld</t>
  </si>
  <si>
    <t>WA</t>
  </si>
  <si>
    <t>SA</t>
  </si>
  <si>
    <t>Tas</t>
  </si>
  <si>
    <t>ACT</t>
  </si>
  <si>
    <t>NT</t>
  </si>
  <si>
    <t>Australia</t>
  </si>
  <si>
    <t>10–17</t>
  </si>
  <si>
    <t>18+</t>
  </si>
  <si>
    <t>Total</t>
  </si>
  <si>
    <t>(a) Number of young people on an average day may not sum to total due to rounding.</t>
  </si>
  <si>
    <t>— represents zero or rounded to zero</t>
  </si>
  <si>
    <t>Note: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</si>
  <si>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 xml:space="preserve"> </t>
  </si>
  <si>
    <t>10–13</t>
  </si>
  <si>
    <t>Notes</t>
  </si>
  <si>
    <t>1. Age calculated as at start of financial year if first period of detention in the relevant year began before the start of the financial year, otherwise age calculated as at start of first period of detention in the relevant year.</t>
  </si>
  <si>
    <t>2. For Tasmania and the Australian Capital Terriorty, young people aged 18 and over in detention during the year have been excluded due to small numbers.</t>
  </si>
  <si>
    <t>Male</t>
  </si>
  <si>
    <t>First Nations</t>
  </si>
  <si>
    <t>Non-Indigenous</t>
  </si>
  <si>
    <t>Not stated</t>
  </si>
  <si>
    <t>Female</t>
  </si>
  <si>
    <t>Note: Age calculated as at start of financial year if first period of detention in the relevant year began before the start of the financial year, otherwise age calculated as at start of first period of detention in the relevant year.</t>
  </si>
  <si>
    <t>1. Rates are number of young people per 10,000 relevant population.</t>
  </si>
  <si>
    <t>2. Rates are not published where there were fewer than five young people.</t>
  </si>
  <si>
    <t>3.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</si>
  <si>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3. Age calculated as at start of financial year if first period of detention in the relevant year began before the start of the financial year, otherwise age calculated as at start of first period of detention in the relevant year.</t>
  </si>
  <si>
    <t>1. Total includes young people with unknown age.</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</si>
  <si>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</si>
  <si>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 Age calculated as at start of financial year if first period of detention in the relevant year began before the start of the financial year, otherwise age calculated as at start of first period of detention in the relevant year.</t>
  </si>
  <si>
    <t>3. For Tasmania and the Australian Capital Terriorty, young people aged 18 and over in detention during the year have been excluded due to small numbers.</t>
  </si>
  <si>
    <t>10–11</t>
  </si>
  <si>
    <t>1. Total includes young people of unknown sex.</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</si>
  <si>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</si>
  <si>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3. Rates are number of young people per 10,000 relevant population.</t>
  </si>
  <si>
    <t>4. Rates are not published where there were fewer than five young people.</t>
  </si>
  <si>
    <t>2. Rates are number of young people per 10,000 relevant population.</t>
  </si>
  <si>
    <t>3. Rates are not published where there were fewer than five young people.</t>
  </si>
  <si>
    <t>4.Age calculated as at start of financial year if first period of detention in the relevant year began before the start of the financial year, otherwise age calculated as at start of first period of detention in the relevant year.</t>
  </si>
  <si>
    <t>10-13 years</t>
  </si>
  <si>
    <t>14-17 years</t>
  </si>
  <si>
    <t>18+ years</t>
  </si>
  <si>
    <t>1. Total includes young people of unknown age and First Nations identity.</t>
  </si>
  <si>
    <t>10-17 years</t>
  </si>
  <si>
    <t>1.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</si>
  <si>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2018-19</t>
  </si>
  <si>
    <t>2019-20</t>
  </si>
  <si>
    <t>2020-21</t>
  </si>
  <si>
    <t>2021-22</t>
  </si>
  <si>
    <t>2022-23</t>
  </si>
  <si>
    <t>2. Trend data may differ from those previously published due to data revisions.</t>
  </si>
  <si>
    <t>2015-16</t>
  </si>
  <si>
    <t>2016-17</t>
  </si>
  <si>
    <t>2017-18</t>
  </si>
  <si>
    <t>1. Trend data may differ from those previously published due to data revisions.</t>
  </si>
  <si>
    <t>Note: Trend data may differ from those previously published due to data revisions.</t>
  </si>
  <si>
    <t>4. Age calculated as at start of financial year if first period of detention in the relevant year began before the start of the financial year, otherwise age calculated as at start of first period of detention in the relevant year.</t>
  </si>
  <si>
    <t>3. Trend data may differ from those previously published due to data revisions.</t>
  </si>
  <si>
    <t>4. Rates are number of young people per 10,000 relevant population.</t>
  </si>
  <si>
    <t>5. Rates are not published where there were fewer than five young people.</t>
  </si>
  <si>
    <t>1.Trend data may differ from those previously published due to data revisions.</t>
  </si>
  <si>
    <t>2.Age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</si>
  <si>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First year of supervision</t>
  </si>
  <si>
    <t>Previously supervised</t>
  </si>
  <si>
    <t>1. Total includes young people with unknown date of first supervision.</t>
  </si>
  <si>
    <t>2. Age calculated as at start of first supervision period.</t>
  </si>
  <si>
    <t>2. Age calculated as at start of first period of detention.</t>
  </si>
  <si>
    <t>3. Information on first detention is not available for all young people in detention. Young people with unknown date of first detention are excluded.</t>
  </si>
  <si>
    <t>1. Age calculated as at start of first period of detention.</t>
  </si>
  <si>
    <t>2. Information on first detention is not available for all young people in detention. Young people with unknown date of first detention are excluded.</t>
  </si>
  <si>
    <t>1. Some young people excluded due to missing or invalid postcodes or because the postcode was not listed in the Remoteness areas correspondence file.</t>
  </si>
  <si>
    <t>2. Some remoteness areas are not found in all states and territories.</t>
  </si>
  <si>
    <t>Note: Some young people excluded due to missing or invalid postcodes or because the postcode was not listed in the SEIFA file.</t>
  </si>
  <si>
    <t>Total in detention</t>
  </si>
  <si>
    <t>1. Some young people excluded due to missing or invalid postcodes or because the postcode was not listed in the SEIFA file.</t>
  </si>
  <si>
    <t>3.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</si>
  <si>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4. SEIFA quintiles are calculated based on postcodes across the whole of Australia, and therefore some socioeconomic areas are not found in all states and territories.</t>
  </si>
  <si>
    <t>6+</t>
  </si>
  <si>
    <t>1. The duration of periods of detention separated by a transfer to another remand or detention centre were summed.</t>
  </si>
  <si>
    <t>2. Median lengths were not calculated where there were fewer than five periods.</t>
  </si>
  <si>
    <t>1. Average duration calculated from the summed length of periods of detention that occurred within the financial year.</t>
  </si>
  <si>
    <t>2. Total includes young people of unknown sex.</t>
  </si>
  <si>
    <t>Police-referred pre-court detention</t>
  </si>
  <si>
    <t>Remand</t>
  </si>
  <si>
    <t>Total unsentenced</t>
  </si>
  <si>
    <t>Sentenced</t>
  </si>
  <si>
    <t>Other</t>
  </si>
  <si>
    <t>Note: This data should be interpreted with caution due to potential issues with recording and updating of custodial order details in Tasmania.</t>
  </si>
  <si>
    <t>Pre-court detention</t>
  </si>
  <si>
    <t>Total young people</t>
  </si>
  <si>
    <t>1. The number of receptions for young people in unsentenced and sentenced detention may not sum to the total as young people may have been received for both types of orders at the same time.</t>
  </si>
  <si>
    <t>2. This data should be interpreted with caution due to potential issues with recording and updating of custodial order details in Tasmania.</t>
  </si>
  <si>
    <t>1. The number of releases for young people in unsentenced and sentenced detention may not sum to the total as young people may have been released from both types of orders at the same time.</t>
  </si>
  <si>
    <t>VIC</t>
  </si>
  <si>
    <t>QLD</t>
  </si>
  <si>
    <t>TAS</t>
  </si>
  <si>
    <t>July</t>
  </si>
  <si>
    <t>August</t>
  </si>
  <si>
    <t>September</t>
  </si>
  <si>
    <t>October</t>
  </si>
  <si>
    <t>November</t>
  </si>
  <si>
    <t>December</t>
  </si>
  <si>
    <t>January</t>
  </si>
  <si>
    <t>February</t>
  </si>
  <si>
    <t>March</t>
  </si>
  <si>
    <t>April</t>
  </si>
  <si>
    <t>May</t>
  </si>
  <si>
    <t>June</t>
  </si>
  <si>
    <t>Unsentenced</t>
  </si>
  <si>
    <t>1. Number of unsentenced and sentenced young people on an average day may not sum to total number of young people as young people may have changed legal status during the same day, or been on both types of orders at the same time.</t>
  </si>
  <si>
    <t>1. Number of unsentenced and sentenced young people may not sum to total number of young people as some young people may have changed legal status during the year.</t>
  </si>
  <si>
    <t>3. This data should be interpreted with caution due to potential issues with recording and updating of custodial order details in Tasmania.</t>
  </si>
  <si>
    <t>Aus</t>
  </si>
  <si>
    <t>Note: Number of unsentenced and sentenced young people on an average day may not sum to total number of young people as young people may have changed legal status during the same day, or been on both types of orders at the same time.</t>
  </si>
  <si>
    <t>3. Number of unsentenced and sentenced young people on an average day may not sum to total number of young people as young people may have changed legal status during the same day, or been on both types of orders at the same time.</t>
  </si>
  <si>
    <t>2. Age calculated as at start of financial year if first period of unsentenced detention in the relevant year began before the start of the financial year, otherwise age calculated as at start of first period of unsentenced detention in the relevant year.</t>
  </si>
  <si>
    <t>3. Number of unsentenced and sentenced young people may not sum to total number of young people as some young people may have changed legal status during the year.</t>
  </si>
  <si>
    <t>1. The duration of periods of remand separated by a transfer to another remand or detention centre were summed.</t>
  </si>
  <si>
    <t>1. Average duration calculated from the summed length of periods of unsentenced detention that occurred within the financial year.</t>
  </si>
  <si>
    <t>Completed</t>
  </si>
  <si>
    <t>Released on bail</t>
  </si>
  <si>
    <t>Released on parole</t>
  </si>
  <si>
    <t>Escaped or absconded</t>
  </si>
  <si>
    <t>Death</t>
  </si>
  <si>
    <t>1. Some types of supervision are not available in some states and territories.</t>
  </si>
  <si>
    <t>2. Australian Capital Territory data are not published due to differences in coding of 'end reason' for young people who transition from remand to sentenced supervision.</t>
  </si>
  <si>
    <t>3+</t>
  </si>
  <si>
    <t>Note: Number of unsentenced and sentenced young people may not sum to total number of young people as some young people may have changed legal status during the year.</t>
  </si>
  <si>
    <t>1. Median lengths were not calculated where there were fewer than five periods.</t>
  </si>
  <si>
    <t>1. Average duration calculated from the summed length of periods of sentenced detention that occurred within the financial year.</t>
  </si>
  <si>
    <t>Community-based supervision</t>
  </si>
  <si>
    <t>Detention sentence</t>
  </si>
  <si>
    <t>Any supervised sentence</t>
  </si>
  <si>
    <t>Total in sentenced detention</t>
  </si>
  <si>
    <t>Age, sex and Indigenous status</t>
  </si>
  <si>
    <t>Trends</t>
  </si>
  <si>
    <t>First supervision</t>
  </si>
  <si>
    <t>Remoteness</t>
  </si>
  <si>
    <t>Socioeconomic position of usual residence</t>
  </si>
  <si>
    <t>Time in detention</t>
  </si>
  <si>
    <t>Receptions and releases</t>
  </si>
  <si>
    <t>Legal status</t>
  </si>
  <si>
    <t>Unsentenced detention</t>
  </si>
  <si>
    <t>Sentenced detention</t>
  </si>
  <si>
    <t>Abbreviations</t>
  </si>
  <si>
    <t>ABS</t>
  </si>
  <si>
    <t>Australian Bureau of Statistics</t>
  </si>
  <si>
    <t>Australian Capital Territory</t>
  </si>
  <si>
    <t>AIHW</t>
  </si>
  <si>
    <t>Australian Institute of Health and Welfare</t>
  </si>
  <si>
    <t>Aust</t>
  </si>
  <si>
    <t>YJ NMDS</t>
  </si>
  <si>
    <t>Youth Justice National Minimum Data Set</t>
  </si>
  <si>
    <t>New South Wales</t>
  </si>
  <si>
    <t>Northern Territory</t>
  </si>
  <si>
    <t>Queensland</t>
  </si>
  <si>
    <t>South Australia</t>
  </si>
  <si>
    <t>SEIFA</t>
  </si>
  <si>
    <t>Socio–Economic Indexes for Areas</t>
  </si>
  <si>
    <t>Tasmania</t>
  </si>
  <si>
    <t>Victoria</t>
  </si>
  <si>
    <t>Western Australia</t>
  </si>
  <si>
    <t>Symbols</t>
  </si>
  <si>
    <t>—</t>
  </si>
  <si>
    <t>zero</t>
  </si>
  <si>
    <t>rounded to zero</t>
  </si>
  <si>
    <t>. .</t>
  </si>
  <si>
    <t>not applicable</t>
  </si>
  <si>
    <t>n.a.</t>
  </si>
  <si>
    <t>not available</t>
  </si>
  <si>
    <t>n.p.</t>
  </si>
  <si>
    <t>not published due to small numbers, confidentiality, and/or reliability concerns</t>
  </si>
  <si>
    <t>Components of tables may not sum to the totals due to rounding.</t>
  </si>
  <si>
    <t>The average daily population of young people under community–based supervision and in detention may not sum to the total average daily population under supervision because a young person may move between community–based supervision and detention on the same day.</t>
  </si>
  <si>
    <r>
      <t xml:space="preserve">Age on an average day is calculated based on the age a young person is each day that they are under supervision. If a young person changes age during a period of supervision, then the average daily number under supervision will reflect this. Average daily data broken down by age will not be comparable to </t>
    </r>
    <r>
      <rPr>
        <i/>
        <sz val="11"/>
        <color indexed="8"/>
        <rFont val="Arial"/>
        <family val="2"/>
      </rPr>
      <t>Youth justice in Australia</t>
    </r>
    <r>
      <rPr>
        <sz val="11"/>
        <color indexed="8"/>
        <rFont val="Arial"/>
        <family val="2"/>
      </rPr>
      <t xml:space="preserve"> releases prior to 2019–20.</t>
    </r>
  </si>
  <si>
    <t>For 'during the year' (or unique) counts, age is calculated at the start of the first period of relevant supervision. If the first period of relevant supervision began before the financial year, then age is calculated at the start of the financial year. A young person may therefore be included in one age category for one type of supervision and in another age category for a different type of supervision (for example, 15 years old for community-based supervision and 16 years old for detention).</t>
  </si>
  <si>
    <t>Unless otherwise specified, tables present data that relate to young people aged 10 and over under youth justice supervision.</t>
  </si>
  <si>
    <r>
      <t xml:space="preserve">For information about the impacts of COVID-19 on population data, please see Box 1 in </t>
    </r>
    <r>
      <rPr>
        <i/>
        <sz val="11"/>
        <color theme="1"/>
        <rFont val="Arial"/>
        <family val="2"/>
      </rPr>
      <t>Youth justice in Australia 2020–21 Appendix 1: Data quality and technical notes.</t>
    </r>
  </si>
  <si>
    <r>
      <t xml:space="preserve">Historical data for the ACT has been suppressed and is not comparable to previous editions of </t>
    </r>
    <r>
      <rPr>
        <i/>
        <sz val="11"/>
        <color theme="1"/>
        <rFont val="Arial"/>
        <family val="2"/>
      </rPr>
      <t>Youth Justice in Australia</t>
    </r>
    <r>
      <rPr>
        <sz val="11"/>
        <color theme="1"/>
        <rFont val="Arial"/>
        <family val="2"/>
      </rPr>
      <t>.</t>
    </r>
  </si>
  <si>
    <t>References</t>
  </si>
  <si>
    <t>Age</t>
  </si>
  <si>
    <t>Sex</t>
  </si>
  <si>
    <t>Indigenous status</t>
  </si>
  <si>
    <t>Age group</t>
  </si>
  <si>
    <t xml:space="preserve">Sex </t>
  </si>
  <si>
    <t>Year</t>
  </si>
  <si>
    <t>Indigenous staus</t>
  </si>
  <si>
    <t>Number of completed periods</t>
  </si>
  <si>
    <t>Median length of  completed periods (days for total period)</t>
  </si>
  <si>
    <t>Number of completed periods of supervision</t>
  </si>
  <si>
    <t>Number of young people who completed a period during the year</t>
  </si>
  <si>
    <t>Number of receptions</t>
  </si>
  <si>
    <t>Number of releases</t>
  </si>
  <si>
    <t>Month</t>
  </si>
  <si>
    <t>Median length of completed periods (number of days in total)</t>
  </si>
  <si>
    <t>Detention end reason</t>
  </si>
  <si>
    <t>Number of periods completed</t>
  </si>
  <si>
    <t>Median length of completed periods (days for total period)</t>
  </si>
  <si>
    <t>Major cities of Australia</t>
  </si>
  <si>
    <t>Inner regional Australia</t>
  </si>
  <si>
    <t>Outer regional Australia</t>
  </si>
  <si>
    <t>Remote Australia</t>
  </si>
  <si>
    <t>Very remote Australia</t>
  </si>
  <si>
    <t>All</t>
  </si>
  <si>
    <t>Remoteness area</t>
  </si>
  <si>
    <t>1 (lowest)</t>
  </si>
  <si>
    <t>5 (highest)</t>
  </si>
  <si>
    <t xml:space="preserve">Total in detention </t>
  </si>
  <si>
    <t>Socioeconomic areas</t>
  </si>
  <si>
    <t>5.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</si>
  <si>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6. SEIFA quintiles are calculated based on postcodes across the whole of Australia, and therefore some socioeconomic areas are not found in all states and territories.</t>
  </si>
  <si>
    <t>Source: Tables S87a and S146.</t>
  </si>
  <si>
    <t>Source: Tables S99b and S149.</t>
  </si>
  <si>
    <t>4. The ACT has highly diverse suburbs with advantaged households in close proximity to disadvantaged households. It has a high proportion of the most relatively disadvantaged persons residing in areas classified by SEIFA as being less disadvantaged. In this respect, the ACT is unique and comparisons with other jurisdictions should be made with caution.</t>
  </si>
  <si>
    <t>5. SEIFA quintiles are calculated based on postcodes across the whole of Australia, and therefore some socioeconomic areas are not found in all states and territories.</t>
  </si>
  <si>
    <t>Supplementary tables —Characteristics of young people in detention: S72 to S125</t>
  </si>
  <si>
    <t>n.p. Some cells are suppressed in this table to protect the confidentiality of young people.</t>
  </si>
  <si>
    <t>(b) Address data for young people known to Youth Justice in Tasmania is affected by data qaulity issues. Usual residence data should be interpreted with caution.</t>
  </si>
  <si>
    <t>(a) Address data for young people known to Youth Justice in Tasmania is affected by data qaulity issues. Usual residence data should be interpreted with caution.</t>
  </si>
  <si>
    <t>Superivsion history</t>
  </si>
  <si>
    <t>Supervision history</t>
  </si>
  <si>
    <t>Previous supervised sentence</t>
  </si>
  <si>
    <t>Note: For Tasmania and the Australian Capital Terriorty, young people aged 18 and over in detention during the year have been excluded due to small numbers.</t>
  </si>
  <si>
    <t>2023-24</t>
  </si>
  <si>
    <t>2016–17</t>
  </si>
  <si>
    <t>2017–18</t>
  </si>
  <si>
    <t>2018–19</t>
  </si>
  <si>
    <t>2019–20</t>
  </si>
  <si>
    <t>2020–21</t>
  </si>
  <si>
    <t>2021–22</t>
  </si>
  <si>
    <t>2022–23</t>
  </si>
  <si>
    <t>2023–24</t>
  </si>
  <si>
    <t>4. For Tasmania and the Australian Capital Terriorty, young people aged 18 and over in detention during the year have been excluded due to small numbers.</t>
  </si>
  <si>
    <t xml:space="preserve">
n.p. Some cells are suppressed in this table to protect the confidentiality of young people.</t>
  </si>
  <si>
    <t>Table S108b: Young people in detention during the year by legal status and Indigenous status, states and territories, 2023–24</t>
  </si>
  <si>
    <t>2. Age on an average day is calculated based on the age a young person is each day that they are under supervision. If a young person changes age during a period of supervision, the average daily number under supervision will reflect this. Average daily data broken down by age will not be comparable with data in Youth justice in Australia releases before 2019–20.</t>
  </si>
  <si>
    <t>Notes:</t>
  </si>
  <si>
    <t>(b) Address data for young people known to Youth Justice in Tasmania is affected by data quality issues. Usual residence data should be interpreted with caution.</t>
  </si>
  <si>
    <t>(a) Address data for young people known to Youth Justice in Tasmania is affected by data quality issues. Usual residence data should be interpreted with caution.</t>
  </si>
  <si>
    <t>(b)Address data for young people known to Youth Justice in Tasmania is affected by data quality issues. Usual residence data should be interpreted with caution.</t>
  </si>
  <si>
    <t>(a)Address data for young people known to Youth Justice in Tasmania is affected by data quality issues. Usual residence data should be interpreted with caution.</t>
  </si>
  <si>
    <t>Source: Tables S74a and S143</t>
  </si>
  <si>
    <t>Source: Tables S74b and S143</t>
  </si>
  <si>
    <t>5. In August 2023, the Northern Territory raised the minimum age of criminal responsibility from 10 to 12. The rates for the Northern Territory in 2023-24 are for young people aged 12-17.</t>
  </si>
  <si>
    <t>4. In August 2023, the Northern Territory raised the minimum age of criminal responsibility from 10 to 12. The rates for the Northern Territory in 2023-24 are for young people aged 12-17.</t>
  </si>
  <si>
    <t>5. In November 2023, the Australian Capital Territory raised the minimum age of criminal responsibility from 10 to 12. The rates for the Australian Capital Territory in 2023-24 are for young people aged 12-17.</t>
  </si>
  <si>
    <t>Source: Tables S76b and S142</t>
  </si>
  <si>
    <t>Source: Tables S76a and S142</t>
  </si>
  <si>
    <t>Source: Tables S78a and S150</t>
  </si>
  <si>
    <t>Source: Tables S79a and S147</t>
  </si>
  <si>
    <t>Source: Tables S79b and S147</t>
  </si>
  <si>
    <t>Source: Tables S84a and S144</t>
  </si>
  <si>
    <t>3. For Tasmania and the Australian Capital Territory, young people aged 18 and over in detention during the year have been excluded due to small numbers.</t>
  </si>
  <si>
    <t>Source: Tables S97a and S148</t>
  </si>
  <si>
    <t>Source: Tables S97b and S148</t>
  </si>
  <si>
    <t>Source: Tables S99a and S149</t>
  </si>
  <si>
    <t>Source: Tables S109a and S143.</t>
  </si>
  <si>
    <t>Source: Tables S109b and S143.</t>
  </si>
  <si>
    <t>10–12</t>
  </si>
  <si>
    <t>3. For Tasmania and the the Australian Capital Terriorty, young people aged 18 and over in detention during the year have been excluded due to small numbers.</t>
  </si>
  <si>
    <t>2. For Tasmania and the Australian Capital Territory, young people aged 18 and over in detention during the year have been excluded due to small numbers.</t>
  </si>
  <si>
    <t>4. Young people from Tasmania and the Australian Capital Territory aged 18 and over in detention during the year have been excluded due to small numbers.</t>
  </si>
  <si>
    <t>Source: Tables S81a and S145</t>
  </si>
  <si>
    <t>Source: Tables S81b and S145</t>
  </si>
  <si>
    <t>3. In Tasmania, parole is only applicable under the Sentencing Act of 1997.</t>
  </si>
  <si>
    <t>-</t>
  </si>
  <si>
    <t xml:space="preserve">Table S72a: Young people in detention on an average day(a) by age, states and territories, 2024–25 </t>
  </si>
  <si>
    <t>Source: AIHW Youth Justice National Minimum Dataset (YJ NMDS) 2000–01 to 2024–25.</t>
  </si>
  <si>
    <t>Table S72b: Young people in detention during the year by age, states and territories, 2024–25</t>
  </si>
  <si>
    <t xml:space="preserve">Table S73a: Young people in detention on an average day(a) by sex and Indigenous status, states and territories, 2024–25 </t>
  </si>
  <si>
    <t>Table S73b: Young people in detention during the year by sex and Indigenous status, states and territories, 2024–25</t>
  </si>
  <si>
    <t xml:space="preserve">Table S74a: Young people aged 10–17 in detention on an average day(a) by sex and Indigenous status, states and territories, 2024–25 </t>
  </si>
  <si>
    <t>Table S74b: Young people aged 10–17 in detention during the year by sex and Indigenous status, states and territories, 2024–25</t>
  </si>
  <si>
    <t>Table S75a: Young people aged 10–17 in detention on an average day by sex and Indigenous status, states and territories, 2024–25 (rate)</t>
  </si>
  <si>
    <t>Table S75b: Young people aged 10–17 in detention during the year by sex and Indigenous status, states and territories, 2024–25 (rate)</t>
  </si>
  <si>
    <t>3. In November 2023, the Australian Capital Territory raised the minimum age of criminal responsibility from 10 to 12. The rates for the Australian Capital Territory from 2023-24 are for young people aged 12-17.</t>
  </si>
  <si>
    <t>4. In November 2023, the Australian Capital Territory raised the minimum age of criminal responsibility from 10 to 12. The rates for the Australian Capital Territory from 2023-24 are for young people aged 12-17.</t>
  </si>
  <si>
    <t xml:space="preserve">Table S76a: Young people in detention on an average day(a) by age, sex and Indigenous status, Australia, 2024–25 </t>
  </si>
  <si>
    <t>Table S76b: Young people in detention during the year by age, sex and Indigenous, Australia, 2024–25</t>
  </si>
  <si>
    <t>Table S77a: Young people aged 10–17 in detention by age on an average day by age, sex and Indigenous status, Australia, 2024–25 (rate)</t>
  </si>
  <si>
    <t>Table S77b: Young people aged 10–17 in detention during the year by age, sex and Indigenous status, Australia, 2024–25 (rate)</t>
  </si>
  <si>
    <t xml:space="preserve">Table S78a: Young people in detention on an average day(a) by Indigenous status and age, states and territories, 2024–25 </t>
  </si>
  <si>
    <t>Table S78b: Young people in detention during the year by Indigenous status and age, states and territories, 2024–25</t>
  </si>
  <si>
    <t>Table S78c: Young people in detention on an average day(a) by Indigenous status and age, states and territories, 2024–25 (rate)</t>
  </si>
  <si>
    <t>Table S78d: Young people in detention during the year by Indigenous status and age, states and territories, 2024–25 (rate)</t>
  </si>
  <si>
    <t>2024-25</t>
  </si>
  <si>
    <t>5. In November 2023, the Australian Capital Territory raised the minimum age of criminal responsibility from 10 to 12. The rates for the Australian Capital Territory from 2023-24 are for young people aged 12-17.</t>
  </si>
  <si>
    <t>Table S79a: Young people aged 10–17 in detention on an on an average day(a) by sex and age, Australia, 2020–21 to 2024–25</t>
  </si>
  <si>
    <t>Table S79b: Young people aged 10–17 in detention during the year by sex and age, Australia, 2020–21 to 2024–25</t>
  </si>
  <si>
    <t>Table S80b: Young people aged 10–17 in detention during the year by age and sex, Australia, 2020–21 to 2024–25 (rate)</t>
  </si>
  <si>
    <t>Table S80a: Young people aged 10–17 in detention on an average day by age and sex, Australia, 2020–21 to 2024–25 (rate)</t>
  </si>
  <si>
    <r>
      <t>Table S81a: Young people aged 10–17 in detention on an average day</t>
    </r>
    <r>
      <rPr>
        <b/>
        <vertAlign val="superscript"/>
        <sz val="10"/>
        <rFont val="Arial"/>
        <family val="2"/>
      </rPr>
      <t>(a)</t>
    </r>
    <r>
      <rPr>
        <b/>
        <sz val="10"/>
        <rFont val="Arial"/>
        <family val="2"/>
      </rPr>
      <t xml:space="preserve"> by Indigenous status, states and territories, 2015–16 to 2024–25</t>
    </r>
  </si>
  <si>
    <t>Table S81b: Young people aged 10–17 in detention during the year by Indigenous status, states and territories, 2015-16 to 2024–25</t>
  </si>
  <si>
    <r>
      <t>Table S82a: Young people in detention on an average day</t>
    </r>
    <r>
      <rPr>
        <b/>
        <vertAlign val="superscript"/>
        <sz val="10"/>
        <rFont val="Arial"/>
        <family val="2"/>
      </rPr>
      <t>(a)</t>
    </r>
    <r>
      <rPr>
        <b/>
        <sz val="10"/>
        <rFont val="Arial"/>
        <family val="2"/>
      </rPr>
      <t xml:space="preserve"> by Indigenous status, states and territories, 2015-16 to 2024–25</t>
    </r>
  </si>
  <si>
    <t>Table S82b: Young people in detention during the year by Indigenous status, states and territories, 2015-16 to 2024–25</t>
  </si>
  <si>
    <t>2. Young people from Tasmania and the Australian Capital Territory aged 18 and over in detention during the year, have been excluded due to small numbers from 2020–21 to 2024–25.</t>
  </si>
  <si>
    <t>2024–25</t>
  </si>
  <si>
    <t>Table S83a: Young people aged 10–17 in detention on an average day by Indigenous status, states and territories, 2016–17 to 2024–25 (rate)</t>
  </si>
  <si>
    <t>5. In November 2023, the Australian Capital Territory raised the minimum age of criminal responsibility from 10 to 12. The rates for the Australian Capital Territory from  2023-24 are for young people aged 12-17.</t>
  </si>
  <si>
    <t>6. In October 2024, the Northern Territory raised the minimum age of criminal responsibility from 12 to 10. The rates for the Northern Territory in 2024–25 are for young people aged 10-17.</t>
  </si>
  <si>
    <t>Table S83b: Young people aged 10–17 in detention during the year by Indigenous status, states and territories, 2016-17 to 2024–25 (rate)</t>
  </si>
  <si>
    <t>6. In November 2023, the Australian Capital Territory raised the minimum age of criminal responsibility from 10 to 12. The rates for the Australian Capital Territory from 2023-24 are for young people aged 12-17.</t>
  </si>
  <si>
    <t>7. In October 2024, the Northern Territory raised the minimum age of criminal responsibility from 12 to 10. The rates for the Northern Territory in 2024–25 are for young people aged 10-17.</t>
  </si>
  <si>
    <r>
      <t>Table S84a: Young people aged 10–17 in detention on an average day</t>
    </r>
    <r>
      <rPr>
        <b/>
        <vertAlign val="superscript"/>
        <sz val="10"/>
        <rFont val="Arial"/>
        <family val="2"/>
      </rPr>
      <t>(a)</t>
    </r>
    <r>
      <rPr>
        <b/>
        <sz val="10"/>
        <rFont val="Arial"/>
        <family val="2"/>
      </rPr>
      <t xml:space="preserve"> by sex, states and territories, 2015-16 to 2024–25</t>
    </r>
  </si>
  <si>
    <t>Table S84b: Young people aged 10–17 in detention during the year by sex, states and territories, 2015-16 to 2024–25</t>
  </si>
  <si>
    <t>Table S85b: Young people in detention during the year by sex, states and territories, 2015-16 to 2024–25</t>
  </si>
  <si>
    <t>Table S86a: Young people aged 10–17 in detention on an average day by sex, states and territories, 2015-16 to 2024–25 (rate)</t>
  </si>
  <si>
    <t>Table S86b: Young people aged 10–17 in detention during the year by sex, states and territories, 2015-16 to 2024–25 (rate)</t>
  </si>
  <si>
    <t>6. In November 2023, the Australian Capital Territory raised the minimum age of criminal responsibility from 10 to 12. The rates for the Australian Capital Territory  from 2023-24 are for young people aged 12-17.</t>
  </si>
  <si>
    <t>6. In October 2024, the Northern Territory lowered the minimum age of criminal responsibilty from 12 to 10. The rates for the Northern Territory in 2024-25 are for young people aged 10-17.</t>
  </si>
  <si>
    <t>7. In October 2024, the Northern Territory lowered the minimum age of criminal responsibilty from 12 to 10. The rates for the Northern Territory in 2024-25 are for young people aged 10-17.</t>
  </si>
  <si>
    <r>
      <t>Table S87: Young people aged 10–17 in detention on an average day</t>
    </r>
    <r>
      <rPr>
        <b/>
        <vertAlign val="superscript"/>
        <sz val="10"/>
        <rFont val="Arial"/>
        <family val="2"/>
      </rPr>
      <t>(a)</t>
    </r>
    <r>
      <rPr>
        <b/>
        <sz val="10"/>
        <rFont val="Arial"/>
        <family val="2"/>
      </rPr>
      <t xml:space="preserve"> by sex and Indigenous status, states and territories, 2020–21 to 2024–25</t>
    </r>
  </si>
  <si>
    <r>
      <t>Table S88: Young people in detention on an average day</t>
    </r>
    <r>
      <rPr>
        <b/>
        <vertAlign val="superscript"/>
        <sz val="10"/>
        <rFont val="Arial"/>
        <family val="2"/>
      </rPr>
      <t>(a)</t>
    </r>
    <r>
      <rPr>
        <b/>
        <sz val="10"/>
        <rFont val="Arial"/>
        <family val="2"/>
      </rPr>
      <t>, by sex and Indigenous status, states and territories, 2020–21 to 2024–25</t>
    </r>
  </si>
  <si>
    <t>Table S89: Young people aged 10–17 in detention on an average day by sex and Indigenous status, states and territories, 2020–21 to 2024–25 (rate)</t>
  </si>
  <si>
    <t>6. In October 2024, the Northern Territory lowered the minimum age of criminal responsibility from 12 to 10. The rates for the Northern Territory in 2024-25 are for young peopled aged 10-17.</t>
  </si>
  <si>
    <t>Table S90: Young people in detention during the year by first supervision, states and territories, 2020–21 to 2024–25</t>
  </si>
  <si>
    <t>Table S92: Young people in detention during the year by sex, Indigenous status and age at first supervision, Australia, 2024–25</t>
  </si>
  <si>
    <t>Table S93: Young people in detention during the year by Indigenous status and age at first supervision, states and territories, 2024–25</t>
  </si>
  <si>
    <t>Table S94: Young people in detention during the year by sex, Indigenous status and age at first detention, Australia, 2024–25</t>
  </si>
  <si>
    <t>Table S95: Young people in detention during the year by Indigenous status and age at first detention, states and territories, 2024–25</t>
  </si>
  <si>
    <r>
      <t>Table S96a: Young people in detention on an average day</t>
    </r>
    <r>
      <rPr>
        <b/>
        <vertAlign val="superscript"/>
        <sz val="10"/>
        <rFont val="Arial"/>
        <family val="2"/>
      </rPr>
      <t>(a)</t>
    </r>
    <r>
      <rPr>
        <b/>
        <sz val="10"/>
        <rFont val="Arial"/>
        <family val="2"/>
      </rPr>
      <t xml:space="preserve"> by sex, Indigenous status and remoteness of usual residence</t>
    </r>
    <r>
      <rPr>
        <b/>
        <vertAlign val="superscript"/>
        <sz val="10"/>
        <rFont val="Arial"/>
        <family val="2"/>
      </rPr>
      <t>(b)</t>
    </r>
    <r>
      <rPr>
        <b/>
        <sz val="10"/>
        <rFont val="Arial"/>
        <family val="2"/>
      </rPr>
      <t>, Australia, 2024–25</t>
    </r>
  </si>
  <si>
    <r>
      <t>Table S97a: Young people aged 10–17 in detention on an average day</t>
    </r>
    <r>
      <rPr>
        <b/>
        <vertAlign val="superscript"/>
        <sz val="10"/>
        <rFont val="Arial"/>
        <family val="2"/>
      </rPr>
      <t>(a)</t>
    </r>
    <r>
      <rPr>
        <b/>
        <sz val="10"/>
        <rFont val="Arial"/>
        <family val="2"/>
      </rPr>
      <t xml:space="preserve"> by remoteness of usual residence</t>
    </r>
    <r>
      <rPr>
        <b/>
        <vertAlign val="superscript"/>
        <sz val="10"/>
        <rFont val="Arial"/>
        <family val="2"/>
      </rPr>
      <t>(b)</t>
    </r>
    <r>
      <rPr>
        <b/>
        <sz val="10"/>
        <rFont val="Arial"/>
        <family val="2"/>
      </rPr>
      <t>, states and territories, 2024–25</t>
    </r>
  </si>
  <si>
    <r>
      <t>Table S108a: Young people in detention on an average day</t>
    </r>
    <r>
      <rPr>
        <b/>
        <vertAlign val="superscript"/>
        <sz val="10"/>
        <rFont val="Arial"/>
        <family val="2"/>
      </rPr>
      <t>(a)</t>
    </r>
    <r>
      <rPr>
        <b/>
        <sz val="10"/>
        <rFont val="Arial"/>
        <family val="2"/>
      </rPr>
      <t xml:space="preserve"> by legal status and Indigenous status, states and territories, 2024–25</t>
    </r>
  </si>
  <si>
    <r>
      <t>Table S109a: Young people aged 10–17 in detention on an average day</t>
    </r>
    <r>
      <rPr>
        <b/>
        <vertAlign val="superscript"/>
        <sz val="10"/>
        <rFont val="Arial"/>
        <family val="2"/>
      </rPr>
      <t>(a)</t>
    </r>
    <r>
      <rPr>
        <b/>
        <sz val="10"/>
        <rFont val="Arial"/>
        <family val="2"/>
      </rPr>
      <t xml:space="preserve"> by legal status and Indigenous status, states and territories, 2024–25</t>
    </r>
  </si>
  <si>
    <t>Table S109b: Young people aged 10–17 in detention during the year by legal status and Indigenous status, states and territories, 2024–25</t>
  </si>
  <si>
    <t>Table S110a: Young people aged 10–17 in detention on an average day by sex and Indigenous status, states and territories, 2024–25 (rate)</t>
  </si>
  <si>
    <t>Table S110b: Young people aged 10–17 in detention during the year by sex and Indigenous status, states and territories, 2024–25 (rate)</t>
  </si>
  <si>
    <t>Table S111: Young people in detention on an average day(a) by legal status and month, Australia, 2024–25</t>
  </si>
  <si>
    <r>
      <t>Table S112: Young people in detention on an average day</t>
    </r>
    <r>
      <rPr>
        <b/>
        <vertAlign val="superscript"/>
        <sz val="10"/>
        <color rgb="FF000000"/>
        <rFont val="Arial"/>
        <family val="2"/>
      </rPr>
      <t xml:space="preserve">(a) </t>
    </r>
    <r>
      <rPr>
        <b/>
        <sz val="10"/>
        <color indexed="8"/>
        <rFont val="Arial"/>
        <family val="2"/>
      </rPr>
      <t>by legal status and Indigenous status, states and territories, 2020–21 to 2024–25</t>
    </r>
  </si>
  <si>
    <t>Cat. no. JUV 148. Canberra: AIHW</t>
  </si>
  <si>
    <t>Australian Institute of Health and Welfare 2026. Youth justice in Australia 2024–25</t>
  </si>
  <si>
    <r>
      <t>Table S85a: Young people in detention on an average day</t>
    </r>
    <r>
      <rPr>
        <b/>
        <vertAlign val="superscript"/>
        <sz val="10"/>
        <rFont val="Arial"/>
        <family val="2"/>
      </rPr>
      <t>(a)</t>
    </r>
    <r>
      <rPr>
        <b/>
        <sz val="10"/>
        <rFont val="Arial"/>
        <family val="2"/>
      </rPr>
      <t xml:space="preserve"> by sex, states and territories, 2015-16 to 2024–25</t>
    </r>
  </si>
  <si>
    <t>2. Young people from Tasmania and the Australian Capital Territory aged 18 and over in detention during the year, in 2019–20, 2020–21 and 2021-22, have been excluded due to small numbers.</t>
  </si>
  <si>
    <t>Table S91: Young people in detention during the year by first supervision and Indigenous status, Australia, 2020–21 to 2024–25</t>
  </si>
  <si>
    <r>
      <t>Table S96b: Young people in detention during the year by sex, Indigenous status and remoteness of usual residence</t>
    </r>
    <r>
      <rPr>
        <b/>
        <vertAlign val="superscript"/>
        <sz val="10"/>
        <color rgb="FF000000"/>
        <rFont val="Arial"/>
        <family val="2"/>
      </rPr>
      <t>(a)</t>
    </r>
    <r>
      <rPr>
        <b/>
        <sz val="10"/>
        <color indexed="8"/>
        <rFont val="Arial"/>
        <family val="2"/>
      </rPr>
      <t>, Australia, 2024–25</t>
    </r>
  </si>
  <si>
    <r>
      <t>Table S98a: Young people in detention on an average day</t>
    </r>
    <r>
      <rPr>
        <b/>
        <vertAlign val="superscript"/>
        <sz val="10"/>
        <rFont val="Arial"/>
        <family val="2"/>
      </rPr>
      <t>(a)</t>
    </r>
    <r>
      <rPr>
        <b/>
        <sz val="10"/>
        <rFont val="Arial"/>
        <family val="2"/>
      </rPr>
      <t xml:space="preserve"> by sex, Indigenous status and socioeconomic position of usual residence</t>
    </r>
    <r>
      <rPr>
        <b/>
        <vertAlign val="superscript"/>
        <sz val="10"/>
        <rFont val="Arial"/>
        <family val="2"/>
      </rPr>
      <t>(b)</t>
    </r>
    <r>
      <rPr>
        <b/>
        <sz val="10"/>
        <rFont val="Arial"/>
        <family val="2"/>
      </rPr>
      <t>, Australia 2024–25</t>
    </r>
  </si>
  <si>
    <r>
      <t>Table S98b: Young people in detention during the year by sex, Indigenous status and socioeconomic position of usual residence</t>
    </r>
    <r>
      <rPr>
        <b/>
        <vertAlign val="superscript"/>
        <sz val="10"/>
        <color rgb="FF000000"/>
        <rFont val="Arial"/>
        <family val="2"/>
      </rPr>
      <t>(a)</t>
    </r>
    <r>
      <rPr>
        <b/>
        <sz val="10"/>
        <color indexed="8"/>
        <rFont val="Arial"/>
        <family val="2"/>
      </rPr>
      <t>, Australia 2024–25</t>
    </r>
  </si>
  <si>
    <r>
      <t>Table S99a: Young people aged 10–17 in detention on an average day</t>
    </r>
    <r>
      <rPr>
        <b/>
        <vertAlign val="superscript"/>
        <sz val="10"/>
        <rFont val="Arial"/>
        <family val="2"/>
      </rPr>
      <t>(a)</t>
    </r>
    <r>
      <rPr>
        <b/>
        <sz val="10"/>
        <rFont val="Arial"/>
        <family val="2"/>
      </rPr>
      <t xml:space="preserve"> by socioeconomic position of usual residence</t>
    </r>
    <r>
      <rPr>
        <b/>
        <vertAlign val="superscript"/>
        <sz val="10"/>
        <rFont val="Arial"/>
        <family val="2"/>
      </rPr>
      <t>(b)</t>
    </r>
    <r>
      <rPr>
        <b/>
        <sz val="10"/>
        <rFont val="Arial"/>
        <family val="2"/>
      </rPr>
      <t>, states and territories, 2024–25</t>
    </r>
  </si>
  <si>
    <r>
      <t>Table S99c: Young people aged 10–17 in detention on an average day by socioeconomic position of usual residence</t>
    </r>
    <r>
      <rPr>
        <b/>
        <vertAlign val="superscript"/>
        <sz val="10"/>
        <color rgb="FF000000"/>
        <rFont val="Arial"/>
        <family val="2"/>
      </rPr>
      <t>(a)</t>
    </r>
    <r>
      <rPr>
        <b/>
        <sz val="10"/>
        <color indexed="8"/>
        <rFont val="Arial"/>
        <family val="2"/>
      </rPr>
      <t>, states and territories, 2024–25 (rate)</t>
    </r>
  </si>
  <si>
    <t>Table S100: Young people who completed a period of detention during the year by number of periods completed and Indigenous status, Australia, 2024–25</t>
  </si>
  <si>
    <t>3. Time under supervision calculated for 2024–25, from 1 July 2024.</t>
  </si>
  <si>
    <t>Table S101: Number and median length of completed periods of detention by Indigenous status, states and territories, 2024–25</t>
  </si>
  <si>
    <t>Table S102: Average length of time young people spent in detention during the year by Indigenous status and sex, states and territories, 2020–21 to 2024–25 (days)</t>
  </si>
  <si>
    <t>Table S103a: Receptions by legal status, states and territories, 2024–25: Number of receptions</t>
  </si>
  <si>
    <t>Table S103b: Receptions by legal status, states and territories, 2024–25: Number of young people during the year</t>
  </si>
  <si>
    <t>Table S104a: Releases by legal status, states and territories, 2024–25: Number of releases</t>
  </si>
  <si>
    <t xml:space="preserve">Table S104b: Releases by legal status, states and territories, 2024–25: Number of young people during the year. </t>
  </si>
  <si>
    <t>Table S105a: Young people received into detention during the year, number of receptions by Indigenous status, Australia, 2024–25</t>
  </si>
  <si>
    <t>Table S105b: Young people released from detention during the year, number of releases by Indigenous status, Australia, 2024–25</t>
  </si>
  <si>
    <t>Table S106a: Young people received into detention during the year, number of receptions by Indigenous status, states and territories, 2024–25</t>
  </si>
  <si>
    <t>Table S106b: Young people released from detention during the year, number of releases by Indigenous status, 2024–25</t>
  </si>
  <si>
    <t>Table S107a: Receptions and releases by sex and month, Australia, 2024–25: Receptions</t>
  </si>
  <si>
    <t>Table S107b: Receptions and releases by sex and month, Australia, 2024–25: Releases</t>
  </si>
  <si>
    <t>Table S124: Average length of time spent in sentenced detention during the year by Indigenous status, states and territories, 2020–21 to 2024–25 (days)</t>
  </si>
  <si>
    <t>Table S123: Periods of sentenced detention by end reason and Indigenous status, states and territories, 2024–25</t>
  </si>
  <si>
    <t>Table S121: Young people who completed a period of sentenced detention during the year, number of periods completed by Indigenous status, Australia, 2024–25</t>
  </si>
  <si>
    <r>
      <t>Table S120a: Young people in sentenced detention on an average day</t>
    </r>
    <r>
      <rPr>
        <b/>
        <vertAlign val="superscript"/>
        <sz val="10"/>
        <rFont val="Arial"/>
        <family val="2"/>
      </rPr>
      <t>(a)</t>
    </r>
    <r>
      <rPr>
        <b/>
        <sz val="10"/>
        <rFont val="Arial"/>
        <family val="2"/>
      </rPr>
      <t>, states and territories, 2020–21 to 2024–25</t>
    </r>
  </si>
  <si>
    <t>Table S120b: Young people in sentenced detention during the year, states and territories, 2020–21 to 2024–25</t>
  </si>
  <si>
    <t>Table S119b: Young people in sentenced detention during the year by age and Indigenous status, states and territories, 2024–25</t>
  </si>
  <si>
    <r>
      <t>Table S119a: Young people in sentenced detention on an average day</t>
    </r>
    <r>
      <rPr>
        <b/>
        <vertAlign val="superscript"/>
        <sz val="10"/>
        <rFont val="Arial"/>
        <family val="2"/>
      </rPr>
      <t>(a)</t>
    </r>
    <r>
      <rPr>
        <b/>
        <sz val="10"/>
        <rFont val="Arial"/>
        <family val="2"/>
      </rPr>
      <t xml:space="preserve"> by age and Indigenous status, states and territories, 2024–25</t>
    </r>
  </si>
  <si>
    <t>4. In Tasmania, parole is only applicable under the Sentencing Act of 1997.</t>
  </si>
  <si>
    <t>Table S118: Periods of remand by end reason and Indigenous status, states and territories, 2024–25</t>
  </si>
  <si>
    <t>Table S117: Average length of time young people spent in unsentenced detention during the year by Indigenous status, states and territories, 2020–21 to 2024–25 (days)</t>
  </si>
  <si>
    <t>Table S116: Number and median length of completed periods of unsentenced detention by Indigenous status, states and territories, 2024–25</t>
  </si>
  <si>
    <t>Table S115: Young people who completed a period of unsentenced detention during the year by number of periods completed and Indigenous status, Australia, 2024–25</t>
  </si>
  <si>
    <r>
      <t>Table S114a: Young people in unsentenced detention on an average day</t>
    </r>
    <r>
      <rPr>
        <b/>
        <vertAlign val="superscript"/>
        <sz val="10"/>
        <rFont val="Arial"/>
        <family val="2"/>
      </rPr>
      <t>(a)</t>
    </r>
    <r>
      <rPr>
        <b/>
        <sz val="10"/>
        <rFont val="Arial"/>
        <family val="2"/>
      </rPr>
      <t>, states and territories, 2020–21 to 2024–25</t>
    </r>
  </si>
  <si>
    <r>
      <t>Table S113a: Young people in unsentenced detention on an average day</t>
    </r>
    <r>
      <rPr>
        <b/>
        <vertAlign val="superscript"/>
        <sz val="10"/>
        <rFont val="Arial"/>
        <family val="2"/>
      </rPr>
      <t xml:space="preserve">(a) </t>
    </r>
    <r>
      <rPr>
        <b/>
        <sz val="10"/>
        <rFont val="Arial"/>
        <family val="2"/>
      </rPr>
      <t>by age and Indigenous status, states and territories, 2024–25</t>
    </r>
  </si>
  <si>
    <t>Table S113b: Young people in unsentenced detention during the year by age and Indigenous status, states and territories, 2024–25</t>
  </si>
  <si>
    <t>ExN</t>
  </si>
  <si>
    <t>Police—referred pre—court detention</t>
  </si>
  <si>
    <t>Non—Indigenous</t>
  </si>
  <si>
    <t>Table S125: Young people in sentenced detention by previous supervised sentence and Indigenous status, Australia, 2024–25</t>
  </si>
  <si>
    <r>
      <t>Table S97b: Young people aged 10–17 in detention during the year by remoteness of usual residence</t>
    </r>
    <r>
      <rPr>
        <b/>
        <vertAlign val="superscript"/>
        <sz val="10"/>
        <color rgb="FF000000"/>
        <rFont val="Arial"/>
        <family val="2"/>
      </rPr>
      <t>(a)</t>
    </r>
    <r>
      <rPr>
        <b/>
        <sz val="10"/>
        <color indexed="8"/>
        <rFont val="Arial"/>
        <family val="2"/>
      </rPr>
      <t>, states and territories, 2024-25</t>
    </r>
  </si>
  <si>
    <r>
      <t>Table S97c: Young people aged 10–17 in detention on an average day by remoteness of usual residence</t>
    </r>
    <r>
      <rPr>
        <b/>
        <vertAlign val="superscript"/>
        <sz val="10"/>
        <color rgb="FF000000"/>
        <rFont val="Arial"/>
        <family val="2"/>
      </rPr>
      <t>(a)</t>
    </r>
    <r>
      <rPr>
        <b/>
        <sz val="10"/>
        <color indexed="8"/>
        <rFont val="Arial"/>
        <family val="2"/>
      </rPr>
      <t>, states and territories, 2024–25 (rate)</t>
    </r>
  </si>
  <si>
    <r>
      <t>Table S97d: Young people aged 10–17 in detention during the year by remoteness of usual residence</t>
    </r>
    <r>
      <rPr>
        <b/>
        <vertAlign val="superscript"/>
        <sz val="10"/>
        <color rgb="FF000000"/>
        <rFont val="Arial"/>
        <family val="2"/>
      </rPr>
      <t>(a)</t>
    </r>
    <r>
      <rPr>
        <b/>
        <sz val="10"/>
        <color indexed="8"/>
        <rFont val="Arial"/>
        <family val="2"/>
      </rPr>
      <t>, states and territories, 2024–25 (rate)</t>
    </r>
  </si>
  <si>
    <t>3. In November 2023, the Australian Capital Territory raised the minimum age of criminal responsibility from 10 to 12. The rates for the Australian Capital Territory from 2023—24 are for young people aged 12—17.</t>
  </si>
  <si>
    <t>4. In November 2023, the Australian Capital Territory raised the minimum age of criminal responsibility from 10 to 12. The rates for the Australian Capital Territory from 2023—24 are for young people aged 12—17.</t>
  </si>
  <si>
    <t>Table S73a: Young people in detention on an average day by sex and Indigenous status, states and territories, 2024–25</t>
  </si>
  <si>
    <t>Table S74a: Young people aged 10–17 in detention on an average day by sex and Indigenous status, states and territories, 2024–25</t>
  </si>
  <si>
    <t>Table S75a: Young people aged 10–17 in detention on an average day by sex and Indigenous status, states and territories, 2024–25 (rate)</t>
  </si>
  <si>
    <t>Table S76a: Young people in detention on an average day by age, sex and Indigenous status, Australia, 2024–25</t>
  </si>
  <si>
    <t>Table S76b: Young people in detention during the year by age, sex and Indigenous status, Australia, 2024–25</t>
  </si>
  <si>
    <t>Table S77a. Young people aged 10–17 in detention on an average day by age, sex and Indigenous status, Australia, 2024–25 (rate)</t>
  </si>
  <si>
    <t>Table S77b. Young people aged 10–17 in detention during the year by age, sex and Indigenous status, Australia, 2024–25 (rate)</t>
  </si>
  <si>
    <t>Table S78a: Young people in detention on an average day by Indigenous status and age, states and territories, 2024–25</t>
  </si>
  <si>
    <t>Table S78c: Young people in detention on an average day by Indigenous status and age, states and territories, 2024–25 (rate)</t>
  </si>
  <si>
    <t>Table S96a: Young people in detention on an average day by sex, Indigenous status and remoteness of usual residence, Australia, 2024–25</t>
  </si>
  <si>
    <t>Table S96b: Young people in detention during the year by sex, Indigenous status and remoteness of usual residence, Australia, 2024–25</t>
  </si>
  <si>
    <t>Table S97a: Young people aged 10–17 in detention on an average day by remoteness of usual residence, states and territories, 2024–25</t>
  </si>
  <si>
    <t>Table S97b: Young people aged 10–17 in detention during the year by remoteness of usual residence, states and territories, 2024–25</t>
  </si>
  <si>
    <t>Table S97c: Young people aged 10–17 in detention on an average day by remoteness of usual residence, states and territories, 2024–25 (rate)</t>
  </si>
  <si>
    <t>Table S97d: Young people aged 10–17 in detention during the year by remoteness of usual residence, states and territories, 2024–25 (rate)</t>
  </si>
  <si>
    <t>Table S98a: Young people in detention on an average day by sex, Indigenous status and socioeconomic position of usual residence, Australia , 2024–25</t>
  </si>
  <si>
    <t>Table S98b: Young people in detention during the year by sex, Indigenous status and socioeconomic position of usual residence, Australia , 2024–25</t>
  </si>
  <si>
    <t>Table S99a: Young people aged 10–17 in detention on an average day by socioeconomic position of usual residence, states and territories, 2024–25</t>
  </si>
  <si>
    <t>Table S99b: Young people aged 10–17 in detention during the year by socioeconomic position of usual residence, states and territories, 2024–25</t>
  </si>
  <si>
    <t>Table S99c: Young people aged 10–17 in detention on an average day by socioeconomic position of usual residence, states and territories, 2024–25 (rate)</t>
  </si>
  <si>
    <t>Table S99d: Young people aged 10–17 in detention during the year by socioeconomic position of usual residence, states and territories, 2024–25 (rate)</t>
  </si>
  <si>
    <t>Table S103a: Receptions by legal status, states and territories, 2024–25 Number of receptions</t>
  </si>
  <si>
    <t>Table S103b: Receptions by legal status, states and territories, 2024–25 Number of young people during the year</t>
  </si>
  <si>
    <t>Table S104b: Releases by legal status, states and territories, 2024–25: Number of young people during the year</t>
  </si>
  <si>
    <t>Table S105: Young people received into detention during the year, number of receptions by Indigenous status, Australia, 2024–25</t>
  </si>
  <si>
    <t>Table S106a: Young people received into detention during the year, number of receptions by Indigenous status, Australia, 2024–25</t>
  </si>
  <si>
    <t>Table S106b: Young people released from detention during the year, number of releases by Indigenous status, Australia, 2024–25</t>
  </si>
  <si>
    <t>Table S108a: Young people in detention on an average day by legal status, detention type and Indigenous status, states and territories, 2024–25</t>
  </si>
  <si>
    <t>Table S108b: Young people in detention during the year by legal status, detention type and Indigenous status, states and territories, 2024–25</t>
  </si>
  <si>
    <t>Table S109a: Young people aged 10–17 in detention on an average day by legal status, detention type and Indigenous status, states and territories, 2024–25</t>
  </si>
  <si>
    <t>Table S109b: Young people aged 10–17 in detention during the year by legal status, detention type and Indigenous status, states and territories, 2024–25</t>
  </si>
  <si>
    <t>Table S110a: Young people aged 10–17 in detention on an average day by legal status and Indigenous status, states and territories, 2024–25 (rate)</t>
  </si>
  <si>
    <t>Table S110b: Young people aged 10–17 in detention during the year by legal status and Indigenous status, states and territories, 2024–25 (rate)</t>
  </si>
  <si>
    <t>Table S111: Young people in detention on an average day by legal status and month, Australia, 2024–25</t>
  </si>
  <si>
    <t>Table S113a: Young people in unsentenced detention on an average day by age and Indigenous status, states and territories, 2024–25</t>
  </si>
  <si>
    <t>Table S119a: Young people in sentenced detention on an average day by age and Indigenous status, states and territories, 2024–25</t>
  </si>
  <si>
    <t>Table S122: Number and median length of completed periods of sentenced detention by Indigenous status, states and territories, 2024–25</t>
  </si>
  <si>
    <t>Table S125: Young people in sentenced detention by previous supervised sentence, Australia, 2024–25</t>
  </si>
  <si>
    <t>Table S79a: Young people aged 10–17 in detention on an average day by sex and age, Australia, 2020–21 to 2024–25</t>
  </si>
  <si>
    <t>Table S87: Young people aged 10–17 in detention on an average day by sex and Indigenous status, states and territories, 2020–21 to 2024–25</t>
  </si>
  <si>
    <t>Table S88: Young people in detention on an average day by sex and Indigenous status, states and territories, 2020–21 to 2024–25</t>
  </si>
  <si>
    <t>Table S112: Young people in detention on an average day by legal status and Indigenous status, states and territories, 2020–21 to 2024–25</t>
  </si>
  <si>
    <t>Table S114a: Young people in unsentenced detention on an average day, states and territories, 2020–21 to 2024–25</t>
  </si>
  <si>
    <t>Table S114b: Young people in unsentenced detention during the year, states and territories, 2020–21 to 2024–25</t>
  </si>
  <si>
    <t>Table S120a: Young people in sentenced detention on an average day, states and territories, 2020–21 to 2024–25</t>
  </si>
  <si>
    <t>Table S81a: Young people aged 10–17 in detention on an average day by Indigenous status, states and territories, 2015–16 to 2024–25</t>
  </si>
  <si>
    <t>Table S81b: Young people aged 10–17 in detention during the year by Indigenous status, states and territories, 2015–16 to 2024–25</t>
  </si>
  <si>
    <t>Table S82a: Young people in detention on an average day by Indigenous status, states and territories, 2015–16 to 2024–25</t>
  </si>
  <si>
    <t>Table S82b: Young people in detention during the year by Indigenous status, states and territories, 2015–16 to 2024–25</t>
  </si>
  <si>
    <t>Table S83a: Young people aged 10–17 in detention on an average day by Indigenous status, states and territories, 2015–16 to 2024–25 (rate)</t>
  </si>
  <si>
    <t>Table S83b: Young people aged 10–17 in detention during the year by Indigenous status, states and territories, 2015–16 to 2024–25(rate)</t>
  </si>
  <si>
    <t>Table S84a: Young people aged 10–17 in detention on an average day by sex, states and territories,2015–16 to 2024–25</t>
  </si>
  <si>
    <t>Table S85a: Young people in detention on an average day by sex, states and territories, 2015–16 to 2024–25</t>
  </si>
  <si>
    <t>Table S85b: Young people in detention during the year by sex, states and territories, 2015–16 to 2024–25</t>
  </si>
  <si>
    <t>Table S86a: Young people aged 10–17 in detention on an average day by sex, states and territories, 2015–16 to 2024–25 (rate)</t>
  </si>
  <si>
    <t>Table S86b: Young people aged 10–17 in detention during the year by sex, states and territories, 2015–16 to 2024–25 (rate)</t>
  </si>
  <si>
    <t>Table S84b: Young people aged 10–17 in detention during the year by sex, states and territories, 2015–16 to 2024–25</t>
  </si>
  <si>
    <t xml:space="preserve">ABS (2025a) ‘Quarterly Population Estimates (ERP), by State/Territory, Sex and Age’ [data set], National, state and territory population - Reference period December 2024, [https://explore.data.abs.gov.au] accessed 23 October 2025 </t>
  </si>
  <si>
    <t>ABS (2025b), Customised report (ERP POA 2021).</t>
  </si>
  <si>
    <t>ABS (2025c), Customised report (ERP RA 2021).</t>
  </si>
  <si>
    <t>ABS (2025d) ‘Projected population, Aboriginal and Torres Strait Islander Australians, Australia, state and territories, 2011 to 2031' (Series B projections) [Data Explorer data set], Estimates and projections, Aboriginal and Torres Strait Islander Australians [https://www.abs.gov.au/statistics/people/aboriginal-and-torres-strait-islander-peoples/estimates-and-projections-aboriginal-and-torres-strait-islander-australians/2011-2031], accessed 23 October 2025.</t>
  </si>
  <si>
    <t xml:space="preserve">ABS (2023) 'Postal Area, Indexes, SEIFA 2021' [data set], Socio-Economic Indexes for Areas (SEIFA), Australia [https://www.abs.gov.au/statistics/people/people-and-communities/socio-economic-indexes-areas-seifa-australia/2021], accessed 23 October 2025.          </t>
  </si>
  <si>
    <t xml:space="preserve">ABS (2021) PC_2018_to_RA_2022, ABS Geospatial Solutions, ASGS Geographic Correspondences (2021) Edition 3 [https://data.gov.au/data/dataset/asgs-edition-3-2021-correspondences], accessed 23 October 2025. </t>
  </si>
  <si>
    <t>6. In November 2023, the Australian Capital Territory raised the minimum age of criminal responsibility from 10 to 12. The rates for the Australian Capital Territory from  2023-24 are for young people aged 12-17.</t>
  </si>
  <si>
    <r>
      <t>Table S99b: Young people aged 10–17 in detention during the year by socioeconomic position of usual residence</t>
    </r>
    <r>
      <rPr>
        <b/>
        <vertAlign val="superscript"/>
        <sz val="10"/>
        <color rgb="FF000000"/>
        <rFont val="Arial"/>
        <family val="2"/>
      </rPr>
      <t>(a)</t>
    </r>
    <r>
      <rPr>
        <b/>
        <sz val="10"/>
        <color indexed="8"/>
        <rFont val="Arial"/>
        <family val="2"/>
      </rPr>
      <t>, states and territories, 2024–25</t>
    </r>
  </si>
  <si>
    <r>
      <t>Table S99d: Young people aged 10–17 in detention during the year by socioeconomic position of usual residence</t>
    </r>
    <r>
      <rPr>
        <b/>
        <vertAlign val="superscript"/>
        <sz val="10"/>
        <color rgb="FF000000"/>
        <rFont val="Arial"/>
        <family val="2"/>
      </rPr>
      <t>(a)</t>
    </r>
    <r>
      <rPr>
        <b/>
        <sz val="10"/>
        <color indexed="8"/>
        <rFont val="Arial"/>
        <family val="2"/>
      </rPr>
      <t>, states and territories, 2024–25 (rate)</t>
    </r>
  </si>
  <si>
    <t>7. In November 2023, the Australian Capital Territory raised the minimum age of criminal responsibility from 10 to 12. The rates for the Australian Capital Territory from 2023-24 are for young people aged 12-17.</t>
  </si>
  <si>
    <r>
      <t xml:space="preserve">Median length (number of days </t>
    </r>
    <r>
      <rPr>
        <b/>
        <sz val="8"/>
        <rFont val="Arial"/>
        <family val="2"/>
      </rPr>
      <t>in 2024–25</t>
    </r>
    <r>
      <rPr>
        <b/>
        <sz val="8"/>
        <color indexed="8"/>
        <rFont val="Arial"/>
        <family val="2"/>
      </rPr>
      <t>)</t>
    </r>
  </si>
  <si>
    <t>4. Young people from Tasmania and the Australian Capital Territory aged 18 and over in detention during the year, have been excluded due to small numbers from 2020–21 to 2024–25.</t>
  </si>
  <si>
    <t>Median length of completed periods (number of days during 2024–25)</t>
  </si>
  <si>
    <t>Median length of completed periods (number of days in 2024–25)</t>
  </si>
  <si>
    <t>Note: The methodology for counting receptions  has changed. From 2024-25, overlapping supervision periods of different types (e.g., remand and sentenced) are not counted as separate receptions. Data are not comparable with Youth justice in Australial releases before 2024-25.</t>
  </si>
  <si>
    <t>3. The methodology for counting receptions  has changed. From 2024-25, overlapping supervision periods of different types (e.g., remand and sentenced) are not counted as separate receptions. Data are not comparable with Youth justice in Australial releases before 2024-25.</t>
  </si>
  <si>
    <t>1. This data should be interpreted with caution due to potential issues with recording and updating of custodial order details in Tasmania.</t>
  </si>
  <si>
    <t>2. The methodology for counting receptions  has changed. From 2024-25, overlapping supervision periods of different types (e.g., remand and sentenced) are not counted as separate receptions. Data are not comparable with Youth justice in Australial releases before 2024-25.</t>
  </si>
  <si>
    <t>Table S72a: Young people in detention on an average day by age, states and territories, 2024–25</t>
  </si>
  <si>
    <t>Notes and Symbols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</si>
</sst>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
    <numFmt numFmtId="166" formatCode="0.0"/>
    <numFmt numFmtId="167" formatCode="_-* #,##0_-;\-* #,##0_-;_-* &quot;-&quot;??_-;_-@_-"/>
    <numFmt numFmtId="168" formatCode="#,##0.0"/>
    <numFmt numFmtId="169" formatCode="0.0000000"/>
    <numFmt numFmtId="170" formatCode="#,##0.000000"/>
    <numFmt numFmtId="171" formatCode="#,##0.00000000000000000"/>
  </numFmts>
  <fonts count="7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indexed="8"/>
      <name val="Arial"/>
      <family val="2"/>
    </font>
    <font>
      <b/>
      <sz val="10"/>
      <color indexed="8"/>
      <name val="Arial"/>
      <family val="2"/>
    </font>
    <font>
      <sz val="8"/>
      <color indexed="8"/>
      <name val="Arial"/>
      <family val="2"/>
    </font>
    <font>
      <b/>
      <sz val="8"/>
      <color indexed="8"/>
      <name val="Arial"/>
      <family val="2"/>
    </font>
    <font>
      <sz val="7"/>
      <color indexed="8"/>
      <name val="Arial"/>
      <family val="2"/>
    </font>
    <font>
      <i/>
      <sz val="10"/>
      <name val="Arial"/>
      <family val="2"/>
    </font>
    <font>
      <b/>
      <sz val="8"/>
      <name val="Arial"/>
      <family val="2"/>
    </font>
    <font>
      <u/>
      <sz val="11"/>
      <color theme="10"/>
      <name val="Calibri"/>
      <family val="2"/>
      <scheme val="minor"/>
    </font>
    <font>
      <b/>
      <vertAlign val="superscript"/>
      <sz val="10"/>
      <name val="Arial"/>
      <family val="2"/>
    </font>
    <font>
      <b/>
      <sz val="10"/>
      <name val="Arial"/>
      <family val="2"/>
    </font>
    <font>
      <sz val="11"/>
      <color indexed="8"/>
      <name val="Calibri"/>
      <family val="2"/>
    </font>
    <font>
      <b/>
      <sz val="14"/>
      <name val="Arial"/>
      <family val="2"/>
    </font>
    <font>
      <sz val="10"/>
      <name val="Arial"/>
      <family val="2"/>
    </font>
    <font>
      <sz val="11"/>
      <color indexed="8"/>
      <name val="Arial"/>
      <family val="2"/>
    </font>
    <font>
      <u/>
      <sz val="11"/>
      <color theme="10"/>
      <name val="Arial"/>
      <family val="2"/>
    </font>
    <font>
      <b/>
      <sz val="12"/>
      <name val="Arial"/>
      <family val="2"/>
    </font>
    <font>
      <sz val="11"/>
      <name val="Arial"/>
      <family val="2"/>
    </font>
    <font>
      <b/>
      <sz val="11"/>
      <color indexed="8"/>
      <name val="Arial"/>
      <family val="2"/>
    </font>
    <font>
      <u/>
      <sz val="11"/>
      <color indexed="30"/>
      <name val="Calibri"/>
      <family val="2"/>
    </font>
    <font>
      <u/>
      <sz val="11"/>
      <color indexed="30"/>
      <name val="Arial"/>
      <family val="2"/>
    </font>
    <font>
      <u/>
      <sz val="11"/>
      <color indexed="12"/>
      <name val="Arial"/>
      <family val="2"/>
    </font>
    <font>
      <b/>
      <sz val="14"/>
      <color indexed="8"/>
      <name val="Arial"/>
      <family val="2"/>
    </font>
    <font>
      <i/>
      <sz val="11"/>
      <color indexed="8"/>
      <name val="Arial"/>
      <family val="2"/>
    </font>
    <font>
      <sz val="11"/>
      <color theme="1"/>
      <name val="Arial"/>
      <family val="2"/>
    </font>
    <font>
      <i/>
      <sz val="11"/>
      <color theme="1"/>
      <name val="Arial"/>
      <family val="2"/>
    </font>
    <font>
      <i/>
      <sz val="8"/>
      <color indexed="8"/>
      <name val="arial"/>
      <family val="2"/>
    </font>
    <font>
      <b/>
      <sz val="8"/>
      <color indexed="8"/>
      <name val="arial"/>
      <family val="2"/>
    </font>
    <font>
      <b/>
      <sz val="8"/>
      <name val="Arial"/>
      <family val="2"/>
    </font>
    <font>
      <sz val="8"/>
      <color indexed="8"/>
      <name val="Arial"/>
      <family val="2"/>
    </font>
    <font>
      <sz val="7"/>
      <name val="Arial"/>
      <family val="2"/>
    </font>
    <font>
      <b/>
      <i/>
      <sz val="8"/>
      <color indexed="8"/>
      <name val="arial"/>
      <family val="2"/>
    </font>
    <font>
      <sz val="7"/>
      <color indexed="8"/>
      <name val="Arial"/>
      <family val="2"/>
    </font>
    <font>
      <b/>
      <sz val="10"/>
      <color indexed="8"/>
      <name val="Arial"/>
      <family val="2"/>
    </font>
    <font>
      <b/>
      <sz val="10"/>
      <name val="Arial"/>
      <family val="2"/>
    </font>
    <font>
      <i/>
      <sz val="10"/>
      <color indexed="8"/>
      <name val="Arial"/>
      <family val="2"/>
    </font>
    <font>
      <b/>
      <sz val="8"/>
      <color indexed="8"/>
      <name val="Arial"/>
      <family val="2"/>
    </font>
    <font>
      <sz val="8"/>
      <color indexed="8"/>
      <name val="Arial"/>
      <family val="2"/>
    </font>
    <font>
      <sz val="7"/>
      <color indexed="8"/>
      <name val="Arial"/>
      <family val="2"/>
    </font>
    <font>
      <i/>
      <sz val="10"/>
      <name val="Arial"/>
      <family val="2"/>
    </font>
    <font>
      <b/>
      <sz val="10"/>
      <color indexed="8"/>
      <name val="Arial"/>
      <family val="2"/>
    </font>
    <font>
      <b/>
      <sz val="8"/>
      <color theme="1"/>
      <name val="Arial"/>
      <family val="2"/>
    </font>
    <font>
      <b/>
      <sz val="8"/>
      <name val="Arial"/>
      <family val="2"/>
    </font>
    <font>
      <b/>
      <vertAlign val="superscript"/>
      <sz val="10"/>
      <color rgb="FF000000"/>
      <name val="Arial"/>
      <family val="2"/>
    </font>
    <font>
      <sz val="8"/>
      <color indexed="8"/>
      <name val="Arial"/>
      <family val="2"/>
    </font>
    <font>
      <b/>
      <sz val="8"/>
      <name val="Arial"/>
      <family val="2"/>
    </font>
    <font>
      <sz val="7"/>
      <color indexed="8"/>
      <name val="Arial"/>
      <family val="2"/>
    </font>
    <font>
      <i/>
      <sz val="10"/>
      <color indexed="8"/>
      <name val="Arial"/>
      <family val="2"/>
    </font>
    <font>
      <sz val="8"/>
      <name val="Calibri"/>
      <family val="2"/>
      <scheme val="minor"/>
    </font>
    <font>
      <sz val="7"/>
      <color rgb="FF000000"/>
      <name val="Arial"/>
      <family val="2"/>
    </font>
    <font>
      <sz val="11"/>
      <color rgb="FF000000"/>
      <name val="Calibri"/>
      <family val="2"/>
      <scheme val="minor"/>
    </font>
    <font>
      <sz val="8"/>
      <color indexed="8"/>
      <name val="Arial"/>
      <family val="2"/>
    </font>
    <font>
      <sz val="8"/>
      <color theme="1"/>
      <name val="Arial"/>
      <family val="2"/>
    </font>
    <font>
      <sz val="8"/>
      <color indexed="8"/>
      <name val="Arial"/>
      <family val="2"/>
    </font>
    <font>
      <sz val="8"/>
      <color indexed="8"/>
      <name val="Arial"/>
      <family val="2"/>
    </font>
    <font>
      <u/>
      <sz val="11"/>
      <color theme="4"/>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auto="1"/>
      </top>
      <bottom/>
      <diagonal/>
    </border>
    <border>
      <left/>
      <right/>
      <top style="thin">
        <color rgb="FF000000"/>
      </top>
      <bottom/>
      <diagonal/>
    </border>
    <border>
      <left/>
      <right/>
      <top style="thin">
        <color indexed="64"/>
      </top>
      <bottom/>
      <diagonal/>
    </border>
    <border>
      <left/>
      <right/>
      <top style="thin">
        <color rgb="FF000000"/>
      </top>
      <bottom style="thin">
        <color indexed="64"/>
      </bottom>
      <diagonal/>
    </border>
    <border>
      <left/>
      <right/>
      <top/>
      <bottom style="thin">
        <color indexed="64"/>
      </bottom>
      <diagonal/>
    </border>
    <border>
      <left/>
      <right/>
      <top style="thin">
        <color indexed="64"/>
      </top>
      <bottom style="thin">
        <color rgb="FF000000"/>
      </bottom>
      <diagonal/>
    </border>
    <border>
      <left/>
      <right/>
      <top style="thin">
        <color auto="1"/>
      </top>
      <bottom/>
      <diagonal/>
    </border>
    <border>
      <left/>
      <right/>
      <top style="thin">
        <color indexed="64"/>
      </top>
      <bottom style="thin">
        <color indexed="64"/>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28" fillId="0" borderId="0"/>
    <xf numFmtId="0" fontId="28" fillId="0" borderId="0"/>
    <xf numFmtId="0" fontId="36" fillId="0" borderId="0" applyNumberFormat="0" applyFill="0" applyBorder="0" applyAlignment="0" applyProtection="0"/>
    <xf numFmtId="0" fontId="28"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67" fillId="0" borderId="0"/>
  </cellStyleXfs>
  <cellXfs count="238">
    <xf numFmtId="0" fontId="0" fillId="0" borderId="0" xfId="0"/>
    <xf numFmtId="0" fontId="0" fillId="34" borderId="0" xfId="0" applyFill="1"/>
    <xf numFmtId="0" fontId="18" fillId="34" borderId="0" xfId="0" applyFont="1" applyFill="1"/>
    <xf numFmtId="0" fontId="21" fillId="33" borderId="10" xfId="0" applyFont="1" applyFill="1" applyBorder="1" applyAlignment="1">
      <alignment horizontal="right" wrapText="1"/>
    </xf>
    <xf numFmtId="0" fontId="20" fillId="33" borderId="0" xfId="0" applyFont="1" applyFill="1" applyAlignment="1">
      <alignment horizontal="left" vertical="top" wrapText="1"/>
    </xf>
    <xf numFmtId="164" fontId="20" fillId="33" borderId="0" xfId="0" applyNumberFormat="1" applyFont="1" applyFill="1" applyAlignment="1">
      <alignment horizontal="right" wrapText="1"/>
    </xf>
    <xf numFmtId="0" fontId="22" fillId="34" borderId="0" xfId="0" applyFont="1" applyFill="1" applyAlignment="1">
      <alignment horizontal="left"/>
    </xf>
    <xf numFmtId="0" fontId="23" fillId="34" borderId="0" xfId="0" applyFont="1" applyFill="1" applyAlignment="1">
      <alignment horizontal="left" wrapText="1"/>
    </xf>
    <xf numFmtId="165" fontId="20" fillId="33" borderId="0" xfId="0" applyNumberFormat="1" applyFont="1" applyFill="1" applyAlignment="1">
      <alignment horizontal="right" wrapText="1"/>
    </xf>
    <xf numFmtId="165" fontId="24" fillId="33" borderId="0" xfId="0" applyNumberFormat="1" applyFont="1" applyFill="1" applyAlignment="1">
      <alignment horizontal="left" vertical="top" wrapText="1"/>
    </xf>
    <xf numFmtId="0" fontId="23" fillId="34" borderId="0" xfId="0" applyFont="1" applyFill="1" applyAlignment="1">
      <alignment horizontal="left"/>
    </xf>
    <xf numFmtId="165" fontId="24" fillId="33" borderId="10" xfId="0" applyNumberFormat="1" applyFont="1" applyFill="1" applyBorder="1" applyAlignment="1">
      <alignment horizontal="right" wrapText="1"/>
    </xf>
    <xf numFmtId="0" fontId="19" fillId="34" borderId="0" xfId="0" applyFont="1" applyFill="1" applyAlignment="1">
      <alignment horizontal="left"/>
    </xf>
    <xf numFmtId="0" fontId="20" fillId="33" borderId="0" xfId="0" applyFont="1" applyFill="1" applyAlignment="1">
      <alignment horizontal="right" wrapText="1"/>
    </xf>
    <xf numFmtId="0" fontId="29" fillId="33" borderId="0" xfId="43" applyFont="1" applyFill="1"/>
    <xf numFmtId="0" fontId="31" fillId="33" borderId="0" xfId="43" applyFont="1" applyFill="1"/>
    <xf numFmtId="0" fontId="29" fillId="33" borderId="0" xfId="44" applyFont="1" applyFill="1"/>
    <xf numFmtId="0" fontId="33" fillId="33" borderId="0" xfId="44" applyFont="1" applyFill="1"/>
    <xf numFmtId="0" fontId="34" fillId="33" borderId="0" xfId="43" applyFont="1" applyFill="1" applyAlignment="1">
      <alignment wrapText="1"/>
    </xf>
    <xf numFmtId="0" fontId="37" fillId="33" borderId="0" xfId="45" applyFont="1" applyFill="1" applyAlignment="1"/>
    <xf numFmtId="0" fontId="37" fillId="33" borderId="0" xfId="45" applyFont="1" applyFill="1"/>
    <xf numFmtId="0" fontId="38" fillId="33" borderId="0" xfId="45" applyNumberFormat="1" applyFont="1" applyFill="1" applyBorder="1" applyAlignment="1" applyProtection="1">
      <alignment horizontal="left" wrapText="1"/>
    </xf>
    <xf numFmtId="0" fontId="38" fillId="33" borderId="0" xfId="45" applyFont="1" applyFill="1" applyAlignment="1"/>
    <xf numFmtId="0" fontId="38" fillId="33" borderId="0" xfId="45" applyFont="1" applyFill="1"/>
    <xf numFmtId="0" fontId="37" fillId="33" borderId="0" xfId="45" applyFont="1" applyFill="1" applyAlignment="1">
      <alignment horizontal="center"/>
    </xf>
    <xf numFmtId="0" fontId="38" fillId="33" borderId="0" xfId="45" applyFont="1" applyFill="1" applyBorder="1" applyAlignment="1">
      <alignment horizontal="left" wrapText="1"/>
    </xf>
    <xf numFmtId="0" fontId="38" fillId="33" borderId="0" xfId="45" applyFont="1" applyFill="1" applyBorder="1" applyAlignment="1">
      <alignment horizontal="center" wrapText="1"/>
    </xf>
    <xf numFmtId="0" fontId="38" fillId="33" borderId="0" xfId="45" applyNumberFormat="1" applyFont="1" applyFill="1" applyBorder="1" applyAlignment="1" applyProtection="1">
      <alignment horizontal="center" wrapText="1"/>
    </xf>
    <xf numFmtId="3" fontId="38" fillId="33" borderId="0" xfId="45" applyNumberFormat="1" applyFont="1" applyFill="1" applyBorder="1" applyAlignment="1" applyProtection="1">
      <alignment horizontal="left" wrapText="1"/>
    </xf>
    <xf numFmtId="0" fontId="39" fillId="33" borderId="0" xfId="46" applyFont="1" applyFill="1" applyAlignment="1">
      <alignment horizontal="left"/>
    </xf>
    <xf numFmtId="0" fontId="31" fillId="33" borderId="0" xfId="46" applyFont="1" applyFill="1"/>
    <xf numFmtId="0" fontId="31" fillId="33" borderId="0" xfId="46" applyFont="1" applyFill="1" applyAlignment="1">
      <alignment horizontal="left"/>
    </xf>
    <xf numFmtId="1" fontId="31" fillId="33" borderId="0" xfId="46" applyNumberFormat="1" applyFont="1" applyFill="1" applyAlignment="1">
      <alignment horizontal="left"/>
    </xf>
    <xf numFmtId="0" fontId="31" fillId="35" borderId="0" xfId="46" applyFont="1" applyFill="1" applyAlignment="1">
      <alignment horizontal="left" wrapText="1"/>
    </xf>
    <xf numFmtId="0" fontId="41" fillId="35" borderId="0" xfId="0" applyFont="1" applyFill="1"/>
    <xf numFmtId="0" fontId="29" fillId="33" borderId="0" xfId="46" applyFont="1" applyFill="1" applyAlignment="1">
      <alignment horizontal="left"/>
    </xf>
    <xf numFmtId="0" fontId="21" fillId="33" borderId="10" xfId="0" applyFont="1" applyFill="1" applyBorder="1" applyAlignment="1">
      <alignment horizontal="left" wrapText="1"/>
    </xf>
    <xf numFmtId="0" fontId="43" fillId="33" borderId="0" xfId="0" applyFont="1" applyFill="1" applyAlignment="1">
      <alignment horizontal="left" vertical="top" wrapText="1"/>
    </xf>
    <xf numFmtId="164" fontId="43" fillId="33" borderId="0" xfId="0" applyNumberFormat="1" applyFont="1" applyFill="1" applyAlignment="1">
      <alignment horizontal="right" wrapText="1"/>
    </xf>
    <xf numFmtId="0" fontId="44" fillId="33" borderId="0" xfId="0" applyFont="1" applyFill="1" applyAlignment="1">
      <alignment horizontal="left" vertical="top" wrapText="1"/>
    </xf>
    <xf numFmtId="0" fontId="21" fillId="33" borderId="10" xfId="0" applyFont="1" applyFill="1" applyBorder="1" applyAlignment="1">
      <alignment wrapText="1"/>
    </xf>
    <xf numFmtId="165" fontId="43" fillId="33" borderId="0" xfId="0" applyNumberFormat="1" applyFont="1" applyFill="1" applyAlignment="1">
      <alignment horizontal="right" wrapText="1"/>
    </xf>
    <xf numFmtId="165" fontId="44" fillId="33" borderId="0" xfId="0" applyNumberFormat="1" applyFont="1" applyFill="1" applyAlignment="1">
      <alignment horizontal="right" wrapText="1"/>
    </xf>
    <xf numFmtId="0" fontId="22" fillId="34" borderId="13" xfId="0" applyFont="1" applyFill="1" applyBorder="1" applyAlignment="1">
      <alignment horizontal="left"/>
    </xf>
    <xf numFmtId="3" fontId="44" fillId="33" borderId="14" xfId="0" applyNumberFormat="1" applyFont="1" applyFill="1" applyBorder="1" applyAlignment="1">
      <alignment horizontal="left" wrapText="1"/>
    </xf>
    <xf numFmtId="165" fontId="45" fillId="33" borderId="0" xfId="0" applyNumberFormat="1" applyFont="1" applyFill="1" applyAlignment="1">
      <alignment horizontal="left" vertical="top" wrapText="1"/>
    </xf>
    <xf numFmtId="164" fontId="46" fillId="33" borderId="0" xfId="0" applyNumberFormat="1" applyFont="1" applyFill="1" applyAlignment="1">
      <alignment horizontal="right" wrapText="1"/>
    </xf>
    <xf numFmtId="0" fontId="46" fillId="33" borderId="0" xfId="0" applyFont="1" applyFill="1" applyAlignment="1">
      <alignment horizontal="left" vertical="top" wrapText="1"/>
    </xf>
    <xf numFmtId="164" fontId="46" fillId="35" borderId="0" xfId="0" applyNumberFormat="1" applyFont="1" applyFill="1" applyAlignment="1">
      <alignment horizontal="right" wrapText="1"/>
    </xf>
    <xf numFmtId="164" fontId="48" fillId="33" borderId="0" xfId="0" applyNumberFormat="1" applyFont="1" applyFill="1" applyAlignment="1">
      <alignment horizontal="right" wrapText="1"/>
    </xf>
    <xf numFmtId="165" fontId="46" fillId="33" borderId="0" xfId="0" applyNumberFormat="1" applyFont="1" applyFill="1" applyAlignment="1">
      <alignment horizontal="right" wrapText="1"/>
    </xf>
    <xf numFmtId="165" fontId="48" fillId="33" borderId="0" xfId="0" applyNumberFormat="1" applyFont="1" applyFill="1" applyAlignment="1">
      <alignment horizontal="right" wrapText="1"/>
    </xf>
    <xf numFmtId="0" fontId="44" fillId="33" borderId="10" xfId="0" applyFont="1" applyFill="1" applyBorder="1" applyAlignment="1">
      <alignment wrapText="1"/>
    </xf>
    <xf numFmtId="0" fontId="0" fillId="34" borderId="15" xfId="0" applyFill="1" applyBorder="1"/>
    <xf numFmtId="165" fontId="44" fillId="33" borderId="15" xfId="0" applyNumberFormat="1" applyFont="1" applyFill="1" applyBorder="1" applyAlignment="1">
      <alignment horizontal="right" wrapText="1"/>
    </xf>
    <xf numFmtId="0" fontId="18" fillId="34" borderId="15" xfId="0" applyFont="1" applyFill="1" applyBorder="1"/>
    <xf numFmtId="0" fontId="44" fillId="33" borderId="15" xfId="0" applyFont="1" applyFill="1" applyBorder="1" applyAlignment="1">
      <alignment horizontal="left" vertical="top" wrapText="1"/>
    </xf>
    <xf numFmtId="0" fontId="47" fillId="34" borderId="0" xfId="0" applyFont="1" applyFill="1" applyAlignment="1">
      <alignment horizontal="left"/>
    </xf>
    <xf numFmtId="0" fontId="49" fillId="34" borderId="13" xfId="0" applyFont="1" applyFill="1" applyBorder="1" applyAlignment="1">
      <alignment horizontal="left"/>
    </xf>
    <xf numFmtId="0" fontId="19" fillId="33" borderId="0" xfId="0" applyFont="1" applyFill="1"/>
    <xf numFmtId="0" fontId="19" fillId="33" borderId="0" xfId="0" applyFont="1" applyFill="1" applyAlignment="1">
      <alignment wrapText="1"/>
    </xf>
    <xf numFmtId="0" fontId="44" fillId="33" borderId="16" xfId="0" applyFont="1" applyFill="1" applyBorder="1" applyAlignment="1">
      <alignment wrapText="1"/>
    </xf>
    <xf numFmtId="0" fontId="44" fillId="33" borderId="0" xfId="0" applyFont="1" applyFill="1" applyAlignment="1">
      <alignment wrapText="1"/>
    </xf>
    <xf numFmtId="0" fontId="21" fillId="33" borderId="0" xfId="0" applyFont="1" applyFill="1" applyAlignment="1">
      <alignment horizontal="right" wrapText="1"/>
    </xf>
    <xf numFmtId="0" fontId="48" fillId="33" borderId="0" xfId="0" applyFont="1" applyFill="1" applyAlignment="1">
      <alignment horizontal="left" vertical="top" wrapText="1"/>
    </xf>
    <xf numFmtId="0" fontId="44" fillId="33" borderId="10" xfId="0" applyFont="1" applyFill="1" applyBorder="1" applyAlignment="1">
      <alignment horizontal="left" wrapText="1"/>
    </xf>
    <xf numFmtId="0" fontId="22" fillId="33" borderId="0" xfId="0" applyFont="1" applyFill="1"/>
    <xf numFmtId="0" fontId="21" fillId="33" borderId="16" xfId="0" applyFont="1" applyFill="1" applyBorder="1" applyAlignment="1">
      <alignment horizontal="right" wrapText="1"/>
    </xf>
    <xf numFmtId="0" fontId="44" fillId="33" borderId="0" xfId="0" applyFont="1" applyFill="1" applyAlignment="1">
      <alignment vertical="top" wrapText="1"/>
    </xf>
    <xf numFmtId="0" fontId="44" fillId="33" borderId="16" xfId="0" applyFont="1" applyFill="1" applyBorder="1" applyAlignment="1">
      <alignment horizontal="right" wrapText="1"/>
    </xf>
    <xf numFmtId="0" fontId="49" fillId="34" borderId="0" xfId="0" applyFont="1" applyFill="1"/>
    <xf numFmtId="0" fontId="52" fillId="34" borderId="0" xfId="0" applyFont="1" applyFill="1"/>
    <xf numFmtId="0" fontId="53" fillId="33" borderId="10" xfId="0" applyFont="1" applyFill="1" applyBorder="1" applyAlignment="1">
      <alignment horizontal="right" wrapText="1"/>
    </xf>
    <xf numFmtId="0" fontId="54" fillId="33" borderId="0" xfId="0" applyFont="1" applyFill="1" applyAlignment="1">
      <alignment horizontal="left" vertical="top" wrapText="1"/>
    </xf>
    <xf numFmtId="0" fontId="55" fillId="34" borderId="0" xfId="0" applyFont="1" applyFill="1" applyAlignment="1">
      <alignment horizontal="left"/>
    </xf>
    <xf numFmtId="0" fontId="56" fillId="34" borderId="0" xfId="0" applyFont="1" applyFill="1" applyAlignment="1">
      <alignment horizontal="left"/>
    </xf>
    <xf numFmtId="164" fontId="21" fillId="33" borderId="0" xfId="0" applyNumberFormat="1" applyFont="1" applyFill="1" applyAlignment="1">
      <alignment horizontal="right" wrapText="1"/>
    </xf>
    <xf numFmtId="0" fontId="58" fillId="34" borderId="0" xfId="0" applyFont="1" applyFill="1"/>
    <xf numFmtId="0" fontId="21" fillId="35" borderId="10" xfId="0" applyFont="1" applyFill="1" applyBorder="1" applyAlignment="1">
      <alignment horizontal="left" wrapText="1"/>
    </xf>
    <xf numFmtId="0" fontId="21" fillId="33" borderId="0" xfId="0" applyFont="1" applyFill="1" applyAlignment="1">
      <alignment horizontal="left" wrapText="1"/>
    </xf>
    <xf numFmtId="0" fontId="57" fillId="33" borderId="0" xfId="0" applyFont="1" applyFill="1" applyAlignment="1">
      <alignment wrapText="1"/>
    </xf>
    <xf numFmtId="165" fontId="21" fillId="33" borderId="0" xfId="0" applyNumberFormat="1" applyFont="1" applyFill="1" applyAlignment="1">
      <alignment horizontal="right" wrapText="1"/>
    </xf>
    <xf numFmtId="165" fontId="20" fillId="35" borderId="0" xfId="0" applyNumberFormat="1" applyFont="1" applyFill="1" applyAlignment="1">
      <alignment horizontal="right" wrapText="1"/>
    </xf>
    <xf numFmtId="165" fontId="21" fillId="35" borderId="0" xfId="0" applyNumberFormat="1" applyFont="1" applyFill="1" applyAlignment="1">
      <alignment horizontal="right" wrapText="1"/>
    </xf>
    <xf numFmtId="0" fontId="0" fillId="35" borderId="0" xfId="0" applyFill="1"/>
    <xf numFmtId="0" fontId="21" fillId="35" borderId="10" xfId="0" applyFont="1" applyFill="1" applyBorder="1" applyAlignment="1">
      <alignment horizontal="right" wrapText="1"/>
    </xf>
    <xf numFmtId="0" fontId="22" fillId="35" borderId="0" xfId="0" applyFont="1" applyFill="1" applyAlignment="1">
      <alignment horizontal="left"/>
    </xf>
    <xf numFmtId="0" fontId="22" fillId="34" borderId="0" xfId="0" applyFont="1" applyFill="1" applyAlignment="1">
      <alignment wrapText="1"/>
    </xf>
    <xf numFmtId="0" fontId="23" fillId="35" borderId="0" xfId="0" applyFont="1" applyFill="1" applyAlignment="1">
      <alignment horizontal="left"/>
    </xf>
    <xf numFmtId="0" fontId="29" fillId="35" borderId="0" xfId="43" applyFont="1" applyFill="1"/>
    <xf numFmtId="0" fontId="22" fillId="33" borderId="0" xfId="0" applyFont="1" applyFill="1" applyAlignment="1">
      <alignment horizontal="left"/>
    </xf>
    <xf numFmtId="0" fontId="55" fillId="33" borderId="0" xfId="0" applyFont="1" applyFill="1" applyAlignment="1">
      <alignment horizontal="left"/>
    </xf>
    <xf numFmtId="0" fontId="21" fillId="33" borderId="15" xfId="0" applyFont="1" applyFill="1" applyBorder="1" applyAlignment="1">
      <alignment horizontal="left" vertical="top" wrapText="1"/>
    </xf>
    <xf numFmtId="0" fontId="58" fillId="34" borderId="15" xfId="0" applyFont="1" applyFill="1" applyBorder="1"/>
    <xf numFmtId="0" fontId="20" fillId="33" borderId="15" xfId="0" applyFont="1" applyFill="1" applyBorder="1" applyAlignment="1">
      <alignment horizontal="left" vertical="top" wrapText="1"/>
    </xf>
    <xf numFmtId="164" fontId="20" fillId="33" borderId="15" xfId="0" applyNumberFormat="1" applyFont="1" applyFill="1" applyBorder="1" applyAlignment="1">
      <alignment horizontal="right" wrapText="1"/>
    </xf>
    <xf numFmtId="165" fontId="24" fillId="33" borderId="15" xfId="0" applyNumberFormat="1" applyFont="1" applyFill="1" applyBorder="1" applyAlignment="1">
      <alignment horizontal="left" vertical="top" wrapText="1"/>
    </xf>
    <xf numFmtId="165" fontId="45" fillId="33" borderId="15" xfId="0" applyNumberFormat="1" applyFont="1" applyFill="1" applyBorder="1" applyAlignment="1">
      <alignment horizontal="left" vertical="top" wrapText="1"/>
    </xf>
    <xf numFmtId="164" fontId="44" fillId="33" borderId="15" xfId="0" applyNumberFormat="1" applyFont="1" applyFill="1" applyBorder="1" applyAlignment="1">
      <alignment horizontal="right" wrapText="1"/>
    </xf>
    <xf numFmtId="166" fontId="44" fillId="33" borderId="15" xfId="0" applyNumberFormat="1" applyFont="1" applyFill="1" applyBorder="1" applyAlignment="1">
      <alignment horizontal="right" wrapText="1"/>
    </xf>
    <xf numFmtId="166" fontId="44" fillId="35" borderId="15" xfId="0" applyNumberFormat="1" applyFont="1" applyFill="1" applyBorder="1" applyAlignment="1">
      <alignment horizontal="right" wrapText="1"/>
    </xf>
    <xf numFmtId="165" fontId="21" fillId="33" borderId="15" xfId="0" applyNumberFormat="1" applyFont="1" applyFill="1" applyBorder="1" applyAlignment="1">
      <alignment horizontal="right" wrapText="1"/>
    </xf>
    <xf numFmtId="165" fontId="21" fillId="35" borderId="15" xfId="0" applyNumberFormat="1" applyFont="1" applyFill="1" applyBorder="1" applyAlignment="1">
      <alignment horizontal="right" wrapText="1"/>
    </xf>
    <xf numFmtId="9" fontId="22" fillId="34" borderId="0" xfId="48" applyFont="1" applyFill="1" applyAlignment="1">
      <alignment horizontal="left"/>
    </xf>
    <xf numFmtId="9" fontId="0" fillId="34" borderId="0" xfId="48" applyFont="1" applyFill="1"/>
    <xf numFmtId="0" fontId="21" fillId="33" borderId="0" xfId="0" applyFont="1" applyFill="1" applyAlignment="1">
      <alignment horizontal="left" vertical="top" wrapText="1"/>
    </xf>
    <xf numFmtId="0" fontId="61" fillId="33" borderId="0" xfId="0" applyFont="1" applyFill="1" applyAlignment="1">
      <alignment horizontal="left" vertical="top" wrapText="1"/>
    </xf>
    <xf numFmtId="164" fontId="61" fillId="33" borderId="0" xfId="0" applyNumberFormat="1" applyFont="1" applyFill="1" applyAlignment="1">
      <alignment horizontal="right" wrapText="1"/>
    </xf>
    <xf numFmtId="165" fontId="61" fillId="33" borderId="0" xfId="0" applyNumberFormat="1" applyFont="1" applyFill="1" applyAlignment="1">
      <alignment horizontal="right" wrapText="1"/>
    </xf>
    <xf numFmtId="165" fontId="62" fillId="33" borderId="0" xfId="0" applyNumberFormat="1" applyFont="1" applyFill="1" applyAlignment="1">
      <alignment horizontal="left" vertical="top" wrapText="1"/>
    </xf>
    <xf numFmtId="0" fontId="63" fillId="34" borderId="0" xfId="0" applyFont="1" applyFill="1" applyAlignment="1">
      <alignment horizontal="left"/>
    </xf>
    <xf numFmtId="0" fontId="64" fillId="34" borderId="0" xfId="0" applyFont="1" applyFill="1"/>
    <xf numFmtId="0" fontId="21" fillId="33" borderId="12" xfId="0" applyFont="1" applyFill="1" applyBorder="1" applyAlignment="1">
      <alignment horizontal="left" vertical="top" wrapText="1"/>
    </xf>
    <xf numFmtId="165" fontId="62" fillId="33" borderId="15" xfId="0" applyNumberFormat="1" applyFont="1" applyFill="1" applyBorder="1" applyAlignment="1">
      <alignment horizontal="left" vertical="top" wrapText="1"/>
    </xf>
    <xf numFmtId="0" fontId="20" fillId="33" borderId="12" xfId="0" applyFont="1" applyFill="1" applyBorder="1" applyAlignment="1">
      <alignment horizontal="left" vertical="top" wrapText="1"/>
    </xf>
    <xf numFmtId="165" fontId="20" fillId="33" borderId="12" xfId="0" applyNumberFormat="1" applyFont="1" applyFill="1" applyBorder="1" applyAlignment="1">
      <alignment horizontal="right" wrapText="1"/>
    </xf>
    <xf numFmtId="3" fontId="21" fillId="33" borderId="14" xfId="0" applyNumberFormat="1" applyFont="1" applyFill="1" applyBorder="1" applyAlignment="1">
      <alignment horizontal="left" wrapText="1"/>
    </xf>
    <xf numFmtId="164" fontId="61" fillId="0" borderId="0" xfId="0" applyNumberFormat="1" applyFont="1" applyAlignment="1">
      <alignment horizontal="right" wrapText="1"/>
    </xf>
    <xf numFmtId="0" fontId="66" fillId="34" borderId="0" xfId="0" applyFont="1" applyFill="1" applyAlignment="1">
      <alignment horizontal="left"/>
    </xf>
    <xf numFmtId="0" fontId="47" fillId="33" borderId="0" xfId="0" applyFont="1" applyFill="1" applyAlignment="1">
      <alignment horizontal="left"/>
    </xf>
    <xf numFmtId="0" fontId="44" fillId="33" borderId="15" xfId="0" applyFont="1" applyFill="1" applyBorder="1" applyAlignment="1">
      <alignment vertical="top" wrapText="1"/>
    </xf>
    <xf numFmtId="0" fontId="22" fillId="33" borderId="17" xfId="0" applyFont="1" applyFill="1" applyBorder="1"/>
    <xf numFmtId="0" fontId="22" fillId="34" borderId="0" xfId="0" applyFont="1" applyFill="1" applyAlignment="1">
      <alignment horizontal="left" wrapText="1"/>
    </xf>
    <xf numFmtId="0" fontId="24" fillId="33" borderId="15" xfId="0" applyFont="1" applyFill="1" applyBorder="1" applyAlignment="1">
      <alignment horizontal="left" vertical="top" wrapText="1"/>
    </xf>
    <xf numFmtId="164" fontId="43" fillId="33" borderId="15" xfId="0" applyNumberFormat="1" applyFont="1" applyFill="1" applyBorder="1" applyAlignment="1">
      <alignment horizontal="right" wrapText="1"/>
    </xf>
    <xf numFmtId="3" fontId="20" fillId="33" borderId="0" xfId="0" applyNumberFormat="1" applyFont="1" applyFill="1" applyAlignment="1">
      <alignment horizontal="right" wrapText="1"/>
    </xf>
    <xf numFmtId="3" fontId="21" fillId="33" borderId="0" xfId="0" applyNumberFormat="1" applyFont="1" applyFill="1" applyAlignment="1">
      <alignment horizontal="right" wrapText="1"/>
    </xf>
    <xf numFmtId="3" fontId="0" fillId="34" borderId="0" xfId="0" applyNumberFormat="1" applyFill="1"/>
    <xf numFmtId="165" fontId="0" fillId="34" borderId="0" xfId="0" applyNumberFormat="1" applyFill="1"/>
    <xf numFmtId="169" fontId="22" fillId="34" borderId="0" xfId="0" applyNumberFormat="1" applyFont="1" applyFill="1" applyAlignment="1">
      <alignment horizontal="left"/>
    </xf>
    <xf numFmtId="164" fontId="0" fillId="34" borderId="0" xfId="0" applyNumberFormat="1" applyFill="1"/>
    <xf numFmtId="170" fontId="0" fillId="34" borderId="0" xfId="0" applyNumberFormat="1" applyFill="1"/>
    <xf numFmtId="166" fontId="0" fillId="34" borderId="0" xfId="0" applyNumberFormat="1" applyFill="1"/>
    <xf numFmtId="3" fontId="22" fillId="34" borderId="0" xfId="0" applyNumberFormat="1" applyFont="1" applyFill="1" applyAlignment="1">
      <alignment horizontal="left"/>
    </xf>
    <xf numFmtId="3" fontId="0" fillId="35" borderId="0" xfId="0" applyNumberFormat="1" applyFill="1"/>
    <xf numFmtId="4" fontId="0" fillId="34" borderId="0" xfId="0" applyNumberFormat="1" applyFill="1"/>
    <xf numFmtId="168" fontId="0" fillId="34" borderId="0" xfId="0" applyNumberFormat="1" applyFill="1"/>
    <xf numFmtId="0" fontId="47" fillId="33" borderId="17" xfId="0" applyFont="1" applyFill="1" applyBorder="1" applyAlignment="1">
      <alignment horizontal="left"/>
    </xf>
    <xf numFmtId="0" fontId="63" fillId="33" borderId="17" xfId="0" applyFont="1" applyFill="1" applyBorder="1"/>
    <xf numFmtId="0" fontId="63" fillId="33" borderId="0" xfId="0" applyFont="1" applyFill="1"/>
    <xf numFmtId="0" fontId="48" fillId="33" borderId="10" xfId="0" applyFont="1" applyFill="1" applyBorder="1" applyAlignment="1">
      <alignment horizontal="right" wrapText="1"/>
    </xf>
    <xf numFmtId="0" fontId="23" fillId="33" borderId="17" xfId="0" applyFont="1" applyFill="1" applyBorder="1"/>
    <xf numFmtId="0" fontId="23" fillId="33" borderId="0" xfId="0" applyFont="1" applyFill="1"/>
    <xf numFmtId="167" fontId="21" fillId="33" borderId="0" xfId="47" applyNumberFormat="1" applyFont="1" applyFill="1" applyBorder="1" applyAlignment="1">
      <alignment horizontal="right" wrapText="1"/>
    </xf>
    <xf numFmtId="164" fontId="21" fillId="33" borderId="15" xfId="0" applyNumberFormat="1" applyFont="1" applyFill="1" applyBorder="1" applyAlignment="1">
      <alignment horizontal="right" wrapText="1"/>
    </xf>
    <xf numFmtId="164" fontId="68" fillId="33" borderId="0" xfId="0" applyNumberFormat="1" applyFont="1" applyFill="1" applyAlignment="1">
      <alignment horizontal="right" wrapText="1"/>
    </xf>
    <xf numFmtId="164" fontId="20" fillId="33" borderId="0" xfId="0" applyNumberFormat="1" applyFont="1" applyFill="1" applyAlignment="1">
      <alignment horizontal="right"/>
    </xf>
    <xf numFmtId="0" fontId="61" fillId="33" borderId="0" xfId="0" applyFont="1" applyFill="1" applyAlignment="1">
      <alignment horizontal="right" wrapText="1"/>
    </xf>
    <xf numFmtId="0" fontId="21" fillId="33" borderId="15" xfId="0" applyFont="1" applyFill="1" applyBorder="1" applyAlignment="1">
      <alignment horizontal="right" wrapText="1"/>
    </xf>
    <xf numFmtId="0" fontId="20" fillId="35" borderId="0" xfId="0" applyFont="1" applyFill="1" applyAlignment="1">
      <alignment horizontal="right" wrapText="1"/>
    </xf>
    <xf numFmtId="0" fontId="21" fillId="35" borderId="0" xfId="0" applyFont="1" applyFill="1" applyAlignment="1">
      <alignment horizontal="right" wrapText="1"/>
    </xf>
    <xf numFmtId="0" fontId="18" fillId="0" borderId="0" xfId="0" applyFont="1" applyAlignment="1">
      <alignment vertical="top"/>
    </xf>
    <xf numFmtId="0" fontId="0" fillId="0" borderId="0" xfId="0" applyAlignment="1">
      <alignment vertical="top"/>
    </xf>
    <xf numFmtId="0" fontId="20" fillId="0" borderId="15" xfId="0" applyFont="1" applyBorder="1" applyAlignment="1">
      <alignment horizontal="left" vertical="top" wrapText="1"/>
    </xf>
    <xf numFmtId="164" fontId="20" fillId="0" borderId="15" xfId="0" applyNumberFormat="1" applyFont="1" applyBorder="1" applyAlignment="1">
      <alignment horizontal="right" vertical="top" wrapText="1"/>
    </xf>
    <xf numFmtId="168" fontId="20" fillId="33" borderId="0" xfId="0" applyNumberFormat="1" applyFont="1" applyFill="1" applyAlignment="1">
      <alignment horizontal="right" wrapText="1"/>
    </xf>
    <xf numFmtId="168" fontId="20" fillId="0" borderId="15" xfId="0" applyNumberFormat="1" applyFont="1" applyBorder="1" applyAlignment="1">
      <alignment horizontal="right" vertical="top" wrapText="1"/>
    </xf>
    <xf numFmtId="164" fontId="21" fillId="35" borderId="0" xfId="0" applyNumberFormat="1" applyFont="1" applyFill="1" applyAlignment="1">
      <alignment horizontal="right" wrapText="1"/>
    </xf>
    <xf numFmtId="164" fontId="20" fillId="35" borderId="0" xfId="0" applyNumberFormat="1" applyFont="1" applyFill="1" applyAlignment="1">
      <alignment horizontal="right" wrapText="1"/>
    </xf>
    <xf numFmtId="0" fontId="21" fillId="33" borderId="18" xfId="0" applyFont="1" applyFill="1" applyBorder="1" applyAlignment="1">
      <alignment horizontal="left" vertical="top" wrapText="1"/>
    </xf>
    <xf numFmtId="165" fontId="21" fillId="33" borderId="18" xfId="0" applyNumberFormat="1" applyFont="1" applyFill="1" applyBorder="1" applyAlignment="1">
      <alignment horizontal="right" wrapText="1"/>
    </xf>
    <xf numFmtId="164" fontId="21" fillId="33" borderId="18" xfId="0" applyNumberFormat="1" applyFont="1" applyFill="1" applyBorder="1" applyAlignment="1">
      <alignment horizontal="right" wrapText="1"/>
    </xf>
    <xf numFmtId="0" fontId="69" fillId="34" borderId="15" xfId="0" applyFont="1" applyFill="1" applyBorder="1"/>
    <xf numFmtId="166" fontId="21" fillId="33" borderId="0" xfId="0" applyNumberFormat="1" applyFont="1" applyFill="1" applyAlignment="1">
      <alignment horizontal="right" wrapText="1"/>
    </xf>
    <xf numFmtId="166" fontId="20" fillId="33" borderId="0" xfId="0" applyNumberFormat="1" applyFont="1" applyFill="1" applyAlignment="1">
      <alignment horizontal="right" wrapText="1"/>
    </xf>
    <xf numFmtId="0" fontId="23" fillId="33" borderId="11" xfId="0" applyFont="1" applyFill="1" applyBorder="1" applyAlignment="1">
      <alignment horizontal="left"/>
    </xf>
    <xf numFmtId="0" fontId="23" fillId="33" borderId="0" xfId="0" applyFont="1" applyFill="1" applyAlignment="1">
      <alignment horizontal="left"/>
    </xf>
    <xf numFmtId="165" fontId="20" fillId="33" borderId="15" xfId="0" applyNumberFormat="1" applyFont="1" applyFill="1" applyBorder="1" applyAlignment="1">
      <alignment horizontal="right" wrapText="1"/>
    </xf>
    <xf numFmtId="3" fontId="23" fillId="34" borderId="0" xfId="0" applyNumberFormat="1" applyFont="1" applyFill="1" applyAlignment="1">
      <alignment horizontal="left"/>
    </xf>
    <xf numFmtId="165" fontId="70" fillId="33" borderId="0" xfId="0" applyNumberFormat="1" applyFont="1" applyFill="1" applyAlignment="1">
      <alignment horizontal="right" wrapText="1"/>
    </xf>
    <xf numFmtId="164" fontId="70" fillId="33" borderId="0" xfId="0" applyNumberFormat="1" applyFont="1" applyFill="1" applyAlignment="1">
      <alignment horizontal="right" wrapText="1"/>
    </xf>
    <xf numFmtId="165" fontId="62" fillId="33" borderId="15" xfId="0" applyNumberFormat="1" applyFont="1" applyFill="1" applyBorder="1" applyAlignment="1">
      <alignment horizontal="right" vertical="top" wrapText="1"/>
    </xf>
    <xf numFmtId="0" fontId="21" fillId="33" borderId="15" xfId="0" applyFont="1" applyFill="1" applyBorder="1" applyAlignment="1">
      <alignment horizontal="right" vertical="top" wrapText="1"/>
    </xf>
    <xf numFmtId="2" fontId="0" fillId="34" borderId="0" xfId="0" applyNumberFormat="1" applyFill="1"/>
    <xf numFmtId="164" fontId="71" fillId="33" borderId="0" xfId="0" applyNumberFormat="1" applyFont="1" applyFill="1" applyAlignment="1">
      <alignment horizontal="right" wrapText="1"/>
    </xf>
    <xf numFmtId="165" fontId="71" fillId="33" borderId="0" xfId="0" applyNumberFormat="1" applyFont="1" applyFill="1" applyAlignment="1">
      <alignment horizontal="right" wrapText="1"/>
    </xf>
    <xf numFmtId="0" fontId="71" fillId="33" borderId="0" xfId="0" applyFont="1" applyFill="1" applyAlignment="1">
      <alignment horizontal="left" vertical="top" wrapText="1"/>
    </xf>
    <xf numFmtId="0" fontId="34" fillId="35" borderId="0" xfId="43" applyFont="1" applyFill="1" applyAlignment="1">
      <alignment wrapText="1"/>
    </xf>
    <xf numFmtId="0" fontId="38" fillId="35" borderId="0" xfId="45" applyFont="1" applyFill="1" applyAlignment="1"/>
    <xf numFmtId="0" fontId="38" fillId="35" borderId="0" xfId="45" applyFont="1" applyFill="1"/>
    <xf numFmtId="0" fontId="31" fillId="35" borderId="0" xfId="43" applyFont="1" applyFill="1"/>
    <xf numFmtId="0" fontId="32" fillId="35" borderId="0" xfId="42" applyFont="1" applyFill="1" applyAlignment="1"/>
    <xf numFmtId="171" fontId="0" fillId="34" borderId="0" xfId="0" applyNumberFormat="1" applyFill="1"/>
    <xf numFmtId="164" fontId="71" fillId="35" borderId="0" xfId="0" applyNumberFormat="1" applyFont="1" applyFill="1" applyAlignment="1">
      <alignment horizontal="right" wrapText="1"/>
    </xf>
    <xf numFmtId="165" fontId="43" fillId="35" borderId="0" xfId="0" applyNumberFormat="1" applyFont="1" applyFill="1" applyAlignment="1">
      <alignment horizontal="right" wrapText="1"/>
    </xf>
    <xf numFmtId="165" fontId="48" fillId="35" borderId="0" xfId="0" applyNumberFormat="1" applyFont="1" applyFill="1" applyAlignment="1">
      <alignment horizontal="right" wrapText="1"/>
    </xf>
    <xf numFmtId="168" fontId="0" fillId="35" borderId="0" xfId="0" applyNumberFormat="1" applyFill="1"/>
    <xf numFmtId="0" fontId="30" fillId="0" borderId="0" xfId="44" applyFont="1"/>
    <xf numFmtId="0" fontId="31" fillId="0" borderId="0" xfId="43" applyFont="1"/>
    <xf numFmtId="0" fontId="35" fillId="0" borderId="0" xfId="43" applyFont="1"/>
    <xf numFmtId="0" fontId="32" fillId="0" borderId="0" xfId="42" applyFont="1" applyFill="1" applyAlignment="1"/>
    <xf numFmtId="0" fontId="38" fillId="0" borderId="0" xfId="45" applyNumberFormat="1" applyFont="1" applyFill="1" applyBorder="1" applyAlignment="1" applyProtection="1">
      <alignment horizontal="left" wrapText="1"/>
    </xf>
    <xf numFmtId="3" fontId="38" fillId="0" borderId="0" xfId="45" applyNumberFormat="1" applyFont="1" applyFill="1" applyBorder="1" applyAlignment="1" applyProtection="1">
      <alignment horizontal="left" wrapText="1"/>
    </xf>
    <xf numFmtId="0" fontId="72" fillId="0" borderId="0" xfId="42" applyFont="1" applyFill="1" applyAlignment="1"/>
    <xf numFmtId="0" fontId="32" fillId="0" borderId="0" xfId="42" applyFont="1"/>
    <xf numFmtId="0" fontId="34" fillId="35" borderId="0" xfId="0" applyFont="1" applyFill="1" applyAlignment="1">
      <alignment horizontal="left" wrapText="1"/>
    </xf>
    <xf numFmtId="0" fontId="31" fillId="33" borderId="0" xfId="46" applyFont="1" applyFill="1" applyAlignment="1">
      <alignment horizontal="left" wrapText="1"/>
    </xf>
    <xf numFmtId="0" fontId="31" fillId="35" borderId="0" xfId="46" applyFont="1" applyFill="1" applyAlignment="1">
      <alignment horizontal="left" wrapText="1"/>
    </xf>
    <xf numFmtId="0" fontId="19" fillId="33" borderId="0" xfId="0" applyFont="1" applyFill="1" applyAlignment="1">
      <alignment horizontal="left"/>
    </xf>
    <xf numFmtId="0" fontId="22" fillId="34" borderId="0" xfId="0" applyFont="1" applyFill="1" applyAlignment="1">
      <alignment horizontal="left" wrapText="1"/>
    </xf>
    <xf numFmtId="0" fontId="27" fillId="33" borderId="0" xfId="0" applyFont="1" applyFill="1" applyAlignment="1">
      <alignment horizontal="left"/>
    </xf>
    <xf numFmtId="0" fontId="22" fillId="33" borderId="11" xfId="0" applyFont="1" applyFill="1" applyBorder="1" applyAlignment="1">
      <alignment horizontal="left"/>
    </xf>
    <xf numFmtId="0" fontId="47" fillId="33" borderId="0" xfId="0" applyFont="1" applyFill="1" applyAlignment="1">
      <alignment horizontal="left"/>
    </xf>
    <xf numFmtId="0" fontId="21" fillId="33" borderId="0" xfId="0" applyFont="1" applyFill="1" applyAlignment="1">
      <alignment horizontal="left" vertical="top" wrapText="1"/>
    </xf>
    <xf numFmtId="0" fontId="44" fillId="33" borderId="17" xfId="0" applyFont="1" applyFill="1" applyBorder="1" applyAlignment="1">
      <alignment horizontal="left" vertical="top" wrapText="1"/>
    </xf>
    <xf numFmtId="0" fontId="44" fillId="33" borderId="0" xfId="0" applyFont="1" applyFill="1" applyAlignment="1">
      <alignment horizontal="left" vertical="top" wrapText="1"/>
    </xf>
    <xf numFmtId="0" fontId="47" fillId="33" borderId="11" xfId="0" applyFont="1" applyFill="1" applyBorder="1" applyAlignment="1">
      <alignment horizontal="left"/>
    </xf>
    <xf numFmtId="0" fontId="47" fillId="33" borderId="17" xfId="0" applyFont="1" applyFill="1" applyBorder="1" applyAlignment="1">
      <alignment horizontal="left"/>
    </xf>
    <xf numFmtId="0" fontId="22" fillId="33" borderId="0" xfId="0" applyFont="1" applyFill="1" applyAlignment="1">
      <alignment horizontal="left"/>
    </xf>
    <xf numFmtId="0" fontId="19" fillId="33" borderId="0" xfId="0" applyFont="1" applyFill="1" applyAlignment="1">
      <alignment horizontal="left" wrapText="1"/>
    </xf>
    <xf numFmtId="0" fontId="44" fillId="33" borderId="15" xfId="0" applyFont="1" applyFill="1" applyBorder="1" applyAlignment="1">
      <alignment horizontal="left" vertical="top" wrapText="1"/>
    </xf>
    <xf numFmtId="165" fontId="45" fillId="33" borderId="0" xfId="0" applyNumberFormat="1" applyFont="1" applyFill="1" applyAlignment="1">
      <alignment horizontal="left" vertical="top" wrapText="1"/>
    </xf>
    <xf numFmtId="0" fontId="22" fillId="33" borderId="17" xfId="0" applyFont="1" applyFill="1" applyBorder="1" applyAlignment="1">
      <alignment horizontal="left"/>
    </xf>
    <xf numFmtId="0" fontId="21" fillId="33" borderId="15" xfId="0" applyFont="1" applyFill="1" applyBorder="1" applyAlignment="1">
      <alignment horizontal="left" vertical="top" wrapText="1"/>
    </xf>
    <xf numFmtId="165" fontId="24" fillId="33" borderId="0" xfId="0" applyNumberFormat="1" applyFont="1" applyFill="1" applyAlignment="1">
      <alignment horizontal="left" vertical="top" wrapText="1"/>
    </xf>
    <xf numFmtId="165" fontId="24" fillId="33" borderId="15" xfId="0" applyNumberFormat="1" applyFont="1" applyFill="1" applyBorder="1" applyAlignment="1">
      <alignment horizontal="left" vertical="top" wrapText="1"/>
    </xf>
    <xf numFmtId="0" fontId="55" fillId="33" borderId="17" xfId="0" applyFont="1" applyFill="1" applyBorder="1" applyAlignment="1">
      <alignment horizontal="left"/>
    </xf>
    <xf numFmtId="0" fontId="27" fillId="33" borderId="0" xfId="0" applyFont="1" applyFill="1" applyAlignment="1">
      <alignment horizontal="left" wrapText="1"/>
    </xf>
    <xf numFmtId="0" fontId="51" fillId="33" borderId="0" xfId="0" applyFont="1" applyFill="1" applyAlignment="1">
      <alignment horizontal="left" wrapText="1"/>
    </xf>
    <xf numFmtId="0" fontId="55" fillId="34" borderId="0" xfId="0" applyFont="1" applyFill="1" applyAlignment="1">
      <alignment horizontal="left" wrapText="1"/>
    </xf>
    <xf numFmtId="0" fontId="57" fillId="33" borderId="0" xfId="0" applyFont="1" applyFill="1" applyAlignment="1">
      <alignment horizontal="left" wrapText="1"/>
    </xf>
    <xf numFmtId="0" fontId="55" fillId="33" borderId="0" xfId="0" applyFont="1" applyFill="1" applyAlignment="1">
      <alignment horizontal="left"/>
    </xf>
    <xf numFmtId="0" fontId="54" fillId="33" borderId="0" xfId="0" applyFont="1" applyFill="1" applyAlignment="1">
      <alignment horizontal="left" vertical="top" wrapText="1"/>
    </xf>
    <xf numFmtId="165" fontId="59" fillId="33" borderId="0" xfId="0" applyNumberFormat="1" applyFont="1" applyFill="1" applyAlignment="1">
      <alignment horizontal="left" vertical="top" wrapText="1"/>
    </xf>
    <xf numFmtId="3" fontId="21" fillId="33" borderId="13" xfId="44" applyNumberFormat="1" applyFont="1" applyFill="1" applyBorder="1" applyAlignment="1">
      <alignment horizontal="center" wrapText="1"/>
    </xf>
    <xf numFmtId="3" fontId="44" fillId="33" borderId="13" xfId="44" applyNumberFormat="1" applyFont="1" applyFill="1" applyBorder="1" applyAlignment="1">
      <alignment horizontal="center" wrapText="1"/>
    </xf>
    <xf numFmtId="3" fontId="44" fillId="33" borderId="0" xfId="44" applyNumberFormat="1" applyFont="1" applyFill="1" applyAlignment="1">
      <alignment horizontal="center" wrapText="1"/>
    </xf>
    <xf numFmtId="0" fontId="50" fillId="33" borderId="0" xfId="0" applyFont="1" applyFill="1" applyAlignment="1">
      <alignment horizontal="left" wrapText="1"/>
    </xf>
    <xf numFmtId="0" fontId="47" fillId="33" borderId="17" xfId="0" applyFont="1" applyFill="1" applyBorder="1" applyAlignment="1">
      <alignment horizontal="left" wrapText="1"/>
    </xf>
    <xf numFmtId="0" fontId="23" fillId="33" borderId="11" xfId="0" applyFont="1" applyFill="1" applyBorder="1" applyAlignment="1">
      <alignment horizontal="left"/>
    </xf>
    <xf numFmtId="0" fontId="23" fillId="33" borderId="0" xfId="0" applyFont="1" applyFill="1" applyAlignment="1">
      <alignment horizontal="left"/>
    </xf>
    <xf numFmtId="0" fontId="48" fillId="33" borderId="0" xfId="0" applyFont="1" applyFill="1" applyAlignment="1">
      <alignment horizontal="left" vertical="top" wrapText="1"/>
    </xf>
    <xf numFmtId="0" fontId="21" fillId="33" borderId="12" xfId="0" applyFont="1" applyFill="1" applyBorder="1" applyAlignment="1">
      <alignment horizontal="center" wrapText="1"/>
    </xf>
    <xf numFmtId="0" fontId="21" fillId="33" borderId="0" xfId="0" applyFont="1" applyFill="1" applyAlignment="1">
      <alignment horizontal="center" vertical="top" wrapText="1"/>
    </xf>
    <xf numFmtId="0" fontId="22" fillId="33" borderId="13" xfId="0" applyFont="1" applyFill="1" applyBorder="1" applyAlignment="1">
      <alignment horizontal="left" wrapText="1"/>
    </xf>
    <xf numFmtId="0" fontId="21" fillId="33" borderId="0" xfId="0" applyFont="1" applyFill="1" applyAlignment="1">
      <alignment horizontal="center"/>
    </xf>
    <xf numFmtId="0" fontId="44" fillId="33" borderId="0" xfId="0" applyFont="1" applyFill="1" applyAlignment="1">
      <alignment horizontal="center"/>
    </xf>
    <xf numFmtId="0" fontId="27" fillId="0" borderId="0" xfId="0" applyFont="1" applyAlignment="1">
      <alignment horizontal="left"/>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7" builtinId="3"/>
    <cellStyle name="Comma 2" xfId="49" xr:uid="{CBBE97DB-D8AC-4858-8AC3-CB6CADC6CDB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5" xr:uid="{00000000-0005-0000-0000-000022000000}"/>
    <cellStyle name="Input" xfId="9" builtinId="20" customBuiltin="1"/>
    <cellStyle name="Linked Cell" xfId="12" builtinId="24" customBuiltin="1"/>
    <cellStyle name="Neutral" xfId="8" builtinId="28" customBuiltin="1"/>
    <cellStyle name="Normal" xfId="0" builtinId="0"/>
    <cellStyle name="Normal 2" xfId="43" xr:uid="{00000000-0005-0000-0000-000027000000}"/>
    <cellStyle name="Normal 2 2 2" xfId="46" xr:uid="{00000000-0005-0000-0000-000028000000}"/>
    <cellStyle name="Normal 4" xfId="50" xr:uid="{39B040AD-6654-47F4-9EE5-60F3BABD1967}"/>
    <cellStyle name="Normal 5" xfId="51" xr:uid="{5BF82C00-DAA8-40EE-AA46-E04E9A288611}"/>
    <cellStyle name="Normal 5 2" xfId="44" xr:uid="{00000000-0005-0000-0000-000029000000}"/>
    <cellStyle name="Note" xfId="15" builtinId="10" customBuiltin="1"/>
    <cellStyle name="Output" xfId="10" builtinId="21" customBuiltin="1"/>
    <cellStyle name="Percent" xfId="48" builtinId="5"/>
    <cellStyle name="Title" xfId="1" builtinId="15" customBuiltin="1"/>
    <cellStyle name="Total" xfId="17" builtinId="25" customBuiltin="1"/>
    <cellStyle name="Warning Text" xfId="14" builtinId="11" customBuiltin="1"/>
  </cellStyles>
  <dxfs count="13">
    <dxf>
      <numFmt numFmtId="172" formatCode="&quot;—&quot;"/>
    </dxf>
    <dxf>
      <numFmt numFmtId="172" formatCode="&quot;—&quot;"/>
    </dxf>
    <dxf>
      <numFmt numFmtId="172" formatCode="&quot;—&quot;"/>
    </dxf>
    <dxf>
      <numFmt numFmtId="172" formatCode="&quot;—&quot;"/>
    </dxf>
    <dxf>
      <numFmt numFmtId="172" formatCode="&quot;—&quot;"/>
    </dxf>
    <dxf>
      <numFmt numFmtId="172" formatCode="&quot;—&quot;"/>
    </dxf>
    <dxf>
      <numFmt numFmtId="172" formatCode="&quot;—&quot;"/>
    </dxf>
    <dxf>
      <numFmt numFmtId="172" formatCode="&quot;—&quot;"/>
    </dxf>
    <dxf>
      <numFmt numFmtId="173" formatCode="&quot;-&quot;"/>
    </dxf>
    <dxf>
      <numFmt numFmtId="172" formatCode="&quot;—&quot;"/>
    </dxf>
    <dxf>
      <numFmt numFmtId="172" formatCode="&quot;—&quot;"/>
    </dxf>
    <dxf>
      <numFmt numFmtId="172" formatCode="&quot;—&quot;"/>
    </dxf>
    <dxf>
      <numFmt numFmtId="172" formatCode="&quot;—&quot;"/>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8"/>
  <sheetViews>
    <sheetView workbookViewId="0"/>
  </sheetViews>
  <sheetFormatPr defaultRowHeight="14.25" x14ac:dyDescent="0.2"/>
  <cols>
    <col min="1" max="1" width="18.42578125" style="15" customWidth="1"/>
    <col min="2" max="256" width="9.140625" style="15"/>
    <col min="257" max="257" width="18.42578125" style="15" customWidth="1"/>
    <col min="258" max="512" width="9.140625" style="15"/>
    <col min="513" max="513" width="18.42578125" style="15" customWidth="1"/>
    <col min="514" max="768" width="9.140625" style="15"/>
    <col min="769" max="769" width="18.42578125" style="15" customWidth="1"/>
    <col min="770" max="1024" width="9.140625" style="15"/>
    <col min="1025" max="1025" width="18.42578125" style="15" customWidth="1"/>
    <col min="1026" max="1280" width="9.140625" style="15"/>
    <col min="1281" max="1281" width="18.42578125" style="15" customWidth="1"/>
    <col min="1282" max="1536" width="9.140625" style="15"/>
    <col min="1537" max="1537" width="18.42578125" style="15" customWidth="1"/>
    <col min="1538" max="1792" width="9.140625" style="15"/>
    <col min="1793" max="1793" width="18.42578125" style="15" customWidth="1"/>
    <col min="1794" max="2048" width="9.140625" style="15"/>
    <col min="2049" max="2049" width="18.42578125" style="15" customWidth="1"/>
    <col min="2050" max="2304" width="9.140625" style="15"/>
    <col min="2305" max="2305" width="18.42578125" style="15" customWidth="1"/>
    <col min="2306" max="2560" width="9.140625" style="15"/>
    <col min="2561" max="2561" width="18.42578125" style="15" customWidth="1"/>
    <col min="2562" max="2816" width="9.140625" style="15"/>
    <col min="2817" max="2817" width="18.42578125" style="15" customWidth="1"/>
    <col min="2818" max="3072" width="9.140625" style="15"/>
    <col min="3073" max="3073" width="18.42578125" style="15" customWidth="1"/>
    <col min="3074" max="3328" width="9.140625" style="15"/>
    <col min="3329" max="3329" width="18.42578125" style="15" customWidth="1"/>
    <col min="3330" max="3584" width="9.140625" style="15"/>
    <col min="3585" max="3585" width="18.42578125" style="15" customWidth="1"/>
    <col min="3586" max="3840" width="9.140625" style="15"/>
    <col min="3841" max="3841" width="18.42578125" style="15" customWidth="1"/>
    <col min="3842" max="4096" width="9.140625" style="15"/>
    <col min="4097" max="4097" width="18.42578125" style="15" customWidth="1"/>
    <col min="4098" max="4352" width="9.140625" style="15"/>
    <col min="4353" max="4353" width="18.42578125" style="15" customWidth="1"/>
    <col min="4354" max="4608" width="9.140625" style="15"/>
    <col min="4609" max="4609" width="18.42578125" style="15" customWidth="1"/>
    <col min="4610" max="4864" width="9.140625" style="15"/>
    <col min="4865" max="4865" width="18.42578125" style="15" customWidth="1"/>
    <col min="4866" max="5120" width="9.140625" style="15"/>
    <col min="5121" max="5121" width="18.42578125" style="15" customWidth="1"/>
    <col min="5122" max="5376" width="9.140625" style="15"/>
    <col min="5377" max="5377" width="18.42578125" style="15" customWidth="1"/>
    <col min="5378" max="5632" width="9.140625" style="15"/>
    <col min="5633" max="5633" width="18.42578125" style="15" customWidth="1"/>
    <col min="5634" max="5888" width="9.140625" style="15"/>
    <col min="5889" max="5889" width="18.42578125" style="15" customWidth="1"/>
    <col min="5890" max="6144" width="9.140625" style="15"/>
    <col min="6145" max="6145" width="18.42578125" style="15" customWidth="1"/>
    <col min="6146" max="6400" width="9.140625" style="15"/>
    <col min="6401" max="6401" width="18.42578125" style="15" customWidth="1"/>
    <col min="6402" max="6656" width="9.140625" style="15"/>
    <col min="6657" max="6657" width="18.42578125" style="15" customWidth="1"/>
    <col min="6658" max="6912" width="9.140625" style="15"/>
    <col min="6913" max="6913" width="18.42578125" style="15" customWidth="1"/>
    <col min="6914" max="7168" width="9.140625" style="15"/>
    <col min="7169" max="7169" width="18.42578125" style="15" customWidth="1"/>
    <col min="7170" max="7424" width="9.140625" style="15"/>
    <col min="7425" max="7425" width="18.42578125" style="15" customWidth="1"/>
    <col min="7426" max="7680" width="9.140625" style="15"/>
    <col min="7681" max="7681" width="18.42578125" style="15" customWidth="1"/>
    <col min="7682" max="7936" width="9.140625" style="15"/>
    <col min="7937" max="7937" width="18.42578125" style="15" customWidth="1"/>
    <col min="7938" max="8192" width="9.140625" style="15"/>
    <col min="8193" max="8193" width="18.42578125" style="15" customWidth="1"/>
    <col min="8194" max="8448" width="9.140625" style="15"/>
    <col min="8449" max="8449" width="18.42578125" style="15" customWidth="1"/>
    <col min="8450" max="8704" width="9.140625" style="15"/>
    <col min="8705" max="8705" width="18.42578125" style="15" customWidth="1"/>
    <col min="8706" max="8960" width="9.140625" style="15"/>
    <col min="8961" max="8961" width="18.42578125" style="15" customWidth="1"/>
    <col min="8962" max="9216" width="9.140625" style="15"/>
    <col min="9217" max="9217" width="18.42578125" style="15" customWidth="1"/>
    <col min="9218" max="9472" width="9.140625" style="15"/>
    <col min="9473" max="9473" width="18.42578125" style="15" customWidth="1"/>
    <col min="9474" max="9728" width="9.140625" style="15"/>
    <col min="9729" max="9729" width="18.42578125" style="15" customWidth="1"/>
    <col min="9730" max="9984" width="9.140625" style="15"/>
    <col min="9985" max="9985" width="18.42578125" style="15" customWidth="1"/>
    <col min="9986" max="10240" width="9.140625" style="15"/>
    <col min="10241" max="10241" width="18.42578125" style="15" customWidth="1"/>
    <col min="10242" max="10496" width="9.140625" style="15"/>
    <col min="10497" max="10497" width="18.42578125" style="15" customWidth="1"/>
    <col min="10498" max="10752" width="9.140625" style="15"/>
    <col min="10753" max="10753" width="18.42578125" style="15" customWidth="1"/>
    <col min="10754" max="11008" width="9.140625" style="15"/>
    <col min="11009" max="11009" width="18.42578125" style="15" customWidth="1"/>
    <col min="11010" max="11264" width="9.140625" style="15"/>
    <col min="11265" max="11265" width="18.42578125" style="15" customWidth="1"/>
    <col min="11266" max="11520" width="9.140625" style="15"/>
    <col min="11521" max="11521" width="18.42578125" style="15" customWidth="1"/>
    <col min="11522" max="11776" width="9.140625" style="15"/>
    <col min="11777" max="11777" width="18.42578125" style="15" customWidth="1"/>
    <col min="11778" max="12032" width="9.140625" style="15"/>
    <col min="12033" max="12033" width="18.42578125" style="15" customWidth="1"/>
    <col min="12034" max="12288" width="9.140625" style="15"/>
    <col min="12289" max="12289" width="18.42578125" style="15" customWidth="1"/>
    <col min="12290" max="12544" width="9.140625" style="15"/>
    <col min="12545" max="12545" width="18.42578125" style="15" customWidth="1"/>
    <col min="12546" max="12800" width="9.140625" style="15"/>
    <col min="12801" max="12801" width="18.42578125" style="15" customWidth="1"/>
    <col min="12802" max="13056" width="9.140625" style="15"/>
    <col min="13057" max="13057" width="18.42578125" style="15" customWidth="1"/>
    <col min="13058" max="13312" width="9.140625" style="15"/>
    <col min="13313" max="13313" width="18.42578125" style="15" customWidth="1"/>
    <col min="13314" max="13568" width="9.140625" style="15"/>
    <col min="13569" max="13569" width="18.42578125" style="15" customWidth="1"/>
    <col min="13570" max="13824" width="9.140625" style="15"/>
    <col min="13825" max="13825" width="18.42578125" style="15" customWidth="1"/>
    <col min="13826" max="14080" width="9.140625" style="15"/>
    <col min="14081" max="14081" width="18.42578125" style="15" customWidth="1"/>
    <col min="14082" max="14336" width="9.140625" style="15"/>
    <col min="14337" max="14337" width="18.42578125" style="15" customWidth="1"/>
    <col min="14338" max="14592" width="9.140625" style="15"/>
    <col min="14593" max="14593" width="18.42578125" style="15" customWidth="1"/>
    <col min="14594" max="14848" width="9.140625" style="15"/>
    <col min="14849" max="14849" width="18.42578125" style="15" customWidth="1"/>
    <col min="14850" max="15104" width="9.140625" style="15"/>
    <col min="15105" max="15105" width="18.42578125" style="15" customWidth="1"/>
    <col min="15106" max="15360" width="9.140625" style="15"/>
    <col min="15361" max="15361" width="18.42578125" style="15" customWidth="1"/>
    <col min="15362" max="15616" width="9.140625" style="15"/>
    <col min="15617" max="15617" width="18.42578125" style="15" customWidth="1"/>
    <col min="15618" max="15872" width="9.140625" style="15"/>
    <col min="15873" max="15873" width="18.42578125" style="15" customWidth="1"/>
    <col min="15874" max="16128" width="9.140625" style="15"/>
    <col min="16129" max="16129" width="18.42578125" style="15" customWidth="1"/>
    <col min="16130" max="16384" width="9.140625" style="15"/>
  </cols>
  <sheetData>
    <row r="1" spans="1:8" ht="18" x14ac:dyDescent="0.25">
      <c r="A1" s="29" t="s">
        <v>148</v>
      </c>
      <c r="B1" s="30"/>
    </row>
    <row r="2" spans="1:8" x14ac:dyDescent="0.2">
      <c r="A2" s="31" t="s">
        <v>149</v>
      </c>
      <c r="B2" s="30" t="s">
        <v>150</v>
      </c>
    </row>
    <row r="3" spans="1:8" x14ac:dyDescent="0.2">
      <c r="A3" s="31" t="s">
        <v>7</v>
      </c>
      <c r="B3" s="30" t="s">
        <v>151</v>
      </c>
    </row>
    <row r="4" spans="1:8" x14ac:dyDescent="0.2">
      <c r="A4" s="31" t="s">
        <v>152</v>
      </c>
      <c r="B4" s="30" t="s">
        <v>153</v>
      </c>
    </row>
    <row r="5" spans="1:8" x14ac:dyDescent="0.2">
      <c r="A5" s="31" t="s">
        <v>154</v>
      </c>
      <c r="B5" s="30" t="s">
        <v>9</v>
      </c>
    </row>
    <row r="6" spans="1:8" x14ac:dyDescent="0.2">
      <c r="A6" s="31" t="s">
        <v>155</v>
      </c>
      <c r="B6" s="30" t="s">
        <v>156</v>
      </c>
    </row>
    <row r="7" spans="1:8" x14ac:dyDescent="0.2">
      <c r="A7" s="31" t="s">
        <v>1</v>
      </c>
      <c r="B7" s="30" t="s">
        <v>157</v>
      </c>
    </row>
    <row r="8" spans="1:8" x14ac:dyDescent="0.2">
      <c r="A8" s="31" t="s">
        <v>8</v>
      </c>
      <c r="B8" s="30" t="s">
        <v>158</v>
      </c>
    </row>
    <row r="9" spans="1:8" x14ac:dyDescent="0.2">
      <c r="A9" s="31" t="s">
        <v>3</v>
      </c>
      <c r="B9" s="30" t="s">
        <v>159</v>
      </c>
    </row>
    <row r="10" spans="1:8" x14ac:dyDescent="0.2">
      <c r="A10" s="31" t="s">
        <v>5</v>
      </c>
      <c r="B10" s="30" t="s">
        <v>160</v>
      </c>
    </row>
    <row r="11" spans="1:8" x14ac:dyDescent="0.2">
      <c r="A11" s="31" t="s">
        <v>161</v>
      </c>
      <c r="B11" s="30" t="s">
        <v>162</v>
      </c>
    </row>
    <row r="12" spans="1:8" x14ac:dyDescent="0.2">
      <c r="A12" s="31" t="s">
        <v>6</v>
      </c>
      <c r="B12" s="30" t="s">
        <v>163</v>
      </c>
    </row>
    <row r="13" spans="1:8" x14ac:dyDescent="0.2">
      <c r="A13" s="31" t="s">
        <v>2</v>
      </c>
      <c r="B13" s="30" t="s">
        <v>164</v>
      </c>
    </row>
    <row r="14" spans="1:8" x14ac:dyDescent="0.2">
      <c r="A14" s="31" t="s">
        <v>4</v>
      </c>
      <c r="B14" s="30" t="s">
        <v>165</v>
      </c>
    </row>
    <row r="16" spans="1:8" ht="18" x14ac:dyDescent="0.25">
      <c r="A16" s="29" t="s">
        <v>166</v>
      </c>
      <c r="B16" s="30"/>
      <c r="C16" s="30"/>
      <c r="D16" s="30"/>
      <c r="E16" s="30"/>
      <c r="F16" s="30"/>
      <c r="G16" s="30"/>
      <c r="H16" s="30"/>
    </row>
    <row r="17" spans="1:23" x14ac:dyDescent="0.2">
      <c r="A17" s="31" t="s">
        <v>167</v>
      </c>
      <c r="B17" s="30" t="s">
        <v>168</v>
      </c>
      <c r="C17" s="30"/>
      <c r="D17" s="30"/>
      <c r="E17" s="30"/>
      <c r="F17" s="30"/>
      <c r="G17" s="30"/>
      <c r="H17" s="30"/>
    </row>
    <row r="18" spans="1:23" x14ac:dyDescent="0.2">
      <c r="A18" s="32" t="s">
        <v>167</v>
      </c>
      <c r="B18" s="30" t="s">
        <v>169</v>
      </c>
      <c r="C18" s="30"/>
      <c r="D18" s="30"/>
      <c r="E18" s="30"/>
      <c r="F18" s="30"/>
      <c r="G18" s="30"/>
      <c r="H18" s="30"/>
    </row>
    <row r="19" spans="1:23" x14ac:dyDescent="0.2">
      <c r="A19" s="31" t="s">
        <v>170</v>
      </c>
      <c r="B19" s="30" t="s">
        <v>171</v>
      </c>
      <c r="C19" s="30"/>
      <c r="D19" s="30"/>
      <c r="E19" s="30"/>
      <c r="F19" s="30"/>
      <c r="G19" s="30"/>
      <c r="H19" s="30"/>
    </row>
    <row r="20" spans="1:23" x14ac:dyDescent="0.2">
      <c r="A20" s="31" t="s">
        <v>172</v>
      </c>
      <c r="B20" s="30" t="s">
        <v>173</v>
      </c>
      <c r="C20" s="30"/>
      <c r="D20" s="30"/>
      <c r="E20" s="30"/>
      <c r="F20" s="30"/>
      <c r="G20" s="30"/>
      <c r="H20" s="30"/>
    </row>
    <row r="21" spans="1:23" x14ac:dyDescent="0.2">
      <c r="A21" s="31" t="s">
        <v>174</v>
      </c>
      <c r="B21" s="30" t="s">
        <v>175</v>
      </c>
      <c r="C21" s="30"/>
      <c r="D21" s="30"/>
      <c r="E21" s="30"/>
      <c r="F21" s="30"/>
      <c r="G21" s="30"/>
      <c r="H21" s="30"/>
    </row>
    <row r="23" spans="1:23" ht="18" x14ac:dyDescent="0.25">
      <c r="A23" s="29" t="s">
        <v>18</v>
      </c>
      <c r="B23" s="30"/>
      <c r="C23" s="30"/>
      <c r="D23" s="30"/>
      <c r="E23" s="30"/>
      <c r="F23" s="30"/>
      <c r="G23" s="30"/>
      <c r="H23" s="30"/>
    </row>
    <row r="24" spans="1:23" x14ac:dyDescent="0.2">
      <c r="A24" s="31" t="s">
        <v>176</v>
      </c>
      <c r="B24" s="30"/>
      <c r="C24" s="30"/>
      <c r="D24" s="30"/>
      <c r="E24" s="30"/>
      <c r="F24" s="30"/>
      <c r="G24" s="30"/>
      <c r="H24" s="30"/>
    </row>
    <row r="25" spans="1:23" x14ac:dyDescent="0.2">
      <c r="A25" s="196" t="s">
        <v>177</v>
      </c>
      <c r="B25" s="196"/>
      <c r="C25" s="196"/>
      <c r="D25" s="196"/>
      <c r="E25" s="196"/>
      <c r="F25" s="196"/>
      <c r="G25" s="196"/>
      <c r="H25" s="196"/>
      <c r="I25" s="196"/>
      <c r="J25" s="196"/>
      <c r="K25" s="196"/>
      <c r="L25" s="196"/>
      <c r="M25" s="196"/>
      <c r="N25" s="196"/>
      <c r="O25" s="196"/>
      <c r="P25" s="196"/>
      <c r="Q25" s="196"/>
      <c r="R25" s="196"/>
      <c r="S25" s="196"/>
      <c r="T25" s="196"/>
      <c r="U25" s="196"/>
    </row>
    <row r="26" spans="1:23" x14ac:dyDescent="0.2">
      <c r="A26" s="196" t="s">
        <v>178</v>
      </c>
      <c r="B26" s="196"/>
      <c r="C26" s="196"/>
      <c r="D26" s="196"/>
      <c r="E26" s="196"/>
      <c r="F26" s="196"/>
      <c r="G26" s="196"/>
      <c r="H26" s="196"/>
      <c r="I26" s="196"/>
      <c r="J26" s="196"/>
      <c r="K26" s="196"/>
      <c r="L26" s="196"/>
      <c r="M26" s="196"/>
      <c r="N26" s="196"/>
      <c r="O26" s="196"/>
      <c r="P26" s="196"/>
      <c r="Q26" s="196"/>
      <c r="R26" s="196"/>
      <c r="S26" s="196"/>
      <c r="T26" s="196"/>
      <c r="U26" s="196"/>
      <c r="V26" s="196"/>
      <c r="W26" s="196"/>
    </row>
    <row r="27" spans="1:23" x14ac:dyDescent="0.2">
      <c r="A27" s="197" t="s">
        <v>179</v>
      </c>
      <c r="B27" s="197"/>
      <c r="C27" s="197"/>
      <c r="D27" s="197"/>
      <c r="E27" s="197"/>
      <c r="F27" s="197"/>
      <c r="G27" s="197"/>
      <c r="H27" s="197"/>
      <c r="I27" s="197"/>
      <c r="J27" s="197"/>
      <c r="K27" s="197"/>
      <c r="L27" s="197"/>
      <c r="M27" s="197"/>
      <c r="N27" s="197"/>
      <c r="O27" s="197"/>
      <c r="P27" s="197"/>
      <c r="Q27" s="197"/>
      <c r="R27" s="197"/>
      <c r="S27" s="197"/>
      <c r="T27" s="33"/>
      <c r="U27" s="33"/>
    </row>
    <row r="28" spans="1:23" x14ac:dyDescent="0.2">
      <c r="A28" s="196" t="s">
        <v>180</v>
      </c>
      <c r="B28" s="196"/>
      <c r="C28" s="196"/>
      <c r="D28" s="196"/>
      <c r="E28" s="196"/>
      <c r="F28" s="196"/>
      <c r="G28" s="196"/>
      <c r="H28" s="196"/>
      <c r="I28" s="196"/>
      <c r="J28" s="196"/>
      <c r="K28" s="196"/>
      <c r="L28" s="196"/>
      <c r="M28" s="196"/>
      <c r="N28" s="196"/>
      <c r="O28" s="196"/>
      <c r="P28" s="196"/>
      <c r="Q28" s="196"/>
      <c r="R28" s="196"/>
      <c r="S28" s="196"/>
      <c r="T28" s="196"/>
      <c r="U28" s="196"/>
    </row>
    <row r="29" spans="1:23" x14ac:dyDescent="0.2">
      <c r="A29" s="34" t="s">
        <v>181</v>
      </c>
    </row>
    <row r="30" spans="1:23" x14ac:dyDescent="0.2">
      <c r="A30" s="34" t="s">
        <v>182</v>
      </c>
    </row>
    <row r="31" spans="1:23" x14ac:dyDescent="0.2">
      <c r="A31" s="34"/>
    </row>
    <row r="32" spans="1:23" ht="18" x14ac:dyDescent="0.25">
      <c r="A32" s="35" t="s">
        <v>183</v>
      </c>
    </row>
    <row r="33" spans="1:22" s="34" customFormat="1" ht="26.25" customHeight="1" x14ac:dyDescent="0.2">
      <c r="A33" s="195" t="s">
        <v>438</v>
      </c>
      <c r="B33" s="195"/>
      <c r="C33" s="195"/>
      <c r="D33" s="195"/>
      <c r="E33" s="195"/>
      <c r="F33" s="195"/>
      <c r="G33" s="195"/>
      <c r="H33" s="195"/>
      <c r="I33" s="195"/>
      <c r="J33" s="195"/>
      <c r="K33" s="195"/>
      <c r="L33" s="195"/>
      <c r="M33" s="195"/>
      <c r="N33" s="195"/>
      <c r="O33" s="195"/>
      <c r="P33" s="195"/>
      <c r="Q33" s="195"/>
      <c r="R33" s="195"/>
      <c r="S33" s="195"/>
      <c r="T33" s="195"/>
      <c r="U33" s="195"/>
      <c r="V33" s="195"/>
    </row>
    <row r="34" spans="1:22" s="34" customFormat="1" ht="20.25" customHeight="1" x14ac:dyDescent="0.2">
      <c r="A34" s="195" t="s">
        <v>439</v>
      </c>
      <c r="B34" s="195"/>
      <c r="C34" s="195"/>
      <c r="D34" s="195"/>
      <c r="E34" s="195"/>
      <c r="F34" s="195"/>
      <c r="G34" s="195"/>
      <c r="H34" s="195"/>
      <c r="I34" s="195"/>
      <c r="J34" s="195"/>
      <c r="K34" s="195"/>
      <c r="L34" s="195"/>
      <c r="M34" s="195"/>
      <c r="N34" s="195"/>
      <c r="O34" s="195"/>
      <c r="P34" s="195"/>
      <c r="Q34" s="195"/>
      <c r="R34" s="195"/>
      <c r="S34" s="195"/>
      <c r="T34" s="195"/>
      <c r="U34" s="195"/>
      <c r="V34" s="195"/>
    </row>
    <row r="35" spans="1:22" s="34" customFormat="1" ht="23.25" customHeight="1" x14ac:dyDescent="0.2">
      <c r="A35" s="195" t="s">
        <v>440</v>
      </c>
      <c r="B35" s="195"/>
      <c r="C35" s="195"/>
      <c r="D35" s="195"/>
      <c r="E35" s="195"/>
      <c r="F35" s="195"/>
      <c r="G35" s="195"/>
      <c r="H35" s="195"/>
      <c r="I35" s="195"/>
      <c r="J35" s="195"/>
      <c r="K35" s="195"/>
      <c r="L35" s="195"/>
      <c r="M35" s="195"/>
      <c r="N35" s="195"/>
      <c r="O35" s="195"/>
      <c r="P35" s="195"/>
      <c r="Q35" s="195"/>
      <c r="R35" s="195"/>
      <c r="S35" s="195"/>
      <c r="T35" s="195"/>
      <c r="U35" s="195"/>
      <c r="V35" s="195"/>
    </row>
    <row r="36" spans="1:22" s="34" customFormat="1" ht="54.75" customHeight="1" x14ac:dyDescent="0.2">
      <c r="A36" s="195" t="s">
        <v>441</v>
      </c>
      <c r="B36" s="195"/>
      <c r="C36" s="195"/>
      <c r="D36" s="195"/>
      <c r="E36" s="195"/>
      <c r="F36" s="195"/>
      <c r="G36" s="195"/>
      <c r="H36" s="195"/>
      <c r="I36" s="195"/>
      <c r="J36" s="195"/>
      <c r="K36" s="195"/>
      <c r="L36" s="195"/>
      <c r="M36" s="195"/>
      <c r="N36" s="195"/>
      <c r="O36" s="195"/>
      <c r="P36" s="195"/>
      <c r="Q36" s="195"/>
      <c r="R36" s="195"/>
      <c r="S36" s="195"/>
      <c r="T36" s="195"/>
      <c r="U36" s="195"/>
      <c r="V36" s="195"/>
    </row>
    <row r="37" spans="1:22" s="34" customFormat="1" ht="32.25" customHeight="1" x14ac:dyDescent="0.2">
      <c r="A37" s="195" t="s">
        <v>442</v>
      </c>
      <c r="B37" s="195"/>
      <c r="C37" s="195"/>
      <c r="D37" s="195"/>
      <c r="E37" s="195"/>
      <c r="F37" s="195"/>
      <c r="G37" s="195"/>
      <c r="H37" s="195"/>
      <c r="I37" s="195"/>
      <c r="J37" s="195"/>
      <c r="K37" s="195"/>
      <c r="L37" s="195"/>
      <c r="M37" s="195"/>
      <c r="N37" s="195"/>
      <c r="O37" s="195"/>
      <c r="P37" s="195"/>
      <c r="Q37" s="195"/>
      <c r="R37" s="195"/>
      <c r="S37" s="195"/>
      <c r="T37" s="195"/>
      <c r="U37" s="195"/>
      <c r="V37" s="195"/>
    </row>
    <row r="38" spans="1:22" x14ac:dyDescent="0.2">
      <c r="A38" s="195" t="s">
        <v>443</v>
      </c>
      <c r="B38" s="195"/>
      <c r="C38" s="195"/>
      <c r="D38" s="195"/>
      <c r="E38" s="195"/>
      <c r="F38" s="195"/>
      <c r="G38" s="195"/>
      <c r="H38" s="195"/>
      <c r="I38" s="195"/>
      <c r="J38" s="195"/>
      <c r="K38" s="195"/>
      <c r="L38" s="195"/>
      <c r="M38" s="195"/>
      <c r="N38" s="195"/>
      <c r="O38" s="195"/>
      <c r="P38" s="195"/>
      <c r="Q38" s="195"/>
      <c r="R38" s="195"/>
      <c r="S38" s="195"/>
      <c r="T38" s="195"/>
      <c r="U38" s="195"/>
      <c r="V38" s="195"/>
    </row>
  </sheetData>
  <mergeCells count="11">
    <mergeCell ref="A38:V38"/>
    <mergeCell ref="A37:V37"/>
    <mergeCell ref="A36:V36"/>
    <mergeCell ref="A25:U25"/>
    <mergeCell ref="A26:U26"/>
    <mergeCell ref="V26:W26"/>
    <mergeCell ref="A27:S27"/>
    <mergeCell ref="A28:U28"/>
    <mergeCell ref="A33:V33"/>
    <mergeCell ref="A34:V34"/>
    <mergeCell ref="A35:V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9"/>
  <sheetViews>
    <sheetView tabSelected="1" zoomScale="82" zoomScaleNormal="115" workbookViewId="0"/>
  </sheetViews>
  <sheetFormatPr defaultRowHeight="14.25" x14ac:dyDescent="0.2"/>
  <cols>
    <col min="1" max="1" width="9.140625" style="15"/>
    <col min="2" max="2" width="91.140625" style="188" customWidth="1"/>
    <col min="3" max="257" width="9.140625" style="15"/>
    <col min="258" max="258" width="147.42578125" style="15" customWidth="1"/>
    <col min="259" max="513" width="9.140625" style="15"/>
    <col min="514" max="514" width="147.42578125" style="15" customWidth="1"/>
    <col min="515" max="769" width="9.140625" style="15"/>
    <col min="770" max="770" width="147.42578125" style="15" customWidth="1"/>
    <col min="771" max="1025" width="9.140625" style="15"/>
    <col min="1026" max="1026" width="147.42578125" style="15" customWidth="1"/>
    <col min="1027" max="1281" width="9.140625" style="15"/>
    <col min="1282" max="1282" width="147.42578125" style="15" customWidth="1"/>
    <col min="1283" max="1537" width="9.140625" style="15"/>
    <col min="1538" max="1538" width="147.42578125" style="15" customWidth="1"/>
    <col min="1539" max="1793" width="9.140625" style="15"/>
    <col min="1794" max="1794" width="147.42578125" style="15" customWidth="1"/>
    <col min="1795" max="2049" width="9.140625" style="15"/>
    <col min="2050" max="2050" width="147.42578125" style="15" customWidth="1"/>
    <col min="2051" max="2305" width="9.140625" style="15"/>
    <col min="2306" max="2306" width="147.42578125" style="15" customWidth="1"/>
    <col min="2307" max="2561" width="9.140625" style="15"/>
    <col min="2562" max="2562" width="147.42578125" style="15" customWidth="1"/>
    <col min="2563" max="2817" width="9.140625" style="15"/>
    <col min="2818" max="2818" width="147.42578125" style="15" customWidth="1"/>
    <col min="2819" max="3073" width="9.140625" style="15"/>
    <col min="3074" max="3074" width="147.42578125" style="15" customWidth="1"/>
    <col min="3075" max="3329" width="9.140625" style="15"/>
    <col min="3330" max="3330" width="147.42578125" style="15" customWidth="1"/>
    <col min="3331" max="3585" width="9.140625" style="15"/>
    <col min="3586" max="3586" width="147.42578125" style="15" customWidth="1"/>
    <col min="3587" max="3841" width="9.140625" style="15"/>
    <col min="3842" max="3842" width="147.42578125" style="15" customWidth="1"/>
    <col min="3843" max="4097" width="9.140625" style="15"/>
    <col min="4098" max="4098" width="147.42578125" style="15" customWidth="1"/>
    <col min="4099" max="4353" width="9.140625" style="15"/>
    <col min="4354" max="4354" width="147.42578125" style="15" customWidth="1"/>
    <col min="4355" max="4609" width="9.140625" style="15"/>
    <col min="4610" max="4610" width="147.42578125" style="15" customWidth="1"/>
    <col min="4611" max="4865" width="9.140625" style="15"/>
    <col min="4866" max="4866" width="147.42578125" style="15" customWidth="1"/>
    <col min="4867" max="5121" width="9.140625" style="15"/>
    <col min="5122" max="5122" width="147.42578125" style="15" customWidth="1"/>
    <col min="5123" max="5377" width="9.140625" style="15"/>
    <col min="5378" max="5378" width="147.42578125" style="15" customWidth="1"/>
    <col min="5379" max="5633" width="9.140625" style="15"/>
    <col min="5634" max="5634" width="147.42578125" style="15" customWidth="1"/>
    <col min="5635" max="5889" width="9.140625" style="15"/>
    <col min="5890" max="5890" width="147.42578125" style="15" customWidth="1"/>
    <col min="5891" max="6145" width="9.140625" style="15"/>
    <col min="6146" max="6146" width="147.42578125" style="15" customWidth="1"/>
    <col min="6147" max="6401" width="9.140625" style="15"/>
    <col min="6402" max="6402" width="147.42578125" style="15" customWidth="1"/>
    <col min="6403" max="6657" width="9.140625" style="15"/>
    <col min="6658" max="6658" width="147.42578125" style="15" customWidth="1"/>
    <col min="6659" max="6913" width="9.140625" style="15"/>
    <col min="6914" max="6914" width="147.42578125" style="15" customWidth="1"/>
    <col min="6915" max="7169" width="9.140625" style="15"/>
    <col min="7170" max="7170" width="147.42578125" style="15" customWidth="1"/>
    <col min="7171" max="7425" width="9.140625" style="15"/>
    <col min="7426" max="7426" width="147.42578125" style="15" customWidth="1"/>
    <col min="7427" max="7681" width="9.140625" style="15"/>
    <col min="7682" max="7682" width="147.42578125" style="15" customWidth="1"/>
    <col min="7683" max="7937" width="9.140625" style="15"/>
    <col min="7938" max="7938" width="147.42578125" style="15" customWidth="1"/>
    <col min="7939" max="8193" width="9.140625" style="15"/>
    <col min="8194" max="8194" width="147.42578125" style="15" customWidth="1"/>
    <col min="8195" max="8449" width="9.140625" style="15"/>
    <col min="8450" max="8450" width="147.42578125" style="15" customWidth="1"/>
    <col min="8451" max="8705" width="9.140625" style="15"/>
    <col min="8706" max="8706" width="147.42578125" style="15" customWidth="1"/>
    <col min="8707" max="8961" width="9.140625" style="15"/>
    <col min="8962" max="8962" width="147.42578125" style="15" customWidth="1"/>
    <col min="8963" max="9217" width="9.140625" style="15"/>
    <col min="9218" max="9218" width="147.42578125" style="15" customWidth="1"/>
    <col min="9219" max="9473" width="9.140625" style="15"/>
    <col min="9474" max="9474" width="147.42578125" style="15" customWidth="1"/>
    <col min="9475" max="9729" width="9.140625" style="15"/>
    <col min="9730" max="9730" width="147.42578125" style="15" customWidth="1"/>
    <col min="9731" max="9985" width="9.140625" style="15"/>
    <col min="9986" max="9986" width="147.42578125" style="15" customWidth="1"/>
    <col min="9987" max="10241" width="9.140625" style="15"/>
    <col min="10242" max="10242" width="147.42578125" style="15" customWidth="1"/>
    <col min="10243" max="10497" width="9.140625" style="15"/>
    <col min="10498" max="10498" width="147.42578125" style="15" customWidth="1"/>
    <col min="10499" max="10753" width="9.140625" style="15"/>
    <col min="10754" max="10754" width="147.42578125" style="15" customWidth="1"/>
    <col min="10755" max="11009" width="9.140625" style="15"/>
    <col min="11010" max="11010" width="147.42578125" style="15" customWidth="1"/>
    <col min="11011" max="11265" width="9.140625" style="15"/>
    <col min="11266" max="11266" width="147.42578125" style="15" customWidth="1"/>
    <col min="11267" max="11521" width="9.140625" style="15"/>
    <col min="11522" max="11522" width="147.42578125" style="15" customWidth="1"/>
    <col min="11523" max="11777" width="9.140625" style="15"/>
    <col min="11778" max="11778" width="147.42578125" style="15" customWidth="1"/>
    <col min="11779" max="12033" width="9.140625" style="15"/>
    <col min="12034" max="12034" width="147.42578125" style="15" customWidth="1"/>
    <col min="12035" max="12289" width="9.140625" style="15"/>
    <col min="12290" max="12290" width="147.42578125" style="15" customWidth="1"/>
    <col min="12291" max="12545" width="9.140625" style="15"/>
    <col min="12546" max="12546" width="147.42578125" style="15" customWidth="1"/>
    <col min="12547" max="12801" width="9.140625" style="15"/>
    <col min="12802" max="12802" width="147.42578125" style="15" customWidth="1"/>
    <col min="12803" max="13057" width="9.140625" style="15"/>
    <col min="13058" max="13058" width="147.42578125" style="15" customWidth="1"/>
    <col min="13059" max="13313" width="9.140625" style="15"/>
    <col min="13314" max="13314" width="147.42578125" style="15" customWidth="1"/>
    <col min="13315" max="13569" width="9.140625" style="15"/>
    <col min="13570" max="13570" width="147.42578125" style="15" customWidth="1"/>
    <col min="13571" max="13825" width="9.140625" style="15"/>
    <col min="13826" max="13826" width="147.42578125" style="15" customWidth="1"/>
    <col min="13827" max="14081" width="9.140625" style="15"/>
    <col min="14082" max="14082" width="147.42578125" style="15" customWidth="1"/>
    <col min="14083" max="14337" width="9.140625" style="15"/>
    <col min="14338" max="14338" width="147.42578125" style="15" customWidth="1"/>
    <col min="14339" max="14593" width="9.140625" style="15"/>
    <col min="14594" max="14594" width="147.42578125" style="15" customWidth="1"/>
    <col min="14595" max="14849" width="9.140625" style="15"/>
    <col min="14850" max="14850" width="147.42578125" style="15" customWidth="1"/>
    <col min="14851" max="15105" width="9.140625" style="15"/>
    <col min="15106" max="15106" width="147.42578125" style="15" customWidth="1"/>
    <col min="15107" max="15361" width="9.140625" style="15"/>
    <col min="15362" max="15362" width="147.42578125" style="15" customWidth="1"/>
    <col min="15363" max="15617" width="9.140625" style="15"/>
    <col min="15618" max="15618" width="147.42578125" style="15" customWidth="1"/>
    <col min="15619" max="15873" width="9.140625" style="15"/>
    <col min="15874" max="15874" width="147.42578125" style="15" customWidth="1"/>
    <col min="15875" max="16129" width="9.140625" style="15"/>
    <col min="16130" max="16130" width="147.42578125" style="15" customWidth="1"/>
    <col min="16131" max="16384" width="9.140625" style="15"/>
  </cols>
  <sheetData>
    <row r="1" spans="1:16" ht="18" customHeight="1" x14ac:dyDescent="0.25">
      <c r="A1" s="14" t="s">
        <v>334</v>
      </c>
      <c r="B1" s="187"/>
    </row>
    <row r="2" spans="1:16" ht="18" customHeight="1" x14ac:dyDescent="0.25">
      <c r="A2" s="89" t="s">
        <v>333</v>
      </c>
      <c r="B2" s="187"/>
    </row>
    <row r="3" spans="1:16" ht="18" customHeight="1" x14ac:dyDescent="0.25">
      <c r="A3" s="89"/>
      <c r="B3" s="187"/>
    </row>
    <row r="4" spans="1:16" ht="18" customHeight="1" x14ac:dyDescent="0.25">
      <c r="A4" s="89"/>
      <c r="B4" s="194" t="s">
        <v>457</v>
      </c>
    </row>
    <row r="5" spans="1:16" ht="18" customHeight="1" x14ac:dyDescent="0.25">
      <c r="A5" s="16"/>
      <c r="B5" s="187"/>
    </row>
    <row r="6" spans="1:16" ht="15.75" customHeight="1" x14ac:dyDescent="0.25">
      <c r="A6" s="17" t="s">
        <v>219</v>
      </c>
      <c r="B6" s="187"/>
    </row>
    <row r="7" spans="1:16" ht="12" customHeight="1" x14ac:dyDescent="0.2"/>
    <row r="8" spans="1:16" ht="15" customHeight="1" x14ac:dyDescent="0.25">
      <c r="A8" s="18"/>
      <c r="B8" s="189" t="s">
        <v>138</v>
      </c>
      <c r="C8" s="18"/>
      <c r="D8" s="18"/>
    </row>
    <row r="9" spans="1:16" ht="14.25" customHeight="1" x14ac:dyDescent="0.2">
      <c r="A9" s="18"/>
      <c r="B9" s="190" t="s">
        <v>456</v>
      </c>
      <c r="C9" s="19"/>
      <c r="D9" s="19"/>
      <c r="E9" s="20"/>
      <c r="F9" s="20"/>
      <c r="G9" s="20"/>
      <c r="H9" s="20"/>
      <c r="I9" s="20"/>
      <c r="J9" s="20"/>
      <c r="K9" s="20"/>
      <c r="L9" s="20"/>
    </row>
    <row r="10" spans="1:16" ht="14.25" customHeight="1" x14ac:dyDescent="0.2">
      <c r="A10" s="18"/>
      <c r="B10" s="190" t="s">
        <v>272</v>
      </c>
      <c r="C10" s="19"/>
      <c r="D10" s="19"/>
      <c r="E10" s="20"/>
      <c r="F10" s="20"/>
      <c r="G10" s="20"/>
      <c r="H10" s="20"/>
      <c r="I10" s="20"/>
      <c r="J10" s="20"/>
      <c r="K10" s="20"/>
    </row>
    <row r="11" spans="1:16" ht="14.25" customHeight="1" x14ac:dyDescent="0.2">
      <c r="A11" s="18"/>
      <c r="B11" s="190" t="s">
        <v>381</v>
      </c>
      <c r="C11" s="19"/>
      <c r="D11" s="19"/>
      <c r="E11" s="20"/>
      <c r="F11" s="20"/>
      <c r="G11" s="20"/>
      <c r="H11" s="20"/>
      <c r="I11" s="20"/>
      <c r="J11" s="20"/>
      <c r="K11" s="20"/>
      <c r="L11" s="20"/>
      <c r="M11" s="20"/>
      <c r="N11" s="20"/>
    </row>
    <row r="12" spans="1:16" ht="14.25" customHeight="1" x14ac:dyDescent="0.2">
      <c r="A12" s="18"/>
      <c r="B12" s="193" t="s">
        <v>274</v>
      </c>
      <c r="C12" s="19"/>
      <c r="D12" s="19"/>
      <c r="E12" s="20"/>
      <c r="F12" s="20"/>
      <c r="G12" s="20"/>
      <c r="H12" s="20"/>
      <c r="I12" s="20"/>
      <c r="J12" s="20"/>
      <c r="K12" s="20"/>
      <c r="L12" s="20"/>
      <c r="M12" s="20"/>
    </row>
    <row r="13" spans="1:16" ht="14.25" customHeight="1" x14ac:dyDescent="0.2">
      <c r="A13" s="18"/>
      <c r="B13" s="190" t="s">
        <v>382</v>
      </c>
      <c r="C13" s="19"/>
      <c r="D13" s="19"/>
      <c r="E13" s="20"/>
      <c r="F13" s="20"/>
      <c r="G13" s="20"/>
      <c r="H13" s="20"/>
      <c r="I13" s="20"/>
      <c r="J13" s="20"/>
      <c r="K13" s="20"/>
      <c r="L13" s="20"/>
      <c r="M13" s="20"/>
      <c r="N13" s="20"/>
      <c r="O13" s="20"/>
    </row>
    <row r="14" spans="1:16" ht="14.25" customHeight="1" x14ac:dyDescent="0.2">
      <c r="A14" s="18"/>
      <c r="B14" s="193" t="s">
        <v>276</v>
      </c>
      <c r="C14" s="19"/>
      <c r="D14" s="19"/>
      <c r="E14" s="20"/>
      <c r="F14" s="20"/>
      <c r="G14" s="20"/>
      <c r="H14" s="20"/>
      <c r="I14" s="20"/>
      <c r="J14" s="20"/>
      <c r="K14" s="20"/>
      <c r="L14" s="20"/>
      <c r="M14" s="20"/>
      <c r="N14" s="20"/>
      <c r="O14" s="20"/>
    </row>
    <row r="15" spans="1:16" ht="14.25" customHeight="1" x14ac:dyDescent="0.2">
      <c r="A15" s="18"/>
      <c r="B15" s="190" t="s">
        <v>383</v>
      </c>
      <c r="C15" s="19"/>
      <c r="D15" s="19"/>
      <c r="E15" s="19"/>
      <c r="F15" s="19"/>
      <c r="G15" s="19"/>
      <c r="H15" s="20"/>
      <c r="I15" s="20"/>
      <c r="J15" s="20"/>
      <c r="K15" s="20"/>
      <c r="L15" s="20"/>
      <c r="M15" s="20"/>
      <c r="N15" s="20"/>
      <c r="O15" s="20"/>
      <c r="P15" s="20"/>
    </row>
    <row r="16" spans="1:16" ht="14.25" customHeight="1" x14ac:dyDescent="0.2">
      <c r="A16" s="18"/>
      <c r="B16" s="190" t="s">
        <v>278</v>
      </c>
      <c r="C16" s="19"/>
      <c r="D16" s="19"/>
      <c r="E16" s="20"/>
      <c r="F16" s="20"/>
      <c r="G16" s="20"/>
      <c r="H16" s="20"/>
      <c r="I16" s="20"/>
      <c r="J16" s="20"/>
      <c r="K16" s="20"/>
      <c r="L16" s="20"/>
      <c r="M16" s="20"/>
      <c r="N16" s="20"/>
      <c r="O16" s="20"/>
    </row>
    <row r="17" spans="1:17" ht="14.25" customHeight="1" x14ac:dyDescent="0.2">
      <c r="A17" s="18"/>
      <c r="B17" s="190" t="s">
        <v>384</v>
      </c>
      <c r="C17" s="19"/>
      <c r="D17" s="19"/>
      <c r="E17" s="20"/>
      <c r="F17" s="20"/>
      <c r="G17" s="20"/>
      <c r="H17" s="20"/>
      <c r="I17" s="20"/>
      <c r="J17" s="20"/>
      <c r="K17" s="20"/>
      <c r="L17" s="20"/>
      <c r="M17" s="20"/>
    </row>
    <row r="18" spans="1:17" ht="14.25" customHeight="1" x14ac:dyDescent="0.2">
      <c r="A18" s="18"/>
      <c r="B18" s="190" t="s">
        <v>385</v>
      </c>
      <c r="C18" s="19"/>
      <c r="D18" s="19"/>
      <c r="E18" s="20"/>
      <c r="F18" s="20"/>
      <c r="G18" s="20"/>
      <c r="H18" s="20"/>
      <c r="I18" s="20"/>
      <c r="J18" s="20"/>
      <c r="K18" s="20"/>
      <c r="L18" s="20"/>
      <c r="M18" s="20"/>
    </row>
    <row r="19" spans="1:17" ht="14.25" customHeight="1" x14ac:dyDescent="0.2">
      <c r="A19" s="18"/>
      <c r="B19" s="190" t="s">
        <v>386</v>
      </c>
      <c r="C19" s="19"/>
      <c r="D19" s="19"/>
      <c r="E19" s="20"/>
      <c r="F19" s="20"/>
      <c r="G19" s="20"/>
      <c r="H19" s="20"/>
      <c r="I19" s="20"/>
      <c r="J19" s="20"/>
      <c r="K19" s="20"/>
      <c r="L19" s="20"/>
      <c r="M19" s="20"/>
      <c r="N19" s="20"/>
      <c r="O19" s="20"/>
    </row>
    <row r="20" spans="1:17" ht="14.25" customHeight="1" x14ac:dyDescent="0.2">
      <c r="A20" s="18"/>
      <c r="B20" s="190" t="s">
        <v>387</v>
      </c>
      <c r="C20" s="19"/>
      <c r="D20" s="19"/>
      <c r="E20" s="20"/>
      <c r="F20" s="20"/>
      <c r="G20" s="20"/>
      <c r="H20" s="20"/>
      <c r="I20" s="20"/>
      <c r="J20" s="20"/>
      <c r="K20" s="20"/>
      <c r="L20" s="20"/>
      <c r="M20" s="20"/>
      <c r="N20" s="20"/>
      <c r="O20" s="20"/>
    </row>
    <row r="21" spans="1:17" ht="14.25" customHeight="1" x14ac:dyDescent="0.2">
      <c r="A21" s="18"/>
      <c r="B21" s="190" t="s">
        <v>388</v>
      </c>
      <c r="C21" s="19"/>
      <c r="D21" s="19"/>
      <c r="E21" s="20"/>
      <c r="F21" s="20"/>
      <c r="G21" s="20"/>
      <c r="H21" s="20"/>
      <c r="I21" s="20"/>
      <c r="J21" s="20"/>
      <c r="K21" s="20"/>
      <c r="L21" s="20"/>
      <c r="M21" s="20"/>
      <c r="N21" s="20"/>
    </row>
    <row r="22" spans="1:17" ht="14.25" customHeight="1" x14ac:dyDescent="0.2">
      <c r="A22" s="18"/>
      <c r="B22" s="190" t="s">
        <v>286</v>
      </c>
      <c r="C22" s="19"/>
      <c r="D22" s="19"/>
      <c r="E22" s="20"/>
      <c r="F22" s="20"/>
      <c r="G22" s="20"/>
      <c r="H22" s="20"/>
      <c r="I22" s="20"/>
      <c r="J22" s="20"/>
      <c r="K22" s="20"/>
      <c r="L22" s="20"/>
      <c r="M22" s="20"/>
    </row>
    <row r="23" spans="1:17" ht="14.25" customHeight="1" x14ac:dyDescent="0.2">
      <c r="A23" s="18"/>
      <c r="B23" s="190" t="s">
        <v>389</v>
      </c>
      <c r="C23" s="19"/>
      <c r="D23" s="19"/>
      <c r="E23" s="20"/>
      <c r="F23" s="20"/>
      <c r="G23" s="20"/>
      <c r="H23" s="20"/>
      <c r="I23" s="20"/>
      <c r="J23" s="20"/>
      <c r="K23" s="20"/>
      <c r="L23" s="20"/>
      <c r="M23" s="20"/>
    </row>
    <row r="24" spans="1:17" ht="14.25" customHeight="1" x14ac:dyDescent="0.2">
      <c r="A24" s="18"/>
      <c r="B24" s="190" t="s">
        <v>288</v>
      </c>
      <c r="C24" s="19"/>
      <c r="D24" s="19"/>
      <c r="E24" s="20"/>
      <c r="F24" s="20"/>
      <c r="G24" s="20"/>
      <c r="H24" s="20"/>
      <c r="I24" s="20"/>
      <c r="J24" s="20"/>
      <c r="K24" s="20"/>
      <c r="L24" s="20"/>
      <c r="M24" s="20"/>
    </row>
    <row r="25" spans="1:17" ht="14.25" customHeight="1" x14ac:dyDescent="0.2">
      <c r="A25" s="18"/>
      <c r="B25" s="191"/>
      <c r="C25" s="21"/>
      <c r="D25" s="21"/>
    </row>
    <row r="26" spans="1:17" ht="15" customHeight="1" x14ac:dyDescent="0.25">
      <c r="A26" s="177"/>
      <c r="B26" s="189" t="s">
        <v>139</v>
      </c>
      <c r="C26" s="21"/>
      <c r="D26" s="21"/>
    </row>
    <row r="27" spans="1:17" ht="14.25" customHeight="1" x14ac:dyDescent="0.2">
      <c r="A27" s="177"/>
      <c r="B27" s="190" t="s">
        <v>419</v>
      </c>
      <c r="C27" s="19"/>
      <c r="D27" s="19"/>
      <c r="E27" s="20"/>
      <c r="F27" s="20"/>
      <c r="G27" s="20"/>
      <c r="H27" s="20"/>
      <c r="I27" s="20"/>
      <c r="J27" s="20"/>
      <c r="K27" s="20"/>
      <c r="L27" s="20"/>
      <c r="M27" s="20"/>
      <c r="N27" s="20"/>
      <c r="O27" s="20"/>
      <c r="P27" s="20"/>
    </row>
    <row r="28" spans="1:17" ht="14.25" customHeight="1" x14ac:dyDescent="0.2">
      <c r="A28" s="177"/>
      <c r="B28" s="190" t="s">
        <v>292</v>
      </c>
      <c r="C28" s="19"/>
      <c r="D28" s="19"/>
      <c r="E28" s="20"/>
      <c r="F28" s="20"/>
      <c r="G28" s="20"/>
      <c r="H28" s="20"/>
      <c r="I28" s="20"/>
      <c r="J28" s="20"/>
      <c r="K28" s="20"/>
      <c r="L28" s="20"/>
      <c r="M28" s="20"/>
      <c r="N28" s="20"/>
      <c r="O28" s="20"/>
      <c r="P28" s="20"/>
    </row>
    <row r="29" spans="1:17" ht="14.25" customHeight="1" x14ac:dyDescent="0.2">
      <c r="A29" s="177"/>
      <c r="B29" s="190" t="s">
        <v>294</v>
      </c>
      <c r="C29" s="19"/>
      <c r="D29" s="19"/>
      <c r="E29" s="20"/>
      <c r="F29" s="20"/>
      <c r="G29" s="20"/>
      <c r="H29" s="20"/>
      <c r="I29" s="20"/>
      <c r="J29" s="20"/>
      <c r="K29" s="20"/>
      <c r="L29" s="20"/>
      <c r="M29" s="20"/>
      <c r="N29" s="20"/>
      <c r="O29" s="20"/>
      <c r="P29" s="20"/>
      <c r="Q29" s="20"/>
    </row>
    <row r="30" spans="1:17" ht="14.25" customHeight="1" x14ac:dyDescent="0.2">
      <c r="A30" s="177"/>
      <c r="B30" s="190" t="s">
        <v>293</v>
      </c>
      <c r="C30" s="19"/>
      <c r="D30" s="19"/>
      <c r="E30" s="20"/>
      <c r="F30" s="20"/>
      <c r="G30" s="20"/>
      <c r="H30" s="20"/>
      <c r="I30" s="20"/>
      <c r="J30" s="20"/>
      <c r="K30" s="20"/>
      <c r="L30" s="20"/>
      <c r="M30" s="20"/>
      <c r="N30" s="20"/>
      <c r="O30" s="20"/>
      <c r="P30" s="20"/>
    </row>
    <row r="31" spans="1:17" ht="14.25" customHeight="1" x14ac:dyDescent="0.2">
      <c r="A31" s="177"/>
      <c r="B31" s="190" t="s">
        <v>426</v>
      </c>
      <c r="C31" s="19"/>
      <c r="D31" s="19"/>
      <c r="E31" s="20"/>
      <c r="F31" s="20"/>
      <c r="G31" s="20"/>
      <c r="H31" s="20"/>
      <c r="I31" s="20"/>
      <c r="J31" s="20"/>
      <c r="K31" s="20"/>
      <c r="L31" s="20"/>
      <c r="M31" s="20"/>
      <c r="N31" s="20"/>
      <c r="O31" s="20"/>
      <c r="P31" s="20"/>
    </row>
    <row r="32" spans="1:17" ht="14.25" customHeight="1" x14ac:dyDescent="0.2">
      <c r="A32" s="177"/>
      <c r="B32" s="190" t="s">
        <v>427</v>
      </c>
      <c r="C32" s="19"/>
      <c r="D32" s="19"/>
      <c r="E32" s="20"/>
      <c r="F32" s="20"/>
      <c r="G32" s="20"/>
      <c r="H32" s="20"/>
      <c r="I32" s="20"/>
      <c r="J32" s="20"/>
      <c r="K32" s="20"/>
      <c r="L32" s="20"/>
      <c r="M32" s="20"/>
      <c r="N32" s="20"/>
      <c r="O32" s="20"/>
    </row>
    <row r="33" spans="1:16" ht="14.25" customHeight="1" x14ac:dyDescent="0.2">
      <c r="A33" s="18"/>
      <c r="B33" s="190" t="s">
        <v>428</v>
      </c>
      <c r="C33" s="19"/>
      <c r="D33" s="19"/>
      <c r="E33" s="20"/>
      <c r="F33" s="20"/>
      <c r="G33" s="20"/>
      <c r="H33" s="20"/>
      <c r="I33" s="20"/>
      <c r="J33" s="20"/>
    </row>
    <row r="34" spans="1:16" ht="14.25" customHeight="1" x14ac:dyDescent="0.2">
      <c r="A34" s="18"/>
      <c r="B34" s="190" t="s">
        <v>429</v>
      </c>
      <c r="C34" s="19"/>
      <c r="D34" s="19"/>
      <c r="E34" s="20"/>
      <c r="F34" s="20"/>
      <c r="G34" s="20"/>
      <c r="H34" s="20"/>
      <c r="I34" s="20"/>
      <c r="J34" s="20"/>
    </row>
    <row r="35" spans="1:16" ht="14.25" customHeight="1" x14ac:dyDescent="0.2">
      <c r="A35" s="18"/>
      <c r="B35" s="190" t="s">
        <v>430</v>
      </c>
      <c r="C35" s="19"/>
      <c r="D35" s="19"/>
      <c r="E35" s="20"/>
      <c r="F35" s="20"/>
      <c r="G35" s="20"/>
      <c r="H35" s="20"/>
      <c r="I35" s="20"/>
    </row>
    <row r="36" spans="1:16" ht="14.25" customHeight="1" x14ac:dyDescent="0.2">
      <c r="A36" s="18"/>
      <c r="B36" s="190" t="s">
        <v>431</v>
      </c>
      <c r="C36" s="19"/>
      <c r="D36" s="19"/>
      <c r="E36" s="20"/>
      <c r="F36" s="20"/>
      <c r="G36" s="20"/>
    </row>
    <row r="37" spans="1:16" ht="14.25" customHeight="1" x14ac:dyDescent="0.2">
      <c r="A37" s="18"/>
      <c r="B37" s="190" t="s">
        <v>432</v>
      </c>
      <c r="C37" s="19"/>
      <c r="D37" s="19"/>
      <c r="E37" s="20"/>
      <c r="F37" s="20"/>
      <c r="G37" s="20"/>
      <c r="H37" s="20"/>
    </row>
    <row r="38" spans="1:16" ht="14.25" customHeight="1" x14ac:dyDescent="0.2">
      <c r="A38" s="177"/>
      <c r="B38" s="190" t="s">
        <v>437</v>
      </c>
      <c r="C38" s="19"/>
      <c r="D38" s="19"/>
      <c r="E38" s="20"/>
      <c r="F38" s="20"/>
      <c r="G38" s="20"/>
      <c r="H38" s="20"/>
    </row>
    <row r="39" spans="1:16" ht="14.25" customHeight="1" x14ac:dyDescent="0.2">
      <c r="A39" s="177"/>
      <c r="B39" s="190" t="s">
        <v>433</v>
      </c>
      <c r="C39" s="19"/>
      <c r="D39" s="19"/>
      <c r="E39" s="20"/>
      <c r="F39" s="20"/>
      <c r="G39" s="20"/>
      <c r="H39" s="20"/>
    </row>
    <row r="40" spans="1:16" ht="14.25" customHeight="1" x14ac:dyDescent="0.2">
      <c r="A40" s="177"/>
      <c r="B40" s="190" t="s">
        <v>434</v>
      </c>
      <c r="C40" s="19"/>
      <c r="D40" s="19"/>
      <c r="E40" s="20"/>
      <c r="F40" s="20"/>
      <c r="G40" s="20"/>
    </row>
    <row r="41" spans="1:16" ht="14.25" customHeight="1" x14ac:dyDescent="0.2">
      <c r="A41" s="177"/>
      <c r="B41" s="190" t="s">
        <v>435</v>
      </c>
      <c r="C41" s="19"/>
      <c r="D41" s="19"/>
      <c r="E41" s="20"/>
      <c r="F41" s="20"/>
      <c r="G41" s="20"/>
      <c r="H41" s="20"/>
      <c r="I41" s="20"/>
    </row>
    <row r="42" spans="1:16" ht="14.25" customHeight="1" x14ac:dyDescent="0.2">
      <c r="A42" s="177"/>
      <c r="B42" s="190" t="s">
        <v>436</v>
      </c>
      <c r="C42" s="19"/>
      <c r="D42" s="19"/>
      <c r="E42" s="20"/>
      <c r="F42" s="20"/>
      <c r="G42" s="20"/>
      <c r="H42" s="20"/>
    </row>
    <row r="43" spans="1:16" ht="14.25" customHeight="1" x14ac:dyDescent="0.2">
      <c r="A43" s="177"/>
      <c r="B43" s="190" t="s">
        <v>420</v>
      </c>
      <c r="C43" s="19"/>
      <c r="D43" s="19"/>
      <c r="E43" s="19"/>
      <c r="F43" s="19"/>
      <c r="G43" s="19"/>
      <c r="H43" s="22"/>
      <c r="I43" s="22"/>
      <c r="J43" s="22"/>
      <c r="K43" s="22"/>
      <c r="L43" s="22"/>
      <c r="M43" s="22"/>
      <c r="N43" s="23"/>
    </row>
    <row r="44" spans="1:16" ht="14.25" customHeight="1" x14ac:dyDescent="0.2">
      <c r="A44" s="177"/>
      <c r="B44" s="190" t="s">
        <v>421</v>
      </c>
      <c r="C44" s="19"/>
      <c r="D44" s="19"/>
      <c r="E44" s="19"/>
      <c r="F44" s="19"/>
      <c r="G44" s="19"/>
      <c r="H44" s="19"/>
      <c r="I44" s="22"/>
      <c r="J44" s="22"/>
      <c r="K44" s="22"/>
      <c r="L44" s="22"/>
      <c r="M44" s="22"/>
      <c r="N44" s="23"/>
    </row>
    <row r="45" spans="1:16" ht="14.25" customHeight="1" x14ac:dyDescent="0.2">
      <c r="A45" s="177"/>
      <c r="B45" s="190" t="s">
        <v>317</v>
      </c>
      <c r="C45" s="19"/>
      <c r="D45" s="19"/>
      <c r="E45" s="19"/>
      <c r="F45" s="19"/>
      <c r="G45" s="19"/>
      <c r="H45" s="19"/>
      <c r="I45" s="22"/>
      <c r="J45" s="22"/>
      <c r="K45" s="22"/>
      <c r="L45" s="22"/>
      <c r="M45" s="22"/>
      <c r="N45" s="23"/>
    </row>
    <row r="46" spans="1:16" ht="14.25" customHeight="1" x14ac:dyDescent="0.2">
      <c r="A46" s="177"/>
      <c r="B46" s="190" t="s">
        <v>319</v>
      </c>
      <c r="C46" s="19"/>
      <c r="D46" s="19"/>
      <c r="E46" s="19"/>
      <c r="F46" s="19"/>
      <c r="G46" s="19"/>
      <c r="H46" s="22"/>
      <c r="I46" s="22"/>
      <c r="J46" s="178"/>
      <c r="K46" s="178"/>
      <c r="L46" s="178"/>
      <c r="M46" s="178"/>
      <c r="N46" s="179"/>
      <c r="O46" s="180"/>
      <c r="P46" s="180"/>
    </row>
    <row r="47" spans="1:16" ht="14.25" customHeight="1" x14ac:dyDescent="0.2">
      <c r="A47" s="177"/>
      <c r="B47" s="190" t="s">
        <v>337</v>
      </c>
      <c r="C47" s="19"/>
      <c r="D47" s="19"/>
      <c r="E47" s="19"/>
      <c r="F47" s="19"/>
      <c r="G47" s="19"/>
      <c r="H47" s="22"/>
      <c r="I47" s="22"/>
      <c r="J47" s="178"/>
      <c r="K47" s="178"/>
      <c r="L47" s="178"/>
      <c r="M47" s="178"/>
      <c r="N47" s="179"/>
      <c r="O47" s="180"/>
      <c r="P47" s="180"/>
    </row>
    <row r="48" spans="1:16" ht="14.25" customHeight="1" x14ac:dyDescent="0.2">
      <c r="A48" s="177"/>
      <c r="B48" s="191"/>
      <c r="C48" s="24"/>
      <c r="D48" s="19"/>
      <c r="E48" s="19"/>
      <c r="F48" s="24"/>
      <c r="G48" s="19"/>
      <c r="H48" s="22"/>
      <c r="I48" s="22"/>
      <c r="J48" s="178"/>
      <c r="K48" s="178"/>
      <c r="L48" s="178"/>
      <c r="M48" s="178"/>
      <c r="N48" s="179"/>
      <c r="O48" s="180"/>
      <c r="P48" s="180"/>
    </row>
    <row r="49" spans="1:17" ht="14.25" customHeight="1" x14ac:dyDescent="0.25">
      <c r="A49" s="177"/>
      <c r="B49" s="189" t="s">
        <v>140</v>
      </c>
      <c r="C49" s="19"/>
      <c r="D49" s="19"/>
      <c r="E49" s="20"/>
      <c r="F49" s="20"/>
      <c r="G49" s="20"/>
      <c r="J49" s="180"/>
      <c r="K49" s="180"/>
      <c r="L49" s="180"/>
      <c r="M49" s="180"/>
      <c r="N49" s="180"/>
      <c r="O49" s="180"/>
      <c r="P49" s="180"/>
    </row>
    <row r="50" spans="1:17" ht="14.25" customHeight="1" x14ac:dyDescent="0.2">
      <c r="A50" s="177"/>
      <c r="B50" s="190" t="s">
        <v>320</v>
      </c>
      <c r="C50" s="19"/>
      <c r="D50" s="19"/>
      <c r="E50" s="20"/>
      <c r="F50" s="20"/>
      <c r="G50" s="20"/>
      <c r="J50" s="180"/>
      <c r="K50" s="180"/>
      <c r="L50" s="180"/>
      <c r="M50" s="180"/>
      <c r="N50" s="180"/>
      <c r="O50" s="180"/>
      <c r="P50" s="180"/>
    </row>
    <row r="51" spans="1:17" ht="14.25" customHeight="1" x14ac:dyDescent="0.2">
      <c r="A51" s="177"/>
      <c r="B51" s="190" t="s">
        <v>321</v>
      </c>
      <c r="C51" s="25"/>
      <c r="D51" s="26"/>
      <c r="J51" s="180"/>
      <c r="K51" s="180"/>
      <c r="L51" s="180"/>
      <c r="M51" s="180"/>
      <c r="N51" s="180"/>
      <c r="O51" s="180"/>
      <c r="P51" s="180"/>
    </row>
    <row r="52" spans="1:17" ht="15" customHeight="1" x14ac:dyDescent="0.2">
      <c r="A52" s="177"/>
      <c r="B52" s="190" t="s">
        <v>322</v>
      </c>
      <c r="C52" s="25"/>
      <c r="D52" s="25"/>
      <c r="J52" s="180"/>
      <c r="K52" s="180"/>
      <c r="L52" s="180"/>
      <c r="M52" s="180"/>
      <c r="N52" s="180"/>
      <c r="O52" s="180"/>
      <c r="P52" s="180"/>
    </row>
    <row r="53" spans="1:17" ht="14.25" customHeight="1" x14ac:dyDescent="0.2">
      <c r="A53" s="177"/>
      <c r="B53" s="190" t="s">
        <v>323</v>
      </c>
      <c r="C53" s="19"/>
      <c r="D53" s="19"/>
      <c r="E53" s="20"/>
      <c r="F53" s="20"/>
      <c r="J53" s="180"/>
      <c r="K53" s="180"/>
      <c r="L53" s="180"/>
      <c r="M53" s="180"/>
      <c r="N53" s="180"/>
      <c r="O53" s="180"/>
      <c r="P53" s="180"/>
    </row>
    <row r="54" spans="1:17" ht="14.25" customHeight="1" x14ac:dyDescent="0.2">
      <c r="A54" s="18"/>
      <c r="B54" s="191"/>
      <c r="C54" s="19"/>
      <c r="D54" s="19"/>
      <c r="E54" s="20"/>
      <c r="F54" s="20"/>
      <c r="G54" s="20"/>
      <c r="H54" s="20"/>
      <c r="J54" s="180"/>
      <c r="K54" s="180"/>
      <c r="L54" s="180"/>
      <c r="M54" s="180"/>
      <c r="N54" s="180"/>
      <c r="O54" s="180"/>
      <c r="P54" s="180"/>
    </row>
    <row r="55" spans="1:17" ht="14.25" customHeight="1" x14ac:dyDescent="0.25">
      <c r="A55" s="18"/>
      <c r="B55" s="189" t="s">
        <v>141</v>
      </c>
      <c r="C55" s="19"/>
      <c r="D55" s="19"/>
      <c r="E55" s="20"/>
      <c r="F55" s="20"/>
      <c r="G55" s="20"/>
      <c r="J55" s="180"/>
      <c r="K55" s="180"/>
      <c r="L55" s="180"/>
      <c r="M55" s="180"/>
      <c r="N55" s="180"/>
      <c r="O55" s="180"/>
      <c r="P55" s="180"/>
    </row>
    <row r="56" spans="1:17" ht="14.25" customHeight="1" x14ac:dyDescent="0.2">
      <c r="A56" s="18"/>
      <c r="B56" s="190" t="s">
        <v>390</v>
      </c>
      <c r="C56" s="19"/>
      <c r="D56" s="19"/>
      <c r="E56" s="20"/>
      <c r="F56" s="20"/>
      <c r="G56" s="20"/>
      <c r="J56" s="180"/>
      <c r="K56" s="180"/>
      <c r="L56" s="180"/>
      <c r="M56" s="180"/>
      <c r="N56" s="180"/>
      <c r="O56" s="180"/>
      <c r="P56" s="180"/>
      <c r="Q56" s="180"/>
    </row>
    <row r="57" spans="1:17" ht="14.25" customHeight="1" x14ac:dyDescent="0.2">
      <c r="A57" s="177"/>
      <c r="B57" s="190" t="s">
        <v>391</v>
      </c>
      <c r="C57" s="21"/>
      <c r="D57" s="27"/>
      <c r="J57" s="180"/>
      <c r="K57" s="180"/>
      <c r="L57" s="180"/>
      <c r="M57" s="180"/>
      <c r="N57" s="180"/>
      <c r="O57" s="180"/>
      <c r="P57" s="180"/>
      <c r="Q57" s="180"/>
    </row>
    <row r="58" spans="1:17" ht="15" customHeight="1" x14ac:dyDescent="0.2">
      <c r="A58" s="177"/>
      <c r="B58" s="190" t="s">
        <v>392</v>
      </c>
      <c r="C58" s="21"/>
      <c r="D58" s="21"/>
      <c r="J58" s="180"/>
      <c r="K58" s="180"/>
      <c r="L58" s="180"/>
      <c r="M58" s="180"/>
      <c r="N58" s="180"/>
      <c r="O58" s="180"/>
      <c r="P58" s="180"/>
      <c r="Q58" s="180"/>
    </row>
    <row r="59" spans="1:17" ht="14.25" customHeight="1" x14ac:dyDescent="0.2">
      <c r="A59" s="177"/>
      <c r="B59" s="190" t="s">
        <v>393</v>
      </c>
      <c r="C59" s="19"/>
      <c r="D59" s="19"/>
      <c r="E59" s="20"/>
      <c r="F59" s="20"/>
      <c r="G59" s="20"/>
      <c r="H59" s="20"/>
      <c r="J59" s="180"/>
      <c r="K59" s="180"/>
      <c r="L59" s="180"/>
      <c r="M59" s="180"/>
      <c r="N59" s="180"/>
      <c r="O59" s="180"/>
      <c r="P59" s="180"/>
      <c r="Q59" s="180"/>
    </row>
    <row r="60" spans="1:17" ht="14.25" customHeight="1" x14ac:dyDescent="0.2">
      <c r="A60" s="177"/>
      <c r="B60" s="190" t="s">
        <v>394</v>
      </c>
      <c r="C60" s="19"/>
      <c r="D60" s="19"/>
      <c r="E60" s="20"/>
      <c r="F60" s="20"/>
      <c r="G60" s="20"/>
      <c r="H60" s="20"/>
      <c r="J60" s="180"/>
      <c r="K60" s="180"/>
      <c r="L60" s="180"/>
      <c r="M60" s="180"/>
      <c r="N60" s="180"/>
      <c r="O60" s="180"/>
      <c r="P60" s="180"/>
      <c r="Q60" s="180"/>
    </row>
    <row r="61" spans="1:17" ht="14.25" customHeight="1" x14ac:dyDescent="0.2">
      <c r="A61" s="177"/>
      <c r="B61" s="190" t="s">
        <v>395</v>
      </c>
      <c r="C61" s="19"/>
      <c r="D61" s="19"/>
      <c r="E61" s="20"/>
      <c r="F61" s="20"/>
      <c r="G61" s="20"/>
      <c r="H61" s="20"/>
      <c r="I61" s="20"/>
      <c r="J61" s="180"/>
      <c r="K61" s="180"/>
      <c r="L61" s="180"/>
      <c r="M61" s="180"/>
      <c r="N61" s="180"/>
      <c r="O61" s="180"/>
      <c r="P61" s="180"/>
      <c r="Q61" s="180"/>
    </row>
    <row r="62" spans="1:17" ht="14.25" customHeight="1" x14ac:dyDescent="0.2">
      <c r="A62" s="18"/>
      <c r="B62" s="191"/>
      <c r="C62" s="19"/>
      <c r="D62" s="19"/>
      <c r="E62" s="20"/>
      <c r="F62" s="20"/>
      <c r="G62" s="20"/>
      <c r="H62" s="20"/>
      <c r="J62" s="180"/>
      <c r="K62" s="180"/>
      <c r="L62" s="180"/>
      <c r="M62" s="180"/>
      <c r="N62" s="180"/>
      <c r="O62" s="180"/>
      <c r="P62" s="180"/>
      <c r="Q62" s="180"/>
    </row>
    <row r="63" spans="1:17" ht="14.25" customHeight="1" x14ac:dyDescent="0.25">
      <c r="A63" s="18"/>
      <c r="B63" s="189" t="s">
        <v>142</v>
      </c>
      <c r="C63" s="19"/>
      <c r="D63" s="19"/>
      <c r="E63" s="20"/>
      <c r="F63" s="20"/>
      <c r="G63" s="20"/>
      <c r="H63" s="20"/>
      <c r="M63" s="180"/>
      <c r="N63" s="180"/>
      <c r="O63" s="180"/>
      <c r="P63" s="180"/>
      <c r="Q63" s="180"/>
    </row>
    <row r="64" spans="1:17" ht="14.25" customHeight="1" x14ac:dyDescent="0.2">
      <c r="A64" s="18"/>
      <c r="B64" s="190" t="s">
        <v>396</v>
      </c>
      <c r="C64" s="19"/>
      <c r="D64" s="19"/>
      <c r="E64" s="20"/>
      <c r="F64" s="20"/>
      <c r="G64" s="20"/>
      <c r="H64" s="20"/>
      <c r="M64" s="180"/>
      <c r="N64" s="180"/>
      <c r="O64" s="180"/>
      <c r="P64" s="180"/>
      <c r="Q64" s="180"/>
    </row>
    <row r="65" spans="1:17" ht="14.25" customHeight="1" x14ac:dyDescent="0.2">
      <c r="A65" s="177"/>
      <c r="B65" s="190" t="s">
        <v>397</v>
      </c>
      <c r="C65" s="21"/>
      <c r="D65" s="27"/>
      <c r="M65" s="180"/>
      <c r="N65" s="180"/>
      <c r="O65" s="180"/>
      <c r="P65" s="180"/>
      <c r="Q65" s="180"/>
    </row>
    <row r="66" spans="1:17" ht="15" customHeight="1" x14ac:dyDescent="0.2">
      <c r="A66" s="18"/>
      <c r="B66" s="190" t="s">
        <v>398</v>
      </c>
      <c r="C66" s="21"/>
      <c r="D66" s="21"/>
      <c r="M66" s="180"/>
      <c r="N66" s="180"/>
      <c r="O66" s="180"/>
      <c r="P66" s="180"/>
      <c r="Q66" s="180"/>
    </row>
    <row r="67" spans="1:17" ht="14.25" customHeight="1" x14ac:dyDescent="0.2">
      <c r="A67" s="177"/>
      <c r="B67" s="190" t="s">
        <v>399</v>
      </c>
      <c r="C67" s="19"/>
      <c r="D67" s="19"/>
      <c r="E67" s="20"/>
      <c r="F67" s="20"/>
      <c r="G67" s="20"/>
      <c r="H67" s="20"/>
      <c r="M67" s="180"/>
      <c r="N67" s="180"/>
      <c r="O67" s="180"/>
      <c r="P67" s="180"/>
      <c r="Q67" s="180"/>
    </row>
    <row r="68" spans="1:17" ht="14.25" customHeight="1" x14ac:dyDescent="0.2">
      <c r="A68" s="18"/>
      <c r="B68" s="190" t="s">
        <v>400</v>
      </c>
      <c r="C68" s="19"/>
      <c r="D68" s="19"/>
      <c r="E68" s="20"/>
      <c r="F68" s="20"/>
      <c r="G68" s="20"/>
      <c r="H68" s="20"/>
    </row>
    <row r="69" spans="1:17" ht="16.5" customHeight="1" x14ac:dyDescent="0.2">
      <c r="A69" s="177"/>
      <c r="B69" s="190" t="s">
        <v>401</v>
      </c>
      <c r="C69" s="19"/>
      <c r="D69" s="19"/>
      <c r="E69" s="20"/>
      <c r="F69" s="20"/>
      <c r="G69" s="20"/>
      <c r="H69" s="20"/>
    </row>
    <row r="70" spans="1:17" ht="16.5" customHeight="1" x14ac:dyDescent="0.2">
      <c r="A70" s="177"/>
      <c r="B70" s="191"/>
      <c r="C70" s="19"/>
      <c r="D70" s="19"/>
      <c r="E70" s="20"/>
      <c r="F70" s="20"/>
      <c r="G70" s="20"/>
      <c r="H70" s="20"/>
    </row>
    <row r="71" spans="1:17" ht="16.5" customHeight="1" x14ac:dyDescent="0.25">
      <c r="A71" s="177"/>
      <c r="B71" s="189" t="s">
        <v>143</v>
      </c>
      <c r="C71" s="19"/>
      <c r="D71" s="19"/>
      <c r="E71" s="20"/>
      <c r="F71" s="20"/>
      <c r="G71" s="20"/>
      <c r="H71" s="20"/>
    </row>
    <row r="72" spans="1:17" ht="16.5" customHeight="1" x14ac:dyDescent="0.2">
      <c r="A72" s="177"/>
      <c r="B72" s="190" t="s">
        <v>343</v>
      </c>
      <c r="C72" s="19"/>
      <c r="D72" s="19"/>
      <c r="E72" s="20"/>
      <c r="F72" s="20"/>
      <c r="G72" s="20"/>
      <c r="H72" s="20"/>
    </row>
    <row r="73" spans="1:17" ht="14.25" customHeight="1" x14ac:dyDescent="0.2">
      <c r="A73" s="177"/>
      <c r="B73" s="190" t="s">
        <v>345</v>
      </c>
      <c r="C73" s="25"/>
      <c r="D73" s="26"/>
      <c r="L73" s="180"/>
    </row>
    <row r="74" spans="1:17" ht="15" customHeight="1" x14ac:dyDescent="0.2">
      <c r="A74" s="177"/>
      <c r="B74" s="190" t="s">
        <v>346</v>
      </c>
      <c r="C74" s="25"/>
      <c r="D74" s="25"/>
    </row>
    <row r="75" spans="1:17" ht="14.25" customHeight="1" x14ac:dyDescent="0.2">
      <c r="A75" s="177"/>
      <c r="B75" s="191"/>
      <c r="C75" s="19"/>
      <c r="D75" s="19"/>
      <c r="E75" s="20"/>
      <c r="F75" s="20"/>
      <c r="G75" s="20"/>
      <c r="H75" s="20"/>
    </row>
    <row r="76" spans="1:17" ht="14.25" customHeight="1" x14ac:dyDescent="0.25">
      <c r="A76" s="177"/>
      <c r="B76" s="189" t="s">
        <v>144</v>
      </c>
      <c r="C76" s="19"/>
      <c r="D76" s="19"/>
      <c r="E76" s="20"/>
      <c r="F76" s="20"/>
      <c r="G76" s="20"/>
      <c r="H76" s="20"/>
    </row>
    <row r="77" spans="1:17" ht="14.25" customHeight="1" x14ac:dyDescent="0.2">
      <c r="A77" s="177"/>
      <c r="B77" s="190" t="s">
        <v>402</v>
      </c>
      <c r="C77" s="19"/>
      <c r="D77" s="19"/>
      <c r="E77" s="20"/>
      <c r="F77" s="20"/>
      <c r="G77" s="20"/>
      <c r="H77" s="20"/>
    </row>
    <row r="78" spans="1:17" ht="14.25" customHeight="1" x14ac:dyDescent="0.2">
      <c r="A78" s="177"/>
      <c r="B78" s="190" t="s">
        <v>403</v>
      </c>
      <c r="C78" s="21"/>
      <c r="D78" s="27"/>
    </row>
    <row r="79" spans="1:17" ht="15" customHeight="1" x14ac:dyDescent="0.2">
      <c r="A79" s="177"/>
      <c r="B79" s="190" t="s">
        <v>349</v>
      </c>
      <c r="C79" s="21"/>
      <c r="D79" s="21"/>
    </row>
    <row r="80" spans="1:17" ht="14.25" customHeight="1" x14ac:dyDescent="0.2">
      <c r="A80" s="177"/>
      <c r="B80" s="190" t="s">
        <v>404</v>
      </c>
      <c r="C80" s="19"/>
      <c r="D80" s="19"/>
      <c r="E80" s="20"/>
      <c r="F80" s="20"/>
      <c r="G80" s="20"/>
      <c r="H80" s="20"/>
    </row>
    <row r="81" spans="1:10" ht="14.25" customHeight="1" x14ac:dyDescent="0.2">
      <c r="A81" s="177"/>
      <c r="B81" s="190" t="s">
        <v>405</v>
      </c>
      <c r="C81" s="19"/>
      <c r="D81" s="19"/>
      <c r="E81" s="20"/>
      <c r="F81" s="20"/>
      <c r="G81" s="20"/>
      <c r="H81" s="20"/>
    </row>
    <row r="82" spans="1:10" ht="14.25" customHeight="1" x14ac:dyDescent="0.2">
      <c r="A82" s="177"/>
      <c r="B82" s="190" t="s">
        <v>406</v>
      </c>
      <c r="C82" s="19"/>
      <c r="D82" s="19"/>
      <c r="E82" s="20"/>
      <c r="F82" s="20"/>
      <c r="G82" s="20"/>
      <c r="H82" s="20"/>
    </row>
    <row r="83" spans="1:10" ht="14.25" customHeight="1" x14ac:dyDescent="0.2">
      <c r="A83" s="177"/>
      <c r="B83" s="190" t="s">
        <v>407</v>
      </c>
      <c r="C83" s="19"/>
      <c r="D83" s="19"/>
      <c r="E83" s="20"/>
      <c r="F83" s="20"/>
      <c r="G83" s="20"/>
      <c r="H83" s="20"/>
    </row>
    <row r="84" spans="1:10" ht="14.25" customHeight="1" x14ac:dyDescent="0.2">
      <c r="A84" s="177"/>
      <c r="B84" s="190" t="s">
        <v>355</v>
      </c>
      <c r="C84" s="19"/>
      <c r="D84" s="19"/>
      <c r="E84" s="20"/>
      <c r="F84" s="20"/>
      <c r="G84" s="20"/>
      <c r="H84" s="20"/>
    </row>
    <row r="85" spans="1:10" ht="14.25" customHeight="1" x14ac:dyDescent="0.2">
      <c r="A85" s="177"/>
      <c r="B85" s="190" t="s">
        <v>356</v>
      </c>
      <c r="C85" s="19"/>
      <c r="D85" s="19"/>
      <c r="E85" s="20"/>
      <c r="F85" s="20"/>
      <c r="G85" s="20"/>
      <c r="H85" s="20"/>
    </row>
    <row r="86" spans="1:10" ht="14.25" customHeight="1" x14ac:dyDescent="0.2">
      <c r="A86" s="177"/>
      <c r="B86" s="191"/>
      <c r="C86" s="19"/>
      <c r="D86" s="19"/>
      <c r="E86" s="20"/>
      <c r="F86" s="20"/>
      <c r="G86" s="20"/>
      <c r="H86" s="20"/>
    </row>
    <row r="87" spans="1:10" ht="14.25" customHeight="1" x14ac:dyDescent="0.25">
      <c r="A87" s="18"/>
      <c r="B87" s="189" t="s">
        <v>145</v>
      </c>
      <c r="C87" s="19"/>
      <c r="D87" s="19"/>
      <c r="E87" s="20"/>
      <c r="F87" s="20"/>
      <c r="G87" s="20"/>
      <c r="H87" s="20"/>
      <c r="I87" s="20"/>
    </row>
    <row r="88" spans="1:10" ht="14.25" customHeight="1" x14ac:dyDescent="0.2">
      <c r="A88" s="181"/>
      <c r="B88" s="190" t="s">
        <v>408</v>
      </c>
      <c r="C88" s="19"/>
      <c r="D88" s="19"/>
      <c r="E88" s="20"/>
      <c r="F88" s="20"/>
      <c r="G88" s="20"/>
      <c r="H88" s="20"/>
    </row>
    <row r="89" spans="1:10" ht="14.25" customHeight="1" x14ac:dyDescent="0.2">
      <c r="A89" s="181"/>
      <c r="B89" s="190" t="s">
        <v>409</v>
      </c>
      <c r="C89" s="25"/>
      <c r="D89" s="26"/>
    </row>
    <row r="90" spans="1:10" ht="15" customHeight="1" x14ac:dyDescent="0.2">
      <c r="A90" s="181"/>
      <c r="B90" s="190" t="s">
        <v>410</v>
      </c>
      <c r="C90" s="25"/>
      <c r="D90" s="25"/>
    </row>
    <row r="91" spans="1:10" ht="14.25" customHeight="1" x14ac:dyDescent="0.2">
      <c r="A91" s="181"/>
      <c r="B91" s="190" t="s">
        <v>411</v>
      </c>
      <c r="C91" s="19"/>
      <c r="D91" s="19"/>
      <c r="E91" s="20"/>
      <c r="F91" s="20"/>
      <c r="G91" s="20"/>
      <c r="H91" s="20"/>
    </row>
    <row r="92" spans="1:10" ht="14.25" customHeight="1" x14ac:dyDescent="0.2">
      <c r="A92" s="181"/>
      <c r="B92" s="190" t="s">
        <v>412</v>
      </c>
      <c r="C92" s="19"/>
      <c r="D92" s="19"/>
      <c r="E92" s="20"/>
      <c r="F92" s="20"/>
      <c r="G92" s="20"/>
      <c r="H92" s="20"/>
      <c r="I92" s="20"/>
    </row>
    <row r="93" spans="1:10" ht="14.25" customHeight="1" x14ac:dyDescent="0.2">
      <c r="A93" s="181"/>
      <c r="B93" s="190" t="s">
        <v>413</v>
      </c>
      <c r="C93" s="19"/>
      <c r="D93" s="19"/>
      <c r="E93" s="20"/>
      <c r="F93" s="20"/>
      <c r="G93" s="20"/>
      <c r="H93" s="20"/>
      <c r="I93" s="20"/>
    </row>
    <row r="94" spans="1:10" ht="14.25" customHeight="1" x14ac:dyDescent="0.2">
      <c r="A94" s="181"/>
      <c r="B94" s="190" t="s">
        <v>414</v>
      </c>
      <c r="C94" s="19"/>
      <c r="D94" s="19"/>
      <c r="E94" s="20"/>
      <c r="F94" s="20"/>
      <c r="G94" s="20"/>
      <c r="H94" s="20"/>
      <c r="I94" s="20"/>
      <c r="J94" s="20"/>
    </row>
    <row r="95" spans="1:10" ht="14.25" customHeight="1" x14ac:dyDescent="0.2">
      <c r="A95" s="181"/>
      <c r="B95" s="190" t="s">
        <v>422</v>
      </c>
      <c r="C95" s="19"/>
      <c r="D95" s="19"/>
      <c r="E95" s="20"/>
      <c r="F95" s="20"/>
      <c r="G95" s="20"/>
      <c r="H95" s="20"/>
      <c r="I95" s="20"/>
    </row>
    <row r="96" spans="1:10" ht="14.25" customHeight="1" x14ac:dyDescent="0.2">
      <c r="A96" s="18"/>
      <c r="B96" s="191"/>
      <c r="C96" s="19"/>
      <c r="D96" s="19"/>
      <c r="E96" s="20"/>
      <c r="F96" s="20"/>
      <c r="G96" s="20"/>
      <c r="H96" s="20"/>
      <c r="I96" s="20"/>
    </row>
    <row r="97" spans="1:10" ht="14.25" customHeight="1" x14ac:dyDescent="0.25">
      <c r="A97" s="18"/>
      <c r="B97" s="189" t="s">
        <v>146</v>
      </c>
      <c r="C97" s="19"/>
      <c r="D97" s="19"/>
      <c r="E97" s="20"/>
      <c r="F97" s="20"/>
      <c r="G97" s="20"/>
      <c r="H97" s="20"/>
    </row>
    <row r="98" spans="1:10" ht="14.25" customHeight="1" x14ac:dyDescent="0.2">
      <c r="A98" s="177"/>
      <c r="B98" s="190" t="s">
        <v>415</v>
      </c>
    </row>
    <row r="99" spans="1:10" ht="14.25" customHeight="1" x14ac:dyDescent="0.2">
      <c r="A99" s="177"/>
      <c r="B99" s="190" t="s">
        <v>371</v>
      </c>
      <c r="C99" s="21"/>
      <c r="D99" s="21"/>
    </row>
    <row r="100" spans="1:10" ht="15" customHeight="1" x14ac:dyDescent="0.2">
      <c r="A100" s="177"/>
      <c r="B100" s="190" t="s">
        <v>423</v>
      </c>
      <c r="C100" s="21"/>
      <c r="D100" s="21"/>
    </row>
    <row r="101" spans="1:10" ht="14.25" customHeight="1" x14ac:dyDescent="0.2">
      <c r="A101" s="177"/>
      <c r="B101" s="190" t="s">
        <v>424</v>
      </c>
      <c r="C101" s="19"/>
      <c r="D101" s="19"/>
      <c r="E101" s="20"/>
      <c r="F101" s="20"/>
      <c r="G101" s="20"/>
    </row>
    <row r="102" spans="1:10" ht="14.25" customHeight="1" x14ac:dyDescent="0.2">
      <c r="A102" s="177"/>
      <c r="B102" s="190" t="s">
        <v>368</v>
      </c>
      <c r="C102" s="19"/>
      <c r="D102" s="19"/>
      <c r="E102" s="20"/>
      <c r="F102" s="20"/>
      <c r="G102" s="20"/>
    </row>
    <row r="103" spans="1:10" ht="14.25" customHeight="1" x14ac:dyDescent="0.2">
      <c r="A103" s="177"/>
      <c r="B103" s="190" t="s">
        <v>367</v>
      </c>
      <c r="C103" s="19"/>
      <c r="D103" s="19"/>
      <c r="E103" s="20"/>
    </row>
    <row r="104" spans="1:10" ht="14.25" customHeight="1" x14ac:dyDescent="0.2">
      <c r="A104" s="177"/>
      <c r="B104" s="190" t="s">
        <v>366</v>
      </c>
      <c r="C104" s="19"/>
      <c r="D104" s="19"/>
      <c r="E104" s="20"/>
      <c r="F104" s="20"/>
    </row>
    <row r="105" spans="1:10" ht="14.25" customHeight="1" x14ac:dyDescent="0.2">
      <c r="A105" s="177"/>
      <c r="B105" s="190" t="s">
        <v>365</v>
      </c>
      <c r="C105" s="19"/>
      <c r="D105" s="19"/>
      <c r="E105" s="19"/>
      <c r="F105" s="20"/>
      <c r="G105" s="20"/>
    </row>
    <row r="106" spans="1:10" ht="14.25" customHeight="1" x14ac:dyDescent="0.2">
      <c r="A106" s="177"/>
      <c r="B106" s="192"/>
      <c r="C106" s="19"/>
      <c r="D106" s="19"/>
      <c r="E106" s="19"/>
      <c r="F106" s="20"/>
      <c r="G106" s="20"/>
    </row>
    <row r="107" spans="1:10" ht="14.25" customHeight="1" x14ac:dyDescent="0.25">
      <c r="A107" s="18"/>
      <c r="B107" s="189" t="s">
        <v>147</v>
      </c>
      <c r="C107" s="19"/>
      <c r="D107" s="19"/>
      <c r="E107" s="20"/>
      <c r="F107" s="20"/>
      <c r="G107" s="20"/>
    </row>
    <row r="108" spans="1:10" ht="14.25" customHeight="1" x14ac:dyDescent="0.2">
      <c r="A108" s="177"/>
      <c r="B108" s="190" t="s">
        <v>416</v>
      </c>
      <c r="C108" s="19"/>
      <c r="D108" s="19"/>
      <c r="E108" s="19"/>
      <c r="F108" s="19"/>
      <c r="G108" s="19"/>
      <c r="H108" s="19"/>
      <c r="I108" s="19"/>
      <c r="J108" s="22"/>
    </row>
    <row r="109" spans="1:10" ht="15.75" customHeight="1" x14ac:dyDescent="0.2">
      <c r="A109" s="177"/>
      <c r="B109" s="190" t="s">
        <v>362</v>
      </c>
      <c r="C109" s="28"/>
      <c r="D109" s="28"/>
    </row>
    <row r="110" spans="1:10" ht="15" customHeight="1" x14ac:dyDescent="0.2">
      <c r="A110" s="177"/>
      <c r="B110" s="190" t="s">
        <v>425</v>
      </c>
      <c r="C110" s="28"/>
      <c r="D110" s="28"/>
    </row>
    <row r="111" spans="1:10" ht="14.25" customHeight="1" x14ac:dyDescent="0.2">
      <c r="A111" s="177"/>
      <c r="B111" s="190" t="s">
        <v>361</v>
      </c>
      <c r="C111" s="19"/>
      <c r="D111" s="19"/>
      <c r="E111" s="20"/>
      <c r="F111" s="20"/>
      <c r="G111" s="20"/>
    </row>
    <row r="112" spans="1:10" ht="14.25" customHeight="1" x14ac:dyDescent="0.2">
      <c r="A112" s="177"/>
      <c r="B112" s="190" t="s">
        <v>359</v>
      </c>
      <c r="C112" s="19"/>
      <c r="D112" s="19"/>
      <c r="E112" s="20"/>
      <c r="F112" s="20"/>
      <c r="G112" s="20"/>
      <c r="H112" s="20"/>
    </row>
    <row r="113" spans="1:8" ht="14.25" customHeight="1" x14ac:dyDescent="0.2">
      <c r="A113" s="177"/>
      <c r="B113" s="190" t="s">
        <v>417</v>
      </c>
      <c r="C113" s="19"/>
      <c r="D113" s="19"/>
      <c r="E113" s="20"/>
      <c r="F113" s="20"/>
      <c r="G113" s="20"/>
    </row>
    <row r="114" spans="1:8" ht="14.25" customHeight="1" x14ac:dyDescent="0.2">
      <c r="A114" s="177"/>
      <c r="B114" s="190" t="s">
        <v>358</v>
      </c>
      <c r="C114" s="19"/>
      <c r="D114" s="19"/>
      <c r="E114" s="20"/>
      <c r="F114" s="20"/>
      <c r="G114" s="20"/>
      <c r="H114" s="20"/>
    </row>
    <row r="115" spans="1:8" ht="14.25" customHeight="1" x14ac:dyDescent="0.2">
      <c r="A115" s="177"/>
      <c r="B115" s="190" t="s">
        <v>357</v>
      </c>
      <c r="C115" s="22"/>
      <c r="D115" s="22"/>
    </row>
    <row r="116" spans="1:8" ht="14.25" customHeight="1" x14ac:dyDescent="0.2">
      <c r="A116" s="177"/>
      <c r="B116" s="190" t="s">
        <v>418</v>
      </c>
      <c r="C116" s="22"/>
      <c r="D116" s="22"/>
    </row>
    <row r="117" spans="1:8" ht="14.25" customHeight="1" x14ac:dyDescent="0.2">
      <c r="A117" s="18"/>
      <c r="C117" s="22"/>
      <c r="D117" s="22"/>
    </row>
    <row r="118" spans="1:8" ht="14.25" customHeight="1" x14ac:dyDescent="0.2">
      <c r="A118" s="18"/>
      <c r="C118" s="22"/>
      <c r="D118" s="22"/>
    </row>
    <row r="119" spans="1:8" ht="14.25" customHeight="1" x14ac:dyDescent="0.2">
      <c r="A119" s="18"/>
      <c r="C119" s="22"/>
      <c r="D119" s="22"/>
    </row>
  </sheetData>
  <hyperlinks>
    <hyperlink ref="C9" location="'Table S74'!A1" display="'Table S74'!A1" xr:uid="{00000000-0004-0000-0000-000002000000}"/>
    <hyperlink ref="D9" location="'Table S74'!A1" display="'Table S74'!A1" xr:uid="{00000000-0004-0000-0000-000003000000}"/>
    <hyperlink ref="E9" location="'Table S74'!A1" display="'Table S74'!A1" xr:uid="{00000000-0004-0000-0000-000004000000}"/>
    <hyperlink ref="F9" location="'Table S74'!A1" display="'Table S74'!A1" xr:uid="{00000000-0004-0000-0000-000005000000}"/>
    <hyperlink ref="G9" location="'Table S74'!A1" display="'Table S74'!A1" xr:uid="{00000000-0004-0000-0000-000006000000}"/>
    <hyperlink ref="H9" location="'Table S74'!A1" display="'Table S74'!A1" xr:uid="{00000000-0004-0000-0000-000007000000}"/>
    <hyperlink ref="I9" location="'Table S74'!A1" display="'Table S74'!A1" xr:uid="{00000000-0004-0000-0000-000008000000}"/>
    <hyperlink ref="J9" location="'Table S74'!A1" display="'Table S74'!A1" xr:uid="{00000000-0004-0000-0000-000009000000}"/>
    <hyperlink ref="K9" location="'Table S74'!A1" display="'Table S74'!A1" xr:uid="{00000000-0004-0000-0000-00000A000000}"/>
    <hyperlink ref="L9" location="'Table S74'!A1" display="'Table S74'!A1" xr:uid="{00000000-0004-0000-0000-00000B000000}"/>
    <hyperlink ref="B10" location="'Table S72'!A21" display="Table S72b: Young people in detention during the year by age, states and territories, 2019–20" xr:uid="{00000000-0004-0000-0000-00000C000000}"/>
    <hyperlink ref="C10" location="'Table S74'!A23" display="'Table S74'!A23" xr:uid="{00000000-0004-0000-0000-00000D000000}"/>
    <hyperlink ref="D10" location="'Table S74'!A23" display="'Table S74'!A23" xr:uid="{00000000-0004-0000-0000-00000E000000}"/>
    <hyperlink ref="E10" location="'Table S74'!A23" display="'Table S74'!A23" xr:uid="{00000000-0004-0000-0000-00000F000000}"/>
    <hyperlink ref="F10" location="'Table S74'!A23" display="'Table S74'!A23" xr:uid="{00000000-0004-0000-0000-000010000000}"/>
    <hyperlink ref="G10" location="'Table S74'!A23" display="'Table S74'!A23" xr:uid="{00000000-0004-0000-0000-000011000000}"/>
    <hyperlink ref="H10" location="'Table S74'!A23" display="'Table S74'!A23" xr:uid="{00000000-0004-0000-0000-000012000000}"/>
    <hyperlink ref="I10" location="'Table S74'!A23" display="'Table S74'!A23" xr:uid="{00000000-0004-0000-0000-000013000000}"/>
    <hyperlink ref="J10" location="'Table S74'!A23" display="'Table S74'!A23" xr:uid="{00000000-0004-0000-0000-000014000000}"/>
    <hyperlink ref="K10" location="'Table S74'!A23" display="'Table S74'!A23" xr:uid="{00000000-0004-0000-0000-000015000000}"/>
    <hyperlink ref="B11" location="'Table S73'!A1" display="Table S73a: Young people in detention on an average day by sex and Indigenous status, states and territories, 2019–20" xr:uid="{00000000-0004-0000-0000-000016000000}"/>
    <hyperlink ref="C11" location="'Table S75'!A1" display="'Table S75'!A1" xr:uid="{00000000-0004-0000-0000-000017000000}"/>
    <hyperlink ref="D11" location="'Table S75'!A1" display="'Table S75'!A1" xr:uid="{00000000-0004-0000-0000-000018000000}"/>
    <hyperlink ref="E11" location="'Table S75'!A1" display="'Table S75'!A1" xr:uid="{00000000-0004-0000-0000-000019000000}"/>
    <hyperlink ref="F11" location="'Table S75'!A1" display="'Table S75'!A1" xr:uid="{00000000-0004-0000-0000-00001A000000}"/>
    <hyperlink ref="G11" location="'Table S75'!A1" display="'Table S75'!A1" xr:uid="{00000000-0004-0000-0000-00001B000000}"/>
    <hyperlink ref="H11" location="'Table S75'!A1" display="'Table S75'!A1" xr:uid="{00000000-0004-0000-0000-00001C000000}"/>
    <hyperlink ref="I11" location="'Table S75'!A1" display="'Table S75'!A1" xr:uid="{00000000-0004-0000-0000-00001D000000}"/>
    <hyperlink ref="J11" location="'Table S75'!A1" display="'Table S75'!A1" xr:uid="{00000000-0004-0000-0000-00001E000000}"/>
    <hyperlink ref="K11" location="'Table S75'!A1" display="'Table S75'!A1" xr:uid="{00000000-0004-0000-0000-00001F000000}"/>
    <hyperlink ref="L11" location="'Table S75'!A1" display="'Table S75'!A1" xr:uid="{00000000-0004-0000-0000-000020000000}"/>
    <hyperlink ref="M11" location="'Table S75'!A1" display="'Table S75'!A1" xr:uid="{00000000-0004-0000-0000-000021000000}"/>
    <hyperlink ref="N11" location="'Table S75'!A1" display="'Table S75'!A1" xr:uid="{00000000-0004-0000-0000-000022000000}"/>
    <hyperlink ref="C12" location="'Table S75'!A24" display="'Table S75'!A24" xr:uid="{00000000-0004-0000-0000-000024000000}"/>
    <hyperlink ref="D12" location="'Table S75'!A24" display="'Table S75'!A24" xr:uid="{00000000-0004-0000-0000-000025000000}"/>
    <hyperlink ref="E12" location="'Table S75'!A24" display="'Table S75'!A24" xr:uid="{00000000-0004-0000-0000-000026000000}"/>
    <hyperlink ref="F12" location="'Table S75'!A24" display="'Table S75'!A24" xr:uid="{00000000-0004-0000-0000-000027000000}"/>
    <hyperlink ref="G12" location="'Table S75'!A24" display="'Table S75'!A24" xr:uid="{00000000-0004-0000-0000-000028000000}"/>
    <hyperlink ref="H12" location="'Table S75'!A24" display="'Table S75'!A24" xr:uid="{00000000-0004-0000-0000-000029000000}"/>
    <hyperlink ref="I12" location="'Table S75'!A24" display="'Table S75'!A24" xr:uid="{00000000-0004-0000-0000-00002A000000}"/>
    <hyperlink ref="J12" location="'Table S75'!A24" display="'Table S75'!A24" xr:uid="{00000000-0004-0000-0000-00002B000000}"/>
    <hyperlink ref="K12" location="'Table S75'!A24" display="'Table S75'!A24" xr:uid="{00000000-0004-0000-0000-00002C000000}"/>
    <hyperlink ref="L12" location="'Table S75'!A24" display="'Table S75'!A24" xr:uid="{00000000-0004-0000-0000-00002D000000}"/>
    <hyperlink ref="M12" location="'Table S75'!A24" display="'Table S75'!A24" xr:uid="{00000000-0004-0000-0000-00002E000000}"/>
    <hyperlink ref="B13" location="'Table S74'!A1" display="Table S74a: Young people aged 10–17 in detention on an average day by sex and Indigenous status, states and territories, 2019–20" xr:uid="{00000000-0004-0000-0000-00002F000000}"/>
    <hyperlink ref="C13" location="'Table S76'!A1" display="'Table S76'!A1" xr:uid="{00000000-0004-0000-0000-000030000000}"/>
    <hyperlink ref="D13" location="'Table S76'!A1" display="'Table S76'!A1" xr:uid="{00000000-0004-0000-0000-000031000000}"/>
    <hyperlink ref="E13" location="'Table S76'!A1" display="'Table S76'!A1" xr:uid="{00000000-0004-0000-0000-000032000000}"/>
    <hyperlink ref="F13" location="'Table S76'!A1" display="'Table S76'!A1" xr:uid="{00000000-0004-0000-0000-000033000000}"/>
    <hyperlink ref="G13" location="'Table S76'!A1" display="'Table S76'!A1" xr:uid="{00000000-0004-0000-0000-000034000000}"/>
    <hyperlink ref="H13" location="'Table S76'!A1" display="'Table S76'!A1" xr:uid="{00000000-0004-0000-0000-000035000000}"/>
    <hyperlink ref="I13" location="'Table S76'!A1" display="'Table S76'!A1" xr:uid="{00000000-0004-0000-0000-000036000000}"/>
    <hyperlink ref="J13" location="'Table S76'!A1" display="'Table S76'!A1" xr:uid="{00000000-0004-0000-0000-000037000000}"/>
    <hyperlink ref="K13" location="'Table S76'!A1" display="'Table S76'!A1" xr:uid="{00000000-0004-0000-0000-000038000000}"/>
    <hyperlink ref="L13" location="'Table S76'!A1" display="'Table S76'!A1" xr:uid="{00000000-0004-0000-0000-000039000000}"/>
    <hyperlink ref="M13" location="'Table S76'!A1" display="'Table S76'!A1" xr:uid="{00000000-0004-0000-0000-00003A000000}"/>
    <hyperlink ref="N13" location="'Table S76'!A1" display="'Table S76'!A1" xr:uid="{00000000-0004-0000-0000-00003B000000}"/>
    <hyperlink ref="O13" location="'Table S76'!A1" display="'Table S76'!A1" xr:uid="{00000000-0004-0000-0000-00003C000000}"/>
    <hyperlink ref="B14" location="'Table S74'!A20" display="Table S74b: Young people aged 10–17 in detention during the year by sex and Indigenous status, states and territories, 2019–20" xr:uid="{00000000-0004-0000-0000-00003D000000}"/>
    <hyperlink ref="C14" location="'Table S76'!A24" display="'Table S76'!A24" xr:uid="{00000000-0004-0000-0000-00003E000000}"/>
    <hyperlink ref="D14" location="'Table S76'!A24" display="'Table S76'!A24" xr:uid="{00000000-0004-0000-0000-00003F000000}"/>
    <hyperlink ref="E14" location="'Table S76'!A24" display="'Table S76'!A24" xr:uid="{00000000-0004-0000-0000-000040000000}"/>
    <hyperlink ref="F14" location="'Table S76'!A24" display="'Table S76'!A24" xr:uid="{00000000-0004-0000-0000-000041000000}"/>
    <hyperlink ref="G14" location="'Table S76'!A24" display="'Table S76'!A24" xr:uid="{00000000-0004-0000-0000-000042000000}"/>
    <hyperlink ref="H14" location="'Table S76'!A24" display="'Table S76'!A24" xr:uid="{00000000-0004-0000-0000-000043000000}"/>
    <hyperlink ref="I14" location="'Table S76'!A24" display="'Table S76'!A24" xr:uid="{00000000-0004-0000-0000-000044000000}"/>
    <hyperlink ref="J14" location="'Table S76'!A24" display="'Table S76'!A24" xr:uid="{00000000-0004-0000-0000-000045000000}"/>
    <hyperlink ref="K14" location="'Table S76'!A24" display="'Table S76'!A24" xr:uid="{00000000-0004-0000-0000-000046000000}"/>
    <hyperlink ref="L14" location="'Table S76'!A24" display="'Table S76'!A24" xr:uid="{00000000-0004-0000-0000-000047000000}"/>
    <hyperlink ref="M14" location="'Table S76'!A24" display="'Table S76'!A24" xr:uid="{00000000-0004-0000-0000-000048000000}"/>
    <hyperlink ref="N14" location="'Table S76'!A24" display="'Table S76'!A24" xr:uid="{00000000-0004-0000-0000-000049000000}"/>
    <hyperlink ref="O14" location="'Table S76'!A24" display="'Table S76'!A24" xr:uid="{00000000-0004-0000-0000-00004A000000}"/>
    <hyperlink ref="B15" location="'Table S75'!A1" display="Table S75a: Young people aged 10–17 in detention on an average day by sex and Indigenous status, states and territories, 2019–20 (rate)" xr:uid="{00000000-0004-0000-0000-00004B000000}"/>
    <hyperlink ref="C15" location="'Table S77'!A1" display="'Table S77'!A1" xr:uid="{00000000-0004-0000-0000-00004C000000}"/>
    <hyperlink ref="D15" location="'Table S77'!A1" display="'Table S77'!A1" xr:uid="{00000000-0004-0000-0000-00004D000000}"/>
    <hyperlink ref="E15" location="'Table S77'!A1" display="'Table S77'!A1" xr:uid="{00000000-0004-0000-0000-00004E000000}"/>
    <hyperlink ref="F15" location="'Table S77'!A1" display="'Table S77'!A1" xr:uid="{00000000-0004-0000-0000-00004F000000}"/>
    <hyperlink ref="G15" location="'Table S77'!A1" display="'Table S77'!A1" xr:uid="{00000000-0004-0000-0000-000050000000}"/>
    <hyperlink ref="H15" location="'Table S77'!A1" display="'Table S77'!A1" xr:uid="{00000000-0004-0000-0000-000051000000}"/>
    <hyperlink ref="I15" location="'Table S77'!A1" display="'Table S77'!A1" xr:uid="{00000000-0004-0000-0000-000052000000}"/>
    <hyperlink ref="J15" location="'Table S77'!A1" display="'Table S77'!A1" xr:uid="{00000000-0004-0000-0000-000053000000}"/>
    <hyperlink ref="K15" location="'Table S77'!A1" display="'Table S77'!A1" xr:uid="{00000000-0004-0000-0000-000054000000}"/>
    <hyperlink ref="L15" location="'Table S77'!A1" display="'Table S77'!A1" xr:uid="{00000000-0004-0000-0000-000055000000}"/>
    <hyperlink ref="M15" location="'Table S77'!A1" display="'Table S77'!A1" xr:uid="{00000000-0004-0000-0000-000056000000}"/>
    <hyperlink ref="N15" location="'Table S77'!A1" display="'Table S77'!A1" xr:uid="{00000000-0004-0000-0000-000057000000}"/>
    <hyperlink ref="O15" location="'Table S77'!A1" display="'Table S77'!A1" xr:uid="{00000000-0004-0000-0000-000058000000}"/>
    <hyperlink ref="P15" location="'Table S77'!A1" display="'Table S77'!A1" xr:uid="{00000000-0004-0000-0000-000059000000}"/>
    <hyperlink ref="B16" location="'Table S75'!A20" display="Table S75b: Young people aged 10–17 in detention during the year by sex and Indigenous status, states and territories, 2019–20 (rate)" xr:uid="{00000000-0004-0000-0000-00005A000000}"/>
    <hyperlink ref="C16" location="'Table S77'!A21" display="'Table S77'!A21" xr:uid="{00000000-0004-0000-0000-00005B000000}"/>
    <hyperlink ref="D16" location="'Table S77'!A21" display="'Table S77'!A21" xr:uid="{00000000-0004-0000-0000-00005C000000}"/>
    <hyperlink ref="E16" location="'Table S77'!A21" display="'Table S77'!A21" xr:uid="{00000000-0004-0000-0000-00005D000000}"/>
    <hyperlink ref="F16" location="'Table S77'!A21" display="'Table S77'!A21" xr:uid="{00000000-0004-0000-0000-00005E000000}"/>
    <hyperlink ref="G16" location="'Table S77'!A21" display="'Table S77'!A21" xr:uid="{00000000-0004-0000-0000-00005F000000}"/>
    <hyperlink ref="H16" location="'Table S77'!A21" display="'Table S77'!A21" xr:uid="{00000000-0004-0000-0000-000060000000}"/>
    <hyperlink ref="I16" location="'Table S77'!A21" display="'Table S77'!A21" xr:uid="{00000000-0004-0000-0000-000061000000}"/>
    <hyperlink ref="J16" location="'Table S77'!A21" display="'Table S77'!A21" xr:uid="{00000000-0004-0000-0000-000062000000}"/>
    <hyperlink ref="K16" location="'Table S77'!A21" display="'Table S77'!A21" xr:uid="{00000000-0004-0000-0000-000063000000}"/>
    <hyperlink ref="L16" location="'Table S77'!A21" display="'Table S77'!A21" xr:uid="{00000000-0004-0000-0000-000064000000}"/>
    <hyperlink ref="M16" location="'Table S77'!A21" display="'Table S77'!A21" xr:uid="{00000000-0004-0000-0000-000065000000}"/>
    <hyperlink ref="N16" location="'Table S77'!A21" display="'Table S77'!A21" xr:uid="{00000000-0004-0000-0000-000066000000}"/>
    <hyperlink ref="O16" location="'Table S77'!A21" display="'Table S77'!A21" xr:uid="{00000000-0004-0000-0000-000067000000}"/>
    <hyperlink ref="B17" location="'Table S76'!A1" display="Table S76a: Young people in detention on an average day by age, sex and Indigenous status, Australia, 2019–20" xr:uid="{00000000-0004-0000-0000-000068000000}"/>
    <hyperlink ref="C17" location="'Table S78'!A1" display="'Table S78'!A1" xr:uid="{00000000-0004-0000-0000-000069000000}"/>
    <hyperlink ref="D17" location="'Table S78'!A1" display="'Table S78'!A1" xr:uid="{00000000-0004-0000-0000-00006A000000}"/>
    <hyperlink ref="E17" location="'Table S78'!A1" display="'Table S78'!A1" xr:uid="{00000000-0004-0000-0000-00006B000000}"/>
    <hyperlink ref="F17" location="'Table S78'!A1" display="'Table S78'!A1" xr:uid="{00000000-0004-0000-0000-00006C000000}"/>
    <hyperlink ref="G17" location="'Table S78'!A1" display="'Table S78'!A1" xr:uid="{00000000-0004-0000-0000-00006D000000}"/>
    <hyperlink ref="H17" location="'Table S78'!A1" display="'Table S78'!A1" xr:uid="{00000000-0004-0000-0000-00006E000000}"/>
    <hyperlink ref="I17" location="'Table S78'!A1" display="'Table S78'!A1" xr:uid="{00000000-0004-0000-0000-00006F000000}"/>
    <hyperlink ref="J17" location="'Table S78'!A1" display="'Table S78'!A1" xr:uid="{00000000-0004-0000-0000-000070000000}"/>
    <hyperlink ref="K17" location="'Table S78'!A1" display="'Table S78'!A1" xr:uid="{00000000-0004-0000-0000-000071000000}"/>
    <hyperlink ref="L17" location="'Table S78'!A1" display="'Table S78'!A1" xr:uid="{00000000-0004-0000-0000-000072000000}"/>
    <hyperlink ref="M17" location="'Table S78'!A1" display="'Table S78'!A1" xr:uid="{00000000-0004-0000-0000-000073000000}"/>
    <hyperlink ref="B18" location="'Table S76'!A23" display="Table S76b: Young people in detention during the year by age, sex and Indigenous status, Australia, 2019–20" xr:uid="{00000000-0004-0000-0000-000074000000}"/>
    <hyperlink ref="C18" location="'Table S78'!A25" display="'Table S78'!A25" xr:uid="{00000000-0004-0000-0000-000075000000}"/>
    <hyperlink ref="D18" location="'Table S78'!A25" display="'Table S78'!A25" xr:uid="{00000000-0004-0000-0000-000076000000}"/>
    <hyperlink ref="E18" location="'Table S78'!A25" display="'Table S78'!A25" xr:uid="{00000000-0004-0000-0000-000077000000}"/>
    <hyperlink ref="F18" location="'Table S78'!A25" display="'Table S78'!A25" xr:uid="{00000000-0004-0000-0000-000078000000}"/>
    <hyperlink ref="G18" location="'Table S78'!A25" display="'Table S78'!A25" xr:uid="{00000000-0004-0000-0000-000079000000}"/>
    <hyperlink ref="H18" location="'Table S78'!A25" display="'Table S78'!A25" xr:uid="{00000000-0004-0000-0000-00007A000000}"/>
    <hyperlink ref="I18" location="'Table S78'!A25" display="'Table S78'!A25" xr:uid="{00000000-0004-0000-0000-00007B000000}"/>
    <hyperlink ref="J18" location="'Table S78'!A25" display="'Table S78'!A25" xr:uid="{00000000-0004-0000-0000-00007C000000}"/>
    <hyperlink ref="K18" location="'Table S78'!A25" display="'Table S78'!A25" xr:uid="{00000000-0004-0000-0000-00007D000000}"/>
    <hyperlink ref="L18" location="'Table S78'!A25" display="'Table S78'!A25" xr:uid="{00000000-0004-0000-0000-00007E000000}"/>
    <hyperlink ref="M18" location="'Table S78'!A25" display="'Table S78'!A25" xr:uid="{00000000-0004-0000-0000-00007F000000}"/>
    <hyperlink ref="B19" location="'Table S77'!A1" display="Table S77a. Young people aged 10–17 in detention on an average day by age, sex and Indigenous status, Australia, 2019–20 (rate)" xr:uid="{00000000-0004-0000-0000-000080000000}"/>
    <hyperlink ref="C19" location="'Table S79'!A1" display="'Table S79'!A1" xr:uid="{00000000-0004-0000-0000-000081000000}"/>
    <hyperlink ref="D19" location="'Table S79'!A1" display="'Table S79'!A1" xr:uid="{00000000-0004-0000-0000-000082000000}"/>
    <hyperlink ref="E19" location="'Table S79'!A1" display="'Table S79'!A1" xr:uid="{00000000-0004-0000-0000-000083000000}"/>
    <hyperlink ref="F19" location="'Table S79'!A1" display="'Table S79'!A1" xr:uid="{00000000-0004-0000-0000-000084000000}"/>
    <hyperlink ref="G19" location="'Table S79'!A1" display="'Table S79'!A1" xr:uid="{00000000-0004-0000-0000-000085000000}"/>
    <hyperlink ref="H19" location="'Table S79'!A1" display="'Table S79'!A1" xr:uid="{00000000-0004-0000-0000-000086000000}"/>
    <hyperlink ref="I19" location="'Table S79'!A1" display="'Table S79'!A1" xr:uid="{00000000-0004-0000-0000-000087000000}"/>
    <hyperlink ref="J19" location="'Table S79'!A1" display="'Table S79'!A1" xr:uid="{00000000-0004-0000-0000-000088000000}"/>
    <hyperlink ref="K19" location="'Table S79'!A1" display="'Table S79'!A1" xr:uid="{00000000-0004-0000-0000-000089000000}"/>
    <hyperlink ref="L19" location="'Table S79'!A1" display="'Table S79'!A1" xr:uid="{00000000-0004-0000-0000-00008A000000}"/>
    <hyperlink ref="M19" location="'Table S79'!A1" display="'Table S79'!A1" xr:uid="{00000000-0004-0000-0000-00008B000000}"/>
    <hyperlink ref="N19" location="'Table S79'!A1" display="'Table S79'!A1" xr:uid="{00000000-0004-0000-0000-00008C000000}"/>
    <hyperlink ref="O19" location="'Table S79'!A1" display="'Table S79'!A1" xr:uid="{00000000-0004-0000-0000-00008D000000}"/>
    <hyperlink ref="B20" location="'Table S77'!A21" display="Table S77b. Young people aged 10–17 in detention during the year by age, sex and Indigenous status, Australia, 2019–20 (rate)" xr:uid="{00000000-0004-0000-0000-00008E000000}"/>
    <hyperlink ref="C20" location="'Table S79'!A22" display="'Table S79'!A22" xr:uid="{00000000-0004-0000-0000-00008F000000}"/>
    <hyperlink ref="D20" location="'Table S79'!A22" display="'Table S79'!A22" xr:uid="{00000000-0004-0000-0000-000090000000}"/>
    <hyperlink ref="E20" location="'Table S79'!A22" display="'Table S79'!A22" xr:uid="{00000000-0004-0000-0000-000091000000}"/>
    <hyperlink ref="F20" location="'Table S79'!A22" display="'Table S79'!A22" xr:uid="{00000000-0004-0000-0000-000092000000}"/>
    <hyperlink ref="G20" location="'Table S79'!A22" display="'Table S79'!A22" xr:uid="{00000000-0004-0000-0000-000093000000}"/>
    <hyperlink ref="H20" location="'Table S79'!A22" display="'Table S79'!A22" xr:uid="{00000000-0004-0000-0000-000094000000}"/>
    <hyperlink ref="I20" location="'Table S79'!A22" display="'Table S79'!A22" xr:uid="{00000000-0004-0000-0000-000095000000}"/>
    <hyperlink ref="J20" location="'Table S79'!A22" display="'Table S79'!A22" xr:uid="{00000000-0004-0000-0000-000096000000}"/>
    <hyperlink ref="K20" location="'Table S79'!A22" display="'Table S79'!A22" xr:uid="{00000000-0004-0000-0000-000097000000}"/>
    <hyperlink ref="L20" location="'Table S79'!A22" display="'Table S79'!A22" xr:uid="{00000000-0004-0000-0000-000098000000}"/>
    <hyperlink ref="M20" location="'Table S79'!A22" display="'Table S79'!A22" xr:uid="{00000000-0004-0000-0000-000099000000}"/>
    <hyperlink ref="N20" location="'Table S79'!A22" display="'Table S79'!A22" xr:uid="{00000000-0004-0000-0000-00009A000000}"/>
    <hyperlink ref="O20" location="'Table S79'!A22" display="'Table S79'!A22" xr:uid="{00000000-0004-0000-0000-00009B000000}"/>
    <hyperlink ref="B21" location="'Table S78'!A1" display="Table S78a: Young people in detention on an average day by Indigenous status and age, states and territories, 2019–20" xr:uid="{00000000-0004-0000-0000-00009C000000}"/>
    <hyperlink ref="C21" location="'Table S80'!A1" display="'Table S80'!A1" xr:uid="{00000000-0004-0000-0000-00009D000000}"/>
    <hyperlink ref="D21" location="'Table S80'!A1" display="'Table S80'!A1" xr:uid="{00000000-0004-0000-0000-00009E000000}"/>
    <hyperlink ref="E21" location="'Table S80'!A1" display="'Table S80'!A1" xr:uid="{00000000-0004-0000-0000-00009F000000}"/>
    <hyperlink ref="F21" location="'Table S80'!A1" display="'Table S80'!A1" xr:uid="{00000000-0004-0000-0000-0000A0000000}"/>
    <hyperlink ref="G21" location="'Table S80'!A1" display="'Table S80'!A1" xr:uid="{00000000-0004-0000-0000-0000A1000000}"/>
    <hyperlink ref="H21" location="'Table S80'!A1" display="'Table S80'!A1" xr:uid="{00000000-0004-0000-0000-0000A2000000}"/>
    <hyperlink ref="I21" location="'Table S80'!A1" display="'Table S80'!A1" xr:uid="{00000000-0004-0000-0000-0000A3000000}"/>
    <hyperlink ref="J21" location="'Table S80'!A1" display="'Table S80'!A1" xr:uid="{00000000-0004-0000-0000-0000A4000000}"/>
    <hyperlink ref="K21" location="'Table S80'!A1" display="'Table S80'!A1" xr:uid="{00000000-0004-0000-0000-0000A5000000}"/>
    <hyperlink ref="L21" location="'Table S80'!A1" display="'Table S80'!A1" xr:uid="{00000000-0004-0000-0000-0000A6000000}"/>
    <hyperlink ref="M21" location="'Table S80'!A1" display="'Table S80'!A1" xr:uid="{00000000-0004-0000-0000-0000A7000000}"/>
    <hyperlink ref="N21" location="'Table S80'!A1" display="'Table S80'!A1" xr:uid="{00000000-0004-0000-0000-0000A8000000}"/>
    <hyperlink ref="B22" location="'Table S78'!A26" display="Table S78b: Young people in detention during the year by Indigenous status and age, states and territories, 2019–20" xr:uid="{00000000-0004-0000-0000-0000A9000000}"/>
    <hyperlink ref="C22" location="'Table S80'!A29" display="'Table S80'!A29" xr:uid="{00000000-0004-0000-0000-0000AA000000}"/>
    <hyperlink ref="D22" location="'Table S80'!A29" display="'Table S80'!A29" xr:uid="{00000000-0004-0000-0000-0000AB000000}"/>
    <hyperlink ref="E22" location="'Table S80'!A29" display="'Table S80'!A29" xr:uid="{00000000-0004-0000-0000-0000AC000000}"/>
    <hyperlink ref="F22" location="'Table S80'!A29" display="'Table S80'!A29" xr:uid="{00000000-0004-0000-0000-0000AD000000}"/>
    <hyperlink ref="G22" location="'Table S80'!A29" display="'Table S80'!A29" xr:uid="{00000000-0004-0000-0000-0000AE000000}"/>
    <hyperlink ref="H22" location="'Table S80'!A29" display="'Table S80'!A29" xr:uid="{00000000-0004-0000-0000-0000AF000000}"/>
    <hyperlink ref="I22" location="'Table S80'!A29" display="'Table S80'!A29" xr:uid="{00000000-0004-0000-0000-0000B0000000}"/>
    <hyperlink ref="J22" location="'Table S80'!A29" display="'Table S80'!A29" xr:uid="{00000000-0004-0000-0000-0000B1000000}"/>
    <hyperlink ref="K22" location="'Table S80'!A29" display="'Table S80'!A29" xr:uid="{00000000-0004-0000-0000-0000B2000000}"/>
    <hyperlink ref="L22" location="'Table S80'!A29" display="'Table S80'!A29" xr:uid="{00000000-0004-0000-0000-0000B3000000}"/>
    <hyperlink ref="M22" location="'Table S80'!A29" display="'Table S80'!A29" xr:uid="{00000000-0004-0000-0000-0000B4000000}"/>
    <hyperlink ref="B27" location="'Table S79'!A1" display="Table S79a: Young people aged 10–17 in detention on an average day by sex and age, Australia, 2015–16 to 2019–20" xr:uid="{00000000-0004-0000-0000-0000B5000000}"/>
    <hyperlink ref="C27" location="'Table S81'!A1" display="'Table S81'!A1" xr:uid="{00000000-0004-0000-0000-0000B6000000}"/>
    <hyperlink ref="D27" location="'Table S81'!A1" display="'Table S81'!A1" xr:uid="{00000000-0004-0000-0000-0000B7000000}"/>
    <hyperlink ref="E27" location="'Table S81'!A1" display="'Table S81'!A1" xr:uid="{00000000-0004-0000-0000-0000B8000000}"/>
    <hyperlink ref="F27" location="'Table S81'!A1" display="'Table S81'!A1" xr:uid="{00000000-0004-0000-0000-0000B9000000}"/>
    <hyperlink ref="G27" location="'Table S81'!A1" display="'Table S81'!A1" xr:uid="{00000000-0004-0000-0000-0000BA000000}"/>
    <hyperlink ref="H27" location="'Table S81'!A1" display="'Table S81'!A1" xr:uid="{00000000-0004-0000-0000-0000BB000000}"/>
    <hyperlink ref="I27" location="'Table S81'!A1" display="'Table S81'!A1" xr:uid="{00000000-0004-0000-0000-0000BC000000}"/>
    <hyperlink ref="J27" location="'Table S81'!A1" display="'Table S81'!A1" xr:uid="{00000000-0004-0000-0000-0000BD000000}"/>
    <hyperlink ref="K27" location="'Table S81'!A1" display="'Table S81'!A1" xr:uid="{00000000-0004-0000-0000-0000BE000000}"/>
    <hyperlink ref="L27" location="'Table S81'!A1" display="'Table S81'!A1" xr:uid="{00000000-0004-0000-0000-0000BF000000}"/>
    <hyperlink ref="M27" location="'Table S81'!A1" display="'Table S81'!A1" xr:uid="{00000000-0004-0000-0000-0000C0000000}"/>
    <hyperlink ref="N27" location="'Table S81'!A1" display="'Table S81'!A1" xr:uid="{00000000-0004-0000-0000-0000C1000000}"/>
    <hyperlink ref="O27" location="'Table S81'!A1" display="'Table S81'!A1" xr:uid="{00000000-0004-0000-0000-0000C2000000}"/>
    <hyperlink ref="P27" location="'Table S81'!A1" display="'Table S81'!A1" xr:uid="{00000000-0004-0000-0000-0000C3000000}"/>
    <hyperlink ref="B28" location="'Table S79'!A25" display="Table S79b: Young people aged 10–17 in detention during the year by sex and age, Australia, 2015–16 to 2019–20" xr:uid="{00000000-0004-0000-0000-0000C4000000}"/>
    <hyperlink ref="C28" location="'Table S81'!A28" display="'Table S81'!A28" xr:uid="{00000000-0004-0000-0000-0000C5000000}"/>
    <hyperlink ref="D28" location="'Table S81'!A28" display="'Table S81'!A28" xr:uid="{00000000-0004-0000-0000-0000C6000000}"/>
    <hyperlink ref="E28" location="'Table S81'!A28" display="'Table S81'!A28" xr:uid="{00000000-0004-0000-0000-0000C7000000}"/>
    <hyperlink ref="F28" location="'Table S81'!A28" display="'Table S81'!A28" xr:uid="{00000000-0004-0000-0000-0000C8000000}"/>
    <hyperlink ref="G28" location="'Table S81'!A28" display="'Table S81'!A28" xr:uid="{00000000-0004-0000-0000-0000C9000000}"/>
    <hyperlink ref="H28" location="'Table S81'!A28" display="'Table S81'!A28" xr:uid="{00000000-0004-0000-0000-0000CA000000}"/>
    <hyperlink ref="I28" location="'Table S81'!A28" display="'Table S81'!A28" xr:uid="{00000000-0004-0000-0000-0000CB000000}"/>
    <hyperlink ref="J28" location="'Table S81'!A28" display="'Table S81'!A28" xr:uid="{00000000-0004-0000-0000-0000CC000000}"/>
    <hyperlink ref="K28" location="'Table S81'!A28" display="'Table S81'!A28" xr:uid="{00000000-0004-0000-0000-0000CD000000}"/>
    <hyperlink ref="L28" location="'Table S81'!A28" display="'Table S81'!A28" xr:uid="{00000000-0004-0000-0000-0000CE000000}"/>
    <hyperlink ref="M28" location="'Table S81'!A28" display="'Table S81'!A28" xr:uid="{00000000-0004-0000-0000-0000CF000000}"/>
    <hyperlink ref="N28" location="'Table S81'!A28" display="'Table S81'!A28" xr:uid="{00000000-0004-0000-0000-0000D0000000}"/>
    <hyperlink ref="O28" location="'Table S81'!A29" display="'Table S81'!A29" xr:uid="{00000000-0004-0000-0000-0000D1000000}"/>
    <hyperlink ref="P28" location="'Table S81'!A29" display="'Table S81'!A29" xr:uid="{00000000-0004-0000-0000-0000D2000000}"/>
    <hyperlink ref="B29" location="'Table S80'!A1" display="Table S80a: Young people aged 10–17 in detention on an average day by age and sex, Australia, 2015–16 to 2019–20 (rate)" xr:uid="{00000000-0004-0000-0000-0000D3000000}"/>
    <hyperlink ref="C29" location="'Table S82'!A1" display="'Table S82'!A1" xr:uid="{00000000-0004-0000-0000-0000D4000000}"/>
    <hyperlink ref="D29" location="'Table S82'!A1" display="'Table S82'!A1" xr:uid="{00000000-0004-0000-0000-0000D5000000}"/>
    <hyperlink ref="E29" location="'Table S82'!A1" display="'Table S82'!A1" xr:uid="{00000000-0004-0000-0000-0000D6000000}"/>
    <hyperlink ref="F29" location="'Table S82'!A1" display="'Table S82'!A1" xr:uid="{00000000-0004-0000-0000-0000D7000000}"/>
    <hyperlink ref="G29" location="'Table S82'!A1" display="'Table S82'!A1" xr:uid="{00000000-0004-0000-0000-0000D8000000}"/>
    <hyperlink ref="H29" location="'Table S82'!A1" display="'Table S82'!A1" xr:uid="{00000000-0004-0000-0000-0000D9000000}"/>
    <hyperlink ref="I29" location="'Table S82'!A1" display="'Table S82'!A1" xr:uid="{00000000-0004-0000-0000-0000DA000000}"/>
    <hyperlink ref="J29" location="'Table S82'!A1" display="'Table S82'!A1" xr:uid="{00000000-0004-0000-0000-0000DB000000}"/>
    <hyperlink ref="K29" location="'Table S82'!A1" display="'Table S82'!A1" xr:uid="{00000000-0004-0000-0000-0000DC000000}"/>
    <hyperlink ref="L29" location="'Table S82'!A1" display="'Table S82'!A1" xr:uid="{00000000-0004-0000-0000-0000DD000000}"/>
    <hyperlink ref="M29" location="'Table S82'!A1" display="'Table S82'!A1" xr:uid="{00000000-0004-0000-0000-0000DE000000}"/>
    <hyperlink ref="N29" location="'Table S82'!A1" display="'Table S82'!A1" xr:uid="{00000000-0004-0000-0000-0000DF000000}"/>
    <hyperlink ref="O29" location="'Table S82'!A1" display="'Table S82'!A1" xr:uid="{00000000-0004-0000-0000-0000E0000000}"/>
    <hyperlink ref="P29" location="'Table S82'!A1" display="'Table S82'!A1" xr:uid="{00000000-0004-0000-0000-0000E1000000}"/>
    <hyperlink ref="Q29" location="'Table S82'!A1" display="'Table S82'!A1" xr:uid="{00000000-0004-0000-0000-0000E2000000}"/>
    <hyperlink ref="B30" location="'Table S80'!A27" display="Table S80b: Young people aged 10–17 in detention during the year by age and sex, Australia, 2015–16 to 2019–20 (rate)" xr:uid="{00000000-0004-0000-0000-0000E3000000}"/>
    <hyperlink ref="C30" location="'Table S82'!A29" display="'Table S82'!A29" xr:uid="{00000000-0004-0000-0000-0000E4000000}"/>
    <hyperlink ref="D30" location="'Table S82'!A29" display="'Table S82'!A29" xr:uid="{00000000-0004-0000-0000-0000E5000000}"/>
    <hyperlink ref="E30" location="'Table S82'!A29" display="'Table S82'!A29" xr:uid="{00000000-0004-0000-0000-0000E6000000}"/>
    <hyperlink ref="F30" location="'Table S82'!A29" display="'Table S82'!A29" xr:uid="{00000000-0004-0000-0000-0000E7000000}"/>
    <hyperlink ref="G30" location="'Table S82'!A29" display="'Table S82'!A29" xr:uid="{00000000-0004-0000-0000-0000E8000000}"/>
    <hyperlink ref="H30" location="'Table S82'!A29" display="'Table S82'!A29" xr:uid="{00000000-0004-0000-0000-0000E9000000}"/>
    <hyperlink ref="I30" location="'Table S82'!A29" display="'Table S82'!A29" xr:uid="{00000000-0004-0000-0000-0000EA000000}"/>
    <hyperlink ref="J30" location="'Table S82'!A29" display="'Table S82'!A29" xr:uid="{00000000-0004-0000-0000-0000EB000000}"/>
    <hyperlink ref="K30" location="'Table S82'!A29" display="'Table S82'!A29" xr:uid="{00000000-0004-0000-0000-0000EC000000}"/>
    <hyperlink ref="L30" location="'Table S82'!A29" display="'Table S82'!A29" xr:uid="{00000000-0004-0000-0000-0000ED000000}"/>
    <hyperlink ref="M30" location="'Table S82'!A29" display="'Table S82'!A29" xr:uid="{00000000-0004-0000-0000-0000EE000000}"/>
    <hyperlink ref="N30" location="'Table S82'!A29" display="'Table S82'!A29" xr:uid="{00000000-0004-0000-0000-0000EF000000}"/>
    <hyperlink ref="O30" location="'Table S82'!A29" display="'Table S82'!A29" xr:uid="{00000000-0004-0000-0000-0000F0000000}"/>
    <hyperlink ref="P30" location="'Table S82'!A29" display="'Table S82'!A29" xr:uid="{00000000-0004-0000-0000-0000F1000000}"/>
    <hyperlink ref="B31" location="'Table S81'!A1" display="Table S81a: Young people aged 10–17 in detention on an average day by Indigenous status, states and territories, 2010–11 to 2019–20" xr:uid="{00000000-0004-0000-0000-0000F2000000}"/>
    <hyperlink ref="C31" location="'Table S83'!A1" display="'Table S83'!A1" xr:uid="{00000000-0004-0000-0000-0000F3000000}"/>
    <hyperlink ref="D31" location="'Table S83'!A1" display="'Table S83'!A1" xr:uid="{00000000-0004-0000-0000-0000F4000000}"/>
    <hyperlink ref="E31" location="'Table S83'!A1" display="'Table S83'!A1" xr:uid="{00000000-0004-0000-0000-0000F5000000}"/>
    <hyperlink ref="F31" location="'Table S83'!A1" display="'Table S83'!A1" xr:uid="{00000000-0004-0000-0000-0000F6000000}"/>
    <hyperlink ref="G31" location="'Table S83'!A1" display="'Table S83'!A1" xr:uid="{00000000-0004-0000-0000-0000F7000000}"/>
    <hyperlink ref="H31" location="'Table S83'!A1" display="'Table S83'!A1" xr:uid="{00000000-0004-0000-0000-0000F8000000}"/>
    <hyperlink ref="I31" location="'Table S83'!A1" display="'Table S83'!A1" xr:uid="{00000000-0004-0000-0000-0000F9000000}"/>
    <hyperlink ref="J31" location="'Table S83'!A1" display="'Table S83'!A1" xr:uid="{00000000-0004-0000-0000-0000FA000000}"/>
    <hyperlink ref="K31" location="'Table S83'!A1" display="'Table S83'!A1" xr:uid="{00000000-0004-0000-0000-0000FB000000}"/>
    <hyperlink ref="L31" location="'Table S83'!A1" display="'Table S83'!A1" xr:uid="{00000000-0004-0000-0000-0000FC000000}"/>
    <hyperlink ref="M31" location="'Table S83'!A1" display="'Table S83'!A1" xr:uid="{00000000-0004-0000-0000-0000FD000000}"/>
    <hyperlink ref="N31" location="'Table S83'!A1" display="'Table S83'!A1" xr:uid="{00000000-0004-0000-0000-0000FE000000}"/>
    <hyperlink ref="O31" location="'Table S83'!A1" display="'Table S83'!A1" xr:uid="{00000000-0004-0000-0000-0000FF000000}"/>
    <hyperlink ref="P31" location="'Table S83'!A1" display="'Table S83'!A1" xr:uid="{00000000-0004-0000-0000-000000010000}"/>
    <hyperlink ref="B32" location="'Table S81'!A52" display="Table S81b: Young people aged 10–17 in detention during the year by Indigenous status, states and territories, 2010–11 to 2019–20" xr:uid="{00000000-0004-0000-0000-000001010000}"/>
    <hyperlink ref="C32" location="'Table S83'!A53" display="'Table S83'!A53" xr:uid="{00000000-0004-0000-0000-000002010000}"/>
    <hyperlink ref="D32" location="'Table S83'!A53" display="'Table S83'!A53" xr:uid="{00000000-0004-0000-0000-000003010000}"/>
    <hyperlink ref="E32" location="'Table S83'!A53" display="'Table S83'!A53" xr:uid="{00000000-0004-0000-0000-000004010000}"/>
    <hyperlink ref="F32" location="'Table S83'!A53" display="'Table S83'!A53" xr:uid="{00000000-0004-0000-0000-000005010000}"/>
    <hyperlink ref="G32" location="'Table S83'!A53" display="'Table S83'!A53" xr:uid="{00000000-0004-0000-0000-000006010000}"/>
    <hyperlink ref="H32" location="'Table S83'!A53" display="'Table S83'!A53" xr:uid="{00000000-0004-0000-0000-000007010000}"/>
    <hyperlink ref="I32" location="'Table S83'!A53" display="'Table S83'!A53" xr:uid="{00000000-0004-0000-0000-000008010000}"/>
    <hyperlink ref="J32" location="'Table S83'!A53" display="'Table S83'!A53" xr:uid="{00000000-0004-0000-0000-000009010000}"/>
    <hyperlink ref="K32" location="'Table S83'!A53" display="'Table S83'!A53" xr:uid="{00000000-0004-0000-0000-00000A010000}"/>
    <hyperlink ref="L32" location="'Table S83'!A53" display="'Table S83'!A53" xr:uid="{00000000-0004-0000-0000-00000B010000}"/>
    <hyperlink ref="M32" location="'Table S83'!A53" display="'Table S83'!A53" xr:uid="{00000000-0004-0000-0000-00000C010000}"/>
    <hyperlink ref="N32" location="'Table S83'!A53" display="'Table S83'!A53" xr:uid="{00000000-0004-0000-0000-00000D010000}"/>
    <hyperlink ref="O32" location="'Table S83'!A53" display="'Table S83'!A53" xr:uid="{00000000-0004-0000-0000-00000E010000}"/>
    <hyperlink ref="B33" location="'Table S82'!A1" display="Table S82a: Young people in detention on an average day by Indigenous status, states and territories, 2010–11 to 2019–20" xr:uid="{00000000-0004-0000-0000-00000F010000}"/>
    <hyperlink ref="C33" location="'Table S84'!A1" display="'Table S84'!A1" xr:uid="{00000000-0004-0000-0000-000010010000}"/>
    <hyperlink ref="D33" location="'Table S84'!A1" display="'Table S84'!A1" xr:uid="{00000000-0004-0000-0000-000011010000}"/>
    <hyperlink ref="E33" location="'Table S84'!A1" display="'Table S84'!A1" xr:uid="{00000000-0004-0000-0000-000012010000}"/>
    <hyperlink ref="F33" location="'Table S84'!A1" display="'Table S84'!A1" xr:uid="{00000000-0004-0000-0000-000013010000}"/>
    <hyperlink ref="G33" location="'Table S84'!A1" display="'Table S84'!A1" xr:uid="{00000000-0004-0000-0000-000014010000}"/>
    <hyperlink ref="H33" location="'Table S84'!A1" display="'Table S84'!A1" xr:uid="{00000000-0004-0000-0000-000015010000}"/>
    <hyperlink ref="I33" location="'Table S84'!A1" display="'Table S84'!A1" xr:uid="{00000000-0004-0000-0000-000016010000}"/>
    <hyperlink ref="J33" location="'Table S84'!A1" display="'Table S84'!A1" xr:uid="{00000000-0004-0000-0000-000017010000}"/>
    <hyperlink ref="B34" location="'Table S82'!A51" display="Table S82b: Young people in detention during the year by Indigenous status, states and territories, 2010–11 to 2019–20" xr:uid="{00000000-0004-0000-0000-000018010000}"/>
    <hyperlink ref="C34" location="'Table S84'!A54" display="'Table S84'!A54" xr:uid="{00000000-0004-0000-0000-000019010000}"/>
    <hyperlink ref="D34" location="'Table S84'!A54" display="'Table S84'!A54" xr:uid="{00000000-0004-0000-0000-00001A010000}"/>
    <hyperlink ref="E34" location="'Table S84'!A54" display="'Table S84'!A54" xr:uid="{00000000-0004-0000-0000-00001B010000}"/>
    <hyperlink ref="F34" location="'Table S84'!A54" display="'Table S84'!A54" xr:uid="{00000000-0004-0000-0000-00001C010000}"/>
    <hyperlink ref="G34" location="'Table S84'!A54" display="'Table S84'!A54" xr:uid="{00000000-0004-0000-0000-00001D010000}"/>
    <hyperlink ref="H34" location="'Table S84'!A54" display="'Table S84'!A54" xr:uid="{00000000-0004-0000-0000-00001E010000}"/>
    <hyperlink ref="I34" location="'Table S84'!A54" display="'Table S84'!A54" xr:uid="{00000000-0004-0000-0000-00001F010000}"/>
    <hyperlink ref="J34" location="'Table S84'!A54" display="'Table S84'!A54" xr:uid="{00000000-0004-0000-0000-000020010000}"/>
    <hyperlink ref="B35" location="'Table S83'!A1" display="Table S83a: Young people aged 10–17 in detention on an average day by Indigenous status, states and territories, 2010–11 to 2019–20 (rate)" xr:uid="{00000000-0004-0000-0000-000021010000}"/>
    <hyperlink ref="C35" location="'Table S85'!A1" display="'Table S85'!A1" xr:uid="{00000000-0004-0000-0000-000022010000}"/>
    <hyperlink ref="D35" location="'Table S85'!A1" display="'Table S85'!A1" xr:uid="{00000000-0004-0000-0000-000023010000}"/>
    <hyperlink ref="E35" location="'Table S85'!A1" display="'Table S85'!A1" xr:uid="{00000000-0004-0000-0000-000024010000}"/>
    <hyperlink ref="F35" location="'Table S85'!A1" display="'Table S85'!A1" xr:uid="{00000000-0004-0000-0000-000025010000}"/>
    <hyperlink ref="G35" location="'Table S85'!A1" display="'Table S85'!A1" xr:uid="{00000000-0004-0000-0000-000026010000}"/>
    <hyperlink ref="H35" location="'Table S85'!A1" display="'Table S85'!A1" xr:uid="{00000000-0004-0000-0000-000027010000}"/>
    <hyperlink ref="I35" location="'Table S85'!A1" display="'Table S85'!A1" xr:uid="{00000000-0004-0000-0000-000028010000}"/>
    <hyperlink ref="B36" location="'Table S83'!A43" display="Table S83b: Young people aged 10–17 in detention during the year by Indigenous status, states and territories, 2010–11 to 2019–20 (rate)" xr:uid="{00000000-0004-0000-0000-000029010000}"/>
    <hyperlink ref="C36" location="'Table S85'!A44" display="'Table S85'!A44" xr:uid="{00000000-0004-0000-0000-00002A010000}"/>
    <hyperlink ref="D36" location="'Table S85'!A44" display="'Table S85'!A44" xr:uid="{00000000-0004-0000-0000-00002B010000}"/>
    <hyperlink ref="E36" location="'Table S85'!A44" display="'Table S85'!A44" xr:uid="{00000000-0004-0000-0000-00002C010000}"/>
    <hyperlink ref="F36" location="'Table S85'!A44" display="'Table S85'!A44" xr:uid="{00000000-0004-0000-0000-00002D010000}"/>
    <hyperlink ref="G36" location="'Table S85'!A44" display="'Table S85'!A44" xr:uid="{00000000-0004-0000-0000-00002E010000}"/>
    <hyperlink ref="B37" location="'Table S84'!A1" display="Table S84a: Young people aged 10–17 in detention on an average day by sex, states and territories, 2010–11 to 2019–20" xr:uid="{00000000-0004-0000-0000-00002F010000}"/>
    <hyperlink ref="C37" location="'Table S86'!A1" display="'Table S86'!A1" xr:uid="{00000000-0004-0000-0000-000030010000}"/>
    <hyperlink ref="D37" location="'Table S86'!A1" display="'Table S86'!A1" xr:uid="{00000000-0004-0000-0000-000031010000}"/>
    <hyperlink ref="E37" location="'Table S86'!A1" display="'Table S86'!A1" xr:uid="{00000000-0004-0000-0000-000032010000}"/>
    <hyperlink ref="F37" location="'Table S86'!A1" display="'Table S86'!A1" xr:uid="{00000000-0004-0000-0000-000033010000}"/>
    <hyperlink ref="G37" location="'Table S86'!A1" display="'Table S86'!A1" xr:uid="{00000000-0004-0000-0000-000034010000}"/>
    <hyperlink ref="H37" location="'Table S86'!A1" display="'Table S86'!A1" xr:uid="{00000000-0004-0000-0000-000035010000}"/>
    <hyperlink ref="B38" location="'Table S84'!A52" display="Table S84b: Young people aged 10–17 in detention during the year by sex, states and territories, 2010–11 to 2019–20" xr:uid="{00000000-0004-0000-0000-000036010000}"/>
    <hyperlink ref="C38" location="'Table S86'!A43" display="'Table S86'!A43" xr:uid="{00000000-0004-0000-0000-000037010000}"/>
    <hyperlink ref="D38" location="'Table S86'!A43" display="'Table S86'!A43" xr:uid="{00000000-0004-0000-0000-000038010000}"/>
    <hyperlink ref="E38" location="'Table S86'!A43" display="'Table S86'!A43" xr:uid="{00000000-0004-0000-0000-000039010000}"/>
    <hyperlink ref="F38" location="'Table S86'!A43" display="'Table S86'!A43" xr:uid="{00000000-0004-0000-0000-00003A010000}"/>
    <hyperlink ref="G38" location="'Table S86'!A43" display="'Table S86'!A43" xr:uid="{00000000-0004-0000-0000-00003B010000}"/>
    <hyperlink ref="H38" location="'Table S86'!A53" display="'Table S86'!A53" xr:uid="{00000000-0004-0000-0000-00003C010000}"/>
    <hyperlink ref="B39" location="'Table S85'!A1" display="Table S85a: Young people in detention on an average day by sex, states and territories, 2015–16 to 2024–25" xr:uid="{00000000-0004-0000-0000-00003D010000}"/>
    <hyperlink ref="C39" location="'Table S87'!A1" display="'Table S87'!A1" xr:uid="{00000000-0004-0000-0000-00003E010000}"/>
    <hyperlink ref="D39" location="'Table S87'!A1" display="'Table S87'!A1" xr:uid="{00000000-0004-0000-0000-00003F010000}"/>
    <hyperlink ref="E39" location="'Table S87'!A1" display="'Table S87'!A1" xr:uid="{00000000-0004-0000-0000-000040010000}"/>
    <hyperlink ref="F39" location="'Table S87'!A1" display="'Table S87'!A1" xr:uid="{00000000-0004-0000-0000-000041010000}"/>
    <hyperlink ref="G39" location="'Table S87'!A1" display="'Table S87'!A1" xr:uid="{00000000-0004-0000-0000-000042010000}"/>
    <hyperlink ref="H39" location="'Table S87'!A1" display="'Table S87'!A1" xr:uid="{00000000-0004-0000-0000-000043010000}"/>
    <hyperlink ref="B40" location="'Table S85'!A51" display="Table S85b: Young people in detention during the year by sex, states and territories, 2010–11 to 2019–20" xr:uid="{00000000-0004-0000-0000-000044010000}"/>
    <hyperlink ref="C40" location="'Table S87'!A43" display="'Table S87'!A43" xr:uid="{00000000-0004-0000-0000-000045010000}"/>
    <hyperlink ref="D40" location="'Table S87'!A43" display="'Table S87'!A43" xr:uid="{00000000-0004-0000-0000-000046010000}"/>
    <hyperlink ref="E40" location="'Table S87'!A43" display="'Table S87'!A43" xr:uid="{00000000-0004-0000-0000-000047010000}"/>
    <hyperlink ref="F40" location="'Table S87'!A43" display="'Table S87'!A43" xr:uid="{00000000-0004-0000-0000-000048010000}"/>
    <hyperlink ref="G40" location="'Table S87'!A43" display="'Table S87'!A43" xr:uid="{00000000-0004-0000-0000-000049010000}"/>
    <hyperlink ref="B41" location="'Table S86'!A1" display="Table S86a: Young people aged 10–17 in detention on an average day by sex, states and territories, 2010–11 to 2019–20 (rate)" xr:uid="{00000000-0004-0000-0000-00004A010000}"/>
    <hyperlink ref="C41" location="'Table S88'!A1" display="'Table S88'!A1" xr:uid="{00000000-0004-0000-0000-00004B010000}"/>
    <hyperlink ref="D41" location="'Table S88'!A1" display="'Table S88'!A1" xr:uid="{00000000-0004-0000-0000-00004C010000}"/>
    <hyperlink ref="E41" location="'Table S88'!A1" display="'Table S88'!A1" xr:uid="{00000000-0004-0000-0000-00004D010000}"/>
    <hyperlink ref="F41" location="'Table S88'!A1" display="'Table S88'!A1" xr:uid="{00000000-0004-0000-0000-00004E010000}"/>
    <hyperlink ref="G41" location="'Table S88'!A1" display="'Table S88'!A1" xr:uid="{00000000-0004-0000-0000-00004F010000}"/>
    <hyperlink ref="H41" location="'Table S88'!A1" display="'Table S88'!A1" xr:uid="{00000000-0004-0000-0000-000050010000}"/>
    <hyperlink ref="I41" location="'Table S88'!A1" display="'Table S88'!A1" xr:uid="{00000000-0004-0000-0000-000051010000}"/>
    <hyperlink ref="B42" location="'Table S86'!A44" display="Table S86b: Young people aged 10–17 in detention during the year by sex, states and territories, 2010–11 to 2019–20 (rate)" xr:uid="{00000000-0004-0000-0000-000052010000}"/>
    <hyperlink ref="C42" location="'Table S88'!A44" display="'Table S88'!A44" xr:uid="{00000000-0004-0000-0000-000053010000}"/>
    <hyperlink ref="D42" location="'Table S88'!A44" display="'Table S88'!A44" xr:uid="{00000000-0004-0000-0000-000054010000}"/>
    <hyperlink ref="E42" location="'Table S88'!A44" display="'Table S88'!A44" xr:uid="{00000000-0004-0000-0000-000055010000}"/>
    <hyperlink ref="F42" location="'Table S88'!A44" display="'Table S88'!A44" xr:uid="{00000000-0004-0000-0000-000056010000}"/>
    <hyperlink ref="G42" location="'Table S88'!A44" display="'Table S88'!A44" xr:uid="{00000000-0004-0000-0000-000057010000}"/>
    <hyperlink ref="H42" location="'Table S88'!A44" display="'Table S88'!A44" xr:uid="{00000000-0004-0000-0000-000058010000}"/>
    <hyperlink ref="B43" location="'Table S87'!A1" display="Table S87a: Young people aged 10–17 in detention on an average day by sex and Indigenous status, states and territories, 2015–16 to 2019–20" xr:uid="{00000000-0004-0000-0000-000059010000}"/>
    <hyperlink ref="C43" location="'Table S89'!A1" display="'Table S89'!A1" xr:uid="{00000000-0004-0000-0000-00005A010000}"/>
    <hyperlink ref="D43" location="'Table S89'!A1" display="'Table S89'!A1" xr:uid="{00000000-0004-0000-0000-00005B010000}"/>
    <hyperlink ref="E43" location="'Table S89'!A1" display="'Table S89'!A1" xr:uid="{00000000-0004-0000-0000-00005C010000}"/>
    <hyperlink ref="F43" location="'Table S89'!A1" display="'Table S89'!A1" xr:uid="{00000000-0004-0000-0000-00005D010000}"/>
    <hyperlink ref="G43" location="'Table S89'!A1" display="'Table S89'!A1" xr:uid="{00000000-0004-0000-0000-00005E010000}"/>
    <hyperlink ref="H43" location="'Table S87'!A1" display="'Table S87'!A1" xr:uid="{00000000-0004-0000-0000-00005F010000}"/>
    <hyperlink ref="I43" location="'Table S87'!A1" display="'Table S87'!A1" xr:uid="{00000000-0004-0000-0000-000060010000}"/>
    <hyperlink ref="J43" location="'Table S87'!A1" display="'Table S87'!A1" xr:uid="{00000000-0004-0000-0000-000061010000}"/>
    <hyperlink ref="K43" location="'Table S87'!A1" display="'Table S87'!A1" xr:uid="{00000000-0004-0000-0000-000062010000}"/>
    <hyperlink ref="L43" location="'Table S87'!A1" display="'Table S87'!A1" xr:uid="{00000000-0004-0000-0000-000063010000}"/>
    <hyperlink ref="M43" location="'Table S87'!A1" display="'Table S87'!A1" xr:uid="{00000000-0004-0000-0000-000064010000}"/>
    <hyperlink ref="C44" location="'Table S89'!A72" display="'Table S89'!A72" xr:uid="{00000000-0004-0000-0000-000065010000}"/>
    <hyperlink ref="D44" location="'Table S89'!A72" display="'Table S89'!A72" xr:uid="{00000000-0004-0000-0000-000066010000}"/>
    <hyperlink ref="E44" location="'Table S89'!A72" display="'Table S89'!A72" xr:uid="{00000000-0004-0000-0000-000067010000}"/>
    <hyperlink ref="F44" location="'Table S89'!A72" display="'Table S89'!A72" xr:uid="{00000000-0004-0000-0000-000068010000}"/>
    <hyperlink ref="G44" location="'Table S89'!A72" display="'Table S89'!A72" xr:uid="{00000000-0004-0000-0000-000069010000}"/>
    <hyperlink ref="H44" location="'Table S89'!A72" display="'Table S89'!A72" xr:uid="{00000000-0004-0000-0000-00006A010000}"/>
    <hyperlink ref="I44" location="'Table S87'!A93" display="'Table S87'!A93" xr:uid="{00000000-0004-0000-0000-00006B010000}"/>
    <hyperlink ref="J44" location="'Table S87'!A93" display="'Table S87'!A93" xr:uid="{00000000-0004-0000-0000-00006C010000}"/>
    <hyperlink ref="K44" location="'Table S87'!A93" display="'Table S87'!A93" xr:uid="{00000000-0004-0000-0000-00006D010000}"/>
    <hyperlink ref="L44" location="'Table S87'!A93" display="'Table S87'!A93" xr:uid="{00000000-0004-0000-0000-00006E010000}"/>
    <hyperlink ref="M44" location="'Table S87'!A93" display="'Table S87'!A93" xr:uid="{00000000-0004-0000-0000-00006F010000}"/>
    <hyperlink ref="N44" location="'Table S87'!A93" display="'Table S87'!A93" xr:uid="{00000000-0004-0000-0000-000070010000}"/>
    <hyperlink ref="B44" location="'Table S88'!A1" display="Table S88a: Young people in detention on an average day by sex and Indigenous status, states and territories, 2015–16 to 2019–20" xr:uid="{00000000-0004-0000-0000-000071010000}"/>
    <hyperlink ref="C45" location="'Table S90'!A1" display="'Table S90'!A1" xr:uid="{00000000-0004-0000-0000-000072010000}"/>
    <hyperlink ref="D45" location="'Table S90'!A1" display="'Table S90'!A1" xr:uid="{00000000-0004-0000-0000-000073010000}"/>
    <hyperlink ref="E45" location="'Table S90'!A1" display="'Table S90'!A1" xr:uid="{00000000-0004-0000-0000-000074010000}"/>
    <hyperlink ref="F45" location="'Table S90'!A1" display="'Table S90'!A1" xr:uid="{00000000-0004-0000-0000-000075010000}"/>
    <hyperlink ref="G45" location="'Table S90'!A1" display="'Table S90'!A1" xr:uid="{00000000-0004-0000-0000-000076010000}"/>
    <hyperlink ref="H45" location="'Table S90'!A1" display="'Table S90'!A1" xr:uid="{00000000-0004-0000-0000-000077010000}"/>
    <hyperlink ref="I45" location="'Table S88'!A1" display="'Table S88'!A1" xr:uid="{00000000-0004-0000-0000-000078010000}"/>
    <hyperlink ref="J45" location="'Table S88'!A1" display="'Table S88'!A1" xr:uid="{00000000-0004-0000-0000-000079010000}"/>
    <hyperlink ref="K45" location="'Table S88'!A1" display="'Table S88'!A1" xr:uid="{00000000-0004-0000-0000-00007A010000}"/>
    <hyperlink ref="L45" location="'Table S88'!A1" display="'Table S88'!A1" xr:uid="{00000000-0004-0000-0000-00007B010000}"/>
    <hyperlink ref="M45" location="'Table S88'!A1" display="'Table S88'!A1" xr:uid="{00000000-0004-0000-0000-00007C010000}"/>
    <hyperlink ref="C46" location="'Table S90'!A72" display="'Table S90'!A72" xr:uid="{00000000-0004-0000-0000-00007D010000}"/>
    <hyperlink ref="D46" location="'Table S90'!A72" display="'Table S90'!A72" xr:uid="{00000000-0004-0000-0000-00007E010000}"/>
    <hyperlink ref="E46" location="'Table S90'!A72" display="'Table S90'!A72" xr:uid="{00000000-0004-0000-0000-00007F010000}"/>
    <hyperlink ref="F46" location="'Table S90'!A72" display="'Table S90'!A72" xr:uid="{00000000-0004-0000-0000-000080010000}"/>
    <hyperlink ref="G46" location="'Table S90'!A72" display="'Table S90'!A72" xr:uid="{00000000-0004-0000-0000-000081010000}"/>
    <hyperlink ref="H46" location="'Table S88'!A98" display="'Table S88'!A98" xr:uid="{00000000-0004-0000-0000-000082010000}"/>
    <hyperlink ref="I46" location="'Table S88'!A98" display="'Table S88'!A98" xr:uid="{00000000-0004-0000-0000-000083010000}"/>
    <hyperlink ref="J46" location="'Table S88'!A98" display="'Table S88'!A98" xr:uid="{00000000-0004-0000-0000-000084010000}"/>
    <hyperlink ref="K46" location="'Table S88'!A98" display="'Table S88'!A98" xr:uid="{00000000-0004-0000-0000-000085010000}"/>
    <hyperlink ref="L46" location="'Table S88'!A98" display="'Table S88'!A98" xr:uid="{00000000-0004-0000-0000-000086010000}"/>
    <hyperlink ref="M46" location="'Table S88'!A98" display="'Table S88'!A98" xr:uid="{00000000-0004-0000-0000-000087010000}"/>
    <hyperlink ref="N46" location="'Table S88'!A98" display="'Table S88'!A98" xr:uid="{00000000-0004-0000-0000-000088010000}"/>
    <hyperlink ref="B45" location="'Table S89'!A1" display="Table S89a: Young people aged 10–17 in detention on an average day by sex and Indigenous status, states and territories, 2015–16 to 2019–20 (rate)" xr:uid="{00000000-0004-0000-0000-000089010000}"/>
    <hyperlink ref="C47" location="'Table S91'!A1" display="'Table S91'!A1" xr:uid="{00000000-0004-0000-0000-00008A010000}"/>
    <hyperlink ref="D47" location="'Table S91'!A1" display="'Table S91'!A1" xr:uid="{00000000-0004-0000-0000-00008B010000}"/>
    <hyperlink ref="E47" location="'Table S91'!A1" display="'Table S91'!A1" xr:uid="{00000000-0004-0000-0000-00008C010000}"/>
    <hyperlink ref="F47" location="'Table S91'!A1" display="'Table S91'!A1" xr:uid="{00000000-0004-0000-0000-00008D010000}"/>
    <hyperlink ref="G47" location="'Table S91'!A1" display="'Table S91'!A1" xr:uid="{00000000-0004-0000-0000-00008E010000}"/>
    <hyperlink ref="H47" location="'Table S89'!A1" display="'Table S89'!A1" xr:uid="{00000000-0004-0000-0000-00008F010000}"/>
    <hyperlink ref="I47" location="'Table S89'!A1" display="'Table S89'!A1" xr:uid="{00000000-0004-0000-0000-000090010000}"/>
    <hyperlink ref="J47" location="'Table S89'!A1" display="'Table S89'!A1" xr:uid="{00000000-0004-0000-0000-000091010000}"/>
    <hyperlink ref="K47" location="'Table S89'!A1" display="'Table S89'!A1" xr:uid="{00000000-0004-0000-0000-000092010000}"/>
    <hyperlink ref="L47" location="'Table S89'!A1" display="'Table S89'!A1" xr:uid="{00000000-0004-0000-0000-000093010000}"/>
    <hyperlink ref="M47" location="'Table S89'!A1" display="'Table S89'!A1" xr:uid="{00000000-0004-0000-0000-000094010000}"/>
    <hyperlink ref="C48" location="'Table S91'!A56" display="'Table S91'!A56" xr:uid="{00000000-0004-0000-0000-000095010000}"/>
    <hyperlink ref="D48" location="'Table S91'!A56" display="'Table S91'!A56" xr:uid="{00000000-0004-0000-0000-000096010000}"/>
    <hyperlink ref="E48" location="'Table S91'!A56" display="'Table S91'!A56" xr:uid="{00000000-0004-0000-0000-000097010000}"/>
    <hyperlink ref="F48" location="'Table S91'!A56" display="'Table S91'!A56" xr:uid="{00000000-0004-0000-0000-000098010000}"/>
    <hyperlink ref="G48" location="'Table S91'!A56" display="'Table S91'!A56" xr:uid="{00000000-0004-0000-0000-000099010000}"/>
    <hyperlink ref="H48" location="'Table S89'!A60" display="'Table S89'!A60" xr:uid="{00000000-0004-0000-0000-00009A010000}"/>
    <hyperlink ref="I48" location="'Table S89'!A60" display="'Table S89'!A60" xr:uid="{00000000-0004-0000-0000-00009B010000}"/>
    <hyperlink ref="J48" location="'Table S89'!A60" display="'Table S89'!A60" xr:uid="{00000000-0004-0000-0000-00009C010000}"/>
    <hyperlink ref="K48" location="'Table S89'!A60" display="'Table S89'!A60" xr:uid="{00000000-0004-0000-0000-00009D010000}"/>
    <hyperlink ref="L48" location="'Table S89'!A60" display="'Table S89'!A60" xr:uid="{00000000-0004-0000-0000-00009E010000}"/>
    <hyperlink ref="M48" location="'Table S89'!A60" display="'Table S89'!A60" xr:uid="{00000000-0004-0000-0000-00009F010000}"/>
    <hyperlink ref="N48" location="'Table S89'!A60" display="'Table S89'!A60" xr:uid="{00000000-0004-0000-0000-0000A0010000}"/>
    <hyperlink ref="B46" location="'Table S90'!A1" display="Table S90: Young people in detention during the year by first supervision, states and territories, 2015–16 to 2019–20" xr:uid="{00000000-0004-0000-0000-0000A1010000}"/>
    <hyperlink ref="C49" location="'Table S92'!A1" display="'Table S92'!A1" xr:uid="{00000000-0004-0000-0000-0000A2010000}"/>
    <hyperlink ref="D49" location="'Table S92'!A1" display="'Table S92'!A1" xr:uid="{00000000-0004-0000-0000-0000A3010000}"/>
    <hyperlink ref="E49" location="'Table S92'!A1" display="'Table S92'!A1" xr:uid="{00000000-0004-0000-0000-0000A4010000}"/>
    <hyperlink ref="F49" location="'Table S92'!A1" display="'Table S92'!A1" xr:uid="{00000000-0004-0000-0000-0000A5010000}"/>
    <hyperlink ref="G49" location="'Table S92'!A1" display="'Table S92'!A1" xr:uid="{00000000-0004-0000-0000-0000A6010000}"/>
    <hyperlink ref="B47" location="'Table S91'!A1" display="Table S91: Young people in detention during the year by first supervision and Indigenous status, Australia, 2015–16 to 2019–20" xr:uid="{00000000-0004-0000-0000-0000A7010000}"/>
    <hyperlink ref="C50" location="'Table S93'!A1" display="'Table S93'!A1" xr:uid="{00000000-0004-0000-0000-0000A8010000}"/>
    <hyperlink ref="D50" location="'Table S93'!A1" display="'Table S93'!A1" xr:uid="{00000000-0004-0000-0000-0000A9010000}"/>
    <hyperlink ref="E50" location="'Table S93'!A1" display="'Table S93'!A1" xr:uid="{00000000-0004-0000-0000-0000AA010000}"/>
    <hyperlink ref="F50" location="'Table S93'!A1" display="'Table S93'!A1" xr:uid="{00000000-0004-0000-0000-0000AB010000}"/>
    <hyperlink ref="G50" location="'Table S93'!A1" display="'Table S93'!A1" xr:uid="{00000000-0004-0000-0000-0000AC010000}"/>
    <hyperlink ref="B50" location="'Table S92'!A1" display="Table S92: Young people in detention during the year by sex, Indigenous status and age at first supervision, Australia, 2019–20" xr:uid="{00000000-0004-0000-0000-0000AD010000}"/>
    <hyperlink ref="B51" location="'Table S93'!A1" display="Table S93: Young people in detention during the year by sex, Indigenous status and age at first supervision, states and territories, 2019–20" xr:uid="{00000000-0004-0000-0000-0000AE010000}"/>
    <hyperlink ref="C54" location="'Table S95'!A1" display="'Table S95'!A1" xr:uid="{00000000-0004-0000-0000-0000AF010000}"/>
    <hyperlink ref="D54" location="'Table S95'!A1" display="'Table S95'!A1" xr:uid="{00000000-0004-0000-0000-0000B0010000}"/>
    <hyperlink ref="E54" location="'Table S95'!A1" display="'Table S95'!A1" xr:uid="{00000000-0004-0000-0000-0000B1010000}"/>
    <hyperlink ref="F54" location="'Table S95'!A1" display="'Table S95'!A1" xr:uid="{00000000-0004-0000-0000-0000B2010000}"/>
    <hyperlink ref="G54" location="'Table S95'!A1" display="'Table S95'!A1" xr:uid="{00000000-0004-0000-0000-0000B3010000}"/>
    <hyperlink ref="H54" location="'Table S95'!A1" display="'Table S95'!A1" xr:uid="{00000000-0004-0000-0000-0000B4010000}"/>
    <hyperlink ref="B52" location="'Table S94'!A1" display="Table S94: Young people in detention during the year by sex, Indigenous status and age at first detention, Australia, 2019–20" xr:uid="{00000000-0004-0000-0000-0000B5010000}"/>
    <hyperlink ref="C55" location="'Table S96'!A1" display="'Table S96'!A1" xr:uid="{00000000-0004-0000-0000-0000B6010000}"/>
    <hyperlink ref="D55" location="'Table S96'!A1" display="'Table S96'!A1" xr:uid="{00000000-0004-0000-0000-0000B7010000}"/>
    <hyperlink ref="E55" location="'Table S96'!A1" display="'Table S96'!A1" xr:uid="{00000000-0004-0000-0000-0000B8010000}"/>
    <hyperlink ref="F55" location="'Table S96'!A1" display="'Table S96'!A1" xr:uid="{00000000-0004-0000-0000-0000B9010000}"/>
    <hyperlink ref="G55" location="'Table S96'!A1" display="'Table S96'!A1" xr:uid="{00000000-0004-0000-0000-0000BA010000}"/>
    <hyperlink ref="B53" location="'Table S95'!A1" display="Table S95: Young people in detention during the year by Indigenous status and age at first detention, states and territories, 2019–20" xr:uid="{00000000-0004-0000-0000-0000BB010000}"/>
    <hyperlink ref="C56" location="'Table S97'!A1" display="'Table S97'!A1" xr:uid="{00000000-0004-0000-0000-0000BC010000}"/>
    <hyperlink ref="D56" location="'Table S97'!A1" display="'Table S97'!A1" xr:uid="{00000000-0004-0000-0000-0000BD010000}"/>
    <hyperlink ref="E56" location="'Table S97'!A1" display="'Table S97'!A1" xr:uid="{00000000-0004-0000-0000-0000BE010000}"/>
    <hyperlink ref="F56" location="'Table S97'!A1" display="'Table S97'!A1" xr:uid="{00000000-0004-0000-0000-0000BF010000}"/>
    <hyperlink ref="G56" location="'Table S97'!A1" display="'Table S97'!A1" xr:uid="{00000000-0004-0000-0000-0000C0010000}"/>
    <hyperlink ref="B56" location="'Table S96'!A1" display="Table S96a: Young people in detention on an average day by sex, Indigenous status and remoteness of usual residence, Australia, 2019–20" xr:uid="{00000000-0004-0000-0000-0000C1010000}"/>
    <hyperlink ref="C59" location="'Table S98'!A1" display="'Table S98'!A1" xr:uid="{00000000-0004-0000-0000-0000C2010000}"/>
    <hyperlink ref="D59" location="'Table S98'!A1" display="'Table S98'!A1" xr:uid="{00000000-0004-0000-0000-0000C3010000}"/>
    <hyperlink ref="E59" location="'Table S98'!A1" display="'Table S98'!A1" xr:uid="{00000000-0004-0000-0000-0000C4010000}"/>
    <hyperlink ref="F59" location="'Table S98'!A1" display="'Table S98'!A1" xr:uid="{00000000-0004-0000-0000-0000C5010000}"/>
    <hyperlink ref="G59" location="'Table S98'!A1" display="'Table S98'!A1" xr:uid="{00000000-0004-0000-0000-0000C6010000}"/>
    <hyperlink ref="H59" location="'Table S98'!A1" display="'Table S98'!A1" xr:uid="{00000000-0004-0000-0000-0000C7010000}"/>
    <hyperlink ref="B57" location="'Table S96'!A23" display="Table S96b: Young people in detention during the year by sex, Indigenous status and remoteness of usual residence, Australia, 2019–20" xr:uid="{00000000-0004-0000-0000-0000C8010000}"/>
    <hyperlink ref="C60" location="'Table S98'!A29" display="'Table S98'!A29" xr:uid="{00000000-0004-0000-0000-0000C9010000}"/>
    <hyperlink ref="D60" location="'Table S98'!A29" display="'Table S98'!A29" xr:uid="{00000000-0004-0000-0000-0000CA010000}"/>
    <hyperlink ref="E60" location="'Table S98'!A29" display="'Table S98'!A29" xr:uid="{00000000-0004-0000-0000-0000CB010000}"/>
    <hyperlink ref="F60" location="'Table S98'!A29" display="'Table S98'!A29" xr:uid="{00000000-0004-0000-0000-0000CC010000}"/>
    <hyperlink ref="G60" location="'Table S98'!A29" display="'Table S98'!A29" xr:uid="{00000000-0004-0000-0000-0000CD010000}"/>
    <hyperlink ref="H60" location="'Table S98'!A29" display="'Table S98'!A29" xr:uid="{00000000-0004-0000-0000-0000CE010000}"/>
    <hyperlink ref="B58" location="'Table S97'!A1" display="Table S97a: Young people aged 10–17 in detention on an average day by remoteness of usual residence, states and territories, 2019–20" xr:uid="{00000000-0004-0000-0000-0000CF010000}"/>
    <hyperlink ref="C61" location="'Table S99'!A1" display="'Table S99'!A1" xr:uid="{00000000-0004-0000-0000-0000D0010000}"/>
    <hyperlink ref="D61" location="'Table S99'!A1" display="'Table S99'!A1" xr:uid="{00000000-0004-0000-0000-0000D1010000}"/>
    <hyperlink ref="E61" location="'Table S99'!A1" display="'Table S99'!A1" xr:uid="{00000000-0004-0000-0000-0000D2010000}"/>
    <hyperlink ref="F61" location="'Table S99'!A1" display="'Table S99'!A1" xr:uid="{00000000-0004-0000-0000-0000D3010000}"/>
    <hyperlink ref="G61" location="'Table S99'!A1" display="'Table S99'!A1" xr:uid="{00000000-0004-0000-0000-0000D4010000}"/>
    <hyperlink ref="H61" location="'Table S99'!A1" display="'Table S99'!A1" xr:uid="{00000000-0004-0000-0000-0000D5010000}"/>
    <hyperlink ref="I61" location="'Table S99'!A1" display="'Table S99'!A1" xr:uid="{00000000-0004-0000-0000-0000D6010000}"/>
    <hyperlink ref="B59" location="'Table S97'!A17" display="Table S97b: Young people aged 10–17 in detention during the year by remoteness of usual residence, states and territories, 2019–20" xr:uid="{00000000-0004-0000-0000-0000D7010000}"/>
    <hyperlink ref="C62" location="'Table S99'!A20" display="'Table S99'!A20" xr:uid="{00000000-0004-0000-0000-0000D8010000}"/>
    <hyperlink ref="D62" location="'Table S99'!A20" display="'Table S99'!A20" xr:uid="{00000000-0004-0000-0000-0000D9010000}"/>
    <hyperlink ref="E62" location="'Table S99'!A20" display="'Table S99'!A20" xr:uid="{00000000-0004-0000-0000-0000DA010000}"/>
    <hyperlink ref="F62" location="'Table S99'!A20" display="'Table S99'!A20" xr:uid="{00000000-0004-0000-0000-0000DB010000}"/>
    <hyperlink ref="G62" location="'Table S99'!A20" display="'Table S99'!A20" xr:uid="{00000000-0004-0000-0000-0000DC010000}"/>
    <hyperlink ref="H62" location="'Table S99'!A20" display="'Table S99'!A20" xr:uid="{00000000-0004-0000-0000-0000DD010000}"/>
    <hyperlink ref="B60" location="'Table S97'!A33" display="Table S97c: Young people aged 10–17 in detention on an average day by remoteness of usual residence, states and territories, 2019–20 (rate)" xr:uid="{00000000-0004-0000-0000-0000DE010000}"/>
    <hyperlink ref="C63" location="'Table S99'!A38" display="'Table S99'!A38" xr:uid="{00000000-0004-0000-0000-0000DF010000}"/>
    <hyperlink ref="D63" location="'Table S99'!A38" display="'Table S99'!A38" xr:uid="{00000000-0004-0000-0000-0000E0010000}"/>
    <hyperlink ref="E63" location="'Table S99'!A38" display="'Table S99'!A38" xr:uid="{00000000-0004-0000-0000-0000E1010000}"/>
    <hyperlink ref="F63" location="'Table S99'!A38" display="'Table S99'!A38" xr:uid="{00000000-0004-0000-0000-0000E2010000}"/>
    <hyperlink ref="G63" location="'Table S99'!A38" display="'Table S99'!A38" xr:uid="{00000000-0004-0000-0000-0000E3010000}"/>
    <hyperlink ref="H63" location="'Table S99'!A38" display="'Table S99'!A38" xr:uid="{00000000-0004-0000-0000-0000E4010000}"/>
    <hyperlink ref="B61" location="'Table S97'!A50" display="Table S97d: Young people aged 10–17 in detention during the year by remoteness of usual residence, states and territories, 2019–20 (rate)" xr:uid="{00000000-0004-0000-0000-0000E5010000}"/>
    <hyperlink ref="C64" location="'Table S99'!A56" display="'Table S99'!A56" xr:uid="{00000000-0004-0000-0000-0000E6010000}"/>
    <hyperlink ref="D64" location="'Table S99'!A56" display="'Table S99'!A56" xr:uid="{00000000-0004-0000-0000-0000E7010000}"/>
    <hyperlink ref="E64" location="'Table S99'!A56" display="'Table S99'!A56" xr:uid="{00000000-0004-0000-0000-0000E8010000}"/>
    <hyperlink ref="F64" location="'Table S99'!A56" display="'Table S99'!A56" xr:uid="{00000000-0004-0000-0000-0000E9010000}"/>
    <hyperlink ref="G64" location="'Table S99'!A56" display="'Table S99'!A56" xr:uid="{00000000-0004-0000-0000-0000EA010000}"/>
    <hyperlink ref="H64" location="'Table S99'!A56" display="'Table S99'!A56" xr:uid="{00000000-0004-0000-0000-0000EB010000}"/>
    <hyperlink ref="B64" location="'Table S98'!A1" display="Table S98a: Young people in detention on an average day by sex, Indigenous status and socioeconomic position of usual residence, Australia , 2019–20" xr:uid="{00000000-0004-0000-0000-0000EC010000}"/>
    <hyperlink ref="C67" location="'Table S100'!A1" display="'Table S100'!A1" xr:uid="{00000000-0004-0000-0000-0000ED010000}"/>
    <hyperlink ref="D67" location="'Table S100'!A1" display="'Table S100'!A1" xr:uid="{00000000-0004-0000-0000-0000EE010000}"/>
    <hyperlink ref="E67" location="'Table S100'!A1" display="'Table S100'!A1" xr:uid="{00000000-0004-0000-0000-0000EF010000}"/>
    <hyperlink ref="F67" location="'Table S100'!A1" display="'Table S100'!A1" xr:uid="{00000000-0004-0000-0000-0000F0010000}"/>
    <hyperlink ref="G67" location="'Table S100'!A1" display="'Table S100'!A1" xr:uid="{00000000-0004-0000-0000-0000F1010000}"/>
    <hyperlink ref="H67" location="'Table S100'!A1" display="'Table S100'!A1" xr:uid="{00000000-0004-0000-0000-0000F2010000}"/>
    <hyperlink ref="B65" location="'Table S98'!A24" display="Table S98b: Young people in detention during the year by sex, Indigenous status and socioeconomic position of usual residence, Australia , 2019–20" xr:uid="{00000000-0004-0000-0000-0000F3010000}"/>
    <hyperlink ref="C68" location="'Table S100'!A29" display="'Table S100'!A29" xr:uid="{00000000-0004-0000-0000-0000F4010000}"/>
    <hyperlink ref="D68" location="'Table S100'!A29" display="'Table S100'!A29" xr:uid="{00000000-0004-0000-0000-0000F5010000}"/>
    <hyperlink ref="E68" location="'Table S100'!A29" display="'Table S100'!A29" xr:uid="{00000000-0004-0000-0000-0000F6010000}"/>
    <hyperlink ref="F68" location="'Table S100'!A29" display="'Table S100'!A29" xr:uid="{00000000-0004-0000-0000-0000F7010000}"/>
    <hyperlink ref="G68" location="'Table S100'!A29" display="'Table S100'!A29" xr:uid="{00000000-0004-0000-0000-0000F8010000}"/>
    <hyperlink ref="H68" location="'Table S100'!A29" display="'Table S100'!A29" xr:uid="{00000000-0004-0000-0000-0000F9010000}"/>
    <hyperlink ref="B66" location="'Table S99'!A1" display="Table S99a: Young people aged 10–17 in detention on an average day by socioeconomic position of usual residence, states and territories, 2019–20" xr:uid="{00000000-0004-0000-0000-0000FA010000}"/>
    <hyperlink ref="C69" location="'Table S101'!A1" display="'Table S101'!A1" xr:uid="{00000000-0004-0000-0000-0000FB010000}"/>
    <hyperlink ref="D69" location="'Table S101'!A1" display="'Table S101'!A1" xr:uid="{00000000-0004-0000-0000-0000FC010000}"/>
    <hyperlink ref="E69" location="'Table S101'!A1" display="'Table S101'!A1" xr:uid="{00000000-0004-0000-0000-0000FD010000}"/>
    <hyperlink ref="F69" location="'Table S101'!A1" display="'Table S101'!A1" xr:uid="{00000000-0004-0000-0000-0000FE010000}"/>
    <hyperlink ref="G69" location="'Table S101'!A1" display="'Table S101'!A1" xr:uid="{00000000-0004-0000-0000-0000FF010000}"/>
    <hyperlink ref="H69" location="'Table S101'!A1" display="'Table S101'!A1" xr:uid="{00000000-0004-0000-0000-000000020000}"/>
    <hyperlink ref="B67" location="'Table S99'!A18" display="Table S99b: Young people aged 10–17 in detention during the year by socioeconomic position of usual residence, states and territories, 2019–20" xr:uid="{00000000-0004-0000-0000-000001020000}"/>
    <hyperlink ref="C70" location="'Table S101'!A20" display="'Table S101'!A20" xr:uid="{00000000-0004-0000-0000-000002020000}"/>
    <hyperlink ref="D70" location="'Table S101'!A20" display="'Table S101'!A20" xr:uid="{00000000-0004-0000-0000-000003020000}"/>
    <hyperlink ref="E70" location="'Table S101'!A20" display="'Table S101'!A20" xr:uid="{00000000-0004-0000-0000-000004020000}"/>
    <hyperlink ref="F70" location="'Table S101'!A20" display="'Table S101'!A20" xr:uid="{00000000-0004-0000-0000-000005020000}"/>
    <hyperlink ref="G70" location="'Table S101'!A20" display="'Table S101'!A20" xr:uid="{00000000-0004-0000-0000-000006020000}"/>
    <hyperlink ref="H70" location="'Table S101'!A20" display="'Table S101'!A20" xr:uid="{00000000-0004-0000-0000-000007020000}"/>
    <hyperlink ref="B68" location="'Table S99'!A35" display="Table S99c: Young people aged 10–17 in detention on an average day by socioeconomic position of usual residence, states and territories, 2019–20 (rate)" xr:uid="{00000000-0004-0000-0000-000008020000}"/>
    <hyperlink ref="C71" location="'Table S101'!A39" display="'Table S101'!A39" xr:uid="{00000000-0004-0000-0000-000009020000}"/>
    <hyperlink ref="D71" location="'Table S101'!A39" display="'Table S101'!A39" xr:uid="{00000000-0004-0000-0000-00000A020000}"/>
    <hyperlink ref="E71" location="'Table S101'!A39" display="'Table S101'!A39" xr:uid="{00000000-0004-0000-0000-00000B020000}"/>
    <hyperlink ref="F71" location="'Table S101'!A39" display="'Table S101'!A39" xr:uid="{00000000-0004-0000-0000-00000C020000}"/>
    <hyperlink ref="G71" location="'Table S101'!A39" display="'Table S101'!A39" xr:uid="{00000000-0004-0000-0000-00000D020000}"/>
    <hyperlink ref="H71" location="'Table S101'!A39" display="'Table S101'!A39" xr:uid="{00000000-0004-0000-0000-00000E020000}"/>
    <hyperlink ref="B69" location="'Table S99'!A54" display="Table S99d: Young people aged 10–17 in detention during the year by socioeconomic position of usual residence, states and territories, 2019–20 (rate)" xr:uid="{00000000-0004-0000-0000-00000F020000}"/>
    <hyperlink ref="C72" location="'Table S101'!A58" display="'Table S101'!A58" xr:uid="{00000000-0004-0000-0000-000010020000}"/>
    <hyperlink ref="D72" location="'Table S101'!A58" display="'Table S101'!A58" xr:uid="{00000000-0004-0000-0000-000011020000}"/>
    <hyperlink ref="E72" location="'Table S101'!A58" display="'Table S101'!A58" xr:uid="{00000000-0004-0000-0000-000012020000}"/>
    <hyperlink ref="F72" location="'Table S101'!A58" display="'Table S101'!A58" xr:uid="{00000000-0004-0000-0000-000013020000}"/>
    <hyperlink ref="G72" location="'Table S101'!A58" display="'Table S101'!A58" xr:uid="{00000000-0004-0000-0000-000014020000}"/>
    <hyperlink ref="H72" location="'Table S101'!A58" display="'Table S101'!A58" xr:uid="{00000000-0004-0000-0000-000015020000}"/>
    <hyperlink ref="B72" location="'Table S100'!A1" display="Table S100: Young people who completed a period of detention during the year by number of periods completed and Indigenous status, Australia, 2019–20" xr:uid="{00000000-0004-0000-0000-000016020000}"/>
    <hyperlink ref="C75" location="'Table S102'!A1" display="'Table S102'!A1" xr:uid="{00000000-0004-0000-0000-000017020000}"/>
    <hyperlink ref="D75" location="'Table S102'!A1" display="'Table S102'!A1" xr:uid="{00000000-0004-0000-0000-000018020000}"/>
    <hyperlink ref="E75" location="'Table S102'!A1" display="'Table S102'!A1" xr:uid="{00000000-0004-0000-0000-000019020000}"/>
    <hyperlink ref="F75" location="'Table S102'!A1" display="'Table S102'!A1" xr:uid="{00000000-0004-0000-0000-00001A020000}"/>
    <hyperlink ref="G75" location="'Table S102'!A1" display="'Table S102'!A1" xr:uid="{00000000-0004-0000-0000-00001B020000}"/>
    <hyperlink ref="H75" location="'Table S102'!A1" display="'Table S102'!A1" xr:uid="{00000000-0004-0000-0000-00001C020000}"/>
    <hyperlink ref="B73" location="'Table S101'!A1" display="Table S101: Number and median length of completed periods of detention by Indigenous status, states and territories, 2019–20" xr:uid="{00000000-0004-0000-0000-00001D020000}"/>
    <hyperlink ref="C76" location="'Table S103'!A1" display="'Table S103'!A1" xr:uid="{00000000-0004-0000-0000-00001E020000}"/>
    <hyperlink ref="D76" location="'Table S103'!A1" display="'Table S103'!A1" xr:uid="{00000000-0004-0000-0000-00001F020000}"/>
    <hyperlink ref="E76" location="'Table S103'!A1" display="'Table S103'!A1" xr:uid="{00000000-0004-0000-0000-000020020000}"/>
    <hyperlink ref="F76" location="'Table S103'!A1" display="'Table S103'!A1" xr:uid="{00000000-0004-0000-0000-000021020000}"/>
    <hyperlink ref="G76" location="'Table S103'!A1" display="'Table S103'!A1" xr:uid="{00000000-0004-0000-0000-000022020000}"/>
    <hyperlink ref="H76" location="'Table S103'!A1" display="'Table S103'!A1" xr:uid="{00000000-0004-0000-0000-000023020000}"/>
    <hyperlink ref="B74" location="'Table S102'!A1" display="Table S102: Average length of time young people spent in detention during the year by Indigenous status and sex, states and territories, 2015–16 to 2019–20 (days)" xr:uid="{00000000-0004-0000-0000-000024020000}"/>
    <hyperlink ref="C77" location="'Table S104'!A1" display="'Table S104'!A1" xr:uid="{00000000-0004-0000-0000-000025020000}"/>
    <hyperlink ref="D77" location="'Table S104'!A1" display="'Table S104'!A1" xr:uid="{00000000-0004-0000-0000-000026020000}"/>
    <hyperlink ref="E77" location="'Table S104'!A1" display="'Table S104'!A1" xr:uid="{00000000-0004-0000-0000-000027020000}"/>
    <hyperlink ref="F77" location="'Table S104'!A1" display="'Table S104'!A1" xr:uid="{00000000-0004-0000-0000-000028020000}"/>
    <hyperlink ref="G77" location="'Table S104'!A1" display="'Table S104'!A1" xr:uid="{00000000-0004-0000-0000-000029020000}"/>
    <hyperlink ref="H77" location="'Table S104'!A1" display="'Table S104'!A1" xr:uid="{00000000-0004-0000-0000-00002A020000}"/>
    <hyperlink ref="B77" location="'Table S103'!A1" display="Table S103a: Receptions by legal status, states and territories, 2019–20 Number of receptions" xr:uid="{00000000-0004-0000-0000-00002B020000}"/>
    <hyperlink ref="C80" location="'Table S105'!A1" display="'Table S105'!A1" xr:uid="{00000000-0004-0000-0000-00002C020000}"/>
    <hyperlink ref="D80" location="'Table S105'!A1" display="'Table S105'!A1" xr:uid="{00000000-0004-0000-0000-00002D020000}"/>
    <hyperlink ref="E80" location="'Table S105'!A1" display="'Table S105'!A1" xr:uid="{00000000-0004-0000-0000-00002E020000}"/>
    <hyperlink ref="F80" location="'Table S105'!A1" display="'Table S105'!A1" xr:uid="{00000000-0004-0000-0000-00002F020000}"/>
    <hyperlink ref="G80" location="'Table S105'!A1" display="'Table S105'!A1" xr:uid="{00000000-0004-0000-0000-000030020000}"/>
    <hyperlink ref="H80" location="'Table S105'!A1" display="'Table S105'!A1" xr:uid="{00000000-0004-0000-0000-000031020000}"/>
    <hyperlink ref="B78" location="'Table S103'!A14" display="Table S103b: Receptions by legal status, states and territories, 2019–20 Number of young people during the year" xr:uid="{00000000-0004-0000-0000-000032020000}"/>
    <hyperlink ref="C81" location="'Table S105'!A15" display="'Table S105'!A15" xr:uid="{00000000-0004-0000-0000-000033020000}"/>
    <hyperlink ref="D81" location="'Table S105'!A15" display="'Table S105'!A15" xr:uid="{00000000-0004-0000-0000-000034020000}"/>
    <hyperlink ref="E81" location="'Table S105'!A15" display="'Table S105'!A15" xr:uid="{00000000-0004-0000-0000-000035020000}"/>
    <hyperlink ref="F81" location="'Table S105'!A15" display="'Table S105'!A15" xr:uid="{00000000-0004-0000-0000-000036020000}"/>
    <hyperlink ref="G81" location="'Table S105'!A15" display="'Table S105'!A15" xr:uid="{00000000-0004-0000-0000-000037020000}"/>
    <hyperlink ref="H81" location="'Table S105'!A15" display="'Table S105'!A15" xr:uid="{00000000-0004-0000-0000-000038020000}"/>
    <hyperlink ref="B79" location="'Table S104'!A1" display="Table S104a: Releases by legal status, states and territories, 2019–20: Number of releases" xr:uid="{00000000-0004-0000-0000-000039020000}"/>
    <hyperlink ref="C84" location="'Table S106'!A1" display="'Table S106'!A1" xr:uid="{00000000-0004-0000-0000-00003A020000}"/>
    <hyperlink ref="D84" location="'Table S106'!A1" display="'Table S106'!A1" xr:uid="{00000000-0004-0000-0000-00003B020000}"/>
    <hyperlink ref="E84" location="'Table S106'!A1" display="'Table S106'!A1" xr:uid="{00000000-0004-0000-0000-00003C020000}"/>
    <hyperlink ref="F84" location="'Table S106'!A1" display="'Table S106'!A1" xr:uid="{00000000-0004-0000-0000-00003D020000}"/>
    <hyperlink ref="G84" location="'Table S106'!A1" display="'Table S106'!A1" xr:uid="{00000000-0004-0000-0000-00003E020000}"/>
    <hyperlink ref="H84" location="'Table S106'!A1" display="'Table S106'!A1" xr:uid="{00000000-0004-0000-0000-00003F020000}"/>
    <hyperlink ref="B80" location="'Table S104'!A14" display="Table S104b: Releases by legal status, states and territories, 2019–20: Number of young people during the year" xr:uid="{00000000-0004-0000-0000-000040020000}"/>
    <hyperlink ref="C85" location="'Table S106'!A13" display="'Table S106'!A13" xr:uid="{00000000-0004-0000-0000-000041020000}"/>
    <hyperlink ref="D85" location="'Table S106'!A13" display="'Table S106'!A13" xr:uid="{00000000-0004-0000-0000-000042020000}"/>
    <hyperlink ref="E85" location="'Table S106'!A13" display="'Table S106'!A13" xr:uid="{00000000-0004-0000-0000-000043020000}"/>
    <hyperlink ref="F85" location="'Table S106'!A13" display="'Table S106'!A13" xr:uid="{00000000-0004-0000-0000-000044020000}"/>
    <hyperlink ref="G85" location="'Table S106'!A13" display="'Table S106'!A13" xr:uid="{00000000-0004-0000-0000-000045020000}"/>
    <hyperlink ref="H85" location="'Table S106'!A13" display="'Table S106'!A13" xr:uid="{00000000-0004-0000-0000-000046020000}"/>
    <hyperlink ref="B81" location="'Table S105'!A1" display="Table S105: Young people received into detention during the year, number of receptions by Indigenous status, Australia, 2019–20" xr:uid="{00000000-0004-0000-0000-000047020000}"/>
    <hyperlink ref="C86" location="'Table S107'!A1" display="'Table S107'!A1" xr:uid="{00000000-0004-0000-0000-000048020000}"/>
    <hyperlink ref="D86" location="'Table S107'!A1" display="'Table S107'!A1" xr:uid="{00000000-0004-0000-0000-000049020000}"/>
    <hyperlink ref="E86" location="'Table S107'!A1" display="'Table S107'!A1" xr:uid="{00000000-0004-0000-0000-00004A020000}"/>
    <hyperlink ref="F86" location="'Table S107'!A1" display="'Table S107'!A1" xr:uid="{00000000-0004-0000-0000-00004B020000}"/>
    <hyperlink ref="G86" location="'Table S107'!A1" display="'Table S107'!A1" xr:uid="{00000000-0004-0000-0000-00004C020000}"/>
    <hyperlink ref="H86" location="'Table S107'!A1" display="'Table S107'!A1" xr:uid="{00000000-0004-0000-0000-00004D020000}"/>
    <hyperlink ref="B84" location="'Table S107'!A1" display="Table S107a: Receptions and releases by sex and month, Australia, 2021–22: Receptions" xr:uid="{00000000-0004-0000-0000-00004E020000}"/>
    <hyperlink ref="C87" location="'Table S108'!A1" display="'Table S108'!A1" xr:uid="{00000000-0004-0000-0000-00004F020000}"/>
    <hyperlink ref="D87" location="'Table S108'!A1" display="'Table S108'!A1" xr:uid="{00000000-0004-0000-0000-000050020000}"/>
    <hyperlink ref="E87" location="'Table S108'!A1" display="'Table S108'!A1" xr:uid="{00000000-0004-0000-0000-000051020000}"/>
    <hyperlink ref="F87" location="'Table S108'!A1" display="'Table S108'!A1" xr:uid="{00000000-0004-0000-0000-000052020000}"/>
    <hyperlink ref="G87" location="'Table S108'!A1" display="'Table S108'!A1" xr:uid="{00000000-0004-0000-0000-000053020000}"/>
    <hyperlink ref="H87" location="'Table S108'!A1" display="'Table S108'!A1" xr:uid="{00000000-0004-0000-0000-000054020000}"/>
    <hyperlink ref="I87" location="'Table S108'!A1" display="'Table S108'!A1" xr:uid="{00000000-0004-0000-0000-000055020000}"/>
    <hyperlink ref="B85" location="'Table S107'!A19" display="Table S107b: Receptions and releases by sex and month, Australia, 2021–22: Releases" xr:uid="{00000000-0004-0000-0000-000056020000}"/>
    <hyperlink ref="C88" location="'Table S108'!A21" display="'Table S108'!A21" xr:uid="{00000000-0004-0000-0000-000057020000}"/>
    <hyperlink ref="D88" location="'Table S108'!A21" display="'Table S108'!A21" xr:uid="{00000000-0004-0000-0000-000058020000}"/>
    <hyperlink ref="E88" location="'Table S108'!A21" display="'Table S108'!A21" xr:uid="{00000000-0004-0000-0000-000059020000}"/>
    <hyperlink ref="F88" location="'Table S108'!A21" display="'Table S108'!A21" xr:uid="{00000000-0004-0000-0000-00005A020000}"/>
    <hyperlink ref="G88" location="'Table S108'!A21" display="'Table S108'!A21" xr:uid="{00000000-0004-0000-0000-00005B020000}"/>
    <hyperlink ref="H88" location="'Table S108'!A21" display="'Table S108'!A21" xr:uid="{00000000-0004-0000-0000-00005C020000}"/>
    <hyperlink ref="B88" location="'Table S108'!A1" display="Table S108a: Young people in detention on an average day by legal status, detention type and Indigenous status, states and territories, 2021–22" xr:uid="{00000000-0004-0000-0000-00005D020000}"/>
    <hyperlink ref="C91" location="'Table S109'!A1" display="'Table S109'!A1" xr:uid="{00000000-0004-0000-0000-00005E020000}"/>
    <hyperlink ref="D91" location="'Table S109'!A1" display="'Table S109'!A1" xr:uid="{00000000-0004-0000-0000-00005F020000}"/>
    <hyperlink ref="E91" location="'Table S109'!A1" display="'Table S109'!A1" xr:uid="{00000000-0004-0000-0000-000060020000}"/>
    <hyperlink ref="F91" location="'Table S109'!A1" display="'Table S109'!A1" xr:uid="{00000000-0004-0000-0000-000061020000}"/>
    <hyperlink ref="G91" location="'Table S109'!A1" display="'Table S109'!A1" xr:uid="{00000000-0004-0000-0000-000062020000}"/>
    <hyperlink ref="H91" location="'Table S109'!A1" display="'Table S109'!A1" xr:uid="{00000000-0004-0000-0000-000063020000}"/>
    <hyperlink ref="B89" location="'Table S108'!A31" display="Table S108b: Young people in detention during the year by legal status, detention type and Indigenous status, states and territories, 2021–22" xr:uid="{00000000-0004-0000-0000-000064020000}"/>
    <hyperlink ref="C92" location="'Table S109'!A33" display="'Table S109'!A33" xr:uid="{00000000-0004-0000-0000-000065020000}"/>
    <hyperlink ref="D92" location="'Table S109'!A33" display="'Table S109'!A33" xr:uid="{00000000-0004-0000-0000-000066020000}"/>
    <hyperlink ref="E92" location="'Table S109'!A33" display="'Table S109'!A33" xr:uid="{00000000-0004-0000-0000-000067020000}"/>
    <hyperlink ref="F92" location="'Table S109'!A33" display="'Table S109'!A33" xr:uid="{00000000-0004-0000-0000-000068020000}"/>
    <hyperlink ref="G92" location="'Table S109'!A33" display="'Table S109'!A33" xr:uid="{00000000-0004-0000-0000-000069020000}"/>
    <hyperlink ref="H92" location="'Table S109'!A33" display="'Table S109'!A33" xr:uid="{00000000-0004-0000-0000-00006A020000}"/>
    <hyperlink ref="I92" location="'Table S109'!A33" display="'Table S109'!A33" xr:uid="{00000000-0004-0000-0000-00006B020000}"/>
    <hyperlink ref="B90" location="'Table S109'!A1" display="Table S109a: Young people aged 10–17 in detention on an average day by legal status, detention type and Indigenous status, states and territories, 2021–22" xr:uid="{00000000-0004-0000-0000-00006C020000}"/>
    <hyperlink ref="C93" location="'Table S110_new'!A1" display="'Table S110_new'!A1" xr:uid="{00000000-0004-0000-0000-00006D020000}"/>
    <hyperlink ref="D93" location="'Table S110_new'!A1" display="'Table S110_new'!A1" xr:uid="{00000000-0004-0000-0000-00006E020000}"/>
    <hyperlink ref="E93" location="'Table S110_new'!A1" display="'Table S110_new'!A1" xr:uid="{00000000-0004-0000-0000-00006F020000}"/>
    <hyperlink ref="F93" location="'Table S110_new'!A1" display="'Table S110_new'!A1" xr:uid="{00000000-0004-0000-0000-000070020000}"/>
    <hyperlink ref="G93" location="'Table S110_new'!A1" display="'Table S110_new'!A1" xr:uid="{00000000-0004-0000-0000-000071020000}"/>
    <hyperlink ref="H93" location="'Table S110_new'!A1" display="'Table S110_new'!A1" xr:uid="{00000000-0004-0000-0000-000072020000}"/>
    <hyperlink ref="I93" location="'Table S110_new'!A1" display="'Table S110_new'!A1" xr:uid="{00000000-0004-0000-0000-000073020000}"/>
    <hyperlink ref="B91" location="'Table S109'!A31" display="Table S109b: Young people aged 10–17 in detention during the year by legal status, detention type and Indigenous status, states and territories, 2021–22" xr:uid="{00000000-0004-0000-0000-000074020000}"/>
    <hyperlink ref="C94" location="'Table S110_new'!A33" display="'Table S110_new'!A33" xr:uid="{00000000-0004-0000-0000-000075020000}"/>
    <hyperlink ref="D94" location="'Table S110_new'!A33" display="'Table S110_new'!A33" xr:uid="{00000000-0004-0000-0000-000076020000}"/>
    <hyperlink ref="E94" location="'Table S110_new'!A33" display="'Table S110_new'!A33" xr:uid="{00000000-0004-0000-0000-000077020000}"/>
    <hyperlink ref="F94" location="'Table S110_new'!A33" display="'Table S110_new'!A33" xr:uid="{00000000-0004-0000-0000-000078020000}"/>
    <hyperlink ref="G94" location="'Table S110_new'!A33" display="'Table S110_new'!A33" xr:uid="{00000000-0004-0000-0000-000079020000}"/>
    <hyperlink ref="H94" location="'Table S110_new'!A33" display="'Table S110_new'!A33" xr:uid="{00000000-0004-0000-0000-00007A020000}"/>
    <hyperlink ref="I94" location="'Table S110_new'!A33" display="'Table S110_new'!A33" xr:uid="{00000000-0004-0000-0000-00007B020000}"/>
    <hyperlink ref="J94" location="'Table S110_new'!A33" display="'Table S110_new'!A33" xr:uid="{00000000-0004-0000-0000-00007C020000}"/>
    <hyperlink ref="B92" location="'Table S110'!A1" display="Table S110a: Young people aged 10–17 in detention on an average day by legal status and Indigenous status, states and territories, 2021–22 (rate)" xr:uid="{00000000-0004-0000-0000-00007D020000}"/>
    <hyperlink ref="C95" location="'Table S111_new'!A1" display="'Table S111_new'!A1" xr:uid="{00000000-0004-0000-0000-00007E020000}"/>
    <hyperlink ref="D95" location="'Table S111_new'!A1" display="'Table S111_new'!A1" xr:uid="{00000000-0004-0000-0000-00007F020000}"/>
    <hyperlink ref="E95" location="'Table S111_new'!A1" display="'Table S111_new'!A1" xr:uid="{00000000-0004-0000-0000-000080020000}"/>
    <hyperlink ref="F95" location="'Table S111_new'!A1" display="'Table S111_new'!A1" xr:uid="{00000000-0004-0000-0000-000081020000}"/>
    <hyperlink ref="G95" location="'Table S111_new'!A1" display="'Table S111_new'!A1" xr:uid="{00000000-0004-0000-0000-000082020000}"/>
    <hyperlink ref="H95" location="'Table S111_new'!A1" display="'Table S111_new'!A1" xr:uid="{00000000-0004-0000-0000-000083020000}"/>
    <hyperlink ref="I95" location="'Table S111_new'!A1" display="'Table S111_new'!A1" xr:uid="{00000000-0004-0000-0000-000084020000}"/>
    <hyperlink ref="B93" location="'Table S110'!A27" display="Table S110b: Young people aged 10–17 in detention during the year by legal status and Indigenous status, states and territories, 2021–22 (rate)" xr:uid="{00000000-0004-0000-0000-000085020000}"/>
    <hyperlink ref="C96" location="'Table S111_new'!A23" display="'Table S111_new'!A23" xr:uid="{00000000-0004-0000-0000-000086020000}"/>
    <hyperlink ref="D96" location="'Table S111_new'!A23" display="'Table S111_new'!A23" xr:uid="{00000000-0004-0000-0000-000087020000}"/>
    <hyperlink ref="E96" location="'Table S111_new'!A23" display="'Table S111_new'!A23" xr:uid="{00000000-0004-0000-0000-000088020000}"/>
    <hyperlink ref="F96" location="'Table S111_new'!A23" display="'Table S111_new'!A23" xr:uid="{00000000-0004-0000-0000-000089020000}"/>
    <hyperlink ref="G96" location="'Table S111_new'!A23" display="'Table S111_new'!A23" xr:uid="{00000000-0004-0000-0000-00008A020000}"/>
    <hyperlink ref="H96" location="'Table S111_new'!A23" display="'Table S111_new'!A23" xr:uid="{00000000-0004-0000-0000-00008B020000}"/>
    <hyperlink ref="I96" location="'Table S111_new'!A23" display="'Table S111_new'!A23" xr:uid="{00000000-0004-0000-0000-00008C020000}"/>
    <hyperlink ref="B94" location="'Table S111'!A1" display="Table S111: Young people in detention on an average day by legal status and month, Australia, 2021–22" xr:uid="{00000000-0004-0000-0000-00008D020000}"/>
    <hyperlink ref="C97" location="'Table S112'!A1" display="'Table S112'!A1" xr:uid="{00000000-0004-0000-0000-00008E020000}"/>
    <hyperlink ref="D97" location="'Table S112'!A1" display="'Table S112'!A1" xr:uid="{00000000-0004-0000-0000-00008F020000}"/>
    <hyperlink ref="E97" location="'Table S112'!A1" display="'Table S112'!A1" xr:uid="{00000000-0004-0000-0000-000090020000}"/>
    <hyperlink ref="F97" location="'Table S112'!A1" display="'Table S112'!A1" xr:uid="{00000000-0004-0000-0000-000091020000}"/>
    <hyperlink ref="G97" location="'Table S112'!A1" display="'Table S112'!A1" xr:uid="{00000000-0004-0000-0000-000092020000}"/>
    <hyperlink ref="H97" location="'Table S112'!A1" display="'Table S112'!A1" xr:uid="{00000000-0004-0000-0000-000093020000}"/>
    <hyperlink ref="B95" location="'Table S112'!A1" display="Table S112: Young people in detention on an average day by legal status and Indigenous status, states and territories, 2017–18 to 2021–22" xr:uid="{00000000-0004-0000-0000-000094020000}"/>
    <hyperlink ref="B98" location="'Table S113'!A1" display="Table S113a: Young people in unsentenced detention on an average day by age and Indigenous status, states and territories, 2021–22" xr:uid="{00000000-0004-0000-0000-000095020000}"/>
    <hyperlink ref="C101" location="'Table S114'!A1" display="'Table S114'!A1" xr:uid="{00000000-0004-0000-0000-000096020000}"/>
    <hyperlink ref="D101" location="'Table S114'!A1" display="'Table S114'!A1" xr:uid="{00000000-0004-0000-0000-000097020000}"/>
    <hyperlink ref="E101" location="'Table S114'!A1" display="'Table S114'!A1" xr:uid="{00000000-0004-0000-0000-000098020000}"/>
    <hyperlink ref="F101" location="'Table S114'!A1" display="'Table S114'!A1" xr:uid="{00000000-0004-0000-0000-000099020000}"/>
    <hyperlink ref="G101" location="'Table S114'!A1" display="'Table S114'!A1" xr:uid="{00000000-0004-0000-0000-00009A020000}"/>
    <hyperlink ref="B99" location="'Table S113'!A27" display="Table S113b: Young people in unsentenced detention during the year by age and Indigenous status, states and territories, 2021–22" xr:uid="{00000000-0004-0000-0000-00009B020000}"/>
    <hyperlink ref="C102" location="'Table S114'!A29" display="'Table S114'!A29" xr:uid="{00000000-0004-0000-0000-00009C020000}"/>
    <hyperlink ref="D102" location="'Table S114'!A29" display="'Table S114'!A29" xr:uid="{00000000-0004-0000-0000-00009D020000}"/>
    <hyperlink ref="E102" location="'Table S114'!A29" display="'Table S114'!A29" xr:uid="{00000000-0004-0000-0000-00009E020000}"/>
    <hyperlink ref="F102" location="'Table S114'!A29" display="'Table S114'!A29" xr:uid="{00000000-0004-0000-0000-00009F020000}"/>
    <hyperlink ref="G102" location="'Table S114'!A29" display="'Table S114'!A29" xr:uid="{00000000-0004-0000-0000-0000A0020000}"/>
    <hyperlink ref="B100" location="'Table S114'!A1" display="Table S114a: Young people in unsentenced detention on an average day, states and territories, 2017–18 to 2021–22" xr:uid="{00000000-0004-0000-0000-0000A1020000}"/>
    <hyperlink ref="C103" location="'Table S115'!A1" display="'Table S115'!A1" xr:uid="{00000000-0004-0000-0000-0000A2020000}"/>
    <hyperlink ref="D103" location="'Table S115'!A1" display="'Table S115'!A1" xr:uid="{00000000-0004-0000-0000-0000A3020000}"/>
    <hyperlink ref="E103" location="'Table S115'!A1" display="'Table S115'!A1" xr:uid="{00000000-0004-0000-0000-0000A4020000}"/>
    <hyperlink ref="B101" location="'Table S114'!A15" display="Table S114b: Young people in unsentenced detention during the year, states and territories, 2017–18 to 2021–22" xr:uid="{00000000-0004-0000-0000-0000A5020000}"/>
    <hyperlink ref="C104" location="'Table S115'!A17" display="'Table S115'!A17" xr:uid="{00000000-0004-0000-0000-0000A6020000}"/>
    <hyperlink ref="D104" location="'Table S115'!A17" display="'Table S115'!A17" xr:uid="{00000000-0004-0000-0000-0000A7020000}"/>
    <hyperlink ref="E104" location="'Table S115'!A17" display="'Table S115'!A17" xr:uid="{00000000-0004-0000-0000-0000A8020000}"/>
    <hyperlink ref="F104" location="'Table S115'!A17" display="'Table S115'!A17" xr:uid="{00000000-0004-0000-0000-0000A9020000}"/>
    <hyperlink ref="B102" location="'Table S115'!A1" display="Table S115: Young people who completed a period of unsentenced detention during the year by number of periods completed and Indigenous status, Australia, 2021–22" xr:uid="{00000000-0004-0000-0000-0000AA020000}"/>
    <hyperlink ref="C105" location="'Table S116'!A1" display="'Table S116'!A1" xr:uid="{00000000-0004-0000-0000-0000AB020000}"/>
    <hyperlink ref="D105" location="'Table S116'!A1" display="'Table S116'!A1" xr:uid="{00000000-0004-0000-0000-0000AC020000}"/>
    <hyperlink ref="E105" location="'Table S116'!A1" display="'Table S116'!A1" xr:uid="{00000000-0004-0000-0000-0000AD020000}"/>
    <hyperlink ref="F105" location="'Table S116'!A1" display="'Table S116'!A1" xr:uid="{00000000-0004-0000-0000-0000AE020000}"/>
    <hyperlink ref="G105" location="'Table S116'!A1" display="'Table S116'!A1" xr:uid="{00000000-0004-0000-0000-0000AF020000}"/>
    <hyperlink ref="B103" location="'Table S116'!A1" display="Table S116: Number and median length of completed periods of unsentenced detention by Indigenous status, states and territories, 2021–22" xr:uid="{00000000-0004-0000-0000-0000B0020000}"/>
    <hyperlink ref="B104" location="'Table S117'!A1" display="Table S117: Average length of time young people spent in unsentenced detention during the year by Indigenous status, states and territories, 2017–18 to 2021–22 (days)" xr:uid="{00000000-0004-0000-0000-0000B1020000}"/>
    <hyperlink ref="C106" location="'Table S118'!A1" display="'Table S118'!A1" xr:uid="{00000000-0004-0000-0000-0000B2020000}"/>
    <hyperlink ref="D106" location="'Table S118'!A1" display="'Table S118'!A1" xr:uid="{00000000-0004-0000-0000-0000B3020000}"/>
    <hyperlink ref="E106" location="'Table S118'!A1" display="'Table S118'!A1" xr:uid="{00000000-0004-0000-0000-0000B4020000}"/>
    <hyperlink ref="F106" location="'Table S118'!A1" display="'Table S118'!A1" xr:uid="{00000000-0004-0000-0000-0000B5020000}"/>
    <hyperlink ref="G106" location="'Table S118'!A1" display="'Table S118'!A1" xr:uid="{00000000-0004-0000-0000-0000B6020000}"/>
    <hyperlink ref="B105" location="'Table S118'!A1" display="Table S118: Periods of remand by end reason and Indigenous status, states and territories, 2021–22" xr:uid="{00000000-0004-0000-0000-0000B7020000}"/>
    <hyperlink ref="C107" location="'Table S119'!A1" display="'Table S119'!A1" xr:uid="{00000000-0004-0000-0000-0000B8020000}"/>
    <hyperlink ref="D107" location="'Table S119'!A1" display="'Table S119'!A1" xr:uid="{00000000-0004-0000-0000-0000B9020000}"/>
    <hyperlink ref="E107" location="'Table S119'!A1" display="'Table S119'!A1" xr:uid="{00000000-0004-0000-0000-0000BA020000}"/>
    <hyperlink ref="F107" location="'Table S119'!A1" display="'Table S119'!A1" xr:uid="{00000000-0004-0000-0000-0000BB020000}"/>
    <hyperlink ref="G107" location="'Table S119'!A1" display="'Table S119'!A1" xr:uid="{00000000-0004-0000-0000-0000BC020000}"/>
    <hyperlink ref="C108" location="'Table S120'!A1" display="'Table S120'!A1" xr:uid="{00000000-0004-0000-0000-0000BD020000}"/>
    <hyperlink ref="D108" location="'Table S120'!A1" display="'Table S120'!A1" xr:uid="{00000000-0004-0000-0000-0000BE020000}"/>
    <hyperlink ref="E108" location="'Table S120'!A1" display="'Table S120'!A1" xr:uid="{00000000-0004-0000-0000-0000BF020000}"/>
    <hyperlink ref="F108" location="'Table S120'!A1" display="'Table S120'!A1" xr:uid="{00000000-0004-0000-0000-0000C0020000}"/>
    <hyperlink ref="G108" location="'Table S120'!A1" display="'Table S120'!A1" xr:uid="{00000000-0004-0000-0000-0000C1020000}"/>
    <hyperlink ref="H108" location="'Table S120'!A1" display="'Table S120'!A1" xr:uid="{00000000-0004-0000-0000-0000C2020000}"/>
    <hyperlink ref="I108" location="'Table S120'!A1" display="'Table S120'!A1" xr:uid="{00000000-0004-0000-0000-0000C3020000}"/>
    <hyperlink ref="B108" location="'Table S119'!A1" display="Table S119a: Young people in sentenced detention on an average day by age and Indigenous status, states and territories, 2022–23" xr:uid="{00000000-0004-0000-0000-0000C4020000}"/>
    <hyperlink ref="C111" location="'Table S121'!A1" display="'Table S121'!A1" xr:uid="{00000000-0004-0000-0000-0000C5020000}"/>
    <hyperlink ref="D111" location="'Table S121'!A1" display="'Table S121'!A1" xr:uid="{00000000-0004-0000-0000-0000C6020000}"/>
    <hyperlink ref="E111" location="'Table S121'!A1" display="'Table S121'!A1" xr:uid="{00000000-0004-0000-0000-0000C7020000}"/>
    <hyperlink ref="F111" location="'Table S121'!A1" display="'Table S121'!A1" xr:uid="{00000000-0004-0000-0000-0000C8020000}"/>
    <hyperlink ref="G111" location="'Table S121'!A1" display="'Table S121'!A1" xr:uid="{00000000-0004-0000-0000-0000C9020000}"/>
    <hyperlink ref="B109" location="'Table S119'!A26" display="Table S119b: Young people in sentenced detention during the year by age and Indigenous status, states and territories, 2022–23" xr:uid="{00000000-0004-0000-0000-0000CA020000}"/>
    <hyperlink ref="C112" location="'Table S121'!A29" display="'Table S121'!A29" xr:uid="{00000000-0004-0000-0000-0000CB020000}"/>
    <hyperlink ref="D112" location="'Table S121'!A29" display="'Table S121'!A29" xr:uid="{00000000-0004-0000-0000-0000CC020000}"/>
    <hyperlink ref="E112" location="'Table S121'!A29" display="'Table S121'!A29" xr:uid="{00000000-0004-0000-0000-0000CD020000}"/>
    <hyperlink ref="F112" location="'Table S121'!A29" display="'Table S121'!A29" xr:uid="{00000000-0004-0000-0000-0000CE020000}"/>
    <hyperlink ref="G112" location="'Table S121'!A29" display="'Table S121'!A29" xr:uid="{00000000-0004-0000-0000-0000CF020000}"/>
    <hyperlink ref="H112" location="'Table S121'!A29" display="'Table S121'!A29" xr:uid="{00000000-0004-0000-0000-0000D0020000}"/>
    <hyperlink ref="B110" location="'Table S120'!A1" display="Table S120a: Young people in sentenced detention on an average day, states and territories, 2018–19 to 2022–23" xr:uid="{00000000-0004-0000-0000-0000D1020000}"/>
    <hyperlink ref="C113" location="'Table S122'!A1" display="'Table S122'!A1" xr:uid="{00000000-0004-0000-0000-0000D2020000}"/>
    <hyperlink ref="D113" location="'Table S122'!A1" display="'Table S122'!A1" xr:uid="{00000000-0004-0000-0000-0000D3020000}"/>
    <hyperlink ref="E113" location="'Table S122'!A1" display="'Table S122'!A1" xr:uid="{00000000-0004-0000-0000-0000D4020000}"/>
    <hyperlink ref="F113" location="'Table S122'!A1" display="'Table S122'!A1" xr:uid="{00000000-0004-0000-0000-0000D5020000}"/>
    <hyperlink ref="G113" location="'Table S122'!A1" display="'Table S122'!A1" xr:uid="{00000000-0004-0000-0000-0000D6020000}"/>
    <hyperlink ref="B111" location="'Table S120'!A15" display="Table S120b: Young people in sentenced detention during the year, states and territories, 2018–19 to 2022–23" xr:uid="{00000000-0004-0000-0000-0000D7020000}"/>
    <hyperlink ref="C114" location="'Table S122'!A20" display="'Table S122'!A20" xr:uid="{00000000-0004-0000-0000-0000D8020000}"/>
    <hyperlink ref="D114" location="'Table S122'!A20" display="'Table S122'!A20" xr:uid="{00000000-0004-0000-0000-0000D9020000}"/>
    <hyperlink ref="E114" location="'Table S122'!A20" display="'Table S122'!A20" xr:uid="{00000000-0004-0000-0000-0000DA020000}"/>
    <hyperlink ref="F114" location="'Table S122'!A20" display="'Table S122'!A20" xr:uid="{00000000-0004-0000-0000-0000DB020000}"/>
    <hyperlink ref="G114" location="'Table S122'!A20" display="'Table S122'!A20" xr:uid="{00000000-0004-0000-0000-0000DC020000}"/>
    <hyperlink ref="H114" location="'Table S122'!A20" display="'Table S122'!A20" xr:uid="{00000000-0004-0000-0000-0000DD020000}"/>
    <hyperlink ref="B112" location="'Table S121'!A1" display="Table S121: Young people who completed a period of sentenced detention during the year, number of periods completed by Indigenous status, Australia, 2022–23" xr:uid="{00000000-0004-0000-0000-0000DE020000}"/>
    <hyperlink ref="C115" location="'Table S119'!A1" display="'Table S119'!A1" xr:uid="{00000000-0004-0000-0000-0000DF020000}"/>
    <hyperlink ref="D115" location="'Table S119'!A1" display="'Table S119'!A1" xr:uid="{00000000-0004-0000-0000-0000E0020000}"/>
    <hyperlink ref="C116" location="'Table S120'!A1" display="'Table S120'!A1" xr:uid="{00000000-0004-0000-0000-0000E1020000}"/>
    <hyperlink ref="D116" location="'Table S120'!A1" display="'Table S120'!A1" xr:uid="{00000000-0004-0000-0000-0000E2020000}"/>
    <hyperlink ref="B114" location="'Table S123'!A1" display="Table S123: Periods of sentenced detention by end reason and Indigenous status, states and territories, 2022–23" xr:uid="{00000000-0004-0000-0000-0000E3020000}"/>
    <hyperlink ref="C117" location="'Table S121'!A1" display="'Table S121'!A1" xr:uid="{00000000-0004-0000-0000-0000E4020000}"/>
    <hyperlink ref="D117" location="'Table S121'!A1" display="'Table S121'!A1" xr:uid="{00000000-0004-0000-0000-0000E5020000}"/>
    <hyperlink ref="B115" location="'Table S124'!A1" display="Table S124: Average length of time spent in sentenced detention during the year by Indigenous status, states and territories, 2018–19 to 2022–23 (days)" xr:uid="{00000000-0004-0000-0000-0000E6020000}"/>
    <hyperlink ref="C118" location="'Table S122'!A1" display="'Table S122'!A1" xr:uid="{00000000-0004-0000-0000-0000E7020000}"/>
    <hyperlink ref="D118" location="'Table S122'!A1" display="'Table S122'!A1" xr:uid="{00000000-0004-0000-0000-0000E8020000}"/>
    <hyperlink ref="B116" location="'Table S125'!A1" display="Table S125: Young people in sentenced detention by previous supervised sentence, Australia, 2022–23" xr:uid="{00000000-0004-0000-0000-0000E9020000}"/>
    <hyperlink ref="C119" location="'Table S123'!A1" display="'Table S123'!A1" xr:uid="{00000000-0004-0000-0000-0000EA020000}"/>
    <hyperlink ref="D119" location="'Table S123'!A1" display="'Table S123'!A1" xr:uid="{00000000-0004-0000-0000-0000EB020000}"/>
    <hyperlink ref="B23" location="'Table S78'!A56" display="Table S78c: Young people in detention on an average day by Indigenous status and age, states and territories, 2020–21 (rate)" xr:uid="{00000000-0004-0000-0000-0000EC020000}"/>
    <hyperlink ref="B24" location="'Table S78'!A76" display="Table S78d: Young people in detention during the year by Indigenous status and age, states and territories, 2020–21 (rate)" xr:uid="{00000000-0004-0000-0000-0000ED020000}"/>
    <hyperlink ref="B113" location="'Table S122'!A1" display="Table S122: Number and median length of completed periods of sentenced detention by Indigenous status, states and territories, 2022–23" xr:uid="{00000000-0004-0000-0000-0000EE020000}"/>
    <hyperlink ref="B83" location="'Table S106'!A1" display="Table S106b: Young people released from detention during the year, number of releases by Indigenous status, Australia, 2021–22" xr:uid="{00000000-0004-0000-0000-0000EF020000}"/>
    <hyperlink ref="B82" location="'Table S106'!A1" display="Table S106a: Young people received into detention during the year, number of receptions by Indigenous status, Australia, 2021–22" xr:uid="{00000000-0004-0000-0000-0000F0020000}"/>
    <hyperlink ref="B12" location="'Table S73'!A1" display="Table S73b: Young people in detention during the year by sex and Indigenous status, states and territories, 2023-24" xr:uid="{AFE8805B-F93A-4D55-865B-D89699B9AA5A}"/>
    <hyperlink ref="B9" location="'Table S72'!A1" display="Table S72a: Young people in detention in an average day by age, states and territories, 2019–20" xr:uid="{00000000-0004-0000-0000-000001000000}"/>
    <hyperlink ref="B4" location="'Notes and Symbols'!A1" display="Notes and Symbols" xr:uid="{2E92E267-CEE3-4E1F-A4D4-F841EC1F67F9}"/>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40"/>
  <sheetViews>
    <sheetView zoomScale="80" zoomScaleNormal="80" workbookViewId="0">
      <selection activeCell="M19" sqref="M19"/>
    </sheetView>
  </sheetViews>
  <sheetFormatPr defaultColWidth="9.140625" defaultRowHeight="15" x14ac:dyDescent="0.25"/>
  <cols>
    <col min="1" max="3" width="11.42578125" style="1" bestFit="1" customWidth="1"/>
    <col min="4" max="12" width="13.5703125" style="1" bestFit="1" customWidth="1"/>
    <col min="13" max="16384" width="9.140625" style="1"/>
  </cols>
  <sheetData>
    <row r="1" spans="1:30" ht="25.5" customHeight="1" x14ac:dyDescent="0.25">
      <c r="A1" s="200" t="s">
        <v>270</v>
      </c>
      <c r="B1" s="200"/>
      <c r="C1" s="200"/>
      <c r="D1" s="200"/>
      <c r="E1" s="200"/>
      <c r="F1" s="200"/>
      <c r="G1" s="200"/>
      <c r="H1" s="200"/>
      <c r="I1" s="200"/>
      <c r="J1" s="200"/>
    </row>
    <row r="2" spans="1:30" ht="3.75" customHeight="1" x14ac:dyDescent="0.25">
      <c r="A2" s="2"/>
    </row>
    <row r="3" spans="1:30" x14ac:dyDescent="0.25">
      <c r="A3" s="36" t="s">
        <v>184</v>
      </c>
      <c r="B3" s="3" t="s">
        <v>1</v>
      </c>
      <c r="C3" s="3" t="s">
        <v>2</v>
      </c>
      <c r="D3" s="3" t="s">
        <v>3</v>
      </c>
      <c r="E3" s="3" t="s">
        <v>4</v>
      </c>
      <c r="F3" s="3" t="s">
        <v>5</v>
      </c>
      <c r="G3" s="3" t="s">
        <v>6</v>
      </c>
      <c r="H3" s="3" t="s">
        <v>7</v>
      </c>
      <c r="I3" s="3" t="s">
        <v>8</v>
      </c>
      <c r="J3" s="3" t="s">
        <v>9</v>
      </c>
      <c r="T3" s="174"/>
    </row>
    <row r="4" spans="1:30" x14ac:dyDescent="0.25">
      <c r="A4" s="106">
        <v>10</v>
      </c>
      <c r="B4" s="5" t="s">
        <v>167</v>
      </c>
      <c r="C4" s="5" t="s">
        <v>167</v>
      </c>
      <c r="D4" s="5" t="s">
        <v>167</v>
      </c>
      <c r="E4" s="107" t="s">
        <v>167</v>
      </c>
      <c r="F4" s="5" t="s">
        <v>167</v>
      </c>
      <c r="G4" s="5" t="s">
        <v>167</v>
      </c>
      <c r="H4" s="5" t="s">
        <v>167</v>
      </c>
      <c r="I4" s="5" t="s">
        <v>167</v>
      </c>
      <c r="J4" s="5" t="s">
        <v>167</v>
      </c>
      <c r="K4" s="5"/>
      <c r="L4" s="5"/>
      <c r="M4" s="5"/>
      <c r="N4" s="5"/>
      <c r="O4" s="5"/>
      <c r="P4" s="5"/>
      <c r="Q4" s="5"/>
      <c r="R4" s="5"/>
      <c r="S4" s="5"/>
      <c r="T4" s="174"/>
    </row>
    <row r="5" spans="1:30" x14ac:dyDescent="0.25">
      <c r="A5" s="106">
        <v>11</v>
      </c>
      <c r="B5" s="107">
        <v>0.3</v>
      </c>
      <c r="C5" s="5" t="s">
        <v>167</v>
      </c>
      <c r="D5" s="5">
        <v>0.7</v>
      </c>
      <c r="E5" s="107">
        <v>0.2</v>
      </c>
      <c r="F5" s="5" t="s">
        <v>167</v>
      </c>
      <c r="G5" s="5" t="s">
        <v>167</v>
      </c>
      <c r="H5" s="5" t="s">
        <v>167</v>
      </c>
      <c r="I5" s="5" t="s">
        <v>167</v>
      </c>
      <c r="J5" s="107">
        <v>1.2</v>
      </c>
      <c r="K5" s="5"/>
      <c r="L5" s="5"/>
      <c r="M5" s="5"/>
      <c r="N5" s="5"/>
      <c r="O5" s="5"/>
      <c r="P5" s="5"/>
      <c r="Q5" s="5"/>
      <c r="R5" s="5"/>
      <c r="S5" s="5"/>
      <c r="T5" s="174"/>
    </row>
    <row r="6" spans="1:30" x14ac:dyDescent="0.25">
      <c r="A6" s="106">
        <v>12</v>
      </c>
      <c r="B6" s="107">
        <v>0.9</v>
      </c>
      <c r="C6" s="5" t="s">
        <v>167</v>
      </c>
      <c r="D6" s="107">
        <v>5.5</v>
      </c>
      <c r="E6" s="107">
        <v>1</v>
      </c>
      <c r="F6" s="107">
        <v>0.4</v>
      </c>
      <c r="G6" s="5">
        <v>0.1</v>
      </c>
      <c r="H6" s="107">
        <v>0.1</v>
      </c>
      <c r="I6" s="107">
        <v>0.2</v>
      </c>
      <c r="J6" s="107">
        <v>8.1</v>
      </c>
      <c r="K6" s="5"/>
      <c r="L6" s="5"/>
      <c r="M6" s="5"/>
      <c r="N6" s="5"/>
      <c r="O6" s="5"/>
      <c r="P6" s="5"/>
      <c r="Q6" s="5"/>
      <c r="R6" s="5"/>
      <c r="S6" s="5"/>
      <c r="T6" s="174"/>
    </row>
    <row r="7" spans="1:30" x14ac:dyDescent="0.25">
      <c r="A7" s="106">
        <v>13</v>
      </c>
      <c r="B7" s="107">
        <v>5.6</v>
      </c>
      <c r="C7" s="107">
        <v>0.3</v>
      </c>
      <c r="D7" s="107">
        <v>16</v>
      </c>
      <c r="E7" s="107">
        <v>3.9</v>
      </c>
      <c r="F7" s="107">
        <v>1.8</v>
      </c>
      <c r="G7" s="107">
        <v>0.6</v>
      </c>
      <c r="H7" s="107">
        <v>0.7</v>
      </c>
      <c r="I7" s="107">
        <v>2.1</v>
      </c>
      <c r="J7" s="107">
        <v>31</v>
      </c>
      <c r="K7" s="5"/>
      <c r="L7" s="5"/>
      <c r="M7" s="5"/>
      <c r="N7" s="5"/>
      <c r="O7" s="5"/>
      <c r="P7" s="5"/>
      <c r="Q7" s="5"/>
      <c r="R7" s="5"/>
      <c r="S7" s="5"/>
      <c r="T7" s="174"/>
    </row>
    <row r="8" spans="1:30" x14ac:dyDescent="0.25">
      <c r="A8" s="106">
        <v>14</v>
      </c>
      <c r="B8" s="107">
        <v>17.3</v>
      </c>
      <c r="C8" s="107">
        <v>3.8</v>
      </c>
      <c r="D8" s="107">
        <v>37.200000000000003</v>
      </c>
      <c r="E8" s="107">
        <v>6.9</v>
      </c>
      <c r="F8" s="107">
        <v>3.4</v>
      </c>
      <c r="G8" s="107">
        <v>1.4</v>
      </c>
      <c r="H8" s="107">
        <v>0.7</v>
      </c>
      <c r="I8" s="107">
        <v>5.3</v>
      </c>
      <c r="J8" s="107">
        <v>76.2</v>
      </c>
      <c r="K8" s="5"/>
      <c r="L8" s="5"/>
      <c r="M8" s="5"/>
      <c r="N8" s="5"/>
      <c r="O8" s="5"/>
      <c r="P8" s="5"/>
      <c r="Q8" s="5"/>
      <c r="R8" s="5"/>
      <c r="S8" s="5"/>
      <c r="T8" s="174"/>
    </row>
    <row r="9" spans="1:30" x14ac:dyDescent="0.25">
      <c r="A9" s="106">
        <v>15</v>
      </c>
      <c r="B9" s="107">
        <v>39.4</v>
      </c>
      <c r="C9" s="107">
        <v>13.3</v>
      </c>
      <c r="D9" s="107">
        <v>64.8</v>
      </c>
      <c r="E9" s="107">
        <v>14.3</v>
      </c>
      <c r="F9" s="107">
        <v>7.3</v>
      </c>
      <c r="G9" s="107">
        <v>2.9</v>
      </c>
      <c r="H9" s="107">
        <v>3.9</v>
      </c>
      <c r="I9" s="107">
        <v>9.4</v>
      </c>
      <c r="J9" s="107">
        <v>155.30000000000001</v>
      </c>
      <c r="K9" s="5"/>
      <c r="L9" s="5"/>
      <c r="M9" s="5"/>
      <c r="N9" s="5"/>
      <c r="O9" s="5"/>
      <c r="P9" s="5"/>
      <c r="Q9" s="5"/>
      <c r="R9" s="5"/>
      <c r="S9" s="5"/>
      <c r="T9" s="174"/>
    </row>
    <row r="10" spans="1:30" x14ac:dyDescent="0.25">
      <c r="A10" s="106">
        <v>16</v>
      </c>
      <c r="B10" s="107">
        <v>55.7</v>
      </c>
      <c r="C10" s="107">
        <v>23.2</v>
      </c>
      <c r="D10" s="107">
        <v>84.3</v>
      </c>
      <c r="E10" s="107">
        <v>21.3</v>
      </c>
      <c r="F10" s="107">
        <v>13.5</v>
      </c>
      <c r="G10" s="107">
        <v>3.9</v>
      </c>
      <c r="H10" s="107">
        <v>6.7</v>
      </c>
      <c r="I10" s="107">
        <v>9.5</v>
      </c>
      <c r="J10" s="107">
        <v>217.9</v>
      </c>
      <c r="K10" s="5"/>
      <c r="L10" s="5"/>
      <c r="M10" s="5"/>
      <c r="N10" s="5"/>
      <c r="O10" s="5"/>
      <c r="P10" s="5"/>
      <c r="Q10" s="5"/>
      <c r="R10" s="5"/>
      <c r="S10" s="5"/>
      <c r="T10" s="174"/>
    </row>
    <row r="11" spans="1:30" x14ac:dyDescent="0.25">
      <c r="A11" s="106">
        <v>17</v>
      </c>
      <c r="B11" s="107">
        <v>65</v>
      </c>
      <c r="C11" s="107">
        <v>33.200000000000003</v>
      </c>
      <c r="D11" s="107">
        <v>81.2</v>
      </c>
      <c r="E11" s="107">
        <v>26.3</v>
      </c>
      <c r="F11" s="107">
        <v>11.8</v>
      </c>
      <c r="G11" s="107">
        <v>5.4</v>
      </c>
      <c r="H11" s="107">
        <v>5</v>
      </c>
      <c r="I11" s="107">
        <v>15.9</v>
      </c>
      <c r="J11" s="107">
        <v>244</v>
      </c>
      <c r="K11" s="5"/>
      <c r="L11" s="5"/>
      <c r="M11" s="5"/>
      <c r="N11" s="5"/>
      <c r="O11" s="5"/>
      <c r="P11" s="5"/>
      <c r="Q11" s="5"/>
      <c r="R11" s="5"/>
      <c r="S11" s="5"/>
      <c r="T11" s="174"/>
    </row>
    <row r="12" spans="1:30" x14ac:dyDescent="0.25">
      <c r="A12" s="37" t="s">
        <v>10</v>
      </c>
      <c r="B12" s="38">
        <v>184.3</v>
      </c>
      <c r="C12" s="38">
        <v>73.900000000000006</v>
      </c>
      <c r="D12" s="38">
        <v>289.8</v>
      </c>
      <c r="E12" s="38">
        <v>73.900000000000006</v>
      </c>
      <c r="F12" s="38">
        <v>38.200000000000003</v>
      </c>
      <c r="G12" s="38">
        <v>14.3</v>
      </c>
      <c r="H12" s="38">
        <v>17.100000000000001</v>
      </c>
      <c r="I12" s="38">
        <v>42.4</v>
      </c>
      <c r="J12" s="38">
        <v>733.7</v>
      </c>
      <c r="K12" s="38"/>
      <c r="L12" s="38"/>
      <c r="M12" s="38"/>
      <c r="N12" s="38"/>
      <c r="O12" s="38"/>
      <c r="P12" s="38"/>
      <c r="Q12" s="38"/>
      <c r="R12" s="38"/>
      <c r="S12" s="38"/>
      <c r="T12" s="174"/>
      <c r="AC12" s="136"/>
      <c r="AD12" s="136"/>
    </row>
    <row r="13" spans="1:30" x14ac:dyDescent="0.25">
      <c r="A13" s="106" t="s">
        <v>11</v>
      </c>
      <c r="B13" s="107">
        <v>47</v>
      </c>
      <c r="C13" s="107">
        <v>54.7</v>
      </c>
      <c r="D13" s="107">
        <v>10.9</v>
      </c>
      <c r="E13" s="107">
        <v>1.6</v>
      </c>
      <c r="F13" s="107">
        <v>3.8</v>
      </c>
      <c r="G13" s="107">
        <v>1.5</v>
      </c>
      <c r="H13" s="107">
        <v>2.1</v>
      </c>
      <c r="I13" s="107">
        <v>4.0999999999999996</v>
      </c>
      <c r="J13" s="107">
        <v>125.8</v>
      </c>
      <c r="K13" s="5"/>
      <c r="L13" s="5"/>
      <c r="M13" s="5"/>
      <c r="N13" s="5"/>
      <c r="O13" s="5"/>
      <c r="P13" s="5"/>
      <c r="Q13" s="5"/>
      <c r="R13" s="5"/>
      <c r="S13" s="5"/>
      <c r="T13" s="174"/>
      <c r="W13" s="136"/>
    </row>
    <row r="14" spans="1:30" x14ac:dyDescent="0.25">
      <c r="A14" s="105" t="s">
        <v>12</v>
      </c>
      <c r="B14" s="76">
        <v>231.3</v>
      </c>
      <c r="C14" s="76">
        <v>128.6</v>
      </c>
      <c r="D14" s="76">
        <v>300.7</v>
      </c>
      <c r="E14" s="76">
        <v>75.5</v>
      </c>
      <c r="F14" s="76">
        <v>42</v>
      </c>
      <c r="G14" s="76">
        <v>15.8</v>
      </c>
      <c r="H14" s="76">
        <v>19.100000000000001</v>
      </c>
      <c r="I14" s="76">
        <v>46.5</v>
      </c>
      <c r="J14" s="76">
        <v>859.5</v>
      </c>
      <c r="K14" s="76"/>
      <c r="L14" s="76"/>
      <c r="M14" s="76"/>
      <c r="N14" s="76"/>
      <c r="O14" s="76"/>
      <c r="P14" s="76"/>
      <c r="Q14" s="76"/>
      <c r="R14" s="76"/>
      <c r="S14" s="76"/>
      <c r="T14" s="174"/>
    </row>
    <row r="15" spans="1:30" ht="3.75" customHeight="1" x14ac:dyDescent="0.25">
      <c r="A15" s="2"/>
      <c r="D15" s="1">
        <v>300.7</v>
      </c>
    </row>
    <row r="16" spans="1:30" ht="11.1" customHeight="1" x14ac:dyDescent="0.25">
      <c r="A16" s="201" t="s">
        <v>13</v>
      </c>
      <c r="B16" s="201"/>
      <c r="C16" s="201"/>
      <c r="D16" s="201"/>
      <c r="E16" s="201"/>
      <c r="F16" s="201"/>
      <c r="G16" s="201"/>
      <c r="H16" s="201"/>
      <c r="I16" s="201"/>
      <c r="J16" s="201"/>
    </row>
    <row r="17" spans="1:32" s="6" customFormat="1" ht="11.1" customHeight="1" x14ac:dyDescent="0.25">
      <c r="A17" s="6" t="s">
        <v>14</v>
      </c>
      <c r="U17" s="1"/>
      <c r="V17" s="1"/>
      <c r="W17" s="1"/>
      <c r="X17" s="1"/>
      <c r="Y17" s="1"/>
      <c r="Z17" s="1"/>
      <c r="AA17" s="1"/>
      <c r="AB17" s="1"/>
      <c r="AC17" s="1"/>
      <c r="AD17" s="1"/>
      <c r="AE17" s="1"/>
      <c r="AF17" s="1"/>
    </row>
    <row r="18" spans="1:32" s="7" customFormat="1" ht="21" customHeight="1" x14ac:dyDescent="0.25">
      <c r="A18" s="199" t="s">
        <v>15</v>
      </c>
      <c r="B18" s="199"/>
      <c r="C18" s="199"/>
      <c r="D18" s="199"/>
      <c r="E18" s="199"/>
      <c r="F18" s="199"/>
      <c r="G18" s="199"/>
      <c r="H18" s="199"/>
      <c r="I18" s="199"/>
      <c r="J18" s="199"/>
      <c r="U18" s="1"/>
      <c r="V18" s="1"/>
      <c r="W18" s="1"/>
      <c r="X18" s="1"/>
      <c r="Y18" s="1"/>
      <c r="Z18" s="1"/>
      <c r="AA18" s="1"/>
      <c r="AB18" s="1"/>
      <c r="AC18" s="1"/>
      <c r="AD18" s="1"/>
      <c r="AE18" s="1"/>
      <c r="AF18" s="1"/>
    </row>
    <row r="19" spans="1:32" s="6" customFormat="1" ht="11.1" customHeight="1" x14ac:dyDescent="0.25">
      <c r="A19" s="6" t="s">
        <v>16</v>
      </c>
      <c r="U19" s="1"/>
      <c r="V19" s="1"/>
      <c r="W19" s="1"/>
      <c r="X19" s="1"/>
      <c r="Y19" s="1"/>
      <c r="Z19" s="1"/>
      <c r="AA19" s="1"/>
      <c r="AB19" s="1"/>
      <c r="AC19" s="1"/>
      <c r="AD19" s="1"/>
      <c r="AE19" s="1"/>
      <c r="AF19" s="1"/>
    </row>
    <row r="20" spans="1:32" s="6" customFormat="1" ht="11.1" customHeight="1" x14ac:dyDescent="0.25">
      <c r="A20" s="6" t="s">
        <v>271</v>
      </c>
      <c r="U20" s="1"/>
      <c r="V20" s="1"/>
      <c r="W20" s="1"/>
      <c r="X20" s="1"/>
      <c r="Y20" s="1"/>
      <c r="Z20" s="1"/>
      <c r="AA20" s="1"/>
      <c r="AB20" s="1"/>
      <c r="AC20" s="1"/>
      <c r="AD20" s="1"/>
      <c r="AE20" s="1"/>
      <c r="AF20" s="1"/>
    </row>
    <row r="21" spans="1:32" ht="12" customHeight="1" x14ac:dyDescent="0.25">
      <c r="A21" s="2"/>
    </row>
    <row r="22" spans="1:32" ht="14.1" customHeight="1" x14ac:dyDescent="0.25">
      <c r="A22" s="198" t="s">
        <v>272</v>
      </c>
      <c r="B22" s="198"/>
      <c r="C22" s="198"/>
      <c r="D22" s="198"/>
      <c r="E22" s="198"/>
      <c r="F22" s="198"/>
      <c r="G22" s="198"/>
      <c r="H22" s="198"/>
      <c r="I22" s="198"/>
      <c r="J22" s="198"/>
      <c r="K22" s="198"/>
      <c r="L22" s="198"/>
    </row>
    <row r="23" spans="1:32" ht="3.75" customHeight="1" x14ac:dyDescent="0.25">
      <c r="A23" s="2"/>
    </row>
    <row r="24" spans="1:32" x14ac:dyDescent="0.25">
      <c r="A24" s="40" t="s">
        <v>184</v>
      </c>
      <c r="B24" s="3" t="s">
        <v>1</v>
      </c>
      <c r="C24" s="3" t="s">
        <v>2</v>
      </c>
      <c r="D24" s="3" t="s">
        <v>3</v>
      </c>
      <c r="E24" s="3" t="s">
        <v>4</v>
      </c>
      <c r="F24" s="3" t="s">
        <v>5</v>
      </c>
      <c r="G24" s="3" t="s">
        <v>6</v>
      </c>
      <c r="H24" s="3" t="s">
        <v>7</v>
      </c>
      <c r="I24" s="3" t="s">
        <v>8</v>
      </c>
      <c r="J24" s="3" t="s">
        <v>9</v>
      </c>
    </row>
    <row r="25" spans="1:32" x14ac:dyDescent="0.25">
      <c r="A25" s="106" t="s">
        <v>17</v>
      </c>
      <c r="B25" s="108">
        <v>149</v>
      </c>
      <c r="C25" s="108">
        <v>5</v>
      </c>
      <c r="D25" s="108">
        <v>124</v>
      </c>
      <c r="E25" s="108">
        <v>139</v>
      </c>
      <c r="F25" s="108">
        <v>48</v>
      </c>
      <c r="G25" s="108">
        <v>7</v>
      </c>
      <c r="H25" s="108">
        <v>6</v>
      </c>
      <c r="I25" s="108">
        <v>33</v>
      </c>
      <c r="J25" s="108">
        <v>511</v>
      </c>
      <c r="K25" s="8"/>
      <c r="L25" s="8"/>
      <c r="M25" s="8"/>
      <c r="N25" s="8"/>
      <c r="O25" s="8"/>
      <c r="P25" s="8"/>
      <c r="Q25" s="8"/>
      <c r="R25" s="8"/>
      <c r="S25" s="8"/>
      <c r="T25" s="128"/>
    </row>
    <row r="26" spans="1:32" x14ac:dyDescent="0.25">
      <c r="A26" s="106">
        <v>14</v>
      </c>
      <c r="B26" s="108">
        <v>224</v>
      </c>
      <c r="C26" s="108">
        <v>31</v>
      </c>
      <c r="D26" s="108">
        <v>169</v>
      </c>
      <c r="E26" s="108">
        <v>132</v>
      </c>
      <c r="F26" s="108">
        <v>56</v>
      </c>
      <c r="G26" s="108">
        <v>12</v>
      </c>
      <c r="H26" s="108">
        <v>19</v>
      </c>
      <c r="I26" s="108">
        <v>51</v>
      </c>
      <c r="J26" s="108">
        <v>694</v>
      </c>
      <c r="K26" s="8"/>
      <c r="L26" s="8"/>
      <c r="M26" s="8"/>
      <c r="N26" s="8"/>
      <c r="O26" s="8"/>
      <c r="P26" s="8"/>
      <c r="Q26" s="8"/>
      <c r="R26" s="8"/>
      <c r="S26" s="8"/>
      <c r="T26" s="128"/>
    </row>
    <row r="27" spans="1:32" x14ac:dyDescent="0.25">
      <c r="A27" s="106">
        <v>15</v>
      </c>
      <c r="B27" s="108">
        <v>355</v>
      </c>
      <c r="C27" s="108">
        <v>97</v>
      </c>
      <c r="D27" s="108">
        <v>224</v>
      </c>
      <c r="E27" s="108">
        <v>161</v>
      </c>
      <c r="F27" s="108">
        <v>74</v>
      </c>
      <c r="G27" s="108">
        <v>9</v>
      </c>
      <c r="H27" s="108">
        <v>29</v>
      </c>
      <c r="I27" s="108">
        <v>73</v>
      </c>
      <c r="J27" s="108">
        <v>1022</v>
      </c>
      <c r="K27" s="8"/>
      <c r="L27" s="8"/>
      <c r="M27" s="8"/>
      <c r="N27" s="8"/>
      <c r="O27" s="8"/>
      <c r="P27" s="8"/>
      <c r="Q27" s="8"/>
      <c r="R27" s="8"/>
      <c r="S27" s="8"/>
      <c r="T27" s="128"/>
    </row>
    <row r="28" spans="1:32" x14ac:dyDescent="0.25">
      <c r="A28" s="106">
        <v>16</v>
      </c>
      <c r="B28" s="108">
        <v>335</v>
      </c>
      <c r="C28" s="108">
        <v>97</v>
      </c>
      <c r="D28" s="108">
        <v>265</v>
      </c>
      <c r="E28" s="108">
        <v>189</v>
      </c>
      <c r="F28" s="108">
        <v>90</v>
      </c>
      <c r="G28" s="108">
        <v>19</v>
      </c>
      <c r="H28" s="108">
        <v>23</v>
      </c>
      <c r="I28" s="108">
        <v>75</v>
      </c>
      <c r="J28" s="108">
        <v>1093</v>
      </c>
      <c r="K28" s="8"/>
      <c r="L28" s="8"/>
      <c r="M28" s="8"/>
      <c r="N28" s="8"/>
      <c r="O28" s="8"/>
      <c r="P28" s="8"/>
      <c r="Q28" s="8"/>
      <c r="R28" s="8"/>
      <c r="S28" s="8"/>
      <c r="T28" s="128"/>
    </row>
    <row r="29" spans="1:32" x14ac:dyDescent="0.25">
      <c r="A29" s="106">
        <v>17</v>
      </c>
      <c r="B29" s="108">
        <v>407</v>
      </c>
      <c r="C29" s="108">
        <v>121</v>
      </c>
      <c r="D29" s="108">
        <v>273</v>
      </c>
      <c r="E29" s="108">
        <v>188</v>
      </c>
      <c r="F29" s="108">
        <v>71</v>
      </c>
      <c r="G29" s="108">
        <v>23</v>
      </c>
      <c r="H29" s="108">
        <v>22</v>
      </c>
      <c r="I29" s="108">
        <v>98</v>
      </c>
      <c r="J29" s="108">
        <v>1203</v>
      </c>
      <c r="K29" s="8"/>
      <c r="L29" s="8"/>
      <c r="M29" s="8"/>
      <c r="N29" s="8"/>
      <c r="O29" s="8"/>
      <c r="P29" s="8"/>
      <c r="Q29" s="8"/>
      <c r="R29" s="8"/>
      <c r="S29" s="8"/>
      <c r="T29" s="128"/>
    </row>
    <row r="30" spans="1:32" x14ac:dyDescent="0.25">
      <c r="A30" s="37" t="s">
        <v>10</v>
      </c>
      <c r="B30" s="41">
        <v>1470</v>
      </c>
      <c r="C30" s="41">
        <v>351</v>
      </c>
      <c r="D30" s="41">
        <v>1055</v>
      </c>
      <c r="E30" s="41">
        <v>809</v>
      </c>
      <c r="F30" s="41">
        <v>339</v>
      </c>
      <c r="G30" s="41">
        <v>70</v>
      </c>
      <c r="H30" s="41">
        <v>99</v>
      </c>
      <c r="I30" s="41">
        <v>330</v>
      </c>
      <c r="J30" s="41">
        <v>4523</v>
      </c>
      <c r="K30" s="41"/>
      <c r="L30" s="41"/>
      <c r="M30" s="41"/>
      <c r="N30" s="41"/>
      <c r="O30" s="41"/>
      <c r="P30" s="41"/>
      <c r="Q30" s="41"/>
      <c r="R30" s="41"/>
      <c r="S30" s="41"/>
      <c r="T30" s="128"/>
    </row>
    <row r="31" spans="1:32" x14ac:dyDescent="0.25">
      <c r="A31" s="106" t="s">
        <v>11</v>
      </c>
      <c r="B31" s="108">
        <v>91</v>
      </c>
      <c r="C31" s="108">
        <v>91</v>
      </c>
      <c r="D31" s="108">
        <v>22</v>
      </c>
      <c r="E31" s="5" t="s">
        <v>167</v>
      </c>
      <c r="F31" s="108">
        <v>12</v>
      </c>
      <c r="G31" s="108" t="s">
        <v>174</v>
      </c>
      <c r="H31" s="108" t="s">
        <v>174</v>
      </c>
      <c r="I31" s="108">
        <v>3</v>
      </c>
      <c r="J31" s="108">
        <v>219</v>
      </c>
      <c r="K31" s="8"/>
      <c r="L31" s="8"/>
      <c r="M31" s="8"/>
      <c r="N31" s="5"/>
      <c r="O31" s="8"/>
      <c r="P31" s="8"/>
      <c r="Q31" s="8"/>
      <c r="R31" s="8"/>
      <c r="S31" s="8"/>
      <c r="T31" s="128"/>
    </row>
    <row r="32" spans="1:32" x14ac:dyDescent="0.25">
      <c r="A32" s="113" t="s">
        <v>12</v>
      </c>
      <c r="B32" s="101">
        <v>1561</v>
      </c>
      <c r="C32" s="101">
        <v>442</v>
      </c>
      <c r="D32" s="101">
        <v>1077</v>
      </c>
      <c r="E32" s="101">
        <v>809</v>
      </c>
      <c r="F32" s="101">
        <v>351</v>
      </c>
      <c r="G32" s="101">
        <v>70</v>
      </c>
      <c r="H32" s="101">
        <v>99</v>
      </c>
      <c r="I32" s="101">
        <v>333</v>
      </c>
      <c r="J32" s="101">
        <v>4742</v>
      </c>
      <c r="K32" s="81"/>
      <c r="L32" s="81"/>
      <c r="M32" s="81"/>
      <c r="N32" s="81"/>
      <c r="O32" s="81"/>
      <c r="P32" s="81"/>
      <c r="Q32" s="81"/>
      <c r="R32" s="81"/>
      <c r="S32" s="81"/>
      <c r="T32" s="128"/>
    </row>
    <row r="33" spans="1:28" ht="22.35" customHeight="1" x14ac:dyDescent="0.25">
      <c r="T33" s="128"/>
      <c r="U33" s="128"/>
      <c r="V33" s="128"/>
      <c r="W33" s="128"/>
      <c r="X33" s="128"/>
      <c r="Y33" s="128"/>
      <c r="Z33" s="128"/>
      <c r="AA33" s="128"/>
      <c r="AB33" s="128"/>
    </row>
    <row r="34" spans="1:28" s="6" customFormat="1" ht="11.1" customHeight="1" x14ac:dyDescent="0.15">
      <c r="A34" s="6" t="s">
        <v>220</v>
      </c>
    </row>
    <row r="35" spans="1:28" ht="11.1" customHeight="1" x14ac:dyDescent="0.25">
      <c r="A35" s="202" t="s">
        <v>18</v>
      </c>
      <c r="B35" s="202"/>
      <c r="C35" s="202"/>
      <c r="D35" s="202"/>
      <c r="E35" s="202"/>
      <c r="F35" s="202"/>
      <c r="G35" s="202"/>
      <c r="H35" s="202"/>
      <c r="I35" s="202"/>
      <c r="J35" s="202"/>
      <c r="K35" s="202"/>
      <c r="L35" s="202"/>
    </row>
    <row r="36" spans="1:28" s="6" customFormat="1" ht="11.1" customHeight="1" x14ac:dyDescent="0.15">
      <c r="A36" s="110" t="s">
        <v>19</v>
      </c>
      <c r="B36" s="110"/>
      <c r="C36" s="110"/>
      <c r="D36" s="110"/>
      <c r="E36" s="110"/>
      <c r="F36" s="110"/>
      <c r="G36" s="110"/>
      <c r="H36" s="110"/>
      <c r="I36" s="110"/>
      <c r="J36" s="110"/>
      <c r="K36" s="110"/>
      <c r="L36" s="110"/>
    </row>
    <row r="37" spans="1:28" s="6" customFormat="1" ht="11.1" customHeight="1" x14ac:dyDescent="0.15">
      <c r="A37" s="110" t="s">
        <v>20</v>
      </c>
      <c r="B37" s="110"/>
      <c r="C37" s="110"/>
      <c r="D37" s="110"/>
      <c r="E37" s="110"/>
      <c r="F37" s="110"/>
      <c r="G37" s="110"/>
      <c r="H37" s="110"/>
      <c r="I37" s="110"/>
      <c r="J37" s="110"/>
      <c r="K37" s="110"/>
      <c r="L37" s="110"/>
    </row>
    <row r="38" spans="1:28" s="6" customFormat="1" ht="11.1" customHeight="1" x14ac:dyDescent="0.15">
      <c r="A38" s="110" t="s">
        <v>16</v>
      </c>
      <c r="B38" s="110"/>
      <c r="C38" s="110"/>
      <c r="D38" s="110"/>
      <c r="E38" s="110"/>
      <c r="F38" s="110"/>
      <c r="G38" s="110"/>
      <c r="H38" s="110"/>
      <c r="I38" s="110"/>
      <c r="J38" s="110"/>
      <c r="K38" s="110"/>
      <c r="L38" s="110"/>
    </row>
    <row r="39" spans="1:28" s="6" customFormat="1" ht="11.1" customHeight="1" x14ac:dyDescent="0.15">
      <c r="A39" s="110" t="s">
        <v>271</v>
      </c>
      <c r="B39" s="110"/>
      <c r="C39" s="110"/>
      <c r="D39" s="110"/>
      <c r="E39" s="110"/>
      <c r="F39" s="110"/>
      <c r="G39" s="110"/>
      <c r="H39" s="110"/>
      <c r="I39" s="110"/>
      <c r="J39" s="110"/>
      <c r="K39" s="110"/>
      <c r="L39" s="110"/>
    </row>
    <row r="40" spans="1:28" ht="12" customHeight="1" x14ac:dyDescent="0.25">
      <c r="A40" s="2"/>
    </row>
  </sheetData>
  <mergeCells count="5">
    <mergeCell ref="A22:L22"/>
    <mergeCell ref="A18:J18"/>
    <mergeCell ref="A1:J1"/>
    <mergeCell ref="A16:J16"/>
    <mergeCell ref="A35:L35"/>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1"/>
  <sheetViews>
    <sheetView zoomScaleNormal="100" workbookViewId="0">
      <selection sqref="A1:K1"/>
    </sheetView>
  </sheetViews>
  <sheetFormatPr defaultColWidth="9.140625" defaultRowHeight="15" x14ac:dyDescent="0.25"/>
  <cols>
    <col min="1" max="11" width="11.42578125" style="1" bestFit="1" customWidth="1"/>
    <col min="12" max="16384" width="9.140625" style="1"/>
  </cols>
  <sheetData>
    <row r="1" spans="1:21" ht="23.25" customHeight="1" x14ac:dyDescent="0.25">
      <c r="A1" s="200" t="s">
        <v>273</v>
      </c>
      <c r="B1" s="200"/>
      <c r="C1" s="200"/>
      <c r="D1" s="200"/>
      <c r="E1" s="200"/>
      <c r="F1" s="200"/>
      <c r="G1" s="200"/>
      <c r="H1" s="200"/>
      <c r="I1" s="200"/>
      <c r="J1" s="200"/>
      <c r="K1" s="200"/>
    </row>
    <row r="2" spans="1:21" ht="3.75" customHeight="1" x14ac:dyDescent="0.25">
      <c r="A2" s="2"/>
    </row>
    <row r="3" spans="1:21" ht="23.25" x14ac:dyDescent="0.25">
      <c r="A3" s="44" t="s">
        <v>185</v>
      </c>
      <c r="B3" s="44" t="s">
        <v>186</v>
      </c>
      <c r="C3" s="3" t="s">
        <v>1</v>
      </c>
      <c r="D3" s="3" t="s">
        <v>2</v>
      </c>
      <c r="E3" s="3" t="s">
        <v>3</v>
      </c>
      <c r="F3" s="3" t="s">
        <v>4</v>
      </c>
      <c r="G3" s="3" t="s">
        <v>5</v>
      </c>
      <c r="H3" s="3" t="s">
        <v>6</v>
      </c>
      <c r="I3" s="3" t="s">
        <v>7</v>
      </c>
      <c r="J3" s="3" t="s">
        <v>8</v>
      </c>
      <c r="K3" s="3" t="s">
        <v>9</v>
      </c>
    </row>
    <row r="4" spans="1:21" ht="15" customHeight="1" x14ac:dyDescent="0.25">
      <c r="A4" s="203" t="s">
        <v>21</v>
      </c>
      <c r="B4" s="106" t="s">
        <v>22</v>
      </c>
      <c r="C4" s="107">
        <v>130.80000000000001</v>
      </c>
      <c r="D4" s="107">
        <v>16.7</v>
      </c>
      <c r="E4" s="107">
        <v>184.3</v>
      </c>
      <c r="F4" s="107">
        <v>43.2</v>
      </c>
      <c r="G4" s="107">
        <v>17.600000000000001</v>
      </c>
      <c r="H4" s="107">
        <v>5</v>
      </c>
      <c r="I4" s="107">
        <v>5.5</v>
      </c>
      <c r="J4" s="107">
        <v>40.200000000000003</v>
      </c>
      <c r="K4" s="107">
        <v>443.3</v>
      </c>
      <c r="L4" s="5"/>
      <c r="M4" s="5"/>
      <c r="N4" s="5"/>
      <c r="O4" s="5"/>
      <c r="P4" s="5"/>
      <c r="Q4" s="5"/>
      <c r="R4" s="5"/>
      <c r="S4" s="5"/>
      <c r="T4" s="5"/>
      <c r="U4" s="136"/>
    </row>
    <row r="5" spans="1:21" ht="15" customHeight="1" x14ac:dyDescent="0.25">
      <c r="A5" s="203"/>
      <c r="B5" s="106" t="s">
        <v>23</v>
      </c>
      <c r="C5" s="107">
        <v>83.3</v>
      </c>
      <c r="D5" s="107">
        <v>106.1</v>
      </c>
      <c r="E5" s="107">
        <v>74.2</v>
      </c>
      <c r="F5" s="107">
        <v>25.3</v>
      </c>
      <c r="G5" s="107">
        <v>17.100000000000001</v>
      </c>
      <c r="H5" s="107">
        <v>8.1</v>
      </c>
      <c r="I5" s="107">
        <v>11.6</v>
      </c>
      <c r="J5" s="107">
        <v>2</v>
      </c>
      <c r="K5" s="107">
        <v>327.7</v>
      </c>
      <c r="L5" s="5"/>
      <c r="M5" s="5"/>
      <c r="N5" s="5"/>
      <c r="O5" s="5"/>
      <c r="P5" s="5"/>
      <c r="Q5" s="5"/>
      <c r="R5" s="5"/>
      <c r="S5" s="5"/>
      <c r="T5" s="5"/>
    </row>
    <row r="6" spans="1:21" ht="15" customHeight="1" x14ac:dyDescent="0.25">
      <c r="A6" s="203"/>
      <c r="B6" s="106" t="s">
        <v>24</v>
      </c>
      <c r="C6" s="107">
        <v>1.5</v>
      </c>
      <c r="D6" s="107">
        <v>0.2</v>
      </c>
      <c r="E6" s="107">
        <v>0.1</v>
      </c>
      <c r="F6" s="107" t="s">
        <v>167</v>
      </c>
      <c r="G6" s="107">
        <v>0.4</v>
      </c>
      <c r="H6" s="107" t="s">
        <v>167</v>
      </c>
      <c r="I6" s="107" t="s">
        <v>167</v>
      </c>
      <c r="J6" s="107">
        <v>1.4</v>
      </c>
      <c r="K6" s="107">
        <v>3.6</v>
      </c>
      <c r="L6" s="5"/>
      <c r="M6" s="5"/>
      <c r="N6" s="5"/>
      <c r="O6" s="5"/>
      <c r="P6" s="5"/>
      <c r="Q6" s="5"/>
      <c r="R6" s="5"/>
      <c r="S6" s="5"/>
      <c r="T6" s="5"/>
    </row>
    <row r="7" spans="1:21" ht="15" customHeight="1" x14ac:dyDescent="0.25">
      <c r="A7" s="203"/>
      <c r="B7" s="105" t="s">
        <v>12</v>
      </c>
      <c r="C7" s="76">
        <v>215.6</v>
      </c>
      <c r="D7" s="76">
        <v>123</v>
      </c>
      <c r="E7" s="76">
        <v>258.60000000000002</v>
      </c>
      <c r="F7" s="76">
        <v>68.5</v>
      </c>
      <c r="G7" s="76">
        <v>35</v>
      </c>
      <c r="H7" s="76">
        <v>13.1</v>
      </c>
      <c r="I7" s="76">
        <v>17.100000000000001</v>
      </c>
      <c r="J7" s="76">
        <v>43.6</v>
      </c>
      <c r="K7" s="76">
        <v>774.6</v>
      </c>
      <c r="L7" s="76"/>
      <c r="M7" s="76"/>
      <c r="N7" s="76"/>
      <c r="O7" s="76"/>
      <c r="P7" s="76"/>
      <c r="Q7" s="76"/>
      <c r="R7" s="76"/>
      <c r="S7" s="76"/>
      <c r="T7" s="76"/>
    </row>
    <row r="8" spans="1:21" ht="15" customHeight="1" x14ac:dyDescent="0.25">
      <c r="A8" s="203" t="s">
        <v>25</v>
      </c>
      <c r="B8" s="106" t="s">
        <v>22</v>
      </c>
      <c r="C8" s="107">
        <v>8.9</v>
      </c>
      <c r="D8" s="107">
        <v>2.2999999999999998</v>
      </c>
      <c r="E8" s="107">
        <v>30.2</v>
      </c>
      <c r="F8" s="107">
        <v>3.4</v>
      </c>
      <c r="G8" s="107">
        <v>3.9</v>
      </c>
      <c r="H8" s="107">
        <v>0.9</v>
      </c>
      <c r="I8" s="107">
        <v>1.2</v>
      </c>
      <c r="J8" s="107">
        <v>2.9</v>
      </c>
      <c r="K8" s="107">
        <v>53.6</v>
      </c>
      <c r="L8" s="5"/>
      <c r="M8" s="5"/>
      <c r="N8" s="5"/>
      <c r="O8" s="5"/>
      <c r="P8" s="5"/>
      <c r="Q8" s="5"/>
      <c r="R8" s="5"/>
      <c r="S8" s="5"/>
      <c r="T8" s="5"/>
    </row>
    <row r="9" spans="1:21" ht="15" customHeight="1" x14ac:dyDescent="0.25">
      <c r="A9" s="203"/>
      <c r="B9" s="106" t="s">
        <v>23</v>
      </c>
      <c r="C9" s="107">
        <v>6.7</v>
      </c>
      <c r="D9" s="107">
        <v>3.3</v>
      </c>
      <c r="E9" s="107">
        <v>11.7</v>
      </c>
      <c r="F9" s="107">
        <v>3.6</v>
      </c>
      <c r="G9" s="107">
        <v>3.1</v>
      </c>
      <c r="H9" s="107">
        <v>1.8</v>
      </c>
      <c r="I9" s="107">
        <v>0.9</v>
      </c>
      <c r="J9" s="107" t="s">
        <v>167</v>
      </c>
      <c r="K9" s="107">
        <v>31</v>
      </c>
      <c r="L9" s="5"/>
      <c r="M9" s="5"/>
      <c r="N9" s="5"/>
      <c r="O9" s="5"/>
      <c r="P9" s="5"/>
      <c r="Q9" s="5"/>
      <c r="R9" s="5"/>
      <c r="S9" s="5"/>
      <c r="T9" s="5"/>
    </row>
    <row r="10" spans="1:21" ht="15" customHeight="1" x14ac:dyDescent="0.25">
      <c r="A10" s="203"/>
      <c r="B10" s="106" t="s">
        <v>24</v>
      </c>
      <c r="C10" s="107">
        <v>0.1</v>
      </c>
      <c r="D10" s="107" t="s">
        <v>167</v>
      </c>
      <c r="E10" s="107">
        <v>0.1</v>
      </c>
      <c r="F10" s="107" t="s">
        <v>167</v>
      </c>
      <c r="G10" s="107" t="s">
        <v>167</v>
      </c>
      <c r="H10" s="107" t="s">
        <v>167</v>
      </c>
      <c r="I10" s="107" t="s">
        <v>167</v>
      </c>
      <c r="J10" s="107" t="s">
        <v>167</v>
      </c>
      <c r="K10" s="107">
        <v>0.3</v>
      </c>
      <c r="L10" s="5"/>
      <c r="M10" s="5"/>
      <c r="N10" s="5"/>
      <c r="O10" s="5"/>
      <c r="P10" s="5"/>
      <c r="Q10" s="5"/>
      <c r="R10" s="5"/>
      <c r="S10" s="5"/>
      <c r="T10" s="5"/>
    </row>
    <row r="11" spans="1:21" ht="15" customHeight="1" x14ac:dyDescent="0.25">
      <c r="A11" s="203"/>
      <c r="B11" s="105" t="s">
        <v>12</v>
      </c>
      <c r="C11" s="76">
        <v>15.7</v>
      </c>
      <c r="D11" s="76">
        <v>5.6</v>
      </c>
      <c r="E11" s="76">
        <v>42</v>
      </c>
      <c r="F11" s="76">
        <v>7</v>
      </c>
      <c r="G11" s="76">
        <v>7</v>
      </c>
      <c r="H11" s="76">
        <v>2.7</v>
      </c>
      <c r="I11" s="76">
        <v>2</v>
      </c>
      <c r="J11" s="76">
        <v>2.9</v>
      </c>
      <c r="K11" s="76">
        <v>84.9</v>
      </c>
      <c r="L11" s="76"/>
      <c r="M11" s="76"/>
      <c r="N11" s="76"/>
      <c r="O11" s="76"/>
      <c r="P11" s="76"/>
      <c r="Q11" s="76"/>
      <c r="R11" s="76"/>
      <c r="S11" s="76"/>
      <c r="T11" s="76"/>
    </row>
    <row r="12" spans="1:21" ht="15" customHeight="1" x14ac:dyDescent="0.25">
      <c r="A12" s="203" t="s">
        <v>24</v>
      </c>
      <c r="B12" s="106" t="s">
        <v>22</v>
      </c>
      <c r="C12" s="5" t="s">
        <v>167</v>
      </c>
      <c r="D12" s="5" t="s">
        <v>167</v>
      </c>
      <c r="E12" s="5" t="s">
        <v>167</v>
      </c>
      <c r="F12" s="5" t="s">
        <v>167</v>
      </c>
      <c r="G12" s="5" t="s">
        <v>167</v>
      </c>
      <c r="H12" s="5" t="s">
        <v>167</v>
      </c>
      <c r="I12" s="5" t="s">
        <v>167</v>
      </c>
      <c r="J12" s="5" t="s">
        <v>167</v>
      </c>
      <c r="K12" s="5" t="s">
        <v>269</v>
      </c>
      <c r="L12" s="5"/>
      <c r="M12" s="5"/>
      <c r="N12" s="5"/>
      <c r="O12" s="5"/>
      <c r="P12" s="5"/>
      <c r="Q12" s="5"/>
      <c r="R12" s="5"/>
      <c r="S12" s="5"/>
      <c r="T12" s="5"/>
    </row>
    <row r="13" spans="1:21" ht="15" customHeight="1" x14ac:dyDescent="0.25">
      <c r="A13" s="203"/>
      <c r="B13" s="106" t="s">
        <v>23</v>
      </c>
      <c r="C13" s="5" t="s">
        <v>167</v>
      </c>
      <c r="D13" s="5" t="s">
        <v>167</v>
      </c>
      <c r="E13" s="5" t="s">
        <v>167</v>
      </c>
      <c r="F13" s="5" t="s">
        <v>167</v>
      </c>
      <c r="G13" s="5" t="s">
        <v>167</v>
      </c>
      <c r="H13" s="5" t="s">
        <v>167</v>
      </c>
      <c r="I13" s="5" t="s">
        <v>167</v>
      </c>
      <c r="J13" s="5" t="s">
        <v>167</v>
      </c>
      <c r="K13" s="5">
        <v>0.1</v>
      </c>
      <c r="L13" s="5"/>
      <c r="M13" s="5"/>
      <c r="N13" s="5"/>
      <c r="O13" s="5"/>
      <c r="P13" s="5"/>
      <c r="Q13" s="5"/>
      <c r="R13" s="5"/>
      <c r="S13" s="5"/>
      <c r="T13" s="5"/>
    </row>
    <row r="14" spans="1:21" ht="15" customHeight="1" x14ac:dyDescent="0.25">
      <c r="A14" s="203"/>
      <c r="B14" s="106" t="s">
        <v>24</v>
      </c>
      <c r="C14" s="5" t="s">
        <v>167</v>
      </c>
      <c r="D14" s="5" t="s">
        <v>167</v>
      </c>
      <c r="E14" s="5" t="s">
        <v>167</v>
      </c>
      <c r="F14" s="5" t="s">
        <v>167</v>
      </c>
      <c r="G14" s="5" t="s">
        <v>167</v>
      </c>
      <c r="H14" s="5" t="s">
        <v>167</v>
      </c>
      <c r="I14" s="5" t="s">
        <v>167</v>
      </c>
      <c r="J14" s="5" t="s">
        <v>167</v>
      </c>
      <c r="K14" s="5" t="s">
        <v>269</v>
      </c>
      <c r="L14" s="5"/>
      <c r="M14" s="5"/>
      <c r="N14" s="5"/>
      <c r="O14" s="5"/>
      <c r="P14" s="5"/>
      <c r="Q14" s="5"/>
      <c r="R14" s="5"/>
      <c r="S14" s="5"/>
      <c r="T14" s="5"/>
    </row>
    <row r="15" spans="1:21" ht="15" customHeight="1" x14ac:dyDescent="0.25">
      <c r="A15" s="203"/>
      <c r="B15" s="105" t="s">
        <v>12</v>
      </c>
      <c r="C15" s="76" t="s">
        <v>167</v>
      </c>
      <c r="D15" s="76" t="s">
        <v>167</v>
      </c>
      <c r="E15" s="76" t="s">
        <v>167</v>
      </c>
      <c r="F15" s="76" t="s">
        <v>167</v>
      </c>
      <c r="G15" s="76" t="s">
        <v>167</v>
      </c>
      <c r="H15" s="76" t="s">
        <v>167</v>
      </c>
      <c r="I15" s="76" t="s">
        <v>167</v>
      </c>
      <c r="J15" s="76" t="s">
        <v>167</v>
      </c>
      <c r="K15" s="76">
        <v>0.1</v>
      </c>
      <c r="L15" s="76"/>
      <c r="M15" s="76"/>
      <c r="N15" s="76"/>
      <c r="O15" s="76"/>
      <c r="P15" s="76"/>
      <c r="Q15" s="76"/>
      <c r="R15" s="76"/>
      <c r="S15" s="76"/>
      <c r="T15" s="76"/>
    </row>
    <row r="16" spans="1:21" ht="15" customHeight="1" x14ac:dyDescent="0.25">
      <c r="A16" s="203" t="s">
        <v>12</v>
      </c>
      <c r="B16" s="106" t="s">
        <v>22</v>
      </c>
      <c r="C16" s="107">
        <v>139.69999999999999</v>
      </c>
      <c r="D16" s="107">
        <v>19</v>
      </c>
      <c r="E16" s="107">
        <v>214.5</v>
      </c>
      <c r="F16" s="107">
        <v>46.6</v>
      </c>
      <c r="G16" s="107">
        <v>21.5</v>
      </c>
      <c r="H16" s="107">
        <v>5.9</v>
      </c>
      <c r="I16" s="107">
        <v>6.7</v>
      </c>
      <c r="J16" s="107">
        <v>43.1</v>
      </c>
      <c r="K16" s="107">
        <v>496.9</v>
      </c>
      <c r="L16" s="5"/>
      <c r="M16" s="5"/>
      <c r="N16" s="5"/>
      <c r="O16" s="5"/>
      <c r="P16" s="5"/>
      <c r="Q16" s="5"/>
      <c r="R16" s="5"/>
      <c r="S16" s="5"/>
      <c r="T16" s="5"/>
    </row>
    <row r="17" spans="1:21" ht="15" customHeight="1" x14ac:dyDescent="0.25">
      <c r="A17" s="203"/>
      <c r="B17" s="106" t="s">
        <v>23</v>
      </c>
      <c r="C17" s="107">
        <v>90</v>
      </c>
      <c r="D17" s="107">
        <v>109.4</v>
      </c>
      <c r="E17" s="107">
        <v>85.9</v>
      </c>
      <c r="F17" s="107">
        <v>28.9</v>
      </c>
      <c r="G17" s="107">
        <v>20.100000000000001</v>
      </c>
      <c r="H17" s="107">
        <v>9.9</v>
      </c>
      <c r="I17" s="107">
        <v>12.5</v>
      </c>
      <c r="J17" s="107">
        <v>2</v>
      </c>
      <c r="K17" s="107">
        <v>358.8</v>
      </c>
      <c r="L17" s="5"/>
      <c r="M17" s="5"/>
      <c r="N17" s="5"/>
      <c r="O17" s="5"/>
      <c r="P17" s="5"/>
      <c r="Q17" s="5"/>
      <c r="R17" s="5"/>
      <c r="S17" s="5"/>
      <c r="T17" s="5"/>
    </row>
    <row r="18" spans="1:21" ht="15" customHeight="1" x14ac:dyDescent="0.25">
      <c r="A18" s="203"/>
      <c r="B18" s="106" t="s">
        <v>24</v>
      </c>
      <c r="C18" s="107">
        <v>1.6</v>
      </c>
      <c r="D18" s="107">
        <v>0.2</v>
      </c>
      <c r="E18" s="107">
        <v>0.3</v>
      </c>
      <c r="F18" s="107" t="s">
        <v>167</v>
      </c>
      <c r="G18" s="107">
        <v>0.4</v>
      </c>
      <c r="H18" s="107" t="s">
        <v>167</v>
      </c>
      <c r="I18" s="107" t="s">
        <v>167</v>
      </c>
      <c r="J18" s="107">
        <v>1.4</v>
      </c>
      <c r="K18" s="107">
        <v>3.8</v>
      </c>
      <c r="L18" s="5"/>
      <c r="M18" s="5"/>
      <c r="N18" s="5"/>
      <c r="O18" s="5"/>
      <c r="P18" s="5"/>
      <c r="Q18" s="5"/>
      <c r="R18" s="5"/>
      <c r="S18" s="5"/>
      <c r="T18" s="5"/>
    </row>
    <row r="19" spans="1:21" ht="15" customHeight="1" x14ac:dyDescent="0.25">
      <c r="A19" s="203"/>
      <c r="B19" s="105" t="s">
        <v>12</v>
      </c>
      <c r="C19" s="76">
        <v>231.3</v>
      </c>
      <c r="D19" s="76">
        <v>128.6</v>
      </c>
      <c r="E19" s="76">
        <v>300.7</v>
      </c>
      <c r="F19" s="76">
        <v>75.5</v>
      </c>
      <c r="G19" s="76">
        <v>42</v>
      </c>
      <c r="H19" s="76">
        <v>15.8</v>
      </c>
      <c r="I19" s="76">
        <v>19.100000000000001</v>
      </c>
      <c r="J19" s="76">
        <v>46.5</v>
      </c>
      <c r="K19" s="76">
        <v>859.5</v>
      </c>
      <c r="L19" s="76"/>
      <c r="M19" s="76"/>
      <c r="N19" s="76"/>
      <c r="O19" s="76"/>
      <c r="P19" s="76"/>
      <c r="Q19" s="76"/>
      <c r="R19" s="76"/>
      <c r="S19" s="76"/>
      <c r="T19" s="76"/>
    </row>
    <row r="20" spans="1:21" ht="2.25" customHeight="1" x14ac:dyDescent="0.25">
      <c r="A20" s="39"/>
      <c r="B20" s="4"/>
      <c r="C20" s="5"/>
      <c r="D20" s="5"/>
      <c r="E20" s="5"/>
      <c r="F20" s="5"/>
      <c r="G20" s="5"/>
      <c r="H20" s="5"/>
      <c r="I20" s="5"/>
      <c r="J20" s="5"/>
      <c r="K20" s="5"/>
    </row>
    <row r="21" spans="1:21" ht="11.1" customHeight="1" x14ac:dyDescent="0.25">
      <c r="A21" s="201" t="s">
        <v>13</v>
      </c>
      <c r="B21" s="201"/>
      <c r="C21" s="201"/>
      <c r="D21" s="201"/>
      <c r="E21" s="201"/>
      <c r="F21" s="201"/>
      <c r="G21" s="201"/>
      <c r="H21" s="201"/>
      <c r="I21" s="201"/>
      <c r="J21" s="201"/>
      <c r="K21" s="201"/>
    </row>
    <row r="22" spans="1:21" s="6" customFormat="1" ht="11.1" customHeight="1" x14ac:dyDescent="0.15">
      <c r="A22" s="6" t="s">
        <v>14</v>
      </c>
    </row>
    <row r="23" spans="1:21" s="6" customFormat="1" ht="11.1" customHeight="1" x14ac:dyDescent="0.15">
      <c r="A23" s="6" t="s">
        <v>16</v>
      </c>
    </row>
    <row r="24" spans="1:21" s="6" customFormat="1" ht="11.1" customHeight="1" x14ac:dyDescent="0.15">
      <c r="A24" s="6" t="s">
        <v>271</v>
      </c>
    </row>
    <row r="25" spans="1:21" ht="12" customHeight="1" x14ac:dyDescent="0.25">
      <c r="A25" s="2"/>
    </row>
    <row r="26" spans="1:21" ht="27.95" customHeight="1" x14ac:dyDescent="0.25">
      <c r="A26" s="198" t="s">
        <v>274</v>
      </c>
      <c r="B26" s="198"/>
      <c r="C26" s="198"/>
      <c r="D26" s="198"/>
      <c r="E26" s="198"/>
      <c r="F26" s="198"/>
      <c r="G26" s="198"/>
      <c r="H26" s="198"/>
      <c r="I26" s="198"/>
      <c r="J26" s="198"/>
      <c r="K26" s="198"/>
    </row>
    <row r="27" spans="1:21" ht="5.25" customHeight="1" x14ac:dyDescent="0.25">
      <c r="A27" s="2"/>
    </row>
    <row r="28" spans="1:21" ht="23.25" x14ac:dyDescent="0.25">
      <c r="A28" s="44" t="s">
        <v>185</v>
      </c>
      <c r="B28" s="44" t="s">
        <v>186</v>
      </c>
      <c r="C28" s="3" t="s">
        <v>1</v>
      </c>
      <c r="D28" s="3" t="s">
        <v>2</v>
      </c>
      <c r="E28" s="3" t="s">
        <v>3</v>
      </c>
      <c r="F28" s="3" t="s">
        <v>4</v>
      </c>
      <c r="G28" s="3" t="s">
        <v>5</v>
      </c>
      <c r="H28" s="3" t="s">
        <v>6</v>
      </c>
      <c r="I28" s="3" t="s">
        <v>7</v>
      </c>
      <c r="J28" s="3" t="s">
        <v>8</v>
      </c>
      <c r="K28" s="3" t="s">
        <v>9</v>
      </c>
    </row>
    <row r="29" spans="1:21" ht="15" customHeight="1" x14ac:dyDescent="0.25">
      <c r="A29" s="105" t="s">
        <v>21</v>
      </c>
      <c r="B29" s="106" t="s">
        <v>22</v>
      </c>
      <c r="C29" s="108">
        <v>652</v>
      </c>
      <c r="D29" s="108">
        <v>55</v>
      </c>
      <c r="E29" s="108">
        <v>574</v>
      </c>
      <c r="F29" s="108">
        <v>401</v>
      </c>
      <c r="G29" s="108">
        <v>128</v>
      </c>
      <c r="H29" s="108">
        <v>18</v>
      </c>
      <c r="I29" s="108" t="s">
        <v>174</v>
      </c>
      <c r="J29" s="108" t="s">
        <v>174</v>
      </c>
      <c r="K29" s="108">
        <v>2124</v>
      </c>
      <c r="L29" s="8"/>
      <c r="M29" s="8"/>
      <c r="N29" s="8"/>
      <c r="O29" s="8"/>
      <c r="P29" s="8"/>
      <c r="Q29" s="8"/>
      <c r="R29" s="8"/>
      <c r="S29" s="8"/>
      <c r="T29" s="8"/>
      <c r="U29" s="128"/>
    </row>
    <row r="30" spans="1:21" ht="15" customHeight="1" x14ac:dyDescent="0.25">
      <c r="A30" s="105"/>
      <c r="B30" s="106" t="s">
        <v>23</v>
      </c>
      <c r="C30" s="108">
        <v>569</v>
      </c>
      <c r="D30" s="108">
        <v>357</v>
      </c>
      <c r="E30" s="108">
        <v>277</v>
      </c>
      <c r="F30" s="108">
        <v>219</v>
      </c>
      <c r="G30" s="108">
        <v>129</v>
      </c>
      <c r="H30" s="108">
        <v>36</v>
      </c>
      <c r="I30" s="108" t="s">
        <v>174</v>
      </c>
      <c r="J30" s="108" t="s">
        <v>174</v>
      </c>
      <c r="K30" s="108">
        <v>1645</v>
      </c>
      <c r="L30" s="8"/>
      <c r="M30" s="8"/>
      <c r="N30" s="8"/>
      <c r="O30" s="8"/>
      <c r="P30" s="8"/>
      <c r="Q30" s="8"/>
      <c r="R30" s="8"/>
      <c r="S30" s="8"/>
      <c r="T30" s="8"/>
    </row>
    <row r="31" spans="1:21" ht="15" customHeight="1" x14ac:dyDescent="0.25">
      <c r="A31" s="105"/>
      <c r="B31" s="106" t="s">
        <v>24</v>
      </c>
      <c r="C31" s="108">
        <v>42</v>
      </c>
      <c r="D31" s="8">
        <v>2</v>
      </c>
      <c r="E31" s="108">
        <v>2</v>
      </c>
      <c r="F31" s="8" t="s">
        <v>167</v>
      </c>
      <c r="G31" s="8">
        <v>2</v>
      </c>
      <c r="H31" s="8" t="s">
        <v>167</v>
      </c>
      <c r="I31" s="108" t="s">
        <v>167</v>
      </c>
      <c r="J31" s="108">
        <v>3</v>
      </c>
      <c r="K31" s="108">
        <v>51</v>
      </c>
      <c r="L31" s="8"/>
      <c r="M31" s="8"/>
      <c r="N31" s="8"/>
      <c r="O31" s="8"/>
      <c r="P31" s="8"/>
      <c r="Q31" s="8"/>
      <c r="R31" s="8"/>
      <c r="S31" s="8"/>
      <c r="T31" s="8"/>
    </row>
    <row r="32" spans="1:21" ht="15" customHeight="1" x14ac:dyDescent="0.25">
      <c r="A32" s="105"/>
      <c r="B32" s="109" t="s">
        <v>12</v>
      </c>
      <c r="C32" s="81">
        <v>1263</v>
      </c>
      <c r="D32" s="81">
        <v>414</v>
      </c>
      <c r="E32" s="81">
        <v>853</v>
      </c>
      <c r="F32" s="81">
        <v>620</v>
      </c>
      <c r="G32" s="81">
        <v>259</v>
      </c>
      <c r="H32" s="81">
        <v>54</v>
      </c>
      <c r="I32" s="81">
        <v>72</v>
      </c>
      <c r="J32" s="81">
        <v>285</v>
      </c>
      <c r="K32" s="81">
        <v>3820</v>
      </c>
      <c r="L32" s="81"/>
      <c r="M32" s="81"/>
      <c r="N32" s="81"/>
      <c r="O32" s="81"/>
      <c r="P32" s="81"/>
      <c r="Q32" s="81"/>
      <c r="R32" s="81"/>
      <c r="S32" s="81"/>
      <c r="T32" s="81"/>
    </row>
    <row r="33" spans="1:20" ht="15" customHeight="1" x14ac:dyDescent="0.25">
      <c r="A33" s="105" t="s">
        <v>25</v>
      </c>
      <c r="B33" s="106" t="s">
        <v>22</v>
      </c>
      <c r="C33" s="108">
        <v>160</v>
      </c>
      <c r="D33" s="108">
        <v>8</v>
      </c>
      <c r="E33" s="108">
        <v>164</v>
      </c>
      <c r="F33" s="108">
        <v>136</v>
      </c>
      <c r="G33" s="108">
        <v>59</v>
      </c>
      <c r="H33" s="108">
        <v>6</v>
      </c>
      <c r="I33" s="108" t="s">
        <v>174</v>
      </c>
      <c r="J33" s="108" t="s">
        <v>174</v>
      </c>
      <c r="K33" s="108">
        <v>590</v>
      </c>
      <c r="L33" s="8"/>
      <c r="M33" s="8"/>
      <c r="N33" s="8"/>
      <c r="O33" s="8"/>
      <c r="P33" s="8"/>
      <c r="Q33" s="8"/>
      <c r="R33" s="8"/>
      <c r="S33" s="8"/>
      <c r="T33" s="8"/>
    </row>
    <row r="34" spans="1:20" ht="15" customHeight="1" x14ac:dyDescent="0.25">
      <c r="A34" s="105"/>
      <c r="B34" s="106" t="s">
        <v>23</v>
      </c>
      <c r="C34" s="108">
        <v>129</v>
      </c>
      <c r="D34" s="108">
        <v>20</v>
      </c>
      <c r="E34" s="108">
        <v>58</v>
      </c>
      <c r="F34" s="108">
        <v>53</v>
      </c>
      <c r="G34" s="108">
        <v>32</v>
      </c>
      <c r="H34" s="108">
        <v>10</v>
      </c>
      <c r="I34" s="108" t="s">
        <v>174</v>
      </c>
      <c r="J34" s="108" t="s">
        <v>174</v>
      </c>
      <c r="K34" s="108">
        <v>319</v>
      </c>
      <c r="L34" s="8"/>
      <c r="M34" s="8"/>
      <c r="N34" s="8"/>
      <c r="O34" s="8"/>
      <c r="P34" s="8"/>
      <c r="Q34" s="8"/>
      <c r="R34" s="8"/>
      <c r="S34" s="8"/>
      <c r="T34" s="8"/>
    </row>
    <row r="35" spans="1:20" ht="15" customHeight="1" x14ac:dyDescent="0.25">
      <c r="A35" s="105"/>
      <c r="B35" s="106" t="s">
        <v>24</v>
      </c>
      <c r="C35" s="108">
        <v>8</v>
      </c>
      <c r="D35" s="8" t="s">
        <v>167</v>
      </c>
      <c r="E35" s="8">
        <v>1</v>
      </c>
      <c r="F35" s="8" t="s">
        <v>167</v>
      </c>
      <c r="G35" s="8">
        <v>1</v>
      </c>
      <c r="H35" s="8" t="s">
        <v>167</v>
      </c>
      <c r="I35" s="108" t="s">
        <v>167</v>
      </c>
      <c r="J35" s="108">
        <v>1</v>
      </c>
      <c r="K35" s="108">
        <v>11</v>
      </c>
      <c r="L35" s="8"/>
      <c r="M35" s="8"/>
      <c r="N35" s="8"/>
      <c r="O35" s="8"/>
      <c r="P35" s="8"/>
      <c r="Q35" s="8"/>
      <c r="R35" s="8"/>
      <c r="S35" s="8"/>
      <c r="T35" s="8"/>
    </row>
    <row r="36" spans="1:20" ht="15" customHeight="1" x14ac:dyDescent="0.25">
      <c r="A36" s="105"/>
      <c r="B36" s="109" t="s">
        <v>12</v>
      </c>
      <c r="C36" s="81">
        <v>297</v>
      </c>
      <c r="D36" s="81">
        <v>28</v>
      </c>
      <c r="E36" s="81">
        <v>223</v>
      </c>
      <c r="F36" s="81">
        <v>189</v>
      </c>
      <c r="G36" s="81">
        <v>92</v>
      </c>
      <c r="H36" s="81">
        <v>16</v>
      </c>
      <c r="I36" s="81">
        <v>27</v>
      </c>
      <c r="J36" s="81">
        <v>48</v>
      </c>
      <c r="K36" s="81">
        <v>920</v>
      </c>
      <c r="L36" s="81"/>
      <c r="M36" s="81"/>
      <c r="N36" s="81"/>
      <c r="O36" s="81"/>
      <c r="P36" s="81"/>
      <c r="Q36" s="81"/>
      <c r="R36" s="81"/>
      <c r="S36" s="81"/>
      <c r="T36" s="81"/>
    </row>
    <row r="37" spans="1:20" ht="15" customHeight="1" x14ac:dyDescent="0.25">
      <c r="A37" s="105" t="s">
        <v>24</v>
      </c>
      <c r="B37" s="106" t="s">
        <v>22</v>
      </c>
      <c r="C37" s="8" t="s">
        <v>167</v>
      </c>
      <c r="D37" s="8" t="s">
        <v>167</v>
      </c>
      <c r="E37" s="8" t="s">
        <v>167</v>
      </c>
      <c r="F37" s="8" t="s">
        <v>167</v>
      </c>
      <c r="G37" s="8" t="s">
        <v>167</v>
      </c>
      <c r="H37" s="8" t="s">
        <v>167</v>
      </c>
      <c r="I37" s="8" t="s">
        <v>167</v>
      </c>
      <c r="J37" s="8" t="s">
        <v>167</v>
      </c>
      <c r="K37" s="5" t="s">
        <v>167</v>
      </c>
      <c r="L37" s="8"/>
      <c r="M37" s="8"/>
      <c r="N37" s="8"/>
      <c r="O37" s="8"/>
      <c r="P37" s="8"/>
      <c r="Q37" s="8"/>
      <c r="R37" s="8"/>
      <c r="S37" s="8"/>
      <c r="T37" s="8"/>
    </row>
    <row r="38" spans="1:20" ht="15" customHeight="1" x14ac:dyDescent="0.25">
      <c r="A38" s="105"/>
      <c r="B38" s="106" t="s">
        <v>23</v>
      </c>
      <c r="C38" s="108">
        <v>1</v>
      </c>
      <c r="D38" s="8" t="s">
        <v>167</v>
      </c>
      <c r="E38" s="8">
        <v>1</v>
      </c>
      <c r="F38" s="8" t="s">
        <v>167</v>
      </c>
      <c r="G38" s="8" t="s">
        <v>167</v>
      </c>
      <c r="H38" s="8" t="s">
        <v>167</v>
      </c>
      <c r="I38" s="8" t="s">
        <v>167</v>
      </c>
      <c r="J38" s="8" t="s">
        <v>167</v>
      </c>
      <c r="K38" s="108">
        <v>2</v>
      </c>
      <c r="L38" s="8"/>
      <c r="M38" s="8"/>
      <c r="N38" s="8"/>
      <c r="O38" s="8"/>
      <c r="P38" s="8"/>
      <c r="Q38" s="8"/>
      <c r="R38" s="8"/>
      <c r="S38" s="8"/>
      <c r="T38" s="8"/>
    </row>
    <row r="39" spans="1:20" ht="15" customHeight="1" x14ac:dyDescent="0.25">
      <c r="A39" s="105"/>
      <c r="B39" s="106" t="s">
        <v>24</v>
      </c>
      <c r="C39" s="108" t="s">
        <v>167</v>
      </c>
      <c r="D39" s="8" t="s">
        <v>167</v>
      </c>
      <c r="E39" s="8" t="s">
        <v>167</v>
      </c>
      <c r="F39" s="8" t="s">
        <v>167</v>
      </c>
      <c r="G39" s="8" t="s">
        <v>167</v>
      </c>
      <c r="H39" s="8" t="s">
        <v>167</v>
      </c>
      <c r="I39" s="8" t="s">
        <v>167</v>
      </c>
      <c r="J39" s="8" t="s">
        <v>167</v>
      </c>
      <c r="K39" s="5" t="s">
        <v>167</v>
      </c>
      <c r="L39" s="8"/>
      <c r="M39" s="8"/>
      <c r="N39" s="8"/>
      <c r="O39" s="8"/>
      <c r="P39" s="8"/>
      <c r="Q39" s="8"/>
      <c r="R39" s="8"/>
      <c r="S39" s="8"/>
      <c r="T39" s="8"/>
    </row>
    <row r="40" spans="1:20" ht="15" customHeight="1" x14ac:dyDescent="0.25">
      <c r="A40" s="105"/>
      <c r="B40" s="109" t="s">
        <v>12</v>
      </c>
      <c r="C40" s="81">
        <v>1</v>
      </c>
      <c r="D40" s="8" t="s">
        <v>167</v>
      </c>
      <c r="E40" s="8">
        <v>1</v>
      </c>
      <c r="F40" s="8" t="s">
        <v>167</v>
      </c>
      <c r="G40" s="8" t="s">
        <v>167</v>
      </c>
      <c r="H40" s="8" t="s">
        <v>167</v>
      </c>
      <c r="I40" s="8" t="s">
        <v>167</v>
      </c>
      <c r="J40" s="8" t="s">
        <v>167</v>
      </c>
      <c r="K40" s="81">
        <v>2</v>
      </c>
      <c r="L40" s="81"/>
      <c r="M40" s="8"/>
      <c r="N40" s="8"/>
      <c r="O40" s="8"/>
      <c r="P40" s="8"/>
      <c r="Q40" s="8"/>
      <c r="R40" s="8"/>
      <c r="S40" s="8"/>
      <c r="T40" s="81"/>
    </row>
    <row r="41" spans="1:20" ht="15" customHeight="1" x14ac:dyDescent="0.25">
      <c r="A41" s="9" t="s">
        <v>12</v>
      </c>
      <c r="B41" s="106" t="s">
        <v>22</v>
      </c>
      <c r="C41" s="108">
        <v>812</v>
      </c>
      <c r="D41" s="108">
        <v>63</v>
      </c>
      <c r="E41" s="108">
        <v>738</v>
      </c>
      <c r="F41" s="108">
        <v>537</v>
      </c>
      <c r="G41" s="108">
        <v>187</v>
      </c>
      <c r="H41" s="108">
        <v>24</v>
      </c>
      <c r="I41" s="108">
        <v>34</v>
      </c>
      <c r="J41" s="108">
        <v>319</v>
      </c>
      <c r="K41" s="108">
        <v>2714</v>
      </c>
      <c r="L41" s="8"/>
      <c r="M41" s="8"/>
      <c r="N41" s="8"/>
      <c r="O41" s="8"/>
      <c r="P41" s="8"/>
      <c r="Q41" s="8"/>
      <c r="R41" s="8"/>
      <c r="S41" s="8"/>
      <c r="T41" s="8"/>
    </row>
    <row r="42" spans="1:20" ht="15" customHeight="1" x14ac:dyDescent="0.25">
      <c r="A42" s="9"/>
      <c r="B42" s="106" t="s">
        <v>23</v>
      </c>
      <c r="C42" s="108">
        <v>699</v>
      </c>
      <c r="D42" s="108">
        <v>377</v>
      </c>
      <c r="E42" s="108">
        <v>336</v>
      </c>
      <c r="F42" s="108">
        <v>272</v>
      </c>
      <c r="G42" s="108">
        <v>161</v>
      </c>
      <c r="H42" s="108">
        <v>46</v>
      </c>
      <c r="I42" s="108">
        <v>65</v>
      </c>
      <c r="J42" s="108">
        <v>10</v>
      </c>
      <c r="K42" s="108">
        <v>1966</v>
      </c>
      <c r="L42" s="8"/>
      <c r="M42" s="8"/>
      <c r="N42" s="8"/>
      <c r="O42" s="8"/>
      <c r="P42" s="8"/>
      <c r="Q42" s="8"/>
      <c r="R42" s="8"/>
      <c r="S42" s="8"/>
      <c r="T42" s="8"/>
    </row>
    <row r="43" spans="1:20" ht="15" customHeight="1" x14ac:dyDescent="0.25">
      <c r="A43" s="9"/>
      <c r="B43" s="106" t="s">
        <v>24</v>
      </c>
      <c r="C43" s="108">
        <v>50</v>
      </c>
      <c r="D43" s="8">
        <v>2</v>
      </c>
      <c r="E43" s="108">
        <v>3</v>
      </c>
      <c r="F43" s="8" t="s">
        <v>167</v>
      </c>
      <c r="G43" s="8">
        <v>3</v>
      </c>
      <c r="H43" s="8" t="s">
        <v>167</v>
      </c>
      <c r="I43" s="108" t="s">
        <v>167</v>
      </c>
      <c r="J43" s="108">
        <v>4</v>
      </c>
      <c r="K43" s="108">
        <v>62</v>
      </c>
      <c r="L43" s="8"/>
      <c r="M43" s="8"/>
      <c r="N43" s="8"/>
      <c r="O43" s="8"/>
      <c r="P43" s="8"/>
      <c r="Q43" s="8"/>
      <c r="R43" s="8"/>
      <c r="S43" s="8"/>
      <c r="T43" s="8"/>
    </row>
    <row r="44" spans="1:20" ht="15" customHeight="1" x14ac:dyDescent="0.25">
      <c r="A44" s="9"/>
      <c r="B44" s="109" t="s">
        <v>12</v>
      </c>
      <c r="C44" s="81">
        <v>1561</v>
      </c>
      <c r="D44" s="81">
        <v>442</v>
      </c>
      <c r="E44" s="81">
        <v>1077</v>
      </c>
      <c r="F44" s="81">
        <v>809</v>
      </c>
      <c r="G44" s="81">
        <v>351</v>
      </c>
      <c r="H44" s="81">
        <v>70</v>
      </c>
      <c r="I44" s="81">
        <v>99</v>
      </c>
      <c r="J44" s="81">
        <v>333</v>
      </c>
      <c r="K44" s="81">
        <v>4742</v>
      </c>
      <c r="L44" s="81"/>
      <c r="M44" s="81"/>
      <c r="N44" s="81"/>
      <c r="O44" s="81"/>
      <c r="P44" s="81"/>
      <c r="Q44" s="81"/>
      <c r="R44" s="81"/>
      <c r="S44" s="81"/>
      <c r="T44" s="81"/>
    </row>
    <row r="45" spans="1:20" x14ac:dyDescent="0.25">
      <c r="A45" s="138" t="s">
        <v>220</v>
      </c>
      <c r="B45" s="138"/>
      <c r="C45" s="138"/>
      <c r="D45" s="138"/>
      <c r="E45" s="138"/>
      <c r="F45" s="138"/>
      <c r="G45" s="138"/>
      <c r="H45" s="138"/>
      <c r="I45" s="138"/>
      <c r="J45" s="138"/>
      <c r="K45" s="138"/>
      <c r="L45" s="139"/>
      <c r="M45" s="139"/>
    </row>
    <row r="46" spans="1:20" ht="13.5" customHeight="1" x14ac:dyDescent="0.25">
      <c r="A46" s="110" t="s">
        <v>226</v>
      </c>
      <c r="B46" s="110"/>
      <c r="C46" s="110"/>
      <c r="D46" s="110"/>
      <c r="E46" s="110"/>
      <c r="F46" s="110"/>
      <c r="G46" s="110"/>
      <c r="H46" s="110"/>
      <c r="I46" s="110"/>
      <c r="J46" s="110"/>
      <c r="K46" s="110"/>
      <c r="L46" s="110"/>
      <c r="M46" s="110"/>
    </row>
    <row r="47" spans="1:20" s="6" customFormat="1" ht="12" customHeight="1" x14ac:dyDescent="0.15">
      <c r="A47" s="110" t="s">
        <v>16</v>
      </c>
      <c r="B47" s="110"/>
      <c r="C47" s="110"/>
      <c r="D47" s="110"/>
      <c r="E47" s="110"/>
      <c r="F47" s="110"/>
      <c r="G47" s="110"/>
      <c r="H47" s="110"/>
      <c r="I47" s="110"/>
      <c r="J47" s="110"/>
      <c r="K47" s="110"/>
      <c r="L47" s="110"/>
      <c r="M47" s="110"/>
    </row>
    <row r="48" spans="1:20" s="6" customFormat="1" ht="12.75" customHeight="1" x14ac:dyDescent="0.15">
      <c r="A48" s="110" t="s">
        <v>271</v>
      </c>
      <c r="B48" s="110"/>
      <c r="C48" s="110"/>
      <c r="D48" s="110"/>
      <c r="E48" s="110"/>
      <c r="F48" s="110"/>
      <c r="G48" s="110"/>
      <c r="H48" s="110"/>
      <c r="I48" s="110"/>
      <c r="J48" s="110"/>
      <c r="K48" s="110"/>
      <c r="L48" s="110"/>
      <c r="M48" s="110"/>
    </row>
    <row r="49" spans="1:13" s="6" customFormat="1" ht="11.1" customHeight="1" x14ac:dyDescent="0.25">
      <c r="A49" s="111"/>
      <c r="B49" s="1"/>
      <c r="C49" s="1"/>
      <c r="D49" s="1"/>
      <c r="E49" s="1"/>
      <c r="F49" s="1"/>
      <c r="G49" s="1"/>
      <c r="H49" s="1"/>
      <c r="I49" s="1"/>
      <c r="J49" s="1"/>
      <c r="K49" s="1"/>
      <c r="L49" s="1"/>
      <c r="M49" s="1"/>
    </row>
    <row r="50" spans="1:13" s="6" customFormat="1" ht="11.1" customHeight="1" x14ac:dyDescent="0.15"/>
    <row r="51" spans="1:13" ht="12" customHeight="1" x14ac:dyDescent="0.25">
      <c r="A51" s="2"/>
    </row>
  </sheetData>
  <mergeCells count="7">
    <mergeCell ref="A21:K21"/>
    <mergeCell ref="A26:K26"/>
    <mergeCell ref="A1:K1"/>
    <mergeCell ref="A4:A7"/>
    <mergeCell ref="A8:A11"/>
    <mergeCell ref="A12:A15"/>
    <mergeCell ref="A16:A19"/>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51"/>
  <sheetViews>
    <sheetView topLeftCell="A21" zoomScale="90" zoomScaleNormal="90" workbookViewId="0">
      <selection activeCell="A20" sqref="A20"/>
    </sheetView>
  </sheetViews>
  <sheetFormatPr defaultColWidth="9.140625" defaultRowHeight="15" x14ac:dyDescent="0.25"/>
  <cols>
    <col min="1" max="8" width="11.42578125" style="1" bestFit="1" customWidth="1"/>
    <col min="9" max="10" width="11.42578125" style="84" bestFit="1" customWidth="1"/>
    <col min="11" max="11" width="11.42578125" style="1" bestFit="1" customWidth="1"/>
    <col min="12" max="12" width="9.140625" style="1"/>
    <col min="13" max="13" width="4.5703125" style="1" customWidth="1"/>
    <col min="14" max="16384" width="9.140625" style="1"/>
  </cols>
  <sheetData>
    <row r="1" spans="1:11" ht="26.25" customHeight="1" x14ac:dyDescent="0.25">
      <c r="A1" s="200" t="s">
        <v>275</v>
      </c>
      <c r="B1" s="200"/>
      <c r="C1" s="200"/>
      <c r="D1" s="200"/>
      <c r="E1" s="200"/>
      <c r="F1" s="200"/>
      <c r="G1" s="200"/>
      <c r="H1" s="200"/>
      <c r="I1" s="200"/>
      <c r="J1" s="200"/>
      <c r="K1" s="200"/>
    </row>
    <row r="2" spans="1:11" ht="3.75" customHeight="1" x14ac:dyDescent="0.25">
      <c r="A2" s="2"/>
    </row>
    <row r="3" spans="1:11" ht="23.25" x14ac:dyDescent="0.25">
      <c r="A3" s="44" t="s">
        <v>185</v>
      </c>
      <c r="B3" s="44" t="s">
        <v>186</v>
      </c>
      <c r="C3" s="3" t="s">
        <v>1</v>
      </c>
      <c r="D3" s="3" t="s">
        <v>2</v>
      </c>
      <c r="E3" s="3" t="s">
        <v>3</v>
      </c>
      <c r="F3" s="3" t="s">
        <v>4</v>
      </c>
      <c r="G3" s="3" t="s">
        <v>5</v>
      </c>
      <c r="H3" s="3" t="s">
        <v>6</v>
      </c>
      <c r="I3" s="85" t="s">
        <v>7</v>
      </c>
      <c r="J3" s="85" t="s">
        <v>8</v>
      </c>
      <c r="K3" s="3" t="s">
        <v>9</v>
      </c>
    </row>
    <row r="4" spans="1:11" ht="15" customHeight="1" x14ac:dyDescent="0.25">
      <c r="A4" s="203" t="s">
        <v>21</v>
      </c>
      <c r="B4" s="106" t="s">
        <v>22</v>
      </c>
      <c r="C4" s="107">
        <v>108.8</v>
      </c>
      <c r="D4" s="107">
        <v>10.1</v>
      </c>
      <c r="E4" s="107">
        <v>177.7</v>
      </c>
      <c r="F4" s="107">
        <v>42.2</v>
      </c>
      <c r="G4" s="107">
        <v>16.600000000000001</v>
      </c>
      <c r="H4" s="107">
        <v>3.9</v>
      </c>
      <c r="I4" s="107">
        <v>4.5</v>
      </c>
      <c r="J4" s="107">
        <v>37.1</v>
      </c>
      <c r="K4" s="107">
        <v>400.9</v>
      </c>
    </row>
    <row r="5" spans="1:11" ht="15" customHeight="1" x14ac:dyDescent="0.25">
      <c r="A5" s="203"/>
      <c r="B5" s="106" t="s">
        <v>23</v>
      </c>
      <c r="C5" s="107">
        <v>60.5</v>
      </c>
      <c r="D5" s="107">
        <v>60.7</v>
      </c>
      <c r="E5" s="107">
        <v>70.099999999999994</v>
      </c>
      <c r="F5" s="107">
        <v>24.7</v>
      </c>
      <c r="G5" s="107">
        <v>15.2</v>
      </c>
      <c r="H5" s="107">
        <v>7.8</v>
      </c>
      <c r="I5" s="107">
        <v>10.5</v>
      </c>
      <c r="J5" s="107">
        <v>2</v>
      </c>
      <c r="K5" s="107">
        <v>251.6</v>
      </c>
    </row>
    <row r="6" spans="1:11" ht="15" customHeight="1" x14ac:dyDescent="0.25">
      <c r="A6" s="203"/>
      <c r="B6" s="106" t="s">
        <v>24</v>
      </c>
      <c r="C6" s="107">
        <v>0.7</v>
      </c>
      <c r="D6" s="107">
        <v>0.2</v>
      </c>
      <c r="E6" s="107">
        <v>0.1</v>
      </c>
      <c r="F6" s="107" t="s">
        <v>167</v>
      </c>
      <c r="G6" s="107">
        <v>0.3</v>
      </c>
      <c r="H6" s="107" t="s">
        <v>167</v>
      </c>
      <c r="I6" s="107" t="s">
        <v>167</v>
      </c>
      <c r="J6" s="107">
        <v>0.4</v>
      </c>
      <c r="K6" s="107">
        <v>1.8</v>
      </c>
    </row>
    <row r="7" spans="1:11" ht="15" customHeight="1" x14ac:dyDescent="0.25">
      <c r="A7" s="203"/>
      <c r="B7" s="105" t="s">
        <v>12</v>
      </c>
      <c r="C7" s="76">
        <v>170</v>
      </c>
      <c r="D7" s="76">
        <v>71</v>
      </c>
      <c r="E7" s="76">
        <v>247.9</v>
      </c>
      <c r="F7" s="76">
        <v>66.900000000000006</v>
      </c>
      <c r="G7" s="76">
        <v>32.1</v>
      </c>
      <c r="H7" s="76">
        <v>11.7</v>
      </c>
      <c r="I7" s="76">
        <v>15</v>
      </c>
      <c r="J7" s="76">
        <v>39.5</v>
      </c>
      <c r="K7" s="76">
        <v>654.20000000000005</v>
      </c>
    </row>
    <row r="8" spans="1:11" ht="15" customHeight="1" x14ac:dyDescent="0.25">
      <c r="A8" s="203" t="s">
        <v>25</v>
      </c>
      <c r="B8" s="106" t="s">
        <v>22</v>
      </c>
      <c r="C8" s="107">
        <v>8.6</v>
      </c>
      <c r="D8" s="107">
        <v>1.2</v>
      </c>
      <c r="E8" s="107">
        <v>30</v>
      </c>
      <c r="F8" s="107">
        <v>3.4</v>
      </c>
      <c r="G8" s="107">
        <v>3.9</v>
      </c>
      <c r="H8" s="107">
        <v>0.9</v>
      </c>
      <c r="I8" s="107">
        <v>1.2</v>
      </c>
      <c r="J8" s="107">
        <v>2.9</v>
      </c>
      <c r="K8" s="107">
        <v>52</v>
      </c>
    </row>
    <row r="9" spans="1:11" ht="15" customHeight="1" x14ac:dyDescent="0.25">
      <c r="A9" s="203"/>
      <c r="B9" s="106" t="s">
        <v>23</v>
      </c>
      <c r="C9" s="107">
        <v>5.5</v>
      </c>
      <c r="D9" s="107">
        <v>1.6</v>
      </c>
      <c r="E9" s="107">
        <v>11.7</v>
      </c>
      <c r="F9" s="107">
        <v>3.6</v>
      </c>
      <c r="G9" s="107">
        <v>2.2000000000000002</v>
      </c>
      <c r="H9" s="107">
        <v>1.7</v>
      </c>
      <c r="I9" s="107">
        <v>0.9</v>
      </c>
      <c r="J9" s="107" t="s">
        <v>167</v>
      </c>
      <c r="K9" s="107">
        <v>27.3</v>
      </c>
    </row>
    <row r="10" spans="1:11" ht="15" customHeight="1" x14ac:dyDescent="0.25">
      <c r="A10" s="203"/>
      <c r="B10" s="106" t="s">
        <v>24</v>
      </c>
      <c r="C10" s="107">
        <v>0.1</v>
      </c>
      <c r="D10" s="107" t="s">
        <v>167</v>
      </c>
      <c r="E10" s="107">
        <v>0.1</v>
      </c>
      <c r="F10" s="107" t="s">
        <v>167</v>
      </c>
      <c r="G10" s="107" t="s">
        <v>167</v>
      </c>
      <c r="H10" s="107" t="s">
        <v>167</v>
      </c>
      <c r="I10" s="107" t="s">
        <v>167</v>
      </c>
      <c r="J10" s="107" t="s">
        <v>167</v>
      </c>
      <c r="K10" s="107">
        <v>0.3</v>
      </c>
    </row>
    <row r="11" spans="1:11" ht="15" customHeight="1" x14ac:dyDescent="0.25">
      <c r="A11" s="203"/>
      <c r="B11" s="105" t="s">
        <v>12</v>
      </c>
      <c r="C11" s="76">
        <v>14.3</v>
      </c>
      <c r="D11" s="76">
        <v>2.9</v>
      </c>
      <c r="E11" s="76">
        <v>41.8</v>
      </c>
      <c r="F11" s="76">
        <v>7</v>
      </c>
      <c r="G11" s="76">
        <v>6.1</v>
      </c>
      <c r="H11" s="76">
        <v>2.6</v>
      </c>
      <c r="I11" s="76">
        <v>2</v>
      </c>
      <c r="J11" s="76">
        <v>2.9</v>
      </c>
      <c r="K11" s="76">
        <v>79.5</v>
      </c>
    </row>
    <row r="12" spans="1:11" ht="15" customHeight="1" x14ac:dyDescent="0.25">
      <c r="A12" s="203" t="s">
        <v>24</v>
      </c>
      <c r="B12" s="106" t="s">
        <v>22</v>
      </c>
      <c r="C12" s="107" t="s">
        <v>167</v>
      </c>
      <c r="D12" s="107" t="s">
        <v>167</v>
      </c>
      <c r="E12" s="107" t="s">
        <v>167</v>
      </c>
      <c r="F12" s="107" t="s">
        <v>167</v>
      </c>
      <c r="G12" s="107" t="s">
        <v>167</v>
      </c>
      <c r="H12" s="107" t="s">
        <v>167</v>
      </c>
      <c r="I12" s="107" t="s">
        <v>167</v>
      </c>
      <c r="J12" s="107" t="s">
        <v>167</v>
      </c>
      <c r="K12" s="107" t="s">
        <v>167</v>
      </c>
    </row>
    <row r="13" spans="1:11" ht="15" customHeight="1" x14ac:dyDescent="0.25">
      <c r="A13" s="203"/>
      <c r="B13" s="106" t="s">
        <v>23</v>
      </c>
      <c r="C13" s="107" t="s">
        <v>167</v>
      </c>
      <c r="D13" s="107" t="s">
        <v>167</v>
      </c>
      <c r="E13" s="107" t="s">
        <v>167</v>
      </c>
      <c r="F13" s="107" t="s">
        <v>167</v>
      </c>
      <c r="G13" s="107" t="s">
        <v>167</v>
      </c>
      <c r="H13" s="107" t="s">
        <v>167</v>
      </c>
      <c r="I13" s="107" t="s">
        <v>167</v>
      </c>
      <c r="J13" s="107" t="s">
        <v>167</v>
      </c>
      <c r="K13" s="107">
        <v>0.1</v>
      </c>
    </row>
    <row r="14" spans="1:11" ht="15" customHeight="1" x14ac:dyDescent="0.25">
      <c r="A14" s="203"/>
      <c r="B14" s="106" t="s">
        <v>24</v>
      </c>
      <c r="C14" s="107" t="s">
        <v>167</v>
      </c>
      <c r="D14" s="107" t="s">
        <v>167</v>
      </c>
      <c r="E14" s="107" t="s">
        <v>167</v>
      </c>
      <c r="F14" s="107" t="s">
        <v>167</v>
      </c>
      <c r="G14" s="107" t="s">
        <v>167</v>
      </c>
      <c r="H14" s="107" t="s">
        <v>167</v>
      </c>
      <c r="I14" s="107" t="s">
        <v>167</v>
      </c>
      <c r="J14" s="107" t="s">
        <v>167</v>
      </c>
      <c r="K14" s="107" t="s">
        <v>167</v>
      </c>
    </row>
    <row r="15" spans="1:11" ht="15" customHeight="1" x14ac:dyDescent="0.25">
      <c r="A15" s="203"/>
      <c r="B15" s="105" t="s">
        <v>12</v>
      </c>
      <c r="C15" s="76" t="s">
        <v>167</v>
      </c>
      <c r="D15" s="76" t="s">
        <v>167</v>
      </c>
      <c r="E15" s="107" t="s">
        <v>167</v>
      </c>
      <c r="F15" s="76" t="s">
        <v>167</v>
      </c>
      <c r="G15" s="76" t="s">
        <v>167</v>
      </c>
      <c r="H15" s="76" t="s">
        <v>167</v>
      </c>
      <c r="I15" s="76" t="s">
        <v>167</v>
      </c>
      <c r="J15" s="76" t="s">
        <v>167</v>
      </c>
      <c r="K15" s="76">
        <v>0.1</v>
      </c>
    </row>
    <row r="16" spans="1:11" ht="15" customHeight="1" x14ac:dyDescent="0.25">
      <c r="A16" s="203" t="s">
        <v>12</v>
      </c>
      <c r="B16" s="106" t="s">
        <v>22</v>
      </c>
      <c r="C16" s="107">
        <v>117.4</v>
      </c>
      <c r="D16" s="107">
        <v>11.3</v>
      </c>
      <c r="E16" s="107">
        <v>207.7</v>
      </c>
      <c r="F16" s="107">
        <v>45.6</v>
      </c>
      <c r="G16" s="107">
        <v>20.399999999999999</v>
      </c>
      <c r="H16" s="107">
        <v>4.7</v>
      </c>
      <c r="I16" s="107">
        <v>5.7</v>
      </c>
      <c r="J16" s="107">
        <v>40</v>
      </c>
      <c r="K16" s="107">
        <v>452.8</v>
      </c>
    </row>
    <row r="17" spans="1:11" ht="15" customHeight="1" x14ac:dyDescent="0.25">
      <c r="A17" s="203"/>
      <c r="B17" s="106" t="s">
        <v>23</v>
      </c>
      <c r="C17" s="107">
        <v>66.099999999999994</v>
      </c>
      <c r="D17" s="107">
        <v>62.3</v>
      </c>
      <c r="E17" s="107">
        <v>81.8</v>
      </c>
      <c r="F17" s="107">
        <v>28.3</v>
      </c>
      <c r="G17" s="107">
        <v>17.399999999999999</v>
      </c>
      <c r="H17" s="107">
        <v>9.6</v>
      </c>
      <c r="I17" s="107">
        <v>11.4</v>
      </c>
      <c r="J17" s="107">
        <v>2</v>
      </c>
      <c r="K17" s="107">
        <v>278.89999999999998</v>
      </c>
    </row>
    <row r="18" spans="1:11" ht="15" customHeight="1" x14ac:dyDescent="0.25">
      <c r="A18" s="203"/>
      <c r="B18" s="106" t="s">
        <v>24</v>
      </c>
      <c r="C18" s="107">
        <v>0.8</v>
      </c>
      <c r="D18" s="107">
        <v>0.2</v>
      </c>
      <c r="E18" s="107">
        <v>0.3</v>
      </c>
      <c r="F18" s="107" t="s">
        <v>167</v>
      </c>
      <c r="G18" s="107">
        <v>0.3</v>
      </c>
      <c r="H18" s="107" t="s">
        <v>167</v>
      </c>
      <c r="I18" s="107" t="s">
        <v>167</v>
      </c>
      <c r="J18" s="107">
        <v>0.4</v>
      </c>
      <c r="K18" s="107">
        <v>2</v>
      </c>
    </row>
    <row r="19" spans="1:11" ht="15" customHeight="1" x14ac:dyDescent="0.25">
      <c r="A19" s="203"/>
      <c r="B19" s="105" t="s">
        <v>12</v>
      </c>
      <c r="C19" s="76">
        <v>184.3</v>
      </c>
      <c r="D19" s="76">
        <v>73.900000000000006</v>
      </c>
      <c r="E19" s="76">
        <v>289.8</v>
      </c>
      <c r="F19" s="76">
        <v>73.900000000000006</v>
      </c>
      <c r="G19" s="76">
        <v>38.200000000000003</v>
      </c>
      <c r="H19" s="76">
        <v>14.3</v>
      </c>
      <c r="I19" s="76">
        <v>17.100000000000001</v>
      </c>
      <c r="J19" s="76">
        <v>42.4</v>
      </c>
      <c r="K19" s="76">
        <v>733.7</v>
      </c>
    </row>
    <row r="20" spans="1:11" ht="12" hidden="1" customHeight="1" x14ac:dyDescent="0.25">
      <c r="A20" s="2"/>
    </row>
    <row r="21" spans="1:11" ht="11.1" customHeight="1" x14ac:dyDescent="0.25">
      <c r="A21" s="201" t="s">
        <v>13</v>
      </c>
      <c r="B21" s="201"/>
      <c r="C21" s="201"/>
      <c r="D21" s="201"/>
      <c r="E21" s="201"/>
      <c r="F21" s="201"/>
      <c r="G21" s="201"/>
      <c r="H21" s="201"/>
      <c r="I21" s="201"/>
      <c r="J21" s="201"/>
      <c r="K21" s="201"/>
    </row>
    <row r="22" spans="1:11" s="6" customFormat="1" ht="11.1" customHeight="1" x14ac:dyDescent="0.15">
      <c r="A22" s="6" t="s">
        <v>14</v>
      </c>
      <c r="I22" s="86"/>
      <c r="J22" s="86"/>
    </row>
    <row r="23" spans="1:11" s="10" customFormat="1" ht="21.75" customHeight="1" x14ac:dyDescent="0.2">
      <c r="A23" s="199" t="s">
        <v>15</v>
      </c>
      <c r="B23" s="199"/>
      <c r="C23" s="199"/>
      <c r="D23" s="199"/>
      <c r="E23" s="199"/>
      <c r="F23" s="199"/>
      <c r="G23" s="199"/>
      <c r="H23" s="199"/>
      <c r="I23" s="199"/>
      <c r="J23" s="199"/>
      <c r="K23" s="199"/>
    </row>
    <row r="24" spans="1:11" s="6" customFormat="1" ht="11.1" customHeight="1" x14ac:dyDescent="0.15">
      <c r="A24" s="6" t="s">
        <v>16</v>
      </c>
      <c r="I24" s="86"/>
      <c r="J24" s="86"/>
    </row>
    <row r="25" spans="1:11" s="6" customFormat="1" ht="11.1" customHeight="1" x14ac:dyDescent="0.15">
      <c r="A25" s="6" t="s">
        <v>271</v>
      </c>
      <c r="I25" s="86"/>
      <c r="J25" s="86"/>
    </row>
    <row r="26" spans="1:11" ht="12" customHeight="1" x14ac:dyDescent="0.25">
      <c r="A26" s="2"/>
    </row>
    <row r="27" spans="1:11" ht="27.95" customHeight="1" x14ac:dyDescent="0.25">
      <c r="A27" s="198" t="s">
        <v>276</v>
      </c>
      <c r="B27" s="198"/>
      <c r="C27" s="198"/>
      <c r="D27" s="198"/>
      <c r="E27" s="198"/>
      <c r="F27" s="198"/>
      <c r="G27" s="198"/>
      <c r="H27" s="198"/>
      <c r="I27" s="198"/>
      <c r="J27" s="198"/>
      <c r="K27" s="198"/>
    </row>
    <row r="28" spans="1:11" ht="3.75" customHeight="1" x14ac:dyDescent="0.25">
      <c r="A28" s="2"/>
    </row>
    <row r="29" spans="1:11" ht="23.25" x14ac:dyDescent="0.25">
      <c r="A29" s="44" t="s">
        <v>185</v>
      </c>
      <c r="B29" s="44" t="s">
        <v>186</v>
      </c>
      <c r="C29" s="3" t="s">
        <v>1</v>
      </c>
      <c r="D29" s="3" t="s">
        <v>2</v>
      </c>
      <c r="E29" s="3" t="s">
        <v>3</v>
      </c>
      <c r="F29" s="3" t="s">
        <v>4</v>
      </c>
      <c r="G29" s="3" t="s">
        <v>5</v>
      </c>
      <c r="H29" s="3" t="s">
        <v>6</v>
      </c>
      <c r="I29" s="85" t="s">
        <v>7</v>
      </c>
      <c r="J29" s="85" t="s">
        <v>8</v>
      </c>
      <c r="K29" s="11" t="s">
        <v>9</v>
      </c>
    </row>
    <row r="30" spans="1:11" ht="15" customHeight="1" x14ac:dyDescent="0.25">
      <c r="A30" s="105" t="s">
        <v>21</v>
      </c>
      <c r="B30" s="106" t="s">
        <v>22</v>
      </c>
      <c r="C30" s="108">
        <v>614</v>
      </c>
      <c r="D30" s="108">
        <v>43</v>
      </c>
      <c r="E30" s="108">
        <v>561</v>
      </c>
      <c r="F30" s="108">
        <v>401</v>
      </c>
      <c r="G30" s="108">
        <v>124</v>
      </c>
      <c r="H30" s="108">
        <v>18</v>
      </c>
      <c r="I30" s="108" t="s">
        <v>174</v>
      </c>
      <c r="J30" s="108" t="s">
        <v>174</v>
      </c>
      <c r="K30" s="108">
        <v>2055</v>
      </c>
    </row>
    <row r="31" spans="1:11" ht="15" customHeight="1" x14ac:dyDescent="0.25">
      <c r="A31" s="105"/>
      <c r="B31" s="106" t="s">
        <v>23</v>
      </c>
      <c r="C31" s="108">
        <v>522</v>
      </c>
      <c r="D31" s="108">
        <v>284</v>
      </c>
      <c r="E31" s="108">
        <v>269</v>
      </c>
      <c r="F31" s="108">
        <v>219</v>
      </c>
      <c r="G31" s="108">
        <v>123</v>
      </c>
      <c r="H31" s="108">
        <v>36</v>
      </c>
      <c r="I31" s="108" t="s">
        <v>174</v>
      </c>
      <c r="J31" s="108" t="s">
        <v>174</v>
      </c>
      <c r="K31" s="108">
        <v>1511</v>
      </c>
    </row>
    <row r="32" spans="1:11" ht="15" customHeight="1" x14ac:dyDescent="0.25">
      <c r="A32" s="105"/>
      <c r="B32" s="106" t="s">
        <v>24</v>
      </c>
      <c r="C32" s="108">
        <v>41</v>
      </c>
      <c r="D32" s="108">
        <v>2</v>
      </c>
      <c r="E32" s="108">
        <v>2</v>
      </c>
      <c r="F32" s="108" t="s">
        <v>167</v>
      </c>
      <c r="G32" s="108">
        <v>2</v>
      </c>
      <c r="H32" s="108" t="s">
        <v>167</v>
      </c>
      <c r="I32" s="108" t="s">
        <v>167</v>
      </c>
      <c r="J32" s="108">
        <v>2</v>
      </c>
      <c r="K32" s="108">
        <v>49</v>
      </c>
    </row>
    <row r="33" spans="1:13" ht="15" customHeight="1" x14ac:dyDescent="0.25">
      <c r="A33" s="105"/>
      <c r="B33" s="109" t="s">
        <v>12</v>
      </c>
      <c r="C33" s="81">
        <v>1177</v>
      </c>
      <c r="D33" s="81">
        <v>329</v>
      </c>
      <c r="E33" s="81">
        <v>832</v>
      </c>
      <c r="F33" s="81">
        <v>620</v>
      </c>
      <c r="G33" s="81">
        <v>249</v>
      </c>
      <c r="H33" s="81">
        <v>54</v>
      </c>
      <c r="I33" s="81">
        <v>72</v>
      </c>
      <c r="J33" s="81">
        <v>282</v>
      </c>
      <c r="K33" s="81">
        <v>3615</v>
      </c>
    </row>
    <row r="34" spans="1:13" ht="15" customHeight="1" x14ac:dyDescent="0.25">
      <c r="A34" s="105" t="s">
        <v>25</v>
      </c>
      <c r="B34" s="106" t="s">
        <v>22</v>
      </c>
      <c r="C34" s="108">
        <v>156</v>
      </c>
      <c r="D34" s="108">
        <v>6</v>
      </c>
      <c r="E34" s="108">
        <v>163</v>
      </c>
      <c r="F34" s="108">
        <v>136</v>
      </c>
      <c r="G34" s="108">
        <v>59</v>
      </c>
      <c r="H34" s="108">
        <v>6</v>
      </c>
      <c r="I34" s="108" t="s">
        <v>174</v>
      </c>
      <c r="J34" s="108" t="s">
        <v>174</v>
      </c>
      <c r="K34" s="108">
        <v>583</v>
      </c>
    </row>
    <row r="35" spans="1:13" ht="15" customHeight="1" x14ac:dyDescent="0.25">
      <c r="A35" s="105"/>
      <c r="B35" s="106" t="s">
        <v>23</v>
      </c>
      <c r="C35" s="108">
        <v>128</v>
      </c>
      <c r="D35" s="108">
        <v>16</v>
      </c>
      <c r="E35" s="108">
        <v>58</v>
      </c>
      <c r="F35" s="108">
        <v>53</v>
      </c>
      <c r="G35" s="108">
        <v>30</v>
      </c>
      <c r="H35" s="108">
        <v>10</v>
      </c>
      <c r="I35" s="108" t="s">
        <v>174</v>
      </c>
      <c r="J35" s="108" t="s">
        <v>174</v>
      </c>
      <c r="K35" s="108">
        <v>312</v>
      </c>
    </row>
    <row r="36" spans="1:13" ht="15" customHeight="1" x14ac:dyDescent="0.25">
      <c r="A36" s="105"/>
      <c r="B36" s="106" t="s">
        <v>24</v>
      </c>
      <c r="C36" s="108">
        <v>8</v>
      </c>
      <c r="D36" s="108" t="s">
        <v>167</v>
      </c>
      <c r="E36" s="108">
        <v>1</v>
      </c>
      <c r="F36" s="108" t="s">
        <v>167</v>
      </c>
      <c r="G36" s="108">
        <v>1</v>
      </c>
      <c r="H36" s="108" t="s">
        <v>167</v>
      </c>
      <c r="I36" s="108" t="s">
        <v>167</v>
      </c>
      <c r="J36" s="108">
        <v>1</v>
      </c>
      <c r="K36" s="108">
        <v>11</v>
      </c>
    </row>
    <row r="37" spans="1:13" ht="15" customHeight="1" x14ac:dyDescent="0.25">
      <c r="A37" s="105"/>
      <c r="B37" s="109" t="s">
        <v>12</v>
      </c>
      <c r="C37" s="81">
        <v>292</v>
      </c>
      <c r="D37" s="81">
        <v>22</v>
      </c>
      <c r="E37" s="81">
        <v>222</v>
      </c>
      <c r="F37" s="81">
        <v>189</v>
      </c>
      <c r="G37" s="81">
        <v>90</v>
      </c>
      <c r="H37" s="81">
        <v>16</v>
      </c>
      <c r="I37" s="81">
        <v>27</v>
      </c>
      <c r="J37" s="81">
        <v>48</v>
      </c>
      <c r="K37" s="81">
        <v>906</v>
      </c>
    </row>
    <row r="38" spans="1:13" ht="15" customHeight="1" x14ac:dyDescent="0.25">
      <c r="A38" s="105" t="s">
        <v>24</v>
      </c>
      <c r="B38" s="106" t="s">
        <v>22</v>
      </c>
      <c r="C38" s="108" t="s">
        <v>167</v>
      </c>
      <c r="D38" s="108" t="s">
        <v>167</v>
      </c>
      <c r="E38" s="108" t="s">
        <v>167</v>
      </c>
      <c r="F38" s="108" t="s">
        <v>167</v>
      </c>
      <c r="G38" s="108" t="s">
        <v>167</v>
      </c>
      <c r="H38" s="108" t="s">
        <v>167</v>
      </c>
      <c r="I38" s="108" t="s">
        <v>167</v>
      </c>
      <c r="J38" s="108" t="s">
        <v>167</v>
      </c>
      <c r="K38" s="108" t="s">
        <v>167</v>
      </c>
    </row>
    <row r="39" spans="1:13" ht="15" customHeight="1" x14ac:dyDescent="0.25">
      <c r="A39" s="105"/>
      <c r="B39" s="106" t="s">
        <v>23</v>
      </c>
      <c r="C39" s="108">
        <v>1</v>
      </c>
      <c r="D39" s="108" t="s">
        <v>167</v>
      </c>
      <c r="E39" s="108">
        <v>1</v>
      </c>
      <c r="F39" s="108" t="s">
        <v>167</v>
      </c>
      <c r="G39" s="108" t="s">
        <v>167</v>
      </c>
      <c r="H39" s="108" t="s">
        <v>167</v>
      </c>
      <c r="I39" s="108" t="s">
        <v>167</v>
      </c>
      <c r="J39" s="108" t="s">
        <v>167</v>
      </c>
      <c r="K39" s="108">
        <v>2</v>
      </c>
    </row>
    <row r="40" spans="1:13" ht="15" customHeight="1" x14ac:dyDescent="0.25">
      <c r="A40" s="105"/>
      <c r="B40" s="106" t="s">
        <v>24</v>
      </c>
      <c r="C40" s="108" t="s">
        <v>167</v>
      </c>
      <c r="D40" s="108" t="s">
        <v>167</v>
      </c>
      <c r="E40" s="108" t="s">
        <v>167</v>
      </c>
      <c r="F40" s="108" t="s">
        <v>167</v>
      </c>
      <c r="G40" s="108" t="s">
        <v>167</v>
      </c>
      <c r="H40" s="108" t="s">
        <v>167</v>
      </c>
      <c r="I40" s="108" t="s">
        <v>167</v>
      </c>
      <c r="J40" s="108" t="s">
        <v>167</v>
      </c>
      <c r="K40" s="108" t="s">
        <v>167</v>
      </c>
    </row>
    <row r="41" spans="1:13" ht="15" customHeight="1" x14ac:dyDescent="0.25">
      <c r="A41" s="105"/>
      <c r="B41" s="109" t="s">
        <v>12</v>
      </c>
      <c r="C41" s="81">
        <v>1</v>
      </c>
      <c r="D41" s="108" t="s">
        <v>167</v>
      </c>
      <c r="E41" s="108">
        <v>1</v>
      </c>
      <c r="F41" s="108" t="s">
        <v>167</v>
      </c>
      <c r="G41" s="108" t="s">
        <v>167</v>
      </c>
      <c r="H41" s="108" t="s">
        <v>167</v>
      </c>
      <c r="I41" s="108" t="s">
        <v>167</v>
      </c>
      <c r="J41" s="108" t="s">
        <v>167</v>
      </c>
      <c r="K41" s="81">
        <v>2</v>
      </c>
    </row>
    <row r="42" spans="1:13" ht="15" customHeight="1" x14ac:dyDescent="0.25">
      <c r="A42" s="9" t="s">
        <v>12</v>
      </c>
      <c r="B42" s="106" t="s">
        <v>22</v>
      </c>
      <c r="C42" s="108">
        <v>770</v>
      </c>
      <c r="D42" s="108">
        <v>49</v>
      </c>
      <c r="E42" s="108">
        <v>724</v>
      </c>
      <c r="F42" s="108">
        <v>537</v>
      </c>
      <c r="G42" s="108">
        <v>183</v>
      </c>
      <c r="H42" s="108">
        <v>24</v>
      </c>
      <c r="I42" s="108">
        <v>34</v>
      </c>
      <c r="J42" s="108">
        <v>317</v>
      </c>
      <c r="K42" s="108">
        <v>2638</v>
      </c>
    </row>
    <row r="43" spans="1:13" ht="15" customHeight="1" x14ac:dyDescent="0.25">
      <c r="A43" s="9"/>
      <c r="B43" s="106" t="s">
        <v>23</v>
      </c>
      <c r="C43" s="108">
        <v>651</v>
      </c>
      <c r="D43" s="108">
        <v>300</v>
      </c>
      <c r="E43" s="108">
        <v>328</v>
      </c>
      <c r="F43" s="108">
        <v>272</v>
      </c>
      <c r="G43" s="108">
        <v>153</v>
      </c>
      <c r="H43" s="108">
        <v>46</v>
      </c>
      <c r="I43" s="108">
        <v>65</v>
      </c>
      <c r="J43" s="108">
        <v>10</v>
      </c>
      <c r="K43" s="108">
        <v>1825</v>
      </c>
    </row>
    <row r="44" spans="1:13" ht="15" customHeight="1" x14ac:dyDescent="0.25">
      <c r="A44" s="9"/>
      <c r="B44" s="106" t="s">
        <v>24</v>
      </c>
      <c r="C44" s="108">
        <v>49</v>
      </c>
      <c r="D44" s="108">
        <v>2</v>
      </c>
      <c r="E44" s="108">
        <v>3</v>
      </c>
      <c r="F44" s="108" t="s">
        <v>167</v>
      </c>
      <c r="G44" s="108">
        <v>3</v>
      </c>
      <c r="H44" s="108" t="s">
        <v>167</v>
      </c>
      <c r="I44" s="108" t="s">
        <v>167</v>
      </c>
      <c r="J44" s="108">
        <v>3</v>
      </c>
      <c r="K44" s="108">
        <v>60</v>
      </c>
    </row>
    <row r="45" spans="1:13" ht="15" customHeight="1" x14ac:dyDescent="0.25">
      <c r="A45" s="96"/>
      <c r="B45" s="113" t="s">
        <v>12</v>
      </c>
      <c r="C45" s="101">
        <v>1470</v>
      </c>
      <c r="D45" s="101">
        <v>351</v>
      </c>
      <c r="E45" s="101">
        <v>1055</v>
      </c>
      <c r="F45" s="101">
        <v>809</v>
      </c>
      <c r="G45" s="101">
        <v>339</v>
      </c>
      <c r="H45" s="101">
        <v>70</v>
      </c>
      <c r="I45" s="101">
        <v>99</v>
      </c>
      <c r="J45" s="101">
        <v>330</v>
      </c>
      <c r="K45" s="101">
        <v>4523</v>
      </c>
    </row>
    <row r="46" spans="1:13" ht="19.5" customHeight="1" x14ac:dyDescent="0.25">
      <c r="A46" s="6" t="s">
        <v>220</v>
      </c>
    </row>
    <row r="47" spans="1:13" s="6" customFormat="1" ht="11.1" customHeight="1" x14ac:dyDescent="0.15">
      <c r="A47" s="202" t="s">
        <v>26</v>
      </c>
      <c r="B47" s="202"/>
      <c r="C47" s="202"/>
      <c r="D47" s="202"/>
      <c r="E47" s="202"/>
      <c r="F47" s="202"/>
      <c r="G47" s="202"/>
      <c r="H47" s="202"/>
      <c r="I47" s="202"/>
      <c r="J47" s="202"/>
      <c r="K47" s="202"/>
      <c r="L47" s="202"/>
      <c r="M47" s="202"/>
    </row>
    <row r="48" spans="1:13" ht="15.75" customHeight="1" x14ac:dyDescent="0.25">
      <c r="A48" s="110" t="s">
        <v>271</v>
      </c>
      <c r="B48" s="110"/>
      <c r="C48" s="110"/>
      <c r="D48" s="110"/>
      <c r="E48" s="110"/>
      <c r="F48" s="110"/>
      <c r="G48" s="110"/>
      <c r="H48" s="110"/>
      <c r="I48" s="110"/>
      <c r="J48" s="110"/>
      <c r="K48" s="110"/>
      <c r="L48" s="110"/>
      <c r="M48" s="110"/>
    </row>
    <row r="49" spans="1:13" s="6" customFormat="1" ht="11.1" customHeight="1" x14ac:dyDescent="0.25">
      <c r="A49" s="111"/>
      <c r="B49" s="1"/>
      <c r="C49" s="1"/>
      <c r="D49" s="1"/>
      <c r="E49" s="1"/>
      <c r="F49" s="1"/>
      <c r="G49" s="1"/>
      <c r="H49" s="1"/>
      <c r="I49" s="1"/>
      <c r="J49" s="1"/>
      <c r="K49" s="1"/>
      <c r="L49" s="1"/>
      <c r="M49" s="1"/>
    </row>
    <row r="50" spans="1:13" s="6" customFormat="1" ht="11.1" customHeight="1" x14ac:dyDescent="0.15">
      <c r="I50" s="86"/>
      <c r="J50" s="86"/>
    </row>
    <row r="51" spans="1:13" ht="12" customHeight="1" x14ac:dyDescent="0.25">
      <c r="A51" s="2"/>
    </row>
  </sheetData>
  <mergeCells count="9">
    <mergeCell ref="A23:K23"/>
    <mergeCell ref="A21:K21"/>
    <mergeCell ref="A27:K27"/>
    <mergeCell ref="A47:M47"/>
    <mergeCell ref="A1:K1"/>
    <mergeCell ref="A4:A7"/>
    <mergeCell ref="A8:A11"/>
    <mergeCell ref="A12:A15"/>
    <mergeCell ref="A16:A19"/>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61"/>
  <sheetViews>
    <sheetView zoomScaleNormal="100" workbookViewId="0">
      <selection sqref="A1:K1"/>
    </sheetView>
  </sheetViews>
  <sheetFormatPr defaultColWidth="9.140625" defaultRowHeight="15" x14ac:dyDescent="0.25"/>
  <cols>
    <col min="1" max="10" width="11.42578125" style="1" bestFit="1" customWidth="1"/>
    <col min="11" max="11" width="11.42578125" style="1" customWidth="1"/>
    <col min="12" max="16384" width="9.140625" style="1"/>
  </cols>
  <sheetData>
    <row r="1" spans="1:11" ht="27.95" customHeight="1" x14ac:dyDescent="0.25">
      <c r="A1" s="198" t="s">
        <v>277</v>
      </c>
      <c r="B1" s="198"/>
      <c r="C1" s="198"/>
      <c r="D1" s="198"/>
      <c r="E1" s="198"/>
      <c r="F1" s="198"/>
      <c r="G1" s="198"/>
      <c r="H1" s="198"/>
      <c r="I1" s="198"/>
      <c r="J1" s="198"/>
      <c r="K1" s="198"/>
    </row>
    <row r="2" spans="1:11" ht="2.25" customHeight="1" x14ac:dyDescent="0.25">
      <c r="A2" s="2"/>
    </row>
    <row r="3" spans="1:11" ht="23.25" x14ac:dyDescent="0.25">
      <c r="A3" s="44" t="s">
        <v>185</v>
      </c>
      <c r="B3" s="44" t="s">
        <v>186</v>
      </c>
      <c r="C3" s="3" t="s">
        <v>1</v>
      </c>
      <c r="D3" s="3" t="s">
        <v>2</v>
      </c>
      <c r="E3" s="3" t="s">
        <v>3</v>
      </c>
      <c r="F3" s="3" t="s">
        <v>4</v>
      </c>
      <c r="G3" s="3" t="s">
        <v>5</v>
      </c>
      <c r="H3" s="3" t="s">
        <v>6</v>
      </c>
      <c r="I3" s="3" t="s">
        <v>7</v>
      </c>
      <c r="J3" s="3" t="s">
        <v>8</v>
      </c>
      <c r="K3" s="3" t="s">
        <v>9</v>
      </c>
    </row>
    <row r="4" spans="1:11" ht="15" customHeight="1" x14ac:dyDescent="0.25">
      <c r="A4" s="204" t="s">
        <v>21</v>
      </c>
      <c r="B4" s="4" t="s">
        <v>22</v>
      </c>
      <c r="C4" s="5">
        <v>33.896999999999998</v>
      </c>
      <c r="D4" s="5">
        <v>14.223000000000001</v>
      </c>
      <c r="E4" s="5">
        <v>68.150999999999996</v>
      </c>
      <c r="F4" s="5">
        <v>39.979999999999997</v>
      </c>
      <c r="G4" s="5">
        <v>33.823999999999998</v>
      </c>
      <c r="H4" s="5">
        <v>12.351000000000001</v>
      </c>
      <c r="I4" s="5">
        <v>74.447000000000003</v>
      </c>
      <c r="J4" s="5">
        <v>63.061999999999998</v>
      </c>
      <c r="K4" s="5">
        <v>44.372999999999998</v>
      </c>
    </row>
    <row r="5" spans="1:11" ht="15" customHeight="1" x14ac:dyDescent="0.25">
      <c r="A5" s="205"/>
      <c r="B5" s="4" t="s">
        <v>374</v>
      </c>
      <c r="C5" s="5">
        <v>1.526</v>
      </c>
      <c r="D5" s="5">
        <v>1.8089999999999999</v>
      </c>
      <c r="E5" s="5">
        <v>2.5680000000000001</v>
      </c>
      <c r="F5" s="5">
        <v>1.716</v>
      </c>
      <c r="G5" s="5">
        <v>1.7649999999999999</v>
      </c>
      <c r="H5" s="5">
        <v>3.1619999999999999</v>
      </c>
      <c r="I5" s="5">
        <v>6.2110000000000003</v>
      </c>
      <c r="J5" s="5">
        <v>2.4159999999999999</v>
      </c>
      <c r="K5" s="5">
        <v>1.958</v>
      </c>
    </row>
    <row r="6" spans="1:11" ht="15" customHeight="1" x14ac:dyDescent="0.25">
      <c r="A6" s="205"/>
      <c r="B6" s="39" t="s">
        <v>12</v>
      </c>
      <c r="C6" s="76">
        <v>3.9670000000000001</v>
      </c>
      <c r="D6" s="76">
        <v>2.073</v>
      </c>
      <c r="E6" s="76">
        <v>8.2919999999999998</v>
      </c>
      <c r="F6" s="76">
        <v>4.3380000000000001</v>
      </c>
      <c r="G6" s="76">
        <v>3.52</v>
      </c>
      <c r="H6" s="76">
        <v>4.1909999999999998</v>
      </c>
      <c r="I6" s="76">
        <v>8.5730000000000004</v>
      </c>
      <c r="J6" s="76">
        <v>27.629000000000001</v>
      </c>
      <c r="K6" s="76">
        <v>4.7569999999999997</v>
      </c>
    </row>
    <row r="7" spans="1:11" ht="15" customHeight="1" x14ac:dyDescent="0.25">
      <c r="A7" s="205" t="s">
        <v>25</v>
      </c>
      <c r="B7" s="4" t="s">
        <v>22</v>
      </c>
      <c r="C7" s="5">
        <v>2.875</v>
      </c>
      <c r="D7" s="5">
        <v>1.802</v>
      </c>
      <c r="E7" s="5">
        <v>11.991</v>
      </c>
      <c r="F7" s="5">
        <v>3.2810000000000001</v>
      </c>
      <c r="G7" s="5">
        <v>8.3290000000000006</v>
      </c>
      <c r="H7" s="5">
        <v>2.915</v>
      </c>
      <c r="I7" s="5">
        <v>23.707999999999998</v>
      </c>
      <c r="J7" s="5">
        <v>5.226</v>
      </c>
      <c r="K7" s="5">
        <v>6.0679999999999996</v>
      </c>
    </row>
    <row r="8" spans="1:11" ht="15" customHeight="1" x14ac:dyDescent="0.25">
      <c r="A8" s="205"/>
      <c r="B8" s="4" t="s">
        <v>374</v>
      </c>
      <c r="C8" s="5">
        <v>0.14799999999999999</v>
      </c>
      <c r="D8" s="107">
        <v>5.0999999999999997E-2</v>
      </c>
      <c r="E8" s="5">
        <v>0.45500000000000002</v>
      </c>
      <c r="F8" s="5">
        <v>0.26600000000000001</v>
      </c>
      <c r="G8" s="5">
        <v>0.26700000000000002</v>
      </c>
      <c r="H8" s="5">
        <v>0.754</v>
      </c>
      <c r="I8" s="5">
        <v>0.53800000000000003</v>
      </c>
      <c r="J8" s="107" t="s">
        <v>167</v>
      </c>
      <c r="K8" s="5">
        <v>0.22500000000000001</v>
      </c>
    </row>
    <row r="9" spans="1:11" ht="15" customHeight="1" x14ac:dyDescent="0.25">
      <c r="A9" s="205"/>
      <c r="B9" s="39" t="s">
        <v>12</v>
      </c>
      <c r="C9" s="76">
        <v>0.35399999999999998</v>
      </c>
      <c r="D9" s="76">
        <v>8.7999999999999995E-2</v>
      </c>
      <c r="E9" s="76">
        <v>1.4810000000000001</v>
      </c>
      <c r="F9" s="76">
        <v>0.47699999999999998</v>
      </c>
      <c r="G9" s="76">
        <v>0.70099999999999996</v>
      </c>
      <c r="H9" s="76">
        <v>0.999</v>
      </c>
      <c r="I9" s="76">
        <v>1.2270000000000001</v>
      </c>
      <c r="J9" s="76">
        <v>2.1680000000000001</v>
      </c>
      <c r="K9" s="76">
        <v>0.61199999999999999</v>
      </c>
    </row>
    <row r="10" spans="1:11" ht="15" customHeight="1" x14ac:dyDescent="0.25">
      <c r="A10" s="205" t="s">
        <v>12</v>
      </c>
      <c r="B10" s="4" t="s">
        <v>22</v>
      </c>
      <c r="C10" s="5">
        <v>18.927</v>
      </c>
      <c r="D10" s="5">
        <v>8.1140000000000008</v>
      </c>
      <c r="E10" s="5">
        <v>40.65</v>
      </c>
      <c r="F10" s="5">
        <v>21.923999999999999</v>
      </c>
      <c r="G10" s="5">
        <v>21.393000000000001</v>
      </c>
      <c r="H10" s="5">
        <v>7.7649999999999997</v>
      </c>
      <c r="I10" s="5">
        <v>51.854999999999997</v>
      </c>
      <c r="J10" s="5">
        <v>35.119999999999997</v>
      </c>
      <c r="K10" s="5">
        <v>25.73</v>
      </c>
    </row>
    <row r="11" spans="1:11" ht="15" customHeight="1" x14ac:dyDescent="0.25">
      <c r="A11" s="205"/>
      <c r="B11" s="4" t="s">
        <v>374</v>
      </c>
      <c r="C11" s="5">
        <v>0.85799999999999998</v>
      </c>
      <c r="D11" s="5">
        <v>0.95299999999999996</v>
      </c>
      <c r="E11" s="5">
        <v>1.5429999999999999</v>
      </c>
      <c r="F11" s="5">
        <v>1.012</v>
      </c>
      <c r="G11" s="5">
        <v>1.0349999999999999</v>
      </c>
      <c r="H11" s="5">
        <v>1.9990000000000001</v>
      </c>
      <c r="I11" s="5">
        <v>3.4649999999999999</v>
      </c>
      <c r="J11" s="5">
        <v>1.254</v>
      </c>
      <c r="K11" s="5">
        <v>1.1160000000000001</v>
      </c>
    </row>
    <row r="12" spans="1:11" ht="15" customHeight="1" x14ac:dyDescent="0.25">
      <c r="A12" s="205"/>
      <c r="B12" s="39" t="s">
        <v>12</v>
      </c>
      <c r="C12" s="76">
        <v>2.2160000000000002</v>
      </c>
      <c r="D12" s="76">
        <v>1.1060000000000001</v>
      </c>
      <c r="E12" s="76">
        <v>4.984</v>
      </c>
      <c r="F12" s="76">
        <v>2.46</v>
      </c>
      <c r="G12" s="76">
        <v>2.1469999999999998</v>
      </c>
      <c r="H12" s="76">
        <v>2.649</v>
      </c>
      <c r="I12" s="76">
        <v>5.0259999999999998</v>
      </c>
      <c r="J12" s="76">
        <v>15.364000000000001</v>
      </c>
      <c r="K12" s="76">
        <v>2.7440000000000002</v>
      </c>
    </row>
    <row r="13" spans="1:11" ht="0.75" customHeight="1" x14ac:dyDescent="0.25">
      <c r="A13" s="2"/>
    </row>
    <row r="14" spans="1:11" ht="11.1" customHeight="1" x14ac:dyDescent="0.25">
      <c r="A14" s="206" t="s">
        <v>18</v>
      </c>
      <c r="B14" s="206"/>
      <c r="C14" s="206"/>
      <c r="D14" s="206"/>
      <c r="E14" s="206"/>
      <c r="F14" s="206"/>
      <c r="G14" s="206"/>
      <c r="H14" s="206"/>
      <c r="I14" s="206"/>
      <c r="J14" s="206"/>
      <c r="K14" s="207"/>
    </row>
    <row r="15" spans="1:11" s="6" customFormat="1" ht="11.1" customHeight="1" x14ac:dyDescent="0.15">
      <c r="A15" s="6" t="s">
        <v>27</v>
      </c>
    </row>
    <row r="16" spans="1:11" s="6" customFormat="1" ht="20.25" customHeight="1" x14ac:dyDescent="0.15">
      <c r="A16" s="199" t="s">
        <v>37</v>
      </c>
      <c r="B16" s="199"/>
      <c r="C16" s="199"/>
      <c r="D16" s="199"/>
      <c r="E16" s="199"/>
      <c r="F16" s="199"/>
      <c r="G16" s="199"/>
      <c r="H16" s="199"/>
      <c r="I16" s="199"/>
      <c r="J16" s="199"/>
      <c r="K16" s="199"/>
    </row>
    <row r="17" spans="1:11" s="6" customFormat="1" ht="12" customHeight="1" x14ac:dyDescent="0.15">
      <c r="A17" s="6" t="s">
        <v>379</v>
      </c>
      <c r="B17" s="122"/>
      <c r="C17" s="122"/>
      <c r="D17" s="122"/>
      <c r="E17" s="122"/>
      <c r="F17" s="122"/>
      <c r="G17" s="122"/>
      <c r="H17" s="122"/>
      <c r="I17" s="122"/>
      <c r="J17" s="122"/>
      <c r="K17" s="122"/>
    </row>
    <row r="18" spans="1:11" s="6" customFormat="1" ht="11.1" customHeight="1" x14ac:dyDescent="0.15">
      <c r="A18" s="6" t="s">
        <v>16</v>
      </c>
    </row>
    <row r="19" spans="1:11" s="6" customFormat="1" ht="11.1" customHeight="1" x14ac:dyDescent="0.15">
      <c r="A19" s="6" t="s">
        <v>245</v>
      </c>
    </row>
    <row r="20" spans="1:11" ht="12" customHeight="1" x14ac:dyDescent="0.25">
      <c r="A20" s="2"/>
    </row>
    <row r="21" spans="1:11" ht="27.95" customHeight="1" x14ac:dyDescent="0.25">
      <c r="A21" s="198" t="s">
        <v>278</v>
      </c>
      <c r="B21" s="198"/>
      <c r="C21" s="198"/>
      <c r="D21" s="198"/>
      <c r="E21" s="198"/>
      <c r="F21" s="198"/>
      <c r="G21" s="198"/>
      <c r="H21" s="198"/>
      <c r="I21" s="198"/>
      <c r="J21" s="198"/>
      <c r="K21" s="198"/>
    </row>
    <row r="22" spans="1:11" ht="4.5" customHeight="1" x14ac:dyDescent="0.25">
      <c r="A22" s="2"/>
    </row>
    <row r="23" spans="1:11" ht="23.25" x14ac:dyDescent="0.25">
      <c r="A23" s="44" t="s">
        <v>185</v>
      </c>
      <c r="B23" s="44" t="s">
        <v>186</v>
      </c>
      <c r="C23" s="3" t="s">
        <v>1</v>
      </c>
      <c r="D23" s="3" t="s">
        <v>2</v>
      </c>
      <c r="E23" s="3" t="s">
        <v>3</v>
      </c>
      <c r="F23" s="3" t="s">
        <v>4</v>
      </c>
      <c r="G23" s="3" t="s">
        <v>5</v>
      </c>
      <c r="H23" s="3" t="s">
        <v>6</v>
      </c>
      <c r="I23" s="3" t="s">
        <v>7</v>
      </c>
      <c r="J23" s="3" t="s">
        <v>8</v>
      </c>
      <c r="K23" s="3" t="s">
        <v>9</v>
      </c>
    </row>
    <row r="24" spans="1:11" ht="15" customHeight="1" x14ac:dyDescent="0.25">
      <c r="A24" s="205" t="s">
        <v>21</v>
      </c>
      <c r="B24" s="4" t="s">
        <v>22</v>
      </c>
      <c r="C24" s="5">
        <v>191.334</v>
      </c>
      <c r="D24" s="5">
        <v>60.619</v>
      </c>
      <c r="E24" s="5">
        <v>215.136</v>
      </c>
      <c r="F24" s="5">
        <v>379.62700000000001</v>
      </c>
      <c r="G24" s="5">
        <v>253.29400000000001</v>
      </c>
      <c r="H24" s="5">
        <v>57.508000000000003</v>
      </c>
      <c r="I24" s="108" t="s">
        <v>174</v>
      </c>
      <c r="J24" s="108" t="s">
        <v>174</v>
      </c>
      <c r="K24" s="5">
        <v>227.47200000000001</v>
      </c>
    </row>
    <row r="25" spans="1:11" ht="15" customHeight="1" x14ac:dyDescent="0.25">
      <c r="A25" s="205"/>
      <c r="B25" s="4" t="s">
        <v>374</v>
      </c>
      <c r="C25" s="5">
        <v>13.169</v>
      </c>
      <c r="D25" s="5">
        <v>8.4659999999999993</v>
      </c>
      <c r="E25" s="5">
        <v>9.8559999999999999</v>
      </c>
      <c r="F25" s="5">
        <v>15.247</v>
      </c>
      <c r="G25" s="5">
        <v>14.234</v>
      </c>
      <c r="H25" s="5">
        <v>14.516</v>
      </c>
      <c r="I25" s="108" t="s">
        <v>174</v>
      </c>
      <c r="J25" s="108" t="s">
        <v>174</v>
      </c>
      <c r="K25" s="5">
        <v>11.759</v>
      </c>
    </row>
    <row r="26" spans="1:11" ht="15" customHeight="1" x14ac:dyDescent="0.25">
      <c r="A26" s="205"/>
      <c r="B26" s="39" t="s">
        <v>12</v>
      </c>
      <c r="C26" s="76">
        <v>27.47</v>
      </c>
      <c r="D26" s="76">
        <v>9.6050000000000004</v>
      </c>
      <c r="E26" s="76">
        <v>27.826000000000001</v>
      </c>
      <c r="F26" s="76">
        <v>40.207999999999998</v>
      </c>
      <c r="G26" s="76">
        <v>27.268999999999998</v>
      </c>
      <c r="H26" s="76">
        <v>19.332999999999998</v>
      </c>
      <c r="I26" s="76">
        <v>41.033999999999999</v>
      </c>
      <c r="J26" s="76">
        <v>197.286</v>
      </c>
      <c r="K26" s="76">
        <v>26.285</v>
      </c>
    </row>
    <row r="27" spans="1:11" ht="15" customHeight="1" x14ac:dyDescent="0.25">
      <c r="A27" s="205" t="s">
        <v>25</v>
      </c>
      <c r="B27" s="4" t="s">
        <v>22</v>
      </c>
      <c r="C27" s="5">
        <v>52.124000000000002</v>
      </c>
      <c r="D27" s="107">
        <v>8.7379999999999995</v>
      </c>
      <c r="E27" s="5">
        <v>65.14</v>
      </c>
      <c r="F27" s="5">
        <v>132.93600000000001</v>
      </c>
      <c r="G27" s="5">
        <v>126.664</v>
      </c>
      <c r="H27" s="5">
        <v>20.277000000000001</v>
      </c>
      <c r="I27" s="108" t="s">
        <v>174</v>
      </c>
      <c r="J27" s="108" t="s">
        <v>174</v>
      </c>
      <c r="K27" s="5">
        <v>68.064999999999998</v>
      </c>
    </row>
    <row r="28" spans="1:11" ht="15" customHeight="1" x14ac:dyDescent="0.25">
      <c r="A28" s="205"/>
      <c r="B28" s="4" t="s">
        <v>374</v>
      </c>
      <c r="C28" s="5">
        <v>3.4289999999999998</v>
      </c>
      <c r="D28" s="5">
        <v>0.503</v>
      </c>
      <c r="E28" s="5">
        <v>2.2530000000000001</v>
      </c>
      <c r="F28" s="5">
        <v>3.9020000000000001</v>
      </c>
      <c r="G28" s="5">
        <v>3.657</v>
      </c>
      <c r="H28" s="5">
        <v>4.319</v>
      </c>
      <c r="I28" s="108" t="s">
        <v>174</v>
      </c>
      <c r="J28" s="108" t="s">
        <v>174</v>
      </c>
      <c r="K28" s="5">
        <v>2.5710000000000002</v>
      </c>
    </row>
    <row r="29" spans="1:11" ht="15" customHeight="1" x14ac:dyDescent="0.25">
      <c r="A29" s="205"/>
      <c r="B29" s="39" t="s">
        <v>12</v>
      </c>
      <c r="C29" s="76">
        <v>7.242</v>
      </c>
      <c r="D29" s="76">
        <v>0.67700000000000005</v>
      </c>
      <c r="E29" s="76">
        <v>7.86</v>
      </c>
      <c r="F29" s="76">
        <v>12.941000000000001</v>
      </c>
      <c r="G29" s="76">
        <v>10.381</v>
      </c>
      <c r="H29" s="76">
        <v>6.1269999999999998</v>
      </c>
      <c r="I29" s="76">
        <v>16.486999999999998</v>
      </c>
      <c r="J29" s="76">
        <v>36.131</v>
      </c>
      <c r="K29" s="76">
        <v>6.9740000000000002</v>
      </c>
    </row>
    <row r="30" spans="1:11" ht="15" customHeight="1" x14ac:dyDescent="0.25">
      <c r="A30" s="205" t="s">
        <v>12</v>
      </c>
      <c r="B30" s="4" t="s">
        <v>22</v>
      </c>
      <c r="C30" s="5">
        <v>124.15600000000001</v>
      </c>
      <c r="D30" s="5">
        <v>35.1</v>
      </c>
      <c r="E30" s="5">
        <v>141.684</v>
      </c>
      <c r="F30" s="5">
        <v>258.25400000000002</v>
      </c>
      <c r="G30" s="5">
        <v>191.553</v>
      </c>
      <c r="H30" s="5">
        <v>39.414999999999999</v>
      </c>
      <c r="I30" s="5">
        <v>310.64400000000001</v>
      </c>
      <c r="J30" s="5">
        <v>278.43700000000001</v>
      </c>
      <c r="K30" s="5">
        <v>149.89099999999999</v>
      </c>
    </row>
    <row r="31" spans="1:11" ht="15" customHeight="1" x14ac:dyDescent="0.25">
      <c r="A31" s="205"/>
      <c r="B31" s="4" t="s">
        <v>374</v>
      </c>
      <c r="C31" s="5">
        <v>8.4589999999999996</v>
      </c>
      <c r="D31" s="5">
        <v>4.59</v>
      </c>
      <c r="E31" s="5">
        <v>6.1849999999999996</v>
      </c>
      <c r="F31" s="5">
        <v>9.7330000000000005</v>
      </c>
      <c r="G31" s="5">
        <v>9.0830000000000002</v>
      </c>
      <c r="H31" s="5">
        <v>9.5920000000000005</v>
      </c>
      <c r="I31" s="5">
        <v>19.8</v>
      </c>
      <c r="J31" s="5">
        <v>6.1749999999999998</v>
      </c>
      <c r="K31" s="5">
        <v>7.3040000000000003</v>
      </c>
    </row>
    <row r="32" spans="1:11" ht="15" customHeight="1" x14ac:dyDescent="0.25">
      <c r="A32" s="205"/>
      <c r="B32" s="39" t="s">
        <v>12</v>
      </c>
      <c r="C32" s="76">
        <v>17.675999999999998</v>
      </c>
      <c r="D32" s="76">
        <v>5.258</v>
      </c>
      <c r="E32" s="76">
        <v>18.143999999999998</v>
      </c>
      <c r="F32" s="76">
        <v>26.945</v>
      </c>
      <c r="G32" s="76">
        <v>19.044</v>
      </c>
      <c r="H32" s="76">
        <v>12.952</v>
      </c>
      <c r="I32" s="76">
        <v>29.184000000000001</v>
      </c>
      <c r="J32" s="76">
        <v>119.65600000000001</v>
      </c>
      <c r="K32" s="76">
        <v>16.911999999999999</v>
      </c>
    </row>
    <row r="33" spans="1:11" ht="3" customHeight="1" x14ac:dyDescent="0.25">
      <c r="A33" s="120"/>
      <c r="B33" s="56"/>
      <c r="C33" s="98"/>
      <c r="D33" s="98"/>
      <c r="E33" s="98"/>
      <c r="F33" s="98"/>
      <c r="G33" s="98"/>
      <c r="H33" s="98"/>
      <c r="I33" s="98"/>
      <c r="J33" s="98"/>
      <c r="K33" s="98"/>
    </row>
    <row r="34" spans="1:11" ht="2.25" hidden="1" customHeight="1" x14ac:dyDescent="0.25">
      <c r="A34" s="2"/>
    </row>
    <row r="35" spans="1:11" ht="11.1" customHeight="1" x14ac:dyDescent="0.25">
      <c r="A35" s="6" t="s">
        <v>220</v>
      </c>
    </row>
    <row r="36" spans="1:11" s="6" customFormat="1" ht="11.1" customHeight="1" x14ac:dyDescent="0.15">
      <c r="A36" s="202" t="s">
        <v>18</v>
      </c>
      <c r="B36" s="202"/>
      <c r="C36" s="202"/>
      <c r="D36" s="202"/>
      <c r="E36" s="202"/>
      <c r="F36" s="202"/>
      <c r="G36" s="202"/>
      <c r="H36" s="202"/>
      <c r="I36" s="202"/>
      <c r="J36" s="202"/>
      <c r="K36" s="202"/>
    </row>
    <row r="37" spans="1:11" s="6" customFormat="1" ht="11.1" customHeight="1" x14ac:dyDescent="0.15">
      <c r="A37" s="6" t="s">
        <v>27</v>
      </c>
    </row>
    <row r="38" spans="1:11" s="6" customFormat="1" ht="11.25" customHeight="1" x14ac:dyDescent="0.15">
      <c r="A38" s="6" t="s">
        <v>28</v>
      </c>
    </row>
    <row r="39" spans="1:11" s="6" customFormat="1" ht="11.25" customHeight="1" x14ac:dyDescent="0.15">
      <c r="A39" s="6" t="s">
        <v>30</v>
      </c>
      <c r="B39" s="122"/>
      <c r="C39" s="122"/>
      <c r="D39" s="122"/>
      <c r="E39" s="122"/>
      <c r="F39" s="122"/>
      <c r="G39" s="122"/>
      <c r="H39" s="122"/>
      <c r="I39" s="122"/>
      <c r="J39" s="122"/>
      <c r="K39" s="122"/>
    </row>
    <row r="40" spans="1:11" s="6" customFormat="1" ht="11.1" customHeight="1" x14ac:dyDescent="0.15">
      <c r="A40" s="6" t="s">
        <v>380</v>
      </c>
      <c r="B40" s="122"/>
      <c r="C40" s="122"/>
      <c r="D40" s="122"/>
      <c r="E40" s="122"/>
      <c r="F40" s="122"/>
      <c r="G40" s="122"/>
      <c r="H40" s="122"/>
      <c r="I40" s="122"/>
      <c r="J40" s="122"/>
      <c r="K40" s="122"/>
    </row>
    <row r="41" spans="1:11" s="6" customFormat="1" ht="11.1" customHeight="1" x14ac:dyDescent="0.15"/>
    <row r="42" spans="1:11" ht="12" customHeight="1" x14ac:dyDescent="0.25">
      <c r="A42" s="6" t="s">
        <v>246</v>
      </c>
      <c r="B42" s="6"/>
      <c r="C42" s="6"/>
      <c r="D42" s="6"/>
      <c r="E42" s="6"/>
      <c r="F42" s="6"/>
      <c r="G42" s="6"/>
      <c r="H42" s="6"/>
      <c r="I42" s="6"/>
      <c r="J42" s="6"/>
      <c r="K42" s="6"/>
    </row>
    <row r="52" spans="24:24" x14ac:dyDescent="0.25">
      <c r="X52" s="1" t="s">
        <v>372</v>
      </c>
    </row>
    <row r="53" spans="24:24" x14ac:dyDescent="0.25">
      <c r="X53" s="1" t="s">
        <v>269</v>
      </c>
    </row>
    <row r="54" spans="24:24" x14ac:dyDescent="0.25">
      <c r="X54" s="1" t="s">
        <v>269</v>
      </c>
    </row>
    <row r="55" spans="24:24" x14ac:dyDescent="0.25">
      <c r="X55" s="1" t="s">
        <v>269</v>
      </c>
    </row>
    <row r="56" spans="24:24" x14ac:dyDescent="0.25">
      <c r="X56" s="1" t="s">
        <v>269</v>
      </c>
    </row>
    <row r="57" spans="24:24" x14ac:dyDescent="0.25">
      <c r="X57" s="1" t="s">
        <v>269</v>
      </c>
    </row>
    <row r="58" spans="24:24" x14ac:dyDescent="0.25">
      <c r="X58" s="1" t="s">
        <v>269</v>
      </c>
    </row>
    <row r="59" spans="24:24" x14ac:dyDescent="0.25">
      <c r="X59" s="1" t="s">
        <v>269</v>
      </c>
    </row>
    <row r="60" spans="24:24" x14ac:dyDescent="0.25">
      <c r="X60" s="1" t="s">
        <v>269</v>
      </c>
    </row>
    <row r="61" spans="24:24" x14ac:dyDescent="0.25">
      <c r="X61" s="1" t="s">
        <v>269</v>
      </c>
    </row>
  </sheetData>
  <mergeCells count="11">
    <mergeCell ref="A36:K36"/>
    <mergeCell ref="A1:K1"/>
    <mergeCell ref="A4:A6"/>
    <mergeCell ref="A7:A9"/>
    <mergeCell ref="A10:A12"/>
    <mergeCell ref="A14:K14"/>
    <mergeCell ref="A16:K16"/>
    <mergeCell ref="A21:K21"/>
    <mergeCell ref="A24:A26"/>
    <mergeCell ref="A27:A29"/>
    <mergeCell ref="A30:A32"/>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J77"/>
  <sheetViews>
    <sheetView zoomScale="130" zoomScaleNormal="130" workbookViewId="0">
      <selection sqref="A1:M1"/>
    </sheetView>
  </sheetViews>
  <sheetFormatPr defaultColWidth="9.140625" defaultRowHeight="15" x14ac:dyDescent="0.25"/>
  <cols>
    <col min="1" max="9" width="11.42578125" style="1" bestFit="1" customWidth="1"/>
    <col min="10" max="10" width="12.5703125" style="1" bestFit="1" customWidth="1"/>
    <col min="11" max="11" width="11.42578125" style="1" bestFit="1" customWidth="1"/>
    <col min="12" max="12" width="12" style="1" bestFit="1" customWidth="1"/>
    <col min="13" max="15" width="11.42578125" style="1" bestFit="1" customWidth="1"/>
    <col min="16" max="16384" width="9.140625" style="1"/>
  </cols>
  <sheetData>
    <row r="1" spans="1:36" ht="27" customHeight="1" x14ac:dyDescent="0.25">
      <c r="A1" s="200" t="s">
        <v>281</v>
      </c>
      <c r="B1" s="200"/>
      <c r="C1" s="200"/>
      <c r="D1" s="200"/>
      <c r="E1" s="200"/>
      <c r="F1" s="200"/>
      <c r="G1" s="200"/>
      <c r="H1" s="200"/>
      <c r="I1" s="200"/>
      <c r="J1" s="200"/>
      <c r="K1" s="200"/>
      <c r="L1" s="200"/>
      <c r="M1" s="200"/>
    </row>
    <row r="2" spans="1:36" ht="3.75" customHeight="1" x14ac:dyDescent="0.25">
      <c r="A2" s="2"/>
    </row>
    <row r="3" spans="1:36" ht="23.25" x14ac:dyDescent="0.25">
      <c r="A3" s="44" t="s">
        <v>185</v>
      </c>
      <c r="B3" s="44" t="s">
        <v>186</v>
      </c>
      <c r="C3" s="3">
        <v>10</v>
      </c>
      <c r="D3" s="3">
        <v>11</v>
      </c>
      <c r="E3" s="3">
        <v>12</v>
      </c>
      <c r="F3" s="3">
        <v>13</v>
      </c>
      <c r="G3" s="3">
        <v>14</v>
      </c>
      <c r="H3" s="3">
        <v>15</v>
      </c>
      <c r="I3" s="3">
        <v>16</v>
      </c>
      <c r="J3" s="3">
        <v>17</v>
      </c>
      <c r="K3" s="3" t="s">
        <v>10</v>
      </c>
      <c r="L3" s="3" t="s">
        <v>11</v>
      </c>
      <c r="M3" s="3" t="s">
        <v>12</v>
      </c>
      <c r="N3" s="84"/>
      <c r="O3" s="84"/>
      <c r="P3" s="84"/>
      <c r="Q3" s="84"/>
      <c r="R3" s="84"/>
      <c r="S3" s="84"/>
      <c r="T3" s="84"/>
      <c r="U3" s="84"/>
      <c r="V3" s="84"/>
      <c r="W3" s="84"/>
      <c r="X3" s="84"/>
      <c r="Y3" s="84"/>
      <c r="Z3" s="84"/>
      <c r="AA3" s="84"/>
      <c r="AB3" s="84"/>
      <c r="AC3" s="84"/>
      <c r="AD3" s="84"/>
      <c r="AE3" s="84"/>
      <c r="AF3" s="84"/>
      <c r="AG3" s="84"/>
      <c r="AH3" s="84"/>
      <c r="AI3" s="84"/>
      <c r="AJ3" s="84"/>
    </row>
    <row r="4" spans="1:36" ht="15" customHeight="1" x14ac:dyDescent="0.25">
      <c r="A4" s="203" t="s">
        <v>21</v>
      </c>
      <c r="B4" s="4" t="s">
        <v>22</v>
      </c>
      <c r="C4" s="5" t="s">
        <v>167</v>
      </c>
      <c r="D4" s="5">
        <v>0.7</v>
      </c>
      <c r="E4" s="5">
        <v>5.5</v>
      </c>
      <c r="F4" s="5">
        <v>19.399999999999999</v>
      </c>
      <c r="G4" s="5">
        <v>43.6</v>
      </c>
      <c r="H4" s="5">
        <v>82.9</v>
      </c>
      <c r="I4" s="5">
        <v>116.3</v>
      </c>
      <c r="J4" s="5">
        <v>132.4</v>
      </c>
      <c r="K4" s="38">
        <v>400.9</v>
      </c>
      <c r="L4" s="5">
        <v>42.4</v>
      </c>
      <c r="M4" s="5">
        <v>443.3</v>
      </c>
      <c r="N4" s="84"/>
      <c r="O4" s="84"/>
      <c r="P4" s="84"/>
      <c r="Q4" s="84"/>
      <c r="R4" s="84"/>
      <c r="S4" s="84"/>
      <c r="T4" s="84"/>
      <c r="U4" s="84"/>
      <c r="V4" s="84"/>
      <c r="W4" s="84"/>
      <c r="X4" s="84"/>
      <c r="Y4" s="84"/>
      <c r="Z4" s="84"/>
      <c r="AA4" s="84"/>
      <c r="AB4" s="84"/>
      <c r="AC4" s="84"/>
      <c r="AD4" s="84"/>
      <c r="AE4" s="84"/>
      <c r="AF4" s="84"/>
      <c r="AG4" s="84"/>
      <c r="AH4" s="84"/>
      <c r="AI4" s="84"/>
      <c r="AJ4" s="84"/>
    </row>
    <row r="5" spans="1:36" ht="15" customHeight="1" x14ac:dyDescent="0.25">
      <c r="A5" s="203"/>
      <c r="B5" s="4" t="s">
        <v>23</v>
      </c>
      <c r="C5" s="5" t="s">
        <v>167</v>
      </c>
      <c r="D5" s="5" t="s">
        <v>167</v>
      </c>
      <c r="E5" s="5">
        <v>0.4</v>
      </c>
      <c r="F5" s="5">
        <v>5.9</v>
      </c>
      <c r="G5" s="5">
        <v>22.1</v>
      </c>
      <c r="H5" s="5">
        <v>54.8</v>
      </c>
      <c r="I5" s="5">
        <v>77.5</v>
      </c>
      <c r="J5" s="5">
        <v>90.9</v>
      </c>
      <c r="K5" s="38">
        <v>251.6</v>
      </c>
      <c r="L5" s="5">
        <v>76.099999999999994</v>
      </c>
      <c r="M5" s="5">
        <v>327.7</v>
      </c>
      <c r="N5" s="84"/>
      <c r="O5" s="84"/>
      <c r="P5" s="84"/>
      <c r="Q5" s="84"/>
      <c r="R5" s="84"/>
      <c r="S5" s="84"/>
      <c r="T5" s="84"/>
      <c r="U5" s="84"/>
      <c r="V5" s="84"/>
      <c r="W5" s="84"/>
      <c r="X5" s="84"/>
      <c r="Y5" s="84"/>
      <c r="Z5" s="84"/>
      <c r="AA5" s="84"/>
      <c r="AB5" s="84"/>
      <c r="AC5" s="84"/>
      <c r="AD5" s="84"/>
      <c r="AE5" s="84"/>
      <c r="AF5" s="84"/>
      <c r="AG5" s="84"/>
      <c r="AH5" s="84"/>
      <c r="AI5" s="84"/>
      <c r="AJ5" s="84"/>
    </row>
    <row r="6" spans="1:36" ht="15" customHeight="1" x14ac:dyDescent="0.25">
      <c r="A6" s="203"/>
      <c r="B6" s="4" t="s">
        <v>24</v>
      </c>
      <c r="C6" s="5" t="s">
        <v>167</v>
      </c>
      <c r="D6" s="5" t="s">
        <v>167</v>
      </c>
      <c r="E6" s="5" t="s">
        <v>167</v>
      </c>
      <c r="F6" s="5">
        <v>0.1</v>
      </c>
      <c r="G6" s="5">
        <v>0.1</v>
      </c>
      <c r="H6" s="5">
        <v>0.1</v>
      </c>
      <c r="I6" s="5">
        <v>0.5</v>
      </c>
      <c r="J6" s="5">
        <v>1</v>
      </c>
      <c r="K6" s="38">
        <v>1.8</v>
      </c>
      <c r="L6" s="5">
        <v>1.8</v>
      </c>
      <c r="M6" s="5">
        <v>3.6</v>
      </c>
      <c r="N6" s="84"/>
      <c r="O6" s="84"/>
      <c r="P6" s="84"/>
      <c r="Q6" s="84"/>
      <c r="R6" s="84"/>
      <c r="S6" s="84"/>
      <c r="T6" s="84"/>
      <c r="U6" s="84"/>
      <c r="V6" s="84"/>
      <c r="W6" s="84"/>
      <c r="X6" s="84"/>
      <c r="Y6" s="84"/>
      <c r="Z6" s="84"/>
      <c r="AA6" s="84"/>
      <c r="AB6" s="84"/>
      <c r="AC6" s="84"/>
      <c r="AD6" s="84"/>
      <c r="AE6" s="84"/>
      <c r="AF6" s="84"/>
      <c r="AG6" s="84"/>
      <c r="AH6" s="84"/>
      <c r="AI6" s="84"/>
      <c r="AJ6" s="84"/>
    </row>
    <row r="7" spans="1:36" ht="15" customHeight="1" x14ac:dyDescent="0.25">
      <c r="A7" s="203"/>
      <c r="B7" s="105" t="s">
        <v>12</v>
      </c>
      <c r="C7" s="76" t="s">
        <v>167</v>
      </c>
      <c r="D7" s="76">
        <v>0.7</v>
      </c>
      <c r="E7" s="76">
        <v>5.9</v>
      </c>
      <c r="F7" s="76">
        <v>25.4</v>
      </c>
      <c r="G7" s="76">
        <v>65.8</v>
      </c>
      <c r="H7" s="76">
        <v>137.69999999999999</v>
      </c>
      <c r="I7" s="76">
        <v>194.4</v>
      </c>
      <c r="J7" s="76">
        <v>224.3</v>
      </c>
      <c r="K7" s="49">
        <v>654.20000000000005</v>
      </c>
      <c r="L7" s="76">
        <v>120.4</v>
      </c>
      <c r="M7" s="76">
        <v>774.6</v>
      </c>
      <c r="N7" s="84"/>
      <c r="O7" s="84"/>
      <c r="P7" s="84"/>
      <c r="Q7" s="84"/>
      <c r="R7" s="84"/>
      <c r="S7" s="84"/>
      <c r="T7" s="84"/>
      <c r="U7" s="84"/>
      <c r="V7" s="84"/>
      <c r="W7" s="84"/>
      <c r="X7" s="84"/>
      <c r="Y7" s="84"/>
      <c r="Z7" s="84"/>
      <c r="AA7" s="84"/>
      <c r="AB7" s="84"/>
      <c r="AC7" s="84"/>
      <c r="AD7" s="84"/>
      <c r="AE7" s="84"/>
      <c r="AF7" s="84"/>
      <c r="AG7" s="84"/>
      <c r="AH7" s="84"/>
      <c r="AI7" s="84"/>
      <c r="AJ7" s="84"/>
    </row>
    <row r="8" spans="1:36" ht="15" customHeight="1" x14ac:dyDescent="0.25">
      <c r="A8" s="203" t="s">
        <v>25</v>
      </c>
      <c r="B8" s="4" t="s">
        <v>22</v>
      </c>
      <c r="C8" s="5" t="s">
        <v>167</v>
      </c>
      <c r="D8" s="5" t="s">
        <v>167</v>
      </c>
      <c r="E8" s="5">
        <v>1.9</v>
      </c>
      <c r="F8" s="5">
        <v>3.7</v>
      </c>
      <c r="G8" s="5">
        <v>8</v>
      </c>
      <c r="H8" s="5">
        <v>13.2</v>
      </c>
      <c r="I8" s="5">
        <v>13.8</v>
      </c>
      <c r="J8" s="5">
        <v>11.2</v>
      </c>
      <c r="K8" s="38">
        <v>52</v>
      </c>
      <c r="L8" s="5">
        <v>1.7</v>
      </c>
      <c r="M8" s="5">
        <v>53.6</v>
      </c>
      <c r="N8" s="84"/>
      <c r="O8" s="84"/>
      <c r="P8" s="84"/>
      <c r="Q8" s="84"/>
      <c r="R8" s="84"/>
      <c r="S8" s="84"/>
      <c r="T8" s="84"/>
      <c r="U8" s="84"/>
      <c r="V8" s="84"/>
      <c r="W8" s="84"/>
      <c r="X8" s="84"/>
      <c r="Y8" s="84"/>
      <c r="Z8" s="84"/>
      <c r="AA8" s="84"/>
      <c r="AB8" s="84"/>
      <c r="AC8" s="84"/>
      <c r="AD8" s="84"/>
      <c r="AE8" s="84"/>
      <c r="AF8" s="84"/>
      <c r="AG8" s="84"/>
      <c r="AH8" s="84"/>
      <c r="AI8" s="84"/>
      <c r="AJ8" s="84"/>
    </row>
    <row r="9" spans="1:36" ht="15" customHeight="1" x14ac:dyDescent="0.25">
      <c r="A9" s="203"/>
      <c r="B9" s="4" t="s">
        <v>23</v>
      </c>
      <c r="C9" s="5" t="s">
        <v>167</v>
      </c>
      <c r="D9" s="5">
        <v>0.5</v>
      </c>
      <c r="E9" s="5">
        <v>0.3</v>
      </c>
      <c r="F9" s="5">
        <v>1.9</v>
      </c>
      <c r="G9" s="5">
        <v>2.2000000000000002</v>
      </c>
      <c r="H9" s="5">
        <v>4.3</v>
      </c>
      <c r="I9" s="5">
        <v>9.6</v>
      </c>
      <c r="J9" s="5">
        <v>8.5</v>
      </c>
      <c r="K9" s="38">
        <v>27.3</v>
      </c>
      <c r="L9" s="5">
        <v>3.8</v>
      </c>
      <c r="M9" s="5">
        <v>31</v>
      </c>
      <c r="N9" s="84"/>
      <c r="O9" s="84"/>
      <c r="P9" s="84"/>
      <c r="Q9" s="84"/>
      <c r="R9" s="84"/>
      <c r="S9" s="84"/>
      <c r="T9" s="84"/>
      <c r="U9" s="84"/>
      <c r="V9" s="84"/>
      <c r="W9" s="84"/>
      <c r="X9" s="84"/>
      <c r="Y9" s="84"/>
      <c r="Z9" s="84"/>
      <c r="AA9" s="84"/>
      <c r="AB9" s="84"/>
      <c r="AC9" s="84"/>
      <c r="AD9" s="84"/>
      <c r="AE9" s="84"/>
      <c r="AF9" s="84"/>
      <c r="AG9" s="84"/>
      <c r="AH9" s="84"/>
      <c r="AI9" s="84"/>
      <c r="AJ9" s="84"/>
    </row>
    <row r="10" spans="1:36" ht="15" customHeight="1" x14ac:dyDescent="0.25">
      <c r="A10" s="203"/>
      <c r="B10" s="4" t="s">
        <v>24</v>
      </c>
      <c r="C10" s="5" t="s">
        <v>167</v>
      </c>
      <c r="D10" s="5" t="s">
        <v>167</v>
      </c>
      <c r="E10" s="5" t="s">
        <v>167</v>
      </c>
      <c r="F10" s="5" t="s">
        <v>167</v>
      </c>
      <c r="G10" s="5">
        <v>0.1</v>
      </c>
      <c r="H10" s="5" t="s">
        <v>167</v>
      </c>
      <c r="I10" s="5">
        <v>0.1</v>
      </c>
      <c r="J10" s="5" t="s">
        <v>167</v>
      </c>
      <c r="K10" s="38">
        <v>0.3</v>
      </c>
      <c r="L10" s="5" t="s">
        <v>167</v>
      </c>
      <c r="M10" s="5">
        <v>0.3</v>
      </c>
      <c r="N10" s="84"/>
      <c r="O10" s="84"/>
      <c r="P10" s="84"/>
      <c r="Q10" s="84"/>
      <c r="R10" s="84"/>
      <c r="S10" s="84"/>
      <c r="T10" s="84"/>
      <c r="U10" s="84"/>
      <c r="V10" s="84"/>
      <c r="W10" s="84"/>
      <c r="X10" s="84"/>
      <c r="Y10" s="84"/>
      <c r="Z10" s="84"/>
      <c r="AA10" s="84"/>
      <c r="AB10" s="84"/>
      <c r="AC10" s="84"/>
      <c r="AD10" s="84"/>
      <c r="AE10" s="84"/>
      <c r="AF10" s="84"/>
      <c r="AG10" s="84"/>
      <c r="AH10" s="84"/>
      <c r="AI10" s="84"/>
      <c r="AJ10" s="84"/>
    </row>
    <row r="11" spans="1:36" ht="15" customHeight="1" x14ac:dyDescent="0.25">
      <c r="A11" s="203"/>
      <c r="B11" s="105" t="s">
        <v>12</v>
      </c>
      <c r="C11" s="76" t="s">
        <v>167</v>
      </c>
      <c r="D11" s="76">
        <v>0.5</v>
      </c>
      <c r="E11" s="76">
        <v>2.2999999999999998</v>
      </c>
      <c r="F11" s="76">
        <v>5.6</v>
      </c>
      <c r="G11" s="76">
        <v>10.3</v>
      </c>
      <c r="H11" s="76">
        <v>17.5</v>
      </c>
      <c r="I11" s="76">
        <v>23.5</v>
      </c>
      <c r="J11" s="76">
        <v>19.7</v>
      </c>
      <c r="K11" s="49">
        <v>79.5</v>
      </c>
      <c r="L11" s="76">
        <v>5.4</v>
      </c>
      <c r="M11" s="76">
        <v>84.9</v>
      </c>
      <c r="N11" s="84"/>
      <c r="O11" s="84"/>
      <c r="P11" s="84"/>
      <c r="Q11" s="84"/>
      <c r="R11" s="84"/>
      <c r="S11" s="84"/>
      <c r="T11" s="84"/>
      <c r="U11" s="84"/>
      <c r="V11" s="84"/>
      <c r="W11" s="84"/>
      <c r="X11" s="84"/>
      <c r="Y11" s="84"/>
      <c r="Z11" s="84"/>
      <c r="AA11" s="84"/>
      <c r="AB11" s="84"/>
      <c r="AC11" s="84"/>
      <c r="AD11" s="84"/>
      <c r="AE11" s="84"/>
      <c r="AF11" s="84"/>
      <c r="AG11" s="84"/>
      <c r="AH11" s="84"/>
      <c r="AI11" s="84"/>
      <c r="AJ11" s="84"/>
    </row>
    <row r="12" spans="1:36" ht="15" customHeight="1" x14ac:dyDescent="0.25">
      <c r="A12" s="203" t="s">
        <v>24</v>
      </c>
      <c r="B12" s="4" t="s">
        <v>22</v>
      </c>
      <c r="C12" s="5" t="s">
        <v>167</v>
      </c>
      <c r="D12" s="5" t="s">
        <v>167</v>
      </c>
      <c r="E12" s="5" t="s">
        <v>167</v>
      </c>
      <c r="F12" s="5" t="s">
        <v>167</v>
      </c>
      <c r="G12" s="5" t="s">
        <v>167</v>
      </c>
      <c r="H12" s="5" t="s">
        <v>167</v>
      </c>
      <c r="I12" s="5" t="s">
        <v>167</v>
      </c>
      <c r="J12" s="5" t="s">
        <v>167</v>
      </c>
      <c r="K12" s="38" t="s">
        <v>167</v>
      </c>
      <c r="L12" s="5" t="s">
        <v>167</v>
      </c>
      <c r="M12" s="5" t="s">
        <v>167</v>
      </c>
      <c r="N12" s="84"/>
      <c r="O12" s="84"/>
      <c r="P12" s="84"/>
      <c r="Q12" s="84"/>
      <c r="R12" s="84"/>
      <c r="S12" s="84"/>
      <c r="T12" s="84"/>
      <c r="U12" s="84"/>
      <c r="V12" s="84"/>
      <c r="W12" s="84"/>
      <c r="X12" s="84"/>
      <c r="Y12" s="84"/>
      <c r="Z12" s="84"/>
      <c r="AA12" s="84"/>
      <c r="AB12" s="84"/>
      <c r="AC12" s="84"/>
      <c r="AD12" s="84"/>
      <c r="AE12" s="84"/>
      <c r="AF12" s="84"/>
      <c r="AG12" s="84"/>
      <c r="AH12" s="84"/>
      <c r="AI12" s="84"/>
      <c r="AJ12" s="84"/>
    </row>
    <row r="13" spans="1:36" ht="15" customHeight="1" x14ac:dyDescent="0.25">
      <c r="A13" s="203"/>
      <c r="B13" s="4" t="s">
        <v>23</v>
      </c>
      <c r="C13" s="5" t="s">
        <v>167</v>
      </c>
      <c r="D13" s="5" t="s">
        <v>167</v>
      </c>
      <c r="E13" s="5" t="s">
        <v>167</v>
      </c>
      <c r="F13" s="5" t="s">
        <v>167</v>
      </c>
      <c r="G13" s="5" t="s">
        <v>167</v>
      </c>
      <c r="H13" s="5" t="s">
        <v>167</v>
      </c>
      <c r="I13" s="5" t="s">
        <v>167</v>
      </c>
      <c r="J13" s="5" t="s">
        <v>167</v>
      </c>
      <c r="K13" s="38">
        <v>0.1</v>
      </c>
      <c r="L13" s="5" t="s">
        <v>167</v>
      </c>
      <c r="M13" s="5">
        <v>0.1</v>
      </c>
      <c r="N13" s="84"/>
      <c r="O13" s="84"/>
      <c r="P13" s="84"/>
      <c r="Q13" s="84"/>
      <c r="R13" s="84"/>
      <c r="S13" s="84"/>
      <c r="T13" s="84"/>
      <c r="U13" s="84"/>
      <c r="V13" s="84"/>
      <c r="W13" s="84"/>
      <c r="X13" s="84"/>
      <c r="Y13" s="84"/>
      <c r="Z13" s="84"/>
      <c r="AA13" s="84"/>
      <c r="AB13" s="84"/>
      <c r="AC13" s="84"/>
      <c r="AD13" s="84"/>
      <c r="AE13" s="84"/>
      <c r="AF13" s="84"/>
      <c r="AG13" s="84"/>
      <c r="AH13" s="84"/>
      <c r="AI13" s="84"/>
      <c r="AJ13" s="84"/>
    </row>
    <row r="14" spans="1:36" ht="15" customHeight="1" x14ac:dyDescent="0.25">
      <c r="A14" s="203"/>
      <c r="B14" s="4" t="s">
        <v>24</v>
      </c>
      <c r="C14" s="5" t="s">
        <v>167</v>
      </c>
      <c r="D14" s="5" t="s">
        <v>167</v>
      </c>
      <c r="E14" s="5" t="s">
        <v>167</v>
      </c>
      <c r="F14" s="5" t="s">
        <v>167</v>
      </c>
      <c r="G14" s="5" t="s">
        <v>167</v>
      </c>
      <c r="H14" s="5" t="s">
        <v>167</v>
      </c>
      <c r="I14" s="5" t="s">
        <v>167</v>
      </c>
      <c r="J14" s="5" t="s">
        <v>167</v>
      </c>
      <c r="K14" s="38" t="s">
        <v>167</v>
      </c>
      <c r="L14" s="5" t="s">
        <v>167</v>
      </c>
      <c r="M14" s="5" t="s">
        <v>167</v>
      </c>
      <c r="N14" s="84"/>
      <c r="O14" s="84"/>
      <c r="P14" s="84"/>
      <c r="Q14" s="84"/>
      <c r="R14" s="84"/>
      <c r="S14" s="84"/>
      <c r="T14" s="84"/>
      <c r="U14" s="84"/>
      <c r="V14" s="84"/>
      <c r="W14" s="84"/>
      <c r="X14" s="84"/>
      <c r="Y14" s="84"/>
      <c r="Z14" s="84"/>
      <c r="AA14" s="84"/>
      <c r="AB14" s="84"/>
      <c r="AC14" s="84"/>
      <c r="AD14" s="84"/>
      <c r="AE14" s="84"/>
      <c r="AF14" s="84"/>
      <c r="AG14" s="84"/>
      <c r="AH14" s="84"/>
      <c r="AI14" s="84"/>
      <c r="AJ14" s="84"/>
    </row>
    <row r="15" spans="1:36" ht="15" customHeight="1" x14ac:dyDescent="0.25">
      <c r="A15" s="203"/>
      <c r="B15" s="105" t="s">
        <v>12</v>
      </c>
      <c r="C15" s="76" t="s">
        <v>167</v>
      </c>
      <c r="D15" s="76" t="s">
        <v>167</v>
      </c>
      <c r="E15" s="76" t="s">
        <v>167</v>
      </c>
      <c r="F15" s="76" t="s">
        <v>167</v>
      </c>
      <c r="G15" s="76" t="s">
        <v>167</v>
      </c>
      <c r="H15" s="76" t="s">
        <v>167</v>
      </c>
      <c r="I15" s="76" t="s">
        <v>167</v>
      </c>
      <c r="J15" s="76" t="s">
        <v>167</v>
      </c>
      <c r="K15" s="49">
        <v>0.1</v>
      </c>
      <c r="L15" s="76" t="s">
        <v>167</v>
      </c>
      <c r="M15" s="76">
        <v>0.1</v>
      </c>
      <c r="N15" s="84"/>
      <c r="O15" s="84"/>
      <c r="P15" s="84"/>
      <c r="Q15" s="84"/>
      <c r="R15" s="84"/>
      <c r="S15" s="84"/>
      <c r="T15" s="84"/>
      <c r="U15" s="84"/>
      <c r="V15" s="84"/>
      <c r="W15" s="84"/>
      <c r="X15" s="84"/>
      <c r="Y15" s="84"/>
      <c r="Z15" s="84"/>
      <c r="AA15" s="84"/>
      <c r="AB15" s="84"/>
      <c r="AC15" s="84"/>
      <c r="AD15" s="84"/>
      <c r="AE15" s="84"/>
      <c r="AF15" s="84"/>
      <c r="AG15" s="84"/>
      <c r="AH15" s="84"/>
      <c r="AI15" s="84"/>
      <c r="AJ15" s="84"/>
    </row>
    <row r="16" spans="1:36" ht="15" customHeight="1" x14ac:dyDescent="0.25">
      <c r="A16" s="203" t="s">
        <v>12</v>
      </c>
      <c r="B16" s="4" t="s">
        <v>22</v>
      </c>
      <c r="C16" s="5" t="s">
        <v>167</v>
      </c>
      <c r="D16" s="5">
        <v>0.7</v>
      </c>
      <c r="E16" s="5">
        <v>7.4</v>
      </c>
      <c r="F16" s="5">
        <v>23.2</v>
      </c>
      <c r="G16" s="5">
        <v>51.7</v>
      </c>
      <c r="H16" s="5">
        <v>96.1</v>
      </c>
      <c r="I16" s="5">
        <v>130.19999999999999</v>
      </c>
      <c r="J16" s="5">
        <v>143.6</v>
      </c>
      <c r="K16" s="38">
        <v>452.8</v>
      </c>
      <c r="L16" s="5">
        <v>44.1</v>
      </c>
      <c r="M16" s="5">
        <v>496.9</v>
      </c>
      <c r="N16" s="84"/>
      <c r="O16" s="84"/>
      <c r="P16" s="84"/>
      <c r="Q16" s="84"/>
      <c r="R16" s="84"/>
      <c r="S16" s="84"/>
      <c r="T16" s="84"/>
      <c r="U16" s="84"/>
      <c r="V16" s="84"/>
      <c r="W16" s="84"/>
      <c r="X16" s="84"/>
      <c r="Y16" s="84"/>
      <c r="Z16" s="84"/>
      <c r="AA16" s="84"/>
      <c r="AB16" s="84"/>
      <c r="AC16" s="84"/>
      <c r="AD16" s="84"/>
      <c r="AE16" s="84"/>
      <c r="AF16" s="84"/>
      <c r="AG16" s="84"/>
      <c r="AH16" s="84"/>
      <c r="AI16" s="84"/>
      <c r="AJ16" s="84"/>
    </row>
    <row r="17" spans="1:36" ht="15" customHeight="1" x14ac:dyDescent="0.25">
      <c r="A17" s="203"/>
      <c r="B17" s="4" t="s">
        <v>23</v>
      </c>
      <c r="C17" s="5" t="s">
        <v>167</v>
      </c>
      <c r="D17" s="5">
        <v>0.5</v>
      </c>
      <c r="E17" s="5">
        <v>0.7</v>
      </c>
      <c r="F17" s="5">
        <v>7.8</v>
      </c>
      <c r="G17" s="5">
        <v>24.3</v>
      </c>
      <c r="H17" s="5">
        <v>59.1</v>
      </c>
      <c r="I17" s="5">
        <v>87.1</v>
      </c>
      <c r="J17" s="5">
        <v>99.4</v>
      </c>
      <c r="K17" s="38">
        <v>278.89999999999998</v>
      </c>
      <c r="L17" s="5">
        <v>79.900000000000006</v>
      </c>
      <c r="M17" s="5">
        <v>358.8</v>
      </c>
      <c r="N17" s="84"/>
      <c r="O17" s="84"/>
      <c r="P17" s="84"/>
      <c r="Q17" s="84"/>
      <c r="R17" s="84"/>
      <c r="S17" s="84"/>
      <c r="T17" s="84"/>
      <c r="U17" s="84"/>
      <c r="V17" s="84"/>
      <c r="W17" s="84"/>
      <c r="X17" s="84"/>
      <c r="Y17" s="84"/>
      <c r="Z17" s="84"/>
      <c r="AA17" s="84"/>
      <c r="AB17" s="84"/>
      <c r="AC17" s="84"/>
      <c r="AD17" s="84"/>
      <c r="AE17" s="84"/>
      <c r="AF17" s="84"/>
      <c r="AG17" s="84"/>
      <c r="AH17" s="84"/>
      <c r="AI17" s="84"/>
      <c r="AJ17" s="84"/>
    </row>
    <row r="18" spans="1:36" ht="15" customHeight="1" x14ac:dyDescent="0.25">
      <c r="A18" s="203"/>
      <c r="B18" s="4" t="s">
        <v>24</v>
      </c>
      <c r="C18" s="5" t="s">
        <v>167</v>
      </c>
      <c r="D18" s="5" t="s">
        <v>167</v>
      </c>
      <c r="E18" s="5" t="s">
        <v>167</v>
      </c>
      <c r="F18" s="5">
        <v>0.1</v>
      </c>
      <c r="G18" s="5">
        <v>0.2</v>
      </c>
      <c r="H18" s="5">
        <v>0.1</v>
      </c>
      <c r="I18" s="5">
        <v>0.6</v>
      </c>
      <c r="J18" s="5">
        <v>1</v>
      </c>
      <c r="K18" s="38">
        <v>2</v>
      </c>
      <c r="L18" s="5">
        <v>1.8</v>
      </c>
      <c r="M18" s="5">
        <v>3.8</v>
      </c>
      <c r="N18" s="84"/>
      <c r="O18" s="84"/>
      <c r="P18" s="84"/>
      <c r="Q18" s="84"/>
      <c r="R18" s="84"/>
      <c r="S18" s="84"/>
      <c r="T18" s="84"/>
      <c r="U18" s="84"/>
      <c r="V18" s="84"/>
      <c r="W18" s="84"/>
      <c r="X18" s="84"/>
      <c r="Y18" s="84"/>
      <c r="Z18" s="84"/>
      <c r="AA18" s="84"/>
      <c r="AB18" s="84"/>
      <c r="AC18" s="84"/>
      <c r="AD18" s="84"/>
      <c r="AE18" s="84"/>
      <c r="AF18" s="84"/>
      <c r="AG18" s="84"/>
      <c r="AH18" s="84"/>
      <c r="AI18" s="84"/>
      <c r="AJ18" s="84"/>
    </row>
    <row r="19" spans="1:36" ht="15" customHeight="1" x14ac:dyDescent="0.25">
      <c r="A19" s="203"/>
      <c r="B19" s="105" t="s">
        <v>12</v>
      </c>
      <c r="C19" s="76" t="s">
        <v>167</v>
      </c>
      <c r="D19" s="76">
        <v>1.2</v>
      </c>
      <c r="E19" s="76">
        <v>8.1</v>
      </c>
      <c r="F19" s="76">
        <v>31</v>
      </c>
      <c r="G19" s="76">
        <v>76.2</v>
      </c>
      <c r="H19" s="76">
        <v>155.30000000000001</v>
      </c>
      <c r="I19" s="76">
        <v>217.9</v>
      </c>
      <c r="J19" s="76">
        <v>244</v>
      </c>
      <c r="K19" s="49">
        <v>733.7</v>
      </c>
      <c r="L19" s="76">
        <v>125.8</v>
      </c>
      <c r="M19" s="76">
        <v>859.5</v>
      </c>
      <c r="N19" s="84"/>
      <c r="O19" s="84"/>
      <c r="P19" s="84"/>
      <c r="Q19" s="84"/>
      <c r="R19" s="84"/>
      <c r="S19" s="84"/>
      <c r="T19" s="84"/>
      <c r="U19" s="84"/>
      <c r="V19" s="84"/>
      <c r="W19" s="84"/>
      <c r="X19" s="84"/>
      <c r="Y19" s="84"/>
      <c r="Z19" s="84"/>
      <c r="AA19" s="84"/>
      <c r="AB19" s="84"/>
      <c r="AC19" s="84"/>
      <c r="AD19" s="84"/>
      <c r="AE19" s="84"/>
      <c r="AF19" s="84"/>
      <c r="AG19" s="84"/>
      <c r="AH19" s="84"/>
      <c r="AI19" s="84"/>
      <c r="AJ19" s="84"/>
    </row>
    <row r="20" spans="1:36" ht="2.25" customHeight="1" x14ac:dyDescent="0.25">
      <c r="A20" s="2"/>
    </row>
    <row r="21" spans="1:36" ht="11.1" customHeight="1" x14ac:dyDescent="0.25">
      <c r="A21" s="201" t="s">
        <v>13</v>
      </c>
      <c r="B21" s="201"/>
      <c r="C21" s="201"/>
      <c r="D21" s="201"/>
      <c r="E21" s="201"/>
      <c r="F21" s="201"/>
      <c r="G21" s="201"/>
      <c r="H21" s="201"/>
      <c r="I21" s="201"/>
      <c r="J21" s="201"/>
      <c r="K21" s="201"/>
      <c r="L21" s="201"/>
      <c r="M21" s="201"/>
    </row>
    <row r="22" spans="1:36" s="6" customFormat="1" ht="11.1" customHeight="1" x14ac:dyDescent="0.15">
      <c r="A22" s="6" t="s">
        <v>14</v>
      </c>
    </row>
    <row r="23" spans="1:36" s="10" customFormat="1" ht="11.1" customHeight="1" x14ac:dyDescent="0.2">
      <c r="A23" s="6" t="s">
        <v>18</v>
      </c>
    </row>
    <row r="24" spans="1:36" s="6" customFormat="1" ht="11.1" customHeight="1" x14ac:dyDescent="0.15">
      <c r="A24" s="6" t="s">
        <v>31</v>
      </c>
    </row>
    <row r="25" spans="1:36" s="6" customFormat="1" ht="20.25" customHeight="1" x14ac:dyDescent="0.15">
      <c r="A25" s="199" t="s">
        <v>32</v>
      </c>
      <c r="B25" s="199"/>
      <c r="C25" s="199"/>
      <c r="D25" s="199"/>
      <c r="E25" s="199"/>
      <c r="F25" s="199"/>
      <c r="G25" s="199"/>
      <c r="H25" s="199"/>
      <c r="I25" s="199"/>
      <c r="J25" s="199"/>
      <c r="K25" s="199"/>
      <c r="L25" s="199"/>
      <c r="M25" s="199"/>
    </row>
    <row r="26" spans="1:36" s="6" customFormat="1" ht="11.1" customHeight="1" x14ac:dyDescent="0.15">
      <c r="A26" s="6" t="s">
        <v>16</v>
      </c>
    </row>
    <row r="27" spans="1:36" s="6" customFormat="1" ht="11.1" customHeight="1" x14ac:dyDescent="0.15">
      <c r="A27" s="6" t="s">
        <v>271</v>
      </c>
    </row>
    <row r="28" spans="1:36" ht="12" customHeight="1" x14ac:dyDescent="0.25">
      <c r="A28" s="2"/>
    </row>
    <row r="29" spans="1:36" ht="14.1" customHeight="1" x14ac:dyDescent="0.25">
      <c r="A29" s="198" t="s">
        <v>282</v>
      </c>
      <c r="B29" s="198"/>
      <c r="C29" s="198"/>
      <c r="D29" s="198"/>
      <c r="E29" s="198"/>
      <c r="F29" s="198"/>
      <c r="G29" s="198"/>
      <c r="H29" s="198"/>
      <c r="I29" s="198"/>
      <c r="J29" s="198"/>
      <c r="K29" s="198"/>
      <c r="L29" s="198"/>
      <c r="M29" s="198"/>
      <c r="N29" s="198"/>
      <c r="O29" s="198"/>
    </row>
    <row r="30" spans="1:36" ht="5.25" customHeight="1" x14ac:dyDescent="0.25">
      <c r="A30" s="2"/>
    </row>
    <row r="31" spans="1:36" ht="23.25" x14ac:dyDescent="0.25">
      <c r="A31" s="44" t="s">
        <v>185</v>
      </c>
      <c r="B31" s="44" t="s">
        <v>186</v>
      </c>
      <c r="C31" s="3" t="s">
        <v>262</v>
      </c>
      <c r="D31" s="3">
        <v>13</v>
      </c>
      <c r="E31" s="3">
        <v>14</v>
      </c>
      <c r="F31" s="3">
        <v>15</v>
      </c>
      <c r="G31" s="3">
        <v>16</v>
      </c>
      <c r="H31" s="3">
        <v>17</v>
      </c>
      <c r="I31" s="3" t="s">
        <v>10</v>
      </c>
      <c r="J31" s="3" t="s">
        <v>11</v>
      </c>
      <c r="K31" s="3" t="s">
        <v>12</v>
      </c>
    </row>
    <row r="32" spans="1:36" ht="15" customHeight="1" x14ac:dyDescent="0.25">
      <c r="A32" s="112" t="s">
        <v>21</v>
      </c>
      <c r="B32" s="4" t="s">
        <v>22</v>
      </c>
      <c r="C32" s="8">
        <v>94</v>
      </c>
      <c r="D32" s="8">
        <v>181</v>
      </c>
      <c r="E32" s="8">
        <v>322</v>
      </c>
      <c r="F32" s="8">
        <v>439</v>
      </c>
      <c r="G32" s="8">
        <v>468</v>
      </c>
      <c r="H32" s="8">
        <v>551</v>
      </c>
      <c r="I32" s="41">
        <v>2055</v>
      </c>
      <c r="J32" s="8">
        <v>69</v>
      </c>
      <c r="K32" s="8">
        <v>2124</v>
      </c>
      <c r="L32" s="175"/>
      <c r="M32" s="175"/>
      <c r="N32" s="175"/>
      <c r="O32" s="175"/>
      <c r="P32" s="175"/>
      <c r="Q32" s="175"/>
      <c r="R32" s="175"/>
      <c r="S32" s="175"/>
      <c r="T32" s="175"/>
      <c r="U32" s="175"/>
      <c r="V32" s="128"/>
    </row>
    <row r="33" spans="1:21" ht="15" customHeight="1" x14ac:dyDescent="0.25">
      <c r="A33" s="105"/>
      <c r="B33" s="4" t="s">
        <v>23</v>
      </c>
      <c r="C33" s="8">
        <v>12</v>
      </c>
      <c r="D33" s="8">
        <v>85</v>
      </c>
      <c r="E33" s="8">
        <v>203</v>
      </c>
      <c r="F33" s="8">
        <v>363</v>
      </c>
      <c r="G33" s="8">
        <v>405</v>
      </c>
      <c r="H33" s="8">
        <v>443</v>
      </c>
      <c r="I33" s="41">
        <v>1511</v>
      </c>
      <c r="J33" s="8">
        <v>134</v>
      </c>
      <c r="K33" s="8">
        <v>1645</v>
      </c>
      <c r="L33" s="175"/>
      <c r="M33" s="175"/>
      <c r="N33" s="175"/>
      <c r="O33" s="175"/>
      <c r="P33" s="175"/>
      <c r="Q33" s="175"/>
      <c r="R33" s="175"/>
      <c r="S33" s="175"/>
      <c r="T33" s="175"/>
      <c r="U33" s="175"/>
    </row>
    <row r="34" spans="1:21" ht="15" customHeight="1" x14ac:dyDescent="0.25">
      <c r="A34" s="105"/>
      <c r="B34" s="4" t="s">
        <v>24</v>
      </c>
      <c r="C34" s="8">
        <v>2</v>
      </c>
      <c r="D34" s="8">
        <v>3</v>
      </c>
      <c r="E34" s="8">
        <v>8</v>
      </c>
      <c r="F34" s="8">
        <v>12</v>
      </c>
      <c r="G34" s="8">
        <v>8</v>
      </c>
      <c r="H34" s="8">
        <v>16</v>
      </c>
      <c r="I34" s="41">
        <v>49</v>
      </c>
      <c r="J34" s="8">
        <v>2</v>
      </c>
      <c r="K34" s="8">
        <v>51</v>
      </c>
      <c r="L34" s="175"/>
      <c r="M34" s="175"/>
      <c r="N34" s="175"/>
      <c r="O34" s="175"/>
      <c r="P34" s="175"/>
      <c r="Q34" s="175"/>
      <c r="R34" s="175"/>
      <c r="S34" s="175"/>
      <c r="T34" s="175"/>
      <c r="U34" s="175"/>
    </row>
    <row r="35" spans="1:21" ht="15" customHeight="1" x14ac:dyDescent="0.25">
      <c r="A35" s="105"/>
      <c r="B35" s="9" t="s">
        <v>12</v>
      </c>
      <c r="C35" s="81">
        <v>108</v>
      </c>
      <c r="D35" s="81">
        <v>269</v>
      </c>
      <c r="E35" s="81">
        <v>533</v>
      </c>
      <c r="F35" s="81">
        <v>814</v>
      </c>
      <c r="G35" s="81">
        <v>881</v>
      </c>
      <c r="H35" s="81">
        <v>1010</v>
      </c>
      <c r="I35" s="51">
        <v>3615</v>
      </c>
      <c r="J35" s="81">
        <v>205</v>
      </c>
      <c r="K35" s="81">
        <v>3820</v>
      </c>
      <c r="L35" s="175"/>
      <c r="M35" s="175"/>
      <c r="N35" s="175"/>
      <c r="O35" s="175"/>
      <c r="P35" s="175"/>
      <c r="Q35" s="175"/>
      <c r="R35" s="175"/>
      <c r="S35" s="175"/>
      <c r="T35" s="175"/>
      <c r="U35" s="175"/>
    </row>
    <row r="36" spans="1:21" ht="15" customHeight="1" x14ac:dyDescent="0.25">
      <c r="A36" s="105" t="s">
        <v>25</v>
      </c>
      <c r="B36" s="4" t="s">
        <v>22</v>
      </c>
      <c r="C36" s="8">
        <v>24</v>
      </c>
      <c r="D36" s="8">
        <v>63</v>
      </c>
      <c r="E36" s="8">
        <v>114</v>
      </c>
      <c r="F36" s="8">
        <v>132</v>
      </c>
      <c r="G36" s="8">
        <v>139</v>
      </c>
      <c r="H36" s="8">
        <v>111</v>
      </c>
      <c r="I36" s="41">
        <v>583</v>
      </c>
      <c r="J36" s="8">
        <v>7</v>
      </c>
      <c r="K36" s="8">
        <v>590</v>
      </c>
      <c r="L36" s="175"/>
      <c r="M36" s="175"/>
      <c r="N36" s="175"/>
      <c r="O36" s="175"/>
      <c r="P36" s="175"/>
      <c r="Q36" s="175"/>
      <c r="R36" s="175"/>
      <c r="S36" s="175"/>
      <c r="T36" s="175"/>
      <c r="U36" s="175"/>
    </row>
    <row r="37" spans="1:21" ht="15" customHeight="1" x14ac:dyDescent="0.25">
      <c r="A37" s="105"/>
      <c r="B37" s="4" t="s">
        <v>23</v>
      </c>
      <c r="C37" s="8">
        <v>8</v>
      </c>
      <c r="D37" s="8">
        <v>36</v>
      </c>
      <c r="E37" s="8">
        <v>45</v>
      </c>
      <c r="F37" s="8">
        <v>73</v>
      </c>
      <c r="G37" s="8">
        <v>70</v>
      </c>
      <c r="H37" s="8">
        <v>80</v>
      </c>
      <c r="I37" s="41">
        <v>312</v>
      </c>
      <c r="J37" s="8">
        <v>7</v>
      </c>
      <c r="K37" s="8">
        <v>319</v>
      </c>
      <c r="L37" s="175"/>
      <c r="M37" s="175"/>
      <c r="N37" s="175"/>
      <c r="O37" s="175"/>
      <c r="P37" s="175"/>
      <c r="Q37" s="175"/>
      <c r="R37" s="175"/>
      <c r="S37" s="175"/>
      <c r="T37" s="175"/>
      <c r="U37" s="175"/>
    </row>
    <row r="38" spans="1:21" ht="15" customHeight="1" x14ac:dyDescent="0.25">
      <c r="A38" s="105"/>
      <c r="B38" s="4" t="s">
        <v>24</v>
      </c>
      <c r="C38" s="8">
        <v>1</v>
      </c>
      <c r="D38" s="8">
        <v>2</v>
      </c>
      <c r="E38" s="8">
        <v>2</v>
      </c>
      <c r="F38" s="8">
        <v>2</v>
      </c>
      <c r="G38" s="8">
        <v>2</v>
      </c>
      <c r="H38" s="8">
        <v>2</v>
      </c>
      <c r="I38" s="41">
        <v>11</v>
      </c>
      <c r="J38" s="8" t="s">
        <v>167</v>
      </c>
      <c r="K38" s="8">
        <v>11</v>
      </c>
      <c r="L38" s="175"/>
      <c r="M38" s="175"/>
      <c r="N38" s="175"/>
      <c r="O38" s="175"/>
      <c r="P38" s="175"/>
      <c r="Q38" s="175"/>
      <c r="R38" s="175"/>
      <c r="S38" s="175"/>
      <c r="T38" s="175"/>
      <c r="U38" s="175"/>
    </row>
    <row r="39" spans="1:21" ht="15" customHeight="1" x14ac:dyDescent="0.25">
      <c r="A39" s="105"/>
      <c r="B39" s="9" t="s">
        <v>12</v>
      </c>
      <c r="C39" s="81">
        <v>33</v>
      </c>
      <c r="D39" s="81">
        <v>101</v>
      </c>
      <c r="E39" s="81">
        <v>161</v>
      </c>
      <c r="F39" s="81">
        <v>207</v>
      </c>
      <c r="G39" s="81">
        <v>211</v>
      </c>
      <c r="H39" s="81">
        <v>193</v>
      </c>
      <c r="I39" s="51">
        <v>906</v>
      </c>
      <c r="J39" s="81">
        <v>14</v>
      </c>
      <c r="K39" s="81">
        <v>920</v>
      </c>
      <c r="L39" s="175"/>
      <c r="M39" s="175"/>
      <c r="N39" s="175"/>
      <c r="O39" s="175"/>
      <c r="P39" s="175"/>
      <c r="Q39" s="175"/>
      <c r="R39" s="175"/>
      <c r="S39" s="175"/>
      <c r="T39" s="175"/>
      <c r="U39" s="175"/>
    </row>
    <row r="40" spans="1:21" ht="15" customHeight="1" x14ac:dyDescent="0.25">
      <c r="A40" s="105" t="s">
        <v>24</v>
      </c>
      <c r="B40" s="4" t="s">
        <v>22</v>
      </c>
      <c r="C40" s="8" t="s">
        <v>167</v>
      </c>
      <c r="D40" s="8" t="s">
        <v>167</v>
      </c>
      <c r="E40" s="8" t="s">
        <v>167</v>
      </c>
      <c r="F40" s="8" t="s">
        <v>167</v>
      </c>
      <c r="G40" s="8" t="s">
        <v>167</v>
      </c>
      <c r="H40" s="8" t="s">
        <v>167</v>
      </c>
      <c r="I40" s="41" t="s">
        <v>167</v>
      </c>
      <c r="J40" s="8" t="s">
        <v>167</v>
      </c>
      <c r="K40" s="8" t="s">
        <v>167</v>
      </c>
      <c r="L40" s="175"/>
      <c r="M40" s="175"/>
      <c r="N40" s="175"/>
      <c r="O40" s="175"/>
      <c r="P40" s="175"/>
      <c r="Q40" s="175"/>
      <c r="R40" s="175"/>
      <c r="S40" s="175"/>
      <c r="T40" s="175"/>
      <c r="U40" s="175"/>
    </row>
    <row r="41" spans="1:21" ht="15" customHeight="1" x14ac:dyDescent="0.25">
      <c r="A41" s="105"/>
      <c r="B41" s="4" t="s">
        <v>23</v>
      </c>
      <c r="C41" s="8" t="s">
        <v>167</v>
      </c>
      <c r="D41" s="8" t="s">
        <v>167</v>
      </c>
      <c r="E41" s="8" t="s">
        <v>167</v>
      </c>
      <c r="F41" s="8">
        <v>1</v>
      </c>
      <c r="G41" s="8">
        <v>1</v>
      </c>
      <c r="H41" s="8" t="s">
        <v>167</v>
      </c>
      <c r="I41" s="41">
        <v>2</v>
      </c>
      <c r="J41" s="8" t="s">
        <v>167</v>
      </c>
      <c r="K41" s="8">
        <v>2</v>
      </c>
      <c r="L41" s="175"/>
      <c r="M41" s="175"/>
      <c r="N41" s="175"/>
      <c r="O41" s="175"/>
      <c r="P41" s="175"/>
      <c r="Q41" s="175"/>
      <c r="R41" s="175"/>
      <c r="S41" s="175"/>
      <c r="T41" s="175"/>
      <c r="U41" s="175"/>
    </row>
    <row r="42" spans="1:21" ht="15" customHeight="1" x14ac:dyDescent="0.25">
      <c r="A42" s="105"/>
      <c r="B42" s="4" t="s">
        <v>24</v>
      </c>
      <c r="C42" s="8" t="s">
        <v>167</v>
      </c>
      <c r="D42" s="8" t="s">
        <v>167</v>
      </c>
      <c r="E42" s="8" t="s">
        <v>167</v>
      </c>
      <c r="F42" s="8" t="s">
        <v>167</v>
      </c>
      <c r="G42" s="8" t="s">
        <v>167</v>
      </c>
      <c r="H42" s="8" t="s">
        <v>167</v>
      </c>
      <c r="I42" s="41" t="s">
        <v>167</v>
      </c>
      <c r="J42" s="8" t="s">
        <v>167</v>
      </c>
      <c r="K42" s="8" t="s">
        <v>167</v>
      </c>
      <c r="L42" s="175"/>
      <c r="M42" s="175"/>
      <c r="N42" s="175"/>
      <c r="O42" s="175"/>
      <c r="P42" s="175"/>
      <c r="Q42" s="175"/>
      <c r="R42" s="175"/>
      <c r="S42" s="175"/>
      <c r="T42" s="175"/>
      <c r="U42" s="175"/>
    </row>
    <row r="43" spans="1:21" ht="15" customHeight="1" x14ac:dyDescent="0.25">
      <c r="A43" s="105"/>
      <c r="B43" s="9" t="s">
        <v>12</v>
      </c>
      <c r="C43" s="81" t="s">
        <v>167</v>
      </c>
      <c r="D43" s="8" t="s">
        <v>167</v>
      </c>
      <c r="E43" s="81" t="s">
        <v>167</v>
      </c>
      <c r="F43" s="81">
        <v>1</v>
      </c>
      <c r="G43" s="8">
        <v>1</v>
      </c>
      <c r="H43" s="81" t="s">
        <v>167</v>
      </c>
      <c r="I43" s="51">
        <v>2</v>
      </c>
      <c r="J43" s="8" t="s">
        <v>167</v>
      </c>
      <c r="K43" s="8">
        <v>2</v>
      </c>
      <c r="L43" s="175"/>
      <c r="M43" s="175"/>
      <c r="N43" s="175"/>
      <c r="O43" s="175"/>
      <c r="P43" s="175"/>
      <c r="Q43" s="175"/>
      <c r="R43" s="175"/>
      <c r="S43" s="175"/>
      <c r="T43" s="175"/>
      <c r="U43" s="175"/>
    </row>
    <row r="44" spans="1:21" ht="15" customHeight="1" x14ac:dyDescent="0.25">
      <c r="A44" s="9" t="s">
        <v>12</v>
      </c>
      <c r="B44" s="4" t="s">
        <v>22</v>
      </c>
      <c r="C44" s="8">
        <v>118</v>
      </c>
      <c r="D44" s="8">
        <v>244</v>
      </c>
      <c r="E44" s="8">
        <v>436</v>
      </c>
      <c r="F44" s="8">
        <v>571</v>
      </c>
      <c r="G44" s="8">
        <v>607</v>
      </c>
      <c r="H44" s="8">
        <v>662</v>
      </c>
      <c r="I44" s="41">
        <v>2638</v>
      </c>
      <c r="J44" s="8">
        <v>76</v>
      </c>
      <c r="K44" s="8">
        <v>2714</v>
      </c>
      <c r="L44" s="175"/>
      <c r="M44" s="175"/>
      <c r="N44" s="175"/>
      <c r="O44" s="175"/>
      <c r="P44" s="175"/>
      <c r="Q44" s="175"/>
      <c r="R44" s="175"/>
      <c r="S44" s="175"/>
      <c r="T44" s="175"/>
      <c r="U44" s="175"/>
    </row>
    <row r="45" spans="1:21" ht="15" customHeight="1" x14ac:dyDescent="0.25">
      <c r="A45" s="9"/>
      <c r="B45" s="4" t="s">
        <v>23</v>
      </c>
      <c r="C45" s="8">
        <v>20</v>
      </c>
      <c r="D45" s="8">
        <v>121</v>
      </c>
      <c r="E45" s="8">
        <v>248</v>
      </c>
      <c r="F45" s="8">
        <v>437</v>
      </c>
      <c r="G45" s="8">
        <v>476</v>
      </c>
      <c r="H45" s="8">
        <v>523</v>
      </c>
      <c r="I45" s="41">
        <v>1825</v>
      </c>
      <c r="J45" s="8">
        <v>141</v>
      </c>
      <c r="K45" s="8">
        <v>1966</v>
      </c>
      <c r="L45" s="175"/>
      <c r="M45" s="175"/>
      <c r="N45" s="175"/>
      <c r="O45" s="175"/>
      <c r="P45" s="175"/>
      <c r="Q45" s="175"/>
      <c r="R45" s="175"/>
      <c r="S45" s="175"/>
      <c r="T45" s="175"/>
      <c r="U45" s="175"/>
    </row>
    <row r="46" spans="1:21" ht="15" customHeight="1" x14ac:dyDescent="0.25">
      <c r="A46" s="9"/>
      <c r="B46" s="4" t="s">
        <v>24</v>
      </c>
      <c r="C46" s="8">
        <v>3</v>
      </c>
      <c r="D46" s="8">
        <v>5</v>
      </c>
      <c r="E46" s="8">
        <v>10</v>
      </c>
      <c r="F46" s="8">
        <v>14</v>
      </c>
      <c r="G46" s="8">
        <v>10</v>
      </c>
      <c r="H46" s="8">
        <v>18</v>
      </c>
      <c r="I46" s="41">
        <v>60</v>
      </c>
      <c r="J46" s="8">
        <v>2</v>
      </c>
      <c r="K46" s="8">
        <v>62</v>
      </c>
      <c r="L46" s="175"/>
      <c r="M46" s="175"/>
      <c r="N46" s="175"/>
      <c r="O46" s="175"/>
      <c r="P46" s="175"/>
      <c r="Q46" s="175"/>
      <c r="R46" s="175"/>
      <c r="S46" s="175"/>
      <c r="T46" s="175"/>
      <c r="U46" s="175"/>
    </row>
    <row r="47" spans="1:21" ht="15" customHeight="1" x14ac:dyDescent="0.25">
      <c r="A47" s="9"/>
      <c r="B47" s="9" t="s">
        <v>12</v>
      </c>
      <c r="C47" s="81">
        <v>141</v>
      </c>
      <c r="D47" s="81">
        <v>370</v>
      </c>
      <c r="E47" s="81">
        <v>694</v>
      </c>
      <c r="F47" s="81">
        <v>1022</v>
      </c>
      <c r="G47" s="81">
        <v>1093</v>
      </c>
      <c r="H47" s="81">
        <v>1203</v>
      </c>
      <c r="I47" s="51">
        <v>4523</v>
      </c>
      <c r="J47" s="81">
        <v>219</v>
      </c>
      <c r="K47" s="81">
        <v>4742</v>
      </c>
      <c r="L47" s="175"/>
      <c r="M47" s="175"/>
      <c r="N47" s="175"/>
      <c r="O47" s="175"/>
      <c r="P47" s="175"/>
      <c r="Q47" s="175"/>
      <c r="R47" s="175"/>
      <c r="S47" s="175"/>
      <c r="T47" s="175"/>
      <c r="U47" s="175"/>
    </row>
    <row r="48" spans="1:21" ht="1.5" customHeight="1" x14ac:dyDescent="0.25"/>
    <row r="49" spans="1:22" ht="11.1" customHeight="1" x14ac:dyDescent="0.25">
      <c r="A49" s="201" t="s">
        <v>18</v>
      </c>
      <c r="B49" s="201"/>
      <c r="C49" s="201"/>
      <c r="D49" s="201"/>
      <c r="E49" s="201"/>
      <c r="F49" s="201"/>
      <c r="G49" s="201"/>
      <c r="H49" s="201"/>
      <c r="I49" s="201"/>
      <c r="J49" s="201"/>
      <c r="K49" s="201"/>
      <c r="L49" s="208"/>
      <c r="M49" s="208"/>
      <c r="N49" s="208"/>
      <c r="O49" s="208"/>
    </row>
    <row r="50" spans="1:22" s="6" customFormat="1" ht="11.1" customHeight="1" x14ac:dyDescent="0.15">
      <c r="A50" s="6" t="s">
        <v>31</v>
      </c>
    </row>
    <row r="51" spans="1:22" s="6" customFormat="1" ht="11.1" customHeight="1" x14ac:dyDescent="0.15">
      <c r="A51" s="6" t="s">
        <v>33</v>
      </c>
    </row>
    <row r="52" spans="1:22" s="6" customFormat="1" ht="11.1" customHeight="1" x14ac:dyDescent="0.15">
      <c r="A52" s="6" t="s">
        <v>34</v>
      </c>
    </row>
    <row r="53" spans="1:22" s="6" customFormat="1" ht="11.1" customHeight="1" x14ac:dyDescent="0.15">
      <c r="A53" s="6" t="s">
        <v>16</v>
      </c>
    </row>
    <row r="54" spans="1:22" s="6" customFormat="1" ht="11.1" customHeight="1" x14ac:dyDescent="0.15">
      <c r="A54" s="6" t="s">
        <v>271</v>
      </c>
    </row>
    <row r="55" spans="1:22" ht="12" customHeight="1" x14ac:dyDescent="0.25">
      <c r="A55" s="2"/>
    </row>
    <row r="60" spans="1:22" x14ac:dyDescent="0.25">
      <c r="J60" s="132"/>
      <c r="K60" s="132"/>
    </row>
    <row r="61" spans="1:22" x14ac:dyDescent="0.25">
      <c r="J61" s="132"/>
      <c r="K61" s="132"/>
    </row>
    <row r="62" spans="1:22" x14ac:dyDescent="0.25">
      <c r="J62" s="132"/>
      <c r="K62" s="132"/>
      <c r="S62" s="127"/>
      <c r="V62" s="127"/>
    </row>
    <row r="63" spans="1:22" x14ac:dyDescent="0.25">
      <c r="J63" s="132"/>
      <c r="K63" s="132"/>
      <c r="S63" s="127"/>
      <c r="V63" s="127"/>
    </row>
    <row r="64" spans="1:22" x14ac:dyDescent="0.25">
      <c r="J64" s="132"/>
      <c r="K64" s="132"/>
    </row>
    <row r="65" spans="10:22" x14ac:dyDescent="0.25">
      <c r="J65" s="132"/>
      <c r="K65" s="132"/>
      <c r="S65" s="127"/>
      <c r="V65" s="127"/>
    </row>
    <row r="66" spans="10:22" x14ac:dyDescent="0.25">
      <c r="J66" s="132"/>
      <c r="K66" s="132"/>
      <c r="L66" s="132"/>
    </row>
    <row r="67" spans="10:22" x14ac:dyDescent="0.25">
      <c r="J67" s="132"/>
      <c r="K67" s="132"/>
    </row>
    <row r="68" spans="10:22" x14ac:dyDescent="0.25">
      <c r="J68" s="132"/>
      <c r="K68" s="132"/>
    </row>
    <row r="74" spans="10:22" x14ac:dyDescent="0.25">
      <c r="S74" s="127"/>
      <c r="V74" s="127"/>
    </row>
    <row r="75" spans="10:22" x14ac:dyDescent="0.25">
      <c r="S75" s="127"/>
      <c r="V75" s="127"/>
    </row>
    <row r="77" spans="10:22" x14ac:dyDescent="0.25">
      <c r="Q77" s="127"/>
      <c r="R77" s="127"/>
      <c r="S77" s="127"/>
      <c r="V77" s="127"/>
    </row>
  </sheetData>
  <mergeCells count="10">
    <mergeCell ref="A1:M1"/>
    <mergeCell ref="A4:A7"/>
    <mergeCell ref="A8:A11"/>
    <mergeCell ref="A12:A15"/>
    <mergeCell ref="A16:A19"/>
    <mergeCell ref="A49:M49"/>
    <mergeCell ref="N49:O49"/>
    <mergeCell ref="A21:M21"/>
    <mergeCell ref="A29:O29"/>
    <mergeCell ref="A25:M25"/>
  </mergeCells>
  <pageMargins left="0.08" right="0.08" top="1" bottom="1" header="0.5" footer="0.5"/>
  <pageSetup orientation="landscape" blackAndWhite="1"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77"/>
  <sheetViews>
    <sheetView zoomScaleNormal="100" workbookViewId="0">
      <selection activeCell="C11" sqref="C11"/>
    </sheetView>
  </sheetViews>
  <sheetFormatPr defaultColWidth="9.140625" defaultRowHeight="15" x14ac:dyDescent="0.25"/>
  <cols>
    <col min="1" max="10" width="11.42578125" style="1" bestFit="1" customWidth="1"/>
    <col min="11" max="16384" width="9.140625" style="1"/>
  </cols>
  <sheetData>
    <row r="1" spans="1:10" ht="26.25" customHeight="1" x14ac:dyDescent="0.25">
      <c r="A1" s="209" t="s">
        <v>283</v>
      </c>
      <c r="B1" s="209"/>
      <c r="C1" s="209"/>
      <c r="D1" s="209"/>
      <c r="E1" s="209"/>
      <c r="F1" s="209"/>
      <c r="G1" s="209"/>
      <c r="H1" s="209"/>
      <c r="I1" s="209"/>
      <c r="J1" s="209"/>
    </row>
    <row r="2" spans="1:10" ht="12" hidden="1" customHeight="1" x14ac:dyDescent="0.25">
      <c r="A2" s="2"/>
    </row>
    <row r="3" spans="1:10" ht="23.25" x14ac:dyDescent="0.25">
      <c r="A3" s="44" t="s">
        <v>185</v>
      </c>
      <c r="B3" s="44" t="s">
        <v>186</v>
      </c>
      <c r="C3" s="3">
        <v>10</v>
      </c>
      <c r="D3" s="3">
        <v>11</v>
      </c>
      <c r="E3" s="3">
        <v>12</v>
      </c>
      <c r="F3" s="3">
        <v>13</v>
      </c>
      <c r="G3" s="3">
        <v>14</v>
      </c>
      <c r="H3" s="3">
        <v>15</v>
      </c>
      <c r="I3" s="3">
        <v>16</v>
      </c>
      <c r="J3" s="3">
        <v>17</v>
      </c>
    </row>
    <row r="4" spans="1:10" ht="15" customHeight="1" x14ac:dyDescent="0.25">
      <c r="A4" s="205" t="s">
        <v>21</v>
      </c>
      <c r="B4" s="47" t="s">
        <v>22</v>
      </c>
      <c r="C4" s="5">
        <v>1.2E-2</v>
      </c>
      <c r="D4" s="5">
        <v>0.61899999999999999</v>
      </c>
      <c r="E4" s="5">
        <v>4.8319999999999999</v>
      </c>
      <c r="F4" s="5">
        <v>17.353999999999999</v>
      </c>
      <c r="G4" s="5">
        <v>38.805</v>
      </c>
      <c r="H4" s="5">
        <v>72.772999999999996</v>
      </c>
      <c r="I4" s="5">
        <v>101.559</v>
      </c>
      <c r="J4" s="5">
        <v>116.709</v>
      </c>
    </row>
    <row r="5" spans="1:10" ht="15" customHeight="1" x14ac:dyDescent="0.25">
      <c r="A5" s="205"/>
      <c r="B5" s="47" t="s">
        <v>23</v>
      </c>
      <c r="C5" s="48" t="s">
        <v>167</v>
      </c>
      <c r="D5" s="48">
        <v>1E-3</v>
      </c>
      <c r="E5" s="5">
        <v>2.4E-2</v>
      </c>
      <c r="F5" s="5">
        <v>0.36599999999999999</v>
      </c>
      <c r="G5" s="5">
        <v>1.367</v>
      </c>
      <c r="H5" s="5">
        <v>3.3860000000000001</v>
      </c>
      <c r="I5" s="5">
        <v>4.806</v>
      </c>
      <c r="J5" s="5">
        <v>5.6360000000000001</v>
      </c>
    </row>
    <row r="6" spans="1:10" ht="15" customHeight="1" x14ac:dyDescent="0.25">
      <c r="A6" s="205"/>
      <c r="B6" s="39" t="s">
        <v>12</v>
      </c>
      <c r="C6" s="48">
        <v>1E-3</v>
      </c>
      <c r="D6" s="76">
        <v>4.2000000000000003E-2</v>
      </c>
      <c r="E6" s="76">
        <v>0.33800000000000002</v>
      </c>
      <c r="F6" s="76">
        <v>1.4710000000000001</v>
      </c>
      <c r="G6" s="76">
        <v>3.8090000000000002</v>
      </c>
      <c r="H6" s="76">
        <v>7.9569999999999999</v>
      </c>
      <c r="I6" s="76">
        <v>11.254</v>
      </c>
      <c r="J6" s="76">
        <v>12.991</v>
      </c>
    </row>
    <row r="7" spans="1:10" ht="15" customHeight="1" x14ac:dyDescent="0.25">
      <c r="A7" s="205" t="s">
        <v>25</v>
      </c>
      <c r="B7" s="47" t="s">
        <v>22</v>
      </c>
      <c r="C7" s="48" t="s">
        <v>167</v>
      </c>
      <c r="D7" s="48">
        <v>0.01</v>
      </c>
      <c r="E7" s="5">
        <v>1.8180000000000001</v>
      </c>
      <c r="F7" s="5">
        <v>3.4769999999999999</v>
      </c>
      <c r="G7" s="5">
        <v>7.4050000000000002</v>
      </c>
      <c r="H7" s="5">
        <v>12.108000000000001</v>
      </c>
      <c r="I7" s="5">
        <v>12.685</v>
      </c>
      <c r="J7" s="5">
        <v>10.282</v>
      </c>
    </row>
    <row r="8" spans="1:10" ht="15" customHeight="1" x14ac:dyDescent="0.25">
      <c r="A8" s="205"/>
      <c r="B8" s="47" t="s">
        <v>23</v>
      </c>
      <c r="C8" s="48">
        <v>0</v>
      </c>
      <c r="D8" s="48">
        <v>3.4000000000000002E-2</v>
      </c>
      <c r="E8" s="48">
        <v>2.1999999999999999E-2</v>
      </c>
      <c r="F8" s="5">
        <v>0.122</v>
      </c>
      <c r="G8" s="5">
        <v>0.14499999999999999</v>
      </c>
      <c r="H8" s="5">
        <v>0.28100000000000003</v>
      </c>
      <c r="I8" s="5">
        <v>0.629</v>
      </c>
      <c r="J8" s="5">
        <v>0.55900000000000005</v>
      </c>
    </row>
    <row r="9" spans="1:10" ht="15" customHeight="1" x14ac:dyDescent="0.25">
      <c r="A9" s="205"/>
      <c r="B9" s="39" t="s">
        <v>12</v>
      </c>
      <c r="C9" s="157">
        <v>0</v>
      </c>
      <c r="D9" s="157">
        <v>3.2000000000000001E-2</v>
      </c>
      <c r="E9" s="76">
        <v>0.13900000000000001</v>
      </c>
      <c r="F9" s="76">
        <v>0.34399999999999997</v>
      </c>
      <c r="G9" s="76">
        <v>0.63200000000000001</v>
      </c>
      <c r="H9" s="76">
        <v>1.07</v>
      </c>
      <c r="I9" s="76">
        <v>1.4419999999999999</v>
      </c>
      <c r="J9" s="76">
        <v>1.21</v>
      </c>
    </row>
    <row r="10" spans="1:10" ht="15" customHeight="1" x14ac:dyDescent="0.25">
      <c r="A10" s="205" t="s">
        <v>12</v>
      </c>
      <c r="B10" s="47" t="s">
        <v>22</v>
      </c>
      <c r="C10" s="5">
        <v>6.0000000000000001E-3</v>
      </c>
      <c r="D10" s="5">
        <v>0.32800000000000001</v>
      </c>
      <c r="E10" s="5">
        <v>3.3679999999999999</v>
      </c>
      <c r="F10" s="5">
        <v>10.544</v>
      </c>
      <c r="G10" s="5">
        <v>23.405000000000001</v>
      </c>
      <c r="H10" s="5">
        <v>43.066000000000003</v>
      </c>
      <c r="I10" s="5">
        <v>58.195</v>
      </c>
      <c r="J10" s="5">
        <v>64.626000000000005</v>
      </c>
    </row>
    <row r="11" spans="1:10" ht="15" customHeight="1" x14ac:dyDescent="0.25">
      <c r="A11" s="205"/>
      <c r="B11" s="47" t="s">
        <v>23</v>
      </c>
      <c r="C11" s="48">
        <v>0</v>
      </c>
      <c r="D11" s="48">
        <v>1.7000000000000001E-2</v>
      </c>
      <c r="E11" s="48">
        <v>2.3E-2</v>
      </c>
      <c r="F11" s="5">
        <v>0.248</v>
      </c>
      <c r="G11" s="5">
        <v>0.77300000000000002</v>
      </c>
      <c r="H11" s="5">
        <v>1.8779999999999999</v>
      </c>
      <c r="I11" s="5">
        <v>2.7789999999999999</v>
      </c>
      <c r="J11" s="5">
        <v>3.1749999999999998</v>
      </c>
    </row>
    <row r="12" spans="1:10" ht="15" customHeight="1" x14ac:dyDescent="0.25">
      <c r="A12" s="205"/>
      <c r="B12" s="39" t="s">
        <v>12</v>
      </c>
      <c r="C12" s="157">
        <v>1E-3</v>
      </c>
      <c r="D12" s="76">
        <v>3.6999999999999998E-2</v>
      </c>
      <c r="E12" s="76">
        <v>0.24099999999999999</v>
      </c>
      <c r="F12" s="76">
        <v>0.92300000000000004</v>
      </c>
      <c r="G12" s="76">
        <v>2.2629999999999999</v>
      </c>
      <c r="H12" s="76">
        <v>4.609</v>
      </c>
      <c r="I12" s="76">
        <v>6.4889999999999999</v>
      </c>
      <c r="J12" s="76">
        <v>7.2770000000000001</v>
      </c>
    </row>
    <row r="13" spans="1:10" ht="11.1" customHeight="1" x14ac:dyDescent="0.25">
      <c r="A13" s="206" t="s">
        <v>18</v>
      </c>
      <c r="B13" s="206"/>
      <c r="C13" s="206"/>
      <c r="D13" s="206"/>
      <c r="E13" s="206"/>
      <c r="F13" s="206"/>
      <c r="G13" s="206"/>
      <c r="H13" s="206"/>
      <c r="I13" s="206"/>
      <c r="J13" s="206"/>
    </row>
    <row r="14" spans="1:10" s="6" customFormat="1" ht="11.1" customHeight="1" x14ac:dyDescent="0.15">
      <c r="A14" s="6" t="s">
        <v>36</v>
      </c>
    </row>
    <row r="15" spans="1:10" s="6" customFormat="1" ht="19.5" customHeight="1" x14ac:dyDescent="0.15">
      <c r="A15" s="199" t="s">
        <v>239</v>
      </c>
      <c r="B15" s="199"/>
      <c r="C15" s="199"/>
      <c r="D15" s="199"/>
      <c r="E15" s="199"/>
      <c r="F15" s="199"/>
      <c r="G15" s="199"/>
      <c r="H15" s="199"/>
      <c r="I15" s="199"/>
      <c r="J15" s="199"/>
    </row>
    <row r="16" spans="1:10" s="6" customFormat="1" ht="11.1" customHeight="1" x14ac:dyDescent="0.15">
      <c r="A16" s="6" t="s">
        <v>38</v>
      </c>
    </row>
    <row r="17" spans="1:10" s="6" customFormat="1" ht="11.1" customHeight="1" x14ac:dyDescent="0.15">
      <c r="A17" s="6" t="s">
        <v>16</v>
      </c>
    </row>
    <row r="18" spans="1:10" s="6" customFormat="1" ht="11.1" customHeight="1" x14ac:dyDescent="0.15">
      <c r="A18" s="6" t="s">
        <v>251</v>
      </c>
    </row>
    <row r="19" spans="1:10" ht="12" customHeight="1" x14ac:dyDescent="0.25">
      <c r="A19" s="2"/>
    </row>
    <row r="20" spans="1:10" ht="27.95" customHeight="1" x14ac:dyDescent="0.25">
      <c r="A20" s="209" t="s">
        <v>284</v>
      </c>
      <c r="B20" s="209"/>
      <c r="C20" s="209"/>
      <c r="D20" s="209"/>
      <c r="E20" s="209"/>
      <c r="F20" s="209"/>
      <c r="G20" s="209"/>
      <c r="H20" s="209"/>
      <c r="I20" s="209"/>
      <c r="J20" s="60"/>
    </row>
    <row r="21" spans="1:10" ht="3" customHeight="1" x14ac:dyDescent="0.25">
      <c r="A21" s="2"/>
    </row>
    <row r="22" spans="1:10" ht="23.25" x14ac:dyDescent="0.25">
      <c r="A22" s="44" t="s">
        <v>185</v>
      </c>
      <c r="B22" s="44" t="s">
        <v>186</v>
      </c>
      <c r="C22" s="85" t="s">
        <v>262</v>
      </c>
      <c r="D22" s="3">
        <v>13</v>
      </c>
      <c r="E22" s="3">
        <v>14</v>
      </c>
      <c r="F22" s="3">
        <v>15</v>
      </c>
      <c r="G22" s="3">
        <v>16</v>
      </c>
      <c r="H22" s="3">
        <v>17</v>
      </c>
    </row>
    <row r="23" spans="1:10" ht="15" customHeight="1" x14ac:dyDescent="0.25">
      <c r="A23" s="205" t="s">
        <v>21</v>
      </c>
      <c r="B23" s="47" t="s">
        <v>22</v>
      </c>
      <c r="C23" s="5">
        <v>27.69</v>
      </c>
      <c r="D23" s="5">
        <v>161.81700000000001</v>
      </c>
      <c r="E23" s="5">
        <v>286.29899999999998</v>
      </c>
      <c r="F23" s="5">
        <v>385.52699999999999</v>
      </c>
      <c r="G23" s="5">
        <v>408.57299999999998</v>
      </c>
      <c r="H23" s="5">
        <v>485.61200000000002</v>
      </c>
    </row>
    <row r="24" spans="1:10" ht="15" customHeight="1" x14ac:dyDescent="0.25">
      <c r="A24" s="205"/>
      <c r="B24" s="47" t="s">
        <v>23</v>
      </c>
      <c r="C24" s="48">
        <v>0.248</v>
      </c>
      <c r="D24" s="48">
        <v>5.266</v>
      </c>
      <c r="E24" s="5">
        <v>12.57</v>
      </c>
      <c r="F24" s="5">
        <v>22.446999999999999</v>
      </c>
      <c r="G24" s="5">
        <v>25.114999999999998</v>
      </c>
      <c r="H24" s="5">
        <v>27.465</v>
      </c>
    </row>
    <row r="25" spans="1:10" ht="15" customHeight="1" x14ac:dyDescent="0.25">
      <c r="A25" s="205"/>
      <c r="B25" s="39" t="s">
        <v>12</v>
      </c>
      <c r="C25" s="48">
        <v>2.0870000000000002</v>
      </c>
      <c r="D25" s="76">
        <v>15.585000000000001</v>
      </c>
      <c r="E25" s="76">
        <v>30.855</v>
      </c>
      <c r="F25" s="76">
        <v>47.024999999999999</v>
      </c>
      <c r="G25" s="76">
        <v>51.009</v>
      </c>
      <c r="H25" s="76">
        <v>58.502000000000002</v>
      </c>
    </row>
    <row r="26" spans="1:10" ht="15" customHeight="1" x14ac:dyDescent="0.25">
      <c r="A26" s="205" t="s">
        <v>25</v>
      </c>
      <c r="B26" s="47" t="s">
        <v>22</v>
      </c>
      <c r="C26" s="48">
        <v>7.609</v>
      </c>
      <c r="D26" s="48">
        <v>58.45</v>
      </c>
      <c r="E26" s="5">
        <v>105.307</v>
      </c>
      <c r="F26" s="5">
        <v>120.807</v>
      </c>
      <c r="G26" s="5">
        <v>127.354</v>
      </c>
      <c r="H26" s="5">
        <v>102.074</v>
      </c>
    </row>
    <row r="27" spans="1:10" ht="15" customHeight="1" x14ac:dyDescent="0.25">
      <c r="A27" s="205"/>
      <c r="B27" s="47" t="s">
        <v>23</v>
      </c>
      <c r="C27" s="48">
        <v>0.17499999999999999</v>
      </c>
      <c r="D27" s="48">
        <v>2.3570000000000002</v>
      </c>
      <c r="E27" s="48">
        <v>2.944</v>
      </c>
      <c r="F27" s="5">
        <v>4.7759999999999998</v>
      </c>
      <c r="G27" s="5">
        <v>4.5979999999999999</v>
      </c>
      <c r="H27" s="5">
        <v>5.2729999999999997</v>
      </c>
    </row>
    <row r="28" spans="1:10" ht="15" customHeight="1" x14ac:dyDescent="0.25">
      <c r="A28" s="205"/>
      <c r="B28" s="39" t="s">
        <v>12</v>
      </c>
      <c r="C28" s="157">
        <v>0.67500000000000004</v>
      </c>
      <c r="D28" s="157">
        <v>6.1769999999999996</v>
      </c>
      <c r="E28" s="76">
        <v>9.8350000000000009</v>
      </c>
      <c r="F28" s="76">
        <v>12.64</v>
      </c>
      <c r="G28" s="76">
        <v>12.933999999999999</v>
      </c>
      <c r="H28" s="76">
        <v>11.871</v>
      </c>
    </row>
    <row r="29" spans="1:10" ht="15" customHeight="1" x14ac:dyDescent="0.25">
      <c r="A29" s="205" t="s">
        <v>12</v>
      </c>
      <c r="B29" s="47" t="s">
        <v>22</v>
      </c>
      <c r="C29" s="5">
        <v>18.018000000000001</v>
      </c>
      <c r="D29" s="5">
        <v>111.09099999999999</v>
      </c>
      <c r="E29" s="5">
        <v>197.53100000000001</v>
      </c>
      <c r="F29" s="5">
        <v>255.899</v>
      </c>
      <c r="G29" s="5">
        <v>271.358</v>
      </c>
      <c r="H29" s="5">
        <v>297.916</v>
      </c>
    </row>
    <row r="30" spans="1:10" ht="15" customHeight="1" x14ac:dyDescent="0.25">
      <c r="A30" s="205"/>
      <c r="B30" s="47" t="s">
        <v>23</v>
      </c>
      <c r="C30" s="48">
        <v>0.21299999999999999</v>
      </c>
      <c r="D30" s="48">
        <v>3.8519999999999999</v>
      </c>
      <c r="E30" s="48">
        <v>7.8890000000000002</v>
      </c>
      <c r="F30" s="5">
        <v>13.893000000000001</v>
      </c>
      <c r="G30" s="5">
        <v>15.183999999999999</v>
      </c>
      <c r="H30" s="5">
        <v>16.709</v>
      </c>
    </row>
    <row r="31" spans="1:10" ht="15" customHeight="1" x14ac:dyDescent="0.25">
      <c r="A31" s="205"/>
      <c r="B31" s="39" t="s">
        <v>12</v>
      </c>
      <c r="C31" s="157">
        <v>1.401</v>
      </c>
      <c r="D31" s="76">
        <v>11.007999999999999</v>
      </c>
      <c r="E31" s="76">
        <v>20.628</v>
      </c>
      <c r="F31" s="76">
        <v>30.338999999999999</v>
      </c>
      <c r="G31" s="76">
        <v>32.543999999999997</v>
      </c>
      <c r="H31" s="76">
        <v>35.887</v>
      </c>
    </row>
    <row r="32" spans="1:10" ht="0.75" customHeight="1" x14ac:dyDescent="0.25">
      <c r="A32" s="47"/>
      <c r="B32" s="47"/>
      <c r="C32" s="46"/>
      <c r="D32" s="46"/>
      <c r="E32" s="46"/>
      <c r="F32" s="46"/>
      <c r="G32" s="46"/>
    </row>
    <row r="33" spans="1:23" ht="11.1" customHeight="1" x14ac:dyDescent="0.25">
      <c r="A33" s="206" t="s">
        <v>18</v>
      </c>
      <c r="B33" s="206"/>
      <c r="C33" s="206"/>
      <c r="D33" s="206"/>
      <c r="E33" s="206"/>
      <c r="F33" s="206"/>
      <c r="G33" s="206"/>
      <c r="H33" s="206"/>
      <c r="I33" s="202"/>
      <c r="J33" s="202"/>
    </row>
    <row r="34" spans="1:23" s="6" customFormat="1" ht="11.1" customHeight="1" x14ac:dyDescent="0.15">
      <c r="A34" s="6" t="s">
        <v>36</v>
      </c>
    </row>
    <row r="35" spans="1:23" s="6" customFormat="1" ht="11.1" customHeight="1" x14ac:dyDescent="0.15">
      <c r="A35" s="6" t="s">
        <v>40</v>
      </c>
    </row>
    <row r="36" spans="1:23" s="6" customFormat="1" ht="11.1" customHeight="1" x14ac:dyDescent="0.15">
      <c r="A36" s="6" t="s">
        <v>41</v>
      </c>
    </row>
    <row r="37" spans="1:23" s="6" customFormat="1" ht="18.75" customHeight="1" x14ac:dyDescent="0.15">
      <c r="A37" s="199" t="s">
        <v>42</v>
      </c>
      <c r="B37" s="199"/>
      <c r="C37" s="199"/>
      <c r="D37" s="199"/>
      <c r="E37" s="199"/>
      <c r="F37" s="199"/>
      <c r="G37" s="199"/>
      <c r="H37" s="199"/>
      <c r="I37" s="199"/>
      <c r="J37" s="87"/>
    </row>
    <row r="38" spans="1:23" s="6" customFormat="1" ht="11.1" customHeight="1" x14ac:dyDescent="0.25">
      <c r="A38" s="6" t="s">
        <v>16</v>
      </c>
      <c r="M38" s="1"/>
      <c r="N38" s="1"/>
      <c r="O38" s="1"/>
      <c r="P38" s="1"/>
      <c r="Q38" s="1"/>
      <c r="R38" s="1"/>
      <c r="S38" s="1"/>
      <c r="T38" s="129"/>
    </row>
    <row r="39" spans="1:23" s="6" customFormat="1" ht="11.1" customHeight="1" x14ac:dyDescent="0.25">
      <c r="A39" s="6" t="s">
        <v>250</v>
      </c>
      <c r="M39" s="1"/>
      <c r="N39" s="1"/>
      <c r="O39" s="1"/>
      <c r="P39" s="1"/>
      <c r="Q39" s="1"/>
      <c r="R39" s="1"/>
      <c r="S39" s="1"/>
      <c r="T39" s="129"/>
    </row>
    <row r="40" spans="1:23" ht="12" customHeight="1" x14ac:dyDescent="0.25">
      <c r="A40" s="2"/>
      <c r="T40" s="129"/>
      <c r="W40" s="6"/>
    </row>
    <row r="41" spans="1:23" x14ac:dyDescent="0.25">
      <c r="T41" s="129"/>
      <c r="W41" s="6"/>
    </row>
    <row r="42" spans="1:23" x14ac:dyDescent="0.25">
      <c r="T42" s="129"/>
      <c r="W42" s="6"/>
    </row>
    <row r="43" spans="1:23" x14ac:dyDescent="0.25">
      <c r="T43" s="129"/>
      <c r="W43" s="6"/>
    </row>
    <row r="44" spans="1:23" x14ac:dyDescent="0.25">
      <c r="T44" s="129"/>
      <c r="W44" s="6"/>
    </row>
    <row r="45" spans="1:23" x14ac:dyDescent="0.25">
      <c r="T45" s="129"/>
      <c r="W45" s="6"/>
    </row>
    <row r="46" spans="1:23" x14ac:dyDescent="0.25">
      <c r="T46" s="129"/>
      <c r="W46" s="6"/>
    </row>
    <row r="62" spans="12:16" x14ac:dyDescent="0.25">
      <c r="L62" s="131"/>
      <c r="M62" s="131"/>
      <c r="N62" s="131"/>
      <c r="O62" s="131"/>
      <c r="P62" s="131"/>
    </row>
    <row r="63" spans="12:16" x14ac:dyDescent="0.25">
      <c r="L63" s="131"/>
      <c r="M63" s="131"/>
      <c r="N63" s="131"/>
      <c r="O63" s="131"/>
      <c r="P63" s="131"/>
    </row>
    <row r="64" spans="12:16" x14ac:dyDescent="0.25">
      <c r="L64" s="131"/>
      <c r="M64" s="131"/>
      <c r="N64" s="131"/>
      <c r="O64" s="131"/>
      <c r="P64" s="131"/>
    </row>
    <row r="65" spans="12:22" x14ac:dyDescent="0.25">
      <c r="L65" s="131"/>
      <c r="M65" s="131"/>
      <c r="N65" s="131"/>
      <c r="O65" s="131"/>
      <c r="P65" s="131"/>
    </row>
    <row r="66" spans="12:22" x14ac:dyDescent="0.25">
      <c r="L66" s="131"/>
      <c r="M66" s="131"/>
      <c r="N66" s="131"/>
      <c r="O66" s="131"/>
      <c r="P66" s="131"/>
    </row>
    <row r="67" spans="12:22" x14ac:dyDescent="0.25">
      <c r="L67" s="131"/>
      <c r="M67" s="131"/>
      <c r="N67" s="131"/>
      <c r="O67" s="131"/>
      <c r="P67" s="131"/>
    </row>
    <row r="68" spans="12:22" x14ac:dyDescent="0.25">
      <c r="L68" s="131"/>
      <c r="M68" s="131"/>
      <c r="N68" s="131"/>
      <c r="O68" s="131"/>
      <c r="P68" s="131"/>
      <c r="V68" s="130"/>
    </row>
    <row r="69" spans="12:22" x14ac:dyDescent="0.25">
      <c r="L69" s="131"/>
      <c r="M69" s="131"/>
      <c r="N69" s="131"/>
      <c r="O69" s="131"/>
      <c r="P69" s="131"/>
    </row>
    <row r="70" spans="12:22" x14ac:dyDescent="0.25">
      <c r="L70" s="131"/>
      <c r="M70" s="131"/>
      <c r="N70" s="131"/>
      <c r="O70" s="131"/>
      <c r="P70" s="131"/>
    </row>
    <row r="71" spans="12:22" x14ac:dyDescent="0.25">
      <c r="L71" s="131"/>
      <c r="M71" s="131"/>
      <c r="N71" s="131"/>
      <c r="O71" s="131"/>
      <c r="P71" s="131"/>
    </row>
    <row r="72" spans="12:22" x14ac:dyDescent="0.25">
      <c r="L72" s="131"/>
      <c r="M72" s="131"/>
      <c r="N72" s="131"/>
      <c r="O72" s="131"/>
      <c r="P72" s="131"/>
    </row>
    <row r="73" spans="12:22" x14ac:dyDescent="0.25">
      <c r="L73" s="131"/>
      <c r="M73" s="131"/>
      <c r="N73" s="131"/>
      <c r="O73" s="131"/>
      <c r="P73" s="131"/>
    </row>
    <row r="74" spans="12:22" x14ac:dyDescent="0.25">
      <c r="L74" s="131"/>
      <c r="M74" s="131"/>
      <c r="N74" s="131"/>
      <c r="O74" s="131"/>
      <c r="P74" s="131"/>
    </row>
    <row r="75" spans="12:22" x14ac:dyDescent="0.25">
      <c r="L75" s="131"/>
      <c r="M75" s="131"/>
      <c r="N75" s="131"/>
      <c r="O75" s="131"/>
      <c r="P75" s="131"/>
    </row>
    <row r="76" spans="12:22" x14ac:dyDescent="0.25">
      <c r="L76" s="131"/>
      <c r="M76" s="131"/>
      <c r="N76" s="131"/>
      <c r="O76" s="131"/>
      <c r="P76" s="131"/>
    </row>
    <row r="77" spans="12:22" x14ac:dyDescent="0.25">
      <c r="L77" s="131"/>
      <c r="M77" s="131"/>
      <c r="N77" s="131"/>
      <c r="O77" s="131"/>
      <c r="P77" s="131"/>
    </row>
  </sheetData>
  <mergeCells count="12">
    <mergeCell ref="A37:I37"/>
    <mergeCell ref="A20:I20"/>
    <mergeCell ref="A1:J1"/>
    <mergeCell ref="A4:A6"/>
    <mergeCell ref="A7:A9"/>
    <mergeCell ref="A10:A12"/>
    <mergeCell ref="A13:J13"/>
    <mergeCell ref="A15:J15"/>
    <mergeCell ref="A23:A25"/>
    <mergeCell ref="A26:A28"/>
    <mergeCell ref="A29:A31"/>
    <mergeCell ref="A33:J33"/>
  </mergeCells>
  <conditionalFormatting sqref="C23:H31">
    <cfRule type="cellIs" dxfId="12" priority="1" operator="lessThan">
      <formula>0.05</formula>
    </cfRule>
  </conditionalFormatting>
  <conditionalFormatting sqref="C4:J12">
    <cfRule type="cellIs" dxfId="11" priority="2" operator="lessThan">
      <formula>0.05</formula>
    </cfRule>
  </conditionalFormatting>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98"/>
  <sheetViews>
    <sheetView zoomScaleNormal="100" workbookViewId="0">
      <selection activeCell="J45" sqref="J45"/>
    </sheetView>
  </sheetViews>
  <sheetFormatPr defaultColWidth="9.140625" defaultRowHeight="15" x14ac:dyDescent="0.25"/>
  <cols>
    <col min="1" max="11" width="11.42578125" style="1" bestFit="1" customWidth="1"/>
    <col min="12" max="16384" width="9.140625" style="1"/>
  </cols>
  <sheetData>
    <row r="1" spans="1:11" ht="21.75" customHeight="1" x14ac:dyDescent="0.25">
      <c r="A1" s="200" t="s">
        <v>285</v>
      </c>
      <c r="B1" s="200"/>
      <c r="C1" s="200"/>
      <c r="D1" s="200"/>
      <c r="E1" s="200"/>
      <c r="F1" s="200"/>
      <c r="G1" s="200"/>
      <c r="H1" s="200"/>
      <c r="I1" s="200"/>
      <c r="J1" s="200"/>
      <c r="K1" s="200"/>
    </row>
    <row r="2" spans="1:11" ht="3.75" customHeight="1" x14ac:dyDescent="0.25">
      <c r="A2" s="2"/>
    </row>
    <row r="3" spans="1:11" ht="26.25" customHeight="1" x14ac:dyDescent="0.25">
      <c r="A3" s="52" t="s">
        <v>186</v>
      </c>
      <c r="B3" s="52" t="s">
        <v>187</v>
      </c>
      <c r="C3" s="3" t="s">
        <v>1</v>
      </c>
      <c r="D3" s="3" t="s">
        <v>2</v>
      </c>
      <c r="E3" s="3" t="s">
        <v>3</v>
      </c>
      <c r="F3" s="3" t="s">
        <v>4</v>
      </c>
      <c r="G3" s="3" t="s">
        <v>5</v>
      </c>
      <c r="H3" s="3" t="s">
        <v>6</v>
      </c>
      <c r="I3" s="3" t="s">
        <v>7</v>
      </c>
      <c r="J3" s="3" t="s">
        <v>8</v>
      </c>
      <c r="K3" s="3" t="s">
        <v>9</v>
      </c>
    </row>
    <row r="4" spans="1:11" x14ac:dyDescent="0.25">
      <c r="A4" s="205" t="s">
        <v>22</v>
      </c>
      <c r="B4" s="47" t="s">
        <v>43</v>
      </c>
      <c r="C4" s="5">
        <v>4.8</v>
      </c>
      <c r="D4" s="158" t="s">
        <v>167</v>
      </c>
      <c r="E4" s="5">
        <v>17.3</v>
      </c>
      <c r="F4" s="5">
        <v>4.0999999999999996</v>
      </c>
      <c r="G4" s="5">
        <v>1.8</v>
      </c>
      <c r="H4" s="5">
        <v>0.4</v>
      </c>
      <c r="I4" s="5">
        <v>0.8</v>
      </c>
      <c r="J4" s="5">
        <v>2.1</v>
      </c>
      <c r="K4" s="5">
        <v>31.3</v>
      </c>
    </row>
    <row r="5" spans="1:11" x14ac:dyDescent="0.25">
      <c r="A5" s="205"/>
      <c r="B5" s="47" t="s">
        <v>44</v>
      </c>
      <c r="C5" s="5">
        <v>112.5</v>
      </c>
      <c r="D5" s="5">
        <v>11.3</v>
      </c>
      <c r="E5" s="5">
        <v>190.4</v>
      </c>
      <c r="F5" s="5">
        <v>41.5</v>
      </c>
      <c r="G5" s="5">
        <v>18.600000000000001</v>
      </c>
      <c r="H5" s="5">
        <v>4.3</v>
      </c>
      <c r="I5" s="5">
        <v>4.9000000000000004</v>
      </c>
      <c r="J5" s="5">
        <v>37.799999999999997</v>
      </c>
      <c r="K5" s="5">
        <v>421.5</v>
      </c>
    </row>
    <row r="6" spans="1:11" x14ac:dyDescent="0.25">
      <c r="A6" s="205"/>
      <c r="B6" s="47" t="s">
        <v>45</v>
      </c>
      <c r="C6" s="5">
        <v>22.3</v>
      </c>
      <c r="D6" s="5">
        <v>7.7</v>
      </c>
      <c r="E6" s="5">
        <v>6.8</v>
      </c>
      <c r="F6" s="5">
        <v>1</v>
      </c>
      <c r="G6" s="5">
        <v>1.1000000000000001</v>
      </c>
      <c r="H6" s="5">
        <v>1.1000000000000001</v>
      </c>
      <c r="I6" s="5">
        <v>1</v>
      </c>
      <c r="J6" s="5">
        <v>3.1</v>
      </c>
      <c r="K6" s="5">
        <v>44.1</v>
      </c>
    </row>
    <row r="7" spans="1:11" x14ac:dyDescent="0.25">
      <c r="A7" s="205"/>
      <c r="B7" s="39" t="s">
        <v>12</v>
      </c>
      <c r="C7" s="76">
        <v>139.69999999999999</v>
      </c>
      <c r="D7" s="76">
        <v>19</v>
      </c>
      <c r="E7" s="76">
        <v>214.5</v>
      </c>
      <c r="F7" s="76">
        <v>46.6</v>
      </c>
      <c r="G7" s="76">
        <v>21.5</v>
      </c>
      <c r="H7" s="76">
        <v>5.9</v>
      </c>
      <c r="I7" s="76">
        <v>6.7</v>
      </c>
      <c r="J7" s="76">
        <v>43.1</v>
      </c>
      <c r="K7" s="76">
        <v>496.9</v>
      </c>
    </row>
    <row r="8" spans="1:11" ht="15" customHeight="1" x14ac:dyDescent="0.25">
      <c r="A8" s="205" t="s">
        <v>23</v>
      </c>
      <c r="B8" s="47" t="s">
        <v>43</v>
      </c>
      <c r="C8" s="5">
        <v>1.9</v>
      </c>
      <c r="D8" s="5">
        <v>0.3</v>
      </c>
      <c r="E8" s="5">
        <v>4.9000000000000004</v>
      </c>
      <c r="F8" s="5">
        <v>0.9</v>
      </c>
      <c r="G8" s="5">
        <v>0.5</v>
      </c>
      <c r="H8" s="5">
        <v>0.3</v>
      </c>
      <c r="I8" s="5">
        <v>0.1</v>
      </c>
      <c r="J8" s="5">
        <v>0.1</v>
      </c>
      <c r="K8" s="5">
        <v>9</v>
      </c>
    </row>
    <row r="9" spans="1:11" x14ac:dyDescent="0.25">
      <c r="A9" s="205"/>
      <c r="B9" s="47" t="s">
        <v>44</v>
      </c>
      <c r="C9" s="5">
        <v>64.099999999999994</v>
      </c>
      <c r="D9" s="5">
        <v>62.1</v>
      </c>
      <c r="E9" s="5">
        <v>76.900000000000006</v>
      </c>
      <c r="F9" s="5">
        <v>27.3</v>
      </c>
      <c r="G9" s="5">
        <v>16.899999999999999</v>
      </c>
      <c r="H9" s="5">
        <v>9.3000000000000007</v>
      </c>
      <c r="I9" s="5">
        <v>11.3</v>
      </c>
      <c r="J9" s="5">
        <v>1.9</v>
      </c>
      <c r="K9" s="5">
        <v>269.8</v>
      </c>
    </row>
    <row r="10" spans="1:11" x14ac:dyDescent="0.25">
      <c r="A10" s="205"/>
      <c r="B10" s="47" t="s">
        <v>45</v>
      </c>
      <c r="C10" s="5">
        <v>24</v>
      </c>
      <c r="D10" s="5">
        <v>47</v>
      </c>
      <c r="E10" s="5">
        <v>4.0999999999999996</v>
      </c>
      <c r="F10" s="5">
        <v>0.6</v>
      </c>
      <c r="G10" s="5">
        <v>2.7</v>
      </c>
      <c r="H10" s="5">
        <v>0.4</v>
      </c>
      <c r="I10" s="5">
        <v>1.1000000000000001</v>
      </c>
      <c r="J10" s="158" t="s">
        <v>167</v>
      </c>
      <c r="K10" s="5">
        <v>79.900000000000006</v>
      </c>
    </row>
    <row r="11" spans="1:11" x14ac:dyDescent="0.25">
      <c r="A11" s="205"/>
      <c r="B11" s="39" t="s">
        <v>12</v>
      </c>
      <c r="C11" s="76">
        <v>90</v>
      </c>
      <c r="D11" s="76">
        <v>109.4</v>
      </c>
      <c r="E11" s="76">
        <v>85.9</v>
      </c>
      <c r="F11" s="76">
        <v>28.9</v>
      </c>
      <c r="G11" s="76">
        <v>20.100000000000001</v>
      </c>
      <c r="H11" s="76">
        <v>9.9</v>
      </c>
      <c r="I11" s="76">
        <v>12.5</v>
      </c>
      <c r="J11" s="76">
        <v>2</v>
      </c>
      <c r="K11" s="76">
        <v>358.8</v>
      </c>
    </row>
    <row r="12" spans="1:11" x14ac:dyDescent="0.25">
      <c r="A12" s="205" t="s">
        <v>24</v>
      </c>
      <c r="B12" s="47" t="s">
        <v>43</v>
      </c>
      <c r="C12" s="158">
        <v>0.1</v>
      </c>
      <c r="D12" s="158" t="s">
        <v>167</v>
      </c>
      <c r="E12" s="158" t="s">
        <v>167</v>
      </c>
      <c r="F12" s="158" t="s">
        <v>167</v>
      </c>
      <c r="G12" s="158" t="s">
        <v>167</v>
      </c>
      <c r="H12" s="158" t="s">
        <v>167</v>
      </c>
      <c r="I12" s="158" t="s">
        <v>167</v>
      </c>
      <c r="J12" s="158" t="s">
        <v>167</v>
      </c>
      <c r="K12" s="5">
        <v>0.1</v>
      </c>
    </row>
    <row r="13" spans="1:11" x14ac:dyDescent="0.25">
      <c r="A13" s="205"/>
      <c r="B13" s="47" t="s">
        <v>44</v>
      </c>
      <c r="C13" s="5">
        <v>0.8</v>
      </c>
      <c r="D13" s="158">
        <v>0.2</v>
      </c>
      <c r="E13" s="5">
        <v>0.3</v>
      </c>
      <c r="F13" s="158" t="s">
        <v>167</v>
      </c>
      <c r="G13" s="158">
        <v>0.3</v>
      </c>
      <c r="H13" s="158" t="s">
        <v>167</v>
      </c>
      <c r="I13" s="158" t="s">
        <v>167</v>
      </c>
      <c r="J13" s="5">
        <v>0.4</v>
      </c>
      <c r="K13" s="5">
        <v>1.9</v>
      </c>
    </row>
    <row r="14" spans="1:11" x14ac:dyDescent="0.25">
      <c r="A14" s="205"/>
      <c r="B14" s="47" t="s">
        <v>45</v>
      </c>
      <c r="C14" s="158">
        <v>0.8</v>
      </c>
      <c r="D14" s="158" t="s">
        <v>167</v>
      </c>
      <c r="E14" s="158" t="s">
        <v>167</v>
      </c>
      <c r="F14" s="158" t="s">
        <v>167</v>
      </c>
      <c r="G14" s="158" t="s">
        <v>167</v>
      </c>
      <c r="H14" s="158" t="s">
        <v>167</v>
      </c>
      <c r="I14" s="158" t="s">
        <v>167</v>
      </c>
      <c r="J14" s="5">
        <v>1</v>
      </c>
      <c r="K14" s="5">
        <v>1.8</v>
      </c>
    </row>
    <row r="15" spans="1:11" x14ac:dyDescent="0.25">
      <c r="A15" s="205"/>
      <c r="B15" s="39" t="s">
        <v>12</v>
      </c>
      <c r="C15" s="76">
        <v>1.6</v>
      </c>
      <c r="D15" s="157">
        <v>0.2</v>
      </c>
      <c r="E15" s="76">
        <v>0.3</v>
      </c>
      <c r="F15" s="157" t="s">
        <v>167</v>
      </c>
      <c r="G15" s="157">
        <v>0.4</v>
      </c>
      <c r="H15" s="157" t="s">
        <v>167</v>
      </c>
      <c r="I15" s="76" t="s">
        <v>167</v>
      </c>
      <c r="J15" s="76">
        <v>1.4</v>
      </c>
      <c r="K15" s="76">
        <v>3.8</v>
      </c>
    </row>
    <row r="16" spans="1:11" x14ac:dyDescent="0.25">
      <c r="A16" s="205" t="s">
        <v>12</v>
      </c>
      <c r="B16" s="47" t="s">
        <v>43</v>
      </c>
      <c r="C16" s="5">
        <v>6.9</v>
      </c>
      <c r="D16" s="5">
        <v>0.3</v>
      </c>
      <c r="E16" s="5">
        <v>22.2</v>
      </c>
      <c r="F16" s="5">
        <v>5</v>
      </c>
      <c r="G16" s="5">
        <v>2.2999999999999998</v>
      </c>
      <c r="H16" s="5">
        <v>0.7</v>
      </c>
      <c r="I16" s="5">
        <v>0.8</v>
      </c>
      <c r="J16" s="5">
        <v>2.2999999999999998</v>
      </c>
      <c r="K16" s="5">
        <v>40.4</v>
      </c>
    </row>
    <row r="17" spans="1:21" x14ac:dyDescent="0.25">
      <c r="A17" s="205"/>
      <c r="B17" s="47" t="s">
        <v>44</v>
      </c>
      <c r="C17" s="5">
        <v>177.4</v>
      </c>
      <c r="D17" s="5">
        <v>73.599999999999994</v>
      </c>
      <c r="E17" s="5">
        <v>267.5</v>
      </c>
      <c r="F17" s="5">
        <v>68.900000000000006</v>
      </c>
      <c r="G17" s="5">
        <v>35.9</v>
      </c>
      <c r="H17" s="5">
        <v>13.6</v>
      </c>
      <c r="I17" s="5">
        <v>16.2</v>
      </c>
      <c r="J17" s="5">
        <v>40.1</v>
      </c>
      <c r="K17" s="5">
        <v>693.3</v>
      </c>
    </row>
    <row r="18" spans="1:21" x14ac:dyDescent="0.25">
      <c r="A18" s="205"/>
      <c r="B18" s="47" t="s">
        <v>45</v>
      </c>
      <c r="C18" s="5">
        <v>47</v>
      </c>
      <c r="D18" s="5">
        <v>54.7</v>
      </c>
      <c r="E18" s="5">
        <v>10.9</v>
      </c>
      <c r="F18" s="5">
        <v>1.6</v>
      </c>
      <c r="G18" s="5">
        <v>3.8</v>
      </c>
      <c r="H18" s="5">
        <v>1.5</v>
      </c>
      <c r="I18" s="5">
        <v>2.1</v>
      </c>
      <c r="J18" s="5">
        <v>4.0999999999999996</v>
      </c>
      <c r="K18" s="5">
        <v>125.8</v>
      </c>
    </row>
    <row r="19" spans="1:21" x14ac:dyDescent="0.25">
      <c r="A19" s="205"/>
      <c r="B19" s="39" t="s">
        <v>12</v>
      </c>
      <c r="C19" s="76">
        <v>231.3</v>
      </c>
      <c r="D19" s="76">
        <v>128.6</v>
      </c>
      <c r="E19" s="76">
        <v>300.7</v>
      </c>
      <c r="F19" s="76">
        <v>75.5</v>
      </c>
      <c r="G19" s="76">
        <v>42</v>
      </c>
      <c r="H19" s="76">
        <v>15.8</v>
      </c>
      <c r="I19" s="76">
        <v>19.100000000000001</v>
      </c>
      <c r="J19" s="76">
        <v>46.5</v>
      </c>
      <c r="K19" s="76">
        <v>859.5</v>
      </c>
    </row>
    <row r="20" spans="1:21" ht="3" customHeight="1" x14ac:dyDescent="0.25">
      <c r="A20" s="2"/>
      <c r="C20" s="1" t="s">
        <v>269</v>
      </c>
      <c r="D20" s="1" t="s">
        <v>269</v>
      </c>
      <c r="E20" s="1" t="s">
        <v>269</v>
      </c>
      <c r="F20" s="1" t="s">
        <v>269</v>
      </c>
      <c r="G20" s="1" t="s">
        <v>269</v>
      </c>
      <c r="H20" s="1" t="s">
        <v>269</v>
      </c>
      <c r="I20" s="1" t="s">
        <v>269</v>
      </c>
      <c r="J20" s="1" t="s">
        <v>269</v>
      </c>
      <c r="K20" s="1" t="s">
        <v>269</v>
      </c>
      <c r="M20" s="1" t="str">
        <f t="shared" ref="M20" si="0">IF(C20&lt;0.05,"-",C20)</f>
        <v>-</v>
      </c>
      <c r="N20" s="1" t="str">
        <f t="shared" ref="N20" si="1">IF(D20&lt;0.05,"-",D20)</f>
        <v>-</v>
      </c>
      <c r="O20" s="1" t="str">
        <f t="shared" ref="O20" si="2">IF(E20&lt;0.05,"-",E20)</f>
        <v>-</v>
      </c>
      <c r="P20" s="1" t="str">
        <f t="shared" ref="P20" si="3">IF(F20&lt;0.05,"-",F20)</f>
        <v>-</v>
      </c>
      <c r="Q20" s="1" t="str">
        <f t="shared" ref="Q20" si="4">IF(G20&lt;0.05,"-",G20)</f>
        <v>-</v>
      </c>
      <c r="R20" s="1" t="str">
        <f t="shared" ref="R20" si="5">IF(H20&lt;0.05,"-",H20)</f>
        <v>-</v>
      </c>
      <c r="S20" s="1" t="str">
        <f t="shared" ref="S20" si="6">IF(I20&lt;0.05,"-",I20)</f>
        <v>-</v>
      </c>
      <c r="T20" s="1" t="str">
        <f t="shared" ref="T20" si="7">IF(J20&lt;0.05,"-",J20)</f>
        <v>-</v>
      </c>
      <c r="U20" s="1" t="str">
        <f t="shared" ref="U20" si="8">IF(K20&lt;0.05,"-",K20)</f>
        <v>-</v>
      </c>
    </row>
    <row r="21" spans="1:21" ht="11.1" customHeight="1" x14ac:dyDescent="0.25">
      <c r="A21" s="201" t="s">
        <v>13</v>
      </c>
      <c r="B21" s="201"/>
      <c r="C21" s="201"/>
      <c r="D21" s="201"/>
      <c r="E21" s="201"/>
      <c r="F21" s="201"/>
      <c r="G21" s="201"/>
      <c r="H21" s="201"/>
      <c r="I21" s="201"/>
      <c r="J21" s="201"/>
      <c r="K21" s="201"/>
    </row>
    <row r="22" spans="1:21" s="6" customFormat="1" ht="11.1" customHeight="1" x14ac:dyDescent="0.15">
      <c r="A22" s="6" t="s">
        <v>14</v>
      </c>
    </row>
    <row r="23" spans="1:21" s="10" customFormat="1" ht="11.1" customHeight="1" x14ac:dyDescent="0.2">
      <c r="A23" s="6" t="s">
        <v>18</v>
      </c>
    </row>
    <row r="24" spans="1:21" s="6" customFormat="1" ht="11.1" customHeight="1" x14ac:dyDescent="0.15">
      <c r="A24" s="6" t="s">
        <v>46</v>
      </c>
    </row>
    <row r="25" spans="1:21" s="6" customFormat="1" ht="19.5" customHeight="1" x14ac:dyDescent="0.15">
      <c r="A25" s="199" t="s">
        <v>37</v>
      </c>
      <c r="B25" s="199"/>
      <c r="C25" s="199"/>
      <c r="D25" s="199"/>
      <c r="E25" s="199"/>
      <c r="F25" s="199"/>
      <c r="G25" s="199"/>
      <c r="H25" s="199"/>
      <c r="I25" s="199"/>
      <c r="J25" s="199"/>
      <c r="K25" s="199"/>
    </row>
    <row r="26" spans="1:21" s="6" customFormat="1" ht="11.1" customHeight="1" x14ac:dyDescent="0.15">
      <c r="A26" s="6" t="s">
        <v>16</v>
      </c>
    </row>
    <row r="27" spans="1:21" s="6" customFormat="1" ht="11.1" customHeight="1" x14ac:dyDescent="0.15">
      <c r="A27" s="6" t="s">
        <v>271</v>
      </c>
    </row>
    <row r="28" spans="1:21" ht="12" customHeight="1" x14ac:dyDescent="0.25">
      <c r="A28" s="2"/>
    </row>
    <row r="29" spans="1:21" ht="27.95" customHeight="1" x14ac:dyDescent="0.25">
      <c r="A29" s="198" t="s">
        <v>286</v>
      </c>
      <c r="B29" s="198"/>
      <c r="C29" s="198"/>
      <c r="D29" s="198"/>
      <c r="E29" s="198"/>
      <c r="F29" s="198"/>
      <c r="G29" s="198"/>
      <c r="H29" s="198"/>
      <c r="I29" s="198"/>
      <c r="J29" s="198"/>
      <c r="K29" s="198"/>
    </row>
    <row r="30" spans="1:21" ht="2.25" customHeight="1" x14ac:dyDescent="0.25">
      <c r="A30" s="2"/>
    </row>
    <row r="31" spans="1:21" ht="23.25" x14ac:dyDescent="0.25">
      <c r="A31" s="52" t="s">
        <v>186</v>
      </c>
      <c r="B31" s="52" t="s">
        <v>187</v>
      </c>
      <c r="C31" s="3" t="s">
        <v>1</v>
      </c>
      <c r="D31" s="3" t="s">
        <v>2</v>
      </c>
      <c r="E31" s="3" t="s">
        <v>3</v>
      </c>
      <c r="F31" s="3" t="s">
        <v>4</v>
      </c>
      <c r="G31" s="3" t="s">
        <v>5</v>
      </c>
      <c r="H31" s="3" t="s">
        <v>6</v>
      </c>
      <c r="I31" s="3" t="s">
        <v>7</v>
      </c>
      <c r="J31" s="3" t="s">
        <v>8</v>
      </c>
      <c r="K31" s="3" t="s">
        <v>9</v>
      </c>
    </row>
    <row r="32" spans="1:21" x14ac:dyDescent="0.25">
      <c r="A32" s="205" t="s">
        <v>22</v>
      </c>
      <c r="B32" s="47" t="s">
        <v>43</v>
      </c>
      <c r="C32" s="8">
        <v>86</v>
      </c>
      <c r="D32" s="8" t="s">
        <v>174</v>
      </c>
      <c r="E32" s="8">
        <v>91</v>
      </c>
      <c r="F32" s="8">
        <v>112</v>
      </c>
      <c r="G32" s="8">
        <v>34</v>
      </c>
      <c r="H32" s="8" t="s">
        <v>174</v>
      </c>
      <c r="I32" s="8" t="s">
        <v>174</v>
      </c>
      <c r="J32" s="8" t="s">
        <v>174</v>
      </c>
      <c r="K32" s="8">
        <v>362</v>
      </c>
    </row>
    <row r="33" spans="1:11" x14ac:dyDescent="0.25">
      <c r="A33" s="205"/>
      <c r="B33" s="47" t="s">
        <v>44</v>
      </c>
      <c r="C33" s="8">
        <v>684</v>
      </c>
      <c r="D33" s="8">
        <v>49</v>
      </c>
      <c r="E33" s="8">
        <v>633</v>
      </c>
      <c r="F33" s="8">
        <v>425</v>
      </c>
      <c r="G33" s="8">
        <v>149</v>
      </c>
      <c r="H33" s="8" t="s">
        <v>174</v>
      </c>
      <c r="I33" s="8" t="s">
        <v>174</v>
      </c>
      <c r="J33" s="8">
        <v>285</v>
      </c>
      <c r="K33" s="8">
        <v>2276</v>
      </c>
    </row>
    <row r="34" spans="1:11" x14ac:dyDescent="0.25">
      <c r="A34" s="205"/>
      <c r="B34" s="47" t="s">
        <v>45</v>
      </c>
      <c r="C34" s="8">
        <v>42</v>
      </c>
      <c r="D34" s="8" t="s">
        <v>174</v>
      </c>
      <c r="E34" s="8">
        <v>14</v>
      </c>
      <c r="F34" s="8" t="s">
        <v>167</v>
      </c>
      <c r="G34" s="8">
        <v>4</v>
      </c>
      <c r="H34" s="8" t="s">
        <v>174</v>
      </c>
      <c r="I34" s="8" t="s">
        <v>174</v>
      </c>
      <c r="J34" s="8" t="s">
        <v>174</v>
      </c>
      <c r="K34" s="8">
        <v>76</v>
      </c>
    </row>
    <row r="35" spans="1:11" x14ac:dyDescent="0.25">
      <c r="A35" s="205"/>
      <c r="B35" s="45" t="s">
        <v>12</v>
      </c>
      <c r="C35" s="81">
        <v>812</v>
      </c>
      <c r="D35" s="81">
        <v>63</v>
      </c>
      <c r="E35" s="81">
        <v>738</v>
      </c>
      <c r="F35" s="81">
        <v>537</v>
      </c>
      <c r="G35" s="81">
        <v>187</v>
      </c>
      <c r="H35" s="81">
        <v>24</v>
      </c>
      <c r="I35" s="81">
        <v>34</v>
      </c>
      <c r="J35" s="81">
        <v>319</v>
      </c>
      <c r="K35" s="81">
        <v>2714</v>
      </c>
    </row>
    <row r="36" spans="1:11" ht="15" customHeight="1" x14ac:dyDescent="0.25">
      <c r="A36" s="205" t="s">
        <v>23</v>
      </c>
      <c r="B36" s="47" t="s">
        <v>43</v>
      </c>
      <c r="C36" s="8">
        <v>55</v>
      </c>
      <c r="D36" s="8" t="s">
        <v>174</v>
      </c>
      <c r="E36" s="8">
        <v>33</v>
      </c>
      <c r="F36" s="8">
        <v>27</v>
      </c>
      <c r="G36" s="8">
        <v>14</v>
      </c>
      <c r="H36" s="8" t="s">
        <v>174</v>
      </c>
      <c r="I36" s="8" t="s">
        <v>174</v>
      </c>
      <c r="J36" s="8">
        <v>1</v>
      </c>
      <c r="K36" s="8">
        <v>141</v>
      </c>
    </row>
    <row r="37" spans="1:11" x14ac:dyDescent="0.25">
      <c r="A37" s="205"/>
      <c r="B37" s="47" t="s">
        <v>44</v>
      </c>
      <c r="C37" s="8">
        <v>596</v>
      </c>
      <c r="D37" s="8">
        <v>295</v>
      </c>
      <c r="E37" s="8">
        <v>295</v>
      </c>
      <c r="F37" s="8">
        <v>245</v>
      </c>
      <c r="G37" s="8">
        <v>139</v>
      </c>
      <c r="H37" s="8" t="s">
        <v>174</v>
      </c>
      <c r="I37" s="8" t="s">
        <v>174</v>
      </c>
      <c r="J37" s="8">
        <v>9</v>
      </c>
      <c r="K37" s="8">
        <v>1684</v>
      </c>
    </row>
    <row r="38" spans="1:11" x14ac:dyDescent="0.25">
      <c r="A38" s="205"/>
      <c r="B38" s="47" t="s">
        <v>45</v>
      </c>
      <c r="C38" s="8">
        <v>48</v>
      </c>
      <c r="D38" s="8" t="s">
        <v>174</v>
      </c>
      <c r="E38" s="8">
        <v>8</v>
      </c>
      <c r="F38" s="8" t="s">
        <v>167</v>
      </c>
      <c r="G38" s="8">
        <v>8</v>
      </c>
      <c r="H38" s="8" t="s">
        <v>174</v>
      </c>
      <c r="I38" s="8" t="s">
        <v>174</v>
      </c>
      <c r="J38" s="8" t="s">
        <v>167</v>
      </c>
      <c r="K38" s="8">
        <v>141</v>
      </c>
    </row>
    <row r="39" spans="1:11" x14ac:dyDescent="0.25">
      <c r="A39" s="205"/>
      <c r="B39" s="45" t="s">
        <v>12</v>
      </c>
      <c r="C39" s="81">
        <v>699</v>
      </c>
      <c r="D39" s="81">
        <v>377</v>
      </c>
      <c r="E39" s="81">
        <v>336</v>
      </c>
      <c r="F39" s="81">
        <v>272</v>
      </c>
      <c r="G39" s="81">
        <v>161</v>
      </c>
      <c r="H39" s="81">
        <v>46</v>
      </c>
      <c r="I39" s="81">
        <v>65</v>
      </c>
      <c r="J39" s="81">
        <v>10</v>
      </c>
      <c r="K39" s="81">
        <v>1966</v>
      </c>
    </row>
    <row r="40" spans="1:11" x14ac:dyDescent="0.25">
      <c r="A40" s="205" t="s">
        <v>24</v>
      </c>
      <c r="B40" s="47" t="s">
        <v>43</v>
      </c>
      <c r="C40" s="8">
        <v>8</v>
      </c>
      <c r="D40" s="82" t="s">
        <v>167</v>
      </c>
      <c r="E40" s="82" t="s">
        <v>167</v>
      </c>
      <c r="F40" s="82" t="s">
        <v>167</v>
      </c>
      <c r="G40" s="82" t="s">
        <v>167</v>
      </c>
      <c r="H40" s="82" t="s">
        <v>167</v>
      </c>
      <c r="I40" s="8" t="s">
        <v>167</v>
      </c>
      <c r="J40" s="82" t="s">
        <v>167</v>
      </c>
      <c r="K40" s="8">
        <v>8</v>
      </c>
    </row>
    <row r="41" spans="1:11" x14ac:dyDescent="0.25">
      <c r="A41" s="205"/>
      <c r="B41" s="47" t="s">
        <v>44</v>
      </c>
      <c r="C41" s="8">
        <v>41</v>
      </c>
      <c r="D41" s="82">
        <v>2</v>
      </c>
      <c r="E41" s="8">
        <v>3</v>
      </c>
      <c r="F41" s="82" t="s">
        <v>167</v>
      </c>
      <c r="G41" s="82">
        <v>3</v>
      </c>
      <c r="H41" s="82" t="s">
        <v>167</v>
      </c>
      <c r="I41" s="8" t="s">
        <v>167</v>
      </c>
      <c r="J41" s="8">
        <v>3</v>
      </c>
      <c r="K41" s="8">
        <v>52</v>
      </c>
    </row>
    <row r="42" spans="1:11" x14ac:dyDescent="0.25">
      <c r="A42" s="205"/>
      <c r="B42" s="47" t="s">
        <v>45</v>
      </c>
      <c r="C42" s="8">
        <v>1</v>
      </c>
      <c r="D42" s="82" t="s">
        <v>167</v>
      </c>
      <c r="E42" s="82" t="s">
        <v>167</v>
      </c>
      <c r="F42" s="82" t="s">
        <v>167</v>
      </c>
      <c r="G42" s="82" t="s">
        <v>167</v>
      </c>
      <c r="H42" s="82" t="s">
        <v>167</v>
      </c>
      <c r="I42" s="82" t="s">
        <v>167</v>
      </c>
      <c r="J42" s="8">
        <v>1</v>
      </c>
      <c r="K42" s="8">
        <v>2</v>
      </c>
    </row>
    <row r="43" spans="1:11" x14ac:dyDescent="0.25">
      <c r="A43" s="205"/>
      <c r="B43" s="45" t="s">
        <v>12</v>
      </c>
      <c r="C43" s="81">
        <v>50</v>
      </c>
      <c r="D43" s="83">
        <v>2</v>
      </c>
      <c r="E43" s="81">
        <v>3</v>
      </c>
      <c r="F43" s="82" t="s">
        <v>167</v>
      </c>
      <c r="G43" s="82">
        <v>3</v>
      </c>
      <c r="H43" s="82" t="s">
        <v>167</v>
      </c>
      <c r="I43" s="81" t="s">
        <v>167</v>
      </c>
      <c r="J43" s="81">
        <v>4</v>
      </c>
      <c r="K43" s="81">
        <v>62</v>
      </c>
    </row>
    <row r="44" spans="1:11" x14ac:dyDescent="0.25">
      <c r="A44" s="211" t="s">
        <v>12</v>
      </c>
      <c r="B44" s="47" t="s">
        <v>43</v>
      </c>
      <c r="C44" s="8">
        <v>149</v>
      </c>
      <c r="D44" s="8">
        <v>5</v>
      </c>
      <c r="E44" s="8">
        <v>124</v>
      </c>
      <c r="F44" s="8">
        <v>139</v>
      </c>
      <c r="G44" s="8">
        <v>48</v>
      </c>
      <c r="H44" s="8">
        <v>7</v>
      </c>
      <c r="I44" s="8">
        <v>6</v>
      </c>
      <c r="J44" s="8">
        <v>33</v>
      </c>
      <c r="K44" s="8">
        <v>511</v>
      </c>
    </row>
    <row r="45" spans="1:11" x14ac:dyDescent="0.25">
      <c r="A45" s="211"/>
      <c r="B45" s="47" t="s">
        <v>44</v>
      </c>
      <c r="C45" s="8">
        <v>1321</v>
      </c>
      <c r="D45" s="8">
        <v>346</v>
      </c>
      <c r="E45" s="8">
        <v>931</v>
      </c>
      <c r="F45" s="8">
        <v>670</v>
      </c>
      <c r="G45" s="8">
        <v>291</v>
      </c>
      <c r="H45" s="8">
        <v>63</v>
      </c>
      <c r="I45" s="8">
        <v>93</v>
      </c>
      <c r="J45" s="8">
        <v>297</v>
      </c>
      <c r="K45" s="8">
        <v>4012</v>
      </c>
    </row>
    <row r="46" spans="1:11" x14ac:dyDescent="0.25">
      <c r="A46" s="211"/>
      <c r="B46" s="47" t="s">
        <v>45</v>
      </c>
      <c r="C46" s="8">
        <v>91</v>
      </c>
      <c r="D46" s="8">
        <v>91</v>
      </c>
      <c r="E46" s="8">
        <v>22</v>
      </c>
      <c r="F46" s="8" t="s">
        <v>167</v>
      </c>
      <c r="G46" s="8">
        <v>12</v>
      </c>
      <c r="H46" s="8" t="s">
        <v>174</v>
      </c>
      <c r="I46" s="8" t="s">
        <v>174</v>
      </c>
      <c r="J46" s="8">
        <v>3</v>
      </c>
      <c r="K46" s="8">
        <v>219</v>
      </c>
    </row>
    <row r="47" spans="1:11" x14ac:dyDescent="0.25">
      <c r="A47" s="211"/>
      <c r="B47" s="45" t="s">
        <v>12</v>
      </c>
      <c r="C47" s="81">
        <v>1561</v>
      </c>
      <c r="D47" s="81">
        <v>442</v>
      </c>
      <c r="E47" s="81">
        <v>1077</v>
      </c>
      <c r="F47" s="81">
        <v>809</v>
      </c>
      <c r="G47" s="81">
        <v>351</v>
      </c>
      <c r="H47" s="81">
        <v>70</v>
      </c>
      <c r="I47" s="81">
        <v>99</v>
      </c>
      <c r="J47" s="81">
        <v>333</v>
      </c>
      <c r="K47" s="81">
        <v>4742</v>
      </c>
    </row>
    <row r="48" spans="1:11" ht="2.25" customHeight="1" x14ac:dyDescent="0.25">
      <c r="A48" s="53"/>
      <c r="B48" s="53"/>
      <c r="C48" s="53"/>
      <c r="D48" s="53"/>
      <c r="E48" s="53"/>
      <c r="F48" s="53"/>
      <c r="G48" s="53"/>
      <c r="H48" s="53"/>
      <c r="I48" s="53"/>
      <c r="J48" s="53"/>
      <c r="K48" s="53"/>
    </row>
    <row r="49" spans="1:11" ht="10.5" customHeight="1" x14ac:dyDescent="0.25">
      <c r="A49" s="6" t="s">
        <v>220</v>
      </c>
    </row>
    <row r="50" spans="1:11" s="10" customFormat="1" ht="11.1" customHeight="1" x14ac:dyDescent="0.2">
      <c r="A50" s="208" t="s">
        <v>18</v>
      </c>
      <c r="B50" s="208"/>
      <c r="C50" s="208"/>
      <c r="D50" s="208"/>
      <c r="E50" s="208"/>
      <c r="F50" s="208"/>
      <c r="G50" s="208"/>
      <c r="H50" s="208"/>
      <c r="I50" s="208"/>
      <c r="J50" s="208"/>
      <c r="K50" s="208"/>
    </row>
    <row r="51" spans="1:11" s="6" customFormat="1" ht="11.1" customHeight="1" x14ac:dyDescent="0.15">
      <c r="A51" s="6" t="s">
        <v>46</v>
      </c>
    </row>
    <row r="52" spans="1:11" s="6" customFormat="1" ht="9" customHeight="1" x14ac:dyDescent="0.15">
      <c r="A52" s="199" t="s">
        <v>33</v>
      </c>
      <c r="B52" s="199"/>
      <c r="C52" s="199"/>
      <c r="D52" s="199"/>
      <c r="E52" s="199"/>
      <c r="F52" s="199"/>
      <c r="G52" s="199"/>
      <c r="H52" s="199"/>
      <c r="I52" s="199"/>
      <c r="J52" s="199"/>
      <c r="K52" s="199"/>
    </row>
    <row r="53" spans="1:11" s="6" customFormat="1" ht="11.1" customHeight="1" x14ac:dyDescent="0.15">
      <c r="A53" s="6" t="s">
        <v>263</v>
      </c>
    </row>
    <row r="54" spans="1:11" s="6" customFormat="1" ht="11.1" customHeight="1" x14ac:dyDescent="0.15"/>
    <row r="55" spans="1:11" s="6" customFormat="1" ht="11.1" customHeight="1" x14ac:dyDescent="0.15">
      <c r="A55" s="6" t="s">
        <v>271</v>
      </c>
    </row>
    <row r="56" spans="1:11" ht="12" customHeight="1" x14ac:dyDescent="0.25">
      <c r="A56" s="2"/>
    </row>
    <row r="57" spans="1:11" ht="27.95" customHeight="1" x14ac:dyDescent="0.25">
      <c r="A57" s="198" t="s">
        <v>287</v>
      </c>
      <c r="B57" s="198"/>
      <c r="C57" s="198"/>
      <c r="D57" s="198"/>
      <c r="E57" s="198"/>
      <c r="F57" s="198"/>
      <c r="G57" s="198"/>
      <c r="H57" s="198"/>
      <c r="I57" s="198"/>
      <c r="J57" s="198"/>
      <c r="K57" s="198"/>
    </row>
    <row r="58" spans="1:11" ht="12" customHeight="1" x14ac:dyDescent="0.25">
      <c r="A58" s="2"/>
    </row>
    <row r="59" spans="1:11" ht="23.25" x14ac:dyDescent="0.25">
      <c r="A59" s="52" t="s">
        <v>186</v>
      </c>
      <c r="B59" s="52" t="s">
        <v>187</v>
      </c>
      <c r="C59" s="3" t="s">
        <v>1</v>
      </c>
      <c r="D59" s="3" t="s">
        <v>2</v>
      </c>
      <c r="E59" s="3" t="s">
        <v>3</v>
      </c>
      <c r="F59" s="3" t="s">
        <v>4</v>
      </c>
      <c r="G59" s="3" t="s">
        <v>5</v>
      </c>
      <c r="H59" s="3" t="s">
        <v>6</v>
      </c>
      <c r="I59" s="3" t="s">
        <v>7</v>
      </c>
      <c r="J59" s="3" t="s">
        <v>8</v>
      </c>
      <c r="K59" s="3" t="s">
        <v>9</v>
      </c>
    </row>
    <row r="60" spans="1:11" x14ac:dyDescent="0.25">
      <c r="A60" s="205" t="s">
        <v>22</v>
      </c>
      <c r="B60" s="47" t="s">
        <v>43</v>
      </c>
      <c r="C60" s="5">
        <v>1.5620000000000001</v>
      </c>
      <c r="D60" s="46" t="s">
        <v>167</v>
      </c>
      <c r="E60" s="170">
        <v>6.8810000000000002</v>
      </c>
      <c r="F60" s="5">
        <v>3.944</v>
      </c>
      <c r="G60" s="5">
        <v>3.8439999999999999</v>
      </c>
      <c r="H60" s="5">
        <v>1.3819999999999999</v>
      </c>
      <c r="I60" s="5">
        <v>20.827000000000002</v>
      </c>
      <c r="J60" s="5">
        <v>3.7349999999999999</v>
      </c>
      <c r="K60" s="170">
        <v>3.5960000000000001</v>
      </c>
    </row>
    <row r="61" spans="1:11" x14ac:dyDescent="0.25">
      <c r="A61" s="205"/>
      <c r="B61" s="47" t="s">
        <v>44</v>
      </c>
      <c r="C61" s="5">
        <v>36.271999999999998</v>
      </c>
      <c r="D61" s="5">
        <v>16.116</v>
      </c>
      <c r="E61" s="170">
        <v>73.388000000000005</v>
      </c>
      <c r="F61" s="5">
        <v>39.674999999999997</v>
      </c>
      <c r="G61" s="5">
        <v>38.094999999999999</v>
      </c>
      <c r="H61" s="5">
        <v>13.544</v>
      </c>
      <c r="I61" s="5">
        <v>67.158000000000001</v>
      </c>
      <c r="J61" s="5">
        <v>66.787000000000006</v>
      </c>
      <c r="K61" s="170">
        <v>47.387999999999998</v>
      </c>
    </row>
    <row r="62" spans="1:11" x14ac:dyDescent="0.25">
      <c r="A62" s="205"/>
      <c r="B62" s="39" t="s">
        <v>47</v>
      </c>
      <c r="C62" s="76">
        <v>18.927</v>
      </c>
      <c r="D62" s="76">
        <v>8.1140000000000008</v>
      </c>
      <c r="E62" s="170">
        <v>40.65</v>
      </c>
      <c r="F62" s="76">
        <v>21.923999999999999</v>
      </c>
      <c r="G62" s="76">
        <v>21.393000000000001</v>
      </c>
      <c r="H62" s="76">
        <v>7.7649999999999997</v>
      </c>
      <c r="I62" s="76">
        <v>51.854999999999997</v>
      </c>
      <c r="J62" s="76">
        <v>35.119999999999997</v>
      </c>
      <c r="K62" s="170">
        <v>25.73</v>
      </c>
    </row>
    <row r="63" spans="1:11" ht="15" customHeight="1" x14ac:dyDescent="0.25">
      <c r="A63" s="205" t="s">
        <v>23</v>
      </c>
      <c r="B63" s="47" t="s">
        <v>43</v>
      </c>
      <c r="C63" s="5">
        <v>5.0999999999999997E-2</v>
      </c>
      <c r="D63" s="46" t="s">
        <v>167</v>
      </c>
      <c r="E63" s="170">
        <v>0.188</v>
      </c>
      <c r="F63" s="5">
        <v>6.6000000000000003E-2</v>
      </c>
      <c r="G63" s="46">
        <v>0.06</v>
      </c>
      <c r="H63" s="5">
        <v>0.13100000000000001</v>
      </c>
      <c r="I63" s="5" t="s">
        <v>167</v>
      </c>
      <c r="J63" s="5">
        <v>0.13300000000000001</v>
      </c>
      <c r="K63" s="170">
        <v>7.2999999999999995E-2</v>
      </c>
    </row>
    <row r="64" spans="1:11" x14ac:dyDescent="0.25">
      <c r="A64" s="205"/>
      <c r="B64" s="47" t="s">
        <v>44</v>
      </c>
      <c r="C64" s="5">
        <v>1.6659999999999999</v>
      </c>
      <c r="D64" s="5">
        <v>1.913</v>
      </c>
      <c r="E64" s="170">
        <v>2.8639999999999999</v>
      </c>
      <c r="F64" s="5">
        <v>1.9690000000000001</v>
      </c>
      <c r="G64" s="5">
        <v>1.9970000000000001</v>
      </c>
      <c r="H64" s="5">
        <v>3.7759999999999998</v>
      </c>
      <c r="I64" s="5">
        <v>5.234</v>
      </c>
      <c r="J64" s="5">
        <v>2.5369999999999999</v>
      </c>
      <c r="K64" s="170">
        <v>2.15</v>
      </c>
    </row>
    <row r="65" spans="1:11" x14ac:dyDescent="0.25">
      <c r="A65" s="205"/>
      <c r="B65" s="39" t="s">
        <v>47</v>
      </c>
      <c r="C65" s="76">
        <v>0.85799999999999998</v>
      </c>
      <c r="D65" s="76">
        <v>0.95299999999999996</v>
      </c>
      <c r="E65" s="170">
        <v>1.5429999999999999</v>
      </c>
      <c r="F65" s="76">
        <v>1.012</v>
      </c>
      <c r="G65" s="76">
        <v>1.0349999999999999</v>
      </c>
      <c r="H65" s="76">
        <v>1.9990000000000001</v>
      </c>
      <c r="I65" s="76">
        <v>3.4729999999999999</v>
      </c>
      <c r="J65" s="76">
        <v>1.254</v>
      </c>
      <c r="K65" s="170">
        <v>1.1160000000000001</v>
      </c>
    </row>
    <row r="66" spans="1:11" x14ac:dyDescent="0.25">
      <c r="A66" s="205" t="s">
        <v>12</v>
      </c>
      <c r="B66" s="47" t="s">
        <v>43</v>
      </c>
      <c r="C66" s="5">
        <v>0.16500000000000001</v>
      </c>
      <c r="D66" s="46" t="s">
        <v>167</v>
      </c>
      <c r="E66" s="170">
        <v>0.77500000000000002</v>
      </c>
      <c r="F66" s="5">
        <v>0.33100000000000002</v>
      </c>
      <c r="G66" s="5">
        <v>0.25900000000000001</v>
      </c>
      <c r="H66" s="5">
        <v>0.26900000000000002</v>
      </c>
      <c r="I66" s="5">
        <v>0.70299999999999996</v>
      </c>
      <c r="J66" s="5">
        <v>1.5680000000000001</v>
      </c>
      <c r="K66" s="170">
        <v>0.30399999999999999</v>
      </c>
    </row>
    <row r="67" spans="1:11" x14ac:dyDescent="0.25">
      <c r="A67" s="205"/>
      <c r="B67" s="47" t="s">
        <v>44</v>
      </c>
      <c r="C67" s="5">
        <v>4.266</v>
      </c>
      <c r="D67" s="5">
        <v>2.2210000000000001</v>
      </c>
      <c r="E67" s="170">
        <v>9.0869999999999997</v>
      </c>
      <c r="F67" s="5">
        <v>4.6109999999999998</v>
      </c>
      <c r="G67" s="5">
        <v>4.0039999999999996</v>
      </c>
      <c r="H67" s="5">
        <v>4.9000000000000004</v>
      </c>
      <c r="I67" s="5">
        <v>7.2629999999999999</v>
      </c>
      <c r="J67" s="5">
        <v>30.346</v>
      </c>
      <c r="K67" s="170">
        <v>5.1580000000000004</v>
      </c>
    </row>
    <row r="68" spans="1:11" x14ac:dyDescent="0.25">
      <c r="A68" s="210"/>
      <c r="B68" s="56" t="s">
        <v>47</v>
      </c>
      <c r="C68" s="144">
        <v>2.2160000000000002</v>
      </c>
      <c r="D68" s="144">
        <v>1.1060000000000001</v>
      </c>
      <c r="E68" s="144">
        <v>5</v>
      </c>
      <c r="F68" s="144">
        <v>2.46</v>
      </c>
      <c r="G68" s="144">
        <v>2.1469999999999998</v>
      </c>
      <c r="H68" s="144">
        <v>2.649</v>
      </c>
      <c r="I68" s="144">
        <v>5.0380000000000003</v>
      </c>
      <c r="J68" s="144">
        <v>15.364000000000001</v>
      </c>
      <c r="K68" s="144">
        <v>2.7</v>
      </c>
    </row>
    <row r="69" spans="1:11" ht="8.1" customHeight="1" x14ac:dyDescent="0.25">
      <c r="A69" s="39"/>
      <c r="B69" s="39"/>
      <c r="C69" s="76"/>
      <c r="D69" s="76"/>
      <c r="E69" s="76"/>
      <c r="F69" s="76"/>
      <c r="G69" s="76"/>
      <c r="H69" s="76"/>
      <c r="I69" s="76"/>
      <c r="J69" s="76"/>
      <c r="K69" s="76"/>
    </row>
    <row r="70" spans="1:11" ht="11.1" customHeight="1" x14ac:dyDescent="0.25">
      <c r="A70" s="208" t="s">
        <v>18</v>
      </c>
      <c r="B70" s="208"/>
      <c r="C70" s="208"/>
      <c r="D70" s="208"/>
      <c r="E70" s="208"/>
      <c r="F70" s="208"/>
      <c r="G70" s="208"/>
      <c r="H70" s="208"/>
      <c r="I70" s="208"/>
      <c r="J70" s="208"/>
      <c r="K70" s="208"/>
    </row>
    <row r="71" spans="1:11" s="6" customFormat="1" ht="19.5" customHeight="1" x14ac:dyDescent="0.15">
      <c r="A71" s="199" t="s">
        <v>48</v>
      </c>
      <c r="B71" s="199"/>
      <c r="C71" s="199"/>
      <c r="D71" s="199"/>
      <c r="E71" s="199"/>
      <c r="F71" s="199"/>
      <c r="G71" s="199"/>
      <c r="H71" s="199"/>
      <c r="I71" s="199"/>
      <c r="J71" s="199"/>
      <c r="K71" s="199"/>
    </row>
    <row r="72" spans="1:11" s="6" customFormat="1" ht="11.1" customHeight="1" x14ac:dyDescent="0.15">
      <c r="A72" s="6" t="s">
        <v>40</v>
      </c>
    </row>
    <row r="73" spans="1:11" s="6" customFormat="1" ht="11.1" customHeight="1" x14ac:dyDescent="0.15">
      <c r="A73" s="6" t="s">
        <v>279</v>
      </c>
    </row>
    <row r="74" spans="1:11" s="6" customFormat="1" ht="11.1" customHeight="1" x14ac:dyDescent="0.15">
      <c r="A74" s="6" t="s">
        <v>16</v>
      </c>
    </row>
    <row r="75" spans="1:11" s="6" customFormat="1" ht="11.1" customHeight="1" x14ac:dyDescent="0.15">
      <c r="A75" s="6" t="s">
        <v>252</v>
      </c>
    </row>
    <row r="76" spans="1:11" ht="12" customHeight="1" x14ac:dyDescent="0.25">
      <c r="A76" s="2"/>
    </row>
    <row r="77" spans="1:11" ht="27.95" customHeight="1" x14ac:dyDescent="0.25">
      <c r="A77" s="198" t="s">
        <v>288</v>
      </c>
      <c r="B77" s="198"/>
      <c r="C77" s="198"/>
      <c r="D77" s="198"/>
      <c r="E77" s="198"/>
      <c r="F77" s="198"/>
      <c r="G77" s="198"/>
      <c r="H77" s="198"/>
      <c r="I77" s="198"/>
      <c r="J77" s="198"/>
      <c r="K77" s="198"/>
    </row>
    <row r="78" spans="1:11" ht="12" customHeight="1" x14ac:dyDescent="0.25">
      <c r="A78" s="2"/>
    </row>
    <row r="79" spans="1:11" ht="23.25" x14ac:dyDescent="0.25">
      <c r="A79" s="52" t="s">
        <v>186</v>
      </c>
      <c r="B79" s="52" t="s">
        <v>187</v>
      </c>
      <c r="C79" s="3" t="s">
        <v>1</v>
      </c>
      <c r="D79" s="3" t="s">
        <v>2</v>
      </c>
      <c r="E79" s="3" t="s">
        <v>3</v>
      </c>
      <c r="F79" s="3" t="s">
        <v>4</v>
      </c>
      <c r="G79" s="3" t="s">
        <v>5</v>
      </c>
      <c r="H79" s="3" t="s">
        <v>6</v>
      </c>
      <c r="I79" s="3" t="s">
        <v>7</v>
      </c>
      <c r="J79" s="3" t="s">
        <v>8</v>
      </c>
      <c r="K79" s="3" t="s">
        <v>9</v>
      </c>
    </row>
    <row r="80" spans="1:11" x14ac:dyDescent="0.25">
      <c r="A80" s="205" t="s">
        <v>22</v>
      </c>
      <c r="B80" s="47" t="s">
        <v>43</v>
      </c>
      <c r="C80" s="5">
        <v>27.75</v>
      </c>
      <c r="D80" s="8" t="s">
        <v>174</v>
      </c>
      <c r="E80" s="170">
        <v>36.177</v>
      </c>
      <c r="F80" s="5">
        <v>108.422</v>
      </c>
      <c r="G80" s="5">
        <v>72.984999999999999</v>
      </c>
      <c r="H80" s="8" t="s">
        <v>174</v>
      </c>
      <c r="I80" s="8" t="s">
        <v>174</v>
      </c>
      <c r="J80" s="8" t="s">
        <v>174</v>
      </c>
      <c r="K80" s="170">
        <v>41.591000000000001</v>
      </c>
    </row>
    <row r="81" spans="1:11" x14ac:dyDescent="0.25">
      <c r="A81" s="205"/>
      <c r="B81" s="47" t="s">
        <v>44</v>
      </c>
      <c r="C81" s="5">
        <v>220.45</v>
      </c>
      <c r="D81" s="5">
        <v>69.721000000000004</v>
      </c>
      <c r="E81" s="170">
        <v>243.97300000000001</v>
      </c>
      <c r="F81" s="5">
        <v>406.17399999999998</v>
      </c>
      <c r="G81" s="5">
        <v>304.392</v>
      </c>
      <c r="H81" s="8" t="s">
        <v>174</v>
      </c>
      <c r="I81" s="8" t="s">
        <v>174</v>
      </c>
      <c r="J81" s="8">
        <v>502.91199999999998</v>
      </c>
      <c r="K81" s="170">
        <v>255.858</v>
      </c>
    </row>
    <row r="82" spans="1:11" x14ac:dyDescent="0.25">
      <c r="A82" s="205"/>
      <c r="B82" s="39" t="s">
        <v>47</v>
      </c>
      <c r="C82" s="76">
        <v>124.15600000000001</v>
      </c>
      <c r="D82" s="76">
        <v>35.1</v>
      </c>
      <c r="E82" s="170">
        <v>141.684</v>
      </c>
      <c r="F82" s="76">
        <v>258.25400000000002</v>
      </c>
      <c r="G82" s="76">
        <v>191.553</v>
      </c>
      <c r="H82" s="76">
        <v>39.414999999999999</v>
      </c>
      <c r="I82" s="76">
        <v>310.64400000000001</v>
      </c>
      <c r="J82" s="76">
        <v>278.43700000000001</v>
      </c>
      <c r="K82" s="170">
        <v>149.89099999999999</v>
      </c>
    </row>
    <row r="83" spans="1:11" ht="15" customHeight="1" x14ac:dyDescent="0.25">
      <c r="A83" s="205" t="s">
        <v>23</v>
      </c>
      <c r="B83" s="47" t="s">
        <v>43</v>
      </c>
      <c r="C83" s="5">
        <v>1.429</v>
      </c>
      <c r="D83" s="8" t="s">
        <v>174</v>
      </c>
      <c r="E83" s="170">
        <v>1.26</v>
      </c>
      <c r="F83" s="5">
        <v>1.921</v>
      </c>
      <c r="G83" s="5">
        <v>1.6739999999999999</v>
      </c>
      <c r="H83" s="8" t="s">
        <v>174</v>
      </c>
      <c r="I83" s="8" t="s">
        <v>174</v>
      </c>
      <c r="J83" s="8" t="s">
        <v>167</v>
      </c>
      <c r="K83" s="170">
        <v>1.1339999999999999</v>
      </c>
    </row>
    <row r="84" spans="1:11" x14ac:dyDescent="0.25">
      <c r="A84" s="205"/>
      <c r="B84" s="47" t="s">
        <v>44</v>
      </c>
      <c r="C84" s="5">
        <v>15.486000000000001</v>
      </c>
      <c r="D84" s="5">
        <v>9.0950000000000006</v>
      </c>
      <c r="E84" s="170">
        <v>10.987</v>
      </c>
      <c r="F84" s="5">
        <v>17.641999999999999</v>
      </c>
      <c r="G84" s="5">
        <v>16.385000000000002</v>
      </c>
      <c r="H84" s="8" t="s">
        <v>174</v>
      </c>
      <c r="I84" s="8" t="s">
        <v>174</v>
      </c>
      <c r="J84" s="8">
        <v>11.913</v>
      </c>
      <c r="K84" s="170">
        <v>13.416</v>
      </c>
    </row>
    <row r="85" spans="1:11" x14ac:dyDescent="0.25">
      <c r="A85" s="205"/>
      <c r="B85" s="39" t="s">
        <v>47</v>
      </c>
      <c r="C85" s="76">
        <v>8.4589999999999996</v>
      </c>
      <c r="D85" s="76">
        <v>4.59</v>
      </c>
      <c r="E85" s="170">
        <v>6.1849999999999996</v>
      </c>
      <c r="F85" s="76">
        <v>9.7330000000000005</v>
      </c>
      <c r="G85" s="76">
        <v>9.0830000000000002</v>
      </c>
      <c r="H85" s="76">
        <v>9.5920000000000005</v>
      </c>
      <c r="I85" s="76">
        <v>19.846</v>
      </c>
      <c r="J85" s="76">
        <v>6.1749999999999998</v>
      </c>
      <c r="K85" s="170">
        <v>7.3049999999999997</v>
      </c>
    </row>
    <row r="86" spans="1:11" x14ac:dyDescent="0.25">
      <c r="A86" s="205" t="s">
        <v>12</v>
      </c>
      <c r="B86" s="47" t="s">
        <v>43</v>
      </c>
      <c r="C86" s="5">
        <v>3.5840000000000001</v>
      </c>
      <c r="D86" s="5">
        <v>0.14899999999999999</v>
      </c>
      <c r="E86" s="170">
        <v>4.32</v>
      </c>
      <c r="F86" s="5">
        <v>9.2110000000000003</v>
      </c>
      <c r="G86" s="5">
        <v>5.4370000000000003</v>
      </c>
      <c r="H86" s="5">
        <v>2.665</v>
      </c>
      <c r="I86" s="5">
        <v>5.2249999999999996</v>
      </c>
      <c r="J86" s="5">
        <v>22.984999999999999</v>
      </c>
      <c r="K86" s="170">
        <v>3.8410000000000002</v>
      </c>
    </row>
    <row r="87" spans="1:11" x14ac:dyDescent="0.25">
      <c r="A87" s="205"/>
      <c r="B87" s="47" t="s">
        <v>44</v>
      </c>
      <c r="C87" s="5">
        <v>31.763999999999999</v>
      </c>
      <c r="D87" s="5">
        <v>10.441000000000001</v>
      </c>
      <c r="E87" s="170">
        <v>31.619</v>
      </c>
      <c r="F87" s="5">
        <v>44.863999999999997</v>
      </c>
      <c r="G87" s="5">
        <v>32.430999999999997</v>
      </c>
      <c r="H87" s="5">
        <v>22.681999999999999</v>
      </c>
      <c r="I87" s="5">
        <v>41.585000000000001</v>
      </c>
      <c r="J87" s="5">
        <v>224.626</v>
      </c>
      <c r="K87" s="170">
        <v>29.847999999999999</v>
      </c>
    </row>
    <row r="88" spans="1:11" x14ac:dyDescent="0.25">
      <c r="A88" s="210"/>
      <c r="B88" s="56" t="s">
        <v>47</v>
      </c>
      <c r="C88" s="144">
        <v>17.675999999999998</v>
      </c>
      <c r="D88" s="144">
        <v>5.258</v>
      </c>
      <c r="E88" s="144">
        <v>18.100000000000001</v>
      </c>
      <c r="F88" s="144">
        <v>26.945</v>
      </c>
      <c r="G88" s="144">
        <v>19.044</v>
      </c>
      <c r="H88" s="144">
        <v>12.952</v>
      </c>
      <c r="I88" s="144">
        <v>29.248999999999999</v>
      </c>
      <c r="J88" s="144">
        <v>119.65600000000001</v>
      </c>
      <c r="K88" s="144">
        <v>16.867000000000001</v>
      </c>
    </row>
    <row r="89" spans="1:11" ht="8.4499999999999993" customHeight="1" x14ac:dyDescent="0.25">
      <c r="A89" s="39"/>
      <c r="B89" s="39"/>
      <c r="C89" s="76"/>
      <c r="D89" s="76"/>
      <c r="E89" s="76"/>
      <c r="F89" s="76"/>
      <c r="G89" s="76"/>
      <c r="H89" s="76"/>
      <c r="I89" s="76"/>
      <c r="J89" s="76"/>
      <c r="K89" s="76"/>
    </row>
    <row r="90" spans="1:11" ht="12" customHeight="1" x14ac:dyDescent="0.25">
      <c r="A90" s="6" t="s">
        <v>220</v>
      </c>
    </row>
    <row r="91" spans="1:11" ht="11.1" customHeight="1" x14ac:dyDescent="0.25">
      <c r="A91" s="208" t="s">
        <v>18</v>
      </c>
      <c r="B91" s="208"/>
      <c r="C91" s="208"/>
      <c r="D91" s="208"/>
      <c r="E91" s="208"/>
      <c r="F91" s="208"/>
      <c r="G91" s="208"/>
      <c r="H91" s="208"/>
      <c r="I91" s="208"/>
      <c r="J91" s="208"/>
      <c r="K91" s="208"/>
    </row>
    <row r="92" spans="1:11" s="6" customFormat="1" ht="10.5" customHeight="1" x14ac:dyDescent="0.15">
      <c r="A92" s="199" t="s">
        <v>19</v>
      </c>
      <c r="B92" s="199"/>
      <c r="C92" s="199"/>
      <c r="D92" s="199"/>
      <c r="E92" s="199"/>
      <c r="F92" s="199"/>
      <c r="G92" s="199"/>
      <c r="H92" s="199"/>
      <c r="I92" s="199"/>
      <c r="J92" s="199"/>
      <c r="K92" s="199"/>
    </row>
    <row r="93" spans="1:11" s="6" customFormat="1" ht="11.1" customHeight="1" x14ac:dyDescent="0.15">
      <c r="A93" s="6" t="s">
        <v>40</v>
      </c>
    </row>
    <row r="94" spans="1:11" s="6" customFormat="1" ht="11.1" customHeight="1" x14ac:dyDescent="0.15">
      <c r="A94" s="6" t="s">
        <v>41</v>
      </c>
    </row>
    <row r="95" spans="1:11" s="6" customFormat="1" ht="11.1" customHeight="1" x14ac:dyDescent="0.15">
      <c r="A95" s="6" t="s">
        <v>280</v>
      </c>
    </row>
    <row r="96" spans="1:11" s="6" customFormat="1" ht="11.1" customHeight="1" x14ac:dyDescent="0.15"/>
    <row r="97" spans="1:1" s="6" customFormat="1" ht="11.1" customHeight="1" x14ac:dyDescent="0.15">
      <c r="A97" s="6" t="s">
        <v>252</v>
      </c>
    </row>
    <row r="98" spans="1:1" ht="12" customHeight="1" x14ac:dyDescent="0.25">
      <c r="A98" s="2"/>
    </row>
  </sheetData>
  <mergeCells count="26">
    <mergeCell ref="A1:K1"/>
    <mergeCell ref="A4:A7"/>
    <mergeCell ref="A8:A11"/>
    <mergeCell ref="A12:A15"/>
    <mergeCell ref="A16:A19"/>
    <mergeCell ref="A36:A39"/>
    <mergeCell ref="A40:A43"/>
    <mergeCell ref="A44:A47"/>
    <mergeCell ref="A21:K21"/>
    <mergeCell ref="A29:K29"/>
    <mergeCell ref="A50:K50"/>
    <mergeCell ref="A25:K25"/>
    <mergeCell ref="A52:K52"/>
    <mergeCell ref="A71:K71"/>
    <mergeCell ref="A92:K92"/>
    <mergeCell ref="A77:K77"/>
    <mergeCell ref="A80:A82"/>
    <mergeCell ref="A83:A85"/>
    <mergeCell ref="A86:A88"/>
    <mergeCell ref="A91:K91"/>
    <mergeCell ref="A57:K57"/>
    <mergeCell ref="A60:A62"/>
    <mergeCell ref="A63:A65"/>
    <mergeCell ref="A66:A68"/>
    <mergeCell ref="A70:K70"/>
    <mergeCell ref="A32:A35"/>
  </mergeCells>
  <pageMargins left="0.08" right="0.08" top="1" bottom="1" header="0.5" footer="0.5"/>
  <pageSetup orientation="landscape" blackAndWhite="1"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1"/>
  <sheetViews>
    <sheetView zoomScaleNormal="100" workbookViewId="0">
      <selection activeCell="J16" sqref="J16"/>
    </sheetView>
  </sheetViews>
  <sheetFormatPr defaultColWidth="9.140625" defaultRowHeight="15" x14ac:dyDescent="0.25"/>
  <cols>
    <col min="1" max="13" width="11.42578125" style="1" bestFit="1" customWidth="1"/>
    <col min="14" max="16384" width="9.140625" style="1"/>
  </cols>
  <sheetData>
    <row r="1" spans="1:11" ht="18.75" customHeight="1" x14ac:dyDescent="0.25">
      <c r="A1" s="200" t="s">
        <v>291</v>
      </c>
      <c r="B1" s="200"/>
      <c r="C1" s="200"/>
      <c r="D1" s="200"/>
      <c r="E1" s="200"/>
      <c r="F1" s="200"/>
      <c r="G1" s="200"/>
      <c r="H1" s="200"/>
      <c r="I1" s="200"/>
      <c r="J1" s="200"/>
      <c r="K1" s="200"/>
    </row>
    <row r="2" spans="1:11" ht="1.5" customHeight="1" x14ac:dyDescent="0.25">
      <c r="A2" s="2"/>
    </row>
    <row r="3" spans="1:11" x14ac:dyDescent="0.25">
      <c r="A3" s="116" t="s">
        <v>188</v>
      </c>
      <c r="B3" s="116" t="s">
        <v>189</v>
      </c>
      <c r="C3" s="3">
        <v>10</v>
      </c>
      <c r="D3" s="3">
        <v>11</v>
      </c>
      <c r="E3" s="3">
        <v>12</v>
      </c>
      <c r="F3" s="3">
        <v>13</v>
      </c>
      <c r="G3" s="3">
        <v>14</v>
      </c>
      <c r="H3" s="3">
        <v>15</v>
      </c>
      <c r="I3" s="3">
        <v>16</v>
      </c>
      <c r="J3" s="3">
        <v>17</v>
      </c>
      <c r="K3" s="3" t="s">
        <v>10</v>
      </c>
    </row>
    <row r="4" spans="1:11" x14ac:dyDescent="0.25">
      <c r="A4" s="203" t="s">
        <v>21</v>
      </c>
      <c r="B4" s="4" t="s">
        <v>51</v>
      </c>
      <c r="C4" s="145">
        <v>0.1</v>
      </c>
      <c r="D4" s="145">
        <v>1.3</v>
      </c>
      <c r="E4" s="145">
        <v>6.1</v>
      </c>
      <c r="F4" s="145">
        <v>24</v>
      </c>
      <c r="G4" s="145">
        <v>65.599999999999994</v>
      </c>
      <c r="H4" s="145">
        <v>114.2</v>
      </c>
      <c r="I4" s="145">
        <v>165.6</v>
      </c>
      <c r="J4" s="145">
        <v>200.9</v>
      </c>
      <c r="K4" s="145">
        <v>577.79999999999995</v>
      </c>
    </row>
    <row r="5" spans="1:11" x14ac:dyDescent="0.25">
      <c r="A5" s="203"/>
      <c r="B5" s="4" t="s">
        <v>52</v>
      </c>
      <c r="C5" s="145">
        <v>0.2</v>
      </c>
      <c r="D5" s="145">
        <v>1.1000000000000001</v>
      </c>
      <c r="E5" s="145">
        <v>7.7</v>
      </c>
      <c r="F5" s="145">
        <v>26.2</v>
      </c>
      <c r="G5" s="145">
        <v>69.599999999999994</v>
      </c>
      <c r="H5" s="145">
        <v>128.80000000000001</v>
      </c>
      <c r="I5" s="145">
        <v>177.4</v>
      </c>
      <c r="J5" s="145">
        <v>213.7</v>
      </c>
      <c r="K5" s="145">
        <v>624.70000000000005</v>
      </c>
    </row>
    <row r="6" spans="1:11" x14ac:dyDescent="0.25">
      <c r="A6" s="203"/>
      <c r="B6" s="4" t="s">
        <v>53</v>
      </c>
      <c r="C6" s="145">
        <v>0.3</v>
      </c>
      <c r="D6" s="145">
        <v>1.8</v>
      </c>
      <c r="E6" s="145">
        <v>5.6</v>
      </c>
      <c r="F6" s="145">
        <v>28.6</v>
      </c>
      <c r="G6" s="145">
        <v>68.3</v>
      </c>
      <c r="H6" s="145">
        <v>128.6</v>
      </c>
      <c r="I6" s="145">
        <v>178.1</v>
      </c>
      <c r="J6" s="145">
        <v>223</v>
      </c>
      <c r="K6" s="145">
        <v>634.29999999999995</v>
      </c>
    </row>
    <row r="7" spans="1:11" x14ac:dyDescent="0.25">
      <c r="A7" s="203"/>
      <c r="B7" s="4" t="s">
        <v>227</v>
      </c>
      <c r="C7" s="145">
        <v>0.1</v>
      </c>
      <c r="D7" s="145">
        <v>1.9</v>
      </c>
      <c r="E7" s="145">
        <v>6.6</v>
      </c>
      <c r="F7" s="145">
        <v>26.2</v>
      </c>
      <c r="G7" s="145">
        <v>72.599999999999994</v>
      </c>
      <c r="H7" s="145">
        <v>119.5</v>
      </c>
      <c r="I7" s="145">
        <v>180.6</v>
      </c>
      <c r="J7" s="145">
        <v>225.6</v>
      </c>
      <c r="K7" s="145">
        <v>633.1</v>
      </c>
    </row>
    <row r="8" spans="1:11" x14ac:dyDescent="0.25">
      <c r="A8" s="203"/>
      <c r="B8" s="4" t="s">
        <v>289</v>
      </c>
      <c r="C8" s="145">
        <v>0</v>
      </c>
      <c r="D8" s="145">
        <v>0.7</v>
      </c>
      <c r="E8" s="145">
        <v>5.9</v>
      </c>
      <c r="F8" s="145">
        <v>25.4</v>
      </c>
      <c r="G8" s="145">
        <v>65.8</v>
      </c>
      <c r="H8" s="145">
        <v>137.69999999999999</v>
      </c>
      <c r="I8" s="145">
        <v>194.4</v>
      </c>
      <c r="J8" s="145">
        <v>224.3</v>
      </c>
      <c r="K8" s="145">
        <v>654.20000000000005</v>
      </c>
    </row>
    <row r="9" spans="1:11" x14ac:dyDescent="0.25">
      <c r="A9" s="203" t="s">
        <v>25</v>
      </c>
      <c r="B9" s="4" t="s">
        <v>51</v>
      </c>
      <c r="C9" s="145">
        <v>0</v>
      </c>
      <c r="D9" s="145">
        <v>0.1</v>
      </c>
      <c r="E9" s="145">
        <v>1.2</v>
      </c>
      <c r="F9" s="145">
        <v>5.5</v>
      </c>
      <c r="G9" s="145">
        <v>10.9</v>
      </c>
      <c r="H9" s="145">
        <v>17.8</v>
      </c>
      <c r="I9" s="145">
        <v>14.5</v>
      </c>
      <c r="J9" s="145">
        <v>15.7</v>
      </c>
      <c r="K9" s="145">
        <v>65.7</v>
      </c>
    </row>
    <row r="10" spans="1:11" x14ac:dyDescent="0.25">
      <c r="A10" s="203"/>
      <c r="B10" s="4" t="s">
        <v>52</v>
      </c>
      <c r="C10" s="145">
        <v>0</v>
      </c>
      <c r="D10" s="145">
        <v>0.1</v>
      </c>
      <c r="E10" s="145">
        <v>2</v>
      </c>
      <c r="F10" s="145">
        <v>6.3</v>
      </c>
      <c r="G10" s="145">
        <v>11.8</v>
      </c>
      <c r="H10" s="145">
        <v>15.9</v>
      </c>
      <c r="I10" s="145">
        <v>21.8</v>
      </c>
      <c r="J10" s="145">
        <v>17.399999999999999</v>
      </c>
      <c r="K10" s="145">
        <v>75.3</v>
      </c>
    </row>
    <row r="11" spans="1:11" x14ac:dyDescent="0.25">
      <c r="A11" s="203"/>
      <c r="B11" s="4" t="s">
        <v>53</v>
      </c>
      <c r="C11" s="145">
        <v>0</v>
      </c>
      <c r="D11" s="145">
        <v>0.1</v>
      </c>
      <c r="E11" s="145">
        <v>1.5</v>
      </c>
      <c r="F11" s="145">
        <v>4</v>
      </c>
      <c r="G11" s="145">
        <v>12.1</v>
      </c>
      <c r="H11" s="145">
        <v>20</v>
      </c>
      <c r="I11" s="145">
        <v>20</v>
      </c>
      <c r="J11" s="145">
        <v>21.4</v>
      </c>
      <c r="K11" s="145">
        <v>79</v>
      </c>
    </row>
    <row r="12" spans="1:11" x14ac:dyDescent="0.25">
      <c r="A12" s="203"/>
      <c r="B12" s="4" t="s">
        <v>227</v>
      </c>
      <c r="C12" s="145">
        <v>0</v>
      </c>
      <c r="D12" s="145">
        <v>0.1</v>
      </c>
      <c r="E12" s="145">
        <v>1.3</v>
      </c>
      <c r="F12" s="145">
        <v>4.0999999999999996</v>
      </c>
      <c r="G12" s="145">
        <v>12</v>
      </c>
      <c r="H12" s="145">
        <v>19.8</v>
      </c>
      <c r="I12" s="145">
        <v>20.399999999999999</v>
      </c>
      <c r="J12" s="145">
        <v>20.399999999999999</v>
      </c>
      <c r="K12" s="145">
        <v>78.2</v>
      </c>
    </row>
    <row r="13" spans="1:11" x14ac:dyDescent="0.25">
      <c r="A13" s="203"/>
      <c r="B13" s="4" t="s">
        <v>289</v>
      </c>
      <c r="C13" s="145">
        <v>0</v>
      </c>
      <c r="D13" s="145">
        <v>0.5</v>
      </c>
      <c r="E13" s="145">
        <v>2.2999999999999998</v>
      </c>
      <c r="F13" s="145">
        <v>5.6</v>
      </c>
      <c r="G13" s="145">
        <v>10.3</v>
      </c>
      <c r="H13" s="145">
        <v>17.5</v>
      </c>
      <c r="I13" s="145">
        <v>23.5</v>
      </c>
      <c r="J13" s="145">
        <v>19.7</v>
      </c>
      <c r="K13" s="145">
        <v>79.5</v>
      </c>
    </row>
    <row r="14" spans="1:11" x14ac:dyDescent="0.25">
      <c r="A14" s="203" t="s">
        <v>24</v>
      </c>
      <c r="B14" s="4" t="s">
        <v>51</v>
      </c>
      <c r="C14" s="145">
        <v>0</v>
      </c>
      <c r="D14" s="145">
        <v>0</v>
      </c>
      <c r="E14" s="145">
        <v>0</v>
      </c>
      <c r="F14" s="145">
        <v>0</v>
      </c>
      <c r="G14" s="145">
        <v>0</v>
      </c>
      <c r="H14" s="145">
        <v>0</v>
      </c>
      <c r="I14" s="145">
        <v>0</v>
      </c>
      <c r="J14" s="145">
        <v>0</v>
      </c>
      <c r="K14" s="38">
        <v>0.3</v>
      </c>
    </row>
    <row r="15" spans="1:11" x14ac:dyDescent="0.25">
      <c r="A15" s="203"/>
      <c r="B15" s="4" t="s">
        <v>52</v>
      </c>
      <c r="C15" s="145">
        <v>0</v>
      </c>
      <c r="D15" s="145">
        <v>0</v>
      </c>
      <c r="E15" s="145">
        <v>0</v>
      </c>
      <c r="F15" s="145">
        <v>0</v>
      </c>
      <c r="G15" s="145">
        <v>0</v>
      </c>
      <c r="H15" s="145">
        <v>0</v>
      </c>
      <c r="I15" s="145">
        <v>0</v>
      </c>
      <c r="J15" s="145">
        <v>0</v>
      </c>
      <c r="K15" s="38">
        <v>0</v>
      </c>
    </row>
    <row r="16" spans="1:11" x14ac:dyDescent="0.25">
      <c r="A16" s="203"/>
      <c r="B16" s="4" t="s">
        <v>53</v>
      </c>
      <c r="C16" s="145">
        <v>0</v>
      </c>
      <c r="D16" s="145">
        <v>0</v>
      </c>
      <c r="E16" s="145">
        <v>0</v>
      </c>
      <c r="F16" s="145">
        <v>0</v>
      </c>
      <c r="G16" s="145">
        <v>0</v>
      </c>
      <c r="H16" s="145">
        <v>0</v>
      </c>
      <c r="I16" s="145">
        <v>0</v>
      </c>
      <c r="J16" s="145">
        <v>0</v>
      </c>
      <c r="K16" s="38">
        <v>0.1</v>
      </c>
    </row>
    <row r="17" spans="1:13" x14ac:dyDescent="0.25">
      <c r="A17" s="203"/>
      <c r="B17" s="4" t="s">
        <v>227</v>
      </c>
      <c r="C17" s="145">
        <v>0</v>
      </c>
      <c r="D17" s="145">
        <v>0</v>
      </c>
      <c r="E17" s="145">
        <v>0</v>
      </c>
      <c r="F17" s="145">
        <v>0</v>
      </c>
      <c r="G17" s="145">
        <v>0</v>
      </c>
      <c r="H17" s="145">
        <v>0</v>
      </c>
      <c r="I17" s="145">
        <v>0</v>
      </c>
      <c r="J17" s="145">
        <v>0</v>
      </c>
      <c r="K17" s="38">
        <v>0</v>
      </c>
    </row>
    <row r="18" spans="1:13" x14ac:dyDescent="0.25">
      <c r="A18" s="203"/>
      <c r="B18" s="4" t="s">
        <v>289</v>
      </c>
      <c r="C18" s="145">
        <v>0</v>
      </c>
      <c r="D18" s="145">
        <v>0</v>
      </c>
      <c r="E18" s="145">
        <v>0</v>
      </c>
      <c r="F18" s="145">
        <v>0</v>
      </c>
      <c r="G18" s="145">
        <v>0</v>
      </c>
      <c r="H18" s="145">
        <v>0</v>
      </c>
      <c r="I18" s="145">
        <v>0</v>
      </c>
      <c r="J18" s="145">
        <v>0</v>
      </c>
      <c r="K18" s="38">
        <v>0.1</v>
      </c>
    </row>
    <row r="19" spans="1:13" x14ac:dyDescent="0.25">
      <c r="A19" s="203" t="s">
        <v>12</v>
      </c>
      <c r="B19" s="4" t="s">
        <v>51</v>
      </c>
      <c r="C19" s="5">
        <v>0.1</v>
      </c>
      <c r="D19" s="5">
        <v>1.4</v>
      </c>
      <c r="E19" s="5">
        <v>7.4</v>
      </c>
      <c r="F19" s="5">
        <v>29.4</v>
      </c>
      <c r="G19" s="5">
        <v>76.5</v>
      </c>
      <c r="H19" s="5">
        <v>132.19999999999999</v>
      </c>
      <c r="I19" s="5">
        <v>180.1</v>
      </c>
      <c r="J19" s="5">
        <v>216.6</v>
      </c>
      <c r="K19" s="38">
        <v>643.79999999999995</v>
      </c>
    </row>
    <row r="20" spans="1:13" x14ac:dyDescent="0.25">
      <c r="A20" s="203"/>
      <c r="B20" s="4" t="s">
        <v>52</v>
      </c>
      <c r="C20" s="5">
        <v>0.2</v>
      </c>
      <c r="D20" s="5">
        <v>1.2</v>
      </c>
      <c r="E20" s="5">
        <v>9.6999999999999993</v>
      </c>
      <c r="F20" s="5">
        <v>32.5</v>
      </c>
      <c r="G20" s="5">
        <v>81.3</v>
      </c>
      <c r="H20" s="5">
        <v>144.69999999999999</v>
      </c>
      <c r="I20" s="5">
        <v>199.2</v>
      </c>
      <c r="J20" s="5">
        <v>231.2</v>
      </c>
      <c r="K20" s="38">
        <v>700</v>
      </c>
    </row>
    <row r="21" spans="1:13" x14ac:dyDescent="0.25">
      <c r="A21" s="203"/>
      <c r="B21" s="4" t="s">
        <v>53</v>
      </c>
      <c r="C21" s="5">
        <v>0.3</v>
      </c>
      <c r="D21" s="5">
        <v>1.9</v>
      </c>
      <c r="E21" s="5">
        <v>7.1</v>
      </c>
      <c r="F21" s="5">
        <v>32.5</v>
      </c>
      <c r="G21" s="5">
        <v>80.5</v>
      </c>
      <c r="H21" s="5">
        <v>148.6</v>
      </c>
      <c r="I21" s="5">
        <v>198.1</v>
      </c>
      <c r="J21" s="5">
        <v>244.4</v>
      </c>
      <c r="K21" s="38">
        <v>713.4</v>
      </c>
    </row>
    <row r="22" spans="1:13" x14ac:dyDescent="0.25">
      <c r="A22" s="203"/>
      <c r="B22" s="4" t="s">
        <v>227</v>
      </c>
      <c r="C22" s="5">
        <v>0.2</v>
      </c>
      <c r="D22" s="5">
        <v>1.9</v>
      </c>
      <c r="E22" s="5">
        <v>7.9</v>
      </c>
      <c r="F22" s="5">
        <v>30.3</v>
      </c>
      <c r="G22" s="5">
        <v>84.7</v>
      </c>
      <c r="H22" s="5">
        <v>139.30000000000001</v>
      </c>
      <c r="I22" s="5">
        <v>201</v>
      </c>
      <c r="J22" s="5">
        <v>246</v>
      </c>
      <c r="K22" s="38">
        <v>711.3</v>
      </c>
    </row>
    <row r="23" spans="1:13" x14ac:dyDescent="0.25">
      <c r="A23" s="2"/>
      <c r="B23" s="4" t="s">
        <v>289</v>
      </c>
      <c r="C23" s="5">
        <v>0</v>
      </c>
      <c r="D23" s="5">
        <v>1.2</v>
      </c>
      <c r="E23" s="5">
        <v>8.1</v>
      </c>
      <c r="F23" s="5">
        <v>31</v>
      </c>
      <c r="G23" s="5">
        <v>76.2</v>
      </c>
      <c r="H23" s="5">
        <v>155.30000000000001</v>
      </c>
      <c r="I23" s="5">
        <v>217.9</v>
      </c>
      <c r="J23" s="95">
        <v>244</v>
      </c>
      <c r="K23" s="124">
        <v>733.7</v>
      </c>
    </row>
    <row r="24" spans="1:13" s="10" customFormat="1" ht="11.1" customHeight="1" x14ac:dyDescent="0.2">
      <c r="A24" s="212" t="s">
        <v>13</v>
      </c>
      <c r="B24" s="212"/>
      <c r="C24" s="212"/>
      <c r="D24" s="212"/>
      <c r="E24" s="212"/>
      <c r="F24" s="212"/>
      <c r="G24" s="212"/>
      <c r="H24" s="212"/>
      <c r="I24" s="212"/>
      <c r="J24" s="212"/>
      <c r="K24" s="212"/>
    </row>
    <row r="25" spans="1:13" s="6" customFormat="1" ht="12.75" customHeight="1" x14ac:dyDescent="0.15">
      <c r="A25" s="6" t="s">
        <v>14</v>
      </c>
    </row>
    <row r="26" spans="1:13" s="6" customFormat="1" ht="15" customHeight="1" x14ac:dyDescent="0.15">
      <c r="A26" s="6" t="s">
        <v>18</v>
      </c>
    </row>
    <row r="27" spans="1:13" s="6" customFormat="1" ht="9.75" customHeight="1" x14ac:dyDescent="0.15">
      <c r="A27" s="6" t="s">
        <v>19</v>
      </c>
    </row>
    <row r="28" spans="1:13" s="6" customFormat="1" ht="11.1" customHeight="1" x14ac:dyDescent="0.15">
      <c r="A28" s="6" t="s">
        <v>54</v>
      </c>
    </row>
    <row r="29" spans="1:13" s="6" customFormat="1" ht="11.1" customHeight="1" x14ac:dyDescent="0.15">
      <c r="A29" s="6" t="s">
        <v>16</v>
      </c>
    </row>
    <row r="30" spans="1:13" s="6" customFormat="1" ht="11.1" customHeight="1" x14ac:dyDescent="0.15">
      <c r="A30" s="6" t="s">
        <v>271</v>
      </c>
    </row>
    <row r="31" spans="1:13" ht="12" customHeight="1" x14ac:dyDescent="0.25">
      <c r="A31" s="2"/>
    </row>
    <row r="32" spans="1:13" ht="27.95" customHeight="1" x14ac:dyDescent="0.25">
      <c r="A32" s="198" t="s">
        <v>292</v>
      </c>
      <c r="B32" s="198"/>
      <c r="C32" s="198"/>
      <c r="D32" s="198"/>
      <c r="E32" s="198"/>
      <c r="F32" s="198"/>
      <c r="G32" s="198"/>
      <c r="H32" s="198"/>
      <c r="I32" s="198"/>
      <c r="J32" s="198"/>
      <c r="K32" s="198"/>
      <c r="L32" s="198"/>
      <c r="M32" s="198"/>
    </row>
    <row r="33" spans="1:11" ht="0.75" customHeight="1" x14ac:dyDescent="0.25">
      <c r="A33" s="2"/>
    </row>
    <row r="34" spans="1:11" x14ac:dyDescent="0.25">
      <c r="A34" s="44" t="s">
        <v>188</v>
      </c>
      <c r="B34" s="44" t="s">
        <v>189</v>
      </c>
      <c r="C34" s="3">
        <v>10</v>
      </c>
      <c r="D34" s="3">
        <v>11</v>
      </c>
      <c r="E34" s="3">
        <v>12</v>
      </c>
      <c r="F34" s="3">
        <v>13</v>
      </c>
      <c r="G34" s="3">
        <v>14</v>
      </c>
      <c r="H34" s="3">
        <v>15</v>
      </c>
      <c r="I34" s="3">
        <v>16</v>
      </c>
      <c r="J34" s="3">
        <v>17</v>
      </c>
      <c r="K34" s="3" t="s">
        <v>10</v>
      </c>
    </row>
    <row r="35" spans="1:11" x14ac:dyDescent="0.25">
      <c r="A35" s="105" t="s">
        <v>21</v>
      </c>
      <c r="B35" s="4" t="s">
        <v>51</v>
      </c>
      <c r="C35" s="8">
        <v>5</v>
      </c>
      <c r="D35" s="8">
        <v>25</v>
      </c>
      <c r="E35" s="8">
        <v>66</v>
      </c>
      <c r="F35" s="8">
        <v>236</v>
      </c>
      <c r="G35" s="8">
        <v>454</v>
      </c>
      <c r="H35" s="8">
        <v>698</v>
      </c>
      <c r="I35" s="8">
        <v>818</v>
      </c>
      <c r="J35" s="8">
        <v>941</v>
      </c>
      <c r="K35" s="41">
        <v>3243</v>
      </c>
    </row>
    <row r="36" spans="1:11" x14ac:dyDescent="0.25">
      <c r="A36" s="105"/>
      <c r="B36" s="4" t="s">
        <v>52</v>
      </c>
      <c r="C36" s="8">
        <v>6</v>
      </c>
      <c r="D36" s="8">
        <v>20</v>
      </c>
      <c r="E36" s="8">
        <v>87</v>
      </c>
      <c r="F36" s="8">
        <v>217</v>
      </c>
      <c r="G36" s="8">
        <v>512</v>
      </c>
      <c r="H36" s="8">
        <v>662</v>
      </c>
      <c r="I36" s="8">
        <v>904</v>
      </c>
      <c r="J36" s="8">
        <v>905</v>
      </c>
      <c r="K36" s="41">
        <v>3313</v>
      </c>
    </row>
    <row r="37" spans="1:11" x14ac:dyDescent="0.25">
      <c r="A37" s="105"/>
      <c r="B37" s="4" t="s">
        <v>53</v>
      </c>
      <c r="C37" s="8">
        <v>10</v>
      </c>
      <c r="D37" s="8">
        <v>34</v>
      </c>
      <c r="E37" s="8">
        <v>108</v>
      </c>
      <c r="F37" s="8">
        <v>291</v>
      </c>
      <c r="G37" s="8">
        <v>512</v>
      </c>
      <c r="H37" s="8">
        <v>744</v>
      </c>
      <c r="I37" s="8">
        <v>865</v>
      </c>
      <c r="J37" s="8">
        <v>961</v>
      </c>
      <c r="K37" s="41">
        <v>3525</v>
      </c>
    </row>
    <row r="38" spans="1:11" x14ac:dyDescent="0.25">
      <c r="A38" s="105"/>
      <c r="B38" s="4" t="s">
        <v>227</v>
      </c>
      <c r="C38" s="8">
        <v>9</v>
      </c>
      <c r="D38" s="8">
        <v>19</v>
      </c>
      <c r="E38" s="8">
        <v>89</v>
      </c>
      <c r="F38" s="8">
        <v>264</v>
      </c>
      <c r="G38" s="8">
        <v>507</v>
      </c>
      <c r="H38" s="8">
        <v>766</v>
      </c>
      <c r="I38" s="8">
        <v>860</v>
      </c>
      <c r="J38" s="8">
        <v>933</v>
      </c>
      <c r="K38" s="41">
        <v>3447</v>
      </c>
    </row>
    <row r="39" spans="1:11" x14ac:dyDescent="0.25">
      <c r="A39" s="105"/>
      <c r="B39" s="4" t="s">
        <v>289</v>
      </c>
      <c r="C39" s="8">
        <v>2</v>
      </c>
      <c r="D39" s="8">
        <v>18</v>
      </c>
      <c r="E39" s="8">
        <v>88</v>
      </c>
      <c r="F39" s="8">
        <v>269</v>
      </c>
      <c r="G39" s="8">
        <v>533</v>
      </c>
      <c r="H39" s="8">
        <v>814</v>
      </c>
      <c r="I39" s="8">
        <v>881</v>
      </c>
      <c r="J39" s="8">
        <v>1010</v>
      </c>
      <c r="K39" s="41">
        <v>3615</v>
      </c>
    </row>
    <row r="40" spans="1:11" x14ac:dyDescent="0.25">
      <c r="A40" s="105" t="s">
        <v>25</v>
      </c>
      <c r="B40" s="4" t="s">
        <v>51</v>
      </c>
      <c r="C40" s="145">
        <v>0</v>
      </c>
      <c r="D40" s="8">
        <v>4</v>
      </c>
      <c r="E40" s="8">
        <v>27</v>
      </c>
      <c r="F40" s="8">
        <v>84</v>
      </c>
      <c r="G40" s="8">
        <v>154</v>
      </c>
      <c r="H40" s="8">
        <v>192</v>
      </c>
      <c r="I40" s="8">
        <v>154</v>
      </c>
      <c r="J40" s="8">
        <v>142</v>
      </c>
      <c r="K40" s="41">
        <v>757</v>
      </c>
    </row>
    <row r="41" spans="1:11" x14ac:dyDescent="0.25">
      <c r="A41" s="105"/>
      <c r="B41" s="4" t="s">
        <v>52</v>
      </c>
      <c r="C41" s="8">
        <v>1</v>
      </c>
      <c r="D41" s="8">
        <v>5</v>
      </c>
      <c r="E41" s="8">
        <v>45</v>
      </c>
      <c r="F41" s="8">
        <v>86</v>
      </c>
      <c r="G41" s="8">
        <v>162</v>
      </c>
      <c r="H41" s="8">
        <v>184</v>
      </c>
      <c r="I41" s="8">
        <v>169</v>
      </c>
      <c r="J41" s="8">
        <v>157</v>
      </c>
      <c r="K41" s="41">
        <v>809</v>
      </c>
    </row>
    <row r="42" spans="1:11" x14ac:dyDescent="0.25">
      <c r="A42" s="105"/>
      <c r="B42" s="4" t="s">
        <v>53</v>
      </c>
      <c r="C42" s="8">
        <v>5</v>
      </c>
      <c r="D42" s="8">
        <v>4</v>
      </c>
      <c r="E42" s="8">
        <v>46</v>
      </c>
      <c r="F42" s="8">
        <v>100</v>
      </c>
      <c r="G42" s="8">
        <v>169</v>
      </c>
      <c r="H42" s="8">
        <v>217</v>
      </c>
      <c r="I42" s="8">
        <v>175</v>
      </c>
      <c r="J42" s="8">
        <v>158</v>
      </c>
      <c r="K42" s="41">
        <v>874</v>
      </c>
    </row>
    <row r="43" spans="1:11" x14ac:dyDescent="0.25">
      <c r="A43" s="105"/>
      <c r="B43" s="4" t="s">
        <v>227</v>
      </c>
      <c r="C43" s="8">
        <v>3</v>
      </c>
      <c r="D43" s="8">
        <v>3</v>
      </c>
      <c r="E43" s="8">
        <v>37</v>
      </c>
      <c r="F43" s="8">
        <v>96</v>
      </c>
      <c r="G43" s="8">
        <v>188</v>
      </c>
      <c r="H43" s="8">
        <v>200</v>
      </c>
      <c r="I43" s="8">
        <v>203</v>
      </c>
      <c r="J43" s="8">
        <v>168</v>
      </c>
      <c r="K43" s="41">
        <v>898</v>
      </c>
    </row>
    <row r="44" spans="1:11" x14ac:dyDescent="0.25">
      <c r="A44" s="105"/>
      <c r="B44" s="4" t="s">
        <v>289</v>
      </c>
      <c r="C44" s="8">
        <v>1</v>
      </c>
      <c r="D44" s="8">
        <v>2</v>
      </c>
      <c r="E44" s="8">
        <v>30</v>
      </c>
      <c r="F44" s="8">
        <v>101</v>
      </c>
      <c r="G44" s="8">
        <v>161</v>
      </c>
      <c r="H44" s="8">
        <v>207</v>
      </c>
      <c r="I44" s="8">
        <v>211</v>
      </c>
      <c r="J44" s="8">
        <v>193</v>
      </c>
      <c r="K44" s="41">
        <v>906</v>
      </c>
    </row>
    <row r="45" spans="1:11" x14ac:dyDescent="0.25">
      <c r="A45" s="105" t="s">
        <v>24</v>
      </c>
      <c r="B45" s="4" t="s">
        <v>51</v>
      </c>
      <c r="C45" s="145">
        <v>0</v>
      </c>
      <c r="D45" s="145">
        <v>0</v>
      </c>
      <c r="E45" s="145">
        <v>0</v>
      </c>
      <c r="F45" s="145">
        <v>0</v>
      </c>
      <c r="G45" s="145">
        <v>0</v>
      </c>
      <c r="H45" s="8">
        <v>1</v>
      </c>
      <c r="I45" s="145">
        <v>0</v>
      </c>
      <c r="J45" s="145">
        <v>0</v>
      </c>
      <c r="K45" s="41">
        <v>1</v>
      </c>
    </row>
    <row r="46" spans="1:11" x14ac:dyDescent="0.25">
      <c r="A46" s="105"/>
      <c r="B46" s="4" t="s">
        <v>52</v>
      </c>
      <c r="C46" s="145">
        <v>0</v>
      </c>
      <c r="D46" s="145">
        <v>0</v>
      </c>
      <c r="E46" s="145">
        <v>0</v>
      </c>
      <c r="F46" s="145">
        <v>0</v>
      </c>
      <c r="G46" s="145">
        <v>0</v>
      </c>
      <c r="H46" s="8">
        <v>1</v>
      </c>
      <c r="I46" s="8">
        <v>1</v>
      </c>
      <c r="J46" s="145">
        <v>0</v>
      </c>
      <c r="K46" s="41">
        <v>2</v>
      </c>
    </row>
    <row r="47" spans="1:11" x14ac:dyDescent="0.25">
      <c r="A47" s="105"/>
      <c r="B47" s="4" t="s">
        <v>53</v>
      </c>
      <c r="C47" s="145">
        <v>0</v>
      </c>
      <c r="D47" s="8">
        <v>1</v>
      </c>
      <c r="E47" s="145">
        <v>0</v>
      </c>
      <c r="F47" s="8">
        <v>2</v>
      </c>
      <c r="G47" s="145">
        <v>0</v>
      </c>
      <c r="H47" s="145">
        <v>0</v>
      </c>
      <c r="I47" s="8">
        <v>1</v>
      </c>
      <c r="J47" s="8">
        <v>1</v>
      </c>
      <c r="K47" s="41">
        <v>5</v>
      </c>
    </row>
    <row r="48" spans="1:11" x14ac:dyDescent="0.25">
      <c r="A48" s="105"/>
      <c r="B48" s="4" t="s">
        <v>227</v>
      </c>
      <c r="C48" s="145">
        <v>0</v>
      </c>
      <c r="D48" s="145">
        <v>0</v>
      </c>
      <c r="E48" s="145">
        <v>0</v>
      </c>
      <c r="F48" s="145">
        <v>0</v>
      </c>
      <c r="G48" s="8">
        <v>2</v>
      </c>
      <c r="H48" s="8">
        <v>2</v>
      </c>
      <c r="I48" s="145">
        <v>0</v>
      </c>
      <c r="J48" s="8">
        <v>1</v>
      </c>
      <c r="K48" s="41">
        <v>5</v>
      </c>
    </row>
    <row r="49" spans="1:21" x14ac:dyDescent="0.25">
      <c r="A49" s="105"/>
      <c r="B49" s="4" t="s">
        <v>289</v>
      </c>
      <c r="C49" s="145">
        <v>0</v>
      </c>
      <c r="D49" s="145">
        <v>0</v>
      </c>
      <c r="E49" s="145">
        <v>0</v>
      </c>
      <c r="F49" s="145">
        <v>0</v>
      </c>
      <c r="G49" s="145">
        <v>0</v>
      </c>
      <c r="H49" s="8">
        <v>1</v>
      </c>
      <c r="I49" s="8">
        <v>1</v>
      </c>
      <c r="J49" s="145">
        <v>0</v>
      </c>
      <c r="K49" s="41">
        <v>2</v>
      </c>
    </row>
    <row r="50" spans="1:21" x14ac:dyDescent="0.25">
      <c r="A50" s="9" t="s">
        <v>12</v>
      </c>
      <c r="B50" s="4" t="s">
        <v>51</v>
      </c>
      <c r="C50" s="8">
        <v>5</v>
      </c>
      <c r="D50" s="8">
        <v>29</v>
      </c>
      <c r="E50" s="8">
        <v>93</v>
      </c>
      <c r="F50" s="8">
        <v>320</v>
      </c>
      <c r="G50" s="8">
        <v>608</v>
      </c>
      <c r="H50" s="8">
        <v>891</v>
      </c>
      <c r="I50" s="8">
        <v>972</v>
      </c>
      <c r="J50" s="8">
        <v>1083</v>
      </c>
      <c r="K50" s="41">
        <v>4001</v>
      </c>
    </row>
    <row r="51" spans="1:21" x14ac:dyDescent="0.25">
      <c r="A51" s="9"/>
      <c r="B51" s="4" t="s">
        <v>52</v>
      </c>
      <c r="C51" s="8">
        <v>7</v>
      </c>
      <c r="D51" s="8">
        <v>25</v>
      </c>
      <c r="E51" s="8">
        <v>132</v>
      </c>
      <c r="F51" s="8">
        <v>303</v>
      </c>
      <c r="G51" s="8">
        <v>674</v>
      </c>
      <c r="H51" s="8">
        <v>847</v>
      </c>
      <c r="I51" s="8">
        <v>1074</v>
      </c>
      <c r="J51" s="8">
        <v>1062</v>
      </c>
      <c r="K51" s="41">
        <v>4124</v>
      </c>
    </row>
    <row r="52" spans="1:21" x14ac:dyDescent="0.25">
      <c r="A52" s="9"/>
      <c r="B52" s="4" t="s">
        <v>53</v>
      </c>
      <c r="C52" s="8">
        <v>15</v>
      </c>
      <c r="D52" s="8">
        <v>39</v>
      </c>
      <c r="E52" s="8">
        <v>154</v>
      </c>
      <c r="F52" s="8">
        <v>393</v>
      </c>
      <c r="G52" s="8">
        <v>681</v>
      </c>
      <c r="H52" s="8">
        <v>961</v>
      </c>
      <c r="I52" s="8">
        <v>1041</v>
      </c>
      <c r="J52" s="8">
        <v>1120</v>
      </c>
      <c r="K52" s="41">
        <v>4404</v>
      </c>
    </row>
    <row r="53" spans="1:21" x14ac:dyDescent="0.25">
      <c r="A53" s="9"/>
      <c r="B53" s="4" t="s">
        <v>227</v>
      </c>
      <c r="C53" s="8">
        <v>12</v>
      </c>
      <c r="D53" s="8">
        <v>22</v>
      </c>
      <c r="E53" s="8">
        <v>126</v>
      </c>
      <c r="F53" s="8">
        <v>360</v>
      </c>
      <c r="G53" s="8">
        <v>697</v>
      </c>
      <c r="H53" s="8">
        <v>968</v>
      </c>
      <c r="I53" s="8">
        <v>1063</v>
      </c>
      <c r="J53" s="8">
        <v>1102</v>
      </c>
      <c r="K53" s="41">
        <v>4350</v>
      </c>
    </row>
    <row r="54" spans="1:21" x14ac:dyDescent="0.25">
      <c r="A54" s="9"/>
      <c r="B54" s="4" t="s">
        <v>289</v>
      </c>
      <c r="C54" s="8">
        <v>3</v>
      </c>
      <c r="D54" s="8">
        <v>20</v>
      </c>
      <c r="E54" s="8">
        <v>118</v>
      </c>
      <c r="F54" s="8">
        <v>370</v>
      </c>
      <c r="G54" s="8">
        <v>694</v>
      </c>
      <c r="H54" s="8">
        <v>1022</v>
      </c>
      <c r="I54" s="8">
        <v>1093</v>
      </c>
      <c r="J54" s="8">
        <v>1203</v>
      </c>
      <c r="K54" s="41">
        <v>4523</v>
      </c>
    </row>
    <row r="55" spans="1:21" ht="0.75" customHeight="1" x14ac:dyDescent="0.25">
      <c r="C55" s="1" t="s">
        <v>269</v>
      </c>
      <c r="D55" s="1" t="s">
        <v>269</v>
      </c>
      <c r="E55" s="1" t="s">
        <v>269</v>
      </c>
      <c r="F55" s="1" t="s">
        <v>269</v>
      </c>
      <c r="G55" s="1" t="s">
        <v>269</v>
      </c>
      <c r="H55" s="1" t="s">
        <v>269</v>
      </c>
      <c r="I55" s="1" t="s">
        <v>269</v>
      </c>
      <c r="J55" s="1" t="s">
        <v>269</v>
      </c>
      <c r="K55" s="1" t="s">
        <v>269</v>
      </c>
      <c r="M55" s="1" t="str">
        <f t="shared" ref="M55" si="0">IF(C55=0,"-",C55)</f>
        <v>-</v>
      </c>
      <c r="N55" s="1" t="str">
        <f t="shared" ref="N55" si="1">IF(D55=0,"-",D55)</f>
        <v>-</v>
      </c>
      <c r="O55" s="1" t="str">
        <f t="shared" ref="O55" si="2">IF(E55=0,"-",E55)</f>
        <v>-</v>
      </c>
      <c r="P55" s="1" t="str">
        <f t="shared" ref="P55" si="3">IF(F55=0,"-",F55)</f>
        <v>-</v>
      </c>
      <c r="Q55" s="1" t="str">
        <f t="shared" ref="Q55" si="4">IF(G55=0,"-",G55)</f>
        <v>-</v>
      </c>
      <c r="R55" s="1" t="str">
        <f t="shared" ref="R55" si="5">IF(H55=0,"-",H55)</f>
        <v>-</v>
      </c>
      <c r="S55" s="1" t="str">
        <f t="shared" ref="S55" si="6">IF(I55=0,"-",I55)</f>
        <v>-</v>
      </c>
      <c r="T55" s="1" t="str">
        <f t="shared" ref="T55" si="7">IF(J55=0,"-",J55)</f>
        <v>-</v>
      </c>
      <c r="U55" s="1" t="str">
        <f t="shared" ref="U55" si="8">IF(K55=0,"-",K55)</f>
        <v>-</v>
      </c>
    </row>
    <row r="56" spans="1:21" ht="10.5" customHeight="1" x14ac:dyDescent="0.25">
      <c r="A56" s="206" t="s">
        <v>18</v>
      </c>
      <c r="B56" s="206"/>
      <c r="C56" s="206"/>
      <c r="D56" s="206"/>
      <c r="E56" s="206"/>
      <c r="F56" s="206"/>
      <c r="G56" s="206"/>
      <c r="H56" s="206"/>
      <c r="I56" s="206"/>
      <c r="J56" s="206"/>
      <c r="K56" s="206"/>
      <c r="L56" s="202"/>
      <c r="M56" s="202"/>
    </row>
    <row r="57" spans="1:21" s="6" customFormat="1" ht="12.75" customHeight="1" x14ac:dyDescent="0.15">
      <c r="A57" s="199" t="s">
        <v>19</v>
      </c>
      <c r="B57" s="199"/>
      <c r="C57" s="199"/>
      <c r="D57" s="199"/>
      <c r="E57" s="199"/>
      <c r="F57" s="199"/>
      <c r="G57" s="199"/>
      <c r="H57" s="199"/>
      <c r="I57" s="199"/>
      <c r="J57" s="199"/>
      <c r="K57" s="199"/>
    </row>
    <row r="58" spans="1:21" s="6" customFormat="1" ht="11.1" customHeight="1" x14ac:dyDescent="0.15">
      <c r="A58" s="6" t="s">
        <v>54</v>
      </c>
    </row>
    <row r="59" spans="1:21" s="6" customFormat="1" ht="11.1" customHeight="1" x14ac:dyDescent="0.15">
      <c r="A59" s="6" t="s">
        <v>16</v>
      </c>
    </row>
    <row r="60" spans="1:21" s="6" customFormat="1" ht="11.1" customHeight="1" x14ac:dyDescent="0.15">
      <c r="A60" s="6" t="s">
        <v>271</v>
      </c>
    </row>
    <row r="61" spans="1:21" ht="12" customHeight="1" x14ac:dyDescent="0.25">
      <c r="A61" s="2"/>
    </row>
  </sheetData>
  <mergeCells count="9">
    <mergeCell ref="A57:K57"/>
    <mergeCell ref="A32:M32"/>
    <mergeCell ref="A24:K24"/>
    <mergeCell ref="A19:A22"/>
    <mergeCell ref="A1:K1"/>
    <mergeCell ref="A4:A8"/>
    <mergeCell ref="A9:A13"/>
    <mergeCell ref="A14:A18"/>
    <mergeCell ref="A56:M56"/>
  </mergeCells>
  <conditionalFormatting sqref="C40">
    <cfRule type="cellIs" dxfId="10" priority="5" operator="lessThan">
      <formula>0.05</formula>
    </cfRule>
  </conditionalFormatting>
  <conditionalFormatting sqref="C4:K22 C23:J23">
    <cfRule type="cellIs" dxfId="9" priority="7" operator="lessThan">
      <formula>0.05</formula>
    </cfRule>
  </conditionalFormatting>
  <conditionalFormatting sqref="C35:K39 D40:K40 C41:K44 H45 K45:K46 H46:I46 D47 F47 I47:K47 G48:H48 J48:K48 H49:I49 K49 C50:K54">
    <cfRule type="cellIs" dxfId="8" priority="6" operator="lessThanOrEqual">
      <formula>0</formula>
    </cfRule>
  </conditionalFormatting>
  <conditionalFormatting sqref="D45:G46 C45:C49 E47 G47:H47 D48:F49 G49">
    <cfRule type="cellIs" dxfId="7" priority="4" operator="lessThan">
      <formula>0.05</formula>
    </cfRule>
  </conditionalFormatting>
  <conditionalFormatting sqref="I48">
    <cfRule type="cellIs" dxfId="6" priority="2" operator="lessThan">
      <formula>0.05</formula>
    </cfRule>
  </conditionalFormatting>
  <conditionalFormatting sqref="I45:J45 J46">
    <cfRule type="cellIs" dxfId="5" priority="3" operator="lessThan">
      <formula>0.05</formula>
    </cfRule>
  </conditionalFormatting>
  <conditionalFormatting sqref="J49">
    <cfRule type="cellIs" dxfId="4" priority="1" operator="lessThan">
      <formula>0.05</formula>
    </cfRule>
  </conditionalFormatting>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53"/>
  <sheetViews>
    <sheetView zoomScaleNormal="100" workbookViewId="0">
      <selection activeCell="C13" sqref="C13"/>
    </sheetView>
  </sheetViews>
  <sheetFormatPr defaultColWidth="9.140625" defaultRowHeight="15" x14ac:dyDescent="0.25"/>
  <cols>
    <col min="1" max="11" width="11.42578125" style="1" bestFit="1" customWidth="1"/>
    <col min="12" max="16384" width="9.140625" style="1"/>
  </cols>
  <sheetData>
    <row r="1" spans="1:11" ht="27.95" customHeight="1" x14ac:dyDescent="0.25">
      <c r="A1" s="198" t="s">
        <v>294</v>
      </c>
      <c r="B1" s="198"/>
      <c r="C1" s="198"/>
      <c r="D1" s="198"/>
      <c r="E1" s="198"/>
      <c r="F1" s="198"/>
      <c r="G1" s="198"/>
      <c r="H1" s="198"/>
      <c r="I1" s="198"/>
      <c r="J1" s="198"/>
      <c r="K1" s="198"/>
    </row>
    <row r="2" spans="1:11" ht="4.5" customHeight="1" x14ac:dyDescent="0.25">
      <c r="A2" s="2"/>
    </row>
    <row r="3" spans="1:11" x14ac:dyDescent="0.25">
      <c r="A3" s="44" t="s">
        <v>188</v>
      </c>
      <c r="B3" s="44" t="s">
        <v>189</v>
      </c>
      <c r="C3" s="3">
        <v>10</v>
      </c>
      <c r="D3" s="3">
        <v>11</v>
      </c>
      <c r="E3" s="3">
        <v>12</v>
      </c>
      <c r="F3" s="3">
        <v>13</v>
      </c>
      <c r="G3" s="3">
        <v>14</v>
      </c>
      <c r="H3" s="3">
        <v>15</v>
      </c>
      <c r="I3" s="3">
        <v>16</v>
      </c>
      <c r="J3" s="3">
        <v>17</v>
      </c>
      <c r="K3" s="140" t="s">
        <v>10</v>
      </c>
    </row>
    <row r="4" spans="1:11" x14ac:dyDescent="0.25">
      <c r="A4" s="205" t="s">
        <v>21</v>
      </c>
      <c r="B4" s="4" t="s">
        <v>51</v>
      </c>
      <c r="C4" s="145">
        <v>7.0000000000000001E-3</v>
      </c>
      <c r="D4" s="145">
        <v>0.08</v>
      </c>
      <c r="E4" s="145">
        <v>0.36599999999999999</v>
      </c>
      <c r="F4" s="145">
        <v>1.4430000000000001</v>
      </c>
      <c r="G4" s="145">
        <v>4.0540000000000003</v>
      </c>
      <c r="H4" s="145">
        <v>7.3220000000000001</v>
      </c>
      <c r="I4" s="145">
        <v>10.9</v>
      </c>
      <c r="J4" s="145">
        <v>13.458</v>
      </c>
      <c r="K4" s="145">
        <v>4.4909999999999997</v>
      </c>
    </row>
    <row r="5" spans="1:11" x14ac:dyDescent="0.25">
      <c r="A5" s="205"/>
      <c r="B5" s="4" t="s">
        <v>52</v>
      </c>
      <c r="C5" s="145">
        <v>0.01</v>
      </c>
      <c r="D5" s="145">
        <v>6.8000000000000005E-2</v>
      </c>
      <c r="E5" s="145">
        <v>0.45900000000000002</v>
      </c>
      <c r="F5" s="145">
        <v>1.5629999999999999</v>
      </c>
      <c r="G5" s="145">
        <v>4.1749999999999998</v>
      </c>
      <c r="H5" s="145">
        <v>7.9219999999999997</v>
      </c>
      <c r="I5" s="145">
        <v>11.339</v>
      </c>
      <c r="J5" s="145">
        <v>14.038</v>
      </c>
      <c r="K5" s="145">
        <v>4.7729999999999997</v>
      </c>
    </row>
    <row r="6" spans="1:11" x14ac:dyDescent="0.25">
      <c r="A6" s="205"/>
      <c r="B6" s="4" t="s">
        <v>53</v>
      </c>
      <c r="C6" s="145">
        <v>1.7000000000000001E-2</v>
      </c>
      <c r="D6" s="145">
        <v>0.107</v>
      </c>
      <c r="E6" s="145">
        <v>0.32900000000000001</v>
      </c>
      <c r="F6" s="145">
        <v>1.6839999999999999</v>
      </c>
      <c r="G6" s="145">
        <v>4.0460000000000003</v>
      </c>
      <c r="H6" s="145">
        <v>7.6429999999999998</v>
      </c>
      <c r="I6" s="145">
        <v>10.853999999999999</v>
      </c>
      <c r="J6" s="145">
        <v>14.07</v>
      </c>
      <c r="K6" s="145">
        <v>4.7430000000000003</v>
      </c>
    </row>
    <row r="7" spans="1:11" x14ac:dyDescent="0.25">
      <c r="A7" s="205"/>
      <c r="B7" s="4" t="s">
        <v>227</v>
      </c>
      <c r="C7" s="145">
        <v>8.0000000000000002E-3</v>
      </c>
      <c r="D7" s="145">
        <v>0.113</v>
      </c>
      <c r="E7" s="145">
        <v>0.38600000000000001</v>
      </c>
      <c r="F7" s="145">
        <v>1.532</v>
      </c>
      <c r="G7" s="145">
        <v>4.24</v>
      </c>
      <c r="H7" s="145">
        <v>6.9930000000000003</v>
      </c>
      <c r="I7" s="145">
        <v>10.606999999999999</v>
      </c>
      <c r="J7" s="145">
        <v>13.519</v>
      </c>
      <c r="K7" s="145">
        <v>4.6740000000000004</v>
      </c>
    </row>
    <row r="8" spans="1:11" x14ac:dyDescent="0.25">
      <c r="A8" s="205"/>
      <c r="B8" s="4" t="s">
        <v>289</v>
      </c>
      <c r="C8" s="145">
        <v>1E-3</v>
      </c>
      <c r="D8" s="145">
        <v>4.2000000000000003E-2</v>
      </c>
      <c r="E8" s="145">
        <v>0.33800000000000002</v>
      </c>
      <c r="F8" s="145">
        <v>1.4710000000000001</v>
      </c>
      <c r="G8" s="145">
        <v>3.81</v>
      </c>
      <c r="H8" s="145">
        <v>7.9589999999999996</v>
      </c>
      <c r="I8" s="145">
        <v>11.257</v>
      </c>
      <c r="J8" s="145">
        <v>12.994</v>
      </c>
      <c r="K8" s="145">
        <v>4.7569999999999997</v>
      </c>
    </row>
    <row r="9" spans="1:11" x14ac:dyDescent="0.25">
      <c r="A9" s="205" t="s">
        <v>25</v>
      </c>
      <c r="B9" s="4" t="s">
        <v>51</v>
      </c>
      <c r="C9" s="145" t="s">
        <v>269</v>
      </c>
      <c r="D9" s="145">
        <v>7.0000000000000001E-3</v>
      </c>
      <c r="E9" s="145">
        <v>7.9000000000000001E-2</v>
      </c>
      <c r="F9" s="145">
        <v>0.35099999999999998</v>
      </c>
      <c r="G9" s="145">
        <v>0.71599999999999997</v>
      </c>
      <c r="H9" s="145">
        <v>1.2150000000000001</v>
      </c>
      <c r="I9" s="145">
        <v>1.022</v>
      </c>
      <c r="J9" s="145">
        <v>1.1120000000000001</v>
      </c>
      <c r="K9" s="145">
        <v>0.54200000000000004</v>
      </c>
    </row>
    <row r="10" spans="1:11" x14ac:dyDescent="0.25">
      <c r="A10" s="205"/>
      <c r="B10" s="4" t="s">
        <v>52</v>
      </c>
      <c r="C10" s="145">
        <v>2E-3</v>
      </c>
      <c r="D10" s="145">
        <v>5.0000000000000001E-3</v>
      </c>
      <c r="E10" s="145">
        <v>0.124</v>
      </c>
      <c r="F10" s="145">
        <v>0.39800000000000002</v>
      </c>
      <c r="G10" s="145">
        <v>0.751</v>
      </c>
      <c r="H10" s="145">
        <v>1.0429999999999999</v>
      </c>
      <c r="I10" s="145">
        <v>1.4870000000000001</v>
      </c>
      <c r="J10" s="145">
        <v>1.2210000000000001</v>
      </c>
      <c r="K10" s="145">
        <v>0.61</v>
      </c>
    </row>
    <row r="11" spans="1:11" x14ac:dyDescent="0.25">
      <c r="A11" s="205"/>
      <c r="B11" s="4" t="s">
        <v>53</v>
      </c>
      <c r="C11" s="145">
        <v>2E-3</v>
      </c>
      <c r="D11" s="145">
        <v>6.0000000000000001E-3</v>
      </c>
      <c r="E11" s="145">
        <v>9.2999999999999999E-2</v>
      </c>
      <c r="F11" s="145">
        <v>0.247</v>
      </c>
      <c r="G11" s="145">
        <v>0.75900000000000001</v>
      </c>
      <c r="H11" s="145">
        <v>1.2669999999999999</v>
      </c>
      <c r="I11" s="145">
        <v>1.294</v>
      </c>
      <c r="J11" s="145">
        <v>1.4359999999999999</v>
      </c>
      <c r="K11" s="145">
        <v>0.626</v>
      </c>
    </row>
    <row r="12" spans="1:11" x14ac:dyDescent="0.25">
      <c r="A12" s="205"/>
      <c r="B12" s="4" t="s">
        <v>227</v>
      </c>
      <c r="C12" s="145">
        <v>2E-3</v>
      </c>
      <c r="D12" s="145">
        <v>3.0000000000000001E-3</v>
      </c>
      <c r="E12" s="145">
        <v>7.9000000000000001E-2</v>
      </c>
      <c r="F12" s="145">
        <v>0.252</v>
      </c>
      <c r="G12" s="145">
        <v>0.74199999999999999</v>
      </c>
      <c r="H12" s="145">
        <v>1.2310000000000001</v>
      </c>
      <c r="I12" s="145">
        <v>1.272</v>
      </c>
      <c r="J12" s="145">
        <v>1.302</v>
      </c>
      <c r="K12" s="145">
        <v>0.61099999999999999</v>
      </c>
    </row>
    <row r="13" spans="1:11" x14ac:dyDescent="0.25">
      <c r="A13" s="205"/>
      <c r="B13" s="4" t="s">
        <v>289</v>
      </c>
      <c r="C13" s="145">
        <v>0</v>
      </c>
      <c r="D13" s="145">
        <v>3.3000000000000002E-2</v>
      </c>
      <c r="E13" s="145">
        <v>0.13900000000000001</v>
      </c>
      <c r="F13" s="145">
        <v>0.34399999999999997</v>
      </c>
      <c r="G13" s="145">
        <v>0.63200000000000001</v>
      </c>
      <c r="H13" s="145">
        <v>1.07</v>
      </c>
      <c r="I13" s="145">
        <v>1.4419999999999999</v>
      </c>
      <c r="J13" s="145">
        <v>1.21</v>
      </c>
      <c r="K13" s="145">
        <v>0.61199999999999999</v>
      </c>
    </row>
    <row r="14" spans="1:11" x14ac:dyDescent="0.25">
      <c r="A14" s="205" t="s">
        <v>12</v>
      </c>
      <c r="B14" s="4" t="s">
        <v>51</v>
      </c>
      <c r="C14" s="145">
        <v>4.0000000000000001E-3</v>
      </c>
      <c r="D14" s="145">
        <v>4.3999999999999997E-2</v>
      </c>
      <c r="E14" s="145">
        <v>0.22700000000000001</v>
      </c>
      <c r="F14" s="145">
        <v>0.91400000000000003</v>
      </c>
      <c r="G14" s="145">
        <v>2.4369999999999998</v>
      </c>
      <c r="H14" s="145">
        <v>4.3739999999999997</v>
      </c>
      <c r="I14" s="145">
        <v>6.1210000000000004</v>
      </c>
      <c r="J14" s="145">
        <v>7.4630000000000001</v>
      </c>
      <c r="K14" s="145">
        <v>2.5760000000000001</v>
      </c>
    </row>
    <row r="15" spans="1:11" x14ac:dyDescent="0.25">
      <c r="A15" s="205"/>
      <c r="B15" s="4" t="s">
        <v>52</v>
      </c>
      <c r="C15" s="145">
        <v>6.0000000000000001E-3</v>
      </c>
      <c r="D15" s="145">
        <v>3.6999999999999998E-2</v>
      </c>
      <c r="E15" s="145">
        <v>0.29599999999999999</v>
      </c>
      <c r="F15" s="145">
        <v>0.998</v>
      </c>
      <c r="G15" s="145">
        <v>2.516</v>
      </c>
      <c r="H15" s="145">
        <v>4.5910000000000002</v>
      </c>
      <c r="I15" s="145">
        <v>6.57</v>
      </c>
      <c r="J15" s="145">
        <v>7.8369999999999997</v>
      </c>
      <c r="K15" s="145">
        <v>2.7530000000000001</v>
      </c>
    </row>
    <row r="16" spans="1:11" x14ac:dyDescent="0.25">
      <c r="A16" s="205"/>
      <c r="B16" s="4" t="s">
        <v>53</v>
      </c>
      <c r="C16" s="145">
        <v>0.01</v>
      </c>
      <c r="D16" s="145">
        <v>5.8000000000000003E-2</v>
      </c>
      <c r="E16" s="145">
        <v>0.214</v>
      </c>
      <c r="F16" s="145">
        <v>0.98599999999999999</v>
      </c>
      <c r="G16" s="145">
        <v>2.4510000000000001</v>
      </c>
      <c r="H16" s="145">
        <v>4.5519999999999996</v>
      </c>
      <c r="I16" s="145">
        <v>6.2229999999999999</v>
      </c>
      <c r="J16" s="145">
        <v>7.9530000000000003</v>
      </c>
      <c r="K16" s="145">
        <v>2.7450000000000001</v>
      </c>
    </row>
    <row r="17" spans="1:11" x14ac:dyDescent="0.25">
      <c r="A17" s="205"/>
      <c r="B17" s="4" t="s">
        <v>227</v>
      </c>
      <c r="C17" s="145">
        <v>5.0000000000000001E-3</v>
      </c>
      <c r="D17" s="145">
        <v>0.06</v>
      </c>
      <c r="E17" s="145">
        <v>0.23699999999999999</v>
      </c>
      <c r="F17" s="145">
        <v>0.90900000000000003</v>
      </c>
      <c r="G17" s="145">
        <v>2.54</v>
      </c>
      <c r="H17" s="145">
        <v>4.1950000000000003</v>
      </c>
      <c r="I17" s="145">
        <v>6.08</v>
      </c>
      <c r="J17" s="145">
        <v>7.5990000000000002</v>
      </c>
      <c r="K17" s="145">
        <v>2.7010000000000001</v>
      </c>
    </row>
    <row r="18" spans="1:11" x14ac:dyDescent="0.25">
      <c r="A18" s="205"/>
      <c r="B18" s="4" t="s">
        <v>289</v>
      </c>
      <c r="C18" s="145">
        <v>1E-3</v>
      </c>
      <c r="D18" s="145">
        <v>3.7999999999999999E-2</v>
      </c>
      <c r="E18" s="145">
        <v>0.24099999999999999</v>
      </c>
      <c r="F18" s="145">
        <v>0.92300000000000004</v>
      </c>
      <c r="G18" s="145">
        <v>2.2639999999999998</v>
      </c>
      <c r="H18" s="145">
        <v>4.6100000000000003</v>
      </c>
      <c r="I18" s="145">
        <v>6.49</v>
      </c>
      <c r="J18" s="145">
        <v>7.2789999999999999</v>
      </c>
      <c r="K18" s="145">
        <v>2.7440000000000002</v>
      </c>
    </row>
    <row r="19" spans="1:11" ht="12" customHeight="1" x14ac:dyDescent="0.25">
      <c r="A19" s="2"/>
    </row>
    <row r="20" spans="1:11" ht="11.1" customHeight="1" x14ac:dyDescent="0.25">
      <c r="A20" s="206" t="s">
        <v>18</v>
      </c>
      <c r="B20" s="206"/>
      <c r="C20" s="206"/>
      <c r="D20" s="206"/>
      <c r="E20" s="206"/>
      <c r="F20" s="206"/>
      <c r="G20" s="206"/>
      <c r="H20" s="206"/>
      <c r="I20" s="206"/>
      <c r="J20" s="206"/>
      <c r="K20" s="206"/>
    </row>
    <row r="21" spans="1:11" s="6" customFormat="1" ht="20.25" customHeight="1" x14ac:dyDescent="0.15">
      <c r="A21" s="199" t="s">
        <v>48</v>
      </c>
      <c r="B21" s="199"/>
      <c r="C21" s="199"/>
      <c r="D21" s="199"/>
      <c r="E21" s="199"/>
      <c r="F21" s="199"/>
      <c r="G21" s="199"/>
      <c r="H21" s="199"/>
      <c r="I21" s="199"/>
      <c r="J21" s="199"/>
      <c r="K21" s="199"/>
    </row>
    <row r="22" spans="1:11" s="6" customFormat="1" ht="11.1" customHeight="1" x14ac:dyDescent="0.15">
      <c r="A22" s="6" t="s">
        <v>54</v>
      </c>
    </row>
    <row r="23" spans="1:11" s="6" customFormat="1" ht="11.1" customHeight="1" x14ac:dyDescent="0.15">
      <c r="A23" s="6" t="s">
        <v>38</v>
      </c>
    </row>
    <row r="24" spans="1:11" s="6" customFormat="1" ht="11.1" customHeight="1" x14ac:dyDescent="0.15">
      <c r="A24" s="6" t="s">
        <v>16</v>
      </c>
    </row>
    <row r="25" spans="1:11" s="6" customFormat="1" ht="11.1" customHeight="1" x14ac:dyDescent="0.15">
      <c r="A25" s="6" t="s">
        <v>253</v>
      </c>
    </row>
    <row r="26" spans="1:11" ht="12" customHeight="1" x14ac:dyDescent="0.25">
      <c r="A26" s="2"/>
    </row>
    <row r="27" spans="1:11" ht="27.95" customHeight="1" x14ac:dyDescent="0.25">
      <c r="A27" s="198" t="s">
        <v>293</v>
      </c>
      <c r="B27" s="198"/>
      <c r="C27" s="198"/>
      <c r="D27" s="198"/>
      <c r="E27" s="198"/>
      <c r="F27" s="198"/>
      <c r="G27" s="198"/>
      <c r="H27" s="198"/>
      <c r="I27" s="198"/>
      <c r="J27" s="198"/>
      <c r="K27" s="198"/>
    </row>
    <row r="28" spans="1:11" ht="1.5" customHeight="1" x14ac:dyDescent="0.25">
      <c r="A28" s="2"/>
    </row>
    <row r="29" spans="1:11" x14ac:dyDescent="0.25">
      <c r="A29" s="44" t="s">
        <v>188</v>
      </c>
      <c r="B29" s="44" t="s">
        <v>189</v>
      </c>
      <c r="C29" s="3">
        <v>10</v>
      </c>
      <c r="D29" s="3">
        <v>11</v>
      </c>
      <c r="E29" s="3">
        <v>12</v>
      </c>
      <c r="F29" s="3">
        <v>13</v>
      </c>
      <c r="G29" s="3">
        <v>14</v>
      </c>
      <c r="H29" s="3">
        <v>15</v>
      </c>
      <c r="I29" s="3">
        <v>16</v>
      </c>
      <c r="J29" s="3">
        <v>17</v>
      </c>
      <c r="K29" s="140" t="s">
        <v>10</v>
      </c>
    </row>
    <row r="30" spans="1:11" x14ac:dyDescent="0.25">
      <c r="A30" s="205" t="s">
        <v>21</v>
      </c>
      <c r="B30" s="4" t="s">
        <v>51</v>
      </c>
      <c r="C30" s="145">
        <v>0.29899999999999999</v>
      </c>
      <c r="D30" s="145">
        <v>1.4930000000000001</v>
      </c>
      <c r="E30" s="145">
        <v>3.9580000000000002</v>
      </c>
      <c r="F30" s="145">
        <v>14.218</v>
      </c>
      <c r="G30" s="145">
        <v>28.036000000000001</v>
      </c>
      <c r="H30" s="145">
        <v>44.75</v>
      </c>
      <c r="I30" s="145">
        <v>53.853999999999999</v>
      </c>
      <c r="J30" s="145">
        <v>63.04</v>
      </c>
      <c r="K30" s="145">
        <v>25.206</v>
      </c>
    </row>
    <row r="31" spans="1:11" x14ac:dyDescent="0.25">
      <c r="A31" s="205"/>
      <c r="B31" s="4" t="s">
        <v>52</v>
      </c>
      <c r="C31" s="145">
        <v>0.35799999999999998</v>
      </c>
      <c r="D31" s="145">
        <v>1.1910000000000001</v>
      </c>
      <c r="E31" s="145">
        <v>5.173</v>
      </c>
      <c r="F31" s="145">
        <v>12.958</v>
      </c>
      <c r="G31" s="145">
        <v>30.721</v>
      </c>
      <c r="H31" s="145">
        <v>40.728000000000002</v>
      </c>
      <c r="I31" s="145">
        <v>57.771999999999998</v>
      </c>
      <c r="J31" s="145">
        <v>59.436999999999998</v>
      </c>
      <c r="K31" s="145">
        <v>25.312000000000001</v>
      </c>
    </row>
    <row r="32" spans="1:11" x14ac:dyDescent="0.25">
      <c r="A32" s="205"/>
      <c r="B32" s="4" t="s">
        <v>53</v>
      </c>
      <c r="C32" s="145">
        <v>0.58899999999999997</v>
      </c>
      <c r="D32" s="145">
        <v>2.0129999999999999</v>
      </c>
      <c r="E32" s="145">
        <v>6.3780000000000001</v>
      </c>
      <c r="F32" s="145">
        <v>17.164000000000001</v>
      </c>
      <c r="G32" s="145">
        <v>30.309000000000001</v>
      </c>
      <c r="H32" s="145">
        <v>44.225999999999999</v>
      </c>
      <c r="I32" s="145">
        <v>52.710999999999999</v>
      </c>
      <c r="J32" s="145">
        <v>60.622999999999998</v>
      </c>
      <c r="K32" s="145">
        <v>26.359000000000002</v>
      </c>
    </row>
    <row r="33" spans="1:11" x14ac:dyDescent="0.25">
      <c r="A33" s="205"/>
      <c r="B33" s="4" t="s">
        <v>227</v>
      </c>
      <c r="C33" s="145">
        <v>0.54100000000000004</v>
      </c>
      <c r="D33" s="145">
        <v>1.1379999999999999</v>
      </c>
      <c r="E33" s="145">
        <v>5.2089999999999996</v>
      </c>
      <c r="F33" s="145">
        <v>15.430999999999999</v>
      </c>
      <c r="G33" s="145">
        <v>29.594000000000001</v>
      </c>
      <c r="H33" s="145">
        <v>44.835999999999999</v>
      </c>
      <c r="I33" s="145">
        <v>50.505000000000003</v>
      </c>
      <c r="J33" s="145">
        <v>55.917999999999999</v>
      </c>
      <c r="K33" s="145">
        <v>25.448</v>
      </c>
    </row>
    <row r="34" spans="1:11" x14ac:dyDescent="0.25">
      <c r="A34" s="205"/>
      <c r="B34" s="4" t="s">
        <v>289</v>
      </c>
      <c r="C34" s="145">
        <v>3.6999999999999998E-2</v>
      </c>
      <c r="D34" s="145">
        <v>1.06</v>
      </c>
      <c r="E34" s="145">
        <v>5.0709999999999997</v>
      </c>
      <c r="F34" s="145">
        <v>15.589</v>
      </c>
      <c r="G34" s="145">
        <v>30.861000000000001</v>
      </c>
      <c r="H34" s="145">
        <v>47.033999999999999</v>
      </c>
      <c r="I34" s="145">
        <v>51.02</v>
      </c>
      <c r="J34" s="145">
        <v>58.512</v>
      </c>
      <c r="K34" s="145">
        <v>26.289000000000001</v>
      </c>
    </row>
    <row r="35" spans="1:11" x14ac:dyDescent="0.25">
      <c r="A35" s="205" t="s">
        <v>25</v>
      </c>
      <c r="B35" s="4" t="s">
        <v>51</v>
      </c>
      <c r="C35" s="145">
        <v>3.6999999999999998E-2</v>
      </c>
      <c r="D35" s="145">
        <v>3.6999999999999998E-2</v>
      </c>
      <c r="E35" s="145">
        <v>1.7150000000000001</v>
      </c>
      <c r="F35" s="145">
        <v>5.3760000000000003</v>
      </c>
      <c r="G35" s="145">
        <v>10.121</v>
      </c>
      <c r="H35" s="145">
        <v>13.117000000000001</v>
      </c>
      <c r="I35" s="145">
        <v>10.819000000000001</v>
      </c>
      <c r="J35" s="145">
        <v>10.077999999999999</v>
      </c>
      <c r="K35" s="145">
        <v>6.2439999999999998</v>
      </c>
    </row>
    <row r="36" spans="1:11" x14ac:dyDescent="0.25">
      <c r="A36" s="205"/>
      <c r="B36" s="4" t="s">
        <v>52</v>
      </c>
      <c r="C36" s="145">
        <v>3.6999999999999998E-2</v>
      </c>
      <c r="D36" s="145">
        <v>0.314</v>
      </c>
      <c r="E36" s="145">
        <v>2.83</v>
      </c>
      <c r="F36" s="145">
        <v>5.4450000000000003</v>
      </c>
      <c r="G36" s="145">
        <v>10.336</v>
      </c>
      <c r="H36" s="145">
        <v>12.057</v>
      </c>
      <c r="I36" s="145">
        <v>11.510999999999999</v>
      </c>
      <c r="J36" s="145">
        <v>11.002000000000001</v>
      </c>
      <c r="K36" s="145">
        <v>6.5579999999999998</v>
      </c>
    </row>
    <row r="37" spans="1:11" x14ac:dyDescent="0.25">
      <c r="A37" s="205"/>
      <c r="B37" s="4" t="s">
        <v>53</v>
      </c>
      <c r="C37" s="145">
        <v>0.312</v>
      </c>
      <c r="D37" s="145">
        <v>3.6999999999999998E-2</v>
      </c>
      <c r="E37" s="145">
        <v>2.8660000000000001</v>
      </c>
      <c r="F37" s="145">
        <v>6.2359999999999998</v>
      </c>
      <c r="G37" s="145">
        <v>10.606999999999999</v>
      </c>
      <c r="H37" s="145">
        <v>13.714</v>
      </c>
      <c r="I37" s="145">
        <v>11.35</v>
      </c>
      <c r="J37" s="145">
        <v>10.615</v>
      </c>
      <c r="K37" s="145">
        <v>6.9260000000000002</v>
      </c>
    </row>
    <row r="38" spans="1:11" x14ac:dyDescent="0.25">
      <c r="A38" s="205"/>
      <c r="B38" s="4" t="s">
        <v>227</v>
      </c>
      <c r="C38" s="145">
        <v>3.6999999999999998E-2</v>
      </c>
      <c r="D38" s="145">
        <v>3.6999999999999998E-2</v>
      </c>
      <c r="E38" s="145">
        <v>2.2850000000000001</v>
      </c>
      <c r="F38" s="145">
        <v>5.9210000000000003</v>
      </c>
      <c r="G38" s="145">
        <v>11.6</v>
      </c>
      <c r="H38" s="145">
        <v>12.4</v>
      </c>
      <c r="I38" s="145">
        <v>12.663</v>
      </c>
      <c r="J38" s="145">
        <v>10.709</v>
      </c>
      <c r="K38" s="145">
        <v>7.0209999999999999</v>
      </c>
    </row>
    <row r="39" spans="1:11" x14ac:dyDescent="0.25">
      <c r="A39" s="205"/>
      <c r="B39" s="4" t="s">
        <v>289</v>
      </c>
      <c r="C39" s="145">
        <v>3.6999999999999998E-2</v>
      </c>
      <c r="D39" s="145">
        <v>3.6999999999999998E-2</v>
      </c>
      <c r="E39" s="145">
        <v>1.829</v>
      </c>
      <c r="F39" s="145">
        <v>6.1779999999999999</v>
      </c>
      <c r="G39" s="145">
        <v>9.8369999999999997</v>
      </c>
      <c r="H39" s="145">
        <v>12.641999999999999</v>
      </c>
      <c r="I39" s="145">
        <v>12.936</v>
      </c>
      <c r="J39" s="145">
        <v>11.872999999999999</v>
      </c>
      <c r="K39" s="145">
        <v>6.9729999999999999</v>
      </c>
    </row>
    <row r="40" spans="1:11" x14ac:dyDescent="0.25">
      <c r="A40" s="205" t="s">
        <v>12</v>
      </c>
      <c r="B40" s="4" t="s">
        <v>51</v>
      </c>
      <c r="C40" s="145">
        <v>0.153</v>
      </c>
      <c r="D40" s="145">
        <v>0.89</v>
      </c>
      <c r="E40" s="145">
        <v>2.8690000000000002</v>
      </c>
      <c r="F40" s="145">
        <v>9.93</v>
      </c>
      <c r="G40" s="145">
        <v>19.356999999999999</v>
      </c>
      <c r="H40" s="145">
        <v>29.469000000000001</v>
      </c>
      <c r="I40" s="145">
        <v>33.034999999999997</v>
      </c>
      <c r="J40" s="145">
        <v>37.323</v>
      </c>
      <c r="K40" s="145">
        <v>16.010999999999999</v>
      </c>
    </row>
    <row r="41" spans="1:11" x14ac:dyDescent="0.25">
      <c r="A41" s="205"/>
      <c r="B41" s="4" t="s">
        <v>52</v>
      </c>
      <c r="C41" s="145">
        <v>0.215</v>
      </c>
      <c r="D41" s="145">
        <v>0.76500000000000001</v>
      </c>
      <c r="E41" s="145">
        <v>4.0339999999999998</v>
      </c>
      <c r="F41" s="145">
        <v>9.3109999999999999</v>
      </c>
      <c r="G41" s="145">
        <v>20.841999999999999</v>
      </c>
      <c r="H41" s="145">
        <v>26.876999999999999</v>
      </c>
      <c r="I41" s="145">
        <v>35.411999999999999</v>
      </c>
      <c r="J41" s="145">
        <v>36.003999999999998</v>
      </c>
      <c r="K41" s="145">
        <v>16.221</v>
      </c>
    </row>
    <row r="42" spans="1:11" x14ac:dyDescent="0.25">
      <c r="A42" s="205"/>
      <c r="B42" s="4" t="s">
        <v>53</v>
      </c>
      <c r="C42" s="145">
        <v>0.45400000000000001</v>
      </c>
      <c r="D42" s="145">
        <v>1.1850000000000001</v>
      </c>
      <c r="E42" s="145">
        <v>4.6689999999999996</v>
      </c>
      <c r="F42" s="145">
        <v>11.912000000000001</v>
      </c>
      <c r="G42" s="145">
        <v>20.745999999999999</v>
      </c>
      <c r="H42" s="145">
        <v>29.437000000000001</v>
      </c>
      <c r="I42" s="145">
        <v>32.706000000000003</v>
      </c>
      <c r="J42" s="145">
        <v>36.438000000000002</v>
      </c>
      <c r="K42" s="145">
        <v>16.943000000000001</v>
      </c>
    </row>
    <row r="43" spans="1:11" x14ac:dyDescent="0.25">
      <c r="A43" s="205"/>
      <c r="B43" s="4" t="s">
        <v>227</v>
      </c>
      <c r="C43" s="145">
        <v>0.372</v>
      </c>
      <c r="D43" s="145">
        <v>0.67800000000000005</v>
      </c>
      <c r="E43" s="145">
        <v>3.786</v>
      </c>
      <c r="F43" s="145">
        <v>10.804</v>
      </c>
      <c r="G43" s="145">
        <v>20.907</v>
      </c>
      <c r="H43" s="145">
        <v>29.145</v>
      </c>
      <c r="I43" s="145">
        <v>32.154000000000003</v>
      </c>
      <c r="J43" s="145">
        <v>34.042000000000002</v>
      </c>
      <c r="K43" s="145">
        <v>16.518000000000001</v>
      </c>
    </row>
    <row r="44" spans="1:11" x14ac:dyDescent="0.25">
      <c r="A44" s="205"/>
      <c r="B44" s="4" t="s">
        <v>289</v>
      </c>
      <c r="C44" s="145">
        <v>3.6999999999999998E-2</v>
      </c>
      <c r="D44" s="145">
        <v>0.60599999999999998</v>
      </c>
      <c r="E44" s="145">
        <v>3.496</v>
      </c>
      <c r="F44" s="145">
        <v>11.01</v>
      </c>
      <c r="G44" s="145">
        <v>20.631</v>
      </c>
      <c r="H44" s="145">
        <v>30.344999999999999</v>
      </c>
      <c r="I44" s="145">
        <v>32.549999999999997</v>
      </c>
      <c r="J44" s="145">
        <v>35.893000000000001</v>
      </c>
      <c r="K44" s="145">
        <v>16.911999999999999</v>
      </c>
    </row>
    <row r="45" spans="1:11" ht="12" customHeight="1" x14ac:dyDescent="0.25">
      <c r="A45" s="2"/>
    </row>
    <row r="46" spans="1:11" ht="11.1" customHeight="1" x14ac:dyDescent="0.25">
      <c r="A46" s="206" t="s">
        <v>18</v>
      </c>
      <c r="B46" s="206"/>
      <c r="C46" s="206"/>
      <c r="D46" s="206"/>
      <c r="E46" s="206"/>
      <c r="F46" s="206"/>
      <c r="G46" s="206"/>
      <c r="H46" s="206"/>
      <c r="I46" s="206"/>
      <c r="J46" s="206"/>
      <c r="K46" s="206"/>
    </row>
    <row r="47" spans="1:11" s="6" customFormat="1" ht="11.25" customHeight="1" x14ac:dyDescent="0.15">
      <c r="A47" s="199" t="s">
        <v>19</v>
      </c>
      <c r="B47" s="199"/>
      <c r="C47" s="199"/>
      <c r="D47" s="199"/>
      <c r="E47" s="199"/>
      <c r="F47" s="199"/>
      <c r="G47" s="199"/>
      <c r="H47" s="199"/>
      <c r="I47" s="199"/>
      <c r="J47" s="199"/>
      <c r="K47" s="199"/>
    </row>
    <row r="48" spans="1:11" s="6" customFormat="1" ht="11.1" customHeight="1" x14ac:dyDescent="0.15">
      <c r="A48" s="6" t="s">
        <v>54</v>
      </c>
    </row>
    <row r="49" spans="1:1" s="6" customFormat="1" ht="11.1" customHeight="1" x14ac:dyDescent="0.15">
      <c r="A49" s="6" t="s">
        <v>38</v>
      </c>
    </row>
    <row r="50" spans="1:1" s="6" customFormat="1" ht="11.1" customHeight="1" x14ac:dyDescent="0.15">
      <c r="A50" s="6" t="s">
        <v>39</v>
      </c>
    </row>
    <row r="51" spans="1:1" s="6" customFormat="1" ht="11.1" customHeight="1" x14ac:dyDescent="0.15">
      <c r="A51" s="6" t="s">
        <v>16</v>
      </c>
    </row>
    <row r="52" spans="1:1" s="6" customFormat="1" ht="11.1" customHeight="1" x14ac:dyDescent="0.15">
      <c r="A52" s="6" t="s">
        <v>254</v>
      </c>
    </row>
    <row r="53" spans="1:1" ht="12" customHeight="1" x14ac:dyDescent="0.25">
      <c r="A53" s="2"/>
    </row>
  </sheetData>
  <mergeCells count="12">
    <mergeCell ref="A1:K1"/>
    <mergeCell ref="A4:A8"/>
    <mergeCell ref="A9:A13"/>
    <mergeCell ref="A14:A18"/>
    <mergeCell ref="A20:K20"/>
    <mergeCell ref="A21:K21"/>
    <mergeCell ref="A47:K47"/>
    <mergeCell ref="A27:K27"/>
    <mergeCell ref="A30:A34"/>
    <mergeCell ref="A35:A39"/>
    <mergeCell ref="A40:A44"/>
    <mergeCell ref="A46:K46"/>
  </mergeCells>
  <conditionalFormatting sqref="C4:K18">
    <cfRule type="cellIs" dxfId="3" priority="2" operator="lessThan">
      <formula>0.05</formula>
    </cfRule>
  </conditionalFormatting>
  <conditionalFormatting sqref="C30:K44">
    <cfRule type="cellIs" dxfId="2" priority="1" operator="lessThan">
      <formula>0.05</formula>
    </cfRule>
  </conditionalFormatting>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101"/>
  <sheetViews>
    <sheetView zoomScaleNormal="100" workbookViewId="0">
      <selection activeCell="E34" sqref="E34"/>
    </sheetView>
  </sheetViews>
  <sheetFormatPr defaultColWidth="9.140625" defaultRowHeight="15" x14ac:dyDescent="0.25"/>
  <cols>
    <col min="1" max="13" width="11.42578125" style="1" bestFit="1" customWidth="1"/>
    <col min="14" max="16384" width="9.140625" style="1"/>
  </cols>
  <sheetData>
    <row r="1" spans="1:11" ht="18.75" customHeight="1" x14ac:dyDescent="0.25">
      <c r="A1" s="200" t="s">
        <v>295</v>
      </c>
      <c r="B1" s="200"/>
      <c r="C1" s="200"/>
      <c r="D1" s="200"/>
      <c r="E1" s="200"/>
      <c r="F1" s="200"/>
      <c r="G1" s="200"/>
      <c r="H1" s="200"/>
      <c r="I1" s="200"/>
      <c r="J1" s="200"/>
      <c r="K1" s="200"/>
    </row>
    <row r="2" spans="1:11" ht="3.75" customHeight="1" x14ac:dyDescent="0.25">
      <c r="A2" s="2"/>
    </row>
    <row r="3" spans="1:11" ht="23.25" x14ac:dyDescent="0.25">
      <c r="A3" s="52" t="s">
        <v>189</v>
      </c>
      <c r="B3" s="52" t="s">
        <v>190</v>
      </c>
      <c r="C3" s="3" t="s">
        <v>1</v>
      </c>
      <c r="D3" s="3" t="s">
        <v>2</v>
      </c>
      <c r="E3" s="3" t="s">
        <v>3</v>
      </c>
      <c r="F3" s="3" t="s">
        <v>4</v>
      </c>
      <c r="G3" s="3" t="s">
        <v>5</v>
      </c>
      <c r="H3" s="3" t="s">
        <v>6</v>
      </c>
      <c r="I3" s="3" t="s">
        <v>7</v>
      </c>
      <c r="J3" s="3" t="s">
        <v>8</v>
      </c>
      <c r="K3" s="3" t="s">
        <v>9</v>
      </c>
    </row>
    <row r="4" spans="1:11" ht="15" customHeight="1" x14ac:dyDescent="0.25">
      <c r="A4" s="203" t="s">
        <v>55</v>
      </c>
      <c r="B4" s="4" t="s">
        <v>22</v>
      </c>
      <c r="C4" s="145">
        <v>132.69999999999999</v>
      </c>
      <c r="D4" s="145">
        <v>18.8</v>
      </c>
      <c r="E4" s="145">
        <v>131.9</v>
      </c>
      <c r="F4" s="145">
        <v>94.9</v>
      </c>
      <c r="G4" s="145">
        <v>29.6</v>
      </c>
      <c r="H4" s="145">
        <v>1.1000000000000001</v>
      </c>
      <c r="I4" s="145">
        <v>1.7</v>
      </c>
      <c r="J4" s="145">
        <v>46.9</v>
      </c>
      <c r="K4" s="145">
        <v>457.6</v>
      </c>
    </row>
    <row r="5" spans="1:11" ht="15" customHeight="1" x14ac:dyDescent="0.25">
      <c r="A5" s="203"/>
      <c r="B5" s="4" t="s">
        <v>23</v>
      </c>
      <c r="C5" s="145">
        <v>93.9</v>
      </c>
      <c r="D5" s="145">
        <v>75.8</v>
      </c>
      <c r="E5" s="145">
        <v>55.3</v>
      </c>
      <c r="F5" s="145">
        <v>29</v>
      </c>
      <c r="G5" s="145">
        <v>20.7</v>
      </c>
      <c r="H5" s="145">
        <v>5.9</v>
      </c>
      <c r="I5" s="145">
        <v>4</v>
      </c>
      <c r="J5" s="145">
        <v>2.5</v>
      </c>
      <c r="K5" s="145">
        <v>287.10000000000002</v>
      </c>
    </row>
    <row r="6" spans="1:11" ht="15" customHeight="1" x14ac:dyDescent="0.25">
      <c r="A6" s="203"/>
      <c r="B6" s="4" t="s">
        <v>24</v>
      </c>
      <c r="C6" s="145">
        <v>0.6</v>
      </c>
      <c r="D6" s="145" t="s">
        <v>167</v>
      </c>
      <c r="E6" s="145">
        <v>0.1</v>
      </c>
      <c r="F6" s="145" t="s">
        <v>167</v>
      </c>
      <c r="G6" s="145" t="s">
        <v>167</v>
      </c>
      <c r="H6" s="145" t="s">
        <v>167</v>
      </c>
      <c r="I6" s="145" t="s">
        <v>167</v>
      </c>
      <c r="J6" s="145">
        <v>1</v>
      </c>
      <c r="K6" s="145">
        <v>1.7</v>
      </c>
    </row>
    <row r="7" spans="1:11" ht="15" customHeight="1" x14ac:dyDescent="0.25">
      <c r="A7" s="203"/>
      <c r="B7" s="105" t="s">
        <v>12</v>
      </c>
      <c r="C7" s="76">
        <v>227.3</v>
      </c>
      <c r="D7" s="76">
        <v>94.6</v>
      </c>
      <c r="E7" s="145">
        <v>187.3</v>
      </c>
      <c r="F7" s="76">
        <v>123.9</v>
      </c>
      <c r="G7" s="76">
        <v>50.3</v>
      </c>
      <c r="H7" s="76">
        <v>7</v>
      </c>
      <c r="I7" s="76">
        <v>5.7</v>
      </c>
      <c r="J7" s="76">
        <v>50.5</v>
      </c>
      <c r="K7" s="76">
        <v>746.5</v>
      </c>
    </row>
    <row r="8" spans="1:11" ht="15" customHeight="1" x14ac:dyDescent="0.25">
      <c r="A8" s="203" t="s">
        <v>56</v>
      </c>
      <c r="B8" s="4" t="s">
        <v>22</v>
      </c>
      <c r="C8" s="145">
        <v>119.7</v>
      </c>
      <c r="D8" s="145">
        <v>20</v>
      </c>
      <c r="E8" s="145">
        <v>129.19999999999999</v>
      </c>
      <c r="F8" s="145">
        <v>97.8</v>
      </c>
      <c r="G8" s="145">
        <v>31.8</v>
      </c>
      <c r="H8" s="145">
        <v>2</v>
      </c>
      <c r="I8" s="145">
        <v>2.2999999999999998</v>
      </c>
      <c r="J8" s="145">
        <v>35.200000000000003</v>
      </c>
      <c r="K8" s="145">
        <v>438</v>
      </c>
    </row>
    <row r="9" spans="1:11" ht="15" customHeight="1" x14ac:dyDescent="0.25">
      <c r="A9" s="203"/>
      <c r="B9" s="4" t="s">
        <v>23</v>
      </c>
      <c r="C9" s="145">
        <v>96.1</v>
      </c>
      <c r="D9" s="145">
        <v>93.3</v>
      </c>
      <c r="E9" s="145">
        <v>51.3</v>
      </c>
      <c r="F9" s="145">
        <v>31.7</v>
      </c>
      <c r="G9" s="145">
        <v>15.3</v>
      </c>
      <c r="H9" s="145">
        <v>7.1</v>
      </c>
      <c r="I9" s="145">
        <v>6.5</v>
      </c>
      <c r="J9" s="145">
        <v>2.2000000000000002</v>
      </c>
      <c r="K9" s="145">
        <v>303.5</v>
      </c>
    </row>
    <row r="10" spans="1:11" ht="15" customHeight="1" x14ac:dyDescent="0.25">
      <c r="A10" s="203"/>
      <c r="B10" s="4" t="s">
        <v>24</v>
      </c>
      <c r="C10" s="145">
        <v>1.1000000000000001</v>
      </c>
      <c r="D10" s="145" t="s">
        <v>167</v>
      </c>
      <c r="E10" s="145">
        <v>0</v>
      </c>
      <c r="F10" s="145" t="s">
        <v>167</v>
      </c>
      <c r="G10" s="145">
        <v>0.1</v>
      </c>
      <c r="H10" s="145" t="s">
        <v>167</v>
      </c>
      <c r="I10" s="145" t="s">
        <v>167</v>
      </c>
      <c r="J10" s="145">
        <v>1.1000000000000001</v>
      </c>
      <c r="K10" s="145">
        <v>2.4</v>
      </c>
    </row>
    <row r="11" spans="1:11" ht="15" customHeight="1" x14ac:dyDescent="0.25">
      <c r="A11" s="203"/>
      <c r="B11" s="105" t="s">
        <v>12</v>
      </c>
      <c r="C11" s="76">
        <v>216.9</v>
      </c>
      <c r="D11" s="76">
        <v>113.3</v>
      </c>
      <c r="E11" s="145">
        <v>180.6</v>
      </c>
      <c r="F11" s="76">
        <v>129.6</v>
      </c>
      <c r="G11" s="76">
        <v>47.2</v>
      </c>
      <c r="H11" s="76">
        <v>9.1</v>
      </c>
      <c r="I11" s="76">
        <v>8.6999999999999993</v>
      </c>
      <c r="J11" s="76">
        <v>38.5</v>
      </c>
      <c r="K11" s="76">
        <v>743.9</v>
      </c>
    </row>
    <row r="12" spans="1:11" ht="15" customHeight="1" x14ac:dyDescent="0.25">
      <c r="A12" s="203" t="s">
        <v>57</v>
      </c>
      <c r="B12" s="4" t="s">
        <v>22</v>
      </c>
      <c r="C12" s="145">
        <v>120.5</v>
      </c>
      <c r="D12" s="145">
        <v>18.600000000000001</v>
      </c>
      <c r="E12" s="145">
        <v>150.5</v>
      </c>
      <c r="F12" s="145">
        <v>100.5</v>
      </c>
      <c r="G12" s="145">
        <v>28.7</v>
      </c>
      <c r="H12" s="145">
        <v>3.3</v>
      </c>
      <c r="I12" s="145">
        <v>3.9</v>
      </c>
      <c r="J12" s="145">
        <v>38.6</v>
      </c>
      <c r="K12" s="145">
        <v>464.8</v>
      </c>
    </row>
    <row r="13" spans="1:11" ht="15" customHeight="1" x14ac:dyDescent="0.25">
      <c r="A13" s="203"/>
      <c r="B13" s="4" t="s">
        <v>23</v>
      </c>
      <c r="C13" s="145">
        <v>107.7</v>
      </c>
      <c r="D13" s="145">
        <v>100.5</v>
      </c>
      <c r="E13" s="145">
        <v>56.5</v>
      </c>
      <c r="F13" s="145">
        <v>35.5</v>
      </c>
      <c r="G13" s="145">
        <v>14.7</v>
      </c>
      <c r="H13" s="145">
        <v>6.3</v>
      </c>
      <c r="I13" s="145">
        <v>8.1999999999999993</v>
      </c>
      <c r="J13" s="145">
        <v>0.3</v>
      </c>
      <c r="K13" s="145">
        <v>329.8</v>
      </c>
    </row>
    <row r="14" spans="1:11" ht="15" customHeight="1" x14ac:dyDescent="0.25">
      <c r="A14" s="203"/>
      <c r="B14" s="4" t="s">
        <v>24</v>
      </c>
      <c r="C14" s="145">
        <v>2.1</v>
      </c>
      <c r="D14" s="145" t="s">
        <v>167</v>
      </c>
      <c r="E14" s="145">
        <v>0</v>
      </c>
      <c r="F14" s="145" t="s">
        <v>167</v>
      </c>
      <c r="G14" s="145" t="s">
        <v>167</v>
      </c>
      <c r="H14" s="145" t="s">
        <v>167</v>
      </c>
      <c r="I14" s="145" t="s">
        <v>167</v>
      </c>
      <c r="J14" s="145">
        <v>0.7</v>
      </c>
      <c r="K14" s="145">
        <v>2.8</v>
      </c>
    </row>
    <row r="15" spans="1:11" ht="15" customHeight="1" x14ac:dyDescent="0.25">
      <c r="A15" s="203"/>
      <c r="B15" s="105" t="s">
        <v>12</v>
      </c>
      <c r="C15" s="76">
        <v>230.3</v>
      </c>
      <c r="D15" s="76">
        <v>119.2</v>
      </c>
      <c r="E15" s="145">
        <v>207.1</v>
      </c>
      <c r="F15" s="76">
        <v>136</v>
      </c>
      <c r="G15" s="76">
        <v>43.4</v>
      </c>
      <c r="H15" s="76">
        <v>9.6999999999999993</v>
      </c>
      <c r="I15" s="76">
        <v>12.1</v>
      </c>
      <c r="J15" s="76">
        <v>39.6</v>
      </c>
      <c r="K15" s="76">
        <v>797.4</v>
      </c>
    </row>
    <row r="16" spans="1:11" ht="15" customHeight="1" x14ac:dyDescent="0.25">
      <c r="A16" s="203" t="s">
        <v>49</v>
      </c>
      <c r="B16" s="4" t="s">
        <v>22</v>
      </c>
      <c r="C16" s="145">
        <v>106.4</v>
      </c>
      <c r="D16" s="145">
        <v>18.7</v>
      </c>
      <c r="E16" s="145">
        <v>170.7</v>
      </c>
      <c r="F16" s="145">
        <v>96.1</v>
      </c>
      <c r="G16" s="145">
        <v>22</v>
      </c>
      <c r="H16" s="145">
        <v>4.5999999999999996</v>
      </c>
      <c r="I16" s="145">
        <v>1.7</v>
      </c>
      <c r="J16" s="145">
        <v>35</v>
      </c>
      <c r="K16" s="145">
        <v>455.4</v>
      </c>
    </row>
    <row r="17" spans="1:11" ht="15" customHeight="1" x14ac:dyDescent="0.25">
      <c r="A17" s="203"/>
      <c r="B17" s="4" t="s">
        <v>23</v>
      </c>
      <c r="C17" s="145">
        <v>96.5</v>
      </c>
      <c r="D17" s="145">
        <v>92.7</v>
      </c>
      <c r="E17" s="145">
        <v>65.599999999999994</v>
      </c>
      <c r="F17" s="145">
        <v>27.4</v>
      </c>
      <c r="G17" s="145">
        <v>15.9</v>
      </c>
      <c r="H17" s="145">
        <v>7</v>
      </c>
      <c r="I17" s="145">
        <v>6.1</v>
      </c>
      <c r="J17" s="145">
        <v>0.6</v>
      </c>
      <c r="K17" s="145">
        <v>311.7</v>
      </c>
    </row>
    <row r="18" spans="1:11" ht="15" customHeight="1" x14ac:dyDescent="0.25">
      <c r="A18" s="203"/>
      <c r="B18" s="4" t="s">
        <v>24</v>
      </c>
      <c r="C18" s="145">
        <v>1.6</v>
      </c>
      <c r="D18" s="145" t="s">
        <v>167</v>
      </c>
      <c r="E18" s="145">
        <v>0.1</v>
      </c>
      <c r="F18" s="145" t="s">
        <v>167</v>
      </c>
      <c r="G18" s="145" t="s">
        <v>167</v>
      </c>
      <c r="H18" s="145" t="s">
        <v>167</v>
      </c>
      <c r="I18" s="145" t="s">
        <v>167</v>
      </c>
      <c r="J18" s="145">
        <v>0.1</v>
      </c>
      <c r="K18" s="145">
        <v>1.8</v>
      </c>
    </row>
    <row r="19" spans="1:11" ht="15" customHeight="1" x14ac:dyDescent="0.25">
      <c r="A19" s="203"/>
      <c r="B19" s="105" t="s">
        <v>12</v>
      </c>
      <c r="C19" s="76">
        <v>204.5</v>
      </c>
      <c r="D19" s="76">
        <v>111.4</v>
      </c>
      <c r="E19" s="145">
        <v>236.4</v>
      </c>
      <c r="F19" s="76">
        <v>123.5</v>
      </c>
      <c r="G19" s="76">
        <v>37.9</v>
      </c>
      <c r="H19" s="76">
        <v>11.5</v>
      </c>
      <c r="I19" s="76">
        <v>7.8</v>
      </c>
      <c r="J19" s="76">
        <v>35.700000000000003</v>
      </c>
      <c r="K19" s="76">
        <v>768.8</v>
      </c>
    </row>
    <row r="20" spans="1:11" ht="15" customHeight="1" x14ac:dyDescent="0.25">
      <c r="A20" s="203" t="s">
        <v>50</v>
      </c>
      <c r="B20" s="4" t="s">
        <v>22</v>
      </c>
      <c r="C20" s="145">
        <v>92</v>
      </c>
      <c r="D20" s="145">
        <v>16.5</v>
      </c>
      <c r="E20" s="145">
        <v>139</v>
      </c>
      <c r="F20" s="145">
        <v>75.5</v>
      </c>
      <c r="G20" s="145">
        <v>18.100000000000001</v>
      </c>
      <c r="H20" s="145">
        <v>4.9000000000000004</v>
      </c>
      <c r="I20" s="145">
        <v>4.9000000000000004</v>
      </c>
      <c r="J20" s="145">
        <v>23.3</v>
      </c>
      <c r="K20" s="145">
        <v>374.2</v>
      </c>
    </row>
    <row r="21" spans="1:11" ht="15" customHeight="1" x14ac:dyDescent="0.25">
      <c r="A21" s="203"/>
      <c r="B21" s="4" t="s">
        <v>23</v>
      </c>
      <c r="C21" s="145">
        <v>99.9</v>
      </c>
      <c r="D21" s="145">
        <v>102.3</v>
      </c>
      <c r="E21" s="145">
        <v>50.7</v>
      </c>
      <c r="F21" s="145">
        <v>28.2</v>
      </c>
      <c r="G21" s="145">
        <v>16.399999999999999</v>
      </c>
      <c r="H21" s="145">
        <v>9</v>
      </c>
      <c r="I21" s="145">
        <v>9.5</v>
      </c>
      <c r="J21" s="145">
        <v>0.7</v>
      </c>
      <c r="K21" s="145">
        <v>316.7</v>
      </c>
    </row>
    <row r="22" spans="1:11" ht="15" customHeight="1" x14ac:dyDescent="0.25">
      <c r="A22" s="203"/>
      <c r="B22" s="4" t="s">
        <v>24</v>
      </c>
      <c r="C22" s="145">
        <v>1.4</v>
      </c>
      <c r="D22" s="145" t="s">
        <v>167</v>
      </c>
      <c r="E22" s="145">
        <v>0</v>
      </c>
      <c r="F22" s="145" t="s">
        <v>167</v>
      </c>
      <c r="G22" s="145" t="s">
        <v>167</v>
      </c>
      <c r="H22" s="145" t="s">
        <v>167</v>
      </c>
      <c r="I22" s="145" t="s">
        <v>167</v>
      </c>
      <c r="J22" s="145" t="s">
        <v>167</v>
      </c>
      <c r="K22" s="145">
        <v>1.5</v>
      </c>
    </row>
    <row r="23" spans="1:11" ht="15" customHeight="1" x14ac:dyDescent="0.25">
      <c r="A23" s="203"/>
      <c r="B23" s="105" t="s">
        <v>12</v>
      </c>
      <c r="C23" s="76">
        <v>193.3</v>
      </c>
      <c r="D23" s="76">
        <v>118.7</v>
      </c>
      <c r="E23" s="145">
        <v>189.8</v>
      </c>
      <c r="F23" s="76">
        <v>103.8</v>
      </c>
      <c r="G23" s="76">
        <v>34.5</v>
      </c>
      <c r="H23" s="76">
        <v>13.9</v>
      </c>
      <c r="I23" s="76">
        <v>14.3</v>
      </c>
      <c r="J23" s="76">
        <v>24</v>
      </c>
      <c r="K23" s="76">
        <v>692.4</v>
      </c>
    </row>
    <row r="24" spans="1:11" ht="15" customHeight="1" x14ac:dyDescent="0.25">
      <c r="A24" s="203" t="s">
        <v>51</v>
      </c>
      <c r="B24" s="4" t="s">
        <v>22</v>
      </c>
      <c r="C24" s="145">
        <v>63.3</v>
      </c>
      <c r="D24" s="145">
        <v>11.4</v>
      </c>
      <c r="E24" s="145">
        <v>145.9</v>
      </c>
      <c r="F24" s="145">
        <v>74</v>
      </c>
      <c r="G24" s="145">
        <v>14.7</v>
      </c>
      <c r="H24" s="145">
        <v>3.4</v>
      </c>
      <c r="I24" s="145">
        <v>2.6</v>
      </c>
      <c r="J24" s="145">
        <v>30.5</v>
      </c>
      <c r="K24" s="145">
        <v>345.7</v>
      </c>
    </row>
    <row r="25" spans="1:11" ht="15" customHeight="1" x14ac:dyDescent="0.25">
      <c r="A25" s="203"/>
      <c r="B25" s="4" t="s">
        <v>23</v>
      </c>
      <c r="C25" s="145">
        <v>86.9</v>
      </c>
      <c r="D25" s="145">
        <v>90.7</v>
      </c>
      <c r="E25" s="145">
        <v>74.900000000000006</v>
      </c>
      <c r="F25" s="145">
        <v>22.1</v>
      </c>
      <c r="G25" s="145">
        <v>10.7</v>
      </c>
      <c r="H25" s="145">
        <v>4.5999999999999996</v>
      </c>
      <c r="I25" s="145">
        <v>5.4</v>
      </c>
      <c r="J25" s="145">
        <v>1.3</v>
      </c>
      <c r="K25" s="145">
        <v>296.60000000000002</v>
      </c>
    </row>
    <row r="26" spans="1:11" ht="15" customHeight="1" x14ac:dyDescent="0.25">
      <c r="A26" s="203"/>
      <c r="B26" s="4" t="s">
        <v>24</v>
      </c>
      <c r="C26" s="145">
        <v>1</v>
      </c>
      <c r="D26" s="145" t="s">
        <v>167</v>
      </c>
      <c r="E26" s="145">
        <v>0.1</v>
      </c>
      <c r="F26" s="145" t="s">
        <v>167</v>
      </c>
      <c r="G26" s="145" t="s">
        <v>167</v>
      </c>
      <c r="H26" s="145" t="s">
        <v>167</v>
      </c>
      <c r="I26" s="145" t="s">
        <v>167</v>
      </c>
      <c r="J26" s="145">
        <v>0.4</v>
      </c>
      <c r="K26" s="145">
        <v>1.5</v>
      </c>
    </row>
    <row r="27" spans="1:11" ht="15" customHeight="1" x14ac:dyDescent="0.25">
      <c r="A27" s="203"/>
      <c r="B27" s="105" t="s">
        <v>12</v>
      </c>
      <c r="C27" s="76">
        <v>151.30000000000001</v>
      </c>
      <c r="D27" s="76">
        <v>102.1</v>
      </c>
      <c r="E27" s="145">
        <v>220.8</v>
      </c>
      <c r="F27" s="76">
        <v>96.1</v>
      </c>
      <c r="G27" s="76">
        <v>25.3</v>
      </c>
      <c r="H27" s="76">
        <v>8</v>
      </c>
      <c r="I27" s="76">
        <v>8</v>
      </c>
      <c r="J27" s="76">
        <v>32.200000000000003</v>
      </c>
      <c r="K27" s="76">
        <v>643.79999999999995</v>
      </c>
    </row>
    <row r="28" spans="1:11" ht="15" customHeight="1" x14ac:dyDescent="0.25">
      <c r="A28" s="203" t="s">
        <v>52</v>
      </c>
      <c r="B28" s="4" t="s">
        <v>22</v>
      </c>
      <c r="C28" s="145">
        <v>77.3</v>
      </c>
      <c r="D28" s="145">
        <v>11.5</v>
      </c>
      <c r="E28" s="145">
        <v>180.3</v>
      </c>
      <c r="F28" s="145">
        <v>82.4</v>
      </c>
      <c r="G28" s="145">
        <v>15.6</v>
      </c>
      <c r="H28" s="145">
        <v>3.2</v>
      </c>
      <c r="I28" s="145">
        <v>2.8</v>
      </c>
      <c r="J28" s="145">
        <v>49.7</v>
      </c>
      <c r="K28" s="145">
        <v>422.9</v>
      </c>
    </row>
    <row r="29" spans="1:11" ht="15" customHeight="1" x14ac:dyDescent="0.25">
      <c r="A29" s="203"/>
      <c r="B29" s="4" t="s">
        <v>23</v>
      </c>
      <c r="C29" s="145">
        <v>67.8</v>
      </c>
      <c r="D29" s="145">
        <v>66.900000000000006</v>
      </c>
      <c r="E29" s="145">
        <v>88.5</v>
      </c>
      <c r="F29" s="145">
        <v>22.4</v>
      </c>
      <c r="G29" s="145">
        <v>15</v>
      </c>
      <c r="H29" s="145">
        <v>4.9000000000000004</v>
      </c>
      <c r="I29" s="145">
        <v>6.9</v>
      </c>
      <c r="J29" s="145">
        <v>2</v>
      </c>
      <c r="K29" s="145">
        <v>274.39999999999998</v>
      </c>
    </row>
    <row r="30" spans="1:11" ht="15" customHeight="1" x14ac:dyDescent="0.25">
      <c r="A30" s="203"/>
      <c r="B30" s="4" t="s">
        <v>24</v>
      </c>
      <c r="C30" s="145">
        <v>2</v>
      </c>
      <c r="D30" s="145" t="s">
        <v>167</v>
      </c>
      <c r="E30" s="145" t="s">
        <v>269</v>
      </c>
      <c r="F30" s="145" t="s">
        <v>167</v>
      </c>
      <c r="G30" s="145" t="s">
        <v>167</v>
      </c>
      <c r="H30" s="145" t="s">
        <v>167</v>
      </c>
      <c r="I30" s="145" t="s">
        <v>167</v>
      </c>
      <c r="J30" s="145">
        <v>0.6</v>
      </c>
      <c r="K30" s="145">
        <v>2.7</v>
      </c>
    </row>
    <row r="31" spans="1:11" ht="15" customHeight="1" x14ac:dyDescent="0.25">
      <c r="A31" s="203"/>
      <c r="B31" s="105" t="s">
        <v>12</v>
      </c>
      <c r="C31" s="76">
        <v>147.19999999999999</v>
      </c>
      <c r="D31" s="76">
        <v>78.400000000000006</v>
      </c>
      <c r="E31" s="145">
        <v>268.8</v>
      </c>
      <c r="F31" s="76">
        <v>104.9</v>
      </c>
      <c r="G31" s="76">
        <v>30.6</v>
      </c>
      <c r="H31" s="76">
        <v>8.1</v>
      </c>
      <c r="I31" s="76">
        <v>9.6999999999999993</v>
      </c>
      <c r="J31" s="76">
        <v>52.3</v>
      </c>
      <c r="K31" s="76">
        <v>700</v>
      </c>
    </row>
    <row r="32" spans="1:11" ht="15" customHeight="1" x14ac:dyDescent="0.25">
      <c r="A32" s="203" t="s">
        <v>53</v>
      </c>
      <c r="B32" s="4" t="s">
        <v>22</v>
      </c>
      <c r="C32" s="145">
        <v>98.7</v>
      </c>
      <c r="D32" s="145">
        <v>10.3</v>
      </c>
      <c r="E32" s="145">
        <v>203.8</v>
      </c>
      <c r="F32" s="145">
        <v>63.8</v>
      </c>
      <c r="G32" s="145">
        <v>17</v>
      </c>
      <c r="H32" s="145">
        <v>3.9</v>
      </c>
      <c r="I32" s="145">
        <v>4.2</v>
      </c>
      <c r="J32" s="145">
        <v>48.5</v>
      </c>
      <c r="K32" s="145">
        <v>450.1</v>
      </c>
    </row>
    <row r="33" spans="1:11" ht="15" customHeight="1" x14ac:dyDescent="0.25">
      <c r="A33" s="203"/>
      <c r="B33" s="4" t="s">
        <v>23</v>
      </c>
      <c r="C33" s="145">
        <v>61</v>
      </c>
      <c r="D33" s="145">
        <v>61.3</v>
      </c>
      <c r="E33" s="145">
        <v>81.8</v>
      </c>
      <c r="F33" s="145">
        <v>22.5</v>
      </c>
      <c r="G33" s="145">
        <v>14.1</v>
      </c>
      <c r="H33" s="145">
        <v>9</v>
      </c>
      <c r="I33" s="145">
        <v>9.5</v>
      </c>
      <c r="J33" s="145">
        <v>1.6</v>
      </c>
      <c r="K33" s="145">
        <v>260.89999999999998</v>
      </c>
    </row>
    <row r="34" spans="1:11" ht="15" customHeight="1" x14ac:dyDescent="0.25">
      <c r="A34" s="203"/>
      <c r="B34" s="4" t="s">
        <v>24</v>
      </c>
      <c r="C34" s="145">
        <v>0.5</v>
      </c>
      <c r="D34" s="145" t="s">
        <v>167</v>
      </c>
      <c r="E34" s="145">
        <v>0</v>
      </c>
      <c r="F34" s="145" t="s">
        <v>167</v>
      </c>
      <c r="G34" s="145" t="s">
        <v>167</v>
      </c>
      <c r="H34" s="145" t="s">
        <v>167</v>
      </c>
      <c r="I34" s="145" t="s">
        <v>167</v>
      </c>
      <c r="J34" s="145">
        <v>1.8</v>
      </c>
      <c r="K34" s="145">
        <v>2.4</v>
      </c>
    </row>
    <row r="35" spans="1:11" ht="15" customHeight="1" x14ac:dyDescent="0.25">
      <c r="A35" s="203"/>
      <c r="B35" s="105" t="s">
        <v>12</v>
      </c>
      <c r="C35" s="76">
        <v>160.19999999999999</v>
      </c>
      <c r="D35" s="76">
        <v>71.599999999999994</v>
      </c>
      <c r="E35" s="145">
        <v>285.60000000000002</v>
      </c>
      <c r="F35" s="76">
        <v>86.4</v>
      </c>
      <c r="G35" s="76">
        <v>31.1</v>
      </c>
      <c r="H35" s="76">
        <v>13</v>
      </c>
      <c r="I35" s="76">
        <v>13.8</v>
      </c>
      <c r="J35" s="76">
        <v>51.9</v>
      </c>
      <c r="K35" s="76">
        <v>713.4</v>
      </c>
    </row>
    <row r="36" spans="1:11" ht="15" customHeight="1" x14ac:dyDescent="0.25">
      <c r="A36" s="203" t="s">
        <v>227</v>
      </c>
      <c r="B36" s="4" t="s">
        <v>22</v>
      </c>
      <c r="C36" s="145">
        <v>116.6</v>
      </c>
      <c r="D36" s="145">
        <v>10.199999999999999</v>
      </c>
      <c r="E36" s="145">
        <v>212</v>
      </c>
      <c r="F36" s="145">
        <v>58.6</v>
      </c>
      <c r="G36" s="145">
        <v>16.399999999999999</v>
      </c>
      <c r="H36" s="145">
        <v>5</v>
      </c>
      <c r="I36" s="145">
        <v>4.3</v>
      </c>
      <c r="J36" s="145">
        <v>41.6</v>
      </c>
      <c r="K36" s="145">
        <v>464.7</v>
      </c>
    </row>
    <row r="37" spans="1:11" ht="15" customHeight="1" x14ac:dyDescent="0.25">
      <c r="A37" s="203"/>
      <c r="B37" s="4" t="s">
        <v>23</v>
      </c>
      <c r="C37" s="145">
        <v>59.2</v>
      </c>
      <c r="D37" s="145">
        <v>43.6</v>
      </c>
      <c r="E37" s="145">
        <v>81.400000000000006</v>
      </c>
      <c r="F37" s="145">
        <v>26.8</v>
      </c>
      <c r="G37" s="145">
        <v>14.2</v>
      </c>
      <c r="H37" s="145">
        <v>10.6</v>
      </c>
      <c r="I37" s="145">
        <v>8.6</v>
      </c>
      <c r="J37" s="145">
        <v>1.6</v>
      </c>
      <c r="K37" s="145">
        <v>245.9</v>
      </c>
    </row>
    <row r="38" spans="1:11" ht="15" customHeight="1" x14ac:dyDescent="0.25">
      <c r="A38" s="203"/>
      <c r="B38" s="4" t="s">
        <v>24</v>
      </c>
      <c r="C38" s="145">
        <v>0.4</v>
      </c>
      <c r="D38" s="145" t="s">
        <v>167</v>
      </c>
      <c r="E38" s="145">
        <v>0</v>
      </c>
      <c r="F38" s="145" t="s">
        <v>167</v>
      </c>
      <c r="G38" s="145" t="s">
        <v>167</v>
      </c>
      <c r="H38" s="145" t="s">
        <v>167</v>
      </c>
      <c r="I38" s="145" t="s">
        <v>167</v>
      </c>
      <c r="J38" s="145">
        <v>0.3</v>
      </c>
      <c r="K38" s="145">
        <v>0.7</v>
      </c>
    </row>
    <row r="39" spans="1:11" ht="15" customHeight="1" x14ac:dyDescent="0.25">
      <c r="A39" s="203"/>
      <c r="B39" s="105" t="s">
        <v>12</v>
      </c>
      <c r="C39" s="76">
        <v>176.2</v>
      </c>
      <c r="D39" s="76">
        <v>53.7</v>
      </c>
      <c r="E39" s="145">
        <v>293.39999999999998</v>
      </c>
      <c r="F39" s="76">
        <v>85.4</v>
      </c>
      <c r="G39" s="76">
        <v>30.5</v>
      </c>
      <c r="H39" s="76">
        <v>15.6</v>
      </c>
      <c r="I39" s="76">
        <v>12.8</v>
      </c>
      <c r="J39" s="76">
        <v>43.6</v>
      </c>
      <c r="K39" s="76">
        <v>711.3</v>
      </c>
    </row>
    <row r="40" spans="1:11" ht="15" customHeight="1" x14ac:dyDescent="0.25">
      <c r="A40" s="203" t="s">
        <v>289</v>
      </c>
      <c r="B40" s="4" t="s">
        <v>22</v>
      </c>
      <c r="C40" s="145">
        <v>117.4</v>
      </c>
      <c r="D40" s="145">
        <v>11.3</v>
      </c>
      <c r="E40" s="145">
        <v>207.7</v>
      </c>
      <c r="F40" s="145">
        <v>45.6</v>
      </c>
      <c r="G40" s="145">
        <v>20.399999999999999</v>
      </c>
      <c r="H40" s="145">
        <v>4.7</v>
      </c>
      <c r="I40" s="145">
        <v>5.7</v>
      </c>
      <c r="J40" s="145">
        <v>40</v>
      </c>
      <c r="K40" s="145">
        <v>452.8</v>
      </c>
    </row>
    <row r="41" spans="1:11" ht="15" customHeight="1" x14ac:dyDescent="0.25">
      <c r="A41" s="203"/>
      <c r="B41" s="4" t="s">
        <v>23</v>
      </c>
      <c r="C41" s="145">
        <v>66.099999999999994</v>
      </c>
      <c r="D41" s="145">
        <v>62.3</v>
      </c>
      <c r="E41" s="145">
        <v>81.8</v>
      </c>
      <c r="F41" s="145">
        <v>28.3</v>
      </c>
      <c r="G41" s="145">
        <v>17.399999999999999</v>
      </c>
      <c r="H41" s="145">
        <v>9.6</v>
      </c>
      <c r="I41" s="145">
        <v>11.4</v>
      </c>
      <c r="J41" s="145">
        <v>2</v>
      </c>
      <c r="K41" s="145">
        <v>278.89999999999998</v>
      </c>
    </row>
    <row r="42" spans="1:11" ht="15" customHeight="1" x14ac:dyDescent="0.25">
      <c r="A42" s="203"/>
      <c r="B42" s="4" t="s">
        <v>24</v>
      </c>
      <c r="C42" s="145">
        <v>0.8</v>
      </c>
      <c r="D42" s="145">
        <v>0.2</v>
      </c>
      <c r="E42" s="145">
        <v>0.3</v>
      </c>
      <c r="F42" s="145" t="s">
        <v>167</v>
      </c>
      <c r="G42" s="145">
        <v>0.3</v>
      </c>
      <c r="H42" s="145" t="s">
        <v>167</v>
      </c>
      <c r="I42" s="145" t="s">
        <v>167</v>
      </c>
      <c r="J42" s="145">
        <v>0.4</v>
      </c>
      <c r="K42" s="145">
        <v>2</v>
      </c>
    </row>
    <row r="43" spans="1:11" ht="15" customHeight="1" x14ac:dyDescent="0.25">
      <c r="A43" s="203"/>
      <c r="B43" s="105" t="s">
        <v>12</v>
      </c>
      <c r="C43" s="76">
        <v>184.3</v>
      </c>
      <c r="D43" s="76">
        <v>73.900000000000006</v>
      </c>
      <c r="E43" s="145">
        <v>289.8</v>
      </c>
      <c r="F43" s="76">
        <v>73.900000000000006</v>
      </c>
      <c r="G43" s="76">
        <v>38.200000000000003</v>
      </c>
      <c r="H43" s="76">
        <v>14.3</v>
      </c>
      <c r="I43" s="76">
        <v>17.100000000000001</v>
      </c>
      <c r="J43" s="76">
        <v>42.4</v>
      </c>
      <c r="K43" s="76">
        <v>733.7</v>
      </c>
    </row>
    <row r="44" spans="1:11" ht="11.1" customHeight="1" x14ac:dyDescent="0.25">
      <c r="A44" s="201" t="s">
        <v>13</v>
      </c>
      <c r="B44" s="201"/>
      <c r="C44" s="201"/>
      <c r="D44" s="201"/>
      <c r="E44" s="201"/>
      <c r="F44" s="201"/>
      <c r="G44" s="201"/>
      <c r="H44" s="201"/>
      <c r="I44" s="201"/>
      <c r="J44" s="201"/>
      <c r="K44" s="201"/>
    </row>
    <row r="45" spans="1:11" s="6" customFormat="1" ht="11.1" customHeight="1" x14ac:dyDescent="0.15">
      <c r="A45" s="6" t="s">
        <v>14</v>
      </c>
    </row>
    <row r="46" spans="1:11" s="10" customFormat="1" ht="11.1" customHeight="1" x14ac:dyDescent="0.2">
      <c r="A46" s="6" t="s">
        <v>18</v>
      </c>
    </row>
    <row r="47" spans="1:11" s="6" customFormat="1" ht="11.1" customHeight="1" x14ac:dyDescent="0.15">
      <c r="A47" s="6" t="s">
        <v>58</v>
      </c>
    </row>
    <row r="48" spans="1:11" s="6" customFormat="1" ht="18.75" customHeight="1" x14ac:dyDescent="0.15">
      <c r="A48" s="199" t="s">
        <v>37</v>
      </c>
      <c r="B48" s="199"/>
      <c r="C48" s="199"/>
      <c r="D48" s="199"/>
      <c r="E48" s="199"/>
      <c r="F48" s="199"/>
      <c r="G48" s="199"/>
      <c r="H48" s="199"/>
      <c r="I48" s="199"/>
      <c r="J48" s="199"/>
      <c r="K48" s="199"/>
    </row>
    <row r="49" spans="1:13" s="6" customFormat="1" ht="11.1" customHeight="1" x14ac:dyDescent="0.15">
      <c r="A49" s="6" t="s">
        <v>16</v>
      </c>
    </row>
    <row r="50" spans="1:13" s="6" customFormat="1" ht="11.1" customHeight="1" x14ac:dyDescent="0.15">
      <c r="A50" s="6" t="s">
        <v>271</v>
      </c>
    </row>
    <row r="51" spans="1:13" ht="12" customHeight="1" x14ac:dyDescent="0.25">
      <c r="A51" s="2"/>
    </row>
    <row r="52" spans="1:13" ht="27.95" customHeight="1" x14ac:dyDescent="0.25">
      <c r="A52" s="198" t="s">
        <v>296</v>
      </c>
      <c r="B52" s="198"/>
      <c r="C52" s="198"/>
      <c r="D52" s="198"/>
      <c r="E52" s="198"/>
      <c r="F52" s="198"/>
      <c r="G52" s="198"/>
      <c r="H52" s="198"/>
      <c r="I52" s="198"/>
      <c r="J52" s="198"/>
      <c r="K52" s="198"/>
      <c r="L52" s="198"/>
      <c r="M52" s="198"/>
    </row>
    <row r="53" spans="1:13" ht="2.25" customHeight="1" x14ac:dyDescent="0.25">
      <c r="A53" s="2"/>
    </row>
    <row r="54" spans="1:13" ht="23.25" x14ac:dyDescent="0.25">
      <c r="A54" s="52" t="s">
        <v>189</v>
      </c>
      <c r="B54" s="52" t="s">
        <v>190</v>
      </c>
      <c r="C54" s="3" t="s">
        <v>1</v>
      </c>
      <c r="D54" s="3" t="s">
        <v>2</v>
      </c>
      <c r="E54" s="3" t="s">
        <v>3</v>
      </c>
      <c r="F54" s="3" t="s">
        <v>4</v>
      </c>
      <c r="G54" s="3" t="s">
        <v>5</v>
      </c>
      <c r="H54" s="3" t="s">
        <v>6</v>
      </c>
      <c r="I54" s="3" t="s">
        <v>7</v>
      </c>
      <c r="J54" s="3" t="s">
        <v>8</v>
      </c>
      <c r="K54" s="3" t="s">
        <v>9</v>
      </c>
    </row>
    <row r="55" spans="1:13" ht="15" customHeight="1" x14ac:dyDescent="0.25">
      <c r="A55" s="105" t="s">
        <v>55</v>
      </c>
      <c r="B55" s="4" t="s">
        <v>22</v>
      </c>
      <c r="C55" s="8">
        <v>679</v>
      </c>
      <c r="D55" s="8">
        <v>84</v>
      </c>
      <c r="E55" s="8">
        <v>541</v>
      </c>
      <c r="F55" s="8">
        <v>540</v>
      </c>
      <c r="G55" s="8">
        <v>198</v>
      </c>
      <c r="H55" s="8">
        <v>6</v>
      </c>
      <c r="I55" s="8">
        <v>20</v>
      </c>
      <c r="J55" s="8">
        <v>252</v>
      </c>
      <c r="K55" s="8">
        <v>2320</v>
      </c>
    </row>
    <row r="56" spans="1:13" ht="15" customHeight="1" x14ac:dyDescent="0.25">
      <c r="A56" s="105"/>
      <c r="B56" s="4" t="s">
        <v>23</v>
      </c>
      <c r="C56" s="8">
        <v>728</v>
      </c>
      <c r="D56" s="8">
        <v>416</v>
      </c>
      <c r="E56" s="8">
        <v>314</v>
      </c>
      <c r="F56" s="8">
        <v>303</v>
      </c>
      <c r="G56" s="8">
        <v>198</v>
      </c>
      <c r="H56" s="8">
        <v>24</v>
      </c>
      <c r="I56" s="8">
        <v>48</v>
      </c>
      <c r="J56" s="8">
        <v>12</v>
      </c>
      <c r="K56" s="8">
        <v>2043</v>
      </c>
    </row>
    <row r="57" spans="1:13" ht="15" customHeight="1" x14ac:dyDescent="0.25">
      <c r="A57" s="105"/>
      <c r="B57" s="4" t="s">
        <v>24</v>
      </c>
      <c r="C57" s="8">
        <v>37</v>
      </c>
      <c r="D57" s="8" t="s">
        <v>167</v>
      </c>
      <c r="E57" s="8">
        <v>1</v>
      </c>
      <c r="F57" s="8" t="s">
        <v>167</v>
      </c>
      <c r="G57" s="8">
        <v>3</v>
      </c>
      <c r="H57" s="8" t="s">
        <v>167</v>
      </c>
      <c r="I57" s="8" t="s">
        <v>167</v>
      </c>
      <c r="J57" s="8">
        <v>5</v>
      </c>
      <c r="K57" s="8">
        <v>46</v>
      </c>
    </row>
    <row r="58" spans="1:13" ht="15" customHeight="1" x14ac:dyDescent="0.25">
      <c r="A58" s="105"/>
      <c r="B58" s="9" t="s">
        <v>12</v>
      </c>
      <c r="C58" s="81">
        <v>1444</v>
      </c>
      <c r="D58" s="81">
        <v>500</v>
      </c>
      <c r="E58" s="81">
        <v>856</v>
      </c>
      <c r="F58" s="81">
        <v>843</v>
      </c>
      <c r="G58" s="81">
        <v>399</v>
      </c>
      <c r="H58" s="81">
        <v>30</v>
      </c>
      <c r="I58" s="81">
        <v>68</v>
      </c>
      <c r="J58" s="81">
        <v>269</v>
      </c>
      <c r="K58" s="81">
        <v>4409</v>
      </c>
    </row>
    <row r="59" spans="1:13" ht="15" customHeight="1" x14ac:dyDescent="0.25">
      <c r="A59" s="105" t="s">
        <v>56</v>
      </c>
      <c r="B59" s="4" t="s">
        <v>22</v>
      </c>
      <c r="C59" s="8">
        <v>660</v>
      </c>
      <c r="D59" s="8">
        <v>89</v>
      </c>
      <c r="E59" s="8">
        <v>600</v>
      </c>
      <c r="F59" s="8">
        <v>536</v>
      </c>
      <c r="G59" s="8">
        <v>189</v>
      </c>
      <c r="H59" s="8">
        <v>21</v>
      </c>
      <c r="I59" s="8">
        <v>24</v>
      </c>
      <c r="J59" s="8">
        <v>227</v>
      </c>
      <c r="K59" s="8">
        <v>2346</v>
      </c>
    </row>
    <row r="60" spans="1:13" ht="15" customHeight="1" x14ac:dyDescent="0.25">
      <c r="A60" s="105"/>
      <c r="B60" s="4" t="s">
        <v>23</v>
      </c>
      <c r="C60" s="8">
        <v>700</v>
      </c>
      <c r="D60" s="8">
        <v>438</v>
      </c>
      <c r="E60" s="8">
        <v>361</v>
      </c>
      <c r="F60" s="8">
        <v>311</v>
      </c>
      <c r="G60" s="8">
        <v>181</v>
      </c>
      <c r="H60" s="8">
        <v>39</v>
      </c>
      <c r="I60" s="8">
        <v>56</v>
      </c>
      <c r="J60" s="8">
        <v>9</v>
      </c>
      <c r="K60" s="8">
        <v>2095</v>
      </c>
    </row>
    <row r="61" spans="1:13" ht="15" customHeight="1" x14ac:dyDescent="0.25">
      <c r="A61" s="105"/>
      <c r="B61" s="4" t="s">
        <v>24</v>
      </c>
      <c r="C61" s="8">
        <v>41</v>
      </c>
      <c r="D61" s="8" t="s">
        <v>167</v>
      </c>
      <c r="E61" s="8">
        <v>4</v>
      </c>
      <c r="F61" s="8" t="s">
        <v>167</v>
      </c>
      <c r="G61" s="8">
        <v>3</v>
      </c>
      <c r="H61" s="8" t="s">
        <v>167</v>
      </c>
      <c r="I61" s="8" t="s">
        <v>167</v>
      </c>
      <c r="J61" s="8">
        <v>6</v>
      </c>
      <c r="K61" s="8">
        <v>54</v>
      </c>
    </row>
    <row r="62" spans="1:13" ht="15" customHeight="1" x14ac:dyDescent="0.25">
      <c r="A62" s="105"/>
      <c r="B62" s="9" t="s">
        <v>12</v>
      </c>
      <c r="C62" s="81">
        <v>1401</v>
      </c>
      <c r="D62" s="81">
        <v>527</v>
      </c>
      <c r="E62" s="81">
        <v>965</v>
      </c>
      <c r="F62" s="81">
        <v>847</v>
      </c>
      <c r="G62" s="81">
        <v>373</v>
      </c>
      <c r="H62" s="81">
        <v>60</v>
      </c>
      <c r="I62" s="81">
        <v>80</v>
      </c>
      <c r="J62" s="81">
        <v>242</v>
      </c>
      <c r="K62" s="81">
        <v>4495</v>
      </c>
    </row>
    <row r="63" spans="1:13" ht="15" customHeight="1" x14ac:dyDescent="0.25">
      <c r="A63" s="105" t="s">
        <v>57</v>
      </c>
      <c r="B63" s="4" t="s">
        <v>22</v>
      </c>
      <c r="C63" s="8">
        <v>698</v>
      </c>
      <c r="D63" s="8">
        <v>90</v>
      </c>
      <c r="E63" s="8">
        <v>698</v>
      </c>
      <c r="F63" s="8">
        <v>546</v>
      </c>
      <c r="G63" s="8">
        <v>167</v>
      </c>
      <c r="H63" s="8">
        <v>16</v>
      </c>
      <c r="I63" s="8">
        <v>25</v>
      </c>
      <c r="J63" s="8">
        <v>192</v>
      </c>
      <c r="K63" s="8">
        <v>2432</v>
      </c>
    </row>
    <row r="64" spans="1:13" ht="15" customHeight="1" x14ac:dyDescent="0.25">
      <c r="A64" s="105"/>
      <c r="B64" s="4" t="s">
        <v>23</v>
      </c>
      <c r="C64" s="8">
        <v>748</v>
      </c>
      <c r="D64" s="8">
        <v>432</v>
      </c>
      <c r="E64" s="8">
        <v>362</v>
      </c>
      <c r="F64" s="8">
        <v>292</v>
      </c>
      <c r="G64" s="8">
        <v>148</v>
      </c>
      <c r="H64" s="8">
        <v>36</v>
      </c>
      <c r="I64" s="8">
        <v>76</v>
      </c>
      <c r="J64" s="8">
        <v>6</v>
      </c>
      <c r="K64" s="8">
        <v>2100</v>
      </c>
    </row>
    <row r="65" spans="1:11" ht="15" customHeight="1" x14ac:dyDescent="0.25">
      <c r="A65" s="105"/>
      <c r="B65" s="4" t="s">
        <v>24</v>
      </c>
      <c r="C65" s="8">
        <v>29</v>
      </c>
      <c r="D65" s="8">
        <v>1</v>
      </c>
      <c r="E65" s="8">
        <v>3</v>
      </c>
      <c r="F65" s="8" t="s">
        <v>167</v>
      </c>
      <c r="G65" s="8">
        <v>4</v>
      </c>
      <c r="H65" s="8" t="s">
        <v>167</v>
      </c>
      <c r="I65" s="8" t="s">
        <v>167</v>
      </c>
      <c r="J65" s="8">
        <v>4</v>
      </c>
      <c r="K65" s="8">
        <v>41</v>
      </c>
    </row>
    <row r="66" spans="1:11" ht="15" customHeight="1" x14ac:dyDescent="0.25">
      <c r="A66" s="105"/>
      <c r="B66" s="9" t="s">
        <v>12</v>
      </c>
      <c r="C66" s="81">
        <v>1475</v>
      </c>
      <c r="D66" s="81">
        <v>523</v>
      </c>
      <c r="E66" s="81">
        <v>1063</v>
      </c>
      <c r="F66" s="81">
        <v>838</v>
      </c>
      <c r="G66" s="81">
        <v>319</v>
      </c>
      <c r="H66" s="81">
        <v>52</v>
      </c>
      <c r="I66" s="81">
        <v>101</v>
      </c>
      <c r="J66" s="81">
        <v>202</v>
      </c>
      <c r="K66" s="81">
        <v>4573</v>
      </c>
    </row>
    <row r="67" spans="1:11" ht="15" customHeight="1" x14ac:dyDescent="0.25">
      <c r="A67" s="105" t="s">
        <v>49</v>
      </c>
      <c r="B67" s="4" t="s">
        <v>22</v>
      </c>
      <c r="C67" s="8">
        <v>654</v>
      </c>
      <c r="D67" s="8">
        <v>84</v>
      </c>
      <c r="E67" s="8">
        <v>748</v>
      </c>
      <c r="F67" s="8">
        <v>499</v>
      </c>
      <c r="G67" s="8">
        <v>145</v>
      </c>
      <c r="H67" s="8">
        <v>19</v>
      </c>
      <c r="I67" s="8">
        <v>19</v>
      </c>
      <c r="J67" s="8">
        <v>165</v>
      </c>
      <c r="K67" s="8">
        <v>2333</v>
      </c>
    </row>
    <row r="68" spans="1:11" ht="15" customHeight="1" x14ac:dyDescent="0.25">
      <c r="A68" s="105"/>
      <c r="B68" s="4" t="s">
        <v>23</v>
      </c>
      <c r="C68" s="8">
        <v>752</v>
      </c>
      <c r="D68" s="8">
        <v>477</v>
      </c>
      <c r="E68" s="8">
        <v>356</v>
      </c>
      <c r="F68" s="8">
        <v>316</v>
      </c>
      <c r="G68" s="8">
        <v>138</v>
      </c>
      <c r="H68" s="8">
        <v>42</v>
      </c>
      <c r="I68" s="8">
        <v>64</v>
      </c>
      <c r="J68" s="8">
        <v>5</v>
      </c>
      <c r="K68" s="8">
        <v>2150</v>
      </c>
    </row>
    <row r="69" spans="1:11" ht="15" customHeight="1" x14ac:dyDescent="0.25">
      <c r="A69" s="105"/>
      <c r="B69" s="4" t="s">
        <v>24</v>
      </c>
      <c r="C69" s="8">
        <v>22</v>
      </c>
      <c r="D69" s="8" t="s">
        <v>167</v>
      </c>
      <c r="E69" s="8">
        <v>6</v>
      </c>
      <c r="F69" s="8" t="s">
        <v>167</v>
      </c>
      <c r="G69" s="8" t="s">
        <v>167</v>
      </c>
      <c r="H69" s="8" t="s">
        <v>167</v>
      </c>
      <c r="I69" s="8" t="s">
        <v>167</v>
      </c>
      <c r="J69" s="8">
        <v>5</v>
      </c>
      <c r="K69" s="8">
        <v>33</v>
      </c>
    </row>
    <row r="70" spans="1:11" ht="15" customHeight="1" x14ac:dyDescent="0.25">
      <c r="A70" s="105"/>
      <c r="B70" s="9" t="s">
        <v>12</v>
      </c>
      <c r="C70" s="81">
        <v>1428</v>
      </c>
      <c r="D70" s="81">
        <v>561</v>
      </c>
      <c r="E70" s="81">
        <v>1110</v>
      </c>
      <c r="F70" s="81">
        <v>815</v>
      </c>
      <c r="G70" s="81">
        <v>283</v>
      </c>
      <c r="H70" s="81">
        <v>61</v>
      </c>
      <c r="I70" s="81">
        <v>83</v>
      </c>
      <c r="J70" s="81">
        <v>175</v>
      </c>
      <c r="K70" s="81">
        <v>4516</v>
      </c>
    </row>
    <row r="71" spans="1:11" ht="15" customHeight="1" x14ac:dyDescent="0.25">
      <c r="A71" s="105" t="s">
        <v>50</v>
      </c>
      <c r="B71" s="4" t="s">
        <v>22</v>
      </c>
      <c r="C71" s="8">
        <v>574</v>
      </c>
      <c r="D71" s="8">
        <v>81</v>
      </c>
      <c r="E71" s="8">
        <v>657</v>
      </c>
      <c r="F71" s="8">
        <v>452</v>
      </c>
      <c r="G71" s="8">
        <v>150</v>
      </c>
      <c r="H71" s="8">
        <v>21</v>
      </c>
      <c r="I71" s="8">
        <v>24</v>
      </c>
      <c r="J71" s="8">
        <v>134</v>
      </c>
      <c r="K71" s="8">
        <v>2093</v>
      </c>
    </row>
    <row r="72" spans="1:11" ht="15" customHeight="1" x14ac:dyDescent="0.25">
      <c r="A72" s="105"/>
      <c r="B72" s="4" t="s">
        <v>23</v>
      </c>
      <c r="C72" s="8">
        <v>803</v>
      </c>
      <c r="D72" s="8">
        <v>546</v>
      </c>
      <c r="E72" s="8">
        <v>347</v>
      </c>
      <c r="F72" s="8">
        <v>288</v>
      </c>
      <c r="G72" s="8">
        <v>155</v>
      </c>
      <c r="H72" s="8">
        <v>32</v>
      </c>
      <c r="I72" s="8">
        <v>55</v>
      </c>
      <c r="J72" s="8">
        <v>8</v>
      </c>
      <c r="K72" s="8">
        <v>2234</v>
      </c>
    </row>
    <row r="73" spans="1:11" ht="15" customHeight="1" x14ac:dyDescent="0.25">
      <c r="A73" s="105"/>
      <c r="B73" s="4" t="s">
        <v>24</v>
      </c>
      <c r="C73" s="8">
        <v>34</v>
      </c>
      <c r="D73" s="8" t="s">
        <v>167</v>
      </c>
      <c r="E73" s="8">
        <v>4</v>
      </c>
      <c r="F73" s="8" t="s">
        <v>167</v>
      </c>
      <c r="G73" s="8">
        <v>1</v>
      </c>
      <c r="H73" s="8" t="s">
        <v>167</v>
      </c>
      <c r="I73" s="8">
        <v>1</v>
      </c>
      <c r="J73" s="8">
        <v>1</v>
      </c>
      <c r="K73" s="8">
        <v>41</v>
      </c>
    </row>
    <row r="74" spans="1:11" ht="15" customHeight="1" x14ac:dyDescent="0.25">
      <c r="A74" s="105"/>
      <c r="B74" s="9" t="s">
        <v>12</v>
      </c>
      <c r="C74" s="81">
        <v>1411</v>
      </c>
      <c r="D74" s="81">
        <v>627</v>
      </c>
      <c r="E74" s="81">
        <v>1008</v>
      </c>
      <c r="F74" s="81">
        <v>740</v>
      </c>
      <c r="G74" s="81">
        <v>306</v>
      </c>
      <c r="H74" s="81">
        <v>53</v>
      </c>
      <c r="I74" s="81">
        <v>80</v>
      </c>
      <c r="J74" s="81">
        <v>143</v>
      </c>
      <c r="K74" s="81">
        <v>4368</v>
      </c>
    </row>
    <row r="75" spans="1:11" ht="15" customHeight="1" x14ac:dyDescent="0.25">
      <c r="A75" s="105" t="s">
        <v>51</v>
      </c>
      <c r="B75" s="4" t="s">
        <v>22</v>
      </c>
      <c r="C75" s="8">
        <v>536</v>
      </c>
      <c r="D75" s="8">
        <v>56</v>
      </c>
      <c r="E75" s="8">
        <v>611</v>
      </c>
      <c r="F75" s="8">
        <v>377</v>
      </c>
      <c r="G75" s="8">
        <v>118</v>
      </c>
      <c r="H75" s="8">
        <v>14</v>
      </c>
      <c r="I75" s="8">
        <v>22</v>
      </c>
      <c r="J75" s="8">
        <v>163</v>
      </c>
      <c r="K75" s="8">
        <v>1897</v>
      </c>
    </row>
    <row r="76" spans="1:11" ht="15" customHeight="1" x14ac:dyDescent="0.25">
      <c r="A76" s="105"/>
      <c r="B76" s="4" t="s">
        <v>23</v>
      </c>
      <c r="C76" s="8">
        <v>792</v>
      </c>
      <c r="D76" s="8">
        <v>456</v>
      </c>
      <c r="E76" s="8">
        <v>373</v>
      </c>
      <c r="F76" s="8">
        <v>212</v>
      </c>
      <c r="G76" s="8">
        <v>133</v>
      </c>
      <c r="H76" s="8">
        <v>29</v>
      </c>
      <c r="I76" s="8">
        <v>50</v>
      </c>
      <c r="J76" s="8">
        <v>8</v>
      </c>
      <c r="K76" s="8">
        <v>2053</v>
      </c>
    </row>
    <row r="77" spans="1:11" ht="15" customHeight="1" x14ac:dyDescent="0.25">
      <c r="A77" s="105"/>
      <c r="B77" s="4" t="s">
        <v>24</v>
      </c>
      <c r="C77" s="8">
        <v>39</v>
      </c>
      <c r="D77" s="8" t="s">
        <v>167</v>
      </c>
      <c r="E77" s="8">
        <v>6</v>
      </c>
      <c r="F77" s="8" t="s">
        <v>167</v>
      </c>
      <c r="G77" s="8">
        <v>1</v>
      </c>
      <c r="H77" s="8" t="s">
        <v>167</v>
      </c>
      <c r="I77" s="8">
        <v>2</v>
      </c>
      <c r="J77" s="8">
        <v>3</v>
      </c>
      <c r="K77" s="8">
        <v>51</v>
      </c>
    </row>
    <row r="78" spans="1:11" ht="15" customHeight="1" x14ac:dyDescent="0.25">
      <c r="A78" s="105"/>
      <c r="B78" s="9" t="s">
        <v>12</v>
      </c>
      <c r="C78" s="81">
        <v>1367</v>
      </c>
      <c r="D78" s="81">
        <v>512</v>
      </c>
      <c r="E78" s="81">
        <v>990</v>
      </c>
      <c r="F78" s="81">
        <v>589</v>
      </c>
      <c r="G78" s="81">
        <v>252</v>
      </c>
      <c r="H78" s="81">
        <v>43</v>
      </c>
      <c r="I78" s="81">
        <v>74</v>
      </c>
      <c r="J78" s="81">
        <v>174</v>
      </c>
      <c r="K78" s="81">
        <v>4001</v>
      </c>
    </row>
    <row r="79" spans="1:11" ht="15" customHeight="1" x14ac:dyDescent="0.25">
      <c r="A79" s="105" t="s">
        <v>52</v>
      </c>
      <c r="B79" s="4" t="s">
        <v>22</v>
      </c>
      <c r="C79" s="8">
        <v>602</v>
      </c>
      <c r="D79" s="8">
        <v>64</v>
      </c>
      <c r="E79" s="8">
        <v>681</v>
      </c>
      <c r="F79" s="8">
        <v>506</v>
      </c>
      <c r="G79" s="8">
        <v>139</v>
      </c>
      <c r="H79" s="8">
        <v>15</v>
      </c>
      <c r="I79" s="8">
        <v>17</v>
      </c>
      <c r="J79" s="8">
        <v>266</v>
      </c>
      <c r="K79" s="8">
        <v>2290</v>
      </c>
    </row>
    <row r="80" spans="1:11" ht="15" customHeight="1" x14ac:dyDescent="0.25">
      <c r="A80" s="105"/>
      <c r="B80" s="4" t="s">
        <v>23</v>
      </c>
      <c r="C80" s="8">
        <v>614</v>
      </c>
      <c r="D80" s="8">
        <v>333</v>
      </c>
      <c r="E80" s="8">
        <v>373</v>
      </c>
      <c r="F80" s="8">
        <v>236</v>
      </c>
      <c r="G80" s="8">
        <v>148</v>
      </c>
      <c r="H80" s="8">
        <v>29</v>
      </c>
      <c r="I80" s="8">
        <v>55</v>
      </c>
      <c r="J80" s="8">
        <v>11</v>
      </c>
      <c r="K80" s="8">
        <v>1799</v>
      </c>
    </row>
    <row r="81" spans="1:11" ht="15" customHeight="1" x14ac:dyDescent="0.25">
      <c r="A81" s="105"/>
      <c r="B81" s="4" t="s">
        <v>24</v>
      </c>
      <c r="C81" s="8">
        <v>30</v>
      </c>
      <c r="D81" s="8" t="s">
        <v>167</v>
      </c>
      <c r="E81" s="8" t="s">
        <v>167</v>
      </c>
      <c r="F81" s="8" t="s">
        <v>167</v>
      </c>
      <c r="G81" s="8" t="s">
        <v>167</v>
      </c>
      <c r="H81" s="8" t="s">
        <v>167</v>
      </c>
      <c r="I81" s="8">
        <v>1</v>
      </c>
      <c r="J81" s="8">
        <v>4</v>
      </c>
      <c r="K81" s="8">
        <v>35</v>
      </c>
    </row>
    <row r="82" spans="1:11" ht="15" customHeight="1" x14ac:dyDescent="0.25">
      <c r="A82" s="105"/>
      <c r="B82" s="9" t="s">
        <v>12</v>
      </c>
      <c r="C82" s="81">
        <v>1246</v>
      </c>
      <c r="D82" s="81">
        <v>397</v>
      </c>
      <c r="E82" s="81">
        <v>1054</v>
      </c>
      <c r="F82" s="81">
        <v>742</v>
      </c>
      <c r="G82" s="81">
        <v>287</v>
      </c>
      <c r="H82" s="81">
        <v>44</v>
      </c>
      <c r="I82" s="81">
        <v>73</v>
      </c>
      <c r="J82" s="81">
        <v>281</v>
      </c>
      <c r="K82" s="81">
        <v>4124</v>
      </c>
    </row>
    <row r="83" spans="1:11" ht="15" customHeight="1" x14ac:dyDescent="0.25">
      <c r="A83" s="105" t="s">
        <v>53</v>
      </c>
      <c r="B83" s="4" t="s">
        <v>22</v>
      </c>
      <c r="C83" s="8">
        <v>752</v>
      </c>
      <c r="D83" s="8">
        <v>60</v>
      </c>
      <c r="E83" s="8">
        <v>755</v>
      </c>
      <c r="F83" s="8">
        <v>515</v>
      </c>
      <c r="G83" s="8">
        <v>173</v>
      </c>
      <c r="H83" s="8">
        <v>17</v>
      </c>
      <c r="I83" s="8">
        <v>28</v>
      </c>
      <c r="J83" s="8">
        <v>266</v>
      </c>
      <c r="K83" s="8">
        <v>2566</v>
      </c>
    </row>
    <row r="84" spans="1:11" ht="15" customHeight="1" x14ac:dyDescent="0.25">
      <c r="A84" s="105"/>
      <c r="B84" s="4" t="s">
        <v>23</v>
      </c>
      <c r="C84" s="8">
        <v>617</v>
      </c>
      <c r="D84" s="8">
        <v>305</v>
      </c>
      <c r="E84" s="8">
        <v>316</v>
      </c>
      <c r="F84" s="8">
        <v>280</v>
      </c>
      <c r="G84" s="8">
        <v>148</v>
      </c>
      <c r="H84" s="8">
        <v>41</v>
      </c>
      <c r="I84" s="8">
        <v>73</v>
      </c>
      <c r="J84" s="8">
        <v>6</v>
      </c>
      <c r="K84" s="8">
        <v>1786</v>
      </c>
    </row>
    <row r="85" spans="1:11" ht="15" customHeight="1" x14ac:dyDescent="0.25">
      <c r="A85" s="105"/>
      <c r="B85" s="4" t="s">
        <v>24</v>
      </c>
      <c r="C85" s="8">
        <v>35</v>
      </c>
      <c r="D85" s="8" t="s">
        <v>167</v>
      </c>
      <c r="E85" s="8">
        <v>2</v>
      </c>
      <c r="F85" s="8" t="s">
        <v>167</v>
      </c>
      <c r="G85" s="8" t="s">
        <v>167</v>
      </c>
      <c r="H85" s="8" t="s">
        <v>167</v>
      </c>
      <c r="I85" s="8">
        <v>7</v>
      </c>
      <c r="J85" s="8">
        <v>8</v>
      </c>
      <c r="K85" s="8">
        <v>52</v>
      </c>
    </row>
    <row r="86" spans="1:11" ht="15" customHeight="1" x14ac:dyDescent="0.25">
      <c r="A86" s="105"/>
      <c r="B86" s="9" t="s">
        <v>12</v>
      </c>
      <c r="C86" s="81">
        <v>1404</v>
      </c>
      <c r="D86" s="81">
        <v>365</v>
      </c>
      <c r="E86" s="81">
        <v>1073</v>
      </c>
      <c r="F86" s="81">
        <v>795</v>
      </c>
      <c r="G86" s="81">
        <v>321</v>
      </c>
      <c r="H86" s="81">
        <v>58</v>
      </c>
      <c r="I86" s="81">
        <v>108</v>
      </c>
      <c r="J86" s="81">
        <v>280</v>
      </c>
      <c r="K86" s="81">
        <v>4404</v>
      </c>
    </row>
    <row r="87" spans="1:11" ht="15" customHeight="1" x14ac:dyDescent="0.25">
      <c r="A87" s="105" t="s">
        <v>227</v>
      </c>
      <c r="B87" s="4" t="s">
        <v>22</v>
      </c>
      <c r="C87" s="8">
        <v>782</v>
      </c>
      <c r="D87" s="8">
        <v>48</v>
      </c>
      <c r="E87" s="8">
        <v>733</v>
      </c>
      <c r="F87" s="8">
        <v>494</v>
      </c>
      <c r="G87" s="8">
        <v>182</v>
      </c>
      <c r="H87" s="8">
        <v>24</v>
      </c>
      <c r="I87" s="8">
        <v>39</v>
      </c>
      <c r="J87" s="8">
        <v>291</v>
      </c>
      <c r="K87" s="8">
        <v>2593</v>
      </c>
    </row>
    <row r="88" spans="1:11" ht="15" customHeight="1" x14ac:dyDescent="0.25">
      <c r="A88" s="105"/>
      <c r="B88" s="4" t="s">
        <v>23</v>
      </c>
      <c r="C88" s="8">
        <v>602</v>
      </c>
      <c r="D88" s="8">
        <v>230</v>
      </c>
      <c r="E88" s="8">
        <v>347</v>
      </c>
      <c r="F88" s="8">
        <v>284</v>
      </c>
      <c r="G88" s="8">
        <v>123</v>
      </c>
      <c r="H88" s="8">
        <v>53</v>
      </c>
      <c r="I88" s="8">
        <v>70</v>
      </c>
      <c r="J88" s="8">
        <v>8</v>
      </c>
      <c r="K88" s="8">
        <v>1717</v>
      </c>
    </row>
    <row r="89" spans="1:11" ht="15" customHeight="1" x14ac:dyDescent="0.25">
      <c r="A89" s="105"/>
      <c r="B89" s="4" t="s">
        <v>24</v>
      </c>
      <c r="C89" s="8">
        <v>31</v>
      </c>
      <c r="D89" s="8" t="s">
        <v>167</v>
      </c>
      <c r="E89" s="8">
        <v>2</v>
      </c>
      <c r="F89" s="8" t="s">
        <v>167</v>
      </c>
      <c r="G89" s="8" t="s">
        <v>167</v>
      </c>
      <c r="H89" s="8" t="s">
        <v>167</v>
      </c>
      <c r="I89" s="8">
        <v>3</v>
      </c>
      <c r="J89" s="8">
        <v>4</v>
      </c>
      <c r="K89" s="8">
        <v>40</v>
      </c>
    </row>
    <row r="90" spans="1:11" ht="15" customHeight="1" x14ac:dyDescent="0.25">
      <c r="A90" s="105"/>
      <c r="B90" s="9" t="s">
        <v>12</v>
      </c>
      <c r="C90" s="81">
        <v>1415</v>
      </c>
      <c r="D90" s="81">
        <v>278</v>
      </c>
      <c r="E90" s="81">
        <v>1082</v>
      </c>
      <c r="F90" s="81">
        <v>778</v>
      </c>
      <c r="G90" s="81">
        <v>305</v>
      </c>
      <c r="H90" s="81">
        <v>77</v>
      </c>
      <c r="I90" s="81">
        <v>112</v>
      </c>
      <c r="J90" s="81">
        <v>303</v>
      </c>
      <c r="K90" s="81">
        <v>4350</v>
      </c>
    </row>
    <row r="91" spans="1:11" ht="15" customHeight="1" x14ac:dyDescent="0.25">
      <c r="A91" s="105" t="s">
        <v>289</v>
      </c>
      <c r="B91" s="4" t="s">
        <v>22</v>
      </c>
      <c r="C91" s="8">
        <v>770</v>
      </c>
      <c r="D91" s="8">
        <v>49</v>
      </c>
      <c r="E91" s="8">
        <v>724</v>
      </c>
      <c r="F91" s="8">
        <v>537</v>
      </c>
      <c r="G91" s="8">
        <v>183</v>
      </c>
      <c r="H91" s="8">
        <v>24</v>
      </c>
      <c r="I91" s="8">
        <v>34</v>
      </c>
      <c r="J91" s="8">
        <v>317</v>
      </c>
      <c r="K91" s="8">
        <v>2638</v>
      </c>
    </row>
    <row r="92" spans="1:11" ht="15" customHeight="1" x14ac:dyDescent="0.25">
      <c r="A92" s="105"/>
      <c r="B92" s="4" t="s">
        <v>23</v>
      </c>
      <c r="C92" s="8">
        <v>651</v>
      </c>
      <c r="D92" s="8">
        <v>300</v>
      </c>
      <c r="E92" s="8">
        <v>328</v>
      </c>
      <c r="F92" s="8">
        <v>272</v>
      </c>
      <c r="G92" s="8">
        <v>153</v>
      </c>
      <c r="H92" s="8">
        <v>46</v>
      </c>
      <c r="I92" s="8">
        <v>65</v>
      </c>
      <c r="J92" s="8">
        <v>10</v>
      </c>
      <c r="K92" s="8">
        <v>1825</v>
      </c>
    </row>
    <row r="93" spans="1:11" ht="15" customHeight="1" x14ac:dyDescent="0.25">
      <c r="A93" s="105"/>
      <c r="B93" s="4" t="s">
        <v>24</v>
      </c>
      <c r="C93" s="8">
        <v>49</v>
      </c>
      <c r="D93" s="8">
        <v>2</v>
      </c>
      <c r="E93" s="8">
        <v>3</v>
      </c>
      <c r="F93" s="8" t="s">
        <v>167</v>
      </c>
      <c r="G93" s="8">
        <v>3</v>
      </c>
      <c r="H93" s="8" t="s">
        <v>167</v>
      </c>
      <c r="I93" s="8" t="s">
        <v>167</v>
      </c>
      <c r="J93" s="8">
        <v>3</v>
      </c>
      <c r="K93" s="8">
        <v>60</v>
      </c>
    </row>
    <row r="94" spans="1:11" ht="15" customHeight="1" x14ac:dyDescent="0.25">
      <c r="A94" s="92"/>
      <c r="B94" s="96" t="s">
        <v>12</v>
      </c>
      <c r="C94" s="101">
        <v>1470</v>
      </c>
      <c r="D94" s="101">
        <v>351</v>
      </c>
      <c r="E94" s="101">
        <v>1055</v>
      </c>
      <c r="F94" s="101">
        <v>809</v>
      </c>
      <c r="G94" s="101">
        <v>339</v>
      </c>
      <c r="H94" s="101">
        <v>70</v>
      </c>
      <c r="I94" s="101">
        <v>99</v>
      </c>
      <c r="J94" s="101">
        <v>330</v>
      </c>
      <c r="K94" s="101">
        <v>4523</v>
      </c>
    </row>
    <row r="95" spans="1:11" ht="1.5" customHeight="1" x14ac:dyDescent="0.25"/>
    <row r="96" spans="1:11" s="10" customFormat="1" ht="11.1" customHeight="1" x14ac:dyDescent="0.2">
      <c r="A96" s="6" t="s">
        <v>18</v>
      </c>
    </row>
    <row r="97" spans="1:11" s="6" customFormat="1" ht="11.1" customHeight="1" x14ac:dyDescent="0.15">
      <c r="A97" s="6" t="s">
        <v>58</v>
      </c>
    </row>
    <row r="98" spans="1:11" s="6" customFormat="1" ht="12" customHeight="1" x14ac:dyDescent="0.15">
      <c r="A98" s="199" t="s">
        <v>33</v>
      </c>
      <c r="B98" s="199"/>
      <c r="C98" s="199"/>
      <c r="D98" s="199"/>
      <c r="E98" s="199"/>
      <c r="F98" s="199"/>
      <c r="G98" s="199"/>
      <c r="H98" s="199"/>
      <c r="I98" s="199"/>
      <c r="J98" s="199"/>
      <c r="K98" s="199"/>
    </row>
    <row r="99" spans="1:11" s="6" customFormat="1" ht="11.1" customHeight="1" x14ac:dyDescent="0.15">
      <c r="A99" s="6" t="s">
        <v>16</v>
      </c>
    </row>
    <row r="100" spans="1:11" s="6" customFormat="1" ht="11.1" customHeight="1" x14ac:dyDescent="0.15">
      <c r="A100" s="6" t="s">
        <v>271</v>
      </c>
    </row>
    <row r="101" spans="1:11" ht="12" customHeight="1" x14ac:dyDescent="0.25">
      <c r="A101" s="2"/>
    </row>
  </sheetData>
  <mergeCells count="15">
    <mergeCell ref="A1:K1"/>
    <mergeCell ref="A4:A7"/>
    <mergeCell ref="A8:A11"/>
    <mergeCell ref="A12:A15"/>
    <mergeCell ref="A16:A19"/>
    <mergeCell ref="A98:K98"/>
    <mergeCell ref="A20:A23"/>
    <mergeCell ref="A24:A27"/>
    <mergeCell ref="A28:A31"/>
    <mergeCell ref="A32:A35"/>
    <mergeCell ref="A36:A39"/>
    <mergeCell ref="A40:A43"/>
    <mergeCell ref="A48:K48"/>
    <mergeCell ref="A44:K44"/>
    <mergeCell ref="A52:M52"/>
  </mergeCells>
  <conditionalFormatting sqref="E4:E43">
    <cfRule type="cellIs" dxfId="1" priority="1" operator="lessThan">
      <formula>0.05</formula>
    </cfRule>
  </conditionalFormatting>
  <conditionalFormatting sqref="F4">
    <cfRule type="cellIs" dxfId="0" priority="2" operator="lessThan">
      <formula>0.05</formula>
    </cfRule>
  </conditionalFormatting>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100"/>
  <sheetViews>
    <sheetView topLeftCell="A28" zoomScaleNormal="100" workbookViewId="0">
      <selection activeCell="A28" sqref="A28:A31"/>
    </sheetView>
  </sheetViews>
  <sheetFormatPr defaultColWidth="9.140625" defaultRowHeight="15" x14ac:dyDescent="0.25"/>
  <cols>
    <col min="1" max="13" width="11.42578125" style="1" bestFit="1" customWidth="1"/>
    <col min="14" max="16384" width="9.140625" style="1"/>
  </cols>
  <sheetData>
    <row r="1" spans="1:11" ht="24" customHeight="1" x14ac:dyDescent="0.25">
      <c r="A1" s="200" t="s">
        <v>297</v>
      </c>
      <c r="B1" s="200"/>
      <c r="C1" s="200"/>
      <c r="D1" s="200"/>
      <c r="E1" s="200"/>
      <c r="F1" s="200"/>
      <c r="G1" s="200"/>
      <c r="H1" s="200"/>
      <c r="I1" s="200"/>
      <c r="J1" s="200"/>
      <c r="K1" s="200"/>
    </row>
    <row r="2" spans="1:11" ht="1.5" customHeight="1" x14ac:dyDescent="0.25">
      <c r="A2" s="2"/>
    </row>
    <row r="3" spans="1:11" ht="23.25" x14ac:dyDescent="0.25">
      <c r="A3" s="52" t="s">
        <v>189</v>
      </c>
      <c r="B3" s="52" t="s">
        <v>190</v>
      </c>
      <c r="C3" s="3" t="s">
        <v>1</v>
      </c>
      <c r="D3" s="3" t="s">
        <v>2</v>
      </c>
      <c r="E3" s="3" t="s">
        <v>3</v>
      </c>
      <c r="F3" s="3" t="s">
        <v>4</v>
      </c>
      <c r="G3" s="3" t="s">
        <v>5</v>
      </c>
      <c r="H3" s="3" t="s">
        <v>6</v>
      </c>
      <c r="I3" s="3" t="s">
        <v>7</v>
      </c>
      <c r="J3" s="3" t="s">
        <v>8</v>
      </c>
      <c r="K3" s="3" t="s">
        <v>9</v>
      </c>
    </row>
    <row r="4" spans="1:11" ht="15" customHeight="1" x14ac:dyDescent="0.25">
      <c r="A4" s="203" t="s">
        <v>55</v>
      </c>
      <c r="B4" s="106" t="s">
        <v>22</v>
      </c>
      <c r="C4" s="107">
        <v>164.2</v>
      </c>
      <c r="D4" s="107">
        <v>28.4</v>
      </c>
      <c r="E4" s="107">
        <v>132.19999999999999</v>
      </c>
      <c r="F4" s="107">
        <v>101.6</v>
      </c>
      <c r="G4" s="107">
        <v>31.7</v>
      </c>
      <c r="H4" s="107">
        <v>1.4</v>
      </c>
      <c r="I4" s="107">
        <v>2.9</v>
      </c>
      <c r="J4" s="107">
        <v>47</v>
      </c>
      <c r="K4" s="107">
        <v>509.4</v>
      </c>
    </row>
    <row r="5" spans="1:11" ht="15" customHeight="1" x14ac:dyDescent="0.25">
      <c r="A5" s="203"/>
      <c r="B5" s="106" t="s">
        <v>23</v>
      </c>
      <c r="C5" s="107">
        <v>133.80000000000001</v>
      </c>
      <c r="D5" s="107">
        <v>139.19999999999999</v>
      </c>
      <c r="E5" s="107">
        <v>56.6</v>
      </c>
      <c r="F5" s="107">
        <v>36.1</v>
      </c>
      <c r="G5" s="107">
        <v>24.7</v>
      </c>
      <c r="H5" s="107">
        <v>7.9</v>
      </c>
      <c r="I5" s="107">
        <v>5.6</v>
      </c>
      <c r="J5" s="107">
        <v>2.5</v>
      </c>
      <c r="K5" s="107">
        <v>406.5</v>
      </c>
    </row>
    <row r="6" spans="1:11" ht="15" customHeight="1" x14ac:dyDescent="0.25">
      <c r="A6" s="203"/>
      <c r="B6" s="106" t="s">
        <v>24</v>
      </c>
      <c r="C6" s="107">
        <v>0.6</v>
      </c>
      <c r="D6" s="107" t="s">
        <v>167</v>
      </c>
      <c r="E6" s="107">
        <v>0.1</v>
      </c>
      <c r="F6" s="107" t="s">
        <v>167</v>
      </c>
      <c r="G6" s="107" t="s">
        <v>167</v>
      </c>
      <c r="H6" s="107" t="s">
        <v>167</v>
      </c>
      <c r="I6" s="107" t="s">
        <v>167</v>
      </c>
      <c r="J6" s="107">
        <v>1</v>
      </c>
      <c r="K6" s="107">
        <v>1.7</v>
      </c>
    </row>
    <row r="7" spans="1:11" ht="15" customHeight="1" x14ac:dyDescent="0.25">
      <c r="A7" s="203"/>
      <c r="B7" s="105" t="s">
        <v>12</v>
      </c>
      <c r="C7" s="76">
        <v>298.60000000000002</v>
      </c>
      <c r="D7" s="76">
        <v>167.6</v>
      </c>
      <c r="E7" s="76">
        <v>188.9</v>
      </c>
      <c r="F7" s="76">
        <v>137.69999999999999</v>
      </c>
      <c r="G7" s="76">
        <v>56.4</v>
      </c>
      <c r="H7" s="76">
        <v>9.3000000000000007</v>
      </c>
      <c r="I7" s="76">
        <v>8.5</v>
      </c>
      <c r="J7" s="76">
        <v>50.5</v>
      </c>
      <c r="K7" s="76">
        <v>917.6</v>
      </c>
    </row>
    <row r="8" spans="1:11" ht="15" customHeight="1" x14ac:dyDescent="0.25">
      <c r="A8" s="203" t="s">
        <v>56</v>
      </c>
      <c r="B8" s="106" t="s">
        <v>22</v>
      </c>
      <c r="C8" s="107">
        <v>147.4</v>
      </c>
      <c r="D8" s="107">
        <v>32</v>
      </c>
      <c r="E8" s="107">
        <v>130.30000000000001</v>
      </c>
      <c r="F8" s="107">
        <v>109</v>
      </c>
      <c r="G8" s="107">
        <v>34.299999999999997</v>
      </c>
      <c r="H8" s="107">
        <v>2.6</v>
      </c>
      <c r="I8" s="107">
        <v>2.2999999999999998</v>
      </c>
      <c r="J8" s="107">
        <v>35.4</v>
      </c>
      <c r="K8" s="107">
        <v>493.3</v>
      </c>
    </row>
    <row r="9" spans="1:11" ht="15" customHeight="1" x14ac:dyDescent="0.25">
      <c r="A9" s="203"/>
      <c r="B9" s="106" t="s">
        <v>23</v>
      </c>
      <c r="C9" s="107">
        <v>128.9</v>
      </c>
      <c r="D9" s="107">
        <v>157.19999999999999</v>
      </c>
      <c r="E9" s="107">
        <v>52.3</v>
      </c>
      <c r="F9" s="107">
        <v>37.5</v>
      </c>
      <c r="G9" s="107">
        <v>18.7</v>
      </c>
      <c r="H9" s="107">
        <v>8.4</v>
      </c>
      <c r="I9" s="107">
        <v>8.8000000000000007</v>
      </c>
      <c r="J9" s="107">
        <v>2.2000000000000002</v>
      </c>
      <c r="K9" s="107">
        <v>414.1</v>
      </c>
    </row>
    <row r="10" spans="1:11" ht="15" customHeight="1" x14ac:dyDescent="0.25">
      <c r="A10" s="203"/>
      <c r="B10" s="106" t="s">
        <v>24</v>
      </c>
      <c r="C10" s="107">
        <v>1.6</v>
      </c>
      <c r="D10" s="107">
        <v>0.2</v>
      </c>
      <c r="E10" s="107" t="s">
        <v>167</v>
      </c>
      <c r="F10" s="107" t="s">
        <v>167</v>
      </c>
      <c r="G10" s="107">
        <v>0.1</v>
      </c>
      <c r="H10" s="107" t="s">
        <v>167</v>
      </c>
      <c r="I10" s="107" t="s">
        <v>167</v>
      </c>
      <c r="J10" s="107">
        <v>1.1000000000000001</v>
      </c>
      <c r="K10" s="107">
        <v>3.1</v>
      </c>
    </row>
    <row r="11" spans="1:11" ht="15" customHeight="1" x14ac:dyDescent="0.25">
      <c r="A11" s="203"/>
      <c r="B11" s="105" t="s">
        <v>12</v>
      </c>
      <c r="C11" s="76">
        <v>278</v>
      </c>
      <c r="D11" s="76">
        <v>189.4</v>
      </c>
      <c r="E11" s="76">
        <v>182.6</v>
      </c>
      <c r="F11" s="76">
        <v>146.5</v>
      </c>
      <c r="G11" s="76">
        <v>53.1</v>
      </c>
      <c r="H11" s="76">
        <v>11</v>
      </c>
      <c r="I11" s="76">
        <v>11.1</v>
      </c>
      <c r="J11" s="76">
        <v>38.700000000000003</v>
      </c>
      <c r="K11" s="76">
        <v>910.5</v>
      </c>
    </row>
    <row r="12" spans="1:11" ht="15" customHeight="1" x14ac:dyDescent="0.25">
      <c r="A12" s="203" t="s">
        <v>57</v>
      </c>
      <c r="B12" s="106" t="s">
        <v>22</v>
      </c>
      <c r="C12" s="107">
        <v>142.69999999999999</v>
      </c>
      <c r="D12" s="107">
        <v>33.5</v>
      </c>
      <c r="E12" s="107">
        <v>152.19999999999999</v>
      </c>
      <c r="F12" s="107">
        <v>110</v>
      </c>
      <c r="G12" s="107">
        <v>30.3</v>
      </c>
      <c r="H12" s="107">
        <v>3.8</v>
      </c>
      <c r="I12" s="107">
        <v>4.0999999999999996</v>
      </c>
      <c r="J12" s="107">
        <v>38.9</v>
      </c>
      <c r="K12" s="107">
        <v>515.5</v>
      </c>
    </row>
    <row r="13" spans="1:11" ht="15" customHeight="1" x14ac:dyDescent="0.25">
      <c r="A13" s="203"/>
      <c r="B13" s="106" t="s">
        <v>23</v>
      </c>
      <c r="C13" s="107">
        <v>145.1</v>
      </c>
      <c r="D13" s="107">
        <v>169.1</v>
      </c>
      <c r="E13" s="107">
        <v>57.3</v>
      </c>
      <c r="F13" s="107">
        <v>43</v>
      </c>
      <c r="G13" s="107">
        <v>17.899999999999999</v>
      </c>
      <c r="H13" s="107">
        <v>7.9</v>
      </c>
      <c r="I13" s="107">
        <v>11.1</v>
      </c>
      <c r="J13" s="107">
        <v>0.8</v>
      </c>
      <c r="K13" s="107">
        <v>452</v>
      </c>
    </row>
    <row r="14" spans="1:11" ht="15" customHeight="1" x14ac:dyDescent="0.25">
      <c r="A14" s="203"/>
      <c r="B14" s="106" t="s">
        <v>24</v>
      </c>
      <c r="C14" s="107">
        <v>3.3</v>
      </c>
      <c r="D14" s="107">
        <v>0.2</v>
      </c>
      <c r="E14" s="107" t="s">
        <v>167</v>
      </c>
      <c r="F14" s="107" t="s">
        <v>167</v>
      </c>
      <c r="G14" s="107" t="s">
        <v>167</v>
      </c>
      <c r="H14" s="107" t="s">
        <v>167</v>
      </c>
      <c r="I14" s="107" t="s">
        <v>167</v>
      </c>
      <c r="J14" s="107">
        <v>0.7</v>
      </c>
      <c r="K14" s="107">
        <v>4.3</v>
      </c>
    </row>
    <row r="15" spans="1:11" ht="15" customHeight="1" x14ac:dyDescent="0.25">
      <c r="A15" s="203"/>
      <c r="B15" s="105" t="s">
        <v>12</v>
      </c>
      <c r="C15" s="76">
        <v>291.10000000000002</v>
      </c>
      <c r="D15" s="76">
        <v>202.8</v>
      </c>
      <c r="E15" s="76">
        <v>209.5</v>
      </c>
      <c r="F15" s="76">
        <v>153</v>
      </c>
      <c r="G15" s="76">
        <v>48.2</v>
      </c>
      <c r="H15" s="76">
        <v>11.6</v>
      </c>
      <c r="I15" s="76">
        <v>15.2</v>
      </c>
      <c r="J15" s="76">
        <v>40.299999999999997</v>
      </c>
      <c r="K15" s="76">
        <v>971.8</v>
      </c>
    </row>
    <row r="16" spans="1:11" ht="15" customHeight="1" x14ac:dyDescent="0.25">
      <c r="A16" s="203" t="s">
        <v>49</v>
      </c>
      <c r="B16" s="106" t="s">
        <v>22</v>
      </c>
      <c r="C16" s="107">
        <v>133.80000000000001</v>
      </c>
      <c r="D16" s="107">
        <v>32.299999999999997</v>
      </c>
      <c r="E16" s="107">
        <v>180.8</v>
      </c>
      <c r="F16" s="107">
        <v>105.9</v>
      </c>
      <c r="G16" s="107">
        <v>24.4</v>
      </c>
      <c r="H16" s="107">
        <v>4.5999999999999996</v>
      </c>
      <c r="I16" s="107">
        <v>3</v>
      </c>
      <c r="J16" s="107">
        <v>35.200000000000003</v>
      </c>
      <c r="K16" s="107">
        <v>519.9</v>
      </c>
    </row>
    <row r="17" spans="1:11" ht="15" customHeight="1" x14ac:dyDescent="0.25">
      <c r="A17" s="203"/>
      <c r="B17" s="106" t="s">
        <v>23</v>
      </c>
      <c r="C17" s="107">
        <v>132.30000000000001</v>
      </c>
      <c r="D17" s="107">
        <v>158.69999999999999</v>
      </c>
      <c r="E17" s="107">
        <v>72.7</v>
      </c>
      <c r="F17" s="107">
        <v>32.6</v>
      </c>
      <c r="G17" s="107">
        <v>16.7</v>
      </c>
      <c r="H17" s="107">
        <v>7</v>
      </c>
      <c r="I17" s="107">
        <v>7.1</v>
      </c>
      <c r="J17" s="107">
        <v>0.8</v>
      </c>
      <c r="K17" s="107">
        <v>428</v>
      </c>
    </row>
    <row r="18" spans="1:11" ht="15" customHeight="1" x14ac:dyDescent="0.25">
      <c r="A18" s="203"/>
      <c r="B18" s="106" t="s">
        <v>24</v>
      </c>
      <c r="C18" s="107">
        <v>3.3</v>
      </c>
      <c r="D18" s="107" t="s">
        <v>167</v>
      </c>
      <c r="E18" s="107">
        <v>0.1</v>
      </c>
      <c r="F18" s="107" t="s">
        <v>167</v>
      </c>
      <c r="G18" s="107" t="s">
        <v>167</v>
      </c>
      <c r="H18" s="107" t="s">
        <v>167</v>
      </c>
      <c r="I18" s="107" t="s">
        <v>167</v>
      </c>
      <c r="J18" s="107">
        <v>0.1</v>
      </c>
      <c r="K18" s="107">
        <v>3.5</v>
      </c>
    </row>
    <row r="19" spans="1:11" ht="15" customHeight="1" x14ac:dyDescent="0.25">
      <c r="A19" s="203"/>
      <c r="B19" s="105" t="s">
        <v>12</v>
      </c>
      <c r="C19" s="76">
        <v>269.5</v>
      </c>
      <c r="D19" s="76">
        <v>191</v>
      </c>
      <c r="E19" s="76">
        <v>253.6</v>
      </c>
      <c r="F19" s="76">
        <v>138.4</v>
      </c>
      <c r="G19" s="76">
        <v>41.1</v>
      </c>
      <c r="H19" s="76">
        <v>11.6</v>
      </c>
      <c r="I19" s="76">
        <v>10.199999999999999</v>
      </c>
      <c r="J19" s="76">
        <v>36</v>
      </c>
      <c r="K19" s="76">
        <v>951.4</v>
      </c>
    </row>
    <row r="20" spans="1:11" ht="15" customHeight="1" x14ac:dyDescent="0.25">
      <c r="A20" s="203" t="s">
        <v>50</v>
      </c>
      <c r="B20" s="106" t="s">
        <v>22</v>
      </c>
      <c r="C20" s="107">
        <v>117.4</v>
      </c>
      <c r="D20" s="107">
        <v>25.9</v>
      </c>
      <c r="E20" s="107">
        <v>151.9</v>
      </c>
      <c r="F20" s="107">
        <v>80.5</v>
      </c>
      <c r="G20" s="107">
        <v>20.2</v>
      </c>
      <c r="H20" s="107">
        <v>5.6</v>
      </c>
      <c r="I20" s="107">
        <v>5.0999999999999996</v>
      </c>
      <c r="J20" s="107">
        <v>23.5</v>
      </c>
      <c r="K20" s="107">
        <v>430</v>
      </c>
    </row>
    <row r="21" spans="1:11" ht="15" customHeight="1" x14ac:dyDescent="0.25">
      <c r="A21" s="203"/>
      <c r="B21" s="106" t="s">
        <v>23</v>
      </c>
      <c r="C21" s="107">
        <v>137.1</v>
      </c>
      <c r="D21" s="107">
        <v>159.19999999999999</v>
      </c>
      <c r="E21" s="107">
        <v>59.9</v>
      </c>
      <c r="F21" s="107">
        <v>31.1</v>
      </c>
      <c r="G21" s="107">
        <v>17.8</v>
      </c>
      <c r="H21" s="107">
        <v>9.6999999999999993</v>
      </c>
      <c r="I21" s="107">
        <v>11</v>
      </c>
      <c r="J21" s="107">
        <v>0.7</v>
      </c>
      <c r="K21" s="107">
        <v>426.4</v>
      </c>
    </row>
    <row r="22" spans="1:11" ht="15" customHeight="1" x14ac:dyDescent="0.25">
      <c r="A22" s="203"/>
      <c r="B22" s="106" t="s">
        <v>24</v>
      </c>
      <c r="C22" s="107">
        <v>2.2000000000000002</v>
      </c>
      <c r="D22" s="107" t="s">
        <v>167</v>
      </c>
      <c r="E22" s="107" t="s">
        <v>167</v>
      </c>
      <c r="F22" s="107" t="s">
        <v>167</v>
      </c>
      <c r="G22" s="107" t="s">
        <v>167</v>
      </c>
      <c r="H22" s="107" t="s">
        <v>167</v>
      </c>
      <c r="I22" s="107" t="s">
        <v>167</v>
      </c>
      <c r="J22" s="107" t="s">
        <v>167</v>
      </c>
      <c r="K22" s="107">
        <v>2.2999999999999998</v>
      </c>
    </row>
    <row r="23" spans="1:11" ht="15" customHeight="1" x14ac:dyDescent="0.25">
      <c r="A23" s="203"/>
      <c r="B23" s="105" t="s">
        <v>12</v>
      </c>
      <c r="C23" s="76">
        <v>256.7</v>
      </c>
      <c r="D23" s="76">
        <v>185.1</v>
      </c>
      <c r="E23" s="76">
        <v>211.8</v>
      </c>
      <c r="F23" s="76">
        <v>111.6</v>
      </c>
      <c r="G23" s="76">
        <v>37.9</v>
      </c>
      <c r="H23" s="76">
        <v>15.3</v>
      </c>
      <c r="I23" s="76">
        <v>16.100000000000001</v>
      </c>
      <c r="J23" s="76">
        <v>24.3</v>
      </c>
      <c r="K23" s="76">
        <v>858.7</v>
      </c>
    </row>
    <row r="24" spans="1:11" ht="15" customHeight="1" x14ac:dyDescent="0.25">
      <c r="A24" s="203" t="s">
        <v>51</v>
      </c>
      <c r="B24" s="106" t="s">
        <v>22</v>
      </c>
      <c r="C24" s="107">
        <v>83.6</v>
      </c>
      <c r="D24" s="107">
        <v>20.100000000000001</v>
      </c>
      <c r="E24" s="107">
        <v>156.4</v>
      </c>
      <c r="F24" s="107">
        <v>80.8</v>
      </c>
      <c r="G24" s="107">
        <v>16.2</v>
      </c>
      <c r="H24" s="107">
        <v>3.7</v>
      </c>
      <c r="I24" s="107">
        <v>2.6</v>
      </c>
      <c r="J24" s="107">
        <v>30.6</v>
      </c>
      <c r="K24" s="107">
        <v>393.9</v>
      </c>
    </row>
    <row r="25" spans="1:11" ht="15" customHeight="1" x14ac:dyDescent="0.25">
      <c r="A25" s="203"/>
      <c r="B25" s="106" t="s">
        <v>23</v>
      </c>
      <c r="C25" s="107">
        <v>121</v>
      </c>
      <c r="D25" s="107">
        <v>143.30000000000001</v>
      </c>
      <c r="E25" s="107">
        <v>80.8</v>
      </c>
      <c r="F25" s="107">
        <v>25</v>
      </c>
      <c r="G25" s="107">
        <v>12.1</v>
      </c>
      <c r="H25" s="107">
        <v>5.7</v>
      </c>
      <c r="I25" s="107">
        <v>6.8</v>
      </c>
      <c r="J25" s="107">
        <v>1.3</v>
      </c>
      <c r="K25" s="107">
        <v>396.1</v>
      </c>
    </row>
    <row r="26" spans="1:11" ht="15" customHeight="1" x14ac:dyDescent="0.25">
      <c r="A26" s="203"/>
      <c r="B26" s="106" t="s">
        <v>24</v>
      </c>
      <c r="C26" s="107">
        <v>1.3</v>
      </c>
      <c r="D26" s="107" t="s">
        <v>167</v>
      </c>
      <c r="E26" s="107">
        <v>0.5</v>
      </c>
      <c r="F26" s="107" t="s">
        <v>167</v>
      </c>
      <c r="G26" s="107" t="s">
        <v>167</v>
      </c>
      <c r="H26" s="107" t="s">
        <v>167</v>
      </c>
      <c r="I26" s="107" t="s">
        <v>167</v>
      </c>
      <c r="J26" s="107">
        <v>0.4</v>
      </c>
      <c r="K26" s="107">
        <v>2.2000000000000002</v>
      </c>
    </row>
    <row r="27" spans="1:11" ht="15" customHeight="1" x14ac:dyDescent="0.25">
      <c r="A27" s="203"/>
      <c r="B27" s="105" t="s">
        <v>12</v>
      </c>
      <c r="C27" s="76">
        <v>205.9</v>
      </c>
      <c r="D27" s="76">
        <v>163.4</v>
      </c>
      <c r="E27" s="76">
        <v>237.7</v>
      </c>
      <c r="F27" s="76">
        <v>105.8</v>
      </c>
      <c r="G27" s="76">
        <v>28.2</v>
      </c>
      <c r="H27" s="76">
        <v>9.4</v>
      </c>
      <c r="I27" s="76">
        <v>9.4</v>
      </c>
      <c r="J27" s="76">
        <v>32.299999999999997</v>
      </c>
      <c r="K27" s="76">
        <v>792.1</v>
      </c>
    </row>
    <row r="28" spans="1:11" ht="15" customHeight="1" x14ac:dyDescent="0.25">
      <c r="A28" s="203" t="s">
        <v>52</v>
      </c>
      <c r="B28" s="106" t="s">
        <v>22</v>
      </c>
      <c r="C28" s="107">
        <v>87.5</v>
      </c>
      <c r="D28" s="107">
        <v>18</v>
      </c>
      <c r="E28" s="107">
        <v>190.6</v>
      </c>
      <c r="F28" s="107">
        <v>90.3</v>
      </c>
      <c r="G28" s="107">
        <v>17.5</v>
      </c>
      <c r="H28" s="107">
        <v>4.0999999999999996</v>
      </c>
      <c r="I28" s="107">
        <v>2.9</v>
      </c>
      <c r="J28" s="107">
        <v>49.7</v>
      </c>
      <c r="K28" s="107">
        <v>460.7</v>
      </c>
    </row>
    <row r="29" spans="1:11" ht="15" customHeight="1" x14ac:dyDescent="0.25">
      <c r="A29" s="203"/>
      <c r="B29" s="106" t="s">
        <v>23</v>
      </c>
      <c r="C29" s="107">
        <v>100.2</v>
      </c>
      <c r="D29" s="107">
        <v>102.5</v>
      </c>
      <c r="E29" s="107">
        <v>98.7</v>
      </c>
      <c r="F29" s="107">
        <v>27.7</v>
      </c>
      <c r="G29" s="107">
        <v>17</v>
      </c>
      <c r="H29" s="107">
        <v>5</v>
      </c>
      <c r="I29" s="107">
        <v>8.6999999999999993</v>
      </c>
      <c r="J29" s="107">
        <v>2</v>
      </c>
      <c r="K29" s="107">
        <v>361.9</v>
      </c>
    </row>
    <row r="30" spans="1:11" ht="15" customHeight="1" x14ac:dyDescent="0.25">
      <c r="A30" s="203"/>
      <c r="B30" s="106" t="s">
        <v>24</v>
      </c>
      <c r="C30" s="107">
        <v>2.2999999999999998</v>
      </c>
      <c r="D30" s="107" t="s">
        <v>167</v>
      </c>
      <c r="E30" s="107" t="s">
        <v>167</v>
      </c>
      <c r="F30" s="107" t="s">
        <v>167</v>
      </c>
      <c r="G30" s="107" t="s">
        <v>167</v>
      </c>
      <c r="H30" s="107" t="s">
        <v>167</v>
      </c>
      <c r="I30" s="107" t="s">
        <v>167</v>
      </c>
      <c r="J30" s="107">
        <v>0.6</v>
      </c>
      <c r="K30" s="107">
        <v>3</v>
      </c>
    </row>
    <row r="31" spans="1:11" ht="15" customHeight="1" x14ac:dyDescent="0.25">
      <c r="A31" s="203"/>
      <c r="B31" s="105" t="s">
        <v>12</v>
      </c>
      <c r="C31" s="76">
        <v>190.1</v>
      </c>
      <c r="D31" s="76">
        <v>120.5</v>
      </c>
      <c r="E31" s="76">
        <v>289.3</v>
      </c>
      <c r="F31" s="76">
        <v>118</v>
      </c>
      <c r="G31" s="76">
        <v>34.5</v>
      </c>
      <c r="H31" s="76">
        <v>9.1</v>
      </c>
      <c r="I31" s="76">
        <v>11.6</v>
      </c>
      <c r="J31" s="76">
        <v>52.4</v>
      </c>
      <c r="K31" s="76">
        <v>825.5</v>
      </c>
    </row>
    <row r="32" spans="1:11" ht="15" customHeight="1" x14ac:dyDescent="0.25">
      <c r="A32" s="203" t="s">
        <v>53</v>
      </c>
      <c r="B32" s="106" t="s">
        <v>22</v>
      </c>
      <c r="C32" s="107">
        <v>108.4</v>
      </c>
      <c r="D32" s="107">
        <v>15.1</v>
      </c>
      <c r="E32" s="107">
        <v>218.3</v>
      </c>
      <c r="F32" s="107">
        <v>71.8</v>
      </c>
      <c r="G32" s="107">
        <v>18.3</v>
      </c>
      <c r="H32" s="107">
        <v>4.5</v>
      </c>
      <c r="I32" s="107">
        <v>4.4000000000000004</v>
      </c>
      <c r="J32" s="107">
        <v>49.5</v>
      </c>
      <c r="K32" s="107">
        <v>490.3</v>
      </c>
    </row>
    <row r="33" spans="1:11" ht="15" customHeight="1" x14ac:dyDescent="0.25">
      <c r="A33" s="203"/>
      <c r="B33" s="106" t="s">
        <v>23</v>
      </c>
      <c r="C33" s="107">
        <v>90.4</v>
      </c>
      <c r="D33" s="107">
        <v>92.6</v>
      </c>
      <c r="E33" s="107">
        <v>93</v>
      </c>
      <c r="F33" s="107">
        <v>26.8</v>
      </c>
      <c r="G33" s="107">
        <v>15.2</v>
      </c>
      <c r="H33" s="107">
        <v>9.1</v>
      </c>
      <c r="I33" s="107">
        <v>12.7</v>
      </c>
      <c r="J33" s="107">
        <v>1.6</v>
      </c>
      <c r="K33" s="107">
        <v>341.4</v>
      </c>
    </row>
    <row r="34" spans="1:11" ht="15" customHeight="1" x14ac:dyDescent="0.25">
      <c r="A34" s="203"/>
      <c r="B34" s="106" t="s">
        <v>24</v>
      </c>
      <c r="C34" s="107">
        <v>1</v>
      </c>
      <c r="D34" s="107" t="s">
        <v>167</v>
      </c>
      <c r="E34" s="107" t="s">
        <v>167</v>
      </c>
      <c r="F34" s="107" t="s">
        <v>167</v>
      </c>
      <c r="G34" s="107" t="s">
        <v>167</v>
      </c>
      <c r="H34" s="107" t="s">
        <v>167</v>
      </c>
      <c r="I34" s="107">
        <v>0.6</v>
      </c>
      <c r="J34" s="107">
        <v>1.8</v>
      </c>
      <c r="K34" s="107">
        <v>3.5</v>
      </c>
    </row>
    <row r="35" spans="1:11" ht="15" customHeight="1" x14ac:dyDescent="0.25">
      <c r="A35" s="203"/>
      <c r="B35" s="105" t="s">
        <v>12</v>
      </c>
      <c r="C35" s="76">
        <v>199.8</v>
      </c>
      <c r="D35" s="76">
        <v>107.7</v>
      </c>
      <c r="E35" s="76">
        <v>311.3</v>
      </c>
      <c r="F35" s="76">
        <v>98.6</v>
      </c>
      <c r="G35" s="76">
        <v>33.5</v>
      </c>
      <c r="H35" s="76">
        <v>13.6</v>
      </c>
      <c r="I35" s="76">
        <v>17.8</v>
      </c>
      <c r="J35" s="76">
        <v>52.9</v>
      </c>
      <c r="K35" s="76">
        <v>835.2</v>
      </c>
    </row>
    <row r="36" spans="1:11" ht="15" customHeight="1" x14ac:dyDescent="0.25">
      <c r="A36" s="203" t="s">
        <v>227</v>
      </c>
      <c r="B36" s="106" t="s">
        <v>22</v>
      </c>
      <c r="C36" s="107">
        <v>132.19999999999999</v>
      </c>
      <c r="D36" s="107">
        <v>14</v>
      </c>
      <c r="E36" s="107">
        <v>227.1</v>
      </c>
      <c r="F36" s="107">
        <v>59.7</v>
      </c>
      <c r="G36" s="107">
        <v>17.7</v>
      </c>
      <c r="H36" s="107">
        <v>5.6</v>
      </c>
      <c r="I36" s="107">
        <v>5.3</v>
      </c>
      <c r="J36" s="107">
        <v>43.2</v>
      </c>
      <c r="K36" s="107">
        <v>504.8</v>
      </c>
    </row>
    <row r="37" spans="1:11" ht="15" customHeight="1" x14ac:dyDescent="0.25">
      <c r="A37" s="203"/>
      <c r="B37" s="106" t="s">
        <v>23</v>
      </c>
      <c r="C37" s="107">
        <v>84.5</v>
      </c>
      <c r="D37" s="107">
        <v>79.099999999999994</v>
      </c>
      <c r="E37" s="107">
        <v>92.4</v>
      </c>
      <c r="F37" s="107">
        <v>27.5</v>
      </c>
      <c r="G37" s="107">
        <v>16.100000000000001</v>
      </c>
      <c r="H37" s="107">
        <v>10.7</v>
      </c>
      <c r="I37" s="107">
        <v>10.4</v>
      </c>
      <c r="J37" s="107">
        <v>1.6</v>
      </c>
      <c r="K37" s="107">
        <v>322.39999999999998</v>
      </c>
    </row>
    <row r="38" spans="1:11" ht="15" customHeight="1" x14ac:dyDescent="0.25">
      <c r="A38" s="203"/>
      <c r="B38" s="106" t="s">
        <v>24</v>
      </c>
      <c r="C38" s="107">
        <v>0.4</v>
      </c>
      <c r="D38" s="107" t="s">
        <v>167</v>
      </c>
      <c r="E38" s="107" t="s">
        <v>167</v>
      </c>
      <c r="F38" s="107" t="s">
        <v>167</v>
      </c>
      <c r="G38" s="107" t="s">
        <v>167</v>
      </c>
      <c r="H38" s="107" t="s">
        <v>167</v>
      </c>
      <c r="I38" s="107" t="s">
        <v>167</v>
      </c>
      <c r="J38" s="107">
        <v>1.3</v>
      </c>
      <c r="K38" s="107">
        <v>1.7</v>
      </c>
    </row>
    <row r="39" spans="1:11" ht="15" customHeight="1" x14ac:dyDescent="0.25">
      <c r="A39" s="203"/>
      <c r="B39" s="105" t="s">
        <v>12</v>
      </c>
      <c r="C39" s="76">
        <v>217</v>
      </c>
      <c r="D39" s="76">
        <v>93.1</v>
      </c>
      <c r="E39" s="76">
        <v>319.60000000000002</v>
      </c>
      <c r="F39" s="76">
        <v>87.2</v>
      </c>
      <c r="G39" s="76">
        <v>33.799999999999997</v>
      </c>
      <c r="H39" s="76">
        <v>16.3</v>
      </c>
      <c r="I39" s="76">
        <v>15.8</v>
      </c>
      <c r="J39" s="76">
        <v>46.2</v>
      </c>
      <c r="K39" s="76">
        <v>828.9</v>
      </c>
    </row>
    <row r="40" spans="1:11" ht="15" customHeight="1" x14ac:dyDescent="0.25">
      <c r="A40" s="203" t="s">
        <v>289</v>
      </c>
      <c r="B40" s="106" t="s">
        <v>22</v>
      </c>
      <c r="C40" s="107">
        <v>139.69999999999999</v>
      </c>
      <c r="D40" s="107">
        <v>19</v>
      </c>
      <c r="E40" s="107">
        <v>214.5</v>
      </c>
      <c r="F40" s="107">
        <v>46.6</v>
      </c>
      <c r="G40" s="107">
        <v>21.5</v>
      </c>
      <c r="H40" s="107">
        <v>5.9</v>
      </c>
      <c r="I40" s="107">
        <v>6.7</v>
      </c>
      <c r="J40" s="107">
        <v>43.1</v>
      </c>
      <c r="K40" s="107">
        <v>496.9</v>
      </c>
    </row>
    <row r="41" spans="1:11" ht="15" customHeight="1" x14ac:dyDescent="0.25">
      <c r="A41" s="203"/>
      <c r="B41" s="106" t="s">
        <v>23</v>
      </c>
      <c r="C41" s="107">
        <v>90</v>
      </c>
      <c r="D41" s="107">
        <v>109.4</v>
      </c>
      <c r="E41" s="107">
        <v>85.9</v>
      </c>
      <c r="F41" s="107">
        <v>28.9</v>
      </c>
      <c r="G41" s="107">
        <v>20.100000000000001</v>
      </c>
      <c r="H41" s="107">
        <v>9.9</v>
      </c>
      <c r="I41" s="107">
        <v>12.5</v>
      </c>
      <c r="J41" s="107">
        <v>2</v>
      </c>
      <c r="K41" s="107">
        <v>358.8</v>
      </c>
    </row>
    <row r="42" spans="1:11" ht="15" customHeight="1" x14ac:dyDescent="0.25">
      <c r="A42" s="203"/>
      <c r="B42" s="106" t="s">
        <v>24</v>
      </c>
      <c r="C42" s="107">
        <v>1.6</v>
      </c>
      <c r="D42" s="107">
        <v>0.2</v>
      </c>
      <c r="E42" s="107">
        <v>0.3</v>
      </c>
      <c r="F42" s="107" t="s">
        <v>167</v>
      </c>
      <c r="G42" s="107">
        <v>0.4</v>
      </c>
      <c r="H42" s="107" t="s">
        <v>167</v>
      </c>
      <c r="I42" s="107" t="s">
        <v>167</v>
      </c>
      <c r="J42" s="107">
        <v>1.4</v>
      </c>
      <c r="K42" s="107">
        <v>3.8</v>
      </c>
    </row>
    <row r="43" spans="1:11" ht="15" customHeight="1" x14ac:dyDescent="0.25">
      <c r="A43" s="203"/>
      <c r="B43" s="105" t="s">
        <v>12</v>
      </c>
      <c r="C43" s="76">
        <v>231.3</v>
      </c>
      <c r="D43" s="76">
        <v>128.6</v>
      </c>
      <c r="E43" s="76">
        <v>300.7</v>
      </c>
      <c r="F43" s="76">
        <v>75.5</v>
      </c>
      <c r="G43" s="76">
        <v>42</v>
      </c>
      <c r="H43" s="76">
        <v>15.8</v>
      </c>
      <c r="I43" s="76">
        <v>19.100000000000001</v>
      </c>
      <c r="J43" s="76">
        <v>46.5</v>
      </c>
      <c r="K43" s="76">
        <v>859.5</v>
      </c>
    </row>
    <row r="44" spans="1:11" ht="11.1" customHeight="1" x14ac:dyDescent="0.25">
      <c r="A44" s="201" t="s">
        <v>13</v>
      </c>
      <c r="B44" s="201"/>
      <c r="C44" s="201"/>
      <c r="D44" s="201"/>
      <c r="E44" s="201"/>
      <c r="F44" s="201"/>
      <c r="G44" s="201"/>
      <c r="H44" s="201"/>
      <c r="I44" s="201"/>
      <c r="J44" s="201"/>
      <c r="K44" s="201"/>
    </row>
    <row r="45" spans="1:11" s="6" customFormat="1" ht="11.1" customHeight="1" x14ac:dyDescent="0.15">
      <c r="A45" s="6" t="s">
        <v>14</v>
      </c>
    </row>
    <row r="46" spans="1:11" s="10" customFormat="1" ht="11.1" customHeight="1" x14ac:dyDescent="0.2">
      <c r="A46" s="6" t="s">
        <v>59</v>
      </c>
    </row>
    <row r="47" spans="1:11" s="6" customFormat="1" ht="11.1" customHeight="1" x14ac:dyDescent="0.15">
      <c r="A47" s="6" t="s">
        <v>16</v>
      </c>
    </row>
    <row r="48" spans="1:11" s="6" customFormat="1" ht="11.1" customHeight="1" x14ac:dyDescent="0.15">
      <c r="A48" s="6" t="s">
        <v>271</v>
      </c>
    </row>
    <row r="49" spans="1:13" ht="12" customHeight="1" x14ac:dyDescent="0.25">
      <c r="A49" s="2"/>
    </row>
    <row r="50" spans="1:13" ht="27.95" customHeight="1" x14ac:dyDescent="0.25">
      <c r="A50" s="198" t="s">
        <v>298</v>
      </c>
      <c r="B50" s="198"/>
      <c r="C50" s="198"/>
      <c r="D50" s="198"/>
      <c r="E50" s="198"/>
      <c r="F50" s="198"/>
      <c r="G50" s="198"/>
      <c r="H50" s="198"/>
      <c r="I50" s="198"/>
      <c r="J50" s="198"/>
      <c r="K50" s="198"/>
      <c r="L50" s="198"/>
      <c r="M50" s="198"/>
    </row>
    <row r="51" spans="1:13" ht="3" customHeight="1" x14ac:dyDescent="0.25">
      <c r="A51" s="2"/>
    </row>
    <row r="52" spans="1:13" ht="23.25" x14ac:dyDescent="0.25">
      <c r="A52" s="52" t="s">
        <v>189</v>
      </c>
      <c r="B52" s="52" t="s">
        <v>190</v>
      </c>
      <c r="C52" s="3" t="s">
        <v>1</v>
      </c>
      <c r="D52" s="3" t="s">
        <v>2</v>
      </c>
      <c r="E52" s="3" t="s">
        <v>3</v>
      </c>
      <c r="F52" s="3" t="s">
        <v>4</v>
      </c>
      <c r="G52" s="3" t="s">
        <v>5</v>
      </c>
      <c r="H52" s="3" t="s">
        <v>6</v>
      </c>
      <c r="I52" s="3" t="s">
        <v>7</v>
      </c>
      <c r="J52" s="3" t="s">
        <v>8</v>
      </c>
      <c r="K52" s="3" t="s">
        <v>9</v>
      </c>
    </row>
    <row r="53" spans="1:13" ht="15" customHeight="1" x14ac:dyDescent="0.25">
      <c r="A53" s="105" t="s">
        <v>55</v>
      </c>
      <c r="B53" s="106" t="s">
        <v>22</v>
      </c>
      <c r="C53" s="108">
        <v>743</v>
      </c>
      <c r="D53" s="108">
        <v>110</v>
      </c>
      <c r="E53" s="108">
        <v>543</v>
      </c>
      <c r="F53" s="108">
        <v>546</v>
      </c>
      <c r="G53" s="108">
        <v>207</v>
      </c>
      <c r="H53" s="108" t="s">
        <v>174</v>
      </c>
      <c r="I53" s="108" t="s">
        <v>174</v>
      </c>
      <c r="J53" s="108">
        <v>252</v>
      </c>
      <c r="K53" s="108">
        <v>2433</v>
      </c>
    </row>
    <row r="54" spans="1:13" ht="15" customHeight="1" x14ac:dyDescent="0.25">
      <c r="A54" s="105"/>
      <c r="B54" s="106" t="s">
        <v>23</v>
      </c>
      <c r="C54" s="108">
        <v>816</v>
      </c>
      <c r="D54" s="108">
        <v>571</v>
      </c>
      <c r="E54" s="108">
        <v>316</v>
      </c>
      <c r="F54" s="108">
        <v>312</v>
      </c>
      <c r="G54" s="108">
        <v>213</v>
      </c>
      <c r="H54" s="108" t="s">
        <v>174</v>
      </c>
      <c r="I54" s="108" t="s">
        <v>174</v>
      </c>
      <c r="J54" s="108">
        <v>12</v>
      </c>
      <c r="K54" s="108">
        <v>2319</v>
      </c>
    </row>
    <row r="55" spans="1:13" ht="15" customHeight="1" x14ac:dyDescent="0.25">
      <c r="A55" s="105"/>
      <c r="B55" s="106" t="s">
        <v>24</v>
      </c>
      <c r="C55" s="108">
        <v>38</v>
      </c>
      <c r="D55" s="108" t="s">
        <v>167</v>
      </c>
      <c r="E55" s="108">
        <v>1</v>
      </c>
      <c r="F55" s="108" t="s">
        <v>167</v>
      </c>
      <c r="G55" s="108">
        <v>4</v>
      </c>
      <c r="H55" s="108" t="s">
        <v>167</v>
      </c>
      <c r="I55" s="108" t="s">
        <v>167</v>
      </c>
      <c r="J55" s="108">
        <v>5</v>
      </c>
      <c r="K55" s="108">
        <v>48</v>
      </c>
    </row>
    <row r="56" spans="1:13" ht="15" customHeight="1" x14ac:dyDescent="0.25">
      <c r="A56" s="105"/>
      <c r="B56" s="109" t="s">
        <v>12</v>
      </c>
      <c r="C56" s="81">
        <v>1597</v>
      </c>
      <c r="D56" s="81">
        <v>681</v>
      </c>
      <c r="E56" s="81">
        <v>860</v>
      </c>
      <c r="F56" s="81">
        <v>858</v>
      </c>
      <c r="G56" s="81">
        <v>424</v>
      </c>
      <c r="H56" s="81" t="s">
        <v>174</v>
      </c>
      <c r="I56" s="81" t="s">
        <v>174</v>
      </c>
      <c r="J56" s="81">
        <v>269</v>
      </c>
      <c r="K56" s="81">
        <v>4800</v>
      </c>
    </row>
    <row r="57" spans="1:13" ht="15" customHeight="1" x14ac:dyDescent="0.25">
      <c r="A57" s="105" t="s">
        <v>56</v>
      </c>
      <c r="B57" s="106" t="s">
        <v>22</v>
      </c>
      <c r="C57" s="108">
        <v>713</v>
      </c>
      <c r="D57" s="108">
        <v>113</v>
      </c>
      <c r="E57" s="108">
        <v>602</v>
      </c>
      <c r="F57" s="108">
        <v>552</v>
      </c>
      <c r="G57" s="108">
        <v>199</v>
      </c>
      <c r="H57" s="108" t="s">
        <v>174</v>
      </c>
      <c r="I57" s="108" t="s">
        <v>174</v>
      </c>
      <c r="J57" s="108">
        <v>227</v>
      </c>
      <c r="K57" s="108">
        <v>2454</v>
      </c>
    </row>
    <row r="58" spans="1:13" ht="15" customHeight="1" x14ac:dyDescent="0.25">
      <c r="A58" s="105"/>
      <c r="B58" s="106" t="s">
        <v>23</v>
      </c>
      <c r="C58" s="108">
        <v>772</v>
      </c>
      <c r="D58" s="108">
        <v>594</v>
      </c>
      <c r="E58" s="108">
        <v>362</v>
      </c>
      <c r="F58" s="108">
        <v>317</v>
      </c>
      <c r="G58" s="108">
        <v>194</v>
      </c>
      <c r="H58" s="108" t="s">
        <v>174</v>
      </c>
      <c r="I58" s="108" t="s">
        <v>174</v>
      </c>
      <c r="J58" s="108">
        <v>9</v>
      </c>
      <c r="K58" s="108">
        <v>2350</v>
      </c>
    </row>
    <row r="59" spans="1:13" ht="15" customHeight="1" x14ac:dyDescent="0.25">
      <c r="A59" s="105"/>
      <c r="B59" s="106" t="s">
        <v>24</v>
      </c>
      <c r="C59" s="108">
        <v>45</v>
      </c>
      <c r="D59" s="108">
        <v>1</v>
      </c>
      <c r="E59" s="108">
        <v>4</v>
      </c>
      <c r="F59" s="108" t="s">
        <v>167</v>
      </c>
      <c r="G59" s="108">
        <v>3</v>
      </c>
      <c r="H59" s="108" t="s">
        <v>167</v>
      </c>
      <c r="I59" s="108" t="s">
        <v>167</v>
      </c>
      <c r="J59" s="108">
        <v>6</v>
      </c>
      <c r="K59" s="108">
        <v>59</v>
      </c>
    </row>
    <row r="60" spans="1:13" ht="15" customHeight="1" x14ac:dyDescent="0.25">
      <c r="A60" s="105"/>
      <c r="B60" s="109" t="s">
        <v>12</v>
      </c>
      <c r="C60" s="81">
        <v>1530</v>
      </c>
      <c r="D60" s="81">
        <v>708</v>
      </c>
      <c r="E60" s="81">
        <v>968</v>
      </c>
      <c r="F60" s="81">
        <v>869</v>
      </c>
      <c r="G60" s="81">
        <v>396</v>
      </c>
      <c r="H60" s="81">
        <v>65</v>
      </c>
      <c r="I60" s="81">
        <v>85</v>
      </c>
      <c r="J60" s="81">
        <v>242</v>
      </c>
      <c r="K60" s="81">
        <v>4863</v>
      </c>
    </row>
    <row r="61" spans="1:13" ht="15" customHeight="1" x14ac:dyDescent="0.25">
      <c r="A61" s="105" t="s">
        <v>57</v>
      </c>
      <c r="B61" s="106" t="s">
        <v>22</v>
      </c>
      <c r="C61" s="108">
        <v>743</v>
      </c>
      <c r="D61" s="108">
        <v>120</v>
      </c>
      <c r="E61" s="108">
        <v>700</v>
      </c>
      <c r="F61" s="108">
        <v>558</v>
      </c>
      <c r="G61" s="108">
        <v>177</v>
      </c>
      <c r="H61" s="108" t="s">
        <v>174</v>
      </c>
      <c r="I61" s="108" t="s">
        <v>174</v>
      </c>
      <c r="J61" s="108">
        <v>192</v>
      </c>
      <c r="K61" s="108">
        <v>2534</v>
      </c>
    </row>
    <row r="62" spans="1:13" ht="15" customHeight="1" x14ac:dyDescent="0.25">
      <c r="A62" s="105"/>
      <c r="B62" s="106" t="s">
        <v>23</v>
      </c>
      <c r="C62" s="108">
        <v>816</v>
      </c>
      <c r="D62" s="108">
        <v>595</v>
      </c>
      <c r="E62" s="108">
        <v>363</v>
      </c>
      <c r="F62" s="108">
        <v>296</v>
      </c>
      <c r="G62" s="108">
        <v>155</v>
      </c>
      <c r="H62" s="108" t="s">
        <v>174</v>
      </c>
      <c r="I62" s="108" t="s">
        <v>174</v>
      </c>
      <c r="J62" s="108">
        <v>6</v>
      </c>
      <c r="K62" s="108">
        <v>2354</v>
      </c>
    </row>
    <row r="63" spans="1:13" ht="15" customHeight="1" x14ac:dyDescent="0.25">
      <c r="A63" s="105"/>
      <c r="B63" s="106" t="s">
        <v>24</v>
      </c>
      <c r="C63" s="108">
        <v>32</v>
      </c>
      <c r="D63" s="108">
        <v>2</v>
      </c>
      <c r="E63" s="108">
        <v>3</v>
      </c>
      <c r="F63" s="108" t="s">
        <v>167</v>
      </c>
      <c r="G63" s="108">
        <v>4</v>
      </c>
      <c r="H63" s="8" t="s">
        <v>167</v>
      </c>
      <c r="I63" s="8" t="s">
        <v>167</v>
      </c>
      <c r="J63" s="108">
        <v>4</v>
      </c>
      <c r="K63" s="108">
        <v>45</v>
      </c>
    </row>
    <row r="64" spans="1:13" ht="15" customHeight="1" x14ac:dyDescent="0.25">
      <c r="A64" s="105"/>
      <c r="B64" s="109" t="s">
        <v>12</v>
      </c>
      <c r="C64" s="81">
        <v>1591</v>
      </c>
      <c r="D64" s="81">
        <v>717</v>
      </c>
      <c r="E64" s="81">
        <v>1066</v>
      </c>
      <c r="F64" s="81">
        <v>854</v>
      </c>
      <c r="G64" s="81">
        <v>336</v>
      </c>
      <c r="H64" s="81">
        <v>58</v>
      </c>
      <c r="I64" s="81">
        <v>109</v>
      </c>
      <c r="J64" s="81">
        <v>202</v>
      </c>
      <c r="K64" s="81">
        <v>4933</v>
      </c>
    </row>
    <row r="65" spans="1:12" ht="15" customHeight="1" x14ac:dyDescent="0.25">
      <c r="A65" s="105" t="s">
        <v>49</v>
      </c>
      <c r="B65" s="106" t="s">
        <v>22</v>
      </c>
      <c r="C65" s="108">
        <v>692</v>
      </c>
      <c r="D65" s="108">
        <v>116</v>
      </c>
      <c r="E65" s="108">
        <v>758</v>
      </c>
      <c r="F65" s="108">
        <v>513</v>
      </c>
      <c r="G65" s="108">
        <v>151</v>
      </c>
      <c r="H65" s="108" t="s">
        <v>174</v>
      </c>
      <c r="I65" s="108" t="s">
        <v>174</v>
      </c>
      <c r="J65" s="108">
        <v>166</v>
      </c>
      <c r="K65" s="108">
        <v>2436</v>
      </c>
    </row>
    <row r="66" spans="1:12" ht="15" customHeight="1" x14ac:dyDescent="0.25">
      <c r="A66" s="105"/>
      <c r="B66" s="106" t="s">
        <v>23</v>
      </c>
      <c r="C66" s="108">
        <v>827</v>
      </c>
      <c r="D66" s="108">
        <v>625</v>
      </c>
      <c r="E66" s="108">
        <v>364</v>
      </c>
      <c r="F66" s="108">
        <v>322</v>
      </c>
      <c r="G66" s="108">
        <v>148</v>
      </c>
      <c r="H66" s="108" t="s">
        <v>174</v>
      </c>
      <c r="I66" s="108" t="s">
        <v>174</v>
      </c>
      <c r="J66" s="108">
        <v>5</v>
      </c>
      <c r="K66" s="108">
        <v>2400</v>
      </c>
    </row>
    <row r="67" spans="1:12" ht="15" customHeight="1" x14ac:dyDescent="0.25">
      <c r="A67" s="105"/>
      <c r="B67" s="106" t="s">
        <v>24</v>
      </c>
      <c r="C67" s="108">
        <v>26</v>
      </c>
      <c r="D67" s="108" t="s">
        <v>167</v>
      </c>
      <c r="E67" s="108">
        <v>6</v>
      </c>
      <c r="F67" s="108" t="s">
        <v>167</v>
      </c>
      <c r="G67" s="108" t="s">
        <v>167</v>
      </c>
      <c r="H67" s="108" t="s">
        <v>167</v>
      </c>
      <c r="I67" s="108" t="s">
        <v>167</v>
      </c>
      <c r="J67" s="108">
        <v>5</v>
      </c>
      <c r="K67" s="108">
        <v>37</v>
      </c>
    </row>
    <row r="68" spans="1:12" ht="15" customHeight="1" x14ac:dyDescent="0.25">
      <c r="A68" s="105"/>
      <c r="B68" s="109" t="s">
        <v>12</v>
      </c>
      <c r="C68" s="81">
        <v>1545</v>
      </c>
      <c r="D68" s="81">
        <v>741</v>
      </c>
      <c r="E68" s="81">
        <v>1128</v>
      </c>
      <c r="F68" s="81">
        <v>835</v>
      </c>
      <c r="G68" s="81">
        <v>299</v>
      </c>
      <c r="H68" s="81">
        <v>62</v>
      </c>
      <c r="I68" s="81">
        <v>87</v>
      </c>
      <c r="J68" s="81">
        <v>176</v>
      </c>
      <c r="K68" s="81">
        <v>4873</v>
      </c>
    </row>
    <row r="69" spans="1:12" ht="15" customHeight="1" x14ac:dyDescent="0.25">
      <c r="A69" s="105" t="s">
        <v>50</v>
      </c>
      <c r="B69" s="106" t="s">
        <v>22</v>
      </c>
      <c r="C69" s="108">
        <v>623</v>
      </c>
      <c r="D69" s="108">
        <v>104</v>
      </c>
      <c r="E69" s="108">
        <v>682</v>
      </c>
      <c r="F69" s="108">
        <v>462</v>
      </c>
      <c r="G69" s="108">
        <v>158</v>
      </c>
      <c r="H69" s="108" t="s">
        <v>174</v>
      </c>
      <c r="I69" s="108" t="s">
        <v>174</v>
      </c>
      <c r="J69" s="108">
        <v>134</v>
      </c>
      <c r="K69" s="108">
        <v>2209</v>
      </c>
    </row>
    <row r="70" spans="1:12" ht="15" customHeight="1" x14ac:dyDescent="0.25">
      <c r="A70" s="105"/>
      <c r="B70" s="106" t="s">
        <v>23</v>
      </c>
      <c r="C70" s="108">
        <v>881</v>
      </c>
      <c r="D70" s="108">
        <v>667</v>
      </c>
      <c r="E70" s="108">
        <v>365</v>
      </c>
      <c r="F70" s="108">
        <v>295</v>
      </c>
      <c r="G70" s="108">
        <v>163</v>
      </c>
      <c r="H70" s="108" t="s">
        <v>174</v>
      </c>
      <c r="I70" s="108" t="s">
        <v>174</v>
      </c>
      <c r="J70" s="108">
        <v>8</v>
      </c>
      <c r="K70" s="108">
        <v>2466</v>
      </c>
    </row>
    <row r="71" spans="1:12" ht="15" customHeight="1" x14ac:dyDescent="0.25">
      <c r="A71" s="105"/>
      <c r="B71" s="106" t="s">
        <v>24</v>
      </c>
      <c r="C71" s="108">
        <v>38</v>
      </c>
      <c r="D71" s="108" t="s">
        <v>167</v>
      </c>
      <c r="E71" s="108">
        <v>4</v>
      </c>
      <c r="F71" s="108" t="s">
        <v>167</v>
      </c>
      <c r="G71" s="108">
        <v>1</v>
      </c>
      <c r="H71" s="108" t="s">
        <v>167</v>
      </c>
      <c r="I71" s="108">
        <v>1</v>
      </c>
      <c r="J71" s="108">
        <v>1</v>
      </c>
      <c r="K71" s="108">
        <v>45</v>
      </c>
    </row>
    <row r="72" spans="1:12" ht="15" customHeight="1" x14ac:dyDescent="0.25">
      <c r="A72" s="105"/>
      <c r="B72" s="109" t="s">
        <v>12</v>
      </c>
      <c r="C72" s="81">
        <v>1542</v>
      </c>
      <c r="D72" s="81">
        <v>771</v>
      </c>
      <c r="E72" s="81">
        <v>1051</v>
      </c>
      <c r="F72" s="81">
        <v>757</v>
      </c>
      <c r="G72" s="81">
        <v>322</v>
      </c>
      <c r="H72" s="81" t="s">
        <v>174</v>
      </c>
      <c r="I72" s="81" t="s">
        <v>174</v>
      </c>
      <c r="J72" s="81">
        <v>143</v>
      </c>
      <c r="K72" s="81">
        <v>4720</v>
      </c>
    </row>
    <row r="73" spans="1:12" ht="15" customHeight="1" x14ac:dyDescent="0.25">
      <c r="A73" s="105" t="s">
        <v>51</v>
      </c>
      <c r="B73" s="106" t="s">
        <v>22</v>
      </c>
      <c r="C73" s="108">
        <v>587</v>
      </c>
      <c r="D73" s="108">
        <v>74</v>
      </c>
      <c r="E73" s="108">
        <v>629</v>
      </c>
      <c r="F73" s="108">
        <v>388</v>
      </c>
      <c r="G73" s="108">
        <v>121</v>
      </c>
      <c r="H73" s="108">
        <v>14</v>
      </c>
      <c r="I73" s="108">
        <v>22</v>
      </c>
      <c r="J73" s="108">
        <v>163</v>
      </c>
      <c r="K73" s="108">
        <v>1998</v>
      </c>
      <c r="L73" s="128"/>
    </row>
    <row r="74" spans="1:12" ht="15" customHeight="1" x14ac:dyDescent="0.25">
      <c r="A74" s="105"/>
      <c r="B74" s="106" t="s">
        <v>23</v>
      </c>
      <c r="C74" s="108">
        <v>850</v>
      </c>
      <c r="D74" s="108">
        <v>559</v>
      </c>
      <c r="E74" s="108">
        <v>385</v>
      </c>
      <c r="F74" s="108">
        <v>214</v>
      </c>
      <c r="G74" s="108">
        <v>138</v>
      </c>
      <c r="H74" s="108">
        <v>29</v>
      </c>
      <c r="I74" s="108">
        <v>50</v>
      </c>
      <c r="J74" s="108">
        <v>8</v>
      </c>
      <c r="K74" s="108">
        <v>2233</v>
      </c>
      <c r="L74" s="128"/>
    </row>
    <row r="75" spans="1:12" ht="15" customHeight="1" x14ac:dyDescent="0.25">
      <c r="A75" s="105"/>
      <c r="B75" s="106" t="s">
        <v>24</v>
      </c>
      <c r="C75" s="108">
        <v>43</v>
      </c>
      <c r="D75" s="108" t="s">
        <v>167</v>
      </c>
      <c r="E75" s="108">
        <v>7</v>
      </c>
      <c r="F75" s="108" t="s">
        <v>167</v>
      </c>
      <c r="G75" s="108">
        <v>1</v>
      </c>
      <c r="H75" s="108" t="s">
        <v>167</v>
      </c>
      <c r="I75" s="108">
        <v>2</v>
      </c>
      <c r="J75" s="108">
        <v>3</v>
      </c>
      <c r="K75" s="108">
        <v>56</v>
      </c>
      <c r="L75" s="128"/>
    </row>
    <row r="76" spans="1:12" ht="15" customHeight="1" x14ac:dyDescent="0.25">
      <c r="A76" s="105"/>
      <c r="B76" s="109" t="s">
        <v>12</v>
      </c>
      <c r="C76" s="81">
        <v>1480</v>
      </c>
      <c r="D76" s="81">
        <v>633</v>
      </c>
      <c r="E76" s="81">
        <v>1021</v>
      </c>
      <c r="F76" s="81">
        <v>602</v>
      </c>
      <c r="G76" s="81">
        <v>260</v>
      </c>
      <c r="H76" s="81">
        <v>43</v>
      </c>
      <c r="I76" s="81">
        <v>74</v>
      </c>
      <c r="J76" s="81">
        <v>174</v>
      </c>
      <c r="K76" s="81">
        <v>4287</v>
      </c>
      <c r="L76" s="128"/>
    </row>
    <row r="77" spans="1:12" ht="15" customHeight="1" x14ac:dyDescent="0.25">
      <c r="A77" s="105" t="s">
        <v>52</v>
      </c>
      <c r="B77" s="106" t="s">
        <v>22</v>
      </c>
      <c r="C77" s="108">
        <v>631</v>
      </c>
      <c r="D77" s="108">
        <v>80</v>
      </c>
      <c r="E77" s="108">
        <v>696</v>
      </c>
      <c r="F77" s="108">
        <v>518</v>
      </c>
      <c r="G77" s="108">
        <v>143</v>
      </c>
      <c r="H77" s="108">
        <v>15</v>
      </c>
      <c r="I77" s="108">
        <v>17</v>
      </c>
      <c r="J77" s="108">
        <v>266</v>
      </c>
      <c r="K77" s="108">
        <v>2366</v>
      </c>
      <c r="L77" s="128"/>
    </row>
    <row r="78" spans="1:12" ht="15" customHeight="1" x14ac:dyDescent="0.25">
      <c r="A78" s="105"/>
      <c r="B78" s="106" t="s">
        <v>23</v>
      </c>
      <c r="C78" s="108">
        <v>672</v>
      </c>
      <c r="D78" s="108">
        <v>412</v>
      </c>
      <c r="E78" s="108">
        <v>384</v>
      </c>
      <c r="F78" s="108">
        <v>238</v>
      </c>
      <c r="G78" s="108">
        <v>153</v>
      </c>
      <c r="H78" s="108">
        <v>29</v>
      </c>
      <c r="I78" s="108">
        <v>55</v>
      </c>
      <c r="J78" s="108">
        <v>11</v>
      </c>
      <c r="K78" s="108">
        <v>1954</v>
      </c>
      <c r="L78" s="128"/>
    </row>
    <row r="79" spans="1:12" ht="15" customHeight="1" x14ac:dyDescent="0.25">
      <c r="A79" s="105"/>
      <c r="B79" s="106" t="s">
        <v>24</v>
      </c>
      <c r="C79" s="108">
        <v>30</v>
      </c>
      <c r="D79" s="108" t="s">
        <v>167</v>
      </c>
      <c r="E79" s="108" t="s">
        <v>167</v>
      </c>
      <c r="F79" s="108" t="s">
        <v>167</v>
      </c>
      <c r="G79" s="108" t="s">
        <v>167</v>
      </c>
      <c r="H79" s="108" t="s">
        <v>167</v>
      </c>
      <c r="I79" s="108">
        <v>1</v>
      </c>
      <c r="J79" s="108">
        <v>4</v>
      </c>
      <c r="K79" s="108">
        <v>35</v>
      </c>
      <c r="L79" s="128"/>
    </row>
    <row r="80" spans="1:12" ht="15" customHeight="1" x14ac:dyDescent="0.25">
      <c r="A80" s="105"/>
      <c r="B80" s="109" t="s">
        <v>12</v>
      </c>
      <c r="C80" s="81">
        <v>1333</v>
      </c>
      <c r="D80" s="81">
        <v>492</v>
      </c>
      <c r="E80" s="81">
        <v>1080</v>
      </c>
      <c r="F80" s="81">
        <v>756</v>
      </c>
      <c r="G80" s="81">
        <v>296</v>
      </c>
      <c r="H80" s="81">
        <v>44</v>
      </c>
      <c r="I80" s="81">
        <v>73</v>
      </c>
      <c r="J80" s="81">
        <v>281</v>
      </c>
      <c r="K80" s="81">
        <v>4355</v>
      </c>
      <c r="L80" s="128"/>
    </row>
    <row r="81" spans="1:12" ht="15" customHeight="1" x14ac:dyDescent="0.25">
      <c r="A81" s="105" t="s">
        <v>53</v>
      </c>
      <c r="B81" s="106" t="s">
        <v>22</v>
      </c>
      <c r="C81" s="108">
        <v>779</v>
      </c>
      <c r="D81" s="108">
        <v>70</v>
      </c>
      <c r="E81" s="108">
        <v>771</v>
      </c>
      <c r="F81" s="108">
        <v>521</v>
      </c>
      <c r="G81" s="108">
        <v>177</v>
      </c>
      <c r="H81" s="108">
        <v>17</v>
      </c>
      <c r="I81" s="108">
        <v>28</v>
      </c>
      <c r="J81" s="108">
        <v>267</v>
      </c>
      <c r="K81" s="108">
        <v>2630</v>
      </c>
      <c r="L81" s="128"/>
    </row>
    <row r="82" spans="1:12" ht="15" customHeight="1" x14ac:dyDescent="0.25">
      <c r="A82" s="105"/>
      <c r="B82" s="106" t="s">
        <v>23</v>
      </c>
      <c r="C82" s="108">
        <v>672</v>
      </c>
      <c r="D82" s="108">
        <v>372</v>
      </c>
      <c r="E82" s="108">
        <v>331</v>
      </c>
      <c r="F82" s="108">
        <v>282</v>
      </c>
      <c r="G82" s="108">
        <v>154</v>
      </c>
      <c r="H82" s="108">
        <v>41</v>
      </c>
      <c r="I82" s="108">
        <v>73</v>
      </c>
      <c r="J82" s="108">
        <v>6</v>
      </c>
      <c r="K82" s="108">
        <v>1931</v>
      </c>
      <c r="L82" s="128"/>
    </row>
    <row r="83" spans="1:12" ht="15" customHeight="1" x14ac:dyDescent="0.25">
      <c r="A83" s="105"/>
      <c r="B83" s="106" t="s">
        <v>24</v>
      </c>
      <c r="C83" s="108">
        <v>38</v>
      </c>
      <c r="D83" s="108" t="s">
        <v>167</v>
      </c>
      <c r="E83" s="108">
        <v>2</v>
      </c>
      <c r="F83" s="108" t="s">
        <v>167</v>
      </c>
      <c r="G83" s="108" t="s">
        <v>167</v>
      </c>
      <c r="H83" s="108" t="s">
        <v>167</v>
      </c>
      <c r="I83" s="108">
        <v>7</v>
      </c>
      <c r="J83" s="108">
        <v>9</v>
      </c>
      <c r="K83" s="108">
        <v>56</v>
      </c>
      <c r="L83" s="128"/>
    </row>
    <row r="84" spans="1:12" ht="15" customHeight="1" x14ac:dyDescent="0.25">
      <c r="A84" s="105"/>
      <c r="B84" s="109" t="s">
        <v>12</v>
      </c>
      <c r="C84" s="81">
        <v>1489</v>
      </c>
      <c r="D84" s="81">
        <v>442</v>
      </c>
      <c r="E84" s="81">
        <v>1104</v>
      </c>
      <c r="F84" s="81">
        <v>803</v>
      </c>
      <c r="G84" s="81">
        <v>331</v>
      </c>
      <c r="H84" s="81">
        <v>58</v>
      </c>
      <c r="I84" s="81">
        <v>108</v>
      </c>
      <c r="J84" s="81">
        <v>282</v>
      </c>
      <c r="K84" s="81">
        <v>4617</v>
      </c>
      <c r="L84" s="128"/>
    </row>
    <row r="85" spans="1:12" ht="15" customHeight="1" x14ac:dyDescent="0.25">
      <c r="A85" s="105" t="s">
        <v>227</v>
      </c>
      <c r="B85" s="106" t="s">
        <v>22</v>
      </c>
      <c r="C85" s="108">
        <v>814</v>
      </c>
      <c r="D85" s="108">
        <v>57</v>
      </c>
      <c r="E85" s="108">
        <v>756</v>
      </c>
      <c r="F85" s="108">
        <v>504</v>
      </c>
      <c r="G85" s="108">
        <v>185</v>
      </c>
      <c r="H85" s="108">
        <v>24</v>
      </c>
      <c r="I85" s="108">
        <v>39</v>
      </c>
      <c r="J85" s="108">
        <v>292</v>
      </c>
      <c r="K85" s="108">
        <v>2671</v>
      </c>
      <c r="L85" s="128"/>
    </row>
    <row r="86" spans="1:12" ht="15" customHeight="1" x14ac:dyDescent="0.25">
      <c r="A86" s="105"/>
      <c r="B86" s="106" t="s">
        <v>23</v>
      </c>
      <c r="C86" s="108">
        <v>654</v>
      </c>
      <c r="D86" s="108">
        <v>296</v>
      </c>
      <c r="E86" s="108">
        <v>360</v>
      </c>
      <c r="F86" s="108">
        <v>289</v>
      </c>
      <c r="G86" s="108">
        <v>132</v>
      </c>
      <c r="H86" s="108">
        <v>53</v>
      </c>
      <c r="I86" s="108">
        <v>70</v>
      </c>
      <c r="J86" s="108">
        <v>8</v>
      </c>
      <c r="K86" s="108">
        <v>1862</v>
      </c>
      <c r="L86" s="128"/>
    </row>
    <row r="87" spans="1:12" ht="15" customHeight="1" x14ac:dyDescent="0.25">
      <c r="A87" s="105"/>
      <c r="B87" s="106" t="s">
        <v>24</v>
      </c>
      <c r="C87" s="108">
        <v>32</v>
      </c>
      <c r="D87" s="108" t="s">
        <v>167</v>
      </c>
      <c r="E87" s="108">
        <v>2</v>
      </c>
      <c r="F87" s="108" t="s">
        <v>167</v>
      </c>
      <c r="G87" s="108" t="s">
        <v>167</v>
      </c>
      <c r="H87" s="108" t="s">
        <v>167</v>
      </c>
      <c r="I87" s="108">
        <v>3</v>
      </c>
      <c r="J87" s="108">
        <v>5</v>
      </c>
      <c r="K87" s="108">
        <v>42</v>
      </c>
      <c r="L87" s="128"/>
    </row>
    <row r="88" spans="1:12" ht="15" customHeight="1" x14ac:dyDescent="0.25">
      <c r="A88" s="105"/>
      <c r="B88" s="109" t="s">
        <v>12</v>
      </c>
      <c r="C88" s="81">
        <v>1500</v>
      </c>
      <c r="D88" s="81">
        <v>353</v>
      </c>
      <c r="E88" s="81">
        <v>1118</v>
      </c>
      <c r="F88" s="81">
        <v>793</v>
      </c>
      <c r="G88" s="81">
        <v>317</v>
      </c>
      <c r="H88" s="81">
        <v>77</v>
      </c>
      <c r="I88" s="81">
        <v>112</v>
      </c>
      <c r="J88" s="81">
        <v>305</v>
      </c>
      <c r="K88" s="81">
        <v>4575</v>
      </c>
      <c r="L88" s="128"/>
    </row>
    <row r="89" spans="1:12" ht="15" customHeight="1" x14ac:dyDescent="0.25">
      <c r="A89" s="105" t="s">
        <v>289</v>
      </c>
      <c r="B89" s="106" t="s">
        <v>22</v>
      </c>
      <c r="C89" s="108">
        <v>812</v>
      </c>
      <c r="D89" s="108">
        <v>63</v>
      </c>
      <c r="E89" s="108">
        <v>738</v>
      </c>
      <c r="F89" s="108">
        <v>537</v>
      </c>
      <c r="G89" s="108">
        <v>187</v>
      </c>
      <c r="H89" s="108">
        <v>24</v>
      </c>
      <c r="I89" s="108">
        <v>34</v>
      </c>
      <c r="J89" s="108">
        <v>319</v>
      </c>
      <c r="K89" s="108">
        <v>2714</v>
      </c>
      <c r="L89" s="128"/>
    </row>
    <row r="90" spans="1:12" ht="15" customHeight="1" x14ac:dyDescent="0.25">
      <c r="A90" s="105"/>
      <c r="B90" s="106" t="s">
        <v>23</v>
      </c>
      <c r="C90" s="108">
        <v>699</v>
      </c>
      <c r="D90" s="108">
        <v>377</v>
      </c>
      <c r="E90" s="108">
        <v>336</v>
      </c>
      <c r="F90" s="108">
        <v>272</v>
      </c>
      <c r="G90" s="108">
        <v>161</v>
      </c>
      <c r="H90" s="108">
        <v>46</v>
      </c>
      <c r="I90" s="108">
        <v>65</v>
      </c>
      <c r="J90" s="108">
        <v>10</v>
      </c>
      <c r="K90" s="108">
        <v>1966</v>
      </c>
      <c r="L90" s="128"/>
    </row>
    <row r="91" spans="1:12" ht="15" customHeight="1" x14ac:dyDescent="0.25">
      <c r="A91" s="105"/>
      <c r="B91" s="106" t="s">
        <v>24</v>
      </c>
      <c r="C91" s="108">
        <v>50</v>
      </c>
      <c r="D91" s="108">
        <v>2</v>
      </c>
      <c r="E91" s="108">
        <v>3</v>
      </c>
      <c r="F91" s="108" t="s">
        <v>167</v>
      </c>
      <c r="G91" s="108">
        <v>3</v>
      </c>
      <c r="H91" s="108" t="s">
        <v>167</v>
      </c>
      <c r="I91" s="108" t="s">
        <v>167</v>
      </c>
      <c r="J91" s="108">
        <v>4</v>
      </c>
      <c r="K91" s="108">
        <v>62</v>
      </c>
      <c r="L91" s="128"/>
    </row>
    <row r="92" spans="1:12" ht="15" customHeight="1" x14ac:dyDescent="0.25">
      <c r="A92" s="92"/>
      <c r="B92" s="113" t="s">
        <v>12</v>
      </c>
      <c r="C92" s="101">
        <v>1561</v>
      </c>
      <c r="D92" s="101">
        <v>442</v>
      </c>
      <c r="E92" s="101">
        <v>1077</v>
      </c>
      <c r="F92" s="101">
        <v>809</v>
      </c>
      <c r="G92" s="101">
        <v>351</v>
      </c>
      <c r="H92" s="101">
        <v>70</v>
      </c>
      <c r="I92" s="101">
        <v>99</v>
      </c>
      <c r="J92" s="101">
        <v>333</v>
      </c>
      <c r="K92" s="101">
        <v>4742</v>
      </c>
      <c r="L92" s="128"/>
    </row>
    <row r="93" spans="1:12" ht="1.5" customHeight="1" x14ac:dyDescent="0.25"/>
    <row r="94" spans="1:12" s="6" customFormat="1" ht="11.1" customHeight="1" x14ac:dyDescent="0.15">
      <c r="A94" s="6" t="s">
        <v>220</v>
      </c>
    </row>
    <row r="95" spans="1:12" s="10" customFormat="1" ht="11.1" customHeight="1" x14ac:dyDescent="0.2">
      <c r="A95" s="57" t="s">
        <v>18</v>
      </c>
    </row>
    <row r="96" spans="1:12" s="6" customFormat="1" ht="11.1" customHeight="1" x14ac:dyDescent="0.15">
      <c r="A96" s="6" t="s">
        <v>58</v>
      </c>
    </row>
    <row r="97" spans="1:1" s="6" customFormat="1" ht="11.1" customHeight="1" x14ac:dyDescent="0.15">
      <c r="A97" s="6" t="s">
        <v>299</v>
      </c>
    </row>
    <row r="98" spans="1:1" s="6" customFormat="1" ht="11.1" customHeight="1" x14ac:dyDescent="0.15"/>
    <row r="99" spans="1:1" s="6" customFormat="1" ht="11.1" customHeight="1" x14ac:dyDescent="0.15">
      <c r="A99" s="6" t="s">
        <v>271</v>
      </c>
    </row>
    <row r="100" spans="1:1" ht="12" customHeight="1" x14ac:dyDescent="0.25">
      <c r="A100" s="2"/>
    </row>
  </sheetData>
  <mergeCells count="13">
    <mergeCell ref="A1:K1"/>
    <mergeCell ref="A4:A7"/>
    <mergeCell ref="A8:A11"/>
    <mergeCell ref="A12:A15"/>
    <mergeCell ref="A16:A19"/>
    <mergeCell ref="A50:M50"/>
    <mergeCell ref="A44:K44"/>
    <mergeCell ref="A20:A23"/>
    <mergeCell ref="A24:A27"/>
    <mergeCell ref="A28:A31"/>
    <mergeCell ref="A32:A35"/>
    <mergeCell ref="A36:A39"/>
    <mergeCell ref="A40:A43"/>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82"/>
  <sheetViews>
    <sheetView zoomScaleNormal="100" workbookViewId="0">
      <selection sqref="A1:K1"/>
    </sheetView>
  </sheetViews>
  <sheetFormatPr defaultColWidth="9.140625" defaultRowHeight="15" x14ac:dyDescent="0.25"/>
  <cols>
    <col min="1" max="11" width="11.42578125" style="1" bestFit="1" customWidth="1"/>
    <col min="12" max="16384" width="9.140625" style="1"/>
  </cols>
  <sheetData>
    <row r="1" spans="1:11" ht="27.75" customHeight="1" x14ac:dyDescent="0.25">
      <c r="A1" s="198" t="s">
        <v>301</v>
      </c>
      <c r="B1" s="198"/>
      <c r="C1" s="198"/>
      <c r="D1" s="198"/>
      <c r="E1" s="198"/>
      <c r="F1" s="198"/>
      <c r="G1" s="198"/>
      <c r="H1" s="198"/>
      <c r="I1" s="198"/>
      <c r="J1" s="198"/>
      <c r="K1" s="198"/>
    </row>
    <row r="2" spans="1:11" ht="2.25" customHeight="1" x14ac:dyDescent="0.25">
      <c r="A2" s="2"/>
    </row>
    <row r="3" spans="1:11" ht="23.25" x14ac:dyDescent="0.25">
      <c r="A3" s="44" t="s">
        <v>189</v>
      </c>
      <c r="B3" s="44" t="s">
        <v>186</v>
      </c>
      <c r="C3" s="3" t="s">
        <v>1</v>
      </c>
      <c r="D3" s="3" t="s">
        <v>2</v>
      </c>
      <c r="E3" s="3" t="s">
        <v>3</v>
      </c>
      <c r="F3" s="3" t="s">
        <v>4</v>
      </c>
      <c r="G3" s="3" t="s">
        <v>5</v>
      </c>
      <c r="H3" s="3" t="s">
        <v>6</v>
      </c>
      <c r="I3" s="3" t="s">
        <v>7</v>
      </c>
      <c r="J3" s="3" t="s">
        <v>8</v>
      </c>
      <c r="K3" s="3" t="s">
        <v>9</v>
      </c>
    </row>
    <row r="4" spans="1:11" ht="15" customHeight="1" x14ac:dyDescent="0.25">
      <c r="A4" s="203" t="s">
        <v>228</v>
      </c>
      <c r="B4" s="4" t="s">
        <v>22</v>
      </c>
      <c r="C4" s="146">
        <v>22.277999999999999</v>
      </c>
      <c r="D4" s="5">
        <v>17.486000000000001</v>
      </c>
      <c r="E4" s="5">
        <v>30.683</v>
      </c>
      <c r="F4" s="5">
        <v>54.463999999999999</v>
      </c>
      <c r="G4" s="5">
        <v>41.235999999999997</v>
      </c>
      <c r="H4" s="5">
        <v>3.7549999999999999</v>
      </c>
      <c r="I4" s="5">
        <v>16.166</v>
      </c>
      <c r="J4" s="5">
        <v>29.231000000000002</v>
      </c>
      <c r="K4" s="5">
        <v>28.882999999999999</v>
      </c>
    </row>
    <row r="5" spans="1:11" ht="15" customHeight="1" x14ac:dyDescent="0.25">
      <c r="A5" s="203"/>
      <c r="B5" s="4" t="s">
        <v>23</v>
      </c>
      <c r="C5" s="5">
        <v>1.4119999999999999</v>
      </c>
      <c r="D5" s="5">
        <v>1.665</v>
      </c>
      <c r="E5" s="5">
        <v>1.131</v>
      </c>
      <c r="F5" s="5">
        <v>1.3819999999999999</v>
      </c>
      <c r="G5" s="5">
        <v>1.0089999999999999</v>
      </c>
      <c r="H5" s="5">
        <v>1.585</v>
      </c>
      <c r="I5" s="5">
        <v>1.8520000000000001</v>
      </c>
      <c r="J5" s="5">
        <v>1.6559999999999999</v>
      </c>
      <c r="K5" s="5">
        <v>1.399</v>
      </c>
    </row>
    <row r="6" spans="1:11" ht="15" customHeight="1" x14ac:dyDescent="0.25">
      <c r="A6" s="203"/>
      <c r="B6" s="105" t="s">
        <v>12</v>
      </c>
      <c r="C6" s="76">
        <v>2.9540000000000002</v>
      </c>
      <c r="D6" s="76">
        <v>1.982</v>
      </c>
      <c r="E6" s="76">
        <v>3.645</v>
      </c>
      <c r="F6" s="76">
        <v>5.234</v>
      </c>
      <c r="G6" s="76">
        <v>2.964</v>
      </c>
      <c r="H6" s="76">
        <v>1.8109999999999999</v>
      </c>
      <c r="I6" s="76">
        <v>2.4060000000000001</v>
      </c>
      <c r="J6" s="76">
        <v>15.26</v>
      </c>
      <c r="K6" s="76">
        <v>3.206</v>
      </c>
    </row>
    <row r="7" spans="1:11" ht="15" customHeight="1" x14ac:dyDescent="0.25">
      <c r="A7" s="203" t="s">
        <v>229</v>
      </c>
      <c r="B7" s="4" t="s">
        <v>22</v>
      </c>
      <c r="C7" s="5">
        <v>21.818000000000001</v>
      </c>
      <c r="D7" s="5">
        <v>15.715999999999999</v>
      </c>
      <c r="E7" s="5">
        <v>34.347999999999999</v>
      </c>
      <c r="F7" s="5">
        <v>54.393000000000001</v>
      </c>
      <c r="G7" s="5">
        <v>35.92</v>
      </c>
      <c r="H7" s="5">
        <v>6.0949999999999998</v>
      </c>
      <c r="I7" s="5">
        <v>27.571000000000002</v>
      </c>
      <c r="J7" s="5">
        <v>32.054000000000002</v>
      </c>
      <c r="K7" s="5">
        <v>29.73</v>
      </c>
    </row>
    <row r="8" spans="1:11" ht="15" customHeight="1" x14ac:dyDescent="0.25">
      <c r="A8" s="203"/>
      <c r="B8" s="4" t="s">
        <v>23</v>
      </c>
      <c r="C8" s="5">
        <v>1.5609999999999999</v>
      </c>
      <c r="D8" s="5">
        <v>1.7569999999999999</v>
      </c>
      <c r="E8" s="5">
        <v>1.224</v>
      </c>
      <c r="F8" s="5">
        <v>1.5169999999999999</v>
      </c>
      <c r="G8" s="5">
        <v>0.96299999999999997</v>
      </c>
      <c r="H8" s="5">
        <v>1.4079999999999999</v>
      </c>
      <c r="I8" s="5">
        <v>2.274</v>
      </c>
      <c r="J8" s="5">
        <v>0.217</v>
      </c>
      <c r="K8" s="5">
        <v>1.4950000000000001</v>
      </c>
    </row>
    <row r="9" spans="1:11" ht="15" customHeight="1" x14ac:dyDescent="0.25">
      <c r="A9" s="203"/>
      <c r="B9" s="105" t="s">
        <v>12</v>
      </c>
      <c r="C9" s="76">
        <v>3.089</v>
      </c>
      <c r="D9" s="76">
        <v>2.0409999999999999</v>
      </c>
      <c r="E9" s="76">
        <v>4.0940000000000003</v>
      </c>
      <c r="F9" s="76">
        <v>5.3879999999999999</v>
      </c>
      <c r="G9" s="76">
        <v>2.7029999999999998</v>
      </c>
      <c r="H9" s="76">
        <v>1.915</v>
      </c>
      <c r="I9" s="76">
        <v>3.2320000000000002</v>
      </c>
      <c r="J9" s="76">
        <v>15.494999999999999</v>
      </c>
      <c r="K9" s="76">
        <v>3.3759999999999999</v>
      </c>
    </row>
    <row r="10" spans="1:11" ht="15" customHeight="1" x14ac:dyDescent="0.25">
      <c r="A10" s="203" t="s">
        <v>230</v>
      </c>
      <c r="B10" s="4" t="s">
        <v>22</v>
      </c>
      <c r="C10" s="5">
        <v>18.786000000000001</v>
      </c>
      <c r="D10" s="5">
        <v>15.311</v>
      </c>
      <c r="E10" s="5">
        <v>37.604999999999997</v>
      </c>
      <c r="F10" s="5">
        <v>50.448999999999998</v>
      </c>
      <c r="G10" s="5">
        <v>26.545999999999999</v>
      </c>
      <c r="H10" s="5">
        <v>8.0259999999999998</v>
      </c>
      <c r="I10" s="5">
        <v>11.898999999999999</v>
      </c>
      <c r="J10" s="5">
        <v>29.138999999999999</v>
      </c>
      <c r="K10" s="5">
        <v>28.32</v>
      </c>
    </row>
    <row r="11" spans="1:11" ht="15" customHeight="1" x14ac:dyDescent="0.25">
      <c r="A11" s="203"/>
      <c r="B11" s="4" t="s">
        <v>23</v>
      </c>
      <c r="C11" s="5">
        <v>1.377</v>
      </c>
      <c r="D11" s="5">
        <v>1.5880000000000001</v>
      </c>
      <c r="E11" s="5">
        <v>1.3919999999999999</v>
      </c>
      <c r="F11" s="5">
        <v>1.1479999999999999</v>
      </c>
      <c r="G11" s="5">
        <v>1.0289999999999999</v>
      </c>
      <c r="H11" s="5">
        <v>1.5269999999999999</v>
      </c>
      <c r="I11" s="5">
        <v>1.639</v>
      </c>
      <c r="J11" s="5">
        <v>0.41699999999999998</v>
      </c>
      <c r="K11" s="5">
        <v>1.3879999999999999</v>
      </c>
    </row>
    <row r="12" spans="1:11" ht="15" customHeight="1" x14ac:dyDescent="0.25">
      <c r="A12" s="203"/>
      <c r="B12" s="105" t="s">
        <v>12</v>
      </c>
      <c r="C12" s="76">
        <v>2.7010000000000001</v>
      </c>
      <c r="D12" s="76">
        <v>1.869</v>
      </c>
      <c r="E12" s="76">
        <v>4.577</v>
      </c>
      <c r="F12" s="76">
        <v>4.7869999999999999</v>
      </c>
      <c r="G12" s="76">
        <v>2.3330000000000002</v>
      </c>
      <c r="H12" s="76">
        <v>2.2480000000000002</v>
      </c>
      <c r="I12" s="76">
        <v>2.0219999999999998</v>
      </c>
      <c r="J12" s="76">
        <v>13.798999999999999</v>
      </c>
      <c r="K12" s="76">
        <v>3.1949999999999998</v>
      </c>
    </row>
    <row r="13" spans="1:11" ht="15" customHeight="1" x14ac:dyDescent="0.25">
      <c r="A13" s="203" t="s">
        <v>231</v>
      </c>
      <c r="B13" s="4" t="s">
        <v>22</v>
      </c>
      <c r="C13" s="5">
        <v>15.863</v>
      </c>
      <c r="D13" s="5">
        <v>13.103</v>
      </c>
      <c r="E13" s="5">
        <v>29.65</v>
      </c>
      <c r="F13" s="5">
        <v>38.546999999999997</v>
      </c>
      <c r="G13" s="5">
        <v>20.971</v>
      </c>
      <c r="H13" s="5">
        <v>8.3480000000000008</v>
      </c>
      <c r="I13" s="5">
        <v>33.575000000000003</v>
      </c>
      <c r="J13" s="5">
        <v>19.454999999999998</v>
      </c>
      <c r="K13" s="5">
        <v>22.681999999999999</v>
      </c>
    </row>
    <row r="14" spans="1:11" ht="15" customHeight="1" x14ac:dyDescent="0.25">
      <c r="A14" s="203"/>
      <c r="B14" s="4" t="s">
        <v>23</v>
      </c>
      <c r="C14" s="5">
        <v>1.4019999999999999</v>
      </c>
      <c r="D14" s="5">
        <v>1.7150000000000001</v>
      </c>
      <c r="E14" s="5">
        <v>1.054</v>
      </c>
      <c r="F14" s="5">
        <v>1.151</v>
      </c>
      <c r="G14" s="5">
        <v>1.0489999999999999</v>
      </c>
      <c r="H14" s="5">
        <v>1.944</v>
      </c>
      <c r="I14" s="5">
        <v>2.4609999999999999</v>
      </c>
      <c r="J14" s="5">
        <v>0.48799999999999999</v>
      </c>
      <c r="K14" s="5">
        <v>1.383</v>
      </c>
    </row>
    <row r="15" spans="1:11" ht="15" customHeight="1" x14ac:dyDescent="0.25">
      <c r="A15" s="203"/>
      <c r="B15" s="105" t="s">
        <v>12</v>
      </c>
      <c r="C15" s="76">
        <v>2.5089999999999999</v>
      </c>
      <c r="D15" s="76">
        <v>1.95</v>
      </c>
      <c r="E15" s="76">
        <v>3.593</v>
      </c>
      <c r="F15" s="76">
        <v>3.915</v>
      </c>
      <c r="G15" s="76">
        <v>2.09</v>
      </c>
      <c r="H15" s="76">
        <v>2.6669999999999998</v>
      </c>
      <c r="I15" s="76">
        <v>3.5939999999999999</v>
      </c>
      <c r="J15" s="76">
        <v>9.2379999999999995</v>
      </c>
      <c r="K15" s="76">
        <v>2.819</v>
      </c>
    </row>
    <row r="16" spans="1:11" ht="15" customHeight="1" x14ac:dyDescent="0.25">
      <c r="A16" s="203" t="s">
        <v>232</v>
      </c>
      <c r="B16" s="4" t="s">
        <v>22</v>
      </c>
      <c r="C16" s="5">
        <v>10.683999999999999</v>
      </c>
      <c r="D16" s="5">
        <v>8.8369999999999997</v>
      </c>
      <c r="E16" s="5">
        <v>30.216000000000001</v>
      </c>
      <c r="F16" s="5">
        <v>36.851999999999997</v>
      </c>
      <c r="G16" s="5">
        <v>16.428000000000001</v>
      </c>
      <c r="H16" s="5">
        <v>5.6760000000000002</v>
      </c>
      <c r="I16" s="5">
        <v>18.024000000000001</v>
      </c>
      <c r="J16" s="5">
        <v>25.582999999999998</v>
      </c>
      <c r="K16" s="5">
        <v>20.48</v>
      </c>
    </row>
    <row r="17" spans="1:14" ht="15" customHeight="1" x14ac:dyDescent="0.25">
      <c r="A17" s="203"/>
      <c r="B17" s="4" t="s">
        <v>23</v>
      </c>
      <c r="C17" s="5">
        <v>1.202</v>
      </c>
      <c r="D17" s="5">
        <v>1.504</v>
      </c>
      <c r="E17" s="5">
        <v>1.5249999999999999</v>
      </c>
      <c r="F17" s="5">
        <v>0.876</v>
      </c>
      <c r="G17" s="5">
        <v>0.67300000000000004</v>
      </c>
      <c r="H17" s="5">
        <v>0.97299999999999998</v>
      </c>
      <c r="I17" s="5">
        <v>1.3520000000000001</v>
      </c>
      <c r="J17" s="5">
        <v>0.89600000000000002</v>
      </c>
      <c r="K17" s="5">
        <v>1.2729999999999999</v>
      </c>
    </row>
    <row r="18" spans="1:14" ht="15" customHeight="1" x14ac:dyDescent="0.25">
      <c r="A18" s="203"/>
      <c r="B18" s="105" t="s">
        <v>12</v>
      </c>
      <c r="C18" s="76">
        <v>1.9330000000000001</v>
      </c>
      <c r="D18" s="76">
        <v>1.657</v>
      </c>
      <c r="E18" s="76">
        <v>4.093</v>
      </c>
      <c r="F18" s="76">
        <v>3.524</v>
      </c>
      <c r="G18" s="76">
        <v>1.512</v>
      </c>
      <c r="H18" s="76">
        <v>1.508</v>
      </c>
      <c r="I18" s="76">
        <v>1.9379999999999999</v>
      </c>
      <c r="J18" s="76">
        <v>12.199</v>
      </c>
      <c r="K18" s="76">
        <v>2.5760000000000001</v>
      </c>
    </row>
    <row r="19" spans="1:14" ht="15" customHeight="1" x14ac:dyDescent="0.25">
      <c r="A19" s="203" t="s">
        <v>233</v>
      </c>
      <c r="B19" s="4" t="s">
        <v>22</v>
      </c>
      <c r="C19" s="5">
        <v>12.786</v>
      </c>
      <c r="D19" s="5">
        <v>8.7149999999999999</v>
      </c>
      <c r="E19" s="5">
        <v>36.384999999999998</v>
      </c>
      <c r="F19" s="5">
        <v>40.231999999999999</v>
      </c>
      <c r="G19" s="5">
        <v>17.074000000000002</v>
      </c>
      <c r="H19" s="5">
        <v>5.2610000000000001</v>
      </c>
      <c r="I19" s="5">
        <v>19.690000000000001</v>
      </c>
      <c r="J19" s="5">
        <v>42.151000000000003</v>
      </c>
      <c r="K19" s="5">
        <v>24.556999999999999</v>
      </c>
    </row>
    <row r="20" spans="1:14" ht="15" customHeight="1" x14ac:dyDescent="0.25">
      <c r="A20" s="203"/>
      <c r="B20" s="4" t="s">
        <v>23</v>
      </c>
      <c r="C20" s="5">
        <v>0.92200000000000004</v>
      </c>
      <c r="D20" s="5">
        <v>1.095</v>
      </c>
      <c r="E20" s="5">
        <v>1.764</v>
      </c>
      <c r="F20" s="5">
        <v>0.86699999999999999</v>
      </c>
      <c r="G20" s="5">
        <v>0.93300000000000005</v>
      </c>
      <c r="H20" s="5">
        <v>1.024</v>
      </c>
      <c r="I20" s="5">
        <v>1.6850000000000001</v>
      </c>
      <c r="J20" s="5">
        <v>1.383</v>
      </c>
      <c r="K20" s="5">
        <v>1.1579999999999999</v>
      </c>
    </row>
    <row r="21" spans="1:14" ht="15" customHeight="1" x14ac:dyDescent="0.25">
      <c r="A21" s="203"/>
      <c r="B21" s="105" t="s">
        <v>12</v>
      </c>
      <c r="C21" s="76">
        <v>1.849</v>
      </c>
      <c r="D21" s="76">
        <v>1.2569999999999999</v>
      </c>
      <c r="E21" s="76">
        <v>4.8780000000000001</v>
      </c>
      <c r="F21" s="76">
        <v>3.7549999999999999</v>
      </c>
      <c r="G21" s="76">
        <v>1.804</v>
      </c>
      <c r="H21" s="76">
        <v>1.51</v>
      </c>
      <c r="I21" s="76">
        <v>2.298</v>
      </c>
      <c r="J21" s="76">
        <v>19.760000000000002</v>
      </c>
      <c r="K21" s="76">
        <v>2.7530000000000001</v>
      </c>
    </row>
    <row r="22" spans="1:14" ht="15" customHeight="1" x14ac:dyDescent="0.25">
      <c r="A22" s="203" t="s">
        <v>234</v>
      </c>
      <c r="B22" s="4" t="s">
        <v>22</v>
      </c>
      <c r="C22" s="5">
        <v>16.074000000000002</v>
      </c>
      <c r="D22" s="5">
        <v>7.5679999999999996</v>
      </c>
      <c r="E22" s="5">
        <v>40.317999999999998</v>
      </c>
      <c r="F22" s="5">
        <v>30.803999999999998</v>
      </c>
      <c r="G22" s="5">
        <v>18.100999999999999</v>
      </c>
      <c r="H22" s="5">
        <v>6.343</v>
      </c>
      <c r="I22" s="5">
        <v>28.553999999999998</v>
      </c>
      <c r="J22" s="5">
        <v>41.646999999999998</v>
      </c>
      <c r="K22" s="5">
        <v>25.736999999999998</v>
      </c>
    </row>
    <row r="23" spans="1:14" ht="15" customHeight="1" x14ac:dyDescent="0.25">
      <c r="A23" s="203"/>
      <c r="B23" s="4" t="s">
        <v>23</v>
      </c>
      <c r="C23" s="5">
        <v>0.81299999999999994</v>
      </c>
      <c r="D23" s="5">
        <v>0.97899999999999998</v>
      </c>
      <c r="E23" s="5">
        <v>1.595</v>
      </c>
      <c r="F23" s="5">
        <v>0.84599999999999997</v>
      </c>
      <c r="G23" s="5">
        <v>0.86199999999999999</v>
      </c>
      <c r="H23" s="5">
        <v>1.8879999999999999</v>
      </c>
      <c r="I23" s="5">
        <v>2.2759999999999998</v>
      </c>
      <c r="J23" s="5">
        <v>1.0389999999999999</v>
      </c>
      <c r="K23" s="5">
        <v>1.0760000000000001</v>
      </c>
    </row>
    <row r="24" spans="1:14" ht="15" customHeight="1" x14ac:dyDescent="0.25">
      <c r="A24" s="203"/>
      <c r="B24" s="105" t="s">
        <v>12</v>
      </c>
      <c r="C24" s="76">
        <v>1.974</v>
      </c>
      <c r="D24" s="76">
        <v>1.1180000000000001</v>
      </c>
      <c r="E24" s="76">
        <v>5.069</v>
      </c>
      <c r="F24" s="76">
        <v>3.01</v>
      </c>
      <c r="G24" s="76">
        <v>1.7949999999999999</v>
      </c>
      <c r="H24" s="76">
        <v>2.3980000000000001</v>
      </c>
      <c r="I24" s="76">
        <v>3.169</v>
      </c>
      <c r="J24" s="76">
        <v>19.309999999999999</v>
      </c>
      <c r="K24" s="76">
        <v>2.7450000000000001</v>
      </c>
    </row>
    <row r="25" spans="1:14" ht="15" customHeight="1" x14ac:dyDescent="0.25">
      <c r="A25" s="203" t="s">
        <v>235</v>
      </c>
      <c r="B25" s="4" t="s">
        <v>22</v>
      </c>
      <c r="C25" s="5">
        <v>18.827000000000002</v>
      </c>
      <c r="D25" s="5">
        <v>7.335</v>
      </c>
      <c r="E25" s="5">
        <v>41.575000000000003</v>
      </c>
      <c r="F25" s="5">
        <v>28.175000000000001</v>
      </c>
      <c r="G25" s="5">
        <v>17.268000000000001</v>
      </c>
      <c r="H25" s="5">
        <v>8.093</v>
      </c>
      <c r="I25" s="5">
        <v>39.191000000000003</v>
      </c>
      <c r="J25" s="5">
        <v>48.331000000000003</v>
      </c>
      <c r="K25" s="5">
        <v>26.866</v>
      </c>
    </row>
    <row r="26" spans="1:14" ht="15" customHeight="1" x14ac:dyDescent="0.25">
      <c r="A26" s="203"/>
      <c r="B26" s="4" t="s">
        <v>23</v>
      </c>
      <c r="C26" s="5">
        <v>0.77600000000000002</v>
      </c>
      <c r="D26" s="5">
        <v>0.67800000000000005</v>
      </c>
      <c r="E26" s="5">
        <v>1.5549999999999999</v>
      </c>
      <c r="F26" s="5">
        <v>0.97799999999999998</v>
      </c>
      <c r="G26" s="5">
        <v>0.84799999999999998</v>
      </c>
      <c r="H26" s="5">
        <v>2.2109999999999999</v>
      </c>
      <c r="I26" s="5">
        <v>2.6869999999999998</v>
      </c>
      <c r="J26" s="5">
        <v>1.448</v>
      </c>
      <c r="K26" s="5">
        <v>0.999</v>
      </c>
    </row>
    <row r="27" spans="1:14" ht="15" customHeight="1" x14ac:dyDescent="0.25">
      <c r="A27" s="203"/>
      <c r="B27" s="105" t="s">
        <v>12</v>
      </c>
      <c r="C27" s="76">
        <v>2.137</v>
      </c>
      <c r="D27" s="76">
        <v>0.81899999999999995</v>
      </c>
      <c r="E27" s="76">
        <v>5.1059999999999999</v>
      </c>
      <c r="F27" s="76">
        <v>2.8959999999999999</v>
      </c>
      <c r="G27" s="76">
        <v>1.7310000000000001</v>
      </c>
      <c r="H27" s="76">
        <v>2.8809999999999998</v>
      </c>
      <c r="I27" s="76">
        <v>3.899</v>
      </c>
      <c r="J27" s="76">
        <v>21.827000000000002</v>
      </c>
      <c r="K27" s="76">
        <v>2.7010000000000001</v>
      </c>
    </row>
    <row r="28" spans="1:14" ht="15" customHeight="1" x14ac:dyDescent="0.25">
      <c r="A28" s="203" t="s">
        <v>300</v>
      </c>
      <c r="B28" s="4" t="s">
        <v>22</v>
      </c>
      <c r="C28" s="5">
        <v>18.927</v>
      </c>
      <c r="D28" s="5">
        <v>8.1140000000000008</v>
      </c>
      <c r="E28" s="5">
        <v>40.65</v>
      </c>
      <c r="F28" s="5">
        <v>21.923999999999999</v>
      </c>
      <c r="G28" s="5">
        <v>21.393000000000001</v>
      </c>
      <c r="H28" s="5">
        <v>7.7649999999999997</v>
      </c>
      <c r="I28" s="5">
        <v>51.854999999999997</v>
      </c>
      <c r="J28" s="5">
        <v>35.119999999999997</v>
      </c>
      <c r="K28" s="5">
        <v>25.73</v>
      </c>
    </row>
    <row r="29" spans="1:14" ht="15" customHeight="1" x14ac:dyDescent="0.25">
      <c r="A29" s="203"/>
      <c r="B29" s="4" t="s">
        <v>23</v>
      </c>
      <c r="C29" s="5">
        <v>0.85799999999999998</v>
      </c>
      <c r="D29" s="5">
        <v>0.95299999999999996</v>
      </c>
      <c r="E29" s="5">
        <v>1.5429999999999999</v>
      </c>
      <c r="F29" s="5">
        <v>1.012</v>
      </c>
      <c r="G29" s="5">
        <v>1.0349999999999999</v>
      </c>
      <c r="H29" s="5">
        <v>1.9990000000000001</v>
      </c>
      <c r="I29" s="5">
        <v>3.4729999999999999</v>
      </c>
      <c r="J29" s="5">
        <v>1.254</v>
      </c>
      <c r="K29" s="5">
        <v>1.1160000000000001</v>
      </c>
    </row>
    <row r="30" spans="1:14" ht="15" customHeight="1" x14ac:dyDescent="0.25">
      <c r="A30" s="203"/>
      <c r="B30" s="105" t="s">
        <v>12</v>
      </c>
      <c r="C30" s="76">
        <v>2.2160000000000002</v>
      </c>
      <c r="D30" s="76">
        <v>1.1060000000000001</v>
      </c>
      <c r="E30" s="76">
        <v>4.984</v>
      </c>
      <c r="F30" s="76">
        <v>2.46</v>
      </c>
      <c r="G30" s="76">
        <v>2.1469999999999998</v>
      </c>
      <c r="H30" s="76">
        <v>2.649</v>
      </c>
      <c r="I30" s="76">
        <v>5.0380000000000003</v>
      </c>
      <c r="J30" s="76">
        <v>15.364000000000001</v>
      </c>
      <c r="K30" s="76">
        <v>2.7440000000000002</v>
      </c>
      <c r="M30" s="130"/>
      <c r="N30" s="130"/>
    </row>
    <row r="31" spans="1:14" ht="2.25" customHeight="1" x14ac:dyDescent="0.25">
      <c r="A31" s="2"/>
    </row>
    <row r="32" spans="1:14" ht="11.1" customHeight="1" x14ac:dyDescent="0.25">
      <c r="A32" s="43" t="s">
        <v>18</v>
      </c>
      <c r="B32" s="43"/>
      <c r="C32" s="43"/>
      <c r="D32" s="43"/>
      <c r="E32" s="43"/>
      <c r="F32" s="43"/>
      <c r="G32" s="43"/>
      <c r="H32" s="43"/>
      <c r="I32" s="43"/>
      <c r="J32" s="43"/>
      <c r="K32" s="43"/>
    </row>
    <row r="33" spans="1:11" ht="11.1" customHeight="1" x14ac:dyDescent="0.25">
      <c r="A33" s="6" t="s">
        <v>58</v>
      </c>
      <c r="B33" s="6"/>
      <c r="C33" s="6"/>
      <c r="D33" s="6"/>
      <c r="E33" s="6"/>
      <c r="F33" s="6"/>
      <c r="G33" s="6"/>
      <c r="H33" s="6"/>
      <c r="I33" s="6"/>
      <c r="J33" s="6"/>
      <c r="K33" s="6"/>
    </row>
    <row r="34" spans="1:11" s="6" customFormat="1" ht="9" x14ac:dyDescent="0.15">
      <c r="A34" s="6" t="s">
        <v>40</v>
      </c>
    </row>
    <row r="35" spans="1:11" s="6" customFormat="1" ht="22.5" customHeight="1" x14ac:dyDescent="0.15">
      <c r="A35" s="199" t="s">
        <v>29</v>
      </c>
      <c r="B35" s="199"/>
      <c r="C35" s="199"/>
      <c r="D35" s="199"/>
      <c r="E35" s="199"/>
      <c r="F35" s="199"/>
      <c r="G35" s="199"/>
      <c r="H35" s="199"/>
      <c r="I35" s="199"/>
      <c r="J35" s="199"/>
      <c r="K35" s="199"/>
    </row>
    <row r="36" spans="1:11" s="6" customFormat="1" ht="11.1" customHeight="1" x14ac:dyDescent="0.15">
      <c r="A36" s="6" t="s">
        <v>248</v>
      </c>
      <c r="B36" s="122"/>
      <c r="C36" s="122"/>
      <c r="D36" s="122"/>
      <c r="E36" s="122"/>
      <c r="F36" s="122"/>
      <c r="G36" s="122"/>
      <c r="H36" s="122"/>
      <c r="I36" s="122"/>
      <c r="J36" s="122"/>
      <c r="K36" s="122"/>
    </row>
    <row r="37" spans="1:11" s="6" customFormat="1" ht="11.1" customHeight="1" x14ac:dyDescent="0.15">
      <c r="A37" s="6" t="s">
        <v>302</v>
      </c>
      <c r="B37" s="122"/>
      <c r="C37" s="122"/>
      <c r="D37" s="122"/>
      <c r="E37" s="122"/>
      <c r="F37" s="122"/>
      <c r="G37" s="122"/>
      <c r="H37" s="122"/>
      <c r="I37" s="122"/>
      <c r="J37" s="122"/>
      <c r="K37" s="122"/>
    </row>
    <row r="38" spans="1:11" s="6" customFormat="1" ht="11.1" customHeight="1" x14ac:dyDescent="0.15">
      <c r="A38" s="6" t="s">
        <v>303</v>
      </c>
    </row>
    <row r="39" spans="1:11" s="6" customFormat="1" ht="11.1" customHeight="1" x14ac:dyDescent="0.15"/>
    <row r="40" spans="1:11" s="6" customFormat="1" ht="11.1" customHeight="1" x14ac:dyDescent="0.15">
      <c r="A40" s="6" t="s">
        <v>266</v>
      </c>
    </row>
    <row r="41" spans="1:11" ht="12" customHeight="1" x14ac:dyDescent="0.25">
      <c r="A41" s="2"/>
    </row>
    <row r="42" spans="1:11" ht="27.95" customHeight="1" x14ac:dyDescent="0.25">
      <c r="A42" s="198" t="s">
        <v>304</v>
      </c>
      <c r="B42" s="198"/>
      <c r="C42" s="198"/>
      <c r="D42" s="198"/>
      <c r="E42" s="198"/>
      <c r="F42" s="198"/>
      <c r="G42" s="198"/>
      <c r="H42" s="198"/>
      <c r="I42" s="198"/>
      <c r="J42" s="198"/>
      <c r="K42" s="198"/>
    </row>
    <row r="43" spans="1:11" ht="0.75" customHeight="1" x14ac:dyDescent="0.25">
      <c r="A43" s="2"/>
    </row>
    <row r="44" spans="1:11" ht="23.25" x14ac:dyDescent="0.25">
      <c r="A44" s="44" t="s">
        <v>189</v>
      </c>
      <c r="B44" s="44" t="s">
        <v>186</v>
      </c>
      <c r="C44" s="3" t="s">
        <v>1</v>
      </c>
      <c r="D44" s="3" t="s">
        <v>2</v>
      </c>
      <c r="E44" s="3" t="s">
        <v>3</v>
      </c>
      <c r="F44" s="3" t="s">
        <v>4</v>
      </c>
      <c r="G44" s="3" t="s">
        <v>5</v>
      </c>
      <c r="H44" s="3" t="s">
        <v>6</v>
      </c>
      <c r="I44" s="3" t="s">
        <v>7</v>
      </c>
      <c r="J44" s="3" t="s">
        <v>8</v>
      </c>
      <c r="K44" s="3" t="s">
        <v>9</v>
      </c>
    </row>
    <row r="45" spans="1:11" ht="15.75" customHeight="1" x14ac:dyDescent="0.25">
      <c r="A45" s="203" t="s">
        <v>56</v>
      </c>
      <c r="B45" s="4" t="s">
        <v>22</v>
      </c>
      <c r="C45" s="145">
        <v>122.86799999999999</v>
      </c>
      <c r="D45" s="145">
        <v>77.715999999999994</v>
      </c>
      <c r="E45" s="145">
        <v>142.44499999999999</v>
      </c>
      <c r="F45" s="145">
        <v>298.40800000000002</v>
      </c>
      <c r="G45" s="145">
        <v>245.16800000000001</v>
      </c>
      <c r="H45" s="145">
        <v>40.110999999999997</v>
      </c>
      <c r="I45" s="145">
        <v>170.94</v>
      </c>
      <c r="J45" s="145">
        <v>188.41300000000001</v>
      </c>
      <c r="K45" s="145">
        <v>154.69999999999999</v>
      </c>
    </row>
    <row r="46" spans="1:11" ht="15.75" customHeight="1" x14ac:dyDescent="0.25">
      <c r="A46" s="203"/>
      <c r="B46" s="4" t="s">
        <v>23</v>
      </c>
      <c r="C46" s="145">
        <v>10.285</v>
      </c>
      <c r="D46" s="145">
        <v>7.8129999999999997</v>
      </c>
      <c r="E46" s="145">
        <v>7.9640000000000004</v>
      </c>
      <c r="F46" s="145">
        <v>13.547000000000001</v>
      </c>
      <c r="G46" s="145">
        <v>11.954000000000001</v>
      </c>
      <c r="H46" s="145">
        <v>8.6809999999999992</v>
      </c>
      <c r="I46" s="145">
        <v>16.047999999999998</v>
      </c>
      <c r="J46" s="145">
        <v>6.8150000000000004</v>
      </c>
      <c r="K46" s="145">
        <v>9.6609999999999996</v>
      </c>
    </row>
    <row r="47" spans="1:11" ht="15.75" customHeight="1" x14ac:dyDescent="0.25">
      <c r="A47" s="203"/>
      <c r="B47" s="105" t="s">
        <v>12</v>
      </c>
      <c r="C47" s="76">
        <v>19.079000000000001</v>
      </c>
      <c r="D47" s="76">
        <v>9.2129999999999992</v>
      </c>
      <c r="E47" s="76">
        <v>19.478000000000002</v>
      </c>
      <c r="F47" s="76">
        <v>34.216999999999999</v>
      </c>
      <c r="G47" s="76">
        <v>23.442</v>
      </c>
      <c r="H47" s="76">
        <v>11.962</v>
      </c>
      <c r="I47" s="76">
        <v>22.039000000000001</v>
      </c>
      <c r="J47" s="76">
        <v>95.822999999999993</v>
      </c>
      <c r="K47" s="76">
        <v>19.373999999999999</v>
      </c>
    </row>
    <row r="48" spans="1:11" ht="15.75" customHeight="1" x14ac:dyDescent="0.25">
      <c r="A48" s="203" t="s">
        <v>57</v>
      </c>
      <c r="B48" s="4" t="s">
        <v>22</v>
      </c>
      <c r="C48" s="145">
        <v>126.342</v>
      </c>
      <c r="D48" s="145">
        <v>75.894999999999996</v>
      </c>
      <c r="E48" s="145">
        <v>159.26599999999999</v>
      </c>
      <c r="F48" s="145">
        <v>295.48700000000002</v>
      </c>
      <c r="G48" s="145">
        <v>209.24700000000001</v>
      </c>
      <c r="H48" s="145">
        <v>29.292999999999999</v>
      </c>
      <c r="I48" s="145">
        <v>175.809</v>
      </c>
      <c r="J48" s="145">
        <v>159.244</v>
      </c>
      <c r="K48" s="145">
        <v>155.56700000000001</v>
      </c>
    </row>
    <row r="49" spans="1:11" ht="15.75" customHeight="1" x14ac:dyDescent="0.25">
      <c r="A49" s="203"/>
      <c r="B49" s="4" t="s">
        <v>23</v>
      </c>
      <c r="C49" s="145">
        <v>10.836</v>
      </c>
      <c r="D49" s="145">
        <v>7.5529999999999999</v>
      </c>
      <c r="E49" s="145">
        <v>7.835</v>
      </c>
      <c r="F49" s="145">
        <v>12.483000000000001</v>
      </c>
      <c r="G49" s="145">
        <v>9.6989999999999998</v>
      </c>
      <c r="H49" s="145">
        <v>7.9880000000000004</v>
      </c>
      <c r="I49" s="145">
        <v>21.024999999999999</v>
      </c>
      <c r="J49" s="145">
        <v>4.4429999999999996</v>
      </c>
      <c r="K49" s="145">
        <v>9.5220000000000002</v>
      </c>
    </row>
    <row r="50" spans="1:11" ht="15.75" customHeight="1" x14ac:dyDescent="0.25">
      <c r="A50" s="203"/>
      <c r="B50" s="105" t="s">
        <v>12</v>
      </c>
      <c r="C50" s="76">
        <v>19.785</v>
      </c>
      <c r="D50" s="76">
        <v>8.9580000000000002</v>
      </c>
      <c r="E50" s="76">
        <v>21.015000000000001</v>
      </c>
      <c r="F50" s="76">
        <v>33.201000000000001</v>
      </c>
      <c r="G50" s="76">
        <v>19.866</v>
      </c>
      <c r="H50" s="76">
        <v>10.292</v>
      </c>
      <c r="I50" s="76">
        <v>26.882999999999999</v>
      </c>
      <c r="J50" s="76">
        <v>79.024000000000001</v>
      </c>
      <c r="K50" s="76">
        <v>19.361999999999998</v>
      </c>
    </row>
    <row r="51" spans="1:11" ht="15.75" customHeight="1" x14ac:dyDescent="0.25">
      <c r="A51" s="203" t="s">
        <v>49</v>
      </c>
      <c r="B51" s="4" t="s">
        <v>22</v>
      </c>
      <c r="C51" s="145">
        <v>115.462</v>
      </c>
      <c r="D51" s="145">
        <v>68.619</v>
      </c>
      <c r="E51" s="145">
        <v>164.75399999999999</v>
      </c>
      <c r="F51" s="145">
        <v>261.92899999999997</v>
      </c>
      <c r="G51" s="145">
        <v>174.625</v>
      </c>
      <c r="H51" s="145">
        <v>33.451000000000001</v>
      </c>
      <c r="I51" s="145">
        <v>131.488</v>
      </c>
      <c r="J51" s="145">
        <v>137.18600000000001</v>
      </c>
      <c r="K51" s="145">
        <v>145.095</v>
      </c>
    </row>
    <row r="52" spans="1:11" ht="15.75" customHeight="1" x14ac:dyDescent="0.25">
      <c r="A52" s="203"/>
      <c r="B52" s="4" t="s">
        <v>23</v>
      </c>
      <c r="C52" s="145">
        <v>10.736000000000001</v>
      </c>
      <c r="D52" s="145">
        <v>8.1709999999999994</v>
      </c>
      <c r="E52" s="145">
        <v>7.556</v>
      </c>
      <c r="F52" s="145">
        <v>13.222</v>
      </c>
      <c r="G52" s="145">
        <v>8.9469999999999992</v>
      </c>
      <c r="H52" s="145">
        <v>9.2210000000000001</v>
      </c>
      <c r="I52" s="145">
        <v>17.138999999999999</v>
      </c>
      <c r="J52" s="145">
        <v>3.609</v>
      </c>
      <c r="K52" s="145">
        <v>9.5749999999999993</v>
      </c>
    </row>
    <row r="53" spans="1:11" ht="15.75" customHeight="1" x14ac:dyDescent="0.25">
      <c r="A53" s="203"/>
      <c r="B53" s="105" t="s">
        <v>12</v>
      </c>
      <c r="C53" s="76">
        <v>18.861999999999998</v>
      </c>
      <c r="D53" s="76">
        <v>9.4120000000000008</v>
      </c>
      <c r="E53" s="76">
        <v>21.49</v>
      </c>
      <c r="F53" s="76">
        <v>31.582999999999998</v>
      </c>
      <c r="G53" s="76">
        <v>17.411000000000001</v>
      </c>
      <c r="H53" s="76">
        <v>11.907999999999999</v>
      </c>
      <c r="I53" s="76">
        <v>21.399000000000001</v>
      </c>
      <c r="J53" s="76">
        <v>67.62</v>
      </c>
      <c r="K53" s="76">
        <v>18.768999999999998</v>
      </c>
    </row>
    <row r="54" spans="1:11" ht="15.75" customHeight="1" x14ac:dyDescent="0.25">
      <c r="A54" s="203" t="s">
        <v>50</v>
      </c>
      <c r="B54" s="4" t="s">
        <v>22</v>
      </c>
      <c r="C54" s="145">
        <v>98.989000000000004</v>
      </c>
      <c r="D54" s="145">
        <v>64.48</v>
      </c>
      <c r="E54" s="145">
        <v>140.13800000000001</v>
      </c>
      <c r="F54" s="145">
        <v>230.70099999999999</v>
      </c>
      <c r="G54" s="145">
        <v>173.74199999999999</v>
      </c>
      <c r="H54" s="145">
        <v>35.750999999999998</v>
      </c>
      <c r="I54" s="145">
        <v>165.346</v>
      </c>
      <c r="J54" s="145">
        <v>111.85299999999999</v>
      </c>
      <c r="K54" s="145">
        <v>126.878</v>
      </c>
    </row>
    <row r="55" spans="1:11" ht="15.75" customHeight="1" x14ac:dyDescent="0.25">
      <c r="A55" s="203"/>
      <c r="B55" s="4" t="s">
        <v>23</v>
      </c>
      <c r="C55" s="145">
        <v>11.27</v>
      </c>
      <c r="D55" s="145">
        <v>9.1579999999999995</v>
      </c>
      <c r="E55" s="145">
        <v>7.2089999999999996</v>
      </c>
      <c r="F55" s="145">
        <v>11.734</v>
      </c>
      <c r="G55" s="145">
        <v>9.8979999999999997</v>
      </c>
      <c r="H55" s="145">
        <v>6.9290000000000003</v>
      </c>
      <c r="I55" s="145">
        <v>14.307</v>
      </c>
      <c r="J55" s="145">
        <v>5.7039999999999997</v>
      </c>
      <c r="K55" s="145">
        <v>9.7520000000000007</v>
      </c>
    </row>
    <row r="56" spans="1:11" ht="15.75" customHeight="1" x14ac:dyDescent="0.25">
      <c r="A56" s="203"/>
      <c r="B56" s="105" t="s">
        <v>12</v>
      </c>
      <c r="C56" s="76">
        <v>18.312999999999999</v>
      </c>
      <c r="D56" s="76">
        <v>10.298999999999999</v>
      </c>
      <c r="E56" s="76">
        <v>19.084</v>
      </c>
      <c r="F56" s="76">
        <v>27.920999999999999</v>
      </c>
      <c r="G56" s="76">
        <v>18.52</v>
      </c>
      <c r="H56" s="76">
        <v>10.182</v>
      </c>
      <c r="I56" s="76">
        <v>20.053999999999998</v>
      </c>
      <c r="J56" s="76">
        <v>54.988999999999997</v>
      </c>
      <c r="K56" s="76">
        <v>17.786999999999999</v>
      </c>
    </row>
    <row r="57" spans="1:11" ht="15.75" customHeight="1" x14ac:dyDescent="0.25">
      <c r="A57" s="203" t="s">
        <v>51</v>
      </c>
      <c r="B57" s="4" t="s">
        <v>22</v>
      </c>
      <c r="C57" s="145">
        <v>90.426000000000002</v>
      </c>
      <c r="D57" s="145">
        <v>43.439</v>
      </c>
      <c r="E57" s="145">
        <v>126.563</v>
      </c>
      <c r="F57" s="145">
        <v>187.749</v>
      </c>
      <c r="G57" s="145">
        <v>132.31700000000001</v>
      </c>
      <c r="H57" s="145">
        <v>23.273</v>
      </c>
      <c r="I57" s="145">
        <v>152.619</v>
      </c>
      <c r="J57" s="145">
        <v>136.88300000000001</v>
      </c>
      <c r="K57" s="145">
        <v>112.378</v>
      </c>
    </row>
    <row r="58" spans="1:11" ht="15.75" customHeight="1" x14ac:dyDescent="0.25">
      <c r="A58" s="203"/>
      <c r="B58" s="4" t="s">
        <v>23</v>
      </c>
      <c r="C58" s="145">
        <v>10.948</v>
      </c>
      <c r="D58" s="145">
        <v>7.56</v>
      </c>
      <c r="E58" s="145">
        <v>7.5919999999999996</v>
      </c>
      <c r="F58" s="145">
        <v>8.391</v>
      </c>
      <c r="G58" s="145">
        <v>8.3829999999999991</v>
      </c>
      <c r="H58" s="145">
        <v>6.1959999999999997</v>
      </c>
      <c r="I58" s="145">
        <v>12.603</v>
      </c>
      <c r="J58" s="145">
        <v>5.5359999999999996</v>
      </c>
      <c r="K58" s="145">
        <v>8.8109999999999999</v>
      </c>
    </row>
    <row r="59" spans="1:11" ht="15.75" customHeight="1" x14ac:dyDescent="0.25">
      <c r="A59" s="203"/>
      <c r="B59" s="105" t="s">
        <v>12</v>
      </c>
      <c r="C59" s="76">
        <v>17.465</v>
      </c>
      <c r="D59" s="76">
        <v>8.31</v>
      </c>
      <c r="E59" s="76">
        <v>18.347000000000001</v>
      </c>
      <c r="F59" s="76">
        <v>21.596</v>
      </c>
      <c r="G59" s="76">
        <v>15.038</v>
      </c>
      <c r="H59" s="76">
        <v>8.141</v>
      </c>
      <c r="I59" s="76">
        <v>17.998000000000001</v>
      </c>
      <c r="J59" s="76">
        <v>66.013999999999996</v>
      </c>
      <c r="K59" s="76">
        <v>16.010999999999999</v>
      </c>
    </row>
    <row r="60" spans="1:11" ht="15.75" customHeight="1" x14ac:dyDescent="0.25">
      <c r="A60" s="203" t="s">
        <v>52</v>
      </c>
      <c r="B60" s="4" t="s">
        <v>22</v>
      </c>
      <c r="C60" s="145">
        <v>99.555999999999997</v>
      </c>
      <c r="D60" s="145">
        <v>48.472000000000001</v>
      </c>
      <c r="E60" s="145">
        <v>137.41800000000001</v>
      </c>
      <c r="F60" s="145">
        <v>246.91399999999999</v>
      </c>
      <c r="G60" s="145">
        <v>151.72999999999999</v>
      </c>
      <c r="H60" s="145">
        <v>24.49</v>
      </c>
      <c r="I60" s="145">
        <v>118.015</v>
      </c>
      <c r="J60" s="145">
        <v>225.80600000000001</v>
      </c>
      <c r="K60" s="145">
        <v>132.96299999999999</v>
      </c>
    </row>
    <row r="61" spans="1:11" ht="15.75" customHeight="1" x14ac:dyDescent="0.25">
      <c r="A61" s="203"/>
      <c r="B61" s="4" t="s">
        <v>23</v>
      </c>
      <c r="C61" s="145">
        <v>8.3490000000000002</v>
      </c>
      <c r="D61" s="145">
        <v>5.45</v>
      </c>
      <c r="E61" s="145">
        <v>7.4379999999999997</v>
      </c>
      <c r="F61" s="145">
        <v>9.1189999999999998</v>
      </c>
      <c r="G61" s="145">
        <v>9.218</v>
      </c>
      <c r="H61" s="145">
        <v>6.1230000000000002</v>
      </c>
      <c r="I61" s="145">
        <v>13.442</v>
      </c>
      <c r="J61" s="145">
        <v>7.4870000000000001</v>
      </c>
      <c r="K61" s="145">
        <v>7.59</v>
      </c>
    </row>
    <row r="62" spans="1:11" ht="15.75" customHeight="1" x14ac:dyDescent="0.25">
      <c r="A62" s="203"/>
      <c r="B62" s="105" t="s">
        <v>12</v>
      </c>
      <c r="C62" s="76">
        <v>15.656000000000001</v>
      </c>
      <c r="D62" s="76">
        <v>6.3609999999999998</v>
      </c>
      <c r="E62" s="76">
        <v>19.128</v>
      </c>
      <c r="F62" s="76">
        <v>26.567</v>
      </c>
      <c r="G62" s="76">
        <v>16.91</v>
      </c>
      <c r="H62" s="76">
        <v>8.2260000000000009</v>
      </c>
      <c r="I62" s="76">
        <v>17.234000000000002</v>
      </c>
      <c r="J62" s="76">
        <v>106.15</v>
      </c>
      <c r="K62" s="76">
        <v>16.221</v>
      </c>
    </row>
    <row r="63" spans="1:11" ht="15.75" customHeight="1" x14ac:dyDescent="0.25">
      <c r="A63" s="203" t="s">
        <v>53</v>
      </c>
      <c r="B63" s="4" t="s">
        <v>22</v>
      </c>
      <c r="C63" s="145">
        <v>122.43</v>
      </c>
      <c r="D63" s="145">
        <v>44.274000000000001</v>
      </c>
      <c r="E63" s="145">
        <v>149.4</v>
      </c>
      <c r="F63" s="145">
        <v>248.53399999999999</v>
      </c>
      <c r="G63" s="145">
        <v>184.721</v>
      </c>
      <c r="H63" s="145">
        <v>27.486000000000001</v>
      </c>
      <c r="I63" s="145">
        <v>190.86600000000001</v>
      </c>
      <c r="J63" s="145">
        <v>228.46299999999999</v>
      </c>
      <c r="K63" s="145">
        <v>146.71899999999999</v>
      </c>
    </row>
    <row r="64" spans="1:11" ht="15.75" customHeight="1" x14ac:dyDescent="0.25">
      <c r="A64" s="203"/>
      <c r="B64" s="4" t="s">
        <v>23</v>
      </c>
      <c r="C64" s="145">
        <v>8.2249999999999996</v>
      </c>
      <c r="D64" s="145">
        <v>4.87</v>
      </c>
      <c r="E64" s="145">
        <v>6.1609999999999996</v>
      </c>
      <c r="F64" s="145">
        <v>10.516999999999999</v>
      </c>
      <c r="G64" s="145">
        <v>9.0350000000000001</v>
      </c>
      <c r="H64" s="145">
        <v>8.5730000000000004</v>
      </c>
      <c r="I64" s="145">
        <v>17.398</v>
      </c>
      <c r="J64" s="145">
        <v>3.9390000000000001</v>
      </c>
      <c r="K64" s="145">
        <v>7.367</v>
      </c>
    </row>
    <row r="65" spans="1:11" ht="15.75" customHeight="1" x14ac:dyDescent="0.25">
      <c r="A65" s="203"/>
      <c r="B65" s="105" t="s">
        <v>12</v>
      </c>
      <c r="C65" s="76">
        <v>17.298999999999999</v>
      </c>
      <c r="D65" s="76">
        <v>5.7050000000000001</v>
      </c>
      <c r="E65" s="76">
        <v>19.044</v>
      </c>
      <c r="F65" s="76">
        <v>27.704000000000001</v>
      </c>
      <c r="G65" s="76">
        <v>18.536999999999999</v>
      </c>
      <c r="H65" s="76">
        <v>10.739000000000001</v>
      </c>
      <c r="I65" s="76">
        <v>24.869</v>
      </c>
      <c r="J65" s="76">
        <v>104.178</v>
      </c>
      <c r="K65" s="76">
        <v>16.943000000000001</v>
      </c>
    </row>
    <row r="66" spans="1:11" ht="15.75" customHeight="1" x14ac:dyDescent="0.25">
      <c r="A66" s="203" t="s">
        <v>227</v>
      </c>
      <c r="B66" s="4" t="s">
        <v>22</v>
      </c>
      <c r="C66" s="145">
        <v>126.226</v>
      </c>
      <c r="D66" s="145">
        <v>34.622999999999998</v>
      </c>
      <c r="E66" s="145">
        <v>143.75800000000001</v>
      </c>
      <c r="F66" s="145">
        <v>237.60300000000001</v>
      </c>
      <c r="G66" s="145">
        <v>191.761</v>
      </c>
      <c r="H66" s="145">
        <v>38.936</v>
      </c>
      <c r="I66" s="145">
        <v>357.63400000000001</v>
      </c>
      <c r="J66" s="145">
        <v>337.76299999999998</v>
      </c>
      <c r="K66" s="145">
        <v>149.922</v>
      </c>
    </row>
    <row r="67" spans="1:11" ht="15.75" customHeight="1" x14ac:dyDescent="0.25">
      <c r="A67" s="203"/>
      <c r="B67" s="4" t="s">
        <v>23</v>
      </c>
      <c r="C67" s="145">
        <v>7.8949999999999996</v>
      </c>
      <c r="D67" s="145">
        <v>3.581</v>
      </c>
      <c r="E67" s="145">
        <v>6.6269999999999998</v>
      </c>
      <c r="F67" s="145">
        <v>10.363</v>
      </c>
      <c r="G67" s="145">
        <v>7.37</v>
      </c>
      <c r="H67" s="145">
        <v>11.051</v>
      </c>
      <c r="I67" s="145">
        <v>21.971</v>
      </c>
      <c r="J67" s="145">
        <v>7.0410000000000004</v>
      </c>
      <c r="K67" s="145">
        <v>6.9779999999999998</v>
      </c>
    </row>
    <row r="68" spans="1:11" ht="15.75" customHeight="1" x14ac:dyDescent="0.25">
      <c r="A68" s="203"/>
      <c r="B68" s="105" t="s">
        <v>12</v>
      </c>
      <c r="C68" s="76">
        <v>17.161999999999999</v>
      </c>
      <c r="D68" s="76">
        <v>4.2370000000000001</v>
      </c>
      <c r="E68" s="76">
        <v>18.831</v>
      </c>
      <c r="F68" s="76">
        <v>26.385999999999999</v>
      </c>
      <c r="G68" s="76">
        <v>17.291</v>
      </c>
      <c r="H68" s="76">
        <v>14.227</v>
      </c>
      <c r="I68" s="76">
        <v>33.99</v>
      </c>
      <c r="J68" s="76">
        <v>151.67400000000001</v>
      </c>
      <c r="K68" s="76">
        <v>16.518000000000001</v>
      </c>
    </row>
    <row r="69" spans="1:11" ht="15.75" customHeight="1" x14ac:dyDescent="0.25">
      <c r="A69" s="203" t="s">
        <v>289</v>
      </c>
      <c r="B69" s="4" t="s">
        <v>22</v>
      </c>
      <c r="C69" s="145">
        <v>124.15600000000001</v>
      </c>
      <c r="D69" s="145">
        <v>35.1</v>
      </c>
      <c r="E69" s="145">
        <v>141.684</v>
      </c>
      <c r="F69" s="145">
        <v>258.25400000000002</v>
      </c>
      <c r="G69" s="145">
        <v>191.553</v>
      </c>
      <c r="H69" s="145">
        <v>39.414999999999999</v>
      </c>
      <c r="I69" s="145">
        <v>310.64400000000001</v>
      </c>
      <c r="J69" s="145">
        <v>278.43700000000001</v>
      </c>
      <c r="K69" s="145">
        <v>149.89099999999999</v>
      </c>
    </row>
    <row r="70" spans="1:11" ht="15.75" customHeight="1" x14ac:dyDescent="0.25">
      <c r="A70" s="203"/>
      <c r="B70" s="4" t="s">
        <v>23</v>
      </c>
      <c r="C70" s="145">
        <v>8.4589999999999996</v>
      </c>
      <c r="D70" s="145">
        <v>4.59</v>
      </c>
      <c r="E70" s="145">
        <v>6.1849999999999996</v>
      </c>
      <c r="F70" s="145">
        <v>9.7330000000000005</v>
      </c>
      <c r="G70" s="145">
        <v>9.0830000000000002</v>
      </c>
      <c r="H70" s="145">
        <v>9.5920000000000005</v>
      </c>
      <c r="I70" s="145">
        <v>19.846</v>
      </c>
      <c r="J70" s="145">
        <v>6.1749999999999998</v>
      </c>
      <c r="K70" s="145">
        <v>7.3049999999999997</v>
      </c>
    </row>
    <row r="71" spans="1:11" ht="15.75" customHeight="1" x14ac:dyDescent="0.25">
      <c r="A71" s="203"/>
      <c r="B71" s="105" t="s">
        <v>12</v>
      </c>
      <c r="C71" s="76">
        <v>17.675999999999998</v>
      </c>
      <c r="D71" s="76">
        <v>5.258</v>
      </c>
      <c r="E71" s="76">
        <v>18.143999999999998</v>
      </c>
      <c r="F71" s="76">
        <v>26.945</v>
      </c>
      <c r="G71" s="76">
        <v>19.044</v>
      </c>
      <c r="H71" s="76">
        <v>12.952</v>
      </c>
      <c r="I71" s="76">
        <v>29.248999999999999</v>
      </c>
      <c r="J71" s="76">
        <v>119.65600000000001</v>
      </c>
      <c r="K71" s="76">
        <v>16.911999999999999</v>
      </c>
    </row>
    <row r="72" spans="1:11" ht="2.25" customHeight="1" x14ac:dyDescent="0.25">
      <c r="A72" s="2"/>
    </row>
    <row r="73" spans="1:11" ht="11.1" customHeight="1" x14ac:dyDescent="0.25">
      <c r="A73" s="58" t="s">
        <v>18</v>
      </c>
      <c r="B73" s="43"/>
      <c r="C73" s="43"/>
      <c r="D73" s="43"/>
      <c r="E73" s="43"/>
      <c r="F73" s="43"/>
      <c r="G73" s="43"/>
      <c r="H73" s="43"/>
      <c r="I73" s="43"/>
      <c r="J73" s="43"/>
      <c r="K73" s="43"/>
    </row>
    <row r="74" spans="1:11" s="6" customFormat="1" ht="9" x14ac:dyDescent="0.15">
      <c r="A74" s="6" t="s">
        <v>19</v>
      </c>
      <c r="B74" s="122"/>
      <c r="C74" s="122"/>
      <c r="D74" s="122"/>
      <c r="E74" s="122"/>
      <c r="F74" s="122"/>
      <c r="G74" s="122"/>
      <c r="H74" s="122"/>
      <c r="I74" s="122"/>
      <c r="J74" s="122"/>
      <c r="K74" s="122"/>
    </row>
    <row r="75" spans="1:11" s="6" customFormat="1" ht="11.1" customHeight="1" x14ac:dyDescent="0.15">
      <c r="A75" s="6" t="s">
        <v>54</v>
      </c>
    </row>
    <row r="76" spans="1:11" s="6" customFormat="1" ht="11.1" customHeight="1" x14ac:dyDescent="0.15">
      <c r="A76" s="6" t="s">
        <v>38</v>
      </c>
    </row>
    <row r="77" spans="1:11" ht="12" customHeight="1" x14ac:dyDescent="0.25">
      <c r="A77" s="6" t="s">
        <v>39</v>
      </c>
      <c r="B77" s="6"/>
      <c r="C77" s="6"/>
      <c r="D77" s="6"/>
      <c r="E77" s="6"/>
      <c r="F77" s="6"/>
      <c r="G77" s="6"/>
      <c r="H77" s="6"/>
      <c r="I77" s="6"/>
      <c r="J77" s="6"/>
      <c r="K77" s="6"/>
    </row>
    <row r="78" spans="1:11" ht="15" customHeight="1" x14ac:dyDescent="0.25">
      <c r="A78" s="6" t="s">
        <v>247</v>
      </c>
      <c r="B78" s="6"/>
      <c r="C78" s="6"/>
      <c r="D78" s="6"/>
      <c r="E78" s="6"/>
      <c r="F78" s="6"/>
      <c r="G78" s="6"/>
      <c r="H78" s="6"/>
      <c r="I78" s="6"/>
      <c r="J78" s="6"/>
      <c r="K78" s="6"/>
    </row>
    <row r="79" spans="1:11" x14ac:dyDescent="0.25">
      <c r="A79" s="6" t="s">
        <v>305</v>
      </c>
      <c r="B79" s="6"/>
      <c r="C79" s="6"/>
      <c r="D79" s="6"/>
      <c r="E79" s="6"/>
      <c r="F79" s="6"/>
      <c r="G79" s="6"/>
      <c r="H79" s="6"/>
      <c r="I79" s="6"/>
      <c r="J79" s="6"/>
      <c r="K79" s="6"/>
    </row>
    <row r="80" spans="1:11" ht="15" customHeight="1" x14ac:dyDescent="0.25">
      <c r="A80" s="6" t="s">
        <v>306</v>
      </c>
      <c r="B80" s="6"/>
      <c r="C80" s="6"/>
      <c r="D80" s="6"/>
      <c r="E80" s="6"/>
      <c r="F80" s="6"/>
      <c r="G80" s="6"/>
      <c r="H80" s="6"/>
      <c r="I80" s="6"/>
      <c r="J80" s="6"/>
      <c r="K80" s="6"/>
    </row>
    <row r="82" spans="1:1" x14ac:dyDescent="0.25">
      <c r="A82" s="6" t="s">
        <v>267</v>
      </c>
    </row>
  </sheetData>
  <mergeCells count="21">
    <mergeCell ref="A42:K42"/>
    <mergeCell ref="A25:A27"/>
    <mergeCell ref="A1:K1"/>
    <mergeCell ref="A4:A6"/>
    <mergeCell ref="A7:A9"/>
    <mergeCell ref="A10:A12"/>
    <mergeCell ref="A13:A15"/>
    <mergeCell ref="A16:A18"/>
    <mergeCell ref="A19:A21"/>
    <mergeCell ref="A22:A24"/>
    <mergeCell ref="A35:K35"/>
    <mergeCell ref="A28:A30"/>
    <mergeCell ref="A69:A71"/>
    <mergeCell ref="A60:A62"/>
    <mergeCell ref="A63:A65"/>
    <mergeCell ref="A66:A68"/>
    <mergeCell ref="A45:A47"/>
    <mergeCell ref="A48:A50"/>
    <mergeCell ref="A51:A53"/>
    <mergeCell ref="A54:A56"/>
    <mergeCell ref="A57:A59"/>
  </mergeCells>
  <pageMargins left="0.08" right="0.08" top="1" bottom="1" header="0.5" footer="0.5"/>
  <pageSetup orientation="landscape" blackAndWhite="1"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100"/>
  <sheetViews>
    <sheetView topLeftCell="A13" zoomScaleNormal="100" workbookViewId="0">
      <selection activeCell="E42" sqref="E42"/>
    </sheetView>
  </sheetViews>
  <sheetFormatPr defaultColWidth="9.140625" defaultRowHeight="15" x14ac:dyDescent="0.25"/>
  <cols>
    <col min="1" max="7" width="11.42578125" style="1" bestFit="1" customWidth="1"/>
    <col min="8" max="9" width="11.42578125" style="84" bestFit="1" customWidth="1"/>
    <col min="10" max="13" width="11.42578125" style="1" bestFit="1" customWidth="1"/>
    <col min="14" max="16384" width="9.140625" style="1"/>
  </cols>
  <sheetData>
    <row r="1" spans="1:11" ht="20.25" customHeight="1" x14ac:dyDescent="0.25">
      <c r="A1" s="200" t="s">
        <v>307</v>
      </c>
      <c r="B1" s="200"/>
      <c r="C1" s="200"/>
      <c r="D1" s="200"/>
      <c r="E1" s="200"/>
      <c r="F1" s="200"/>
      <c r="G1" s="200"/>
      <c r="H1" s="200"/>
      <c r="I1" s="200"/>
      <c r="J1" s="200"/>
      <c r="K1" s="200"/>
    </row>
    <row r="2" spans="1:11" ht="3.75" customHeight="1" x14ac:dyDescent="0.25">
      <c r="A2" s="2"/>
    </row>
    <row r="3" spans="1:11" x14ac:dyDescent="0.25">
      <c r="A3" s="52" t="s">
        <v>189</v>
      </c>
      <c r="B3" s="52" t="s">
        <v>185</v>
      </c>
      <c r="C3" s="3" t="s">
        <v>1</v>
      </c>
      <c r="D3" s="3" t="s">
        <v>2</v>
      </c>
      <c r="E3" s="3" t="s">
        <v>3</v>
      </c>
      <c r="F3" s="3" t="s">
        <v>4</v>
      </c>
      <c r="G3" s="3" t="s">
        <v>5</v>
      </c>
      <c r="H3" s="85" t="s">
        <v>6</v>
      </c>
      <c r="I3" s="85" t="s">
        <v>7</v>
      </c>
      <c r="J3" s="3" t="s">
        <v>8</v>
      </c>
      <c r="K3" s="3" t="s">
        <v>9</v>
      </c>
    </row>
    <row r="4" spans="1:11" x14ac:dyDescent="0.25">
      <c r="A4" s="203" t="s">
        <v>55</v>
      </c>
      <c r="B4" s="106" t="s">
        <v>21</v>
      </c>
      <c r="C4" s="107">
        <v>207.7</v>
      </c>
      <c r="D4" s="107">
        <v>89.2</v>
      </c>
      <c r="E4" s="107">
        <v>154.1</v>
      </c>
      <c r="F4" s="107">
        <v>115.9</v>
      </c>
      <c r="G4" s="107">
        <v>45.5</v>
      </c>
      <c r="H4" s="107">
        <v>6.8</v>
      </c>
      <c r="I4" s="107">
        <v>4.8</v>
      </c>
      <c r="J4" s="107">
        <v>45.3</v>
      </c>
      <c r="K4" s="107">
        <v>669.3</v>
      </c>
    </row>
    <row r="5" spans="1:11" x14ac:dyDescent="0.25">
      <c r="A5" s="203"/>
      <c r="B5" s="106" t="s">
        <v>25</v>
      </c>
      <c r="C5" s="107">
        <v>19.600000000000001</v>
      </c>
      <c r="D5" s="107">
        <v>5.4</v>
      </c>
      <c r="E5" s="107">
        <v>33.1</v>
      </c>
      <c r="F5" s="107">
        <v>8</v>
      </c>
      <c r="G5" s="107">
        <v>4.7</v>
      </c>
      <c r="H5" s="107">
        <v>0.3</v>
      </c>
      <c r="I5" s="107">
        <v>0.8</v>
      </c>
      <c r="J5" s="107">
        <v>5.2</v>
      </c>
      <c r="K5" s="107">
        <v>77.2</v>
      </c>
    </row>
    <row r="6" spans="1:11" x14ac:dyDescent="0.25">
      <c r="A6" s="203"/>
      <c r="B6" s="106" t="s">
        <v>24</v>
      </c>
      <c r="C6" s="107" t="s">
        <v>167</v>
      </c>
      <c r="D6" s="107" t="s">
        <v>167</v>
      </c>
      <c r="E6" s="107" t="s">
        <v>167</v>
      </c>
      <c r="F6" s="107" t="s">
        <v>167</v>
      </c>
      <c r="G6" s="107" t="s">
        <v>167</v>
      </c>
      <c r="H6" s="107" t="s">
        <v>167</v>
      </c>
      <c r="I6" s="107" t="s">
        <v>167</v>
      </c>
      <c r="J6" s="107" t="s">
        <v>167</v>
      </c>
      <c r="K6" s="107" t="s">
        <v>167</v>
      </c>
    </row>
    <row r="7" spans="1:11" x14ac:dyDescent="0.25">
      <c r="A7" s="203"/>
      <c r="B7" s="105" t="s">
        <v>12</v>
      </c>
      <c r="C7" s="76">
        <v>227.3</v>
      </c>
      <c r="D7" s="76">
        <v>94.6</v>
      </c>
      <c r="E7" s="76">
        <v>187.3</v>
      </c>
      <c r="F7" s="76">
        <v>123.9</v>
      </c>
      <c r="G7" s="76">
        <v>50.3</v>
      </c>
      <c r="H7" s="76">
        <v>7</v>
      </c>
      <c r="I7" s="76">
        <v>5.7</v>
      </c>
      <c r="J7" s="76">
        <v>50.5</v>
      </c>
      <c r="K7" s="76">
        <v>746.5</v>
      </c>
    </row>
    <row r="8" spans="1:11" x14ac:dyDescent="0.25">
      <c r="A8" s="203" t="s">
        <v>56</v>
      </c>
      <c r="B8" s="106" t="s">
        <v>21</v>
      </c>
      <c r="C8" s="107">
        <v>196.4</v>
      </c>
      <c r="D8" s="107">
        <v>104.9</v>
      </c>
      <c r="E8" s="107">
        <v>153.9</v>
      </c>
      <c r="F8" s="107">
        <v>121.5</v>
      </c>
      <c r="G8" s="107">
        <v>41</v>
      </c>
      <c r="H8" s="107">
        <v>8.3000000000000007</v>
      </c>
      <c r="I8" s="107">
        <v>6.8</v>
      </c>
      <c r="J8" s="107">
        <v>35.299999999999997</v>
      </c>
      <c r="K8" s="107">
        <v>668.1</v>
      </c>
    </row>
    <row r="9" spans="1:11" x14ac:dyDescent="0.25">
      <c r="A9" s="203"/>
      <c r="B9" s="106" t="s">
        <v>25</v>
      </c>
      <c r="C9" s="107">
        <v>20.5</v>
      </c>
      <c r="D9" s="107">
        <v>8.5</v>
      </c>
      <c r="E9" s="107">
        <v>26.7</v>
      </c>
      <c r="F9" s="107">
        <v>8</v>
      </c>
      <c r="G9" s="107">
        <v>6.1</v>
      </c>
      <c r="H9" s="107">
        <v>0.8</v>
      </c>
      <c r="I9" s="107">
        <v>1.9</v>
      </c>
      <c r="J9" s="107">
        <v>3.2</v>
      </c>
      <c r="K9" s="107">
        <v>75.7</v>
      </c>
    </row>
    <row r="10" spans="1:11" x14ac:dyDescent="0.25">
      <c r="A10" s="203"/>
      <c r="B10" s="106" t="s">
        <v>24</v>
      </c>
      <c r="C10" s="107" t="s">
        <v>167</v>
      </c>
      <c r="D10" s="107" t="s">
        <v>167</v>
      </c>
      <c r="E10" s="107" t="s">
        <v>167</v>
      </c>
      <c r="F10" s="107" t="s">
        <v>167</v>
      </c>
      <c r="G10" s="107" t="s">
        <v>167</v>
      </c>
      <c r="H10" s="107" t="s">
        <v>167</v>
      </c>
      <c r="I10" s="107" t="s">
        <v>167</v>
      </c>
      <c r="J10" s="107" t="s">
        <v>167</v>
      </c>
      <c r="K10" s="107" t="s">
        <v>167</v>
      </c>
    </row>
    <row r="11" spans="1:11" x14ac:dyDescent="0.25">
      <c r="A11" s="203"/>
      <c r="B11" s="105" t="s">
        <v>12</v>
      </c>
      <c r="C11" s="76">
        <v>216.9</v>
      </c>
      <c r="D11" s="76">
        <v>113.3</v>
      </c>
      <c r="E11" s="76">
        <v>180.6</v>
      </c>
      <c r="F11" s="76">
        <v>129.6</v>
      </c>
      <c r="G11" s="76">
        <v>47.2</v>
      </c>
      <c r="H11" s="76">
        <v>9.1</v>
      </c>
      <c r="I11" s="76">
        <v>8.6999999999999993</v>
      </c>
      <c r="J11" s="76">
        <v>38.5</v>
      </c>
      <c r="K11" s="76">
        <v>743.9</v>
      </c>
    </row>
    <row r="12" spans="1:11" x14ac:dyDescent="0.25">
      <c r="A12" s="203" t="s">
        <v>57</v>
      </c>
      <c r="B12" s="106" t="s">
        <v>21</v>
      </c>
      <c r="C12" s="107">
        <v>207.2</v>
      </c>
      <c r="D12" s="107">
        <v>107.6</v>
      </c>
      <c r="E12" s="107">
        <v>177</v>
      </c>
      <c r="F12" s="107">
        <v>127.8</v>
      </c>
      <c r="G12" s="107">
        <v>39</v>
      </c>
      <c r="H12" s="107">
        <v>8.9</v>
      </c>
      <c r="I12" s="107">
        <v>10.199999999999999</v>
      </c>
      <c r="J12" s="107">
        <v>36.700000000000003</v>
      </c>
      <c r="K12" s="107">
        <v>714.3</v>
      </c>
    </row>
    <row r="13" spans="1:11" x14ac:dyDescent="0.25">
      <c r="A13" s="203"/>
      <c r="B13" s="106" t="s">
        <v>25</v>
      </c>
      <c r="C13" s="107">
        <v>23.1</v>
      </c>
      <c r="D13" s="107">
        <v>11.6</v>
      </c>
      <c r="E13" s="107">
        <v>30.1</v>
      </c>
      <c r="F13" s="107">
        <v>8.1999999999999993</v>
      </c>
      <c r="G13" s="107">
        <v>4.4000000000000004</v>
      </c>
      <c r="H13" s="107">
        <v>0.8</v>
      </c>
      <c r="I13" s="107">
        <v>2</v>
      </c>
      <c r="J13" s="107">
        <v>2.9</v>
      </c>
      <c r="K13" s="107">
        <v>83.1</v>
      </c>
    </row>
    <row r="14" spans="1:11" x14ac:dyDescent="0.25">
      <c r="A14" s="203"/>
      <c r="B14" s="106" t="s">
        <v>24</v>
      </c>
      <c r="C14" s="107" t="s">
        <v>167</v>
      </c>
      <c r="D14" s="107" t="s">
        <v>167</v>
      </c>
      <c r="E14" s="107" t="s">
        <v>167</v>
      </c>
      <c r="F14" s="107" t="s">
        <v>167</v>
      </c>
      <c r="G14" s="107" t="s">
        <v>167</v>
      </c>
      <c r="H14" s="107" t="s">
        <v>167</v>
      </c>
      <c r="I14" s="107" t="s">
        <v>167</v>
      </c>
      <c r="J14" s="107" t="s">
        <v>167</v>
      </c>
      <c r="K14" s="107" t="s">
        <v>167</v>
      </c>
    </row>
    <row r="15" spans="1:11" x14ac:dyDescent="0.25">
      <c r="A15" s="203"/>
      <c r="B15" s="105" t="s">
        <v>12</v>
      </c>
      <c r="C15" s="76">
        <v>230.3</v>
      </c>
      <c r="D15" s="76">
        <v>119.2</v>
      </c>
      <c r="E15" s="76">
        <v>207.1</v>
      </c>
      <c r="F15" s="76">
        <v>136</v>
      </c>
      <c r="G15" s="76">
        <v>43.4</v>
      </c>
      <c r="H15" s="76">
        <v>9.6999999999999993</v>
      </c>
      <c r="I15" s="76">
        <v>12.1</v>
      </c>
      <c r="J15" s="76">
        <v>39.6</v>
      </c>
      <c r="K15" s="76">
        <v>797.4</v>
      </c>
    </row>
    <row r="16" spans="1:11" x14ac:dyDescent="0.25">
      <c r="A16" s="203" t="s">
        <v>49</v>
      </c>
      <c r="B16" s="106" t="s">
        <v>21</v>
      </c>
      <c r="C16" s="107">
        <v>183.1</v>
      </c>
      <c r="D16" s="107">
        <v>100.3</v>
      </c>
      <c r="E16" s="107">
        <v>203.1</v>
      </c>
      <c r="F16" s="107">
        <v>110.3</v>
      </c>
      <c r="G16" s="107">
        <v>34.299999999999997</v>
      </c>
      <c r="H16" s="107">
        <v>11</v>
      </c>
      <c r="I16" s="107">
        <v>6.1</v>
      </c>
      <c r="J16" s="107">
        <v>33.1</v>
      </c>
      <c r="K16" s="107">
        <v>681.3</v>
      </c>
    </row>
    <row r="17" spans="1:11" x14ac:dyDescent="0.25">
      <c r="A17" s="203"/>
      <c r="B17" s="106" t="s">
        <v>25</v>
      </c>
      <c r="C17" s="107">
        <v>21.3</v>
      </c>
      <c r="D17" s="107">
        <v>11.1</v>
      </c>
      <c r="E17" s="107">
        <v>33.299999999999997</v>
      </c>
      <c r="F17" s="107">
        <v>13.2</v>
      </c>
      <c r="G17" s="107">
        <v>3.6</v>
      </c>
      <c r="H17" s="107">
        <v>0.5</v>
      </c>
      <c r="I17" s="107">
        <v>1.7</v>
      </c>
      <c r="J17" s="107">
        <v>2.6</v>
      </c>
      <c r="K17" s="107">
        <v>87.5</v>
      </c>
    </row>
    <row r="18" spans="1:11" x14ac:dyDescent="0.25">
      <c r="A18" s="203"/>
      <c r="B18" s="106" t="s">
        <v>24</v>
      </c>
      <c r="C18" s="107" t="s">
        <v>167</v>
      </c>
      <c r="D18" s="107" t="s">
        <v>167</v>
      </c>
      <c r="E18" s="107" t="s">
        <v>167</v>
      </c>
      <c r="F18" s="107" t="s">
        <v>167</v>
      </c>
      <c r="G18" s="107" t="s">
        <v>167</v>
      </c>
      <c r="H18" s="107" t="s">
        <v>167</v>
      </c>
      <c r="I18" s="107" t="s">
        <v>167</v>
      </c>
      <c r="J18" s="107" t="s">
        <v>167</v>
      </c>
      <c r="K18" s="107" t="s">
        <v>167</v>
      </c>
    </row>
    <row r="19" spans="1:11" x14ac:dyDescent="0.25">
      <c r="A19" s="203"/>
      <c r="B19" s="105" t="s">
        <v>12</v>
      </c>
      <c r="C19" s="76">
        <v>204.5</v>
      </c>
      <c r="D19" s="76">
        <v>111.4</v>
      </c>
      <c r="E19" s="76">
        <v>236.4</v>
      </c>
      <c r="F19" s="76">
        <v>123.5</v>
      </c>
      <c r="G19" s="76">
        <v>37.9</v>
      </c>
      <c r="H19" s="76">
        <v>11.5</v>
      </c>
      <c r="I19" s="76">
        <v>7.8</v>
      </c>
      <c r="J19" s="76">
        <v>35.700000000000003</v>
      </c>
      <c r="K19" s="76">
        <v>768.8</v>
      </c>
    </row>
    <row r="20" spans="1:11" x14ac:dyDescent="0.25">
      <c r="A20" s="203" t="s">
        <v>50</v>
      </c>
      <c r="B20" s="106" t="s">
        <v>21</v>
      </c>
      <c r="C20" s="107">
        <v>175.2</v>
      </c>
      <c r="D20" s="107">
        <v>108.9</v>
      </c>
      <c r="E20" s="107">
        <v>167.1</v>
      </c>
      <c r="F20" s="107">
        <v>92.8</v>
      </c>
      <c r="G20" s="107">
        <v>27.8</v>
      </c>
      <c r="H20" s="107">
        <v>13</v>
      </c>
      <c r="I20" s="107">
        <v>10.5</v>
      </c>
      <c r="J20" s="107">
        <v>22</v>
      </c>
      <c r="K20" s="107">
        <v>617.29999999999995</v>
      </c>
    </row>
    <row r="21" spans="1:11" x14ac:dyDescent="0.25">
      <c r="A21" s="203"/>
      <c r="B21" s="106" t="s">
        <v>25</v>
      </c>
      <c r="C21" s="107">
        <v>18</v>
      </c>
      <c r="D21" s="107">
        <v>9.8000000000000007</v>
      </c>
      <c r="E21" s="107">
        <v>22.7</v>
      </c>
      <c r="F21" s="107">
        <v>11</v>
      </c>
      <c r="G21" s="107">
        <v>6.7</v>
      </c>
      <c r="H21" s="107">
        <v>0.9</v>
      </c>
      <c r="I21" s="107">
        <v>3.9</v>
      </c>
      <c r="J21" s="107">
        <v>2</v>
      </c>
      <c r="K21" s="107">
        <v>75</v>
      </c>
    </row>
    <row r="22" spans="1:11" x14ac:dyDescent="0.25">
      <c r="A22" s="203"/>
      <c r="B22" s="106" t="s">
        <v>24</v>
      </c>
      <c r="C22" s="107">
        <v>0.1</v>
      </c>
      <c r="D22" s="107" t="s">
        <v>167</v>
      </c>
      <c r="E22" s="107" t="s">
        <v>167</v>
      </c>
      <c r="F22" s="107" t="s">
        <v>167</v>
      </c>
      <c r="G22" s="107" t="s">
        <v>167</v>
      </c>
      <c r="H22" s="107" t="s">
        <v>167</v>
      </c>
      <c r="I22" s="107" t="s">
        <v>167</v>
      </c>
      <c r="J22" s="107" t="s">
        <v>167</v>
      </c>
      <c r="K22" s="107">
        <v>0.1</v>
      </c>
    </row>
    <row r="23" spans="1:11" x14ac:dyDescent="0.25">
      <c r="A23" s="203"/>
      <c r="B23" s="105" t="s">
        <v>12</v>
      </c>
      <c r="C23" s="76">
        <v>193.3</v>
      </c>
      <c r="D23" s="76">
        <v>118.7</v>
      </c>
      <c r="E23" s="76">
        <v>189.8</v>
      </c>
      <c r="F23" s="76">
        <v>103.8</v>
      </c>
      <c r="G23" s="76">
        <v>34.5</v>
      </c>
      <c r="H23" s="76">
        <v>13.9</v>
      </c>
      <c r="I23" s="76">
        <v>14.3</v>
      </c>
      <c r="J23" s="76">
        <v>24</v>
      </c>
      <c r="K23" s="76">
        <v>692.4</v>
      </c>
    </row>
    <row r="24" spans="1:11" x14ac:dyDescent="0.25">
      <c r="A24" s="203" t="s">
        <v>51</v>
      </c>
      <c r="B24" s="106" t="s">
        <v>21</v>
      </c>
      <c r="C24" s="107">
        <v>137.19999999999999</v>
      </c>
      <c r="D24" s="107">
        <v>94.1</v>
      </c>
      <c r="E24" s="107">
        <v>197.4</v>
      </c>
      <c r="F24" s="107">
        <v>86</v>
      </c>
      <c r="G24" s="107">
        <v>20.100000000000001</v>
      </c>
      <c r="H24" s="107">
        <v>7.3</v>
      </c>
      <c r="I24" s="107">
        <v>6.4</v>
      </c>
      <c r="J24" s="107">
        <v>29.3</v>
      </c>
      <c r="K24" s="107">
        <v>577.79999999999995</v>
      </c>
    </row>
    <row r="25" spans="1:11" x14ac:dyDescent="0.25">
      <c r="A25" s="203"/>
      <c r="B25" s="106" t="s">
        <v>25</v>
      </c>
      <c r="C25" s="107">
        <v>13.8</v>
      </c>
      <c r="D25" s="107">
        <v>8.1</v>
      </c>
      <c r="E25" s="107">
        <v>23.5</v>
      </c>
      <c r="F25" s="107">
        <v>10.1</v>
      </c>
      <c r="G25" s="107">
        <v>5.2</v>
      </c>
      <c r="H25" s="107">
        <v>0.6</v>
      </c>
      <c r="I25" s="107">
        <v>1.5</v>
      </c>
      <c r="J25" s="107">
        <v>2.8</v>
      </c>
      <c r="K25" s="107">
        <v>65.7</v>
      </c>
    </row>
    <row r="26" spans="1:11" x14ac:dyDescent="0.25">
      <c r="A26" s="203"/>
      <c r="B26" s="106" t="s">
        <v>24</v>
      </c>
      <c r="C26" s="107">
        <v>0.3</v>
      </c>
      <c r="D26" s="107" t="s">
        <v>167</v>
      </c>
      <c r="E26" s="107" t="s">
        <v>167</v>
      </c>
      <c r="F26" s="107" t="s">
        <v>167</v>
      </c>
      <c r="G26" s="107" t="s">
        <v>167</v>
      </c>
      <c r="H26" s="107" t="s">
        <v>167</v>
      </c>
      <c r="I26" s="107" t="s">
        <v>167</v>
      </c>
      <c r="J26" s="107" t="s">
        <v>167</v>
      </c>
      <c r="K26" s="107">
        <v>0.3</v>
      </c>
    </row>
    <row r="27" spans="1:11" x14ac:dyDescent="0.25">
      <c r="A27" s="203"/>
      <c r="B27" s="105" t="s">
        <v>12</v>
      </c>
      <c r="C27" s="76">
        <v>151.30000000000001</v>
      </c>
      <c r="D27" s="76">
        <v>102.1</v>
      </c>
      <c r="E27" s="76">
        <v>220.8</v>
      </c>
      <c r="F27" s="76">
        <v>96.1</v>
      </c>
      <c r="G27" s="76">
        <v>25.3</v>
      </c>
      <c r="H27" s="76">
        <v>8</v>
      </c>
      <c r="I27" s="76">
        <v>8</v>
      </c>
      <c r="J27" s="76">
        <v>32.200000000000003</v>
      </c>
      <c r="K27" s="76">
        <v>643.79999999999995</v>
      </c>
    </row>
    <row r="28" spans="1:11" x14ac:dyDescent="0.25">
      <c r="A28" s="203" t="s">
        <v>52</v>
      </c>
      <c r="B28" s="106" t="s">
        <v>21</v>
      </c>
      <c r="C28" s="107">
        <v>134.69999999999999</v>
      </c>
      <c r="D28" s="107">
        <v>72</v>
      </c>
      <c r="E28" s="107">
        <v>238.8</v>
      </c>
      <c r="F28" s="107">
        <v>92.1</v>
      </c>
      <c r="G28" s="107">
        <v>26.1</v>
      </c>
      <c r="H28" s="107">
        <v>7.2</v>
      </c>
      <c r="I28" s="107">
        <v>7.7</v>
      </c>
      <c r="J28" s="107">
        <v>46.1</v>
      </c>
      <c r="K28" s="107">
        <v>624.70000000000005</v>
      </c>
    </row>
    <row r="29" spans="1:11" x14ac:dyDescent="0.25">
      <c r="A29" s="203"/>
      <c r="B29" s="106" t="s">
        <v>25</v>
      </c>
      <c r="C29" s="107">
        <v>12.5</v>
      </c>
      <c r="D29" s="107">
        <v>6.4</v>
      </c>
      <c r="E29" s="107">
        <v>30</v>
      </c>
      <c r="F29" s="107">
        <v>12.7</v>
      </c>
      <c r="G29" s="107">
        <v>4.5</v>
      </c>
      <c r="H29" s="107">
        <v>0.9</v>
      </c>
      <c r="I29" s="107">
        <v>2</v>
      </c>
      <c r="J29" s="107">
        <v>6.2</v>
      </c>
      <c r="K29" s="107">
        <v>75.3</v>
      </c>
    </row>
    <row r="30" spans="1:11" x14ac:dyDescent="0.25">
      <c r="A30" s="203"/>
      <c r="B30" s="106" t="s">
        <v>24</v>
      </c>
      <c r="C30" s="107" t="s">
        <v>167</v>
      </c>
      <c r="D30" s="107" t="s">
        <v>167</v>
      </c>
      <c r="E30" s="107" t="s">
        <v>167</v>
      </c>
      <c r="F30" s="107" t="s">
        <v>167</v>
      </c>
      <c r="G30" s="107" t="s">
        <v>167</v>
      </c>
      <c r="H30" s="107" t="s">
        <v>167</v>
      </c>
      <c r="I30" s="107" t="s">
        <v>167</v>
      </c>
      <c r="J30" s="107" t="s">
        <v>167</v>
      </c>
      <c r="K30" s="5" t="s">
        <v>167</v>
      </c>
    </row>
    <row r="31" spans="1:11" x14ac:dyDescent="0.25">
      <c r="A31" s="203"/>
      <c r="B31" s="105" t="s">
        <v>12</v>
      </c>
      <c r="C31" s="76">
        <v>147.19999999999999</v>
      </c>
      <c r="D31" s="76">
        <v>78.400000000000006</v>
      </c>
      <c r="E31" s="76">
        <v>268.8</v>
      </c>
      <c r="F31" s="76">
        <v>104.9</v>
      </c>
      <c r="G31" s="76">
        <v>30.6</v>
      </c>
      <c r="H31" s="76">
        <v>8.1</v>
      </c>
      <c r="I31" s="76">
        <v>9.6999999999999993</v>
      </c>
      <c r="J31" s="76">
        <v>52.3</v>
      </c>
      <c r="K31" s="76">
        <v>700</v>
      </c>
    </row>
    <row r="32" spans="1:11" x14ac:dyDescent="0.25">
      <c r="A32" s="203" t="s">
        <v>53</v>
      </c>
      <c r="B32" s="106" t="s">
        <v>21</v>
      </c>
      <c r="C32" s="107">
        <v>149.5</v>
      </c>
      <c r="D32" s="107">
        <v>66.599999999999994</v>
      </c>
      <c r="E32" s="107">
        <v>249.9</v>
      </c>
      <c r="F32" s="107">
        <v>77.5</v>
      </c>
      <c r="G32" s="107">
        <v>24.7</v>
      </c>
      <c r="H32" s="107">
        <v>10.6</v>
      </c>
      <c r="I32" s="107">
        <v>11.1</v>
      </c>
      <c r="J32" s="107">
        <v>44.5</v>
      </c>
      <c r="K32" s="107">
        <v>634.29999999999995</v>
      </c>
    </row>
    <row r="33" spans="1:11" x14ac:dyDescent="0.25">
      <c r="A33" s="203"/>
      <c r="B33" s="106" t="s">
        <v>25</v>
      </c>
      <c r="C33" s="107">
        <v>10.7</v>
      </c>
      <c r="D33" s="107">
        <v>5</v>
      </c>
      <c r="E33" s="107">
        <v>35.700000000000003</v>
      </c>
      <c r="F33" s="107">
        <v>8.8000000000000007</v>
      </c>
      <c r="G33" s="107">
        <v>6.3</v>
      </c>
      <c r="H33" s="107">
        <v>2.2999999999999998</v>
      </c>
      <c r="I33" s="107">
        <v>2.7</v>
      </c>
      <c r="J33" s="107">
        <v>7.4</v>
      </c>
      <c r="K33" s="107">
        <v>79</v>
      </c>
    </row>
    <row r="34" spans="1:11" x14ac:dyDescent="0.25">
      <c r="A34" s="203"/>
      <c r="B34" s="106" t="s">
        <v>24</v>
      </c>
      <c r="C34" s="107" t="s">
        <v>167</v>
      </c>
      <c r="D34" s="107" t="s">
        <v>167</v>
      </c>
      <c r="E34" s="107" t="s">
        <v>167</v>
      </c>
      <c r="F34" s="107" t="s">
        <v>167</v>
      </c>
      <c r="G34" s="107" t="s">
        <v>167</v>
      </c>
      <c r="H34" s="107" t="s">
        <v>167</v>
      </c>
      <c r="I34" s="107" t="s">
        <v>167</v>
      </c>
      <c r="J34" s="107" t="s">
        <v>167</v>
      </c>
      <c r="K34" s="107">
        <v>0.1</v>
      </c>
    </row>
    <row r="35" spans="1:11" x14ac:dyDescent="0.25">
      <c r="A35" s="203"/>
      <c r="B35" s="105" t="s">
        <v>12</v>
      </c>
      <c r="C35" s="76">
        <v>160.19999999999999</v>
      </c>
      <c r="D35" s="76">
        <v>71.599999999999994</v>
      </c>
      <c r="E35" s="76">
        <v>285.60000000000002</v>
      </c>
      <c r="F35" s="76">
        <v>86.4</v>
      </c>
      <c r="G35" s="76">
        <v>31.1</v>
      </c>
      <c r="H35" s="76">
        <v>13</v>
      </c>
      <c r="I35" s="76">
        <v>13.8</v>
      </c>
      <c r="J35" s="76">
        <v>51.9</v>
      </c>
      <c r="K35" s="76">
        <v>713.4</v>
      </c>
    </row>
    <row r="36" spans="1:11" x14ac:dyDescent="0.25">
      <c r="A36" s="203" t="s">
        <v>227</v>
      </c>
      <c r="B36" s="106" t="s">
        <v>21</v>
      </c>
      <c r="C36" s="107">
        <v>161.69999999999999</v>
      </c>
      <c r="D36" s="107">
        <v>51.8</v>
      </c>
      <c r="E36" s="107">
        <v>255.4</v>
      </c>
      <c r="F36" s="107">
        <v>76.7</v>
      </c>
      <c r="G36" s="107">
        <v>23.7</v>
      </c>
      <c r="H36" s="107">
        <v>12</v>
      </c>
      <c r="I36" s="107">
        <v>11.6</v>
      </c>
      <c r="J36" s="107">
        <v>40.299999999999997</v>
      </c>
      <c r="K36" s="107">
        <v>633.1</v>
      </c>
    </row>
    <row r="37" spans="1:11" x14ac:dyDescent="0.25">
      <c r="A37" s="203"/>
      <c r="B37" s="106" t="s">
        <v>25</v>
      </c>
      <c r="C37" s="107">
        <v>14.5</v>
      </c>
      <c r="D37" s="107">
        <v>1.9</v>
      </c>
      <c r="E37" s="107">
        <v>38</v>
      </c>
      <c r="F37" s="107">
        <v>8.6999999999999993</v>
      </c>
      <c r="G37" s="107">
        <v>6.9</v>
      </c>
      <c r="H37" s="107">
        <v>3.6</v>
      </c>
      <c r="I37" s="107">
        <v>1.3</v>
      </c>
      <c r="J37" s="107">
        <v>3.3</v>
      </c>
      <c r="K37" s="107">
        <v>78.2</v>
      </c>
    </row>
    <row r="38" spans="1:11" x14ac:dyDescent="0.25">
      <c r="A38" s="203"/>
      <c r="B38" s="106" t="s">
        <v>24</v>
      </c>
      <c r="C38" s="107" t="s">
        <v>167</v>
      </c>
      <c r="D38" s="107" t="s">
        <v>167</v>
      </c>
      <c r="E38" s="107" t="s">
        <v>167</v>
      </c>
      <c r="F38" s="107" t="s">
        <v>167</v>
      </c>
      <c r="G38" s="107" t="s">
        <v>167</v>
      </c>
      <c r="H38" s="107" t="s">
        <v>167</v>
      </c>
      <c r="I38" s="107" t="s">
        <v>167</v>
      </c>
      <c r="J38" s="107" t="s">
        <v>167</v>
      </c>
      <c r="K38" s="107" t="s">
        <v>167</v>
      </c>
    </row>
    <row r="39" spans="1:11" x14ac:dyDescent="0.25">
      <c r="A39" s="203"/>
      <c r="B39" s="105" t="s">
        <v>12</v>
      </c>
      <c r="C39" s="76">
        <v>176.2</v>
      </c>
      <c r="D39" s="76">
        <v>53.7</v>
      </c>
      <c r="E39" s="76">
        <v>293.39999999999998</v>
      </c>
      <c r="F39" s="76">
        <v>85.4</v>
      </c>
      <c r="G39" s="76">
        <v>30.5</v>
      </c>
      <c r="H39" s="76">
        <v>15.6</v>
      </c>
      <c r="I39" s="76">
        <v>12.8</v>
      </c>
      <c r="J39" s="76">
        <v>43.6</v>
      </c>
      <c r="K39" s="76">
        <v>711.3</v>
      </c>
    </row>
    <row r="40" spans="1:11" x14ac:dyDescent="0.25">
      <c r="A40" s="203" t="s">
        <v>289</v>
      </c>
      <c r="B40" s="106" t="s">
        <v>21</v>
      </c>
      <c r="C40" s="107">
        <v>170</v>
      </c>
      <c r="D40" s="107">
        <v>71</v>
      </c>
      <c r="E40" s="107">
        <v>247.9</v>
      </c>
      <c r="F40" s="107">
        <v>66.900000000000006</v>
      </c>
      <c r="G40" s="107">
        <v>32.1</v>
      </c>
      <c r="H40" s="107">
        <v>11.7</v>
      </c>
      <c r="I40" s="107">
        <v>15</v>
      </c>
      <c r="J40" s="107">
        <v>39.5</v>
      </c>
      <c r="K40" s="107">
        <v>654.20000000000005</v>
      </c>
    </row>
    <row r="41" spans="1:11" x14ac:dyDescent="0.25">
      <c r="A41" s="203"/>
      <c r="B41" s="106" t="s">
        <v>25</v>
      </c>
      <c r="C41" s="107">
        <v>14.3</v>
      </c>
      <c r="D41" s="107">
        <v>2.9</v>
      </c>
      <c r="E41" s="107">
        <v>41.8</v>
      </c>
      <c r="F41" s="107">
        <v>7</v>
      </c>
      <c r="G41" s="107">
        <v>6.1</v>
      </c>
      <c r="H41" s="107">
        <v>2.6</v>
      </c>
      <c r="I41" s="107">
        <v>2</v>
      </c>
      <c r="J41" s="107">
        <v>2.9</v>
      </c>
      <c r="K41" s="107">
        <v>79.5</v>
      </c>
    </row>
    <row r="42" spans="1:11" x14ac:dyDescent="0.25">
      <c r="A42" s="203"/>
      <c r="B42" s="106" t="s">
        <v>24</v>
      </c>
      <c r="C42" s="107" t="s">
        <v>167</v>
      </c>
      <c r="D42" s="107" t="s">
        <v>167</v>
      </c>
      <c r="E42" s="5" t="s">
        <v>167</v>
      </c>
      <c r="F42" s="107" t="s">
        <v>167</v>
      </c>
      <c r="G42" s="107" t="s">
        <v>167</v>
      </c>
      <c r="H42" s="107" t="s">
        <v>167</v>
      </c>
      <c r="I42" s="107" t="s">
        <v>167</v>
      </c>
      <c r="J42" s="107" t="s">
        <v>167</v>
      </c>
      <c r="K42" s="107">
        <v>0.1</v>
      </c>
    </row>
    <row r="43" spans="1:11" x14ac:dyDescent="0.25">
      <c r="A43" s="203"/>
      <c r="B43" s="105" t="s">
        <v>12</v>
      </c>
      <c r="C43" s="76">
        <v>184.3</v>
      </c>
      <c r="D43" s="76">
        <v>73.900000000000006</v>
      </c>
      <c r="E43" s="76">
        <v>289.8</v>
      </c>
      <c r="F43" s="76">
        <v>73.900000000000006</v>
      </c>
      <c r="G43" s="76">
        <v>38.200000000000003</v>
      </c>
      <c r="H43" s="76">
        <v>14.3</v>
      </c>
      <c r="I43" s="76">
        <v>17.100000000000001</v>
      </c>
      <c r="J43" s="76">
        <v>42.4</v>
      </c>
      <c r="K43" s="76">
        <v>733.7</v>
      </c>
    </row>
    <row r="44" spans="1:11" ht="11.1" customHeight="1" x14ac:dyDescent="0.25">
      <c r="A44" s="201" t="s">
        <v>13</v>
      </c>
      <c r="B44" s="201"/>
      <c r="C44" s="201"/>
      <c r="D44" s="201"/>
      <c r="E44" s="201"/>
      <c r="F44" s="201"/>
      <c r="G44" s="201"/>
      <c r="H44" s="201"/>
      <c r="I44" s="201"/>
      <c r="J44" s="201"/>
      <c r="K44" s="201"/>
    </row>
    <row r="45" spans="1:11" s="6" customFormat="1" ht="11.1" customHeight="1" x14ac:dyDescent="0.15">
      <c r="A45" s="6" t="s">
        <v>14</v>
      </c>
      <c r="H45" s="86"/>
      <c r="I45" s="86"/>
    </row>
    <row r="46" spans="1:11" s="10" customFormat="1" ht="11.1" customHeight="1" x14ac:dyDescent="0.2">
      <c r="A46" s="6" t="s">
        <v>18</v>
      </c>
      <c r="H46" s="88"/>
      <c r="I46" s="88"/>
    </row>
    <row r="47" spans="1:11" s="6" customFormat="1" ht="11.1" customHeight="1" x14ac:dyDescent="0.15">
      <c r="A47" s="6" t="s">
        <v>58</v>
      </c>
      <c r="H47" s="86"/>
      <c r="I47" s="86"/>
    </row>
    <row r="48" spans="1:11" s="6" customFormat="1" ht="21.75" customHeight="1" x14ac:dyDescent="0.15">
      <c r="A48" s="199" t="s">
        <v>37</v>
      </c>
      <c r="B48" s="199"/>
      <c r="C48" s="199"/>
      <c r="D48" s="199"/>
      <c r="E48" s="199"/>
      <c r="F48" s="199"/>
      <c r="G48" s="199"/>
      <c r="H48" s="199"/>
      <c r="I48" s="199"/>
      <c r="J48" s="199"/>
      <c r="K48" s="199"/>
    </row>
    <row r="49" spans="1:13" s="6" customFormat="1" ht="11.1" customHeight="1" x14ac:dyDescent="0.15">
      <c r="A49" s="6" t="s">
        <v>16</v>
      </c>
      <c r="H49" s="86"/>
      <c r="I49" s="86"/>
    </row>
    <row r="50" spans="1:13" s="6" customFormat="1" ht="11.1" customHeight="1" x14ac:dyDescent="0.15">
      <c r="A50" s="6" t="s">
        <v>271</v>
      </c>
      <c r="H50" s="86"/>
      <c r="I50" s="86"/>
    </row>
    <row r="51" spans="1:13" ht="12" customHeight="1" x14ac:dyDescent="0.25">
      <c r="A51" s="2"/>
    </row>
    <row r="52" spans="1:13" ht="27.95" customHeight="1" x14ac:dyDescent="0.25">
      <c r="A52" s="198" t="s">
        <v>308</v>
      </c>
      <c r="B52" s="198"/>
      <c r="C52" s="198"/>
      <c r="D52" s="198"/>
      <c r="E52" s="198"/>
      <c r="F52" s="198"/>
      <c r="G52" s="198"/>
      <c r="H52" s="198"/>
      <c r="I52" s="198"/>
      <c r="J52" s="198"/>
      <c r="K52" s="198"/>
      <c r="L52" s="198"/>
      <c r="M52" s="198"/>
    </row>
    <row r="53" spans="1:13" ht="3.75" customHeight="1" x14ac:dyDescent="0.25">
      <c r="A53" s="2"/>
    </row>
    <row r="54" spans="1:13" x14ac:dyDescent="0.25">
      <c r="A54" s="52" t="s">
        <v>189</v>
      </c>
      <c r="B54" s="52" t="s">
        <v>185</v>
      </c>
      <c r="C54" s="3" t="s">
        <v>1</v>
      </c>
      <c r="D54" s="3" t="s">
        <v>2</v>
      </c>
      <c r="E54" s="3" t="s">
        <v>3</v>
      </c>
      <c r="F54" s="3" t="s">
        <v>4</v>
      </c>
      <c r="G54" s="3" t="s">
        <v>5</v>
      </c>
      <c r="H54" s="85" t="s">
        <v>6</v>
      </c>
      <c r="I54" s="85" t="s">
        <v>7</v>
      </c>
      <c r="J54" s="3" t="s">
        <v>8</v>
      </c>
      <c r="K54" s="3" t="s">
        <v>9</v>
      </c>
    </row>
    <row r="55" spans="1:13" x14ac:dyDescent="0.25">
      <c r="A55" s="105" t="s">
        <v>55</v>
      </c>
      <c r="B55" s="106" t="s">
        <v>21</v>
      </c>
      <c r="C55" s="108">
        <v>1178</v>
      </c>
      <c r="D55" s="108">
        <v>439</v>
      </c>
      <c r="E55" s="108">
        <v>680</v>
      </c>
      <c r="F55" s="108">
        <v>706</v>
      </c>
      <c r="G55" s="108">
        <v>317</v>
      </c>
      <c r="H55" s="108" t="s">
        <v>174</v>
      </c>
      <c r="I55" s="108" t="s">
        <v>174</v>
      </c>
      <c r="J55" s="108">
        <v>216</v>
      </c>
      <c r="K55" s="108">
        <v>3615</v>
      </c>
    </row>
    <row r="56" spans="1:13" x14ac:dyDescent="0.25">
      <c r="A56" s="105"/>
      <c r="B56" s="106" t="s">
        <v>25</v>
      </c>
      <c r="C56" s="108">
        <v>266</v>
      </c>
      <c r="D56" s="108">
        <v>61</v>
      </c>
      <c r="E56" s="108">
        <v>176</v>
      </c>
      <c r="F56" s="108">
        <v>137</v>
      </c>
      <c r="G56" s="108">
        <v>82</v>
      </c>
      <c r="H56" s="108" t="s">
        <v>174</v>
      </c>
      <c r="I56" s="108" t="s">
        <v>174</v>
      </c>
      <c r="J56" s="108">
        <v>53</v>
      </c>
      <c r="K56" s="108">
        <v>794</v>
      </c>
    </row>
    <row r="57" spans="1:13" x14ac:dyDescent="0.25">
      <c r="A57" s="105"/>
      <c r="B57" s="106" t="s">
        <v>24</v>
      </c>
      <c r="C57" s="108" t="s">
        <v>167</v>
      </c>
      <c r="D57" s="108" t="s">
        <v>167</v>
      </c>
      <c r="E57" s="108" t="s">
        <v>167</v>
      </c>
      <c r="F57" s="108" t="s">
        <v>167</v>
      </c>
      <c r="G57" s="108" t="s">
        <v>167</v>
      </c>
      <c r="H57" s="108" t="s">
        <v>167</v>
      </c>
      <c r="I57" s="108" t="s">
        <v>167</v>
      </c>
      <c r="J57" s="108" t="s">
        <v>167</v>
      </c>
      <c r="K57" s="108" t="s">
        <v>167</v>
      </c>
    </row>
    <row r="58" spans="1:13" x14ac:dyDescent="0.25">
      <c r="A58" s="105"/>
      <c r="B58" s="109" t="s">
        <v>12</v>
      </c>
      <c r="C58" s="81">
        <v>1444</v>
      </c>
      <c r="D58" s="81">
        <v>500</v>
      </c>
      <c r="E58" s="81">
        <v>856</v>
      </c>
      <c r="F58" s="81">
        <v>843</v>
      </c>
      <c r="G58" s="81">
        <v>399</v>
      </c>
      <c r="H58" s="81">
        <v>30</v>
      </c>
      <c r="I58" s="81">
        <v>68</v>
      </c>
      <c r="J58" s="81">
        <v>269</v>
      </c>
      <c r="K58" s="81">
        <v>4409</v>
      </c>
    </row>
    <row r="59" spans="1:13" x14ac:dyDescent="0.25">
      <c r="A59" s="105" t="s">
        <v>56</v>
      </c>
      <c r="B59" s="106" t="s">
        <v>21</v>
      </c>
      <c r="C59" s="108">
        <v>1166</v>
      </c>
      <c r="D59" s="108">
        <v>455</v>
      </c>
      <c r="E59" s="108">
        <v>745</v>
      </c>
      <c r="F59" s="108">
        <v>707</v>
      </c>
      <c r="G59" s="108">
        <v>285</v>
      </c>
      <c r="H59" s="108">
        <v>51</v>
      </c>
      <c r="I59" s="108">
        <v>63</v>
      </c>
      <c r="J59" s="108">
        <v>201</v>
      </c>
      <c r="K59" s="108">
        <v>3673</v>
      </c>
    </row>
    <row r="60" spans="1:13" x14ac:dyDescent="0.25">
      <c r="A60" s="105"/>
      <c r="B60" s="106" t="s">
        <v>25</v>
      </c>
      <c r="C60" s="108">
        <v>235</v>
      </c>
      <c r="D60" s="108">
        <v>72</v>
      </c>
      <c r="E60" s="108">
        <v>220</v>
      </c>
      <c r="F60" s="108">
        <v>140</v>
      </c>
      <c r="G60" s="108">
        <v>88</v>
      </c>
      <c r="H60" s="108">
        <v>9</v>
      </c>
      <c r="I60" s="108">
        <v>17</v>
      </c>
      <c r="J60" s="108">
        <v>41</v>
      </c>
      <c r="K60" s="108">
        <v>822</v>
      </c>
    </row>
    <row r="61" spans="1:13" x14ac:dyDescent="0.25">
      <c r="A61" s="105"/>
      <c r="B61" s="106" t="s">
        <v>24</v>
      </c>
      <c r="C61" s="108" t="s">
        <v>167</v>
      </c>
      <c r="D61" s="108" t="s">
        <v>167</v>
      </c>
      <c r="E61" s="108" t="s">
        <v>167</v>
      </c>
      <c r="F61" s="108" t="s">
        <v>167</v>
      </c>
      <c r="G61" s="108" t="s">
        <v>167</v>
      </c>
      <c r="H61" s="108" t="s">
        <v>167</v>
      </c>
      <c r="I61" s="108" t="s">
        <v>167</v>
      </c>
      <c r="J61" s="108" t="s">
        <v>167</v>
      </c>
      <c r="K61" s="108" t="s">
        <v>167</v>
      </c>
    </row>
    <row r="62" spans="1:13" x14ac:dyDescent="0.25">
      <c r="A62" s="105"/>
      <c r="B62" s="109" t="s">
        <v>12</v>
      </c>
      <c r="C62" s="81">
        <v>1401</v>
      </c>
      <c r="D62" s="81">
        <v>527</v>
      </c>
      <c r="E62" s="81">
        <v>965</v>
      </c>
      <c r="F62" s="81">
        <v>847</v>
      </c>
      <c r="G62" s="81">
        <v>373</v>
      </c>
      <c r="H62" s="81">
        <v>60</v>
      </c>
      <c r="I62" s="81">
        <v>80</v>
      </c>
      <c r="J62" s="81">
        <v>242</v>
      </c>
      <c r="K62" s="81">
        <v>4495</v>
      </c>
    </row>
    <row r="63" spans="1:13" x14ac:dyDescent="0.25">
      <c r="A63" s="105" t="s">
        <v>57</v>
      </c>
      <c r="B63" s="106" t="s">
        <v>21</v>
      </c>
      <c r="C63" s="108">
        <v>1168</v>
      </c>
      <c r="D63" s="108">
        <v>458</v>
      </c>
      <c r="E63" s="108">
        <v>847</v>
      </c>
      <c r="F63" s="108">
        <v>691</v>
      </c>
      <c r="G63" s="108">
        <v>251</v>
      </c>
      <c r="H63" s="108">
        <v>43</v>
      </c>
      <c r="I63" s="108">
        <v>77</v>
      </c>
      <c r="J63" s="108">
        <v>175</v>
      </c>
      <c r="K63" s="108">
        <v>3710</v>
      </c>
    </row>
    <row r="64" spans="1:13" x14ac:dyDescent="0.25">
      <c r="A64" s="105"/>
      <c r="B64" s="106" t="s">
        <v>25</v>
      </c>
      <c r="C64" s="108">
        <v>307</v>
      </c>
      <c r="D64" s="108">
        <v>65</v>
      </c>
      <c r="E64" s="108">
        <v>216</v>
      </c>
      <c r="F64" s="108">
        <v>147</v>
      </c>
      <c r="G64" s="108">
        <v>68</v>
      </c>
      <c r="H64" s="108">
        <v>9</v>
      </c>
      <c r="I64" s="108">
        <v>24</v>
      </c>
      <c r="J64" s="108">
        <v>27</v>
      </c>
      <c r="K64" s="108">
        <v>863</v>
      </c>
    </row>
    <row r="65" spans="1:11" x14ac:dyDescent="0.25">
      <c r="A65" s="105"/>
      <c r="B65" s="106" t="s">
        <v>24</v>
      </c>
      <c r="C65" s="108" t="s">
        <v>167</v>
      </c>
      <c r="D65" s="108" t="s">
        <v>167</v>
      </c>
      <c r="E65" s="108" t="s">
        <v>167</v>
      </c>
      <c r="F65" s="108" t="s">
        <v>167</v>
      </c>
      <c r="G65" s="108" t="s">
        <v>167</v>
      </c>
      <c r="H65" s="108" t="s">
        <v>167</v>
      </c>
      <c r="I65" s="108" t="s">
        <v>167</v>
      </c>
      <c r="J65" s="108" t="s">
        <v>167</v>
      </c>
      <c r="K65" s="108" t="s">
        <v>167</v>
      </c>
    </row>
    <row r="66" spans="1:11" x14ac:dyDescent="0.25">
      <c r="A66" s="105"/>
      <c r="B66" s="109" t="s">
        <v>12</v>
      </c>
      <c r="C66" s="81">
        <v>1475</v>
      </c>
      <c r="D66" s="81">
        <v>523</v>
      </c>
      <c r="E66" s="81">
        <v>1063</v>
      </c>
      <c r="F66" s="81">
        <v>838</v>
      </c>
      <c r="G66" s="81">
        <v>319</v>
      </c>
      <c r="H66" s="81">
        <v>52</v>
      </c>
      <c r="I66" s="81">
        <v>101</v>
      </c>
      <c r="J66" s="81">
        <v>202</v>
      </c>
      <c r="K66" s="81">
        <v>4573</v>
      </c>
    </row>
    <row r="67" spans="1:11" x14ac:dyDescent="0.25">
      <c r="A67" s="105" t="s">
        <v>49</v>
      </c>
      <c r="B67" s="106" t="s">
        <v>21</v>
      </c>
      <c r="C67" s="108">
        <v>1137</v>
      </c>
      <c r="D67" s="108">
        <v>454</v>
      </c>
      <c r="E67" s="108">
        <v>869</v>
      </c>
      <c r="F67" s="108">
        <v>645</v>
      </c>
      <c r="G67" s="108">
        <v>228</v>
      </c>
      <c r="H67" s="108">
        <v>47</v>
      </c>
      <c r="I67" s="108">
        <v>63</v>
      </c>
      <c r="J67" s="108">
        <v>152</v>
      </c>
      <c r="K67" s="108">
        <v>3595</v>
      </c>
    </row>
    <row r="68" spans="1:11" x14ac:dyDescent="0.25">
      <c r="A68" s="105"/>
      <c r="B68" s="106" t="s">
        <v>25</v>
      </c>
      <c r="C68" s="108">
        <v>291</v>
      </c>
      <c r="D68" s="108">
        <v>107</v>
      </c>
      <c r="E68" s="108">
        <v>241</v>
      </c>
      <c r="F68" s="108">
        <v>170</v>
      </c>
      <c r="G68" s="108">
        <v>55</v>
      </c>
      <c r="H68" s="108">
        <v>14</v>
      </c>
      <c r="I68" s="108">
        <v>20</v>
      </c>
      <c r="J68" s="108">
        <v>23</v>
      </c>
      <c r="K68" s="108">
        <v>921</v>
      </c>
    </row>
    <row r="69" spans="1:11" x14ac:dyDescent="0.25">
      <c r="A69" s="105"/>
      <c r="B69" s="106" t="s">
        <v>24</v>
      </c>
      <c r="C69" s="108" t="s">
        <v>167</v>
      </c>
      <c r="D69" s="108" t="s">
        <v>167</v>
      </c>
      <c r="E69" s="108" t="s">
        <v>167</v>
      </c>
      <c r="F69" s="108" t="s">
        <v>167</v>
      </c>
      <c r="G69" s="108" t="s">
        <v>167</v>
      </c>
      <c r="H69" s="108" t="s">
        <v>167</v>
      </c>
      <c r="I69" s="108" t="s">
        <v>167</v>
      </c>
      <c r="J69" s="108" t="s">
        <v>167</v>
      </c>
      <c r="K69" s="108" t="s">
        <v>167</v>
      </c>
    </row>
    <row r="70" spans="1:11" x14ac:dyDescent="0.25">
      <c r="A70" s="105"/>
      <c r="B70" s="109" t="s">
        <v>12</v>
      </c>
      <c r="C70" s="81">
        <v>1428</v>
      </c>
      <c r="D70" s="81">
        <v>561</v>
      </c>
      <c r="E70" s="81">
        <v>1110</v>
      </c>
      <c r="F70" s="81">
        <v>815</v>
      </c>
      <c r="G70" s="81">
        <v>283</v>
      </c>
      <c r="H70" s="81">
        <v>61</v>
      </c>
      <c r="I70" s="81">
        <v>83</v>
      </c>
      <c r="J70" s="81">
        <v>175</v>
      </c>
      <c r="K70" s="81">
        <v>4516</v>
      </c>
    </row>
    <row r="71" spans="1:11" x14ac:dyDescent="0.25">
      <c r="A71" s="105" t="s">
        <v>50</v>
      </c>
      <c r="B71" s="106" t="s">
        <v>21</v>
      </c>
      <c r="C71" s="108">
        <v>1138</v>
      </c>
      <c r="D71" s="108">
        <v>517</v>
      </c>
      <c r="E71" s="108">
        <v>802</v>
      </c>
      <c r="F71" s="108">
        <v>595</v>
      </c>
      <c r="G71" s="108">
        <v>235</v>
      </c>
      <c r="H71" s="108">
        <v>45</v>
      </c>
      <c r="I71" s="108">
        <v>58</v>
      </c>
      <c r="J71" s="108">
        <v>126</v>
      </c>
      <c r="K71" s="108">
        <v>3516</v>
      </c>
    </row>
    <row r="72" spans="1:11" x14ac:dyDescent="0.25">
      <c r="A72" s="105"/>
      <c r="B72" s="106" t="s">
        <v>25</v>
      </c>
      <c r="C72" s="108">
        <v>271</v>
      </c>
      <c r="D72" s="108">
        <v>110</v>
      </c>
      <c r="E72" s="108">
        <v>206</v>
      </c>
      <c r="F72" s="108">
        <v>145</v>
      </c>
      <c r="G72" s="108">
        <v>71</v>
      </c>
      <c r="H72" s="108">
        <v>8</v>
      </c>
      <c r="I72" s="108">
        <v>22</v>
      </c>
      <c r="J72" s="108">
        <v>17</v>
      </c>
      <c r="K72" s="108">
        <v>850</v>
      </c>
    </row>
    <row r="73" spans="1:11" x14ac:dyDescent="0.25">
      <c r="A73" s="105"/>
      <c r="B73" s="106" t="s">
        <v>24</v>
      </c>
      <c r="C73" s="108">
        <v>2</v>
      </c>
      <c r="D73" s="108" t="s">
        <v>167</v>
      </c>
      <c r="E73" s="108" t="s">
        <v>167</v>
      </c>
      <c r="F73" s="108" t="s">
        <v>167</v>
      </c>
      <c r="G73" s="108" t="s">
        <v>167</v>
      </c>
      <c r="H73" s="108" t="s">
        <v>167</v>
      </c>
      <c r="I73" s="108" t="s">
        <v>167</v>
      </c>
      <c r="J73" s="108" t="s">
        <v>167</v>
      </c>
      <c r="K73" s="108">
        <v>2</v>
      </c>
    </row>
    <row r="74" spans="1:11" x14ac:dyDescent="0.25">
      <c r="A74" s="105"/>
      <c r="B74" s="109" t="s">
        <v>12</v>
      </c>
      <c r="C74" s="81">
        <v>1411</v>
      </c>
      <c r="D74" s="81">
        <v>627</v>
      </c>
      <c r="E74" s="81">
        <v>1008</v>
      </c>
      <c r="F74" s="81">
        <v>740</v>
      </c>
      <c r="G74" s="81">
        <v>306</v>
      </c>
      <c r="H74" s="81">
        <v>53</v>
      </c>
      <c r="I74" s="81">
        <v>80</v>
      </c>
      <c r="J74" s="81">
        <v>143</v>
      </c>
      <c r="K74" s="81">
        <v>4368</v>
      </c>
    </row>
    <row r="75" spans="1:11" x14ac:dyDescent="0.25">
      <c r="A75" s="105" t="s">
        <v>51</v>
      </c>
      <c r="B75" s="106" t="s">
        <v>21</v>
      </c>
      <c r="C75" s="108">
        <v>1103</v>
      </c>
      <c r="D75" s="108">
        <v>439</v>
      </c>
      <c r="E75" s="108">
        <v>788</v>
      </c>
      <c r="F75" s="108">
        <v>479</v>
      </c>
      <c r="G75" s="108">
        <v>196</v>
      </c>
      <c r="H75" s="108">
        <v>34</v>
      </c>
      <c r="I75" s="108">
        <v>50</v>
      </c>
      <c r="J75" s="108">
        <v>154</v>
      </c>
      <c r="K75" s="108">
        <v>3243</v>
      </c>
    </row>
    <row r="76" spans="1:11" x14ac:dyDescent="0.25">
      <c r="A76" s="105"/>
      <c r="B76" s="106" t="s">
        <v>25</v>
      </c>
      <c r="C76" s="108">
        <v>263</v>
      </c>
      <c r="D76" s="108">
        <v>73</v>
      </c>
      <c r="E76" s="108">
        <v>202</v>
      </c>
      <c r="F76" s="108">
        <v>110</v>
      </c>
      <c r="G76" s="108">
        <v>56</v>
      </c>
      <c r="H76" s="108">
        <v>9</v>
      </c>
      <c r="I76" s="108">
        <v>24</v>
      </c>
      <c r="J76" s="108">
        <v>20</v>
      </c>
      <c r="K76" s="108">
        <v>757</v>
      </c>
    </row>
    <row r="77" spans="1:11" x14ac:dyDescent="0.25">
      <c r="A77" s="105"/>
      <c r="B77" s="106" t="s">
        <v>24</v>
      </c>
      <c r="C77" s="108">
        <v>1</v>
      </c>
      <c r="D77" s="108" t="s">
        <v>167</v>
      </c>
      <c r="E77" s="108" t="s">
        <v>167</v>
      </c>
      <c r="F77" s="108" t="s">
        <v>167</v>
      </c>
      <c r="G77" s="108" t="s">
        <v>167</v>
      </c>
      <c r="H77" s="108" t="s">
        <v>167</v>
      </c>
      <c r="I77" s="108" t="s">
        <v>167</v>
      </c>
      <c r="J77" s="108" t="s">
        <v>167</v>
      </c>
      <c r="K77" s="108">
        <v>1</v>
      </c>
    </row>
    <row r="78" spans="1:11" x14ac:dyDescent="0.25">
      <c r="A78" s="105"/>
      <c r="B78" s="109" t="s">
        <v>12</v>
      </c>
      <c r="C78" s="81">
        <v>1367</v>
      </c>
      <c r="D78" s="81">
        <v>512</v>
      </c>
      <c r="E78" s="81">
        <v>990</v>
      </c>
      <c r="F78" s="81">
        <v>589</v>
      </c>
      <c r="G78" s="81">
        <v>252</v>
      </c>
      <c r="H78" s="81">
        <v>43</v>
      </c>
      <c r="I78" s="81">
        <v>74</v>
      </c>
      <c r="J78" s="81">
        <v>174</v>
      </c>
      <c r="K78" s="81">
        <v>4001</v>
      </c>
    </row>
    <row r="79" spans="1:11" x14ac:dyDescent="0.25">
      <c r="A79" s="105" t="s">
        <v>52</v>
      </c>
      <c r="B79" s="106" t="s">
        <v>21</v>
      </c>
      <c r="C79" s="108">
        <v>1033</v>
      </c>
      <c r="D79" s="108">
        <v>332</v>
      </c>
      <c r="E79" s="108">
        <v>837</v>
      </c>
      <c r="F79" s="108">
        <v>578</v>
      </c>
      <c r="G79" s="108">
        <v>218</v>
      </c>
      <c r="H79" s="108">
        <v>35</v>
      </c>
      <c r="I79" s="108">
        <v>49</v>
      </c>
      <c r="J79" s="108">
        <v>231</v>
      </c>
      <c r="K79" s="108">
        <v>3313</v>
      </c>
    </row>
    <row r="80" spans="1:11" x14ac:dyDescent="0.25">
      <c r="A80" s="105"/>
      <c r="B80" s="106" t="s">
        <v>25</v>
      </c>
      <c r="C80" s="108">
        <v>212</v>
      </c>
      <c r="D80" s="108">
        <v>64</v>
      </c>
      <c r="E80" s="108">
        <v>217</v>
      </c>
      <c r="F80" s="108">
        <v>164</v>
      </c>
      <c r="G80" s="108">
        <v>69</v>
      </c>
      <c r="H80" s="108">
        <v>9</v>
      </c>
      <c r="I80" s="108">
        <v>24</v>
      </c>
      <c r="J80" s="108">
        <v>50</v>
      </c>
      <c r="K80" s="108">
        <v>809</v>
      </c>
    </row>
    <row r="81" spans="1:11" x14ac:dyDescent="0.25">
      <c r="A81" s="105"/>
      <c r="B81" s="106" t="s">
        <v>24</v>
      </c>
      <c r="C81" s="108">
        <v>1</v>
      </c>
      <c r="D81" s="108">
        <v>1</v>
      </c>
      <c r="E81" s="108" t="s">
        <v>167</v>
      </c>
      <c r="F81" s="108" t="s">
        <v>167</v>
      </c>
      <c r="G81" s="108" t="s">
        <v>167</v>
      </c>
      <c r="H81" s="108" t="s">
        <v>167</v>
      </c>
      <c r="I81" s="108" t="s">
        <v>167</v>
      </c>
      <c r="J81" s="108" t="s">
        <v>167</v>
      </c>
      <c r="K81" s="108">
        <v>2</v>
      </c>
    </row>
    <row r="82" spans="1:11" x14ac:dyDescent="0.25">
      <c r="A82" s="105"/>
      <c r="B82" s="109" t="s">
        <v>12</v>
      </c>
      <c r="C82" s="81">
        <v>1246</v>
      </c>
      <c r="D82" s="81">
        <v>397</v>
      </c>
      <c r="E82" s="81">
        <v>1054</v>
      </c>
      <c r="F82" s="81">
        <v>742</v>
      </c>
      <c r="G82" s="81">
        <v>287</v>
      </c>
      <c r="H82" s="81">
        <v>44</v>
      </c>
      <c r="I82" s="81">
        <v>73</v>
      </c>
      <c r="J82" s="81">
        <v>281</v>
      </c>
      <c r="K82" s="81">
        <v>4124</v>
      </c>
    </row>
    <row r="83" spans="1:11" x14ac:dyDescent="0.25">
      <c r="A83" s="105" t="s">
        <v>53</v>
      </c>
      <c r="B83" s="106" t="s">
        <v>21</v>
      </c>
      <c r="C83" s="108">
        <v>1131</v>
      </c>
      <c r="D83" s="108">
        <v>319</v>
      </c>
      <c r="E83" s="108">
        <v>854</v>
      </c>
      <c r="F83" s="108">
        <v>631</v>
      </c>
      <c r="G83" s="108">
        <v>235</v>
      </c>
      <c r="H83" s="108">
        <v>45</v>
      </c>
      <c r="I83" s="108">
        <v>76</v>
      </c>
      <c r="J83" s="108">
        <v>234</v>
      </c>
      <c r="K83" s="108">
        <v>3525</v>
      </c>
    </row>
    <row r="84" spans="1:11" x14ac:dyDescent="0.25">
      <c r="A84" s="105"/>
      <c r="B84" s="106" t="s">
        <v>25</v>
      </c>
      <c r="C84" s="108">
        <v>271</v>
      </c>
      <c r="D84" s="108">
        <v>46</v>
      </c>
      <c r="E84" s="108">
        <v>218</v>
      </c>
      <c r="F84" s="108">
        <v>164</v>
      </c>
      <c r="G84" s="108">
        <v>85</v>
      </c>
      <c r="H84" s="108">
        <v>13</v>
      </c>
      <c r="I84" s="108">
        <v>32</v>
      </c>
      <c r="J84" s="108">
        <v>45</v>
      </c>
      <c r="K84" s="108">
        <v>874</v>
      </c>
    </row>
    <row r="85" spans="1:11" x14ac:dyDescent="0.25">
      <c r="A85" s="105"/>
      <c r="B85" s="106" t="s">
        <v>24</v>
      </c>
      <c r="C85" s="108">
        <v>2</v>
      </c>
      <c r="D85" s="108" t="s">
        <v>167</v>
      </c>
      <c r="E85" s="108">
        <v>1</v>
      </c>
      <c r="F85" s="108" t="s">
        <v>167</v>
      </c>
      <c r="G85" s="108">
        <v>1</v>
      </c>
      <c r="H85" s="108" t="s">
        <v>167</v>
      </c>
      <c r="I85" s="108" t="s">
        <v>167</v>
      </c>
      <c r="J85" s="108">
        <v>1</v>
      </c>
      <c r="K85" s="108">
        <v>5</v>
      </c>
    </row>
    <row r="86" spans="1:11" x14ac:dyDescent="0.25">
      <c r="A86" s="105"/>
      <c r="B86" s="109" t="s">
        <v>12</v>
      </c>
      <c r="C86" s="81">
        <v>1404</v>
      </c>
      <c r="D86" s="81">
        <v>365</v>
      </c>
      <c r="E86" s="81">
        <v>1073</v>
      </c>
      <c r="F86" s="81">
        <v>795</v>
      </c>
      <c r="G86" s="81">
        <v>321</v>
      </c>
      <c r="H86" s="81">
        <v>58</v>
      </c>
      <c r="I86" s="81">
        <v>108</v>
      </c>
      <c r="J86" s="81">
        <v>280</v>
      </c>
      <c r="K86" s="81">
        <v>4404</v>
      </c>
    </row>
    <row r="87" spans="1:11" x14ac:dyDescent="0.25">
      <c r="A87" s="105" t="s">
        <v>227</v>
      </c>
      <c r="B87" s="106" t="s">
        <v>21</v>
      </c>
      <c r="C87" s="108">
        <v>1098</v>
      </c>
      <c r="D87" s="108">
        <v>250</v>
      </c>
      <c r="E87" s="108">
        <v>871</v>
      </c>
      <c r="F87" s="108">
        <v>613</v>
      </c>
      <c r="G87" s="108">
        <v>227</v>
      </c>
      <c r="H87" s="108">
        <v>55</v>
      </c>
      <c r="I87" s="108">
        <v>82</v>
      </c>
      <c r="J87" s="108">
        <v>251</v>
      </c>
      <c r="K87" s="108">
        <v>3447</v>
      </c>
    </row>
    <row r="88" spans="1:11" x14ac:dyDescent="0.25">
      <c r="A88" s="105"/>
      <c r="B88" s="106" t="s">
        <v>25</v>
      </c>
      <c r="C88" s="108">
        <v>312</v>
      </c>
      <c r="D88" s="108">
        <v>28</v>
      </c>
      <c r="E88" s="108">
        <v>211</v>
      </c>
      <c r="F88" s="108">
        <v>165</v>
      </c>
      <c r="G88" s="108">
        <v>78</v>
      </c>
      <c r="H88" s="108">
        <v>22</v>
      </c>
      <c r="I88" s="108">
        <v>30</v>
      </c>
      <c r="J88" s="108">
        <v>52</v>
      </c>
      <c r="K88" s="108">
        <v>898</v>
      </c>
    </row>
    <row r="89" spans="1:11" x14ac:dyDescent="0.25">
      <c r="A89" s="105"/>
      <c r="B89" s="106" t="s">
        <v>24</v>
      </c>
      <c r="C89" s="108">
        <v>5</v>
      </c>
      <c r="D89" s="108" t="s">
        <v>167</v>
      </c>
      <c r="E89" s="108" t="s">
        <v>167</v>
      </c>
      <c r="F89" s="108" t="s">
        <v>167</v>
      </c>
      <c r="G89" s="108" t="s">
        <v>167</v>
      </c>
      <c r="H89" s="108" t="s">
        <v>167</v>
      </c>
      <c r="I89" s="108" t="s">
        <v>167</v>
      </c>
      <c r="J89" s="108" t="s">
        <v>167</v>
      </c>
      <c r="K89" s="108">
        <v>5</v>
      </c>
    </row>
    <row r="90" spans="1:11" x14ac:dyDescent="0.25">
      <c r="A90" s="105"/>
      <c r="B90" s="109" t="s">
        <v>12</v>
      </c>
      <c r="C90" s="81">
        <v>1415</v>
      </c>
      <c r="D90" s="81">
        <v>278</v>
      </c>
      <c r="E90" s="81">
        <v>1082</v>
      </c>
      <c r="F90" s="81">
        <v>778</v>
      </c>
      <c r="G90" s="81">
        <v>305</v>
      </c>
      <c r="H90" s="81">
        <v>77</v>
      </c>
      <c r="I90" s="81">
        <v>112</v>
      </c>
      <c r="J90" s="81">
        <v>303</v>
      </c>
      <c r="K90" s="81">
        <v>4350</v>
      </c>
    </row>
    <row r="91" spans="1:11" x14ac:dyDescent="0.25">
      <c r="A91" s="105" t="s">
        <v>289</v>
      </c>
      <c r="B91" s="106" t="s">
        <v>21</v>
      </c>
      <c r="C91" s="108">
        <v>1177</v>
      </c>
      <c r="D91" s="108">
        <v>329</v>
      </c>
      <c r="E91" s="108">
        <v>832</v>
      </c>
      <c r="F91" s="108">
        <v>620</v>
      </c>
      <c r="G91" s="108">
        <v>249</v>
      </c>
      <c r="H91" s="108">
        <v>54</v>
      </c>
      <c r="I91" s="108">
        <v>72</v>
      </c>
      <c r="J91" s="108">
        <v>282</v>
      </c>
      <c r="K91" s="108">
        <v>3615</v>
      </c>
    </row>
    <row r="92" spans="1:11" x14ac:dyDescent="0.25">
      <c r="A92" s="105"/>
      <c r="B92" s="106" t="s">
        <v>25</v>
      </c>
      <c r="C92" s="108">
        <v>292</v>
      </c>
      <c r="D92" s="108">
        <v>22</v>
      </c>
      <c r="E92" s="108">
        <v>222</v>
      </c>
      <c r="F92" s="108">
        <v>189</v>
      </c>
      <c r="G92" s="108">
        <v>90</v>
      </c>
      <c r="H92" s="108">
        <v>16</v>
      </c>
      <c r="I92" s="108">
        <v>27</v>
      </c>
      <c r="J92" s="108">
        <v>48</v>
      </c>
      <c r="K92" s="108">
        <v>906</v>
      </c>
    </row>
    <row r="93" spans="1:11" x14ac:dyDescent="0.25">
      <c r="A93" s="105"/>
      <c r="B93" s="106" t="s">
        <v>24</v>
      </c>
      <c r="C93" s="108">
        <v>1</v>
      </c>
      <c r="D93" s="108" t="s">
        <v>167</v>
      </c>
      <c r="E93" s="108">
        <v>1</v>
      </c>
      <c r="F93" s="108" t="s">
        <v>167</v>
      </c>
      <c r="G93" s="108" t="s">
        <v>167</v>
      </c>
      <c r="H93" s="108" t="s">
        <v>167</v>
      </c>
      <c r="I93" s="108" t="s">
        <v>167</v>
      </c>
      <c r="J93" s="108" t="s">
        <v>167</v>
      </c>
      <c r="K93" s="108">
        <v>2</v>
      </c>
    </row>
    <row r="94" spans="1:11" x14ac:dyDescent="0.25">
      <c r="A94" s="92"/>
      <c r="B94" s="113" t="s">
        <v>12</v>
      </c>
      <c r="C94" s="101">
        <v>1470</v>
      </c>
      <c r="D94" s="101">
        <v>351</v>
      </c>
      <c r="E94" s="101">
        <v>1055</v>
      </c>
      <c r="F94" s="101">
        <v>809</v>
      </c>
      <c r="G94" s="101">
        <v>339</v>
      </c>
      <c r="H94" s="101">
        <v>70</v>
      </c>
      <c r="I94" s="101">
        <v>99</v>
      </c>
      <c r="J94" s="101">
        <v>330</v>
      </c>
      <c r="K94" s="101">
        <v>4523</v>
      </c>
    </row>
    <row r="95" spans="1:11" s="10" customFormat="1" ht="11.1" customHeight="1" x14ac:dyDescent="0.2">
      <c r="A95" s="6" t="s">
        <v>220</v>
      </c>
    </row>
    <row r="96" spans="1:11" s="6" customFormat="1" ht="11.1" customHeight="1" x14ac:dyDescent="0.2">
      <c r="A96" s="57" t="s">
        <v>18</v>
      </c>
      <c r="B96" s="10"/>
      <c r="C96" s="10"/>
      <c r="D96" s="10"/>
      <c r="E96" s="10"/>
      <c r="F96" s="10"/>
      <c r="G96" s="10"/>
      <c r="H96" s="88"/>
      <c r="I96" s="88"/>
      <c r="J96" s="10"/>
      <c r="K96" s="10"/>
    </row>
    <row r="97" spans="1:11" s="6" customFormat="1" ht="12.75" customHeight="1" x14ac:dyDescent="0.15">
      <c r="A97" s="6" t="s">
        <v>58</v>
      </c>
      <c r="H97" s="86"/>
      <c r="I97" s="86"/>
    </row>
    <row r="98" spans="1:11" s="6" customFormat="1" ht="11.1" customHeight="1" x14ac:dyDescent="0.15">
      <c r="A98" s="6" t="s">
        <v>33</v>
      </c>
      <c r="B98" s="122"/>
      <c r="C98" s="122"/>
      <c r="D98" s="122"/>
      <c r="E98" s="122"/>
      <c r="F98" s="122"/>
      <c r="G98" s="122"/>
      <c r="H98" s="122"/>
      <c r="I98" s="122"/>
      <c r="J98" s="122"/>
      <c r="K98" s="122"/>
    </row>
    <row r="99" spans="1:11" s="6" customFormat="1" ht="11.1" customHeight="1" x14ac:dyDescent="0.15">
      <c r="H99" s="86"/>
      <c r="I99" s="86"/>
    </row>
    <row r="100" spans="1:11" ht="12" customHeight="1" x14ac:dyDescent="0.25">
      <c r="A100" s="6" t="s">
        <v>271</v>
      </c>
      <c r="B100" s="6"/>
      <c r="C100" s="6"/>
      <c r="D100" s="6"/>
      <c r="E100" s="6"/>
      <c r="F100" s="6"/>
      <c r="G100" s="6"/>
      <c r="H100" s="86"/>
      <c r="I100" s="86"/>
      <c r="J100" s="6"/>
      <c r="K100" s="6"/>
    </row>
  </sheetData>
  <mergeCells count="14">
    <mergeCell ref="A44:K44"/>
    <mergeCell ref="A52:M52"/>
    <mergeCell ref="A48:K48"/>
    <mergeCell ref="A40:A43"/>
    <mergeCell ref="A1:K1"/>
    <mergeCell ref="A4:A7"/>
    <mergeCell ref="A8:A11"/>
    <mergeCell ref="A12:A15"/>
    <mergeCell ref="A16:A19"/>
    <mergeCell ref="A20:A23"/>
    <mergeCell ref="A24:A27"/>
    <mergeCell ref="A28:A31"/>
    <mergeCell ref="A32:A35"/>
    <mergeCell ref="A36:A39"/>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67"/>
  <sheetViews>
    <sheetView zoomScaleNormal="100" workbookViewId="0">
      <selection activeCell="N23" sqref="N23"/>
    </sheetView>
  </sheetViews>
  <sheetFormatPr defaultColWidth="9.140625" defaultRowHeight="15" x14ac:dyDescent="0.25"/>
  <cols>
    <col min="1" max="7" width="11.42578125" style="1" bestFit="1" customWidth="1"/>
    <col min="8" max="9" width="11.42578125" style="84" bestFit="1" customWidth="1"/>
    <col min="10" max="13" width="11.42578125" style="1" bestFit="1" customWidth="1"/>
    <col min="14" max="16384" width="9.140625" style="1"/>
  </cols>
  <sheetData>
    <row r="1" spans="1:21" ht="20.25" customHeight="1" x14ac:dyDescent="0.25">
      <c r="A1" s="200" t="s">
        <v>335</v>
      </c>
      <c r="B1" s="200"/>
      <c r="C1" s="200"/>
      <c r="D1" s="200"/>
      <c r="E1" s="200"/>
      <c r="F1" s="200"/>
      <c r="G1" s="200"/>
      <c r="H1" s="200"/>
      <c r="I1" s="200"/>
      <c r="J1" s="200"/>
      <c r="K1" s="200"/>
    </row>
    <row r="2" spans="1:21" ht="2.25" customHeight="1" x14ac:dyDescent="0.25">
      <c r="A2" s="2"/>
    </row>
    <row r="3" spans="1:21" x14ac:dyDescent="0.25">
      <c r="A3" s="52" t="s">
        <v>189</v>
      </c>
      <c r="B3" s="52" t="s">
        <v>185</v>
      </c>
      <c r="C3" s="3" t="s">
        <v>1</v>
      </c>
      <c r="D3" s="3" t="s">
        <v>2</v>
      </c>
      <c r="E3" s="3" t="s">
        <v>3</v>
      </c>
      <c r="F3" s="3" t="s">
        <v>4</v>
      </c>
      <c r="G3" s="3" t="s">
        <v>5</v>
      </c>
      <c r="H3" s="85" t="s">
        <v>6</v>
      </c>
      <c r="I3" s="85" t="s">
        <v>7</v>
      </c>
      <c r="J3" s="3" t="s">
        <v>8</v>
      </c>
      <c r="K3" s="3" t="s">
        <v>9</v>
      </c>
    </row>
    <row r="4" spans="1:21" x14ac:dyDescent="0.25">
      <c r="A4" s="203" t="s">
        <v>55</v>
      </c>
      <c r="B4" s="106" t="s">
        <v>21</v>
      </c>
      <c r="C4" s="107">
        <v>275.60000000000002</v>
      </c>
      <c r="D4" s="107">
        <v>158.80000000000001</v>
      </c>
      <c r="E4" s="107">
        <v>155.80000000000001</v>
      </c>
      <c r="F4" s="107">
        <v>129.6</v>
      </c>
      <c r="G4" s="107">
        <v>51.5</v>
      </c>
      <c r="H4" s="107">
        <v>9.1</v>
      </c>
      <c r="I4" s="107">
        <v>7.5</v>
      </c>
      <c r="J4" s="107">
        <v>45.3</v>
      </c>
      <c r="K4" s="107">
        <v>833.2</v>
      </c>
      <c r="L4" s="174"/>
      <c r="M4" s="174"/>
      <c r="N4" s="174"/>
      <c r="O4" s="174"/>
      <c r="P4" s="174"/>
      <c r="Q4" s="174"/>
      <c r="R4" s="174"/>
      <c r="S4" s="174"/>
      <c r="T4" s="174"/>
      <c r="U4" s="136"/>
    </row>
    <row r="5" spans="1:21" x14ac:dyDescent="0.25">
      <c r="A5" s="203"/>
      <c r="B5" s="106" t="s">
        <v>25</v>
      </c>
      <c r="C5" s="107">
        <v>23</v>
      </c>
      <c r="D5" s="107">
        <v>8.8000000000000007</v>
      </c>
      <c r="E5" s="107">
        <v>33.1</v>
      </c>
      <c r="F5" s="107">
        <v>8.1</v>
      </c>
      <c r="G5" s="107">
        <v>4.9000000000000004</v>
      </c>
      <c r="H5" s="107">
        <v>0.3</v>
      </c>
      <c r="I5" s="107">
        <v>1</v>
      </c>
      <c r="J5" s="107">
        <v>5.2</v>
      </c>
      <c r="K5" s="107">
        <v>84.4</v>
      </c>
      <c r="L5" s="174"/>
      <c r="M5" s="174"/>
      <c r="N5" s="174"/>
      <c r="O5" s="174"/>
      <c r="P5" s="174"/>
      <c r="Q5" s="174"/>
      <c r="R5" s="174"/>
      <c r="S5" s="174"/>
      <c r="T5" s="174"/>
    </row>
    <row r="6" spans="1:21" x14ac:dyDescent="0.25">
      <c r="A6" s="203"/>
      <c r="B6" s="106" t="s">
        <v>24</v>
      </c>
      <c r="C6" s="107" t="s">
        <v>167</v>
      </c>
      <c r="D6" s="107" t="s">
        <v>167</v>
      </c>
      <c r="E6" s="107" t="s">
        <v>167</v>
      </c>
      <c r="F6" s="107" t="s">
        <v>167</v>
      </c>
      <c r="G6" s="107" t="s">
        <v>167</v>
      </c>
      <c r="H6" s="107" t="s">
        <v>167</v>
      </c>
      <c r="I6" s="107" t="s">
        <v>167</v>
      </c>
      <c r="J6" s="107" t="s">
        <v>167</v>
      </c>
      <c r="K6" s="107" t="s">
        <v>167</v>
      </c>
      <c r="L6" s="174"/>
      <c r="M6" s="174"/>
      <c r="N6" s="174"/>
      <c r="O6" s="174"/>
      <c r="P6" s="174"/>
      <c r="Q6" s="174"/>
      <c r="R6" s="174"/>
      <c r="S6" s="174"/>
      <c r="T6" s="174"/>
    </row>
    <row r="7" spans="1:21" x14ac:dyDescent="0.25">
      <c r="A7" s="203"/>
      <c r="B7" s="105" t="s">
        <v>12</v>
      </c>
      <c r="C7" s="76">
        <v>298.60000000000002</v>
      </c>
      <c r="D7" s="76">
        <v>167.6</v>
      </c>
      <c r="E7" s="76">
        <v>188.9</v>
      </c>
      <c r="F7" s="76">
        <v>137.69999999999999</v>
      </c>
      <c r="G7" s="76">
        <v>56.4</v>
      </c>
      <c r="H7" s="76">
        <v>9.3000000000000007</v>
      </c>
      <c r="I7" s="76">
        <v>8.5</v>
      </c>
      <c r="J7" s="76">
        <v>50.5</v>
      </c>
      <c r="K7" s="76">
        <v>917.6</v>
      </c>
      <c r="L7" s="174"/>
      <c r="M7" s="174"/>
      <c r="N7" s="174"/>
      <c r="O7" s="174"/>
      <c r="P7" s="174"/>
      <c r="Q7" s="174"/>
      <c r="R7" s="174"/>
      <c r="S7" s="174"/>
      <c r="T7" s="174"/>
    </row>
    <row r="8" spans="1:21" x14ac:dyDescent="0.25">
      <c r="A8" s="203" t="s">
        <v>56</v>
      </c>
      <c r="B8" s="106" t="s">
        <v>21</v>
      </c>
      <c r="C8" s="107">
        <v>255.5</v>
      </c>
      <c r="D8" s="107">
        <v>178.7</v>
      </c>
      <c r="E8" s="107">
        <v>155.9</v>
      </c>
      <c r="F8" s="107">
        <v>138.1</v>
      </c>
      <c r="G8" s="107">
        <v>46.8</v>
      </c>
      <c r="H8" s="107">
        <v>10.199999999999999</v>
      </c>
      <c r="I8" s="107">
        <v>9.1</v>
      </c>
      <c r="J8" s="107">
        <v>35.5</v>
      </c>
      <c r="K8" s="107">
        <v>829.9</v>
      </c>
      <c r="L8" s="174"/>
      <c r="M8" s="174"/>
      <c r="N8" s="174"/>
      <c r="O8" s="174"/>
      <c r="P8" s="174"/>
      <c r="Q8" s="174"/>
      <c r="R8" s="174"/>
      <c r="S8" s="174"/>
      <c r="T8" s="174"/>
    </row>
    <row r="9" spans="1:21" x14ac:dyDescent="0.25">
      <c r="A9" s="203"/>
      <c r="B9" s="106" t="s">
        <v>25</v>
      </c>
      <c r="C9" s="107">
        <v>22.5</v>
      </c>
      <c r="D9" s="107">
        <v>10.7</v>
      </c>
      <c r="E9" s="107">
        <v>26.7</v>
      </c>
      <c r="F9" s="107">
        <v>8.4</v>
      </c>
      <c r="G9" s="107">
        <v>6.4</v>
      </c>
      <c r="H9" s="107">
        <v>0.8</v>
      </c>
      <c r="I9" s="107">
        <v>2</v>
      </c>
      <c r="J9" s="107">
        <v>3.2</v>
      </c>
      <c r="K9" s="107">
        <v>80.599999999999994</v>
      </c>
      <c r="L9" s="174"/>
      <c r="M9" s="174"/>
      <c r="N9" s="174"/>
      <c r="O9" s="174"/>
      <c r="P9" s="174"/>
      <c r="Q9" s="174"/>
      <c r="R9" s="174"/>
      <c r="S9" s="174"/>
      <c r="T9" s="174"/>
    </row>
    <row r="10" spans="1:21" x14ac:dyDescent="0.25">
      <c r="A10" s="203"/>
      <c r="B10" s="106" t="s">
        <v>24</v>
      </c>
      <c r="C10" s="107" t="s">
        <v>167</v>
      </c>
      <c r="D10" s="107" t="s">
        <v>167</v>
      </c>
      <c r="E10" s="107" t="s">
        <v>167</v>
      </c>
      <c r="F10" s="107" t="s">
        <v>167</v>
      </c>
      <c r="G10" s="107" t="s">
        <v>167</v>
      </c>
      <c r="H10" s="107" t="s">
        <v>167</v>
      </c>
      <c r="I10" s="107" t="s">
        <v>167</v>
      </c>
      <c r="J10" s="107" t="s">
        <v>167</v>
      </c>
      <c r="K10" s="107" t="s">
        <v>167</v>
      </c>
      <c r="L10" s="174"/>
      <c r="M10" s="174"/>
      <c r="N10" s="174"/>
      <c r="O10" s="174"/>
      <c r="P10" s="174"/>
      <c r="Q10" s="174"/>
      <c r="R10" s="174"/>
      <c r="S10" s="174"/>
      <c r="T10" s="174"/>
    </row>
    <row r="11" spans="1:21" x14ac:dyDescent="0.25">
      <c r="A11" s="203"/>
      <c r="B11" s="105" t="s">
        <v>12</v>
      </c>
      <c r="C11" s="76">
        <v>278</v>
      </c>
      <c r="D11" s="76">
        <v>189.4</v>
      </c>
      <c r="E11" s="76">
        <v>182.6</v>
      </c>
      <c r="F11" s="76">
        <v>146.5</v>
      </c>
      <c r="G11" s="76">
        <v>53.1</v>
      </c>
      <c r="H11" s="76">
        <v>11</v>
      </c>
      <c r="I11" s="76">
        <v>11.1</v>
      </c>
      <c r="J11" s="76">
        <v>38.700000000000003</v>
      </c>
      <c r="K11" s="76">
        <v>910.5</v>
      </c>
      <c r="L11" s="174"/>
      <c r="M11" s="174"/>
      <c r="N11" s="174"/>
      <c r="O11" s="174"/>
      <c r="P11" s="174"/>
      <c r="Q11" s="174"/>
      <c r="R11" s="174"/>
      <c r="S11" s="174"/>
      <c r="T11" s="174"/>
    </row>
    <row r="12" spans="1:21" x14ac:dyDescent="0.25">
      <c r="A12" s="203" t="s">
        <v>57</v>
      </c>
      <c r="B12" s="106" t="s">
        <v>21</v>
      </c>
      <c r="C12" s="107">
        <v>263.39999999999998</v>
      </c>
      <c r="D12" s="107">
        <v>188.2</v>
      </c>
      <c r="E12" s="107">
        <v>179.3</v>
      </c>
      <c r="F12" s="107">
        <v>144.80000000000001</v>
      </c>
      <c r="G12" s="107">
        <v>43.7</v>
      </c>
      <c r="H12" s="107">
        <v>10.8</v>
      </c>
      <c r="I12" s="107">
        <v>13.2</v>
      </c>
      <c r="J12" s="107">
        <v>36.9</v>
      </c>
      <c r="K12" s="107">
        <v>880.4</v>
      </c>
      <c r="L12" s="174"/>
      <c r="M12" s="174"/>
      <c r="N12" s="174"/>
      <c r="O12" s="174"/>
      <c r="P12" s="174"/>
      <c r="Q12" s="174"/>
      <c r="R12" s="174"/>
      <c r="S12" s="174"/>
      <c r="T12" s="174"/>
    </row>
    <row r="13" spans="1:21" x14ac:dyDescent="0.25">
      <c r="A13" s="203"/>
      <c r="B13" s="106" t="s">
        <v>25</v>
      </c>
      <c r="C13" s="107">
        <v>27.7</v>
      </c>
      <c r="D13" s="107">
        <v>14.6</v>
      </c>
      <c r="E13" s="107">
        <v>30.2</v>
      </c>
      <c r="F13" s="107">
        <v>8.1999999999999993</v>
      </c>
      <c r="G13" s="107">
        <v>4.5</v>
      </c>
      <c r="H13" s="107">
        <v>0.8</v>
      </c>
      <c r="I13" s="107">
        <v>2</v>
      </c>
      <c r="J13" s="107">
        <v>3.4</v>
      </c>
      <c r="K13" s="107">
        <v>91.4</v>
      </c>
      <c r="L13" s="174"/>
      <c r="M13" s="174"/>
      <c r="N13" s="174"/>
      <c r="O13" s="174"/>
      <c r="P13" s="174"/>
      <c r="Q13" s="174"/>
      <c r="R13" s="174"/>
      <c r="S13" s="174"/>
      <c r="T13" s="174"/>
    </row>
    <row r="14" spans="1:21" x14ac:dyDescent="0.25">
      <c r="A14" s="203"/>
      <c r="B14" s="106" t="s">
        <v>24</v>
      </c>
      <c r="C14" s="107" t="s">
        <v>167</v>
      </c>
      <c r="D14" s="107" t="s">
        <v>167</v>
      </c>
      <c r="E14" s="107" t="s">
        <v>167</v>
      </c>
      <c r="F14" s="107" t="s">
        <v>167</v>
      </c>
      <c r="G14" s="107" t="s">
        <v>167</v>
      </c>
      <c r="H14" s="107" t="s">
        <v>167</v>
      </c>
      <c r="I14" s="107" t="s">
        <v>167</v>
      </c>
      <c r="J14" s="107" t="s">
        <v>167</v>
      </c>
      <c r="K14" s="107" t="s">
        <v>167</v>
      </c>
      <c r="L14" s="174"/>
      <c r="M14" s="174"/>
      <c r="N14" s="174"/>
      <c r="O14" s="174"/>
      <c r="P14" s="174"/>
      <c r="Q14" s="174"/>
      <c r="R14" s="174"/>
      <c r="S14" s="174"/>
      <c r="T14" s="174"/>
    </row>
    <row r="15" spans="1:21" x14ac:dyDescent="0.25">
      <c r="A15" s="203"/>
      <c r="B15" s="105" t="s">
        <v>12</v>
      </c>
      <c r="C15" s="76">
        <v>291.10000000000002</v>
      </c>
      <c r="D15" s="76">
        <v>202.8</v>
      </c>
      <c r="E15" s="76">
        <v>209.5</v>
      </c>
      <c r="F15" s="76">
        <v>153</v>
      </c>
      <c r="G15" s="76">
        <v>48.2</v>
      </c>
      <c r="H15" s="76">
        <v>11.6</v>
      </c>
      <c r="I15" s="76">
        <v>15.2</v>
      </c>
      <c r="J15" s="76">
        <v>40.299999999999997</v>
      </c>
      <c r="K15" s="76">
        <v>971.8</v>
      </c>
      <c r="L15" s="174"/>
      <c r="M15" s="174"/>
      <c r="N15" s="174"/>
      <c r="O15" s="174"/>
      <c r="P15" s="174"/>
      <c r="Q15" s="174"/>
      <c r="R15" s="174"/>
      <c r="S15" s="174"/>
      <c r="T15" s="174"/>
    </row>
    <row r="16" spans="1:21" x14ac:dyDescent="0.25">
      <c r="A16" s="203" t="s">
        <v>49</v>
      </c>
      <c r="B16" s="106" t="s">
        <v>21</v>
      </c>
      <c r="C16" s="107">
        <v>244.9</v>
      </c>
      <c r="D16" s="107">
        <v>176.9</v>
      </c>
      <c r="E16" s="107">
        <v>219.4</v>
      </c>
      <c r="F16" s="107">
        <v>124.5</v>
      </c>
      <c r="G16" s="107">
        <v>37.5</v>
      </c>
      <c r="H16" s="107">
        <v>11.1</v>
      </c>
      <c r="I16" s="107">
        <v>7.7</v>
      </c>
      <c r="J16" s="107">
        <v>33.4</v>
      </c>
      <c r="K16" s="107">
        <v>855.4</v>
      </c>
      <c r="L16" s="174"/>
      <c r="M16" s="174"/>
      <c r="N16" s="174"/>
      <c r="O16" s="174"/>
      <c r="P16" s="174"/>
      <c r="Q16" s="174"/>
      <c r="R16" s="174"/>
      <c r="S16" s="174"/>
      <c r="T16" s="174"/>
    </row>
    <row r="17" spans="1:20" x14ac:dyDescent="0.25">
      <c r="A17" s="203"/>
      <c r="B17" s="106" t="s">
        <v>25</v>
      </c>
      <c r="C17" s="107">
        <v>24.6</v>
      </c>
      <c r="D17" s="107">
        <v>14</v>
      </c>
      <c r="E17" s="107">
        <v>34.200000000000003</v>
      </c>
      <c r="F17" s="107">
        <v>13.9</v>
      </c>
      <c r="G17" s="107">
        <v>3.6</v>
      </c>
      <c r="H17" s="107">
        <v>0.5</v>
      </c>
      <c r="I17" s="107">
        <v>2.5</v>
      </c>
      <c r="J17" s="107">
        <v>2.6</v>
      </c>
      <c r="K17" s="107">
        <v>96</v>
      </c>
      <c r="L17" s="174"/>
      <c r="M17" s="174"/>
      <c r="N17" s="174"/>
      <c r="O17" s="174"/>
      <c r="P17" s="174"/>
      <c r="Q17" s="174"/>
      <c r="R17" s="174"/>
      <c r="S17" s="174"/>
      <c r="T17" s="174"/>
    </row>
    <row r="18" spans="1:20" x14ac:dyDescent="0.25">
      <c r="A18" s="203"/>
      <c r="B18" s="106" t="s">
        <v>24</v>
      </c>
      <c r="C18" s="107" t="s">
        <v>167</v>
      </c>
      <c r="D18" s="107" t="s">
        <v>167</v>
      </c>
      <c r="E18" s="107" t="s">
        <v>167</v>
      </c>
      <c r="F18" s="107" t="s">
        <v>167</v>
      </c>
      <c r="G18" s="107" t="s">
        <v>167</v>
      </c>
      <c r="H18" s="107" t="s">
        <v>167</v>
      </c>
      <c r="I18" s="107" t="s">
        <v>167</v>
      </c>
      <c r="J18" s="107" t="s">
        <v>167</v>
      </c>
      <c r="K18" s="107" t="s">
        <v>167</v>
      </c>
      <c r="L18" s="174"/>
      <c r="M18" s="174"/>
      <c r="N18" s="174"/>
      <c r="O18" s="174"/>
      <c r="P18" s="174"/>
      <c r="Q18" s="174"/>
      <c r="R18" s="174"/>
      <c r="S18" s="174"/>
      <c r="T18" s="174"/>
    </row>
    <row r="19" spans="1:20" x14ac:dyDescent="0.25">
      <c r="A19" s="203"/>
      <c r="B19" s="105" t="s">
        <v>12</v>
      </c>
      <c r="C19" s="76">
        <v>269.5</v>
      </c>
      <c r="D19" s="76">
        <v>191</v>
      </c>
      <c r="E19" s="76">
        <v>253.6</v>
      </c>
      <c r="F19" s="76">
        <v>138.4</v>
      </c>
      <c r="G19" s="76">
        <v>41.1</v>
      </c>
      <c r="H19" s="76">
        <v>11.6</v>
      </c>
      <c r="I19" s="76">
        <v>10.199999999999999</v>
      </c>
      <c r="J19" s="76">
        <v>36</v>
      </c>
      <c r="K19" s="76">
        <v>951.4</v>
      </c>
      <c r="L19" s="174"/>
      <c r="M19" s="174"/>
      <c r="N19" s="174"/>
      <c r="O19" s="174"/>
      <c r="P19" s="174"/>
      <c r="Q19" s="174"/>
      <c r="R19" s="174"/>
      <c r="S19" s="174"/>
      <c r="T19" s="174"/>
    </row>
    <row r="20" spans="1:20" x14ac:dyDescent="0.25">
      <c r="A20" s="203" t="s">
        <v>50</v>
      </c>
      <c r="B20" s="106" t="s">
        <v>21</v>
      </c>
      <c r="C20" s="107">
        <v>235.3</v>
      </c>
      <c r="D20" s="107">
        <v>172.8</v>
      </c>
      <c r="E20" s="107">
        <v>187.6</v>
      </c>
      <c r="F20" s="107">
        <v>100.4</v>
      </c>
      <c r="G20" s="107">
        <v>31.2</v>
      </c>
      <c r="H20" s="107">
        <v>14.2</v>
      </c>
      <c r="I20" s="107">
        <v>12.1</v>
      </c>
      <c r="J20" s="107">
        <v>22.2</v>
      </c>
      <c r="K20" s="107">
        <v>775.8</v>
      </c>
      <c r="L20" s="174"/>
      <c r="M20" s="174"/>
      <c r="N20" s="174"/>
      <c r="O20" s="174"/>
      <c r="P20" s="174"/>
      <c r="Q20" s="174"/>
      <c r="R20" s="174"/>
      <c r="S20" s="174"/>
      <c r="T20" s="174"/>
    </row>
    <row r="21" spans="1:20" x14ac:dyDescent="0.25">
      <c r="A21" s="203"/>
      <c r="B21" s="106" t="s">
        <v>25</v>
      </c>
      <c r="C21" s="107">
        <v>21.2</v>
      </c>
      <c r="D21" s="107">
        <v>12.4</v>
      </c>
      <c r="E21" s="107">
        <v>24.2</v>
      </c>
      <c r="F21" s="107">
        <v>11.2</v>
      </c>
      <c r="G21" s="107">
        <v>6.7</v>
      </c>
      <c r="H21" s="107">
        <v>1.1000000000000001</v>
      </c>
      <c r="I21" s="107">
        <v>4</v>
      </c>
      <c r="J21" s="107">
        <v>2.1</v>
      </c>
      <c r="K21" s="107">
        <v>82.9</v>
      </c>
      <c r="L21" s="174"/>
      <c r="M21" s="174"/>
      <c r="N21" s="174"/>
      <c r="O21" s="174"/>
      <c r="P21" s="174"/>
      <c r="Q21" s="174"/>
      <c r="R21" s="174"/>
      <c r="S21" s="174"/>
      <c r="T21" s="174"/>
    </row>
    <row r="22" spans="1:20" x14ac:dyDescent="0.25">
      <c r="A22" s="203"/>
      <c r="B22" s="106" t="s">
        <v>24</v>
      </c>
      <c r="C22" s="107">
        <v>0.1</v>
      </c>
      <c r="D22" s="107" t="s">
        <v>167</v>
      </c>
      <c r="E22" s="107" t="s">
        <v>167</v>
      </c>
      <c r="F22" s="107" t="s">
        <v>167</v>
      </c>
      <c r="G22" s="107" t="s">
        <v>167</v>
      </c>
      <c r="H22" s="107" t="s">
        <v>167</v>
      </c>
      <c r="I22" s="107" t="s">
        <v>167</v>
      </c>
      <c r="J22" s="107" t="s">
        <v>167</v>
      </c>
      <c r="K22" s="107">
        <v>0.1</v>
      </c>
      <c r="L22" s="174"/>
      <c r="M22" s="174"/>
      <c r="N22" s="174"/>
      <c r="O22" s="174"/>
      <c r="P22" s="174"/>
      <c r="Q22" s="174"/>
      <c r="R22" s="174"/>
      <c r="S22" s="174"/>
      <c r="T22" s="174"/>
    </row>
    <row r="23" spans="1:20" x14ac:dyDescent="0.25">
      <c r="A23" s="203"/>
      <c r="B23" s="105" t="s">
        <v>12</v>
      </c>
      <c r="C23" s="76">
        <v>256.7</v>
      </c>
      <c r="D23" s="76">
        <v>185.1</v>
      </c>
      <c r="E23" s="76">
        <v>211.8</v>
      </c>
      <c r="F23" s="76">
        <v>111.6</v>
      </c>
      <c r="G23" s="76">
        <v>37.9</v>
      </c>
      <c r="H23" s="76">
        <v>15.3</v>
      </c>
      <c r="I23" s="76">
        <v>16.100000000000001</v>
      </c>
      <c r="J23" s="76">
        <v>24.3</v>
      </c>
      <c r="K23" s="76">
        <v>858.7</v>
      </c>
      <c r="L23" s="174"/>
      <c r="M23" s="174"/>
      <c r="N23" s="174"/>
      <c r="O23" s="174"/>
      <c r="P23" s="174"/>
      <c r="Q23" s="174"/>
      <c r="R23" s="174"/>
      <c r="S23" s="174"/>
      <c r="T23" s="174"/>
    </row>
    <row r="24" spans="1:20" x14ac:dyDescent="0.25">
      <c r="A24" s="203" t="s">
        <v>51</v>
      </c>
      <c r="B24" s="106" t="s">
        <v>21</v>
      </c>
      <c r="C24" s="107">
        <v>187.9</v>
      </c>
      <c r="D24" s="107">
        <v>153.19999999999999</v>
      </c>
      <c r="E24" s="107">
        <v>212.5</v>
      </c>
      <c r="F24" s="107">
        <v>95.6</v>
      </c>
      <c r="G24" s="107">
        <v>22.7</v>
      </c>
      <c r="H24" s="107">
        <v>8.6999999999999993</v>
      </c>
      <c r="I24" s="107">
        <v>7.9</v>
      </c>
      <c r="J24" s="107">
        <v>29.5</v>
      </c>
      <c r="K24" s="107">
        <v>717.9</v>
      </c>
      <c r="L24" s="174"/>
      <c r="M24" s="174"/>
      <c r="N24" s="174"/>
      <c r="O24" s="174"/>
      <c r="P24" s="174"/>
      <c r="Q24" s="174"/>
      <c r="R24" s="174"/>
      <c r="S24" s="174"/>
      <c r="T24" s="174"/>
    </row>
    <row r="25" spans="1:20" x14ac:dyDescent="0.25">
      <c r="A25" s="203"/>
      <c r="B25" s="106" t="s">
        <v>25</v>
      </c>
      <c r="C25" s="107">
        <v>17.7</v>
      </c>
      <c r="D25" s="107">
        <v>10.199999999999999</v>
      </c>
      <c r="E25" s="107">
        <v>25.2</v>
      </c>
      <c r="F25" s="107">
        <v>10.199999999999999</v>
      </c>
      <c r="G25" s="107">
        <v>5.5</v>
      </c>
      <c r="H25" s="107">
        <v>0.7</v>
      </c>
      <c r="I25" s="107">
        <v>1.5</v>
      </c>
      <c r="J25" s="107">
        <v>2.8</v>
      </c>
      <c r="K25" s="107">
        <v>73.900000000000006</v>
      </c>
      <c r="L25" s="174"/>
      <c r="M25" s="174"/>
      <c r="N25" s="174"/>
      <c r="O25" s="174"/>
      <c r="P25" s="174"/>
      <c r="Q25" s="174"/>
      <c r="R25" s="174"/>
      <c r="S25" s="174"/>
      <c r="T25" s="174"/>
    </row>
    <row r="26" spans="1:20" x14ac:dyDescent="0.25">
      <c r="A26" s="203"/>
      <c r="B26" s="106" t="s">
        <v>24</v>
      </c>
      <c r="C26" s="107">
        <v>0.3</v>
      </c>
      <c r="D26" s="107" t="s">
        <v>167</v>
      </c>
      <c r="E26" s="107" t="s">
        <v>167</v>
      </c>
      <c r="F26" s="107" t="s">
        <v>167</v>
      </c>
      <c r="G26" s="107" t="s">
        <v>167</v>
      </c>
      <c r="H26" s="107" t="s">
        <v>167</v>
      </c>
      <c r="I26" s="107" t="s">
        <v>167</v>
      </c>
      <c r="J26" s="107" t="s">
        <v>167</v>
      </c>
      <c r="K26" s="107">
        <v>0.3</v>
      </c>
      <c r="L26" s="174"/>
      <c r="M26" s="174"/>
      <c r="N26" s="174"/>
      <c r="O26" s="174"/>
      <c r="P26" s="174"/>
      <c r="Q26" s="174"/>
      <c r="R26" s="174"/>
      <c r="S26" s="174"/>
      <c r="T26" s="174"/>
    </row>
    <row r="27" spans="1:20" x14ac:dyDescent="0.25">
      <c r="A27" s="203"/>
      <c r="B27" s="105" t="s">
        <v>12</v>
      </c>
      <c r="C27" s="76">
        <v>205.9</v>
      </c>
      <c r="D27" s="76">
        <v>163.4</v>
      </c>
      <c r="E27" s="76">
        <v>237.7</v>
      </c>
      <c r="F27" s="76">
        <v>105.8</v>
      </c>
      <c r="G27" s="76">
        <v>28.2</v>
      </c>
      <c r="H27" s="76">
        <v>9.4</v>
      </c>
      <c r="I27" s="76">
        <v>9.4</v>
      </c>
      <c r="J27" s="76">
        <v>32.299999999999997</v>
      </c>
      <c r="K27" s="76">
        <v>792.1</v>
      </c>
      <c r="L27" s="174"/>
      <c r="M27" s="174"/>
      <c r="N27" s="174"/>
      <c r="O27" s="174"/>
      <c r="P27" s="174"/>
      <c r="Q27" s="174"/>
      <c r="R27" s="174"/>
      <c r="S27" s="174"/>
      <c r="T27" s="174"/>
    </row>
    <row r="28" spans="1:20" x14ac:dyDescent="0.25">
      <c r="A28" s="203" t="s">
        <v>52</v>
      </c>
      <c r="B28" s="106" t="s">
        <v>21</v>
      </c>
      <c r="C28" s="107">
        <v>176.3</v>
      </c>
      <c r="D28" s="107">
        <v>111.7</v>
      </c>
      <c r="E28" s="107">
        <v>258.2</v>
      </c>
      <c r="F28" s="107">
        <v>103.2</v>
      </c>
      <c r="G28" s="107">
        <v>30</v>
      </c>
      <c r="H28" s="107">
        <v>8.1999999999999993</v>
      </c>
      <c r="I28" s="107">
        <v>9.6</v>
      </c>
      <c r="J28" s="107">
        <v>46.2</v>
      </c>
      <c r="K28" s="107">
        <v>743.5</v>
      </c>
      <c r="L28" s="174"/>
      <c r="M28" s="174"/>
      <c r="N28" s="174"/>
      <c r="O28" s="174"/>
      <c r="P28" s="174"/>
      <c r="Q28" s="174"/>
      <c r="R28" s="174"/>
      <c r="S28" s="174"/>
      <c r="T28" s="174"/>
    </row>
    <row r="29" spans="1:20" x14ac:dyDescent="0.25">
      <c r="A29" s="203"/>
      <c r="B29" s="106" t="s">
        <v>25</v>
      </c>
      <c r="C29" s="107">
        <v>13.8</v>
      </c>
      <c r="D29" s="107">
        <v>8.6999999999999993</v>
      </c>
      <c r="E29" s="107">
        <v>31.1</v>
      </c>
      <c r="F29" s="107">
        <v>14.8</v>
      </c>
      <c r="G29" s="107">
        <v>4.5</v>
      </c>
      <c r="H29" s="107">
        <v>0.9</v>
      </c>
      <c r="I29" s="107">
        <v>2</v>
      </c>
      <c r="J29" s="107">
        <v>6.2</v>
      </c>
      <c r="K29" s="107">
        <v>82.1</v>
      </c>
      <c r="L29" s="174"/>
      <c r="M29" s="174"/>
      <c r="N29" s="174"/>
      <c r="O29" s="174"/>
      <c r="P29" s="174"/>
      <c r="Q29" s="174"/>
      <c r="R29" s="174"/>
      <c r="S29" s="174"/>
      <c r="T29" s="174"/>
    </row>
    <row r="30" spans="1:20" x14ac:dyDescent="0.25">
      <c r="A30" s="203"/>
      <c r="B30" s="106" t="s">
        <v>24</v>
      </c>
      <c r="C30" s="107" t="s">
        <v>167</v>
      </c>
      <c r="D30" s="107" t="s">
        <v>167</v>
      </c>
      <c r="E30" s="107" t="s">
        <v>167</v>
      </c>
      <c r="F30" s="107" t="s">
        <v>167</v>
      </c>
      <c r="G30" s="107" t="s">
        <v>167</v>
      </c>
      <c r="H30" s="107" t="s">
        <v>167</v>
      </c>
      <c r="I30" s="107" t="s">
        <v>167</v>
      </c>
      <c r="J30" s="107" t="s">
        <v>167</v>
      </c>
      <c r="K30" s="107" t="s">
        <v>167</v>
      </c>
      <c r="L30" s="174"/>
      <c r="M30" s="174"/>
      <c r="N30" s="174"/>
      <c r="O30" s="174"/>
      <c r="P30" s="174"/>
      <c r="Q30" s="174"/>
      <c r="R30" s="174"/>
      <c r="S30" s="174"/>
      <c r="T30" s="174"/>
    </row>
    <row r="31" spans="1:20" x14ac:dyDescent="0.25">
      <c r="A31" s="203"/>
      <c r="B31" s="105" t="s">
        <v>12</v>
      </c>
      <c r="C31" s="76">
        <v>190.1</v>
      </c>
      <c r="D31" s="76">
        <v>120.5</v>
      </c>
      <c r="E31" s="76">
        <v>289.3</v>
      </c>
      <c r="F31" s="76">
        <v>118</v>
      </c>
      <c r="G31" s="76">
        <v>34.5</v>
      </c>
      <c r="H31" s="76">
        <v>9.1</v>
      </c>
      <c r="I31" s="76">
        <v>11.6</v>
      </c>
      <c r="J31" s="76">
        <v>52.4</v>
      </c>
      <c r="K31" s="76">
        <v>825.5</v>
      </c>
      <c r="L31" s="174"/>
      <c r="M31" s="174"/>
      <c r="N31" s="174"/>
      <c r="O31" s="174"/>
      <c r="P31" s="174"/>
      <c r="Q31" s="174"/>
      <c r="R31" s="174"/>
      <c r="S31" s="174"/>
      <c r="T31" s="174"/>
    </row>
    <row r="32" spans="1:20" x14ac:dyDescent="0.25">
      <c r="A32" s="203" t="s">
        <v>53</v>
      </c>
      <c r="B32" s="106" t="s">
        <v>21</v>
      </c>
      <c r="C32" s="107">
        <v>187.5</v>
      </c>
      <c r="D32" s="107">
        <v>101.1</v>
      </c>
      <c r="E32" s="107">
        <v>273.5</v>
      </c>
      <c r="F32" s="107">
        <v>87.5</v>
      </c>
      <c r="G32" s="107">
        <v>27</v>
      </c>
      <c r="H32" s="107">
        <v>11.2</v>
      </c>
      <c r="I32" s="107">
        <v>15.1</v>
      </c>
      <c r="J32" s="107">
        <v>45.5</v>
      </c>
      <c r="K32" s="107">
        <v>748.4</v>
      </c>
      <c r="L32" s="174"/>
      <c r="M32" s="174"/>
      <c r="N32" s="174"/>
      <c r="O32" s="174"/>
      <c r="P32" s="174"/>
      <c r="Q32" s="174"/>
      <c r="R32" s="174"/>
      <c r="S32" s="174"/>
      <c r="T32" s="174"/>
    </row>
    <row r="33" spans="1:20" x14ac:dyDescent="0.25">
      <c r="A33" s="203"/>
      <c r="B33" s="106" t="s">
        <v>25</v>
      </c>
      <c r="C33" s="107">
        <v>12.2</v>
      </c>
      <c r="D33" s="107">
        <v>6.6</v>
      </c>
      <c r="E33" s="107">
        <v>37.799999999999997</v>
      </c>
      <c r="F33" s="107">
        <v>11.1</v>
      </c>
      <c r="G33" s="107">
        <v>6.4</v>
      </c>
      <c r="H33" s="107">
        <v>2.2999999999999998</v>
      </c>
      <c r="I33" s="107">
        <v>2.7</v>
      </c>
      <c r="J33" s="107">
        <v>7.4</v>
      </c>
      <c r="K33" s="107">
        <v>86.7</v>
      </c>
      <c r="L33" s="174"/>
      <c r="M33" s="174"/>
      <c r="N33" s="174"/>
      <c r="O33" s="174"/>
      <c r="P33" s="174"/>
      <c r="Q33" s="174"/>
      <c r="R33" s="174"/>
      <c r="S33" s="174"/>
      <c r="T33" s="174"/>
    </row>
    <row r="34" spans="1:20" x14ac:dyDescent="0.25">
      <c r="A34" s="203"/>
      <c r="B34" s="106" t="s">
        <v>24</v>
      </c>
      <c r="C34" s="107" t="s">
        <v>167</v>
      </c>
      <c r="D34" s="107" t="s">
        <v>167</v>
      </c>
      <c r="E34" s="107" t="s">
        <v>167</v>
      </c>
      <c r="F34" s="107" t="s">
        <v>167</v>
      </c>
      <c r="G34" s="107" t="s">
        <v>167</v>
      </c>
      <c r="H34" s="107" t="s">
        <v>167</v>
      </c>
      <c r="I34" s="107" t="s">
        <v>167</v>
      </c>
      <c r="J34" s="107" t="s">
        <v>167</v>
      </c>
      <c r="K34" s="107">
        <v>0.1</v>
      </c>
      <c r="L34" s="174"/>
      <c r="M34" s="174"/>
      <c r="N34" s="174"/>
      <c r="O34" s="174"/>
      <c r="P34" s="174"/>
      <c r="Q34" s="174"/>
      <c r="R34" s="174"/>
      <c r="S34" s="174"/>
      <c r="T34" s="174"/>
    </row>
    <row r="35" spans="1:20" x14ac:dyDescent="0.25">
      <c r="A35" s="203"/>
      <c r="B35" s="105" t="s">
        <v>12</v>
      </c>
      <c r="C35" s="76">
        <v>199.8</v>
      </c>
      <c r="D35" s="76">
        <v>107.7</v>
      </c>
      <c r="E35" s="76">
        <v>311.3</v>
      </c>
      <c r="F35" s="76">
        <v>98.6</v>
      </c>
      <c r="G35" s="76">
        <v>33.5</v>
      </c>
      <c r="H35" s="76">
        <v>13.6</v>
      </c>
      <c r="I35" s="76">
        <v>17.8</v>
      </c>
      <c r="J35" s="76">
        <v>52.9</v>
      </c>
      <c r="K35" s="76">
        <v>835.2</v>
      </c>
      <c r="L35" s="174"/>
      <c r="M35" s="174"/>
      <c r="N35" s="174"/>
      <c r="O35" s="174"/>
      <c r="P35" s="174"/>
      <c r="Q35" s="174"/>
      <c r="R35" s="174"/>
      <c r="S35" s="174"/>
      <c r="T35" s="174"/>
    </row>
    <row r="36" spans="1:20" x14ac:dyDescent="0.25">
      <c r="A36" s="203" t="s">
        <v>227</v>
      </c>
      <c r="B36" s="106" t="s">
        <v>21</v>
      </c>
      <c r="C36" s="107">
        <v>201.5</v>
      </c>
      <c r="D36" s="107">
        <v>89.7</v>
      </c>
      <c r="E36" s="107">
        <v>279.5</v>
      </c>
      <c r="F36" s="107">
        <v>78.3</v>
      </c>
      <c r="G36" s="107">
        <v>26.9</v>
      </c>
      <c r="H36" s="107">
        <v>12.7</v>
      </c>
      <c r="I36" s="107">
        <v>14.5</v>
      </c>
      <c r="J36" s="107">
        <v>42.9</v>
      </c>
      <c r="K36" s="107">
        <v>745.9</v>
      </c>
      <c r="L36" s="174"/>
      <c r="M36" s="174"/>
      <c r="N36" s="174"/>
      <c r="O36" s="174"/>
      <c r="P36" s="174"/>
      <c r="Q36" s="174"/>
      <c r="R36" s="174"/>
      <c r="S36" s="174"/>
      <c r="T36" s="174"/>
    </row>
    <row r="37" spans="1:20" x14ac:dyDescent="0.25">
      <c r="A37" s="203"/>
      <c r="B37" s="106" t="s">
        <v>25</v>
      </c>
      <c r="C37" s="107">
        <v>15.4</v>
      </c>
      <c r="D37" s="107">
        <v>3.4</v>
      </c>
      <c r="E37" s="107">
        <v>40.1</v>
      </c>
      <c r="F37" s="107">
        <v>8.9</v>
      </c>
      <c r="G37" s="107">
        <v>6.9</v>
      </c>
      <c r="H37" s="107">
        <v>3.6</v>
      </c>
      <c r="I37" s="107">
        <v>1.3</v>
      </c>
      <c r="J37" s="107">
        <v>3.3</v>
      </c>
      <c r="K37" s="107">
        <v>82.9</v>
      </c>
      <c r="L37" s="174"/>
      <c r="M37" s="174"/>
      <c r="N37" s="174"/>
      <c r="O37" s="174"/>
      <c r="P37" s="174"/>
      <c r="Q37" s="174"/>
      <c r="R37" s="174"/>
      <c r="S37" s="174"/>
      <c r="T37" s="174"/>
    </row>
    <row r="38" spans="1:20" x14ac:dyDescent="0.25">
      <c r="A38" s="203"/>
      <c r="B38" s="106" t="s">
        <v>24</v>
      </c>
      <c r="C38" s="107" t="s">
        <v>167</v>
      </c>
      <c r="D38" s="107" t="s">
        <v>167</v>
      </c>
      <c r="E38" s="107" t="s">
        <v>167</v>
      </c>
      <c r="F38" s="107" t="s">
        <v>167</v>
      </c>
      <c r="G38" s="107" t="s">
        <v>167</v>
      </c>
      <c r="H38" s="107" t="s">
        <v>167</v>
      </c>
      <c r="I38" s="107" t="s">
        <v>167</v>
      </c>
      <c r="J38" s="107" t="s">
        <v>167</v>
      </c>
      <c r="K38" s="107" t="s">
        <v>167</v>
      </c>
      <c r="L38" s="174"/>
      <c r="M38" s="174"/>
      <c r="N38" s="174"/>
      <c r="O38" s="174"/>
      <c r="P38" s="174"/>
      <c r="Q38" s="174"/>
      <c r="R38" s="174"/>
      <c r="S38" s="174"/>
      <c r="T38" s="174"/>
    </row>
    <row r="39" spans="1:20" x14ac:dyDescent="0.25">
      <c r="A39" s="203"/>
      <c r="B39" s="105" t="s">
        <v>12</v>
      </c>
      <c r="C39" s="76">
        <v>217</v>
      </c>
      <c r="D39" s="76">
        <v>93.1</v>
      </c>
      <c r="E39" s="76">
        <v>319.60000000000002</v>
      </c>
      <c r="F39" s="76">
        <v>87.2</v>
      </c>
      <c r="G39" s="76">
        <v>33.799999999999997</v>
      </c>
      <c r="H39" s="76">
        <v>16.3</v>
      </c>
      <c r="I39" s="76">
        <v>15.8</v>
      </c>
      <c r="J39" s="76">
        <v>46.2</v>
      </c>
      <c r="K39" s="76">
        <v>828.9</v>
      </c>
      <c r="L39" s="174"/>
      <c r="M39" s="174"/>
      <c r="N39" s="174"/>
      <c r="O39" s="174"/>
      <c r="P39" s="174"/>
      <c r="Q39" s="174"/>
      <c r="R39" s="174"/>
      <c r="S39" s="174"/>
      <c r="T39" s="174"/>
    </row>
    <row r="40" spans="1:20" x14ac:dyDescent="0.25">
      <c r="A40" s="203" t="s">
        <v>289</v>
      </c>
      <c r="B40" s="106" t="s">
        <v>21</v>
      </c>
      <c r="C40" s="107">
        <v>215.6</v>
      </c>
      <c r="D40" s="107">
        <v>123</v>
      </c>
      <c r="E40" s="107">
        <v>258.60000000000002</v>
      </c>
      <c r="F40" s="107">
        <v>68.5</v>
      </c>
      <c r="G40" s="107">
        <v>35</v>
      </c>
      <c r="H40" s="107">
        <v>13.1</v>
      </c>
      <c r="I40" s="107">
        <v>17.100000000000001</v>
      </c>
      <c r="J40" s="107">
        <v>43.6</v>
      </c>
      <c r="K40" s="107">
        <v>774.6</v>
      </c>
      <c r="L40" s="174"/>
      <c r="M40" s="174"/>
      <c r="N40" s="174"/>
      <c r="O40" s="174"/>
      <c r="P40" s="174"/>
      <c r="Q40" s="174"/>
      <c r="R40" s="174"/>
      <c r="S40" s="174"/>
      <c r="T40" s="174"/>
    </row>
    <row r="41" spans="1:20" x14ac:dyDescent="0.25">
      <c r="A41" s="203"/>
      <c r="B41" s="106" t="s">
        <v>25</v>
      </c>
      <c r="C41" s="107">
        <v>15.7</v>
      </c>
      <c r="D41" s="107">
        <v>5.6</v>
      </c>
      <c r="E41" s="107">
        <v>42</v>
      </c>
      <c r="F41" s="107">
        <v>7</v>
      </c>
      <c r="G41" s="107">
        <v>7</v>
      </c>
      <c r="H41" s="107">
        <v>2.7</v>
      </c>
      <c r="I41" s="107">
        <v>2</v>
      </c>
      <c r="J41" s="107">
        <v>2.9</v>
      </c>
      <c r="K41" s="107">
        <v>84.9</v>
      </c>
      <c r="L41" s="174"/>
      <c r="M41" s="174"/>
      <c r="N41" s="174"/>
      <c r="O41" s="174"/>
      <c r="P41" s="174"/>
      <c r="Q41" s="174"/>
      <c r="R41" s="174"/>
      <c r="S41" s="174"/>
      <c r="T41" s="174"/>
    </row>
    <row r="42" spans="1:20" x14ac:dyDescent="0.25">
      <c r="A42" s="203"/>
      <c r="B42" s="106" t="s">
        <v>24</v>
      </c>
      <c r="C42" s="107" t="s">
        <v>167</v>
      </c>
      <c r="D42" s="107" t="s">
        <v>167</v>
      </c>
      <c r="E42" s="107" t="s">
        <v>167</v>
      </c>
      <c r="F42" s="107" t="s">
        <v>167</v>
      </c>
      <c r="G42" s="107" t="s">
        <v>167</v>
      </c>
      <c r="H42" s="107" t="s">
        <v>167</v>
      </c>
      <c r="I42" s="107" t="s">
        <v>167</v>
      </c>
      <c r="J42" s="107" t="s">
        <v>167</v>
      </c>
      <c r="K42" s="107">
        <v>0.1</v>
      </c>
      <c r="L42" s="174"/>
      <c r="M42" s="174"/>
      <c r="N42" s="174"/>
      <c r="O42" s="174"/>
      <c r="P42" s="174"/>
      <c r="Q42" s="174"/>
      <c r="R42" s="174"/>
      <c r="S42" s="174"/>
      <c r="T42" s="174"/>
    </row>
    <row r="43" spans="1:20" x14ac:dyDescent="0.25">
      <c r="A43" s="203"/>
      <c r="B43" s="105" t="s">
        <v>12</v>
      </c>
      <c r="C43" s="76">
        <v>231.3</v>
      </c>
      <c r="D43" s="76">
        <v>128.6</v>
      </c>
      <c r="E43" s="76">
        <v>300.7</v>
      </c>
      <c r="F43" s="76">
        <v>75.5</v>
      </c>
      <c r="G43" s="76">
        <v>42</v>
      </c>
      <c r="H43" s="76">
        <v>15.8</v>
      </c>
      <c r="I43" s="76">
        <v>19.100000000000001</v>
      </c>
      <c r="J43" s="76">
        <v>46.5</v>
      </c>
      <c r="K43" s="76">
        <v>859.5</v>
      </c>
      <c r="L43" s="174"/>
      <c r="M43" s="174"/>
      <c r="N43" s="174"/>
      <c r="O43" s="174"/>
      <c r="P43" s="174"/>
      <c r="Q43" s="174"/>
      <c r="R43" s="174"/>
      <c r="S43" s="174"/>
      <c r="T43" s="174"/>
    </row>
    <row r="44" spans="1:20" ht="11.1" customHeight="1" x14ac:dyDescent="0.25">
      <c r="A44" s="201" t="s">
        <v>13</v>
      </c>
      <c r="B44" s="201"/>
      <c r="C44" s="201"/>
      <c r="D44" s="201"/>
      <c r="E44" s="201"/>
      <c r="F44" s="201"/>
      <c r="G44" s="201"/>
      <c r="H44" s="201"/>
      <c r="I44" s="201"/>
      <c r="J44" s="201"/>
      <c r="K44" s="201"/>
    </row>
    <row r="45" spans="1:20" s="6" customFormat="1" ht="11.1" customHeight="1" x14ac:dyDescent="0.15">
      <c r="A45" s="6" t="s">
        <v>14</v>
      </c>
      <c r="H45" s="86"/>
      <c r="I45" s="86"/>
    </row>
    <row r="46" spans="1:20" s="10" customFormat="1" ht="11.1" customHeight="1" x14ac:dyDescent="0.2">
      <c r="A46" s="6" t="s">
        <v>59</v>
      </c>
      <c r="H46" s="88"/>
      <c r="I46" s="88"/>
    </row>
    <row r="47" spans="1:20" s="10" customFormat="1" ht="11.1" customHeight="1" x14ac:dyDescent="0.2">
      <c r="A47" s="6"/>
      <c r="H47" s="88"/>
      <c r="I47" s="88"/>
    </row>
    <row r="48" spans="1:20" s="6" customFormat="1" ht="11.1" customHeight="1" x14ac:dyDescent="0.15">
      <c r="A48" s="6" t="s">
        <v>271</v>
      </c>
      <c r="H48" s="86"/>
      <c r="I48" s="86"/>
    </row>
    <row r="49" spans="1:21" ht="12" customHeight="1" x14ac:dyDescent="0.25">
      <c r="A49" s="2"/>
    </row>
    <row r="50" spans="1:21" ht="27.95" customHeight="1" x14ac:dyDescent="0.25">
      <c r="A50" s="198" t="s">
        <v>309</v>
      </c>
      <c r="B50" s="198"/>
      <c r="C50" s="198"/>
      <c r="D50" s="198"/>
      <c r="E50" s="198"/>
      <c r="F50" s="198"/>
      <c r="G50" s="198"/>
      <c r="H50" s="198"/>
      <c r="I50" s="198"/>
      <c r="J50" s="198"/>
      <c r="K50" s="198"/>
      <c r="L50" s="198"/>
      <c r="M50" s="198"/>
    </row>
    <row r="51" spans="1:21" ht="2.25" customHeight="1" x14ac:dyDescent="0.25">
      <c r="A51" s="2"/>
    </row>
    <row r="52" spans="1:21" x14ac:dyDescent="0.25">
      <c r="A52" s="52" t="s">
        <v>189</v>
      </c>
      <c r="B52" s="52" t="s">
        <v>185</v>
      </c>
      <c r="C52" s="3" t="s">
        <v>1</v>
      </c>
      <c r="D52" s="3" t="s">
        <v>2</v>
      </c>
      <c r="E52" s="3" t="s">
        <v>3</v>
      </c>
      <c r="F52" s="3" t="s">
        <v>4</v>
      </c>
      <c r="G52" s="3" t="s">
        <v>5</v>
      </c>
      <c r="H52" s="85" t="s">
        <v>6</v>
      </c>
      <c r="I52" s="85" t="s">
        <v>7</v>
      </c>
      <c r="J52" s="3" t="s">
        <v>8</v>
      </c>
      <c r="K52" s="3" t="s">
        <v>9</v>
      </c>
    </row>
    <row r="53" spans="1:21" x14ac:dyDescent="0.25">
      <c r="A53" s="105" t="s">
        <v>55</v>
      </c>
      <c r="B53" s="4" t="s">
        <v>21</v>
      </c>
      <c r="C53" s="13">
        <v>1321</v>
      </c>
      <c r="D53" s="13">
        <v>610</v>
      </c>
      <c r="E53" s="13">
        <v>684</v>
      </c>
      <c r="F53" s="13">
        <v>721</v>
      </c>
      <c r="G53" s="13">
        <v>338</v>
      </c>
      <c r="H53" s="13" t="s">
        <v>174</v>
      </c>
      <c r="I53" s="13" t="s">
        <v>174</v>
      </c>
      <c r="J53" s="13">
        <v>216</v>
      </c>
      <c r="K53" s="13">
        <v>3978</v>
      </c>
      <c r="L53" s="175"/>
      <c r="M53" s="175"/>
      <c r="N53" s="175"/>
      <c r="O53" s="175"/>
      <c r="P53" s="175"/>
      <c r="Q53" s="175"/>
      <c r="R53" s="175"/>
      <c r="S53" s="175"/>
      <c r="T53" s="175"/>
      <c r="U53" s="128"/>
    </row>
    <row r="54" spans="1:21" x14ac:dyDescent="0.25">
      <c r="A54" s="105"/>
      <c r="B54" s="4" t="s">
        <v>25</v>
      </c>
      <c r="C54" s="13">
        <v>276</v>
      </c>
      <c r="D54" s="13">
        <v>71</v>
      </c>
      <c r="E54" s="13">
        <v>176</v>
      </c>
      <c r="F54" s="13">
        <v>137</v>
      </c>
      <c r="G54" s="13">
        <v>86</v>
      </c>
      <c r="H54" s="13" t="s">
        <v>174</v>
      </c>
      <c r="I54" s="13" t="s">
        <v>174</v>
      </c>
      <c r="J54" s="13">
        <v>53</v>
      </c>
      <c r="K54" s="13">
        <v>822</v>
      </c>
      <c r="L54" s="175"/>
      <c r="M54" s="175"/>
      <c r="N54" s="175"/>
      <c r="O54" s="175"/>
      <c r="P54" s="175"/>
      <c r="Q54" s="175"/>
      <c r="R54" s="175"/>
      <c r="S54" s="175"/>
      <c r="T54" s="175"/>
    </row>
    <row r="55" spans="1:21" x14ac:dyDescent="0.25">
      <c r="A55" s="105"/>
      <c r="B55" s="4" t="s">
        <v>24</v>
      </c>
      <c r="C55" s="107" t="s">
        <v>167</v>
      </c>
      <c r="D55" s="107" t="s">
        <v>167</v>
      </c>
      <c r="E55" s="107" t="s">
        <v>167</v>
      </c>
      <c r="F55" s="107" t="s">
        <v>167</v>
      </c>
      <c r="G55" s="107" t="s">
        <v>167</v>
      </c>
      <c r="H55" s="107" t="s">
        <v>167</v>
      </c>
      <c r="I55" s="107" t="s">
        <v>167</v>
      </c>
      <c r="J55" s="107" t="s">
        <v>167</v>
      </c>
      <c r="K55" s="107" t="s">
        <v>167</v>
      </c>
      <c r="L55" s="175"/>
      <c r="M55" s="175"/>
      <c r="N55" s="175"/>
      <c r="O55" s="175"/>
      <c r="P55" s="175"/>
      <c r="Q55" s="175"/>
      <c r="R55" s="175"/>
      <c r="S55" s="175"/>
      <c r="T55" s="175"/>
    </row>
    <row r="56" spans="1:21" x14ac:dyDescent="0.25">
      <c r="A56" s="105"/>
      <c r="B56" s="9" t="s">
        <v>12</v>
      </c>
      <c r="C56" s="63">
        <v>1597</v>
      </c>
      <c r="D56" s="63">
        <v>681</v>
      </c>
      <c r="E56" s="63">
        <v>860</v>
      </c>
      <c r="F56" s="63">
        <v>858</v>
      </c>
      <c r="G56" s="63">
        <v>424</v>
      </c>
      <c r="H56" s="63" t="s">
        <v>174</v>
      </c>
      <c r="I56" s="63" t="s">
        <v>174</v>
      </c>
      <c r="J56" s="63">
        <v>269</v>
      </c>
      <c r="K56" s="63">
        <v>4800</v>
      </c>
      <c r="L56" s="175"/>
      <c r="M56" s="175"/>
      <c r="N56" s="175"/>
      <c r="O56" s="175"/>
      <c r="P56" s="175"/>
      <c r="Q56" s="175"/>
      <c r="R56" s="175"/>
      <c r="S56" s="175"/>
      <c r="T56" s="175"/>
    </row>
    <row r="57" spans="1:21" x14ac:dyDescent="0.25">
      <c r="A57" s="105" t="s">
        <v>56</v>
      </c>
      <c r="B57" s="4" t="s">
        <v>21</v>
      </c>
      <c r="C57" s="13">
        <v>1280</v>
      </c>
      <c r="D57" s="13">
        <v>627</v>
      </c>
      <c r="E57" s="13">
        <v>748</v>
      </c>
      <c r="F57" s="13">
        <v>728</v>
      </c>
      <c r="G57" s="13">
        <v>305</v>
      </c>
      <c r="H57" s="13" t="s">
        <v>174</v>
      </c>
      <c r="I57" s="13" t="s">
        <v>174</v>
      </c>
      <c r="J57" s="13">
        <v>201</v>
      </c>
      <c r="K57" s="13">
        <v>4012</v>
      </c>
      <c r="L57" s="175"/>
      <c r="M57" s="175"/>
      <c r="N57" s="175"/>
      <c r="O57" s="175"/>
      <c r="P57" s="175"/>
      <c r="Q57" s="175"/>
      <c r="R57" s="175"/>
      <c r="S57" s="175"/>
      <c r="T57" s="175"/>
    </row>
    <row r="58" spans="1:21" x14ac:dyDescent="0.25">
      <c r="A58" s="105"/>
      <c r="B58" s="4" t="s">
        <v>25</v>
      </c>
      <c r="C58" s="13">
        <v>250</v>
      </c>
      <c r="D58" s="13">
        <v>81</v>
      </c>
      <c r="E58" s="13">
        <v>220</v>
      </c>
      <c r="F58" s="13">
        <v>141</v>
      </c>
      <c r="G58" s="13">
        <v>91</v>
      </c>
      <c r="H58" s="13" t="s">
        <v>174</v>
      </c>
      <c r="I58" s="13" t="s">
        <v>174</v>
      </c>
      <c r="J58" s="13">
        <v>41</v>
      </c>
      <c r="K58" s="13">
        <v>851</v>
      </c>
      <c r="L58" s="175"/>
      <c r="M58" s="175"/>
      <c r="N58" s="175"/>
      <c r="O58" s="175"/>
      <c r="P58" s="175"/>
      <c r="Q58" s="175"/>
      <c r="R58" s="175"/>
      <c r="S58" s="175"/>
      <c r="T58" s="175"/>
    </row>
    <row r="59" spans="1:21" x14ac:dyDescent="0.25">
      <c r="A59" s="105"/>
      <c r="B59" s="4" t="s">
        <v>24</v>
      </c>
      <c r="C59" s="107" t="s">
        <v>167</v>
      </c>
      <c r="D59" s="107" t="s">
        <v>167</v>
      </c>
      <c r="E59" s="107" t="s">
        <v>167</v>
      </c>
      <c r="F59" s="107" t="s">
        <v>167</v>
      </c>
      <c r="G59" s="107" t="s">
        <v>167</v>
      </c>
      <c r="H59" s="107" t="s">
        <v>167</v>
      </c>
      <c r="I59" s="107" t="s">
        <v>167</v>
      </c>
      <c r="J59" s="107" t="s">
        <v>167</v>
      </c>
      <c r="K59" s="107" t="s">
        <v>167</v>
      </c>
      <c r="L59" s="175"/>
      <c r="M59" s="175"/>
      <c r="N59" s="175"/>
      <c r="O59" s="175"/>
      <c r="P59" s="175"/>
      <c r="Q59" s="175"/>
      <c r="R59" s="175"/>
      <c r="S59" s="175"/>
      <c r="T59" s="175"/>
    </row>
    <row r="60" spans="1:21" x14ac:dyDescent="0.25">
      <c r="A60" s="105"/>
      <c r="B60" s="9" t="s">
        <v>12</v>
      </c>
      <c r="C60" s="63">
        <v>1530</v>
      </c>
      <c r="D60" s="63">
        <v>708</v>
      </c>
      <c r="E60" s="63">
        <v>968</v>
      </c>
      <c r="F60" s="63">
        <v>869</v>
      </c>
      <c r="G60" s="63">
        <v>396</v>
      </c>
      <c r="H60" s="63">
        <v>65</v>
      </c>
      <c r="I60" s="63">
        <v>85</v>
      </c>
      <c r="J60" s="63">
        <v>242</v>
      </c>
      <c r="K60" s="63">
        <v>4863</v>
      </c>
      <c r="L60" s="175"/>
      <c r="M60" s="175"/>
      <c r="N60" s="175"/>
      <c r="O60" s="175"/>
      <c r="P60" s="175"/>
      <c r="Q60" s="175"/>
      <c r="R60" s="175"/>
      <c r="S60" s="175"/>
      <c r="T60" s="175"/>
    </row>
    <row r="61" spans="1:21" x14ac:dyDescent="0.25">
      <c r="A61" s="105" t="s">
        <v>57</v>
      </c>
      <c r="B61" s="4" t="s">
        <v>21</v>
      </c>
      <c r="C61" s="13">
        <v>1276</v>
      </c>
      <c r="D61" s="13">
        <v>643</v>
      </c>
      <c r="E61" s="13">
        <v>850</v>
      </c>
      <c r="F61" s="13">
        <v>707</v>
      </c>
      <c r="G61" s="13">
        <v>266</v>
      </c>
      <c r="H61" s="13" t="s">
        <v>174</v>
      </c>
      <c r="I61" s="13" t="s">
        <v>174</v>
      </c>
      <c r="J61" s="13">
        <v>175</v>
      </c>
      <c r="K61" s="13">
        <v>4050</v>
      </c>
      <c r="L61" s="175"/>
      <c r="M61" s="175"/>
      <c r="N61" s="175"/>
      <c r="O61" s="175"/>
      <c r="P61" s="175"/>
      <c r="Q61" s="175"/>
      <c r="R61" s="175"/>
      <c r="S61" s="175"/>
      <c r="T61" s="175"/>
    </row>
    <row r="62" spans="1:21" x14ac:dyDescent="0.25">
      <c r="A62" s="105"/>
      <c r="B62" s="4" t="s">
        <v>25</v>
      </c>
      <c r="C62" s="13">
        <v>315</v>
      </c>
      <c r="D62" s="13">
        <v>74</v>
      </c>
      <c r="E62" s="13">
        <v>216</v>
      </c>
      <c r="F62" s="13">
        <v>147</v>
      </c>
      <c r="G62" s="13">
        <v>70</v>
      </c>
      <c r="H62" s="13" t="s">
        <v>174</v>
      </c>
      <c r="I62" s="13" t="s">
        <v>174</v>
      </c>
      <c r="J62" s="13">
        <v>27</v>
      </c>
      <c r="K62" s="13">
        <v>883</v>
      </c>
      <c r="L62" s="175"/>
      <c r="M62" s="175"/>
      <c r="N62" s="175"/>
      <c r="O62" s="175"/>
      <c r="P62" s="175"/>
      <c r="Q62" s="175"/>
      <c r="R62" s="175"/>
      <c r="S62" s="175"/>
      <c r="T62" s="175"/>
    </row>
    <row r="63" spans="1:21" x14ac:dyDescent="0.25">
      <c r="A63" s="105"/>
      <c r="B63" s="4" t="s">
        <v>24</v>
      </c>
      <c r="C63" s="107" t="s">
        <v>167</v>
      </c>
      <c r="D63" s="107" t="s">
        <v>167</v>
      </c>
      <c r="E63" s="107" t="s">
        <v>167</v>
      </c>
      <c r="F63" s="107" t="s">
        <v>167</v>
      </c>
      <c r="G63" s="107" t="s">
        <v>167</v>
      </c>
      <c r="H63" s="107" t="s">
        <v>167</v>
      </c>
      <c r="I63" s="107" t="s">
        <v>167</v>
      </c>
      <c r="J63" s="107" t="s">
        <v>167</v>
      </c>
      <c r="K63" s="107" t="s">
        <v>167</v>
      </c>
      <c r="L63" s="175"/>
      <c r="M63" s="175"/>
      <c r="N63" s="175"/>
      <c r="O63" s="175"/>
      <c r="P63" s="175"/>
      <c r="Q63" s="175"/>
      <c r="R63" s="175"/>
      <c r="S63" s="175"/>
      <c r="T63" s="175"/>
    </row>
    <row r="64" spans="1:21" x14ac:dyDescent="0.25">
      <c r="A64" s="105"/>
      <c r="B64" s="9" t="s">
        <v>12</v>
      </c>
      <c r="C64" s="63">
        <v>1591</v>
      </c>
      <c r="D64" s="63">
        <v>717</v>
      </c>
      <c r="E64" s="63">
        <v>1066</v>
      </c>
      <c r="F64" s="63">
        <v>854</v>
      </c>
      <c r="G64" s="63">
        <v>336</v>
      </c>
      <c r="H64" s="63">
        <v>58</v>
      </c>
      <c r="I64" s="63">
        <v>109</v>
      </c>
      <c r="J64" s="63">
        <v>202</v>
      </c>
      <c r="K64" s="63">
        <v>4933</v>
      </c>
      <c r="L64" s="175"/>
      <c r="M64" s="175"/>
      <c r="N64" s="175"/>
      <c r="O64" s="175"/>
      <c r="P64" s="175"/>
      <c r="Q64" s="175"/>
      <c r="R64" s="175"/>
      <c r="S64" s="175"/>
      <c r="T64" s="175"/>
    </row>
    <row r="65" spans="1:20" x14ac:dyDescent="0.25">
      <c r="A65" s="105" t="s">
        <v>49</v>
      </c>
      <c r="B65" s="4" t="s">
        <v>21</v>
      </c>
      <c r="C65" s="13">
        <v>1238</v>
      </c>
      <c r="D65" s="13">
        <v>622</v>
      </c>
      <c r="E65" s="13">
        <v>885</v>
      </c>
      <c r="F65" s="13">
        <v>664</v>
      </c>
      <c r="G65" s="13">
        <v>242</v>
      </c>
      <c r="H65" s="13" t="s">
        <v>174</v>
      </c>
      <c r="I65" s="13" t="s">
        <v>174</v>
      </c>
      <c r="J65" s="13">
        <v>153</v>
      </c>
      <c r="K65" s="13">
        <v>3917</v>
      </c>
      <c r="L65" s="175"/>
      <c r="M65" s="175"/>
      <c r="N65" s="175"/>
      <c r="O65" s="175"/>
      <c r="P65" s="175"/>
      <c r="Q65" s="175"/>
      <c r="R65" s="175"/>
      <c r="S65" s="175"/>
      <c r="T65" s="175"/>
    </row>
    <row r="66" spans="1:20" x14ac:dyDescent="0.25">
      <c r="A66" s="105"/>
      <c r="B66" s="4" t="s">
        <v>25</v>
      </c>
      <c r="C66" s="13">
        <v>307</v>
      </c>
      <c r="D66" s="13">
        <v>119</v>
      </c>
      <c r="E66" s="13">
        <v>243</v>
      </c>
      <c r="F66" s="13">
        <v>171</v>
      </c>
      <c r="G66" s="13">
        <v>57</v>
      </c>
      <c r="H66" s="13" t="s">
        <v>174</v>
      </c>
      <c r="I66" s="13" t="s">
        <v>174</v>
      </c>
      <c r="J66" s="13">
        <v>23</v>
      </c>
      <c r="K66" s="13">
        <v>956</v>
      </c>
      <c r="L66" s="175"/>
      <c r="M66" s="175"/>
      <c r="N66" s="175"/>
      <c r="O66" s="175"/>
      <c r="P66" s="175"/>
      <c r="Q66" s="175"/>
      <c r="R66" s="175"/>
      <c r="S66" s="175"/>
      <c r="T66" s="175"/>
    </row>
    <row r="67" spans="1:20" x14ac:dyDescent="0.25">
      <c r="A67" s="105"/>
      <c r="B67" s="4" t="s">
        <v>24</v>
      </c>
      <c r="C67" s="107" t="s">
        <v>167</v>
      </c>
      <c r="D67" s="107" t="s">
        <v>167</v>
      </c>
      <c r="E67" s="107" t="s">
        <v>167</v>
      </c>
      <c r="F67" s="107" t="s">
        <v>167</v>
      </c>
      <c r="G67" s="107" t="s">
        <v>167</v>
      </c>
      <c r="H67" s="107" t="s">
        <v>167</v>
      </c>
      <c r="I67" s="107" t="s">
        <v>167</v>
      </c>
      <c r="J67" s="107" t="s">
        <v>167</v>
      </c>
      <c r="K67" s="107" t="s">
        <v>167</v>
      </c>
      <c r="L67" s="175"/>
      <c r="M67" s="175"/>
      <c r="N67" s="175"/>
      <c r="O67" s="175"/>
      <c r="P67" s="175"/>
      <c r="Q67" s="175"/>
      <c r="R67" s="175"/>
      <c r="S67" s="175"/>
      <c r="T67" s="175"/>
    </row>
    <row r="68" spans="1:20" x14ac:dyDescent="0.25">
      <c r="A68" s="105"/>
      <c r="B68" s="9" t="s">
        <v>12</v>
      </c>
      <c r="C68" s="63">
        <v>1545</v>
      </c>
      <c r="D68" s="63">
        <v>741</v>
      </c>
      <c r="E68" s="63">
        <v>1128</v>
      </c>
      <c r="F68" s="63">
        <v>835</v>
      </c>
      <c r="G68" s="63">
        <v>299</v>
      </c>
      <c r="H68" s="63" t="s">
        <v>174</v>
      </c>
      <c r="I68" s="63" t="s">
        <v>174</v>
      </c>
      <c r="J68" s="63">
        <v>176</v>
      </c>
      <c r="K68" s="63">
        <v>4873</v>
      </c>
      <c r="L68" s="175"/>
      <c r="M68" s="175"/>
      <c r="N68" s="175"/>
      <c r="O68" s="175"/>
      <c r="P68" s="175"/>
      <c r="Q68" s="175"/>
      <c r="R68" s="175"/>
      <c r="S68" s="175"/>
      <c r="T68" s="175"/>
    </row>
    <row r="69" spans="1:20" x14ac:dyDescent="0.25">
      <c r="A69" s="105" t="s">
        <v>50</v>
      </c>
      <c r="B69" s="4" t="s">
        <v>21</v>
      </c>
      <c r="C69" s="13">
        <v>1258</v>
      </c>
      <c r="D69" s="13">
        <v>652</v>
      </c>
      <c r="E69" s="13">
        <v>840</v>
      </c>
      <c r="F69" s="13">
        <v>612</v>
      </c>
      <c r="G69" s="13">
        <v>250</v>
      </c>
      <c r="H69" s="13" t="s">
        <v>174</v>
      </c>
      <c r="I69" s="13" t="s">
        <v>174</v>
      </c>
      <c r="J69" s="13">
        <v>126</v>
      </c>
      <c r="K69" s="13">
        <v>3842</v>
      </c>
      <c r="L69" s="175"/>
      <c r="M69" s="175"/>
      <c r="N69" s="175"/>
      <c r="O69" s="175"/>
      <c r="P69" s="175"/>
      <c r="Q69" s="175"/>
      <c r="R69" s="175"/>
      <c r="S69" s="175"/>
      <c r="T69" s="175"/>
    </row>
    <row r="70" spans="1:20" x14ac:dyDescent="0.25">
      <c r="A70" s="105"/>
      <c r="B70" s="4" t="s">
        <v>25</v>
      </c>
      <c r="C70" s="13">
        <v>282</v>
      </c>
      <c r="D70" s="13">
        <v>119</v>
      </c>
      <c r="E70" s="13">
        <v>211</v>
      </c>
      <c r="F70" s="13">
        <v>145</v>
      </c>
      <c r="G70" s="13">
        <v>72</v>
      </c>
      <c r="H70" s="13" t="s">
        <v>174</v>
      </c>
      <c r="I70" s="13" t="s">
        <v>174</v>
      </c>
      <c r="J70" s="13">
        <v>17</v>
      </c>
      <c r="K70" s="13">
        <v>876</v>
      </c>
      <c r="L70" s="175"/>
      <c r="M70" s="175"/>
      <c r="N70" s="175"/>
      <c r="O70" s="175"/>
      <c r="P70" s="175"/>
      <c r="Q70" s="175"/>
      <c r="R70" s="175"/>
      <c r="S70" s="175"/>
      <c r="T70" s="175"/>
    </row>
    <row r="71" spans="1:20" x14ac:dyDescent="0.25">
      <c r="A71" s="105"/>
      <c r="B71" s="4" t="s">
        <v>24</v>
      </c>
      <c r="C71" s="13">
        <v>2</v>
      </c>
      <c r="D71" s="107" t="s">
        <v>167</v>
      </c>
      <c r="E71" s="107" t="s">
        <v>167</v>
      </c>
      <c r="F71" s="107" t="s">
        <v>167</v>
      </c>
      <c r="G71" s="107" t="s">
        <v>167</v>
      </c>
      <c r="H71" s="107" t="s">
        <v>167</v>
      </c>
      <c r="I71" s="107" t="s">
        <v>167</v>
      </c>
      <c r="J71" s="107" t="s">
        <v>167</v>
      </c>
      <c r="K71" s="13">
        <v>2</v>
      </c>
      <c r="L71" s="175"/>
      <c r="M71" s="175"/>
      <c r="N71" s="175"/>
      <c r="O71" s="175"/>
      <c r="P71" s="175"/>
      <c r="Q71" s="175"/>
      <c r="R71" s="175"/>
      <c r="S71" s="175"/>
      <c r="T71" s="175"/>
    </row>
    <row r="72" spans="1:20" x14ac:dyDescent="0.25">
      <c r="A72" s="105"/>
      <c r="B72" s="9" t="s">
        <v>12</v>
      </c>
      <c r="C72" s="63">
        <v>1542</v>
      </c>
      <c r="D72" s="63">
        <v>771</v>
      </c>
      <c r="E72" s="63">
        <v>1051</v>
      </c>
      <c r="F72" s="63">
        <v>757</v>
      </c>
      <c r="G72" s="63">
        <v>322</v>
      </c>
      <c r="H72" s="63" t="s">
        <v>174</v>
      </c>
      <c r="I72" s="63" t="s">
        <v>174</v>
      </c>
      <c r="J72" s="63">
        <v>143</v>
      </c>
      <c r="K72" s="63">
        <v>4720</v>
      </c>
      <c r="L72" s="175"/>
      <c r="M72" s="175"/>
      <c r="N72" s="175"/>
      <c r="O72" s="175"/>
      <c r="P72" s="175"/>
      <c r="Q72" s="175"/>
      <c r="R72" s="175"/>
      <c r="S72" s="175"/>
      <c r="T72" s="175"/>
    </row>
    <row r="73" spans="1:20" x14ac:dyDescent="0.25">
      <c r="A73" s="105" t="s">
        <v>51</v>
      </c>
      <c r="B73" s="4" t="s">
        <v>21</v>
      </c>
      <c r="C73" s="13">
        <v>1205</v>
      </c>
      <c r="D73" s="13">
        <v>554</v>
      </c>
      <c r="E73" s="13">
        <v>816</v>
      </c>
      <c r="F73" s="13">
        <v>492</v>
      </c>
      <c r="G73" s="13">
        <v>202</v>
      </c>
      <c r="H73" s="13">
        <v>34</v>
      </c>
      <c r="I73" s="13">
        <v>50</v>
      </c>
      <c r="J73" s="13">
        <v>154</v>
      </c>
      <c r="K73" s="13">
        <v>3507</v>
      </c>
      <c r="L73" s="175"/>
      <c r="M73" s="175"/>
      <c r="N73" s="175"/>
      <c r="O73" s="175"/>
      <c r="P73" s="175"/>
      <c r="Q73" s="175"/>
      <c r="R73" s="175"/>
      <c r="S73" s="175"/>
      <c r="T73" s="175"/>
    </row>
    <row r="74" spans="1:20" x14ac:dyDescent="0.25">
      <c r="A74" s="105"/>
      <c r="B74" s="4" t="s">
        <v>25</v>
      </c>
      <c r="C74" s="13">
        <v>274</v>
      </c>
      <c r="D74" s="13">
        <v>79</v>
      </c>
      <c r="E74" s="13">
        <v>205</v>
      </c>
      <c r="F74" s="13">
        <v>110</v>
      </c>
      <c r="G74" s="13">
        <v>58</v>
      </c>
      <c r="H74" s="13">
        <v>9</v>
      </c>
      <c r="I74" s="13">
        <v>24</v>
      </c>
      <c r="J74" s="13">
        <v>20</v>
      </c>
      <c r="K74" s="13">
        <v>779</v>
      </c>
      <c r="L74" s="175"/>
      <c r="M74" s="175"/>
      <c r="N74" s="175"/>
      <c r="O74" s="175"/>
      <c r="P74" s="175"/>
      <c r="Q74" s="175"/>
      <c r="R74" s="175"/>
      <c r="S74" s="175"/>
      <c r="T74" s="175"/>
    </row>
    <row r="75" spans="1:20" x14ac:dyDescent="0.25">
      <c r="A75" s="105"/>
      <c r="B75" s="4" t="s">
        <v>24</v>
      </c>
      <c r="C75" s="13">
        <v>1</v>
      </c>
      <c r="D75" s="107" t="s">
        <v>167</v>
      </c>
      <c r="E75" s="107" t="s">
        <v>167</v>
      </c>
      <c r="F75" s="107" t="s">
        <v>167</v>
      </c>
      <c r="G75" s="107" t="s">
        <v>167</v>
      </c>
      <c r="H75" s="107" t="s">
        <v>167</v>
      </c>
      <c r="I75" s="107" t="s">
        <v>167</v>
      </c>
      <c r="J75" s="107" t="s">
        <v>167</v>
      </c>
      <c r="K75" s="13">
        <v>1</v>
      </c>
      <c r="L75" s="175"/>
      <c r="M75" s="175"/>
      <c r="N75" s="175"/>
      <c r="O75" s="175"/>
      <c r="P75" s="175"/>
      <c r="Q75" s="175"/>
      <c r="R75" s="175"/>
      <c r="S75" s="175"/>
      <c r="T75" s="175"/>
    </row>
    <row r="76" spans="1:20" x14ac:dyDescent="0.25">
      <c r="A76" s="105"/>
      <c r="B76" s="9" t="s">
        <v>12</v>
      </c>
      <c r="C76" s="63">
        <v>1480</v>
      </c>
      <c r="D76" s="63">
        <v>633</v>
      </c>
      <c r="E76" s="63">
        <v>1021</v>
      </c>
      <c r="F76" s="63">
        <v>602</v>
      </c>
      <c r="G76" s="63">
        <v>260</v>
      </c>
      <c r="H76" s="63">
        <v>43</v>
      </c>
      <c r="I76" s="63">
        <v>74</v>
      </c>
      <c r="J76" s="63">
        <v>174</v>
      </c>
      <c r="K76" s="63">
        <v>4287</v>
      </c>
      <c r="L76" s="175"/>
      <c r="M76" s="175"/>
      <c r="N76" s="175"/>
      <c r="O76" s="175"/>
      <c r="P76" s="175"/>
      <c r="Q76" s="175"/>
      <c r="R76" s="175"/>
      <c r="S76" s="175"/>
      <c r="T76" s="175"/>
    </row>
    <row r="77" spans="1:20" x14ac:dyDescent="0.25">
      <c r="A77" s="105" t="s">
        <v>52</v>
      </c>
      <c r="B77" s="4" t="s">
        <v>21</v>
      </c>
      <c r="C77" s="13">
        <v>1111</v>
      </c>
      <c r="D77" s="13">
        <v>423</v>
      </c>
      <c r="E77" s="13">
        <v>859</v>
      </c>
      <c r="F77" s="13">
        <v>591</v>
      </c>
      <c r="G77" s="13">
        <v>227</v>
      </c>
      <c r="H77" s="13">
        <v>35</v>
      </c>
      <c r="I77" s="13">
        <v>49</v>
      </c>
      <c r="J77" s="13">
        <v>231</v>
      </c>
      <c r="K77" s="13">
        <v>3526</v>
      </c>
      <c r="L77" s="175"/>
      <c r="M77" s="175"/>
      <c r="N77" s="175"/>
      <c r="O77" s="175"/>
      <c r="P77" s="175"/>
      <c r="Q77" s="175"/>
      <c r="R77" s="175"/>
      <c r="S77" s="175"/>
      <c r="T77" s="175"/>
    </row>
    <row r="78" spans="1:20" x14ac:dyDescent="0.25">
      <c r="A78" s="105"/>
      <c r="B78" s="4" t="s">
        <v>25</v>
      </c>
      <c r="C78" s="13">
        <v>221</v>
      </c>
      <c r="D78" s="13">
        <v>68</v>
      </c>
      <c r="E78" s="13">
        <v>221</v>
      </c>
      <c r="F78" s="13">
        <v>165</v>
      </c>
      <c r="G78" s="13">
        <v>69</v>
      </c>
      <c r="H78" s="13">
        <v>9</v>
      </c>
      <c r="I78" s="13">
        <v>24</v>
      </c>
      <c r="J78" s="13">
        <v>50</v>
      </c>
      <c r="K78" s="13">
        <v>827</v>
      </c>
      <c r="L78" s="175"/>
      <c r="M78" s="175"/>
      <c r="N78" s="175"/>
      <c r="O78" s="175"/>
      <c r="P78" s="175"/>
      <c r="Q78" s="175"/>
      <c r="R78" s="175"/>
      <c r="S78" s="175"/>
      <c r="T78" s="175"/>
    </row>
    <row r="79" spans="1:20" x14ac:dyDescent="0.25">
      <c r="A79" s="105"/>
      <c r="B79" s="4" t="s">
        <v>24</v>
      </c>
      <c r="C79" s="13">
        <v>1</v>
      </c>
      <c r="D79" s="13">
        <v>1</v>
      </c>
      <c r="E79" s="107" t="s">
        <v>167</v>
      </c>
      <c r="F79" s="107" t="s">
        <v>167</v>
      </c>
      <c r="G79" s="107" t="s">
        <v>167</v>
      </c>
      <c r="H79" s="107" t="s">
        <v>167</v>
      </c>
      <c r="I79" s="107" t="s">
        <v>167</v>
      </c>
      <c r="J79" s="107" t="s">
        <v>167</v>
      </c>
      <c r="K79" s="13">
        <v>2</v>
      </c>
      <c r="L79" s="175"/>
      <c r="M79" s="175"/>
      <c r="N79" s="175"/>
      <c r="O79" s="175"/>
      <c r="P79" s="175"/>
      <c r="Q79" s="175"/>
      <c r="R79" s="175"/>
      <c r="S79" s="175"/>
      <c r="T79" s="175"/>
    </row>
    <row r="80" spans="1:20" x14ac:dyDescent="0.25">
      <c r="A80" s="105"/>
      <c r="B80" s="9" t="s">
        <v>12</v>
      </c>
      <c r="C80" s="63">
        <v>1333</v>
      </c>
      <c r="D80" s="63">
        <v>492</v>
      </c>
      <c r="E80" s="63">
        <v>1080</v>
      </c>
      <c r="F80" s="63">
        <v>756</v>
      </c>
      <c r="G80" s="63">
        <v>296</v>
      </c>
      <c r="H80" s="63">
        <v>44</v>
      </c>
      <c r="I80" s="63">
        <v>73</v>
      </c>
      <c r="J80" s="63">
        <v>281</v>
      </c>
      <c r="K80" s="63">
        <v>4355</v>
      </c>
      <c r="L80" s="175"/>
      <c r="M80" s="175"/>
      <c r="N80" s="175"/>
      <c r="O80" s="175"/>
      <c r="P80" s="175"/>
      <c r="Q80" s="175"/>
      <c r="R80" s="175"/>
      <c r="S80" s="175"/>
      <c r="T80" s="175"/>
    </row>
    <row r="81" spans="1:20" x14ac:dyDescent="0.25">
      <c r="A81" s="105" t="s">
        <v>53</v>
      </c>
      <c r="B81" s="4" t="s">
        <v>21</v>
      </c>
      <c r="C81" s="13">
        <v>1213</v>
      </c>
      <c r="D81" s="13">
        <v>391</v>
      </c>
      <c r="E81" s="13">
        <v>885</v>
      </c>
      <c r="F81" s="13">
        <v>638</v>
      </c>
      <c r="G81" s="13">
        <v>244</v>
      </c>
      <c r="H81" s="13">
        <v>45</v>
      </c>
      <c r="I81" s="13">
        <v>76</v>
      </c>
      <c r="J81" s="13">
        <v>236</v>
      </c>
      <c r="K81" s="13">
        <v>3728</v>
      </c>
      <c r="L81" s="175"/>
      <c r="M81" s="175"/>
      <c r="N81" s="175"/>
      <c r="O81" s="175"/>
      <c r="P81" s="175"/>
      <c r="Q81" s="175"/>
      <c r="R81" s="175"/>
      <c r="S81" s="175"/>
      <c r="T81" s="175"/>
    </row>
    <row r="82" spans="1:20" x14ac:dyDescent="0.25">
      <c r="A82" s="105"/>
      <c r="B82" s="4" t="s">
        <v>25</v>
      </c>
      <c r="C82" s="13">
        <v>274</v>
      </c>
      <c r="D82" s="13">
        <v>51</v>
      </c>
      <c r="E82" s="13">
        <v>218</v>
      </c>
      <c r="F82" s="13">
        <v>165</v>
      </c>
      <c r="G82" s="13">
        <v>86</v>
      </c>
      <c r="H82" s="13">
        <v>13</v>
      </c>
      <c r="I82" s="13">
        <v>32</v>
      </c>
      <c r="J82" s="13">
        <v>45</v>
      </c>
      <c r="K82" s="13">
        <v>884</v>
      </c>
      <c r="L82" s="175"/>
      <c r="M82" s="175"/>
      <c r="N82" s="175"/>
      <c r="O82" s="175"/>
      <c r="P82" s="175"/>
      <c r="Q82" s="175"/>
      <c r="R82" s="175"/>
      <c r="S82" s="175"/>
      <c r="T82" s="175"/>
    </row>
    <row r="83" spans="1:20" x14ac:dyDescent="0.25">
      <c r="A83" s="105"/>
      <c r="B83" s="4" t="s">
        <v>24</v>
      </c>
      <c r="C83" s="13">
        <v>2</v>
      </c>
      <c r="D83" s="107" t="s">
        <v>167</v>
      </c>
      <c r="E83" s="13">
        <v>1</v>
      </c>
      <c r="F83" s="107" t="s">
        <v>167</v>
      </c>
      <c r="G83" s="13">
        <v>1</v>
      </c>
      <c r="H83" s="107" t="s">
        <v>167</v>
      </c>
      <c r="I83" s="107" t="s">
        <v>167</v>
      </c>
      <c r="J83" s="13">
        <v>1</v>
      </c>
      <c r="K83" s="13">
        <v>5</v>
      </c>
      <c r="L83" s="175"/>
      <c r="M83" s="175"/>
      <c r="N83" s="175"/>
      <c r="O83" s="175"/>
      <c r="P83" s="175"/>
      <c r="Q83" s="175"/>
      <c r="R83" s="175"/>
      <c r="S83" s="175"/>
      <c r="T83" s="175"/>
    </row>
    <row r="84" spans="1:20" x14ac:dyDescent="0.25">
      <c r="A84" s="105"/>
      <c r="B84" s="9" t="s">
        <v>12</v>
      </c>
      <c r="C84" s="63">
        <v>1489</v>
      </c>
      <c r="D84" s="63">
        <v>442</v>
      </c>
      <c r="E84" s="63">
        <v>1104</v>
      </c>
      <c r="F84" s="63">
        <v>803</v>
      </c>
      <c r="G84" s="63">
        <v>331</v>
      </c>
      <c r="H84" s="63">
        <v>58</v>
      </c>
      <c r="I84" s="63">
        <v>108</v>
      </c>
      <c r="J84" s="63">
        <v>282</v>
      </c>
      <c r="K84" s="63">
        <v>4617</v>
      </c>
      <c r="L84" s="175"/>
      <c r="M84" s="175"/>
      <c r="N84" s="175"/>
      <c r="O84" s="175"/>
      <c r="P84" s="175"/>
      <c r="Q84" s="175"/>
      <c r="R84" s="175"/>
      <c r="S84" s="175"/>
      <c r="T84" s="175"/>
    </row>
    <row r="85" spans="1:20" x14ac:dyDescent="0.25">
      <c r="A85" s="105" t="s">
        <v>227</v>
      </c>
      <c r="B85" s="4" t="s">
        <v>21</v>
      </c>
      <c r="C85" s="13">
        <v>1178</v>
      </c>
      <c r="D85" s="13">
        <v>321</v>
      </c>
      <c r="E85" s="13">
        <v>904</v>
      </c>
      <c r="F85" s="13">
        <v>626</v>
      </c>
      <c r="G85" s="13">
        <v>238</v>
      </c>
      <c r="H85" s="13">
        <v>55</v>
      </c>
      <c r="I85" s="13">
        <v>82</v>
      </c>
      <c r="J85" s="13">
        <v>253</v>
      </c>
      <c r="K85" s="13">
        <v>3657</v>
      </c>
      <c r="L85" s="175"/>
      <c r="M85" s="175"/>
      <c r="N85" s="175"/>
      <c r="O85" s="175"/>
      <c r="P85" s="175"/>
      <c r="Q85" s="175"/>
      <c r="R85" s="175"/>
      <c r="S85" s="175"/>
      <c r="T85" s="175"/>
    </row>
    <row r="86" spans="1:20" x14ac:dyDescent="0.25">
      <c r="A86" s="105"/>
      <c r="B86" s="4" t="s">
        <v>25</v>
      </c>
      <c r="C86" s="13">
        <v>317</v>
      </c>
      <c r="D86" s="13">
        <v>32</v>
      </c>
      <c r="E86" s="13">
        <v>214</v>
      </c>
      <c r="F86" s="13">
        <v>167</v>
      </c>
      <c r="G86" s="13">
        <v>79</v>
      </c>
      <c r="H86" s="13">
        <v>22</v>
      </c>
      <c r="I86" s="13">
        <v>30</v>
      </c>
      <c r="J86" s="13">
        <v>52</v>
      </c>
      <c r="K86" s="13">
        <v>913</v>
      </c>
      <c r="L86" s="175"/>
      <c r="M86" s="175"/>
      <c r="N86" s="175"/>
      <c r="O86" s="175"/>
      <c r="P86" s="175"/>
      <c r="Q86" s="175"/>
      <c r="R86" s="175"/>
      <c r="S86" s="175"/>
      <c r="T86" s="175"/>
    </row>
    <row r="87" spans="1:20" x14ac:dyDescent="0.25">
      <c r="A87" s="105"/>
      <c r="B87" s="4" t="s">
        <v>24</v>
      </c>
      <c r="C87" s="13">
        <v>5</v>
      </c>
      <c r="D87" s="107" t="s">
        <v>167</v>
      </c>
      <c r="E87" s="107" t="s">
        <v>167</v>
      </c>
      <c r="F87" s="107" t="s">
        <v>167</v>
      </c>
      <c r="G87" s="107" t="s">
        <v>167</v>
      </c>
      <c r="H87" s="107" t="s">
        <v>167</v>
      </c>
      <c r="I87" s="107" t="s">
        <v>167</v>
      </c>
      <c r="J87" s="107" t="s">
        <v>167</v>
      </c>
      <c r="K87" s="13">
        <v>5</v>
      </c>
      <c r="L87" s="175"/>
      <c r="M87" s="175"/>
      <c r="N87" s="175"/>
      <c r="O87" s="175"/>
      <c r="P87" s="175"/>
      <c r="Q87" s="175"/>
      <c r="R87" s="175"/>
      <c r="S87" s="175"/>
      <c r="T87" s="175"/>
    </row>
    <row r="88" spans="1:20" x14ac:dyDescent="0.25">
      <c r="A88" s="105"/>
      <c r="B88" s="9" t="s">
        <v>12</v>
      </c>
      <c r="C88" s="63">
        <v>1500</v>
      </c>
      <c r="D88" s="63">
        <v>353</v>
      </c>
      <c r="E88" s="63">
        <v>1118</v>
      </c>
      <c r="F88" s="63">
        <v>793</v>
      </c>
      <c r="G88" s="63">
        <v>317</v>
      </c>
      <c r="H88" s="63">
        <v>77</v>
      </c>
      <c r="I88" s="63">
        <v>112</v>
      </c>
      <c r="J88" s="63">
        <v>305</v>
      </c>
      <c r="K88" s="63">
        <v>4575</v>
      </c>
      <c r="L88" s="175"/>
      <c r="M88" s="175"/>
      <c r="N88" s="175"/>
      <c r="O88" s="175"/>
      <c r="P88" s="175"/>
      <c r="Q88" s="175"/>
      <c r="R88" s="175"/>
      <c r="S88" s="175"/>
      <c r="T88" s="175"/>
    </row>
    <row r="89" spans="1:20" x14ac:dyDescent="0.25">
      <c r="A89" s="105" t="s">
        <v>289</v>
      </c>
      <c r="B89" s="4" t="s">
        <v>21</v>
      </c>
      <c r="C89" s="13">
        <v>1263</v>
      </c>
      <c r="D89" s="13">
        <v>414</v>
      </c>
      <c r="E89" s="13">
        <v>853</v>
      </c>
      <c r="F89" s="13">
        <v>620</v>
      </c>
      <c r="G89" s="13">
        <v>259</v>
      </c>
      <c r="H89" s="13">
        <v>54</v>
      </c>
      <c r="I89" s="13">
        <v>72</v>
      </c>
      <c r="J89" s="13">
        <v>285</v>
      </c>
      <c r="K89" s="13">
        <v>3820</v>
      </c>
      <c r="L89" s="175"/>
      <c r="M89" s="175"/>
      <c r="N89" s="175"/>
      <c r="O89" s="175"/>
      <c r="P89" s="175"/>
      <c r="Q89" s="175"/>
      <c r="R89" s="175"/>
      <c r="S89" s="175"/>
      <c r="T89" s="175"/>
    </row>
    <row r="90" spans="1:20" x14ac:dyDescent="0.25">
      <c r="A90" s="105"/>
      <c r="B90" s="4" t="s">
        <v>25</v>
      </c>
      <c r="C90" s="13">
        <v>297</v>
      </c>
      <c r="D90" s="13">
        <v>28</v>
      </c>
      <c r="E90" s="13">
        <v>223</v>
      </c>
      <c r="F90" s="13">
        <v>189</v>
      </c>
      <c r="G90" s="13">
        <v>92</v>
      </c>
      <c r="H90" s="13">
        <v>16</v>
      </c>
      <c r="I90" s="13">
        <v>27</v>
      </c>
      <c r="J90" s="13">
        <v>48</v>
      </c>
      <c r="K90" s="13">
        <v>920</v>
      </c>
      <c r="L90" s="175"/>
      <c r="M90" s="175"/>
      <c r="N90" s="175"/>
      <c r="O90" s="175"/>
      <c r="P90" s="175"/>
      <c r="Q90" s="175"/>
      <c r="R90" s="175"/>
      <c r="S90" s="175"/>
      <c r="T90" s="175"/>
    </row>
    <row r="91" spans="1:20" x14ac:dyDescent="0.25">
      <c r="A91" s="105"/>
      <c r="B91" s="4" t="s">
        <v>24</v>
      </c>
      <c r="C91" s="13">
        <v>1</v>
      </c>
      <c r="D91" s="107" t="s">
        <v>167</v>
      </c>
      <c r="E91" s="13">
        <v>1</v>
      </c>
      <c r="F91" s="107" t="s">
        <v>167</v>
      </c>
      <c r="G91" s="107" t="s">
        <v>167</v>
      </c>
      <c r="H91" s="107" t="s">
        <v>167</v>
      </c>
      <c r="I91" s="107" t="s">
        <v>167</v>
      </c>
      <c r="J91" s="107" t="s">
        <v>167</v>
      </c>
      <c r="K91" s="13">
        <v>2</v>
      </c>
      <c r="L91" s="175"/>
      <c r="M91" s="175"/>
      <c r="N91" s="175"/>
      <c r="O91" s="175"/>
      <c r="P91" s="175"/>
      <c r="Q91" s="175"/>
      <c r="R91" s="175"/>
      <c r="S91" s="175"/>
      <c r="T91" s="175"/>
    </row>
    <row r="92" spans="1:20" x14ac:dyDescent="0.25">
      <c r="A92" s="92"/>
      <c r="B92" s="9" t="s">
        <v>12</v>
      </c>
      <c r="C92" s="63">
        <v>1561</v>
      </c>
      <c r="D92" s="63">
        <v>442</v>
      </c>
      <c r="E92" s="63">
        <v>1077</v>
      </c>
      <c r="F92" s="63">
        <v>809</v>
      </c>
      <c r="G92" s="63">
        <v>351</v>
      </c>
      <c r="H92" s="63">
        <v>70</v>
      </c>
      <c r="I92" s="63">
        <v>99</v>
      </c>
      <c r="J92" s="63">
        <v>333</v>
      </c>
      <c r="K92" s="63">
        <v>4742</v>
      </c>
      <c r="L92" s="175"/>
      <c r="M92" s="175"/>
      <c r="N92" s="175"/>
      <c r="O92" s="175"/>
      <c r="P92" s="175"/>
      <c r="Q92" s="175"/>
      <c r="R92" s="175"/>
      <c r="S92" s="175"/>
      <c r="T92" s="175"/>
    </row>
    <row r="93" spans="1:20" ht="12" customHeight="1" x14ac:dyDescent="0.25">
      <c r="A93" s="6" t="s">
        <v>220</v>
      </c>
      <c r="B93" s="141"/>
      <c r="C93" s="141"/>
      <c r="D93" s="141"/>
      <c r="E93" s="141"/>
      <c r="F93" s="141"/>
      <c r="G93" s="141"/>
      <c r="H93" s="141"/>
      <c r="I93" s="141"/>
      <c r="J93" s="141"/>
      <c r="K93" s="141"/>
      <c r="L93" s="142"/>
      <c r="M93" s="142"/>
    </row>
    <row r="94" spans="1:20" ht="11.1" customHeight="1" x14ac:dyDescent="0.25">
      <c r="A94" s="202" t="s">
        <v>18</v>
      </c>
      <c r="B94" s="202"/>
      <c r="C94" s="202"/>
      <c r="D94" s="202"/>
      <c r="E94" s="202"/>
      <c r="F94" s="202"/>
      <c r="G94" s="202"/>
      <c r="H94" s="202"/>
      <c r="I94" s="202"/>
      <c r="J94" s="202"/>
      <c r="K94" s="202"/>
      <c r="L94" s="202"/>
      <c r="M94" s="202"/>
    </row>
    <row r="95" spans="1:20" s="6" customFormat="1" ht="11.1" customHeight="1" x14ac:dyDescent="0.15">
      <c r="A95" s="6" t="s">
        <v>58</v>
      </c>
      <c r="H95" s="86"/>
      <c r="I95" s="86"/>
    </row>
    <row r="96" spans="1:20" s="6" customFormat="1" ht="11.1" customHeight="1" x14ac:dyDescent="0.15">
      <c r="A96" s="6" t="s">
        <v>299</v>
      </c>
      <c r="H96" s="86"/>
      <c r="I96" s="86"/>
    </row>
    <row r="97" spans="1:9" s="6" customFormat="1" ht="11.1" customHeight="1" x14ac:dyDescent="0.15">
      <c r="H97" s="86"/>
      <c r="I97" s="86"/>
    </row>
    <row r="98" spans="1:9" s="6" customFormat="1" ht="11.1" customHeight="1" x14ac:dyDescent="0.15">
      <c r="A98" s="6" t="s">
        <v>271</v>
      </c>
      <c r="H98" s="86"/>
      <c r="I98" s="86"/>
    </row>
    <row r="99" spans="1:9" ht="12" customHeight="1" x14ac:dyDescent="0.25">
      <c r="A99" s="2"/>
    </row>
    <row r="120" spans="9:17" x14ac:dyDescent="0.25">
      <c r="I120" s="134"/>
      <c r="Q120" s="127"/>
    </row>
    <row r="123" spans="9:17" x14ac:dyDescent="0.25">
      <c r="I123" s="134"/>
      <c r="Q123" s="127"/>
    </row>
    <row r="124" spans="9:17" x14ac:dyDescent="0.25">
      <c r="I124" s="134"/>
      <c r="Q124" s="127"/>
    </row>
    <row r="127" spans="9:17" x14ac:dyDescent="0.25">
      <c r="I127" s="134"/>
      <c r="Q127" s="127"/>
    </row>
    <row r="128" spans="9:17" x14ac:dyDescent="0.25">
      <c r="I128" s="134"/>
      <c r="Q128" s="127"/>
    </row>
    <row r="131" spans="9:17" x14ac:dyDescent="0.25">
      <c r="I131" s="134"/>
      <c r="K131" s="127"/>
      <c r="Q131" s="127"/>
    </row>
    <row r="132" spans="9:17" x14ac:dyDescent="0.25">
      <c r="I132" s="134"/>
      <c r="Q132" s="127"/>
    </row>
    <row r="135" spans="9:17" x14ac:dyDescent="0.25">
      <c r="I135" s="134"/>
      <c r="K135" s="127"/>
      <c r="Q135" s="127"/>
    </row>
    <row r="136" spans="9:17" x14ac:dyDescent="0.25">
      <c r="I136" s="134"/>
      <c r="Q136" s="127"/>
    </row>
    <row r="139" spans="9:17" x14ac:dyDescent="0.25">
      <c r="I139" s="134"/>
      <c r="K139" s="127"/>
      <c r="Q139" s="127"/>
    </row>
    <row r="140" spans="9:17" x14ac:dyDescent="0.25">
      <c r="I140" s="134"/>
      <c r="Q140" s="127"/>
    </row>
    <row r="143" spans="9:17" x14ac:dyDescent="0.25">
      <c r="I143" s="134"/>
      <c r="K143" s="127"/>
      <c r="Q143" s="127"/>
    </row>
    <row r="144" spans="9:17" x14ac:dyDescent="0.25">
      <c r="I144" s="134"/>
      <c r="Q144" s="127"/>
    </row>
    <row r="147" spans="9:17" x14ac:dyDescent="0.25">
      <c r="I147" s="134"/>
      <c r="K147" s="127"/>
      <c r="Q147" s="127"/>
    </row>
    <row r="148" spans="9:17" x14ac:dyDescent="0.25">
      <c r="I148" s="134"/>
      <c r="Q148" s="127"/>
    </row>
    <row r="151" spans="9:17" x14ac:dyDescent="0.25">
      <c r="I151" s="134"/>
      <c r="K151" s="127"/>
      <c r="Q151" s="127"/>
    </row>
    <row r="152" spans="9:17" x14ac:dyDescent="0.25">
      <c r="I152" s="134"/>
      <c r="Q152" s="127"/>
    </row>
    <row r="155" spans="9:17" x14ac:dyDescent="0.25">
      <c r="I155" s="134"/>
      <c r="K155" s="127"/>
      <c r="Q155" s="127"/>
    </row>
    <row r="156" spans="9:17" x14ac:dyDescent="0.25">
      <c r="I156" s="134"/>
      <c r="Q156" s="127"/>
    </row>
    <row r="159" spans="9:17" x14ac:dyDescent="0.25">
      <c r="I159" s="134"/>
      <c r="K159" s="127"/>
      <c r="Q159" s="127"/>
    </row>
    <row r="165" spans="5:5" x14ac:dyDescent="0.25">
      <c r="E165" s="1" t="s">
        <v>336</v>
      </c>
    </row>
    <row r="167" spans="5:5" x14ac:dyDescent="0.25">
      <c r="E167" s="1" t="s">
        <v>271</v>
      </c>
    </row>
  </sheetData>
  <mergeCells count="14">
    <mergeCell ref="A44:K44"/>
    <mergeCell ref="A50:M50"/>
    <mergeCell ref="A94:M94"/>
    <mergeCell ref="A40:A43"/>
    <mergeCell ref="A1:K1"/>
    <mergeCell ref="A4:A7"/>
    <mergeCell ref="A8:A11"/>
    <mergeCell ref="A12:A15"/>
    <mergeCell ref="A16:A19"/>
    <mergeCell ref="A20:A23"/>
    <mergeCell ref="A24:A27"/>
    <mergeCell ref="A28:A31"/>
    <mergeCell ref="A32:A35"/>
    <mergeCell ref="A36:A39"/>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91"/>
  <sheetViews>
    <sheetView topLeftCell="A65" zoomScaleNormal="100" workbookViewId="0">
      <selection activeCell="R16" sqref="R16"/>
    </sheetView>
  </sheetViews>
  <sheetFormatPr defaultColWidth="9.140625" defaultRowHeight="15" x14ac:dyDescent="0.25"/>
  <cols>
    <col min="1" max="7" width="11.42578125" style="1" bestFit="1" customWidth="1"/>
    <col min="8" max="9" width="11.42578125" style="84" bestFit="1" customWidth="1"/>
    <col min="10" max="11" width="11.42578125" style="1" bestFit="1" customWidth="1"/>
    <col min="12" max="16384" width="9.140625" style="1"/>
  </cols>
  <sheetData>
    <row r="1" spans="1:11" ht="27.95" customHeight="1" x14ac:dyDescent="0.25">
      <c r="A1" s="198" t="s">
        <v>310</v>
      </c>
      <c r="B1" s="198"/>
      <c r="C1" s="198"/>
      <c r="D1" s="198"/>
      <c r="E1" s="198"/>
      <c r="F1" s="198"/>
      <c r="G1" s="198"/>
      <c r="H1" s="198"/>
      <c r="I1" s="198"/>
      <c r="J1" s="198"/>
      <c r="K1" s="198"/>
    </row>
    <row r="2" spans="1:11" ht="3" customHeight="1" x14ac:dyDescent="0.25">
      <c r="A2" s="2"/>
    </row>
    <row r="3" spans="1:11" x14ac:dyDescent="0.25">
      <c r="A3" s="52" t="s">
        <v>189</v>
      </c>
      <c r="B3" s="52" t="s">
        <v>185</v>
      </c>
      <c r="C3" s="3" t="s">
        <v>1</v>
      </c>
      <c r="D3" s="3" t="s">
        <v>2</v>
      </c>
      <c r="E3" s="3" t="s">
        <v>3</v>
      </c>
      <c r="F3" s="3" t="s">
        <v>4</v>
      </c>
      <c r="G3" s="3" t="s">
        <v>5</v>
      </c>
      <c r="H3" s="85" t="s">
        <v>6</v>
      </c>
      <c r="I3" s="85" t="s">
        <v>7</v>
      </c>
      <c r="J3" s="3" t="s">
        <v>8</v>
      </c>
      <c r="K3" s="3" t="s">
        <v>9</v>
      </c>
    </row>
    <row r="4" spans="1:11" x14ac:dyDescent="0.25">
      <c r="A4" s="203" t="s">
        <v>55</v>
      </c>
      <c r="B4" s="4" t="s">
        <v>21</v>
      </c>
      <c r="C4" s="5">
        <v>5.5709999999999997</v>
      </c>
      <c r="D4" s="5">
        <v>3.101</v>
      </c>
      <c r="E4" s="5">
        <v>6.1820000000000004</v>
      </c>
      <c r="F4" s="5">
        <v>9.2639999999999993</v>
      </c>
      <c r="G4" s="5">
        <v>5.6219999999999999</v>
      </c>
      <c r="H4" s="5">
        <v>2.617</v>
      </c>
      <c r="I4" s="5">
        <v>2.6560000000000001</v>
      </c>
      <c r="J4" s="5">
        <v>34.662999999999997</v>
      </c>
      <c r="K4" s="5">
        <v>5.7069999999999999</v>
      </c>
    </row>
    <row r="5" spans="1:11" x14ac:dyDescent="0.25">
      <c r="A5" s="203"/>
      <c r="B5" s="4" t="s">
        <v>25</v>
      </c>
      <c r="C5" s="5">
        <v>0.55700000000000005</v>
      </c>
      <c r="D5" s="5">
        <v>0.19700000000000001</v>
      </c>
      <c r="E5" s="5">
        <v>1.399</v>
      </c>
      <c r="F5" s="5">
        <v>0.67100000000000004</v>
      </c>
      <c r="G5" s="5">
        <v>0.61299999999999999</v>
      </c>
      <c r="H5" s="5">
        <v>0.114</v>
      </c>
      <c r="I5" s="5">
        <v>0.48599999999999999</v>
      </c>
      <c r="J5" s="5">
        <v>4.2990000000000004</v>
      </c>
      <c r="K5" s="5">
        <v>0.69399999999999995</v>
      </c>
    </row>
    <row r="6" spans="1:11" x14ac:dyDescent="0.25">
      <c r="A6" s="203"/>
      <c r="B6" s="105" t="s">
        <v>12</v>
      </c>
      <c r="C6" s="76">
        <v>3.1360000000000001</v>
      </c>
      <c r="D6" s="76">
        <v>1.6859999999999999</v>
      </c>
      <c r="E6" s="76">
        <v>3.8530000000000002</v>
      </c>
      <c r="F6" s="76">
        <v>5.0650000000000004</v>
      </c>
      <c r="G6" s="76">
        <v>3.1789999999999998</v>
      </c>
      <c r="H6" s="76">
        <v>1.409</v>
      </c>
      <c r="I6" s="76">
        <v>1.5940000000000001</v>
      </c>
      <c r="J6" s="76">
        <v>20.065000000000001</v>
      </c>
      <c r="K6" s="76">
        <v>3.2669999999999999</v>
      </c>
    </row>
    <row r="7" spans="1:11" x14ac:dyDescent="0.25">
      <c r="A7" s="203" t="s">
        <v>56</v>
      </c>
      <c r="B7" s="4" t="s">
        <v>21</v>
      </c>
      <c r="C7" s="5">
        <v>5.1959999999999997</v>
      </c>
      <c r="D7" s="5">
        <v>3.5760000000000001</v>
      </c>
      <c r="E7" s="5">
        <v>6.048</v>
      </c>
      <c r="F7" s="5">
        <v>9.5960000000000001</v>
      </c>
      <c r="G7" s="5">
        <v>5.0359999999999996</v>
      </c>
      <c r="H7" s="5">
        <v>3.1749999999999998</v>
      </c>
      <c r="I7" s="5">
        <v>3.677</v>
      </c>
      <c r="J7" s="5">
        <v>26.99</v>
      </c>
      <c r="K7" s="5">
        <v>5.6079999999999997</v>
      </c>
    </row>
    <row r="8" spans="1:11" x14ac:dyDescent="0.25">
      <c r="A8" s="203"/>
      <c r="B8" s="4" t="s">
        <v>25</v>
      </c>
      <c r="C8" s="5">
        <v>0.57499999999999996</v>
      </c>
      <c r="D8" s="5">
        <v>0.30399999999999999</v>
      </c>
      <c r="E8" s="5">
        <v>1.1080000000000001</v>
      </c>
      <c r="F8" s="5">
        <v>0.66400000000000003</v>
      </c>
      <c r="G8" s="5">
        <v>0.79100000000000004</v>
      </c>
      <c r="H8" s="5">
        <v>0.34399999999999997</v>
      </c>
      <c r="I8" s="5">
        <v>1.077</v>
      </c>
      <c r="J8" s="5">
        <v>2.6320000000000001</v>
      </c>
      <c r="K8" s="5">
        <v>0.67100000000000004</v>
      </c>
    </row>
    <row r="9" spans="1:11" x14ac:dyDescent="0.25">
      <c r="A9" s="203"/>
      <c r="B9" s="105" t="s">
        <v>12</v>
      </c>
      <c r="C9" s="76">
        <v>2.9540000000000002</v>
      </c>
      <c r="D9" s="76">
        <v>1.982</v>
      </c>
      <c r="E9" s="76">
        <v>3.645</v>
      </c>
      <c r="F9" s="76">
        <v>5.234</v>
      </c>
      <c r="G9" s="76">
        <v>2.964</v>
      </c>
      <c r="H9" s="76">
        <v>1.8109999999999999</v>
      </c>
      <c r="I9" s="76">
        <v>2.4060000000000001</v>
      </c>
      <c r="J9" s="76">
        <v>15.26</v>
      </c>
      <c r="K9" s="76">
        <v>3.206</v>
      </c>
    </row>
    <row r="10" spans="1:11" x14ac:dyDescent="0.25">
      <c r="A10" s="203" t="s">
        <v>57</v>
      </c>
      <c r="B10" s="4" t="s">
        <v>21</v>
      </c>
      <c r="C10" s="5">
        <v>5.3959999999999999</v>
      </c>
      <c r="D10" s="5">
        <v>3.5870000000000002</v>
      </c>
      <c r="E10" s="5">
        <v>6.8</v>
      </c>
      <c r="F10" s="5">
        <v>9.8810000000000002</v>
      </c>
      <c r="G10" s="5">
        <v>4.7460000000000004</v>
      </c>
      <c r="H10" s="5">
        <v>3.41</v>
      </c>
      <c r="I10" s="5">
        <v>5.2880000000000003</v>
      </c>
      <c r="J10" s="5">
        <v>27.81</v>
      </c>
      <c r="K10" s="5">
        <v>5.883</v>
      </c>
    </row>
    <row r="11" spans="1:11" x14ac:dyDescent="0.25">
      <c r="A11" s="203"/>
      <c r="B11" s="4" t="s">
        <v>25</v>
      </c>
      <c r="C11" s="5">
        <v>0.64</v>
      </c>
      <c r="D11" s="5">
        <v>0.40899999999999997</v>
      </c>
      <c r="E11" s="5">
        <v>1.2270000000000001</v>
      </c>
      <c r="F11" s="5">
        <v>0.66600000000000004</v>
      </c>
      <c r="G11" s="5">
        <v>0.56200000000000006</v>
      </c>
      <c r="H11" s="5">
        <v>0.312</v>
      </c>
      <c r="I11" s="5">
        <v>1.0669999999999999</v>
      </c>
      <c r="J11" s="5">
        <v>2.3290000000000002</v>
      </c>
      <c r="K11" s="5">
        <v>0.72399999999999998</v>
      </c>
    </row>
    <row r="12" spans="1:11" x14ac:dyDescent="0.25">
      <c r="A12" s="203"/>
      <c r="B12" s="105" t="s">
        <v>12</v>
      </c>
      <c r="C12" s="76">
        <v>3.089</v>
      </c>
      <c r="D12" s="76">
        <v>2.0409999999999999</v>
      </c>
      <c r="E12" s="76">
        <v>4.0940000000000003</v>
      </c>
      <c r="F12" s="76">
        <v>5.3879999999999999</v>
      </c>
      <c r="G12" s="76">
        <v>2.7029999999999998</v>
      </c>
      <c r="H12" s="76">
        <v>1.915</v>
      </c>
      <c r="I12" s="76">
        <v>3.2320000000000002</v>
      </c>
      <c r="J12" s="76">
        <v>15.494999999999999</v>
      </c>
      <c r="K12" s="76">
        <v>3.3759999999999999</v>
      </c>
    </row>
    <row r="13" spans="1:11" x14ac:dyDescent="0.25">
      <c r="A13" s="203" t="s">
        <v>49</v>
      </c>
      <c r="B13" s="4" t="s">
        <v>21</v>
      </c>
      <c r="C13" s="5">
        <v>4.694</v>
      </c>
      <c r="D13" s="5">
        <v>3.274</v>
      </c>
      <c r="E13" s="5">
        <v>7.6349999999999998</v>
      </c>
      <c r="F13" s="5">
        <v>8.327</v>
      </c>
      <c r="G13" s="5">
        <v>4.13</v>
      </c>
      <c r="H13" s="5">
        <v>4.1459999999999999</v>
      </c>
      <c r="I13" s="5">
        <v>3.085</v>
      </c>
      <c r="J13" s="5">
        <v>24.861999999999998</v>
      </c>
      <c r="K13" s="5">
        <v>5.5049999999999999</v>
      </c>
    </row>
    <row r="14" spans="1:11" x14ac:dyDescent="0.25">
      <c r="A14" s="203"/>
      <c r="B14" s="4" t="s">
        <v>25</v>
      </c>
      <c r="C14" s="5">
        <v>0.58199999999999996</v>
      </c>
      <c r="D14" s="5">
        <v>0.38500000000000001</v>
      </c>
      <c r="E14" s="5">
        <v>1.331</v>
      </c>
      <c r="F14" s="5">
        <v>1.0529999999999999</v>
      </c>
      <c r="G14" s="5">
        <v>0.45300000000000001</v>
      </c>
      <c r="H14" s="5">
        <v>0.22</v>
      </c>
      <c r="I14" s="5">
        <v>0.89800000000000002</v>
      </c>
      <c r="J14" s="5">
        <v>2.077</v>
      </c>
      <c r="K14" s="5">
        <v>0.749</v>
      </c>
    </row>
    <row r="15" spans="1:11" x14ac:dyDescent="0.25">
      <c r="A15" s="203"/>
      <c r="B15" s="105" t="s">
        <v>12</v>
      </c>
      <c r="C15" s="76">
        <v>2.7010000000000001</v>
      </c>
      <c r="D15" s="76">
        <v>1.869</v>
      </c>
      <c r="E15" s="76">
        <v>4.577</v>
      </c>
      <c r="F15" s="76">
        <v>4.7869999999999999</v>
      </c>
      <c r="G15" s="76">
        <v>2.3330000000000002</v>
      </c>
      <c r="H15" s="76">
        <v>2.2480000000000002</v>
      </c>
      <c r="I15" s="76">
        <v>2.0219999999999998</v>
      </c>
      <c r="J15" s="76">
        <v>13.798999999999999</v>
      </c>
      <c r="K15" s="76">
        <v>3.1949999999999998</v>
      </c>
    </row>
    <row r="16" spans="1:11" x14ac:dyDescent="0.25">
      <c r="A16" s="203" t="s">
        <v>50</v>
      </c>
      <c r="B16" s="4" t="s">
        <v>21</v>
      </c>
      <c r="C16" s="5">
        <v>4.4119999999999999</v>
      </c>
      <c r="D16" s="5">
        <v>3.4820000000000002</v>
      </c>
      <c r="E16" s="5">
        <v>6.141</v>
      </c>
      <c r="F16" s="5">
        <v>6.81</v>
      </c>
      <c r="G16" s="5">
        <v>3.286</v>
      </c>
      <c r="H16" s="5">
        <v>4.84</v>
      </c>
      <c r="I16" s="5">
        <v>5.0910000000000002</v>
      </c>
      <c r="J16" s="5">
        <v>16.411999999999999</v>
      </c>
      <c r="K16" s="5">
        <v>4.8849999999999998</v>
      </c>
    </row>
    <row r="17" spans="1:11" x14ac:dyDescent="0.25">
      <c r="A17" s="203"/>
      <c r="B17" s="4" t="s">
        <v>25</v>
      </c>
      <c r="C17" s="5">
        <v>0.48199999999999998</v>
      </c>
      <c r="D17" s="5">
        <v>0.33200000000000002</v>
      </c>
      <c r="E17" s="5">
        <v>0.88700000000000001</v>
      </c>
      <c r="F17" s="5">
        <v>0.85199999999999998</v>
      </c>
      <c r="G17" s="5">
        <v>0.83499999999999996</v>
      </c>
      <c r="H17" s="5">
        <v>0.34100000000000003</v>
      </c>
      <c r="I17" s="5">
        <v>2.004</v>
      </c>
      <c r="J17" s="5">
        <v>1.6040000000000001</v>
      </c>
      <c r="K17" s="5">
        <v>0.629</v>
      </c>
    </row>
    <row r="18" spans="1:11" x14ac:dyDescent="0.25">
      <c r="A18" s="203"/>
      <c r="B18" s="105" t="s">
        <v>12</v>
      </c>
      <c r="C18" s="76">
        <v>2.5089999999999999</v>
      </c>
      <c r="D18" s="76">
        <v>1.95</v>
      </c>
      <c r="E18" s="76">
        <v>3.593</v>
      </c>
      <c r="F18" s="76">
        <v>3.915</v>
      </c>
      <c r="G18" s="76">
        <v>2.09</v>
      </c>
      <c r="H18" s="76">
        <v>2.6669999999999998</v>
      </c>
      <c r="I18" s="76">
        <v>3.5939999999999999</v>
      </c>
      <c r="J18" s="76">
        <v>9.2379999999999995</v>
      </c>
      <c r="K18" s="76">
        <v>2.819</v>
      </c>
    </row>
    <row r="19" spans="1:11" x14ac:dyDescent="0.25">
      <c r="A19" s="203" t="s">
        <v>51</v>
      </c>
      <c r="B19" s="4" t="s">
        <v>21</v>
      </c>
      <c r="C19" s="5">
        <v>3.4009999999999998</v>
      </c>
      <c r="D19" s="5">
        <v>2.9710000000000001</v>
      </c>
      <c r="E19" s="5">
        <v>7.1</v>
      </c>
      <c r="F19" s="5">
        <v>6.125</v>
      </c>
      <c r="G19" s="5">
        <v>2.339</v>
      </c>
      <c r="H19" s="5">
        <v>2.6739999999999999</v>
      </c>
      <c r="I19" s="5">
        <v>3.0350000000000001</v>
      </c>
      <c r="J19" s="5">
        <v>21.515000000000001</v>
      </c>
      <c r="K19" s="5">
        <v>4.4909999999999997</v>
      </c>
    </row>
    <row r="20" spans="1:11" x14ac:dyDescent="0.25">
      <c r="A20" s="203"/>
      <c r="B20" s="4" t="s">
        <v>25</v>
      </c>
      <c r="C20" s="5">
        <v>0.36499999999999999</v>
      </c>
      <c r="D20" s="5">
        <v>0.26900000000000002</v>
      </c>
      <c r="E20" s="5">
        <v>0.89700000000000002</v>
      </c>
      <c r="F20" s="5">
        <v>0.76400000000000001</v>
      </c>
      <c r="G20" s="5">
        <v>0.64200000000000002</v>
      </c>
      <c r="H20" s="5">
        <v>0.255</v>
      </c>
      <c r="I20" s="5">
        <v>0.77500000000000002</v>
      </c>
      <c r="J20" s="5">
        <v>2.2160000000000002</v>
      </c>
      <c r="K20" s="5">
        <v>0.54200000000000004</v>
      </c>
    </row>
    <row r="21" spans="1:11" x14ac:dyDescent="0.25">
      <c r="A21" s="203"/>
      <c r="B21" s="105" t="s">
        <v>12</v>
      </c>
      <c r="C21" s="76">
        <v>1.9330000000000001</v>
      </c>
      <c r="D21" s="76">
        <v>1.657</v>
      </c>
      <c r="E21" s="76">
        <v>4.093</v>
      </c>
      <c r="F21" s="76">
        <v>3.524</v>
      </c>
      <c r="G21" s="76">
        <v>1.512</v>
      </c>
      <c r="H21" s="76">
        <v>1.508</v>
      </c>
      <c r="I21" s="76">
        <v>1.9379999999999999</v>
      </c>
      <c r="J21" s="76">
        <v>12.199</v>
      </c>
      <c r="K21" s="76">
        <v>2.5760000000000001</v>
      </c>
    </row>
    <row r="22" spans="1:11" x14ac:dyDescent="0.25">
      <c r="A22" s="203" t="s">
        <v>52</v>
      </c>
      <c r="B22" s="4" t="s">
        <v>21</v>
      </c>
      <c r="C22" s="5">
        <v>3.2839999999999998</v>
      </c>
      <c r="D22" s="5">
        <v>2.246</v>
      </c>
      <c r="E22" s="5">
        <v>8.4149999999999991</v>
      </c>
      <c r="F22" s="5">
        <v>6.4039999999999999</v>
      </c>
      <c r="G22" s="5">
        <v>3.004</v>
      </c>
      <c r="H22" s="5">
        <v>2.58</v>
      </c>
      <c r="I22" s="5">
        <v>3.5219999999999998</v>
      </c>
      <c r="J22" s="5">
        <v>33.64</v>
      </c>
      <c r="K22" s="5">
        <v>4.7729999999999997</v>
      </c>
    </row>
    <row r="23" spans="1:11" x14ac:dyDescent="0.25">
      <c r="A23" s="203"/>
      <c r="B23" s="4" t="s">
        <v>25</v>
      </c>
      <c r="C23" s="5">
        <v>0.32300000000000001</v>
      </c>
      <c r="D23" s="5">
        <v>0.21099999999999999</v>
      </c>
      <c r="E23" s="5">
        <v>1.123</v>
      </c>
      <c r="F23" s="5">
        <v>0.94099999999999995</v>
      </c>
      <c r="G23" s="5">
        <v>0.54200000000000004</v>
      </c>
      <c r="H23" s="5">
        <v>0.35599999999999998</v>
      </c>
      <c r="I23" s="5">
        <v>0.995</v>
      </c>
      <c r="J23" s="5">
        <v>4.8650000000000002</v>
      </c>
      <c r="K23" s="5">
        <v>0.61</v>
      </c>
    </row>
    <row r="24" spans="1:11" x14ac:dyDescent="0.25">
      <c r="A24" s="203"/>
      <c r="B24" s="105" t="s">
        <v>12</v>
      </c>
      <c r="C24" s="76">
        <v>1.849</v>
      </c>
      <c r="D24" s="76">
        <v>1.2569999999999999</v>
      </c>
      <c r="E24" s="76">
        <v>4.8780000000000001</v>
      </c>
      <c r="F24" s="76">
        <v>3.7549999999999999</v>
      </c>
      <c r="G24" s="76">
        <v>1.804</v>
      </c>
      <c r="H24" s="76">
        <v>1.51</v>
      </c>
      <c r="I24" s="76">
        <v>2.298</v>
      </c>
      <c r="J24" s="76">
        <v>19.760000000000002</v>
      </c>
      <c r="K24" s="76">
        <v>2.7530000000000001</v>
      </c>
    </row>
    <row r="25" spans="1:11" x14ac:dyDescent="0.25">
      <c r="A25" s="203" t="s">
        <v>53</v>
      </c>
      <c r="B25" s="4" t="s">
        <v>21</v>
      </c>
      <c r="C25" s="5">
        <v>3.573</v>
      </c>
      <c r="D25" s="5">
        <v>2.0270000000000001</v>
      </c>
      <c r="E25" s="5">
        <v>8.6180000000000003</v>
      </c>
      <c r="F25" s="5">
        <v>5.2510000000000003</v>
      </c>
      <c r="G25" s="5">
        <v>2.7850000000000001</v>
      </c>
      <c r="H25" s="5">
        <v>3.7919999999999998</v>
      </c>
      <c r="I25" s="5">
        <v>4.9489999999999998</v>
      </c>
      <c r="J25" s="5">
        <v>32.094000000000001</v>
      </c>
      <c r="K25" s="5">
        <v>4.7430000000000003</v>
      </c>
    </row>
    <row r="26" spans="1:11" x14ac:dyDescent="0.25">
      <c r="A26" s="203"/>
      <c r="B26" s="4" t="s">
        <v>25</v>
      </c>
      <c r="C26" s="5">
        <v>0.27200000000000002</v>
      </c>
      <c r="D26" s="5">
        <v>0.16</v>
      </c>
      <c r="E26" s="5">
        <v>1.306</v>
      </c>
      <c r="F26" s="5">
        <v>0.63400000000000001</v>
      </c>
      <c r="G26" s="5">
        <v>0.75</v>
      </c>
      <c r="H26" s="5">
        <v>0.89700000000000002</v>
      </c>
      <c r="I26" s="5">
        <v>1.284</v>
      </c>
      <c r="J26" s="5">
        <v>5.7060000000000004</v>
      </c>
      <c r="K26" s="5">
        <v>0.626</v>
      </c>
    </row>
    <row r="27" spans="1:11" x14ac:dyDescent="0.25">
      <c r="A27" s="203"/>
      <c r="B27" s="105" t="s">
        <v>12</v>
      </c>
      <c r="C27" s="76">
        <v>1.974</v>
      </c>
      <c r="D27" s="76">
        <v>1.1180000000000001</v>
      </c>
      <c r="E27" s="76">
        <v>5.069</v>
      </c>
      <c r="F27" s="76">
        <v>3.01</v>
      </c>
      <c r="G27" s="76">
        <v>1.7949999999999999</v>
      </c>
      <c r="H27" s="76">
        <v>2.3980000000000001</v>
      </c>
      <c r="I27" s="76">
        <v>3.169</v>
      </c>
      <c r="J27" s="76">
        <v>19.309999999999999</v>
      </c>
      <c r="K27" s="76">
        <v>2.7450000000000001</v>
      </c>
    </row>
    <row r="28" spans="1:11" x14ac:dyDescent="0.25">
      <c r="A28" s="203" t="s">
        <v>227</v>
      </c>
      <c r="B28" s="4" t="s">
        <v>21</v>
      </c>
      <c r="C28" s="5">
        <v>3.806</v>
      </c>
      <c r="D28" s="5">
        <v>1.538</v>
      </c>
      <c r="E28" s="5">
        <v>8.6419999999999995</v>
      </c>
      <c r="F28" s="5">
        <v>5.0609999999999999</v>
      </c>
      <c r="G28" s="5">
        <v>2.6179999999999999</v>
      </c>
      <c r="H28" s="5">
        <v>4.28</v>
      </c>
      <c r="I28" s="5">
        <v>6.8049999999999997</v>
      </c>
      <c r="J28" s="5">
        <v>38.959000000000003</v>
      </c>
      <c r="K28" s="5">
        <v>4.6740000000000004</v>
      </c>
    </row>
    <row r="29" spans="1:11" x14ac:dyDescent="0.25">
      <c r="A29" s="203"/>
      <c r="B29" s="4" t="s">
        <v>25</v>
      </c>
      <c r="C29" s="5">
        <v>0.36299999999999999</v>
      </c>
      <c r="D29" s="5">
        <v>0.06</v>
      </c>
      <c r="E29" s="5">
        <v>1.3620000000000001</v>
      </c>
      <c r="F29" s="5">
        <v>0.60499999999999998</v>
      </c>
      <c r="G29" s="5">
        <v>0.79900000000000004</v>
      </c>
      <c r="H29" s="5">
        <v>1.38</v>
      </c>
      <c r="I29" s="5">
        <v>0.81200000000000006</v>
      </c>
      <c r="J29" s="5">
        <v>3.415</v>
      </c>
      <c r="K29" s="5">
        <v>0.61099999999999999</v>
      </c>
    </row>
    <row r="30" spans="1:11" x14ac:dyDescent="0.25">
      <c r="A30" s="203"/>
      <c r="B30" s="105" t="s">
        <v>12</v>
      </c>
      <c r="C30" s="76">
        <v>2.137</v>
      </c>
      <c r="D30" s="76">
        <v>0.81899999999999995</v>
      </c>
      <c r="E30" s="76">
        <v>5.1059999999999999</v>
      </c>
      <c r="F30" s="76">
        <v>2.8959999999999999</v>
      </c>
      <c r="G30" s="76">
        <v>1.7310000000000001</v>
      </c>
      <c r="H30" s="76">
        <v>2.8809999999999998</v>
      </c>
      <c r="I30" s="76">
        <v>3.899</v>
      </c>
      <c r="J30" s="76">
        <v>21.827000000000002</v>
      </c>
      <c r="K30" s="76">
        <v>2.7010000000000001</v>
      </c>
    </row>
    <row r="31" spans="1:11" x14ac:dyDescent="0.25">
      <c r="A31" s="203" t="s">
        <v>289</v>
      </c>
      <c r="B31" s="4" t="s">
        <v>21</v>
      </c>
      <c r="C31" s="5">
        <v>3.9670000000000001</v>
      </c>
      <c r="D31" s="5">
        <v>2.073</v>
      </c>
      <c r="E31" s="5">
        <v>8.2919999999999998</v>
      </c>
      <c r="F31" s="5">
        <v>4.3380000000000001</v>
      </c>
      <c r="G31" s="5">
        <v>3.52</v>
      </c>
      <c r="H31" s="5">
        <v>4.1909999999999998</v>
      </c>
      <c r="I31" s="5">
        <v>8.6790000000000003</v>
      </c>
      <c r="J31" s="5">
        <v>27.629000000000001</v>
      </c>
      <c r="K31" s="5">
        <v>4.7569999999999997</v>
      </c>
    </row>
    <row r="32" spans="1:11" x14ac:dyDescent="0.25">
      <c r="A32" s="203"/>
      <c r="B32" s="4" t="s">
        <v>25</v>
      </c>
      <c r="C32" s="5">
        <v>0.35399999999999998</v>
      </c>
      <c r="D32" s="5">
        <v>8.7999999999999995E-2</v>
      </c>
      <c r="E32" s="5">
        <v>1.4810000000000001</v>
      </c>
      <c r="F32" s="5">
        <v>0.47699999999999998</v>
      </c>
      <c r="G32" s="5">
        <v>0.70099999999999996</v>
      </c>
      <c r="H32" s="5">
        <v>0.999</v>
      </c>
      <c r="I32" s="5">
        <v>1.2170000000000001</v>
      </c>
      <c r="J32" s="5">
        <v>2.1680000000000001</v>
      </c>
      <c r="K32" s="5">
        <v>0.61199999999999999</v>
      </c>
    </row>
    <row r="33" spans="1:11" x14ac:dyDescent="0.25">
      <c r="A33" s="203"/>
      <c r="B33" s="105" t="s">
        <v>12</v>
      </c>
      <c r="C33" s="76">
        <v>2.2160000000000002</v>
      </c>
      <c r="D33" s="76">
        <v>1.1060000000000001</v>
      </c>
      <c r="E33" s="76">
        <v>4.984</v>
      </c>
      <c r="F33" s="76">
        <v>2.46</v>
      </c>
      <c r="G33" s="76">
        <v>2.1469999999999998</v>
      </c>
      <c r="H33" s="76">
        <v>2.649</v>
      </c>
      <c r="I33" s="76">
        <v>5.0380000000000003</v>
      </c>
      <c r="J33" s="76">
        <v>15.364000000000001</v>
      </c>
      <c r="K33" s="76">
        <v>2.7440000000000002</v>
      </c>
    </row>
    <row r="34" spans="1:11" ht="3.75" customHeight="1" x14ac:dyDescent="0.25">
      <c r="A34" s="2"/>
    </row>
    <row r="35" spans="1:11" ht="11.1" customHeight="1" x14ac:dyDescent="0.25">
      <c r="A35" s="206" t="s">
        <v>18</v>
      </c>
      <c r="B35" s="206"/>
      <c r="C35" s="206"/>
      <c r="D35" s="206"/>
      <c r="E35" s="206"/>
      <c r="F35" s="206"/>
      <c r="G35" s="206"/>
      <c r="H35" s="206"/>
      <c r="I35" s="206"/>
      <c r="J35" s="206"/>
      <c r="K35" s="206"/>
    </row>
    <row r="36" spans="1:11" s="6" customFormat="1" ht="11.1" customHeight="1" x14ac:dyDescent="0.15">
      <c r="A36" s="6" t="s">
        <v>58</v>
      </c>
      <c r="H36" s="86"/>
      <c r="I36" s="86"/>
    </row>
    <row r="37" spans="1:11" s="6" customFormat="1" ht="11.1" customHeight="1" x14ac:dyDescent="0.15">
      <c r="A37" s="6" t="s">
        <v>40</v>
      </c>
      <c r="H37" s="86"/>
      <c r="I37" s="86"/>
    </row>
    <row r="38" spans="1:11" s="6" customFormat="1" ht="18.75" customHeight="1" x14ac:dyDescent="0.15">
      <c r="A38" s="199" t="s">
        <v>29</v>
      </c>
      <c r="B38" s="199"/>
      <c r="C38" s="199"/>
      <c r="D38" s="199"/>
      <c r="E38" s="199"/>
      <c r="F38" s="199"/>
      <c r="G38" s="199"/>
      <c r="H38" s="199"/>
      <c r="I38" s="199"/>
      <c r="J38" s="199"/>
      <c r="K38" s="199"/>
    </row>
    <row r="39" spans="1:11" s="6" customFormat="1" ht="12" customHeight="1" x14ac:dyDescent="0.15">
      <c r="A39" s="6" t="s">
        <v>248</v>
      </c>
      <c r="B39" s="122"/>
      <c r="C39" s="122"/>
      <c r="D39" s="122"/>
      <c r="E39" s="122"/>
      <c r="F39" s="122"/>
      <c r="G39" s="122"/>
      <c r="H39" s="122"/>
      <c r="I39" s="122"/>
      <c r="J39" s="122"/>
      <c r="K39" s="122"/>
    </row>
    <row r="40" spans="1:11" s="6" customFormat="1" ht="9" x14ac:dyDescent="0.15">
      <c r="A40" s="6" t="s">
        <v>290</v>
      </c>
      <c r="B40" s="122"/>
      <c r="C40" s="122"/>
      <c r="D40" s="122"/>
      <c r="E40" s="122"/>
      <c r="F40" s="122"/>
      <c r="G40" s="122"/>
      <c r="H40" s="122"/>
      <c r="I40" s="122"/>
      <c r="J40" s="122"/>
      <c r="K40" s="122"/>
    </row>
    <row r="41" spans="1:11" s="6" customFormat="1" ht="9" x14ac:dyDescent="0.15">
      <c r="A41" s="6" t="s">
        <v>313</v>
      </c>
    </row>
    <row r="42" spans="1:11" s="6" customFormat="1" ht="9" x14ac:dyDescent="0.15"/>
    <row r="43" spans="1:11" s="6" customFormat="1" ht="11.1" customHeight="1" x14ac:dyDescent="0.15">
      <c r="A43" s="6" t="s">
        <v>255</v>
      </c>
      <c r="H43" s="86"/>
      <c r="I43" s="86"/>
    </row>
    <row r="44" spans="1:11" ht="12" customHeight="1" x14ac:dyDescent="0.25">
      <c r="A44" s="2"/>
    </row>
    <row r="45" spans="1:11" ht="27.75" customHeight="1" x14ac:dyDescent="0.25">
      <c r="A45" s="198" t="s">
        <v>311</v>
      </c>
      <c r="B45" s="198"/>
      <c r="C45" s="198"/>
      <c r="D45" s="198"/>
      <c r="E45" s="198"/>
      <c r="F45" s="198"/>
      <c r="G45" s="198"/>
      <c r="H45" s="198"/>
      <c r="I45" s="198"/>
      <c r="J45" s="198"/>
      <c r="K45" s="198"/>
    </row>
    <row r="46" spans="1:11" ht="0.75" customHeight="1" x14ac:dyDescent="0.25">
      <c r="A46" s="2"/>
    </row>
    <row r="47" spans="1:11" x14ac:dyDescent="0.25">
      <c r="A47" s="52" t="s">
        <v>189</v>
      </c>
      <c r="B47" s="52" t="s">
        <v>185</v>
      </c>
      <c r="C47" s="3" t="s">
        <v>1</v>
      </c>
      <c r="D47" s="3" t="s">
        <v>2</v>
      </c>
      <c r="E47" s="3" t="s">
        <v>3</v>
      </c>
      <c r="F47" s="3" t="s">
        <v>4</v>
      </c>
      <c r="G47" s="3" t="s">
        <v>5</v>
      </c>
      <c r="H47" s="85" t="s">
        <v>6</v>
      </c>
      <c r="I47" s="85" t="s">
        <v>7</v>
      </c>
      <c r="J47" s="3" t="s">
        <v>8</v>
      </c>
      <c r="K47" s="3" t="s">
        <v>9</v>
      </c>
    </row>
    <row r="48" spans="1:11" x14ac:dyDescent="0.25">
      <c r="A48" s="203" t="s">
        <v>55</v>
      </c>
      <c r="B48" s="4" t="s">
        <v>21</v>
      </c>
      <c r="C48" s="5">
        <v>31.603000000000002</v>
      </c>
      <c r="D48" s="5">
        <v>15.269</v>
      </c>
      <c r="E48" s="5">
        <v>27.27</v>
      </c>
      <c r="F48" s="5">
        <v>56.432000000000002</v>
      </c>
      <c r="G48" s="5">
        <v>39.131</v>
      </c>
      <c r="H48" s="5" t="s">
        <v>174</v>
      </c>
      <c r="I48" s="5" t="s">
        <v>174</v>
      </c>
      <c r="J48" s="5">
        <v>165.37799999999999</v>
      </c>
      <c r="K48" s="5">
        <v>30.824999999999999</v>
      </c>
    </row>
    <row r="49" spans="1:11" x14ac:dyDescent="0.25">
      <c r="A49" s="203"/>
      <c r="B49" s="4" t="s">
        <v>25</v>
      </c>
      <c r="C49" s="5">
        <v>7.5540000000000003</v>
      </c>
      <c r="D49" s="5">
        <v>2.2320000000000002</v>
      </c>
      <c r="E49" s="5">
        <v>7.4359999999999999</v>
      </c>
      <c r="F49" s="5">
        <v>11.458</v>
      </c>
      <c r="G49" s="5">
        <v>10.628</v>
      </c>
      <c r="H49" s="5" t="s">
        <v>174</v>
      </c>
      <c r="I49" s="5" t="s">
        <v>174</v>
      </c>
      <c r="J49" s="5">
        <v>43.826999999999998</v>
      </c>
      <c r="K49" s="5">
        <v>7.1379999999999999</v>
      </c>
    </row>
    <row r="50" spans="1:11" x14ac:dyDescent="0.25">
      <c r="A50" s="203"/>
      <c r="B50" s="105" t="s">
        <v>12</v>
      </c>
      <c r="C50" s="76">
        <v>19.920999999999999</v>
      </c>
      <c r="D50" s="76">
        <v>8.9149999999999991</v>
      </c>
      <c r="E50" s="76">
        <v>17.611999999999998</v>
      </c>
      <c r="F50" s="76">
        <v>34.454000000000001</v>
      </c>
      <c r="G50" s="76">
        <v>25.227</v>
      </c>
      <c r="H50" s="76">
        <v>6.008</v>
      </c>
      <c r="I50" s="76">
        <v>19.163</v>
      </c>
      <c r="J50" s="76">
        <v>106.941</v>
      </c>
      <c r="K50" s="76">
        <v>19.294</v>
      </c>
    </row>
    <row r="51" spans="1:11" x14ac:dyDescent="0.25">
      <c r="A51" s="203" t="s">
        <v>56</v>
      </c>
      <c r="B51" s="4" t="s">
        <v>21</v>
      </c>
      <c r="C51" s="5">
        <v>30.844000000000001</v>
      </c>
      <c r="D51" s="5">
        <v>15.515000000000001</v>
      </c>
      <c r="E51" s="5">
        <v>29.282</v>
      </c>
      <c r="F51" s="5">
        <v>55.826000000000001</v>
      </c>
      <c r="G51" s="5">
        <v>34.982999999999997</v>
      </c>
      <c r="H51" s="5">
        <v>19.625</v>
      </c>
      <c r="I51" s="5">
        <v>33.948999999999998</v>
      </c>
      <c r="J51" s="5">
        <v>153.517</v>
      </c>
      <c r="K51" s="5">
        <v>30.827000000000002</v>
      </c>
    </row>
    <row r="52" spans="1:11" x14ac:dyDescent="0.25">
      <c r="A52" s="203"/>
      <c r="B52" s="4" t="s">
        <v>25</v>
      </c>
      <c r="C52" s="5">
        <v>6.5960000000000001</v>
      </c>
      <c r="D52" s="5">
        <v>2.5830000000000002</v>
      </c>
      <c r="E52" s="5">
        <v>9.1289999999999996</v>
      </c>
      <c r="F52" s="5">
        <v>11.58</v>
      </c>
      <c r="G52" s="5">
        <v>11.333</v>
      </c>
      <c r="H52" s="107">
        <v>3.7229999999999999</v>
      </c>
      <c r="I52" s="5">
        <v>9.5820000000000007</v>
      </c>
      <c r="J52" s="5">
        <v>33.712000000000003</v>
      </c>
      <c r="K52" s="5">
        <v>7.2830000000000004</v>
      </c>
    </row>
    <row r="53" spans="1:11" x14ac:dyDescent="0.25">
      <c r="A53" s="203"/>
      <c r="B53" s="105" t="s">
        <v>12</v>
      </c>
      <c r="C53" s="76">
        <v>19.079000000000001</v>
      </c>
      <c r="D53" s="76">
        <v>9.2129999999999992</v>
      </c>
      <c r="E53" s="76">
        <v>19.478000000000002</v>
      </c>
      <c r="F53" s="76">
        <v>34.216999999999999</v>
      </c>
      <c r="G53" s="76">
        <v>23.442</v>
      </c>
      <c r="H53" s="76">
        <v>11.962</v>
      </c>
      <c r="I53" s="76">
        <v>22.039000000000001</v>
      </c>
      <c r="J53" s="76">
        <v>95.822999999999993</v>
      </c>
      <c r="K53" s="76">
        <v>19.373999999999999</v>
      </c>
    </row>
    <row r="54" spans="1:11" x14ac:dyDescent="0.25">
      <c r="A54" s="203" t="s">
        <v>57</v>
      </c>
      <c r="B54" s="4" t="s">
        <v>21</v>
      </c>
      <c r="C54" s="5">
        <v>30.417000000000002</v>
      </c>
      <c r="D54" s="5">
        <v>15.276999999999999</v>
      </c>
      <c r="E54" s="5">
        <v>32.543999999999997</v>
      </c>
      <c r="F54" s="5">
        <v>53.43</v>
      </c>
      <c r="G54" s="5">
        <v>30.547000000000001</v>
      </c>
      <c r="H54" s="5">
        <v>16.446999999999999</v>
      </c>
      <c r="I54" s="5">
        <v>39.957999999999998</v>
      </c>
      <c r="J54" s="5">
        <v>132.495</v>
      </c>
      <c r="K54" s="5">
        <v>30.555</v>
      </c>
    </row>
    <row r="55" spans="1:11" x14ac:dyDescent="0.25">
      <c r="A55" s="203"/>
      <c r="B55" s="4" t="s">
        <v>25</v>
      </c>
      <c r="C55" s="5">
        <v>8.4920000000000009</v>
      </c>
      <c r="D55" s="5">
        <v>2.2890000000000001</v>
      </c>
      <c r="E55" s="5">
        <v>8.7959999999999994</v>
      </c>
      <c r="F55" s="5">
        <v>11.944000000000001</v>
      </c>
      <c r="G55" s="5">
        <v>8.673</v>
      </c>
      <c r="H55" s="5">
        <v>3.6909999999999998</v>
      </c>
      <c r="I55" s="5">
        <v>13.115</v>
      </c>
      <c r="J55" s="5">
        <v>21.855</v>
      </c>
      <c r="K55" s="5">
        <v>7.52</v>
      </c>
    </row>
    <row r="56" spans="1:11" x14ac:dyDescent="0.25">
      <c r="A56" s="203"/>
      <c r="B56" s="105" t="s">
        <v>12</v>
      </c>
      <c r="C56" s="76">
        <v>19.785</v>
      </c>
      <c r="D56" s="76">
        <v>8.9580000000000002</v>
      </c>
      <c r="E56" s="76">
        <v>21.015000000000001</v>
      </c>
      <c r="F56" s="76">
        <v>33.201000000000001</v>
      </c>
      <c r="G56" s="76">
        <v>19.866</v>
      </c>
      <c r="H56" s="76">
        <v>10.292</v>
      </c>
      <c r="I56" s="76">
        <v>26.882999999999999</v>
      </c>
      <c r="J56" s="76">
        <v>79.024000000000001</v>
      </c>
      <c r="K56" s="76">
        <v>19.361999999999998</v>
      </c>
    </row>
    <row r="57" spans="1:11" x14ac:dyDescent="0.25">
      <c r="A57" s="203" t="s">
        <v>49</v>
      </c>
      <c r="B57" s="4" t="s">
        <v>21</v>
      </c>
      <c r="C57" s="5">
        <v>29.146000000000001</v>
      </c>
      <c r="D57" s="5">
        <v>14.821</v>
      </c>
      <c r="E57" s="5">
        <v>32.673999999999999</v>
      </c>
      <c r="F57" s="5">
        <v>48.688000000000002</v>
      </c>
      <c r="G57" s="5">
        <v>27.440999999999999</v>
      </c>
      <c r="H57" s="5">
        <v>17.763999999999999</v>
      </c>
      <c r="I57" s="5">
        <v>31.62</v>
      </c>
      <c r="J57" s="5">
        <v>114.157</v>
      </c>
      <c r="K57" s="5">
        <v>29.047000000000001</v>
      </c>
    </row>
    <row r="58" spans="1:11" x14ac:dyDescent="0.25">
      <c r="A58" s="203"/>
      <c r="B58" s="4" t="s">
        <v>25</v>
      </c>
      <c r="C58" s="5">
        <v>7.93</v>
      </c>
      <c r="D58" s="5">
        <v>3.6930000000000001</v>
      </c>
      <c r="E58" s="5">
        <v>9.6180000000000003</v>
      </c>
      <c r="F58" s="5">
        <v>13.538</v>
      </c>
      <c r="G58" s="5">
        <v>6.9219999999999997</v>
      </c>
      <c r="H58" s="5">
        <v>5.6520000000000001</v>
      </c>
      <c r="I58" s="5">
        <v>10.603</v>
      </c>
      <c r="J58" s="5">
        <v>18.305</v>
      </c>
      <c r="K58" s="5">
        <v>7.8819999999999997</v>
      </c>
    </row>
    <row r="59" spans="1:11" x14ac:dyDescent="0.25">
      <c r="A59" s="203"/>
      <c r="B59" s="105" t="s">
        <v>12</v>
      </c>
      <c r="C59" s="76">
        <v>18.861999999999998</v>
      </c>
      <c r="D59" s="76">
        <v>9.4120000000000008</v>
      </c>
      <c r="E59" s="76">
        <v>21.49</v>
      </c>
      <c r="F59" s="76">
        <v>31.582999999999998</v>
      </c>
      <c r="G59" s="76">
        <v>17.411000000000001</v>
      </c>
      <c r="H59" s="76">
        <v>11.907999999999999</v>
      </c>
      <c r="I59" s="76">
        <v>21.399000000000001</v>
      </c>
      <c r="J59" s="76">
        <v>67.62</v>
      </c>
      <c r="K59" s="76">
        <v>18.768999999999998</v>
      </c>
    </row>
    <row r="60" spans="1:11" x14ac:dyDescent="0.25">
      <c r="A60" s="203" t="s">
        <v>50</v>
      </c>
      <c r="B60" s="4" t="s">
        <v>21</v>
      </c>
      <c r="C60" s="5">
        <v>28.666</v>
      </c>
      <c r="D60" s="5">
        <v>16.524999999999999</v>
      </c>
      <c r="E60" s="5">
        <v>29.474</v>
      </c>
      <c r="F60" s="5">
        <v>43.664999999999999</v>
      </c>
      <c r="G60" s="5">
        <v>27.777000000000001</v>
      </c>
      <c r="H60" s="5">
        <v>16.724</v>
      </c>
      <c r="I60" s="5">
        <v>28.224</v>
      </c>
      <c r="J60" s="5">
        <v>93.980999999999995</v>
      </c>
      <c r="K60" s="5">
        <v>27.823</v>
      </c>
    </row>
    <row r="61" spans="1:11" x14ac:dyDescent="0.25">
      <c r="A61" s="203"/>
      <c r="B61" s="4" t="s">
        <v>25</v>
      </c>
      <c r="C61" s="5">
        <v>7.2549999999999999</v>
      </c>
      <c r="D61" s="5">
        <v>3.7170000000000001</v>
      </c>
      <c r="E61" s="5">
        <v>8.0440000000000005</v>
      </c>
      <c r="F61" s="5">
        <v>11.26</v>
      </c>
      <c r="G61" s="5">
        <v>8.8059999999999992</v>
      </c>
      <c r="H61" s="5">
        <v>3.181</v>
      </c>
      <c r="I61" s="5">
        <v>11.374000000000001</v>
      </c>
      <c r="J61" s="5">
        <v>13.494</v>
      </c>
      <c r="K61" s="5">
        <v>7.1310000000000002</v>
      </c>
    </row>
    <row r="62" spans="1:11" x14ac:dyDescent="0.25">
      <c r="A62" s="203"/>
      <c r="B62" s="105" t="s">
        <v>12</v>
      </c>
      <c r="C62" s="76">
        <v>18.312999999999999</v>
      </c>
      <c r="D62" s="76">
        <v>10.298999999999999</v>
      </c>
      <c r="E62" s="76">
        <v>19.084</v>
      </c>
      <c r="F62" s="76">
        <v>27.920999999999999</v>
      </c>
      <c r="G62" s="76">
        <v>18.52</v>
      </c>
      <c r="H62" s="76">
        <v>10.182</v>
      </c>
      <c r="I62" s="76">
        <v>20.053999999999998</v>
      </c>
      <c r="J62" s="76">
        <v>54.988999999999997</v>
      </c>
      <c r="K62" s="76">
        <v>17.786999999999999</v>
      </c>
    </row>
    <row r="63" spans="1:11" x14ac:dyDescent="0.25">
      <c r="A63" s="203" t="s">
        <v>51</v>
      </c>
      <c r="B63" s="4" t="s">
        <v>21</v>
      </c>
      <c r="C63" s="5">
        <v>27.34</v>
      </c>
      <c r="D63" s="5">
        <v>13.865</v>
      </c>
      <c r="E63" s="5">
        <v>28.344999999999999</v>
      </c>
      <c r="F63" s="5">
        <v>34.110999999999997</v>
      </c>
      <c r="G63" s="5">
        <v>22.812000000000001</v>
      </c>
      <c r="H63" s="5">
        <v>12.425000000000001</v>
      </c>
      <c r="I63" s="5">
        <v>23.626999999999999</v>
      </c>
      <c r="J63" s="5">
        <v>112.953</v>
      </c>
      <c r="K63" s="5">
        <v>25.206</v>
      </c>
    </row>
    <row r="64" spans="1:11" x14ac:dyDescent="0.25">
      <c r="A64" s="203"/>
      <c r="B64" s="4" t="s">
        <v>25</v>
      </c>
      <c r="C64" s="5">
        <v>6.9349999999999996</v>
      </c>
      <c r="D64" s="5">
        <v>2.4380000000000002</v>
      </c>
      <c r="E64" s="5">
        <v>7.7220000000000004</v>
      </c>
      <c r="F64" s="5">
        <v>8.3140000000000001</v>
      </c>
      <c r="G64" s="5">
        <v>6.8579999999999997</v>
      </c>
      <c r="H64" s="5">
        <v>3.536</v>
      </c>
      <c r="I64" s="5">
        <v>12.028</v>
      </c>
      <c r="J64" s="5">
        <v>15.718</v>
      </c>
      <c r="K64" s="5">
        <v>6.2439999999999998</v>
      </c>
    </row>
    <row r="65" spans="1:11" x14ac:dyDescent="0.25">
      <c r="A65" s="203"/>
      <c r="B65" s="105" t="s">
        <v>12</v>
      </c>
      <c r="C65" s="76">
        <v>17.465</v>
      </c>
      <c r="D65" s="76">
        <v>8.31</v>
      </c>
      <c r="E65" s="76">
        <v>18.347000000000001</v>
      </c>
      <c r="F65" s="76">
        <v>21.596</v>
      </c>
      <c r="G65" s="76">
        <v>15.038</v>
      </c>
      <c r="H65" s="76">
        <v>8.141</v>
      </c>
      <c r="I65" s="76">
        <v>17.998000000000001</v>
      </c>
      <c r="J65" s="76">
        <v>66.013999999999996</v>
      </c>
      <c r="K65" s="76">
        <v>16.010999999999999</v>
      </c>
    </row>
    <row r="66" spans="1:11" x14ac:dyDescent="0.25">
      <c r="A66" s="203" t="s">
        <v>52</v>
      </c>
      <c r="B66" s="4" t="s">
        <v>21</v>
      </c>
      <c r="C66" s="5">
        <v>25.175000000000001</v>
      </c>
      <c r="D66" s="5">
        <v>10.353</v>
      </c>
      <c r="E66" s="5">
        <v>29.501000000000001</v>
      </c>
      <c r="F66" s="5">
        <v>40.174999999999997</v>
      </c>
      <c r="G66" s="5">
        <v>25.061</v>
      </c>
      <c r="H66" s="5">
        <v>12.616</v>
      </c>
      <c r="I66" s="5">
        <v>22.437999999999999</v>
      </c>
      <c r="J66" s="5">
        <v>168.57599999999999</v>
      </c>
      <c r="K66" s="5">
        <v>25.312000000000001</v>
      </c>
    </row>
    <row r="67" spans="1:11" x14ac:dyDescent="0.25">
      <c r="A67" s="203"/>
      <c r="B67" s="4" t="s">
        <v>25</v>
      </c>
      <c r="C67" s="5">
        <v>5.4989999999999997</v>
      </c>
      <c r="D67" s="5">
        <v>2.109</v>
      </c>
      <c r="E67" s="5">
        <v>8.1180000000000003</v>
      </c>
      <c r="F67" s="5">
        <v>12.11</v>
      </c>
      <c r="G67" s="5">
        <v>8.34</v>
      </c>
      <c r="H67" s="5">
        <v>3.496</v>
      </c>
      <c r="I67" s="5">
        <v>11.696</v>
      </c>
      <c r="J67" s="5">
        <v>39.156999999999996</v>
      </c>
      <c r="K67" s="5">
        <v>6.5579999999999998</v>
      </c>
    </row>
    <row r="68" spans="1:11" x14ac:dyDescent="0.25">
      <c r="A68" s="203"/>
      <c r="B68" s="105" t="s">
        <v>12</v>
      </c>
      <c r="C68" s="76">
        <v>15.656000000000001</v>
      </c>
      <c r="D68" s="76">
        <v>6.3609999999999998</v>
      </c>
      <c r="E68" s="76">
        <v>19.128</v>
      </c>
      <c r="F68" s="76">
        <v>26.567</v>
      </c>
      <c r="G68" s="76">
        <v>16.91</v>
      </c>
      <c r="H68" s="76">
        <v>8.2260000000000009</v>
      </c>
      <c r="I68" s="76">
        <v>17.234000000000002</v>
      </c>
      <c r="J68" s="76">
        <v>106.15</v>
      </c>
      <c r="K68" s="76">
        <v>16.221</v>
      </c>
    </row>
    <row r="69" spans="1:11" x14ac:dyDescent="0.25">
      <c r="A69" s="203" t="s">
        <v>53</v>
      </c>
      <c r="B69" s="4" t="s">
        <v>21</v>
      </c>
      <c r="C69" s="5">
        <v>27.036999999999999</v>
      </c>
      <c r="D69" s="5">
        <v>9.7100000000000009</v>
      </c>
      <c r="E69" s="5">
        <v>29.457000000000001</v>
      </c>
      <c r="F69" s="5">
        <v>42.74</v>
      </c>
      <c r="G69" s="5">
        <v>26.49</v>
      </c>
      <c r="H69" s="5">
        <v>16.068999999999999</v>
      </c>
      <c r="I69" s="5">
        <v>34.020000000000003</v>
      </c>
      <c r="J69" s="5">
        <v>168.904</v>
      </c>
      <c r="K69" s="5">
        <v>26.359000000000002</v>
      </c>
    </row>
    <row r="70" spans="1:11" x14ac:dyDescent="0.25">
      <c r="A70" s="203"/>
      <c r="B70" s="4" t="s">
        <v>25</v>
      </c>
      <c r="C70" s="5">
        <v>6.891</v>
      </c>
      <c r="D70" s="5">
        <v>1.478</v>
      </c>
      <c r="E70" s="5">
        <v>7.97</v>
      </c>
      <c r="F70" s="5">
        <v>11.772</v>
      </c>
      <c r="G70" s="5">
        <v>10.065</v>
      </c>
      <c r="H70" s="5">
        <v>4.9989999999999997</v>
      </c>
      <c r="I70" s="5">
        <v>15.175000000000001</v>
      </c>
      <c r="J70" s="5">
        <v>34.554000000000002</v>
      </c>
      <c r="K70" s="5">
        <v>6.9260000000000002</v>
      </c>
    </row>
    <row r="71" spans="1:11" x14ac:dyDescent="0.25">
      <c r="A71" s="203"/>
      <c r="B71" s="105" t="s">
        <v>12</v>
      </c>
      <c r="C71" s="76">
        <v>17.298999999999999</v>
      </c>
      <c r="D71" s="76">
        <v>5.7050000000000001</v>
      </c>
      <c r="E71" s="76">
        <v>19.044</v>
      </c>
      <c r="F71" s="76">
        <v>27.704000000000001</v>
      </c>
      <c r="G71" s="76">
        <v>18.536999999999999</v>
      </c>
      <c r="H71" s="76">
        <v>10.739000000000001</v>
      </c>
      <c r="I71" s="76">
        <v>24.869</v>
      </c>
      <c r="J71" s="76">
        <v>104.178</v>
      </c>
      <c r="K71" s="76">
        <v>16.943000000000001</v>
      </c>
    </row>
    <row r="72" spans="1:11" x14ac:dyDescent="0.25">
      <c r="A72" s="203" t="s">
        <v>227</v>
      </c>
      <c r="B72" s="4" t="s">
        <v>21</v>
      </c>
      <c r="C72" s="5">
        <v>25.844999999999999</v>
      </c>
      <c r="D72" s="5">
        <v>7.4219999999999997</v>
      </c>
      <c r="E72" s="5">
        <v>29.471</v>
      </c>
      <c r="F72" s="5">
        <v>40.448</v>
      </c>
      <c r="G72" s="5">
        <v>25.106000000000002</v>
      </c>
      <c r="H72" s="5">
        <v>19.635999999999999</v>
      </c>
      <c r="I72" s="5">
        <v>48.305999999999997</v>
      </c>
      <c r="J72" s="5">
        <v>242.559</v>
      </c>
      <c r="K72" s="5">
        <v>25.448</v>
      </c>
    </row>
    <row r="73" spans="1:11" x14ac:dyDescent="0.25">
      <c r="A73" s="203"/>
      <c r="B73" s="4" t="s">
        <v>25</v>
      </c>
      <c r="C73" s="5">
        <v>7.8070000000000004</v>
      </c>
      <c r="D73" s="5">
        <v>0.877</v>
      </c>
      <c r="E73" s="5">
        <v>7.5620000000000003</v>
      </c>
      <c r="F73" s="5">
        <v>11.513999999999999</v>
      </c>
      <c r="G73" s="5">
        <v>9.0730000000000004</v>
      </c>
      <c r="H73" s="5">
        <v>8.4250000000000007</v>
      </c>
      <c r="I73" s="5">
        <v>18.777999999999999</v>
      </c>
      <c r="J73" s="5">
        <v>54.003999999999998</v>
      </c>
      <c r="K73" s="5">
        <v>7.0209999999999999</v>
      </c>
    </row>
    <row r="74" spans="1:11" x14ac:dyDescent="0.25">
      <c r="A74" s="203"/>
      <c r="B74" s="105" t="s">
        <v>12</v>
      </c>
      <c r="C74" s="76">
        <v>17.161999999999999</v>
      </c>
      <c r="D74" s="76">
        <v>4.2370000000000001</v>
      </c>
      <c r="E74" s="76">
        <v>18.831</v>
      </c>
      <c r="F74" s="76">
        <v>26.385999999999999</v>
      </c>
      <c r="G74" s="76">
        <v>17.291</v>
      </c>
      <c r="H74" s="76">
        <v>14.227</v>
      </c>
      <c r="I74" s="76">
        <v>33.99</v>
      </c>
      <c r="J74" s="76">
        <v>151.67400000000001</v>
      </c>
      <c r="K74" s="76">
        <v>16.518000000000001</v>
      </c>
    </row>
    <row r="75" spans="1:11" x14ac:dyDescent="0.25">
      <c r="A75" s="203" t="s">
        <v>289</v>
      </c>
      <c r="B75" s="4" t="s">
        <v>21</v>
      </c>
      <c r="C75" s="5">
        <v>27.47</v>
      </c>
      <c r="D75" s="5">
        <v>9.6050000000000004</v>
      </c>
      <c r="E75" s="5">
        <v>27.826000000000001</v>
      </c>
      <c r="F75" s="5">
        <v>40.207999999999998</v>
      </c>
      <c r="G75" s="5">
        <v>27.268999999999998</v>
      </c>
      <c r="H75" s="5">
        <v>19.332999999999998</v>
      </c>
      <c r="I75" s="5">
        <v>41.542000000000002</v>
      </c>
      <c r="J75" s="5">
        <v>197.286</v>
      </c>
      <c r="K75" s="5">
        <v>26.289000000000001</v>
      </c>
    </row>
    <row r="76" spans="1:11" x14ac:dyDescent="0.25">
      <c r="A76" s="203"/>
      <c r="B76" s="4" t="s">
        <v>25</v>
      </c>
      <c r="C76" s="5">
        <v>7.242</v>
      </c>
      <c r="D76" s="5">
        <v>0.67700000000000005</v>
      </c>
      <c r="E76" s="5">
        <v>7.86</v>
      </c>
      <c r="F76" s="5">
        <v>12.941000000000001</v>
      </c>
      <c r="G76" s="5">
        <v>10.381</v>
      </c>
      <c r="H76" s="5">
        <v>6.1269999999999998</v>
      </c>
      <c r="I76" s="5">
        <v>16.349</v>
      </c>
      <c r="J76" s="5">
        <v>36.131</v>
      </c>
      <c r="K76" s="5">
        <v>6.9729999999999999</v>
      </c>
    </row>
    <row r="77" spans="1:11" x14ac:dyDescent="0.25">
      <c r="A77" s="203"/>
      <c r="B77" s="105" t="s">
        <v>12</v>
      </c>
      <c r="C77" s="76">
        <v>17.675999999999998</v>
      </c>
      <c r="D77" s="76">
        <v>5.258</v>
      </c>
      <c r="E77" s="76">
        <v>18.143999999999998</v>
      </c>
      <c r="F77" s="76">
        <v>26.945</v>
      </c>
      <c r="G77" s="76">
        <v>19.044</v>
      </c>
      <c r="H77" s="76">
        <v>12.952</v>
      </c>
      <c r="I77" s="76">
        <v>29.248999999999999</v>
      </c>
      <c r="J77" s="76">
        <v>119.65600000000001</v>
      </c>
      <c r="K77" s="76">
        <v>16.911999999999999</v>
      </c>
    </row>
    <row r="78" spans="1:11" ht="4.5" customHeight="1" x14ac:dyDescent="0.25">
      <c r="A78" s="120"/>
      <c r="B78" s="56"/>
      <c r="C78" s="99"/>
      <c r="D78" s="99"/>
      <c r="E78" s="99"/>
      <c r="F78" s="99"/>
      <c r="G78" s="99"/>
      <c r="H78" s="100"/>
      <c r="I78" s="100"/>
      <c r="J78" s="99"/>
      <c r="K78" s="99"/>
    </row>
    <row r="79" spans="1:11" ht="1.5" customHeight="1" x14ac:dyDescent="0.25">
      <c r="A79" s="2"/>
    </row>
    <row r="80" spans="1:11" ht="10.5" customHeight="1" x14ac:dyDescent="0.25">
      <c r="A80" s="6" t="s">
        <v>220</v>
      </c>
    </row>
    <row r="81" spans="1:11" ht="11.1" customHeight="1" x14ac:dyDescent="0.25">
      <c r="A81" s="202" t="s">
        <v>18</v>
      </c>
      <c r="B81" s="202"/>
      <c r="C81" s="202"/>
      <c r="D81" s="202"/>
      <c r="E81" s="202"/>
      <c r="F81" s="202"/>
      <c r="G81" s="202"/>
      <c r="H81" s="202"/>
      <c r="I81" s="202"/>
      <c r="J81" s="202"/>
      <c r="K81" s="202"/>
    </row>
    <row r="82" spans="1:11" s="6" customFormat="1" ht="11.1" customHeight="1" x14ac:dyDescent="0.15">
      <c r="A82" s="6" t="s">
        <v>58</v>
      </c>
      <c r="H82" s="86"/>
      <c r="I82" s="86"/>
    </row>
    <row r="83" spans="1:11" s="6" customFormat="1" ht="11.1" customHeight="1" x14ac:dyDescent="0.15">
      <c r="A83" s="6" t="s">
        <v>27</v>
      </c>
      <c r="H83" s="86"/>
      <c r="I83" s="86"/>
    </row>
    <row r="84" spans="1:11" s="6" customFormat="1" ht="11.1" customHeight="1" x14ac:dyDescent="0.15">
      <c r="A84" s="6" t="s">
        <v>41</v>
      </c>
      <c r="H84" s="86"/>
      <c r="I84" s="86"/>
    </row>
    <row r="85" spans="1:11" s="6" customFormat="1" ht="11.1" customHeight="1" x14ac:dyDescent="0.15">
      <c r="A85" s="6" t="s">
        <v>60</v>
      </c>
      <c r="H85" s="86"/>
      <c r="I85" s="86"/>
    </row>
    <row r="86" spans="1:11" s="6" customFormat="1" ht="11.1" customHeight="1" x14ac:dyDescent="0.15">
      <c r="A86" s="6" t="s">
        <v>247</v>
      </c>
      <c r="H86" s="86"/>
      <c r="I86" s="86"/>
    </row>
    <row r="87" spans="1:11" s="6" customFormat="1" ht="11.1" customHeight="1" x14ac:dyDescent="0.15">
      <c r="A87" s="6" t="s">
        <v>312</v>
      </c>
      <c r="H87" s="86"/>
      <c r="I87" s="86"/>
    </row>
    <row r="88" spans="1:11" s="6" customFormat="1" ht="11.1" customHeight="1" x14ac:dyDescent="0.15">
      <c r="A88" s="6" t="s">
        <v>314</v>
      </c>
      <c r="H88" s="86"/>
      <c r="I88" s="86"/>
    </row>
    <row r="89" spans="1:11" s="6" customFormat="1" ht="11.1" customHeight="1" x14ac:dyDescent="0.15">
      <c r="H89" s="86"/>
      <c r="I89" s="86"/>
    </row>
    <row r="90" spans="1:11" s="6" customFormat="1" ht="11.1" customHeight="1" x14ac:dyDescent="0.15">
      <c r="A90" s="6" t="s">
        <v>255</v>
      </c>
      <c r="H90" s="86"/>
      <c r="I90" s="86"/>
    </row>
    <row r="91" spans="1:11" ht="12" customHeight="1" x14ac:dyDescent="0.25">
      <c r="A91" s="2"/>
    </row>
  </sheetData>
  <mergeCells count="25">
    <mergeCell ref="A13:A15"/>
    <mergeCell ref="A1:K1"/>
    <mergeCell ref="A4:A6"/>
    <mergeCell ref="A7:A9"/>
    <mergeCell ref="A10:A12"/>
    <mergeCell ref="A54:A56"/>
    <mergeCell ref="A16:A18"/>
    <mergeCell ref="A19:A21"/>
    <mergeCell ref="A22:A24"/>
    <mergeCell ref="A25:A27"/>
    <mergeCell ref="A28:A30"/>
    <mergeCell ref="A31:A33"/>
    <mergeCell ref="A35:K35"/>
    <mergeCell ref="A45:K45"/>
    <mergeCell ref="A48:A50"/>
    <mergeCell ref="A51:A53"/>
    <mergeCell ref="A38:K38"/>
    <mergeCell ref="A81:K81"/>
    <mergeCell ref="A57:A59"/>
    <mergeCell ref="A60:A62"/>
    <mergeCell ref="A63:A65"/>
    <mergeCell ref="A66:A68"/>
    <mergeCell ref="A69:A71"/>
    <mergeCell ref="A72:A74"/>
    <mergeCell ref="A75:A77"/>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91"/>
  <sheetViews>
    <sheetView topLeftCell="A49" zoomScaleNormal="100" workbookViewId="0">
      <selection activeCell="F66" sqref="F66"/>
    </sheetView>
  </sheetViews>
  <sheetFormatPr defaultColWidth="9.140625" defaultRowHeight="15" x14ac:dyDescent="0.25"/>
  <cols>
    <col min="1" max="12" width="11.42578125" style="1" bestFit="1" customWidth="1"/>
    <col min="13" max="16384" width="9.140625" style="1"/>
  </cols>
  <sheetData>
    <row r="1" spans="1:12" ht="27.75" customHeight="1" x14ac:dyDescent="0.25">
      <c r="A1" s="200" t="s">
        <v>315</v>
      </c>
      <c r="B1" s="200"/>
      <c r="C1" s="200"/>
      <c r="D1" s="200"/>
      <c r="E1" s="200"/>
      <c r="F1" s="200"/>
      <c r="G1" s="200"/>
      <c r="H1" s="200"/>
      <c r="I1" s="200"/>
      <c r="J1" s="200"/>
      <c r="K1" s="200"/>
      <c r="L1" s="200"/>
    </row>
    <row r="2" spans="1:12" ht="3.75" customHeight="1" x14ac:dyDescent="0.25">
      <c r="A2" s="2"/>
    </row>
    <row r="3" spans="1:12" ht="23.25" x14ac:dyDescent="0.25">
      <c r="A3" s="52" t="s">
        <v>189</v>
      </c>
      <c r="B3" s="52" t="s">
        <v>185</v>
      </c>
      <c r="C3" s="52" t="s">
        <v>186</v>
      </c>
      <c r="D3" s="3" t="s">
        <v>1</v>
      </c>
      <c r="E3" s="3" t="s">
        <v>2</v>
      </c>
      <c r="F3" s="3" t="s">
        <v>3</v>
      </c>
      <c r="G3" s="3" t="s">
        <v>4</v>
      </c>
      <c r="H3" s="3" t="s">
        <v>5</v>
      </c>
      <c r="I3" s="3" t="s">
        <v>6</v>
      </c>
      <c r="J3" s="3" t="s">
        <v>7</v>
      </c>
      <c r="K3" s="3" t="s">
        <v>8</v>
      </c>
      <c r="L3" s="3" t="s">
        <v>9</v>
      </c>
    </row>
    <row r="4" spans="1:12" ht="15" customHeight="1" x14ac:dyDescent="0.25">
      <c r="A4" s="203" t="s">
        <v>51</v>
      </c>
      <c r="B4" s="203" t="s">
        <v>21</v>
      </c>
      <c r="C4" s="106" t="s">
        <v>22</v>
      </c>
      <c r="D4" s="107">
        <v>58</v>
      </c>
      <c r="E4" s="107">
        <v>10.7</v>
      </c>
      <c r="F4" s="107">
        <v>131</v>
      </c>
      <c r="G4" s="107">
        <v>65.599999999999994</v>
      </c>
      <c r="H4" s="107">
        <v>11.3</v>
      </c>
      <c r="I4" s="107">
        <v>3.4</v>
      </c>
      <c r="J4" s="107">
        <v>1.9</v>
      </c>
      <c r="K4" s="107">
        <v>27.7</v>
      </c>
      <c r="L4" s="107">
        <v>309.60000000000002</v>
      </c>
    </row>
    <row r="5" spans="1:12" ht="15" customHeight="1" x14ac:dyDescent="0.25">
      <c r="A5" s="203"/>
      <c r="B5" s="203"/>
      <c r="C5" s="106" t="s">
        <v>23</v>
      </c>
      <c r="D5" s="107">
        <v>78.3</v>
      </c>
      <c r="E5" s="107">
        <v>83.4</v>
      </c>
      <c r="F5" s="107">
        <v>66.3</v>
      </c>
      <c r="G5" s="107">
        <v>20.399999999999999</v>
      </c>
      <c r="H5" s="107">
        <v>8.8000000000000007</v>
      </c>
      <c r="I5" s="107">
        <v>3.9</v>
      </c>
      <c r="J5" s="107">
        <v>4.5</v>
      </c>
      <c r="K5" s="107">
        <v>1.3</v>
      </c>
      <c r="L5" s="107">
        <v>266.8</v>
      </c>
    </row>
    <row r="6" spans="1:12" ht="15" customHeight="1" x14ac:dyDescent="0.25">
      <c r="A6" s="203"/>
      <c r="B6" s="203"/>
      <c r="C6" s="106" t="s">
        <v>24</v>
      </c>
      <c r="D6" s="107">
        <v>1</v>
      </c>
      <c r="E6" s="107" t="s">
        <v>167</v>
      </c>
      <c r="F6" s="107">
        <v>0.1</v>
      </c>
      <c r="G6" s="107" t="s">
        <v>167</v>
      </c>
      <c r="H6" s="107" t="s">
        <v>167</v>
      </c>
      <c r="I6" s="107" t="s">
        <v>167</v>
      </c>
      <c r="J6" s="107" t="s">
        <v>167</v>
      </c>
      <c r="K6" s="107">
        <v>0.4</v>
      </c>
      <c r="L6" s="107">
        <v>1.4</v>
      </c>
    </row>
    <row r="7" spans="1:12" ht="15" customHeight="1" x14ac:dyDescent="0.25">
      <c r="A7" s="203"/>
      <c r="B7" s="203"/>
      <c r="C7" s="105" t="s">
        <v>12</v>
      </c>
      <c r="D7" s="76">
        <v>137.19999999999999</v>
      </c>
      <c r="E7" s="76">
        <v>94.1</v>
      </c>
      <c r="F7" s="76">
        <v>197.4</v>
      </c>
      <c r="G7" s="76">
        <v>86</v>
      </c>
      <c r="H7" s="76">
        <v>20.100000000000001</v>
      </c>
      <c r="I7" s="76">
        <v>7.3</v>
      </c>
      <c r="J7" s="76">
        <v>6.4</v>
      </c>
      <c r="K7" s="76">
        <v>29.3</v>
      </c>
      <c r="L7" s="76">
        <v>577.79999999999995</v>
      </c>
    </row>
    <row r="8" spans="1:12" ht="15" customHeight="1" x14ac:dyDescent="0.25">
      <c r="A8" s="203"/>
      <c r="B8" s="203" t="s">
        <v>25</v>
      </c>
      <c r="C8" s="106" t="s">
        <v>22</v>
      </c>
      <c r="D8" s="107">
        <v>5.0999999999999996</v>
      </c>
      <c r="E8" s="107">
        <v>0.7</v>
      </c>
      <c r="F8" s="107">
        <v>14.8</v>
      </c>
      <c r="G8" s="107">
        <v>8.4</v>
      </c>
      <c r="H8" s="107">
        <v>3.4</v>
      </c>
      <c r="I8" s="107" t="s">
        <v>167</v>
      </c>
      <c r="J8" s="107">
        <v>0.7</v>
      </c>
      <c r="K8" s="107">
        <v>2.8</v>
      </c>
      <c r="L8" s="107">
        <v>35.9</v>
      </c>
    </row>
    <row r="9" spans="1:12" ht="15" customHeight="1" x14ac:dyDescent="0.25">
      <c r="A9" s="203"/>
      <c r="B9" s="203"/>
      <c r="C9" s="106" t="s">
        <v>23</v>
      </c>
      <c r="D9" s="107">
        <v>8.6999999999999993</v>
      </c>
      <c r="E9" s="107">
        <v>7.3</v>
      </c>
      <c r="F9" s="107">
        <v>8.6</v>
      </c>
      <c r="G9" s="107">
        <v>1.7</v>
      </c>
      <c r="H9" s="107">
        <v>1.9</v>
      </c>
      <c r="I9" s="107">
        <v>0.6</v>
      </c>
      <c r="J9" s="107">
        <v>0.9</v>
      </c>
      <c r="K9" s="107" t="s">
        <v>167</v>
      </c>
      <c r="L9" s="107">
        <v>29.7</v>
      </c>
    </row>
    <row r="10" spans="1:12" ht="15" customHeight="1" x14ac:dyDescent="0.25">
      <c r="A10" s="203"/>
      <c r="B10" s="203"/>
      <c r="C10" s="106" t="s">
        <v>24</v>
      </c>
      <c r="D10" s="107">
        <v>0.1</v>
      </c>
      <c r="E10" s="107" t="s">
        <v>167</v>
      </c>
      <c r="F10" s="5" t="s">
        <v>167</v>
      </c>
      <c r="G10" s="107" t="s">
        <v>167</v>
      </c>
      <c r="H10" s="107" t="s">
        <v>167</v>
      </c>
      <c r="I10" s="107" t="s">
        <v>167</v>
      </c>
      <c r="J10" s="107" t="s">
        <v>167</v>
      </c>
      <c r="K10" s="107" t="s">
        <v>167</v>
      </c>
      <c r="L10" s="107">
        <v>0.1</v>
      </c>
    </row>
    <row r="11" spans="1:12" ht="15" customHeight="1" x14ac:dyDescent="0.25">
      <c r="A11" s="203"/>
      <c r="B11" s="203"/>
      <c r="C11" s="105" t="s">
        <v>12</v>
      </c>
      <c r="D11" s="76">
        <v>13.8</v>
      </c>
      <c r="E11" s="76">
        <v>8.1</v>
      </c>
      <c r="F11" s="76">
        <v>23.5</v>
      </c>
      <c r="G11" s="76">
        <v>10.1</v>
      </c>
      <c r="H11" s="76">
        <v>5.2</v>
      </c>
      <c r="I11" s="76">
        <v>0.6</v>
      </c>
      <c r="J11" s="76">
        <v>1.5</v>
      </c>
      <c r="K11" s="76">
        <v>2.8</v>
      </c>
      <c r="L11" s="76">
        <v>65.7</v>
      </c>
    </row>
    <row r="12" spans="1:12" ht="15" customHeight="1" x14ac:dyDescent="0.25">
      <c r="A12" s="203"/>
      <c r="B12" s="203" t="s">
        <v>24</v>
      </c>
      <c r="C12" s="106" t="s">
        <v>22</v>
      </c>
      <c r="D12" s="107">
        <v>0.3</v>
      </c>
      <c r="E12" s="107" t="s">
        <v>167</v>
      </c>
      <c r="F12" s="107" t="s">
        <v>167</v>
      </c>
      <c r="G12" s="107" t="s">
        <v>167</v>
      </c>
      <c r="H12" s="107" t="s">
        <v>167</v>
      </c>
      <c r="I12" s="107" t="s">
        <v>167</v>
      </c>
      <c r="J12" s="107" t="s">
        <v>167</v>
      </c>
      <c r="K12" s="107" t="s">
        <v>167</v>
      </c>
      <c r="L12" s="107">
        <v>0.3</v>
      </c>
    </row>
    <row r="13" spans="1:12" ht="15" customHeight="1" x14ac:dyDescent="0.25">
      <c r="A13" s="203"/>
      <c r="B13" s="203"/>
      <c r="C13" s="106" t="s">
        <v>23</v>
      </c>
      <c r="D13" s="107" t="s">
        <v>167</v>
      </c>
      <c r="E13" s="107" t="s">
        <v>167</v>
      </c>
      <c r="F13" s="107" t="s">
        <v>167</v>
      </c>
      <c r="G13" s="107" t="s">
        <v>167</v>
      </c>
      <c r="H13" s="107" t="s">
        <v>167</v>
      </c>
      <c r="I13" s="107" t="s">
        <v>167</v>
      </c>
      <c r="J13" s="107" t="s">
        <v>167</v>
      </c>
      <c r="K13" s="107" t="s">
        <v>167</v>
      </c>
      <c r="L13" s="107" t="s">
        <v>167</v>
      </c>
    </row>
    <row r="14" spans="1:12" ht="15" customHeight="1" x14ac:dyDescent="0.25">
      <c r="A14" s="203"/>
      <c r="B14" s="203"/>
      <c r="C14" s="106" t="s">
        <v>24</v>
      </c>
      <c r="D14" s="107" t="s">
        <v>167</v>
      </c>
      <c r="E14" s="107" t="s">
        <v>167</v>
      </c>
      <c r="F14" s="107" t="s">
        <v>167</v>
      </c>
      <c r="G14" s="107" t="s">
        <v>167</v>
      </c>
      <c r="H14" s="107" t="s">
        <v>167</v>
      </c>
      <c r="I14" s="107" t="s">
        <v>167</v>
      </c>
      <c r="J14" s="107" t="s">
        <v>167</v>
      </c>
      <c r="K14" s="117" t="s">
        <v>167</v>
      </c>
      <c r="L14" s="117" t="s">
        <v>167</v>
      </c>
    </row>
    <row r="15" spans="1:12" ht="15" customHeight="1" x14ac:dyDescent="0.25">
      <c r="A15" s="203"/>
      <c r="B15" s="203"/>
      <c r="C15" s="105" t="s">
        <v>12</v>
      </c>
      <c r="D15" s="76">
        <v>0.3</v>
      </c>
      <c r="E15" s="76" t="s">
        <v>167</v>
      </c>
      <c r="F15" s="76" t="s">
        <v>167</v>
      </c>
      <c r="G15" s="76" t="s">
        <v>167</v>
      </c>
      <c r="H15" s="76" t="s">
        <v>167</v>
      </c>
      <c r="I15" s="76" t="s">
        <v>167</v>
      </c>
      <c r="J15" s="76" t="s">
        <v>167</v>
      </c>
      <c r="K15" s="76" t="s">
        <v>167</v>
      </c>
      <c r="L15" s="76">
        <v>0.3</v>
      </c>
    </row>
    <row r="16" spans="1:12" ht="15" customHeight="1" x14ac:dyDescent="0.25">
      <c r="A16" s="203"/>
      <c r="B16" s="203" t="s">
        <v>12</v>
      </c>
      <c r="C16" s="106" t="s">
        <v>22</v>
      </c>
      <c r="D16" s="107">
        <v>63.3</v>
      </c>
      <c r="E16" s="107">
        <v>11.4</v>
      </c>
      <c r="F16" s="107">
        <v>145.9</v>
      </c>
      <c r="G16" s="107">
        <v>74</v>
      </c>
      <c r="H16" s="107">
        <v>14.7</v>
      </c>
      <c r="I16" s="107">
        <v>3.4</v>
      </c>
      <c r="J16" s="107">
        <v>2.6</v>
      </c>
      <c r="K16" s="107">
        <v>30.5</v>
      </c>
      <c r="L16" s="107">
        <v>345.7</v>
      </c>
    </row>
    <row r="17" spans="1:12" ht="15" customHeight="1" x14ac:dyDescent="0.25">
      <c r="A17" s="203"/>
      <c r="B17" s="203"/>
      <c r="C17" s="106" t="s">
        <v>23</v>
      </c>
      <c r="D17" s="107">
        <v>86.9</v>
      </c>
      <c r="E17" s="107">
        <v>90.7</v>
      </c>
      <c r="F17" s="107">
        <v>74.900000000000006</v>
      </c>
      <c r="G17" s="107">
        <v>22.1</v>
      </c>
      <c r="H17" s="107">
        <v>10.7</v>
      </c>
      <c r="I17" s="107">
        <v>4.5999999999999996</v>
      </c>
      <c r="J17" s="107">
        <v>5.4</v>
      </c>
      <c r="K17" s="107">
        <v>1.3</v>
      </c>
      <c r="L17" s="107">
        <v>296.60000000000002</v>
      </c>
    </row>
    <row r="18" spans="1:12" ht="15" customHeight="1" x14ac:dyDescent="0.25">
      <c r="A18" s="203"/>
      <c r="B18" s="203"/>
      <c r="C18" s="106" t="s">
        <v>24</v>
      </c>
      <c r="D18" s="107">
        <v>1</v>
      </c>
      <c r="E18" s="107" t="s">
        <v>167</v>
      </c>
      <c r="F18" s="107">
        <v>0.1</v>
      </c>
      <c r="G18" s="107" t="s">
        <v>167</v>
      </c>
      <c r="H18" s="107" t="s">
        <v>167</v>
      </c>
      <c r="I18" s="107" t="s">
        <v>167</v>
      </c>
      <c r="J18" s="107" t="s">
        <v>167</v>
      </c>
      <c r="K18" s="107">
        <v>0.4</v>
      </c>
      <c r="L18" s="107">
        <v>1.5</v>
      </c>
    </row>
    <row r="19" spans="1:12" ht="15" customHeight="1" x14ac:dyDescent="0.25">
      <c r="A19" s="203"/>
      <c r="B19" s="203"/>
      <c r="C19" s="105" t="s">
        <v>12</v>
      </c>
      <c r="D19" s="76">
        <v>151.30000000000001</v>
      </c>
      <c r="E19" s="76">
        <v>102.1</v>
      </c>
      <c r="F19" s="76">
        <v>220.8</v>
      </c>
      <c r="G19" s="76">
        <v>96.1</v>
      </c>
      <c r="H19" s="76">
        <v>25.3</v>
      </c>
      <c r="I19" s="76">
        <v>8</v>
      </c>
      <c r="J19" s="76">
        <v>8</v>
      </c>
      <c r="K19" s="76">
        <v>32.200000000000003</v>
      </c>
      <c r="L19" s="76">
        <v>643.79999999999995</v>
      </c>
    </row>
    <row r="20" spans="1:12" ht="15" customHeight="1" x14ac:dyDescent="0.25">
      <c r="A20" s="203" t="s">
        <v>52</v>
      </c>
      <c r="B20" s="203" t="s">
        <v>21</v>
      </c>
      <c r="C20" s="106" t="s">
        <v>22</v>
      </c>
      <c r="D20" s="107">
        <v>71.3</v>
      </c>
      <c r="E20" s="107">
        <v>11.2</v>
      </c>
      <c r="F20" s="107">
        <v>160.4</v>
      </c>
      <c r="G20" s="107">
        <v>72.3</v>
      </c>
      <c r="H20" s="107">
        <v>13.2</v>
      </c>
      <c r="I20" s="107">
        <v>3.2</v>
      </c>
      <c r="J20" s="107">
        <v>1.6</v>
      </c>
      <c r="K20" s="107">
        <v>44</v>
      </c>
      <c r="L20" s="107">
        <v>377.2</v>
      </c>
    </row>
    <row r="21" spans="1:12" ht="15" customHeight="1" x14ac:dyDescent="0.25">
      <c r="A21" s="203"/>
      <c r="B21" s="203"/>
      <c r="C21" s="106" t="s">
        <v>23</v>
      </c>
      <c r="D21" s="107">
        <v>62.1</v>
      </c>
      <c r="E21" s="107">
        <v>60.8</v>
      </c>
      <c r="F21" s="107">
        <v>78.400000000000006</v>
      </c>
      <c r="G21" s="107">
        <v>19.899999999999999</v>
      </c>
      <c r="H21" s="107">
        <v>12.9</v>
      </c>
      <c r="I21" s="107">
        <v>3.9</v>
      </c>
      <c r="J21" s="107">
        <v>6.1</v>
      </c>
      <c r="K21" s="107">
        <v>1.8</v>
      </c>
      <c r="L21" s="107">
        <v>245.8</v>
      </c>
    </row>
    <row r="22" spans="1:12" ht="15" customHeight="1" x14ac:dyDescent="0.25">
      <c r="A22" s="203"/>
      <c r="B22" s="203"/>
      <c r="C22" s="106" t="s">
        <v>24</v>
      </c>
      <c r="D22" s="107">
        <v>1.3</v>
      </c>
      <c r="E22" s="107" t="s">
        <v>167</v>
      </c>
      <c r="F22" s="107" t="s">
        <v>167</v>
      </c>
      <c r="G22" s="107" t="s">
        <v>167</v>
      </c>
      <c r="H22" s="107" t="s">
        <v>167</v>
      </c>
      <c r="I22" s="107" t="s">
        <v>167</v>
      </c>
      <c r="J22" s="107" t="s">
        <v>167</v>
      </c>
      <c r="K22" s="107">
        <v>0.3</v>
      </c>
      <c r="L22" s="107">
        <v>1.6</v>
      </c>
    </row>
    <row r="23" spans="1:12" ht="15" customHeight="1" x14ac:dyDescent="0.25">
      <c r="A23" s="203"/>
      <c r="B23" s="203"/>
      <c r="C23" s="105" t="s">
        <v>12</v>
      </c>
      <c r="D23" s="76">
        <v>134.69999999999999</v>
      </c>
      <c r="E23" s="76">
        <v>72</v>
      </c>
      <c r="F23" s="76">
        <v>238.8</v>
      </c>
      <c r="G23" s="76">
        <v>92.1</v>
      </c>
      <c r="H23" s="76">
        <v>26.1</v>
      </c>
      <c r="I23" s="76">
        <v>7.2</v>
      </c>
      <c r="J23" s="76">
        <v>7.7</v>
      </c>
      <c r="K23" s="76">
        <v>46.1</v>
      </c>
      <c r="L23" s="76">
        <v>624.70000000000005</v>
      </c>
    </row>
    <row r="24" spans="1:12" ht="15" customHeight="1" x14ac:dyDescent="0.25">
      <c r="A24" s="203"/>
      <c r="B24" s="203" t="s">
        <v>25</v>
      </c>
      <c r="C24" s="106" t="s">
        <v>22</v>
      </c>
      <c r="D24" s="107">
        <v>6</v>
      </c>
      <c r="E24" s="107">
        <v>0.3</v>
      </c>
      <c r="F24" s="107">
        <v>19.899999999999999</v>
      </c>
      <c r="G24" s="107">
        <v>10.199999999999999</v>
      </c>
      <c r="H24" s="107">
        <v>2.4</v>
      </c>
      <c r="I24" s="107" t="s">
        <v>167</v>
      </c>
      <c r="J24" s="107">
        <v>1.2</v>
      </c>
      <c r="K24" s="107">
        <v>5.6</v>
      </c>
      <c r="L24" s="107">
        <v>45.7</v>
      </c>
    </row>
    <row r="25" spans="1:12" ht="15" customHeight="1" x14ac:dyDescent="0.25">
      <c r="A25" s="203"/>
      <c r="B25" s="203"/>
      <c r="C25" s="106" t="s">
        <v>23</v>
      </c>
      <c r="D25" s="107">
        <v>5.8</v>
      </c>
      <c r="E25" s="107">
        <v>6.1</v>
      </c>
      <c r="F25" s="107">
        <v>10.1</v>
      </c>
      <c r="G25" s="107">
        <v>2.6</v>
      </c>
      <c r="H25" s="107">
        <v>2.1</v>
      </c>
      <c r="I25" s="107">
        <v>0.9</v>
      </c>
      <c r="J25" s="107">
        <v>0.8</v>
      </c>
      <c r="K25" s="107">
        <v>0.2</v>
      </c>
      <c r="L25" s="107">
        <v>28.6</v>
      </c>
    </row>
    <row r="26" spans="1:12" ht="15" customHeight="1" x14ac:dyDescent="0.25">
      <c r="A26" s="203"/>
      <c r="B26" s="203"/>
      <c r="C26" s="106" t="s">
        <v>24</v>
      </c>
      <c r="D26" s="107">
        <v>0.7</v>
      </c>
      <c r="E26" s="107" t="s">
        <v>167</v>
      </c>
      <c r="F26" s="107" t="s">
        <v>167</v>
      </c>
      <c r="G26" s="107" t="s">
        <v>167</v>
      </c>
      <c r="H26" s="107" t="s">
        <v>167</v>
      </c>
      <c r="I26" s="107" t="s">
        <v>167</v>
      </c>
      <c r="J26" s="107" t="s">
        <v>167</v>
      </c>
      <c r="K26" s="107">
        <v>0.3</v>
      </c>
      <c r="L26" s="107">
        <v>1</v>
      </c>
    </row>
    <row r="27" spans="1:12" ht="15" customHeight="1" x14ac:dyDescent="0.25">
      <c r="A27" s="203"/>
      <c r="B27" s="203"/>
      <c r="C27" s="105" t="s">
        <v>12</v>
      </c>
      <c r="D27" s="76">
        <v>12.5</v>
      </c>
      <c r="E27" s="76">
        <v>6.4</v>
      </c>
      <c r="F27" s="76">
        <v>30</v>
      </c>
      <c r="G27" s="76">
        <v>12.7</v>
      </c>
      <c r="H27" s="76">
        <v>4.5</v>
      </c>
      <c r="I27" s="76">
        <v>0.9</v>
      </c>
      <c r="J27" s="76">
        <v>2</v>
      </c>
      <c r="K27" s="76">
        <v>6.2</v>
      </c>
      <c r="L27" s="76">
        <v>75.3</v>
      </c>
    </row>
    <row r="28" spans="1:12" ht="15" customHeight="1" x14ac:dyDescent="0.25">
      <c r="A28" s="203"/>
      <c r="B28" s="203" t="s">
        <v>24</v>
      </c>
      <c r="C28" s="106" t="s">
        <v>22</v>
      </c>
      <c r="D28" s="107" t="s">
        <v>167</v>
      </c>
      <c r="E28" s="107" t="s">
        <v>167</v>
      </c>
      <c r="F28" s="107" t="s">
        <v>167</v>
      </c>
      <c r="G28" s="107" t="s">
        <v>167</v>
      </c>
      <c r="H28" s="107" t="s">
        <v>167</v>
      </c>
      <c r="I28" s="107" t="s">
        <v>167</v>
      </c>
      <c r="J28" s="107" t="s">
        <v>167</v>
      </c>
      <c r="K28" s="107" t="s">
        <v>167</v>
      </c>
      <c r="L28" s="107" t="s">
        <v>167</v>
      </c>
    </row>
    <row r="29" spans="1:12" ht="15" customHeight="1" x14ac:dyDescent="0.25">
      <c r="A29" s="203"/>
      <c r="B29" s="203"/>
      <c r="C29" s="106" t="s">
        <v>23</v>
      </c>
      <c r="D29" s="107" t="s">
        <v>167</v>
      </c>
      <c r="E29" s="107" t="s">
        <v>167</v>
      </c>
      <c r="F29" s="107" t="s">
        <v>167</v>
      </c>
      <c r="G29" s="107" t="s">
        <v>167</v>
      </c>
      <c r="H29" s="107" t="s">
        <v>167</v>
      </c>
      <c r="I29" s="107" t="s">
        <v>167</v>
      </c>
      <c r="J29" s="107" t="s">
        <v>167</v>
      </c>
      <c r="K29" s="107" t="s">
        <v>167</v>
      </c>
      <c r="L29" s="107" t="s">
        <v>167</v>
      </c>
    </row>
    <row r="30" spans="1:12" ht="15" customHeight="1" x14ac:dyDescent="0.25">
      <c r="A30" s="203"/>
      <c r="B30" s="203"/>
      <c r="C30" s="106" t="s">
        <v>24</v>
      </c>
      <c r="D30" s="107" t="s">
        <v>167</v>
      </c>
      <c r="E30" s="107" t="s">
        <v>167</v>
      </c>
      <c r="F30" s="107" t="s">
        <v>167</v>
      </c>
      <c r="G30" s="107" t="s">
        <v>167</v>
      </c>
      <c r="H30" s="107" t="s">
        <v>167</v>
      </c>
      <c r="I30" s="107" t="s">
        <v>167</v>
      </c>
      <c r="J30" s="107" t="s">
        <v>167</v>
      </c>
      <c r="K30" s="107" t="s">
        <v>167</v>
      </c>
      <c r="L30" s="107" t="s">
        <v>167</v>
      </c>
    </row>
    <row r="31" spans="1:12" ht="15" customHeight="1" x14ac:dyDescent="0.25">
      <c r="A31" s="203"/>
      <c r="B31" s="203"/>
      <c r="C31" s="105" t="s">
        <v>12</v>
      </c>
      <c r="D31" s="76" t="s">
        <v>167</v>
      </c>
      <c r="E31" s="76" t="s">
        <v>167</v>
      </c>
      <c r="F31" s="76" t="s">
        <v>167</v>
      </c>
      <c r="G31" s="76" t="s">
        <v>167</v>
      </c>
      <c r="H31" s="76" t="s">
        <v>167</v>
      </c>
      <c r="I31" s="76" t="s">
        <v>167</v>
      </c>
      <c r="J31" s="76" t="s">
        <v>167</v>
      </c>
      <c r="K31" s="76" t="s">
        <v>167</v>
      </c>
      <c r="L31" s="76" t="s">
        <v>167</v>
      </c>
    </row>
    <row r="32" spans="1:12" ht="15" customHeight="1" x14ac:dyDescent="0.25">
      <c r="A32" s="203"/>
      <c r="B32" s="203" t="s">
        <v>12</v>
      </c>
      <c r="C32" s="106" t="s">
        <v>22</v>
      </c>
      <c r="D32" s="107">
        <v>77.3</v>
      </c>
      <c r="E32" s="107">
        <v>11.5</v>
      </c>
      <c r="F32" s="107">
        <v>180.3</v>
      </c>
      <c r="G32" s="107">
        <v>82.4</v>
      </c>
      <c r="H32" s="107">
        <v>15.6</v>
      </c>
      <c r="I32" s="107">
        <v>3.2</v>
      </c>
      <c r="J32" s="107">
        <v>2.8</v>
      </c>
      <c r="K32" s="107">
        <v>49.7</v>
      </c>
      <c r="L32" s="107">
        <v>422.9</v>
      </c>
    </row>
    <row r="33" spans="1:12" ht="15" customHeight="1" x14ac:dyDescent="0.25">
      <c r="A33" s="203"/>
      <c r="B33" s="203"/>
      <c r="C33" s="106" t="s">
        <v>23</v>
      </c>
      <c r="D33" s="107">
        <v>67.8</v>
      </c>
      <c r="E33" s="107">
        <v>66.900000000000006</v>
      </c>
      <c r="F33" s="107">
        <v>88.5</v>
      </c>
      <c r="G33" s="107">
        <v>22.4</v>
      </c>
      <c r="H33" s="107">
        <v>15</v>
      </c>
      <c r="I33" s="107">
        <v>4.9000000000000004</v>
      </c>
      <c r="J33" s="107">
        <v>6.9</v>
      </c>
      <c r="K33" s="107">
        <v>2</v>
      </c>
      <c r="L33" s="107">
        <v>274.39999999999998</v>
      </c>
    </row>
    <row r="34" spans="1:12" ht="15" customHeight="1" x14ac:dyDescent="0.25">
      <c r="A34" s="203"/>
      <c r="B34" s="203"/>
      <c r="C34" s="106" t="s">
        <v>24</v>
      </c>
      <c r="D34" s="107">
        <v>2</v>
      </c>
      <c r="E34" s="107" t="s">
        <v>167</v>
      </c>
      <c r="F34" s="107" t="s">
        <v>167</v>
      </c>
      <c r="G34" s="107" t="s">
        <v>167</v>
      </c>
      <c r="H34" s="107" t="s">
        <v>167</v>
      </c>
      <c r="I34" s="107" t="s">
        <v>167</v>
      </c>
      <c r="J34" s="107" t="s">
        <v>167</v>
      </c>
      <c r="K34" s="107">
        <v>0.6</v>
      </c>
      <c r="L34" s="107">
        <v>2.7</v>
      </c>
    </row>
    <row r="35" spans="1:12" ht="15" customHeight="1" x14ac:dyDescent="0.25">
      <c r="A35" s="203"/>
      <c r="B35" s="203"/>
      <c r="C35" s="105" t="s">
        <v>12</v>
      </c>
      <c r="D35" s="76">
        <v>147.19999999999999</v>
      </c>
      <c r="E35" s="76">
        <v>78.400000000000006</v>
      </c>
      <c r="F35" s="76">
        <v>268.8</v>
      </c>
      <c r="G35" s="76">
        <v>104.9</v>
      </c>
      <c r="H35" s="76">
        <v>30.6</v>
      </c>
      <c r="I35" s="76">
        <v>8.1</v>
      </c>
      <c r="J35" s="76">
        <v>9.6999999999999993</v>
      </c>
      <c r="K35" s="76">
        <v>52.3</v>
      </c>
      <c r="L35" s="76">
        <v>700</v>
      </c>
    </row>
    <row r="36" spans="1:12" ht="15" customHeight="1" x14ac:dyDescent="0.25">
      <c r="A36" s="203" t="s">
        <v>53</v>
      </c>
      <c r="B36" s="203" t="s">
        <v>21</v>
      </c>
      <c r="C36" s="106" t="s">
        <v>22</v>
      </c>
      <c r="D36" s="107">
        <v>93.6</v>
      </c>
      <c r="E36" s="107">
        <v>10</v>
      </c>
      <c r="F36" s="107">
        <v>175.5</v>
      </c>
      <c r="G36" s="107">
        <v>57.7</v>
      </c>
      <c r="H36" s="107">
        <v>12.7</v>
      </c>
      <c r="I36" s="107">
        <v>2.7</v>
      </c>
      <c r="J36" s="107">
        <v>3.1</v>
      </c>
      <c r="K36" s="107">
        <v>41.6</v>
      </c>
      <c r="L36" s="107">
        <v>396.9</v>
      </c>
    </row>
    <row r="37" spans="1:12" ht="15" customHeight="1" x14ac:dyDescent="0.25">
      <c r="A37" s="203"/>
      <c r="B37" s="203"/>
      <c r="C37" s="106" t="s">
        <v>23</v>
      </c>
      <c r="D37" s="107">
        <v>55.5</v>
      </c>
      <c r="E37" s="107">
        <v>56.6</v>
      </c>
      <c r="F37" s="107">
        <v>74.400000000000006</v>
      </c>
      <c r="G37" s="107">
        <v>19.899999999999999</v>
      </c>
      <c r="H37" s="107">
        <v>12</v>
      </c>
      <c r="I37" s="107">
        <v>7.9</v>
      </c>
      <c r="J37" s="107">
        <v>7.9</v>
      </c>
      <c r="K37" s="107">
        <v>1.6</v>
      </c>
      <c r="L37" s="107">
        <v>235.7</v>
      </c>
    </row>
    <row r="38" spans="1:12" ht="15" customHeight="1" x14ac:dyDescent="0.25">
      <c r="A38" s="203"/>
      <c r="B38" s="203"/>
      <c r="C38" s="106" t="s">
        <v>24</v>
      </c>
      <c r="D38" s="107">
        <v>0.4</v>
      </c>
      <c r="E38" s="107" t="s">
        <v>167</v>
      </c>
      <c r="F38" s="107" t="s">
        <v>167</v>
      </c>
      <c r="G38" s="107" t="s">
        <v>167</v>
      </c>
      <c r="H38" s="107" t="s">
        <v>167</v>
      </c>
      <c r="I38" s="107" t="s">
        <v>167</v>
      </c>
      <c r="J38" s="107" t="s">
        <v>167</v>
      </c>
      <c r="K38" s="107">
        <v>1.3</v>
      </c>
      <c r="L38" s="107">
        <v>1.7</v>
      </c>
    </row>
    <row r="39" spans="1:12" ht="15" customHeight="1" x14ac:dyDescent="0.25">
      <c r="A39" s="203"/>
      <c r="B39" s="203"/>
      <c r="C39" s="105" t="s">
        <v>12</v>
      </c>
      <c r="D39" s="76">
        <v>149.5</v>
      </c>
      <c r="E39" s="76">
        <v>66.599999999999994</v>
      </c>
      <c r="F39" s="76">
        <v>249.9</v>
      </c>
      <c r="G39" s="76">
        <v>77.5</v>
      </c>
      <c r="H39" s="76">
        <v>24.7</v>
      </c>
      <c r="I39" s="76">
        <v>10.6</v>
      </c>
      <c r="J39" s="76">
        <v>11.1</v>
      </c>
      <c r="K39" s="76">
        <v>44.5</v>
      </c>
      <c r="L39" s="76">
        <v>634.29999999999995</v>
      </c>
    </row>
    <row r="40" spans="1:12" ht="15" customHeight="1" x14ac:dyDescent="0.25">
      <c r="A40" s="203"/>
      <c r="B40" s="203" t="s">
        <v>25</v>
      </c>
      <c r="C40" s="106" t="s">
        <v>22</v>
      </c>
      <c r="D40" s="107">
        <v>5.0999999999999996</v>
      </c>
      <c r="E40" s="107">
        <v>0.2</v>
      </c>
      <c r="F40" s="107">
        <v>28.3</v>
      </c>
      <c r="G40" s="107">
        <v>6.2</v>
      </c>
      <c r="H40" s="107">
        <v>4.2</v>
      </c>
      <c r="I40" s="107">
        <v>1.2</v>
      </c>
      <c r="J40" s="107">
        <v>1.1000000000000001</v>
      </c>
      <c r="K40" s="107">
        <v>6.9</v>
      </c>
      <c r="L40" s="107">
        <v>53.2</v>
      </c>
    </row>
    <row r="41" spans="1:12" ht="15" customHeight="1" x14ac:dyDescent="0.25">
      <c r="A41" s="203"/>
      <c r="B41" s="203"/>
      <c r="C41" s="106" t="s">
        <v>23</v>
      </c>
      <c r="D41" s="107">
        <v>5.4</v>
      </c>
      <c r="E41" s="107">
        <v>4.7</v>
      </c>
      <c r="F41" s="107">
        <v>7.5</v>
      </c>
      <c r="G41" s="107">
        <v>2.7</v>
      </c>
      <c r="H41" s="107">
        <v>2.1</v>
      </c>
      <c r="I41" s="107">
        <v>1.1000000000000001</v>
      </c>
      <c r="J41" s="107">
        <v>1.6</v>
      </c>
      <c r="K41" s="107" t="s">
        <v>167</v>
      </c>
      <c r="L41" s="107">
        <v>25.1</v>
      </c>
    </row>
    <row r="42" spans="1:12" ht="15" customHeight="1" x14ac:dyDescent="0.25">
      <c r="A42" s="203"/>
      <c r="B42" s="203"/>
      <c r="C42" s="106" t="s">
        <v>24</v>
      </c>
      <c r="D42" s="107">
        <v>0.1</v>
      </c>
      <c r="E42" s="107" t="s">
        <v>167</v>
      </c>
      <c r="F42" s="107" t="s">
        <v>167</v>
      </c>
      <c r="G42" s="107" t="s">
        <v>167</v>
      </c>
      <c r="H42" s="107" t="s">
        <v>167</v>
      </c>
      <c r="I42" s="107" t="s">
        <v>167</v>
      </c>
      <c r="J42" s="107" t="s">
        <v>167</v>
      </c>
      <c r="K42" s="107">
        <v>0.5</v>
      </c>
      <c r="L42" s="107">
        <v>0.7</v>
      </c>
    </row>
    <row r="43" spans="1:12" ht="15" customHeight="1" x14ac:dyDescent="0.25">
      <c r="A43" s="203"/>
      <c r="B43" s="203"/>
      <c r="C43" s="105" t="s">
        <v>12</v>
      </c>
      <c r="D43" s="76">
        <v>10.7</v>
      </c>
      <c r="E43" s="76">
        <v>5</v>
      </c>
      <c r="F43" s="76">
        <v>35.700000000000003</v>
      </c>
      <c r="G43" s="76">
        <v>8.8000000000000007</v>
      </c>
      <c r="H43" s="76">
        <v>6.3</v>
      </c>
      <c r="I43" s="76">
        <v>2.2999999999999998</v>
      </c>
      <c r="J43" s="76">
        <v>2.7</v>
      </c>
      <c r="K43" s="76">
        <v>7.4</v>
      </c>
      <c r="L43" s="76">
        <v>79</v>
      </c>
    </row>
    <row r="44" spans="1:12" ht="15" customHeight="1" x14ac:dyDescent="0.25">
      <c r="A44" s="203"/>
      <c r="B44" s="203" t="s">
        <v>24</v>
      </c>
      <c r="C44" s="106" t="s">
        <v>22</v>
      </c>
      <c r="D44" s="107" t="s">
        <v>167</v>
      </c>
      <c r="E44" s="107" t="s">
        <v>167</v>
      </c>
      <c r="F44" s="107" t="s">
        <v>167</v>
      </c>
      <c r="G44" s="107" t="s">
        <v>167</v>
      </c>
      <c r="H44" s="107" t="s">
        <v>167</v>
      </c>
      <c r="I44" s="107" t="s">
        <v>167</v>
      </c>
      <c r="J44" s="107" t="s">
        <v>167</v>
      </c>
      <c r="K44" s="107" t="s">
        <v>167</v>
      </c>
      <c r="L44" s="107" t="s">
        <v>167</v>
      </c>
    </row>
    <row r="45" spans="1:12" ht="15" customHeight="1" x14ac:dyDescent="0.25">
      <c r="A45" s="203"/>
      <c r="B45" s="203"/>
      <c r="C45" s="106" t="s">
        <v>23</v>
      </c>
      <c r="D45" s="107" t="s">
        <v>167</v>
      </c>
      <c r="E45" s="107" t="s">
        <v>167</v>
      </c>
      <c r="F45" s="107" t="s">
        <v>167</v>
      </c>
      <c r="G45" s="107" t="s">
        <v>167</v>
      </c>
      <c r="H45" s="107" t="s">
        <v>167</v>
      </c>
      <c r="I45" s="107" t="s">
        <v>167</v>
      </c>
      <c r="J45" s="107" t="s">
        <v>167</v>
      </c>
      <c r="K45" s="107" t="s">
        <v>167</v>
      </c>
      <c r="L45" s="107">
        <v>0.1</v>
      </c>
    </row>
    <row r="46" spans="1:12" ht="15" customHeight="1" x14ac:dyDescent="0.25">
      <c r="A46" s="203"/>
      <c r="B46" s="203"/>
      <c r="C46" s="106" t="s">
        <v>24</v>
      </c>
      <c r="D46" s="107" t="s">
        <v>167</v>
      </c>
      <c r="E46" s="107" t="s">
        <v>167</v>
      </c>
      <c r="F46" s="107" t="s">
        <v>167</v>
      </c>
      <c r="G46" s="107" t="s">
        <v>167</v>
      </c>
      <c r="H46" s="107" t="s">
        <v>167</v>
      </c>
      <c r="I46" s="107" t="s">
        <v>167</v>
      </c>
      <c r="J46" s="107" t="s">
        <v>167</v>
      </c>
      <c r="K46" s="107" t="s">
        <v>167</v>
      </c>
      <c r="L46" s="107" t="s">
        <v>167</v>
      </c>
    </row>
    <row r="47" spans="1:12" ht="15" customHeight="1" x14ac:dyDescent="0.25">
      <c r="A47" s="203"/>
      <c r="B47" s="203"/>
      <c r="C47" s="105" t="s">
        <v>12</v>
      </c>
      <c r="D47" s="76" t="s">
        <v>167</v>
      </c>
      <c r="E47" s="76" t="s">
        <v>167</v>
      </c>
      <c r="F47" s="76" t="s">
        <v>167</v>
      </c>
      <c r="G47" s="76" t="s">
        <v>167</v>
      </c>
      <c r="H47" s="76" t="s">
        <v>167</v>
      </c>
      <c r="I47" s="76" t="s">
        <v>167</v>
      </c>
      <c r="J47" s="76" t="s">
        <v>167</v>
      </c>
      <c r="K47" s="76" t="s">
        <v>167</v>
      </c>
      <c r="L47" s="76">
        <v>0.1</v>
      </c>
    </row>
    <row r="48" spans="1:12" ht="15" customHeight="1" x14ac:dyDescent="0.25">
      <c r="A48" s="203"/>
      <c r="B48" s="203" t="s">
        <v>12</v>
      </c>
      <c r="C48" s="106" t="s">
        <v>22</v>
      </c>
      <c r="D48" s="107">
        <v>98.7</v>
      </c>
      <c r="E48" s="107">
        <v>10.3</v>
      </c>
      <c r="F48" s="107">
        <v>203.8</v>
      </c>
      <c r="G48" s="107">
        <v>63.8</v>
      </c>
      <c r="H48" s="107">
        <v>17</v>
      </c>
      <c r="I48" s="107">
        <v>3.9</v>
      </c>
      <c r="J48" s="107">
        <v>4.2</v>
      </c>
      <c r="K48" s="107">
        <v>48.5</v>
      </c>
      <c r="L48" s="107">
        <v>450.1</v>
      </c>
    </row>
    <row r="49" spans="1:12" ht="15" customHeight="1" x14ac:dyDescent="0.25">
      <c r="A49" s="203"/>
      <c r="B49" s="203"/>
      <c r="C49" s="106" t="s">
        <v>23</v>
      </c>
      <c r="D49" s="107">
        <v>61</v>
      </c>
      <c r="E49" s="107">
        <v>61.3</v>
      </c>
      <c r="F49" s="107">
        <v>81.8</v>
      </c>
      <c r="G49" s="107">
        <v>22.5</v>
      </c>
      <c r="H49" s="107">
        <v>14.1</v>
      </c>
      <c r="I49" s="107">
        <v>9</v>
      </c>
      <c r="J49" s="107">
        <v>9.5</v>
      </c>
      <c r="K49" s="107">
        <v>1.6</v>
      </c>
      <c r="L49" s="107">
        <v>260.89999999999998</v>
      </c>
    </row>
    <row r="50" spans="1:12" ht="15" customHeight="1" x14ac:dyDescent="0.25">
      <c r="A50" s="203"/>
      <c r="B50" s="203"/>
      <c r="C50" s="106" t="s">
        <v>24</v>
      </c>
      <c r="D50" s="107">
        <v>0.5</v>
      </c>
      <c r="E50" s="107" t="s">
        <v>167</v>
      </c>
      <c r="F50" s="107" t="s">
        <v>167</v>
      </c>
      <c r="G50" s="107" t="s">
        <v>167</v>
      </c>
      <c r="H50" s="107" t="s">
        <v>167</v>
      </c>
      <c r="I50" s="107" t="s">
        <v>167</v>
      </c>
      <c r="J50" s="107" t="s">
        <v>167</v>
      </c>
      <c r="K50" s="107">
        <v>1.8</v>
      </c>
      <c r="L50" s="107">
        <v>2.4</v>
      </c>
    </row>
    <row r="51" spans="1:12" ht="15" customHeight="1" x14ac:dyDescent="0.25">
      <c r="A51" s="203"/>
      <c r="B51" s="203"/>
      <c r="C51" s="105" t="s">
        <v>12</v>
      </c>
      <c r="D51" s="76">
        <v>160.19999999999999</v>
      </c>
      <c r="E51" s="76">
        <v>71.599999999999994</v>
      </c>
      <c r="F51" s="76">
        <v>285.60000000000002</v>
      </c>
      <c r="G51" s="76">
        <v>86.4</v>
      </c>
      <c r="H51" s="76">
        <v>31.1</v>
      </c>
      <c r="I51" s="76">
        <v>13</v>
      </c>
      <c r="J51" s="76">
        <v>13.8</v>
      </c>
      <c r="K51" s="76">
        <v>51.9</v>
      </c>
      <c r="L51" s="76">
        <v>713.4</v>
      </c>
    </row>
    <row r="52" spans="1:12" ht="15" customHeight="1" x14ac:dyDescent="0.25">
      <c r="A52" s="203" t="s">
        <v>227</v>
      </c>
      <c r="B52" s="203" t="s">
        <v>21</v>
      </c>
      <c r="C52" s="106" t="s">
        <v>22</v>
      </c>
      <c r="D52" s="107">
        <v>108.7</v>
      </c>
      <c r="E52" s="107">
        <v>9.6</v>
      </c>
      <c r="F52" s="107">
        <v>182.5</v>
      </c>
      <c r="G52" s="107">
        <v>53.7</v>
      </c>
      <c r="H52" s="107">
        <v>12.3</v>
      </c>
      <c r="I52" s="107">
        <v>2.5</v>
      </c>
      <c r="J52" s="107">
        <v>3.6</v>
      </c>
      <c r="K52" s="107">
        <v>38.4</v>
      </c>
      <c r="L52" s="107">
        <v>411.1</v>
      </c>
    </row>
    <row r="53" spans="1:12" ht="15" customHeight="1" x14ac:dyDescent="0.25">
      <c r="A53" s="203"/>
      <c r="B53" s="203"/>
      <c r="C53" s="106" t="s">
        <v>23</v>
      </c>
      <c r="D53" s="107">
        <v>52.8</v>
      </c>
      <c r="E53" s="107">
        <v>42.2</v>
      </c>
      <c r="F53" s="107">
        <v>72.900000000000006</v>
      </c>
      <c r="G53" s="107">
        <v>23</v>
      </c>
      <c r="H53" s="107">
        <v>11.4</v>
      </c>
      <c r="I53" s="107">
        <v>9.5</v>
      </c>
      <c r="J53" s="107">
        <v>7.9</v>
      </c>
      <c r="K53" s="107">
        <v>1.6</v>
      </c>
      <c r="L53" s="107">
        <v>221.4</v>
      </c>
    </row>
    <row r="54" spans="1:12" ht="15" customHeight="1" x14ac:dyDescent="0.25">
      <c r="A54" s="203"/>
      <c r="B54" s="203"/>
      <c r="C54" s="106" t="s">
        <v>24</v>
      </c>
      <c r="D54" s="107">
        <v>0.2</v>
      </c>
      <c r="E54" s="107" t="s">
        <v>167</v>
      </c>
      <c r="F54" s="107" t="s">
        <v>167</v>
      </c>
      <c r="G54" s="107" t="s">
        <v>167</v>
      </c>
      <c r="H54" s="107" t="s">
        <v>167</v>
      </c>
      <c r="I54" s="107" t="s">
        <v>167</v>
      </c>
      <c r="J54" s="107" t="s">
        <v>167</v>
      </c>
      <c r="K54" s="107">
        <v>0.3</v>
      </c>
      <c r="L54" s="107">
        <v>0.6</v>
      </c>
    </row>
    <row r="55" spans="1:12" ht="15" customHeight="1" x14ac:dyDescent="0.25">
      <c r="A55" s="203"/>
      <c r="B55" s="203"/>
      <c r="C55" s="105" t="s">
        <v>12</v>
      </c>
      <c r="D55" s="76">
        <v>161.69999999999999</v>
      </c>
      <c r="E55" s="76">
        <v>51.8</v>
      </c>
      <c r="F55" s="76">
        <v>255.4</v>
      </c>
      <c r="G55" s="76">
        <v>76.7</v>
      </c>
      <c r="H55" s="76">
        <v>23.7</v>
      </c>
      <c r="I55" s="76">
        <v>12</v>
      </c>
      <c r="J55" s="76">
        <v>11.6</v>
      </c>
      <c r="K55" s="76">
        <v>40.299999999999997</v>
      </c>
      <c r="L55" s="76">
        <v>633.1</v>
      </c>
    </row>
    <row r="56" spans="1:12" ht="15" customHeight="1" x14ac:dyDescent="0.25">
      <c r="A56" s="203"/>
      <c r="B56" s="203" t="s">
        <v>25</v>
      </c>
      <c r="C56" s="106" t="s">
        <v>22</v>
      </c>
      <c r="D56" s="107">
        <v>8</v>
      </c>
      <c r="E56" s="107">
        <v>0.6</v>
      </c>
      <c r="F56" s="107">
        <v>29.5</v>
      </c>
      <c r="G56" s="107">
        <v>4.9000000000000004</v>
      </c>
      <c r="H56" s="107">
        <v>4.0999999999999996</v>
      </c>
      <c r="I56" s="107">
        <v>2.5</v>
      </c>
      <c r="J56" s="107">
        <v>0.7</v>
      </c>
      <c r="K56" s="107">
        <v>3.3</v>
      </c>
      <c r="L56" s="107">
        <v>53.5</v>
      </c>
    </row>
    <row r="57" spans="1:12" ht="15" customHeight="1" x14ac:dyDescent="0.25">
      <c r="A57" s="203"/>
      <c r="B57" s="203"/>
      <c r="C57" s="106" t="s">
        <v>23</v>
      </c>
      <c r="D57" s="107">
        <v>6.4</v>
      </c>
      <c r="E57" s="107">
        <v>1.3</v>
      </c>
      <c r="F57" s="107">
        <v>8.5</v>
      </c>
      <c r="G57" s="107">
        <v>3.7</v>
      </c>
      <c r="H57" s="107">
        <v>2.7</v>
      </c>
      <c r="I57" s="107">
        <v>1.1000000000000001</v>
      </c>
      <c r="J57" s="107">
        <v>0.6</v>
      </c>
      <c r="K57" s="107" t="s">
        <v>167</v>
      </c>
      <c r="L57" s="107">
        <v>24.5</v>
      </c>
    </row>
    <row r="58" spans="1:12" ht="15" customHeight="1" x14ac:dyDescent="0.25">
      <c r="A58" s="203"/>
      <c r="B58" s="203"/>
      <c r="C58" s="106" t="s">
        <v>24</v>
      </c>
      <c r="D58" s="107">
        <v>0.1</v>
      </c>
      <c r="E58" s="107" t="s">
        <v>167</v>
      </c>
      <c r="F58" s="107" t="s">
        <v>167</v>
      </c>
      <c r="G58" s="107" t="s">
        <v>167</v>
      </c>
      <c r="H58" s="107" t="s">
        <v>167</v>
      </c>
      <c r="I58" s="107" t="s">
        <v>167</v>
      </c>
      <c r="J58" s="107" t="s">
        <v>167</v>
      </c>
      <c r="K58" s="107" t="s">
        <v>167</v>
      </c>
      <c r="L58" s="107">
        <v>0.1</v>
      </c>
    </row>
    <row r="59" spans="1:12" ht="15" customHeight="1" x14ac:dyDescent="0.25">
      <c r="A59" s="203"/>
      <c r="B59" s="203"/>
      <c r="C59" s="105" t="s">
        <v>12</v>
      </c>
      <c r="D59" s="76">
        <v>14.5</v>
      </c>
      <c r="E59" s="76">
        <v>1.9</v>
      </c>
      <c r="F59" s="76">
        <v>38</v>
      </c>
      <c r="G59" s="76">
        <v>8.6999999999999993</v>
      </c>
      <c r="H59" s="76">
        <v>6.9</v>
      </c>
      <c r="I59" s="76">
        <v>3.6</v>
      </c>
      <c r="J59" s="76">
        <v>1.3</v>
      </c>
      <c r="K59" s="76">
        <v>3.3</v>
      </c>
      <c r="L59" s="76">
        <v>78.2</v>
      </c>
    </row>
    <row r="60" spans="1:12" ht="15" customHeight="1" x14ac:dyDescent="0.25">
      <c r="A60" s="203"/>
      <c r="B60" s="203" t="s">
        <v>24</v>
      </c>
      <c r="C60" s="106" t="s">
        <v>22</v>
      </c>
      <c r="D60" s="107" t="s">
        <v>167</v>
      </c>
      <c r="E60" s="107" t="s">
        <v>167</v>
      </c>
      <c r="F60" s="107" t="s">
        <v>167</v>
      </c>
      <c r="G60" s="107" t="s">
        <v>167</v>
      </c>
      <c r="H60" s="107" t="s">
        <v>167</v>
      </c>
      <c r="I60" s="107" t="s">
        <v>167</v>
      </c>
      <c r="J60" s="107" t="s">
        <v>167</v>
      </c>
      <c r="K60" s="107" t="s">
        <v>167</v>
      </c>
      <c r="L60" s="107" t="s">
        <v>167</v>
      </c>
    </row>
    <row r="61" spans="1:12" ht="15" customHeight="1" x14ac:dyDescent="0.25">
      <c r="A61" s="203"/>
      <c r="B61" s="203"/>
      <c r="C61" s="106" t="s">
        <v>23</v>
      </c>
      <c r="D61" s="107" t="s">
        <v>167</v>
      </c>
      <c r="E61" s="107" t="s">
        <v>167</v>
      </c>
      <c r="F61" s="107" t="s">
        <v>167</v>
      </c>
      <c r="G61" s="107" t="s">
        <v>167</v>
      </c>
      <c r="H61" s="107" t="s">
        <v>167</v>
      </c>
      <c r="I61" s="107" t="s">
        <v>167</v>
      </c>
      <c r="J61" s="107" t="s">
        <v>167</v>
      </c>
      <c r="K61" s="107" t="s">
        <v>167</v>
      </c>
      <c r="L61" s="107" t="s">
        <v>167</v>
      </c>
    </row>
    <row r="62" spans="1:12" ht="15" customHeight="1" x14ac:dyDescent="0.25">
      <c r="A62" s="203"/>
      <c r="B62" s="203"/>
      <c r="C62" s="106" t="s">
        <v>24</v>
      </c>
      <c r="D62" s="107" t="s">
        <v>167</v>
      </c>
      <c r="E62" s="107" t="s">
        <v>167</v>
      </c>
      <c r="F62" s="107" t="s">
        <v>167</v>
      </c>
      <c r="G62" s="107" t="s">
        <v>167</v>
      </c>
      <c r="H62" s="107" t="s">
        <v>167</v>
      </c>
      <c r="I62" s="107" t="s">
        <v>167</v>
      </c>
      <c r="J62" s="107" t="s">
        <v>167</v>
      </c>
      <c r="K62" s="107" t="s">
        <v>167</v>
      </c>
      <c r="L62" s="107" t="s">
        <v>167</v>
      </c>
    </row>
    <row r="63" spans="1:12" ht="15" customHeight="1" x14ac:dyDescent="0.25">
      <c r="A63" s="203"/>
      <c r="B63" s="203"/>
      <c r="C63" s="105" t="s">
        <v>12</v>
      </c>
      <c r="D63" s="76" t="s">
        <v>167</v>
      </c>
      <c r="E63" s="76" t="s">
        <v>167</v>
      </c>
      <c r="F63" s="76" t="s">
        <v>167</v>
      </c>
      <c r="G63" s="76" t="s">
        <v>167</v>
      </c>
      <c r="H63" s="76" t="s">
        <v>167</v>
      </c>
      <c r="I63" s="76" t="s">
        <v>167</v>
      </c>
      <c r="J63" s="76" t="s">
        <v>167</v>
      </c>
      <c r="K63" s="76" t="s">
        <v>167</v>
      </c>
      <c r="L63" s="76" t="s">
        <v>167</v>
      </c>
    </row>
    <row r="64" spans="1:12" ht="15" customHeight="1" x14ac:dyDescent="0.25">
      <c r="A64" s="203"/>
      <c r="B64" s="203" t="s">
        <v>12</v>
      </c>
      <c r="C64" s="106" t="s">
        <v>22</v>
      </c>
      <c r="D64" s="107">
        <v>116.6</v>
      </c>
      <c r="E64" s="107">
        <v>10.199999999999999</v>
      </c>
      <c r="F64" s="107">
        <v>212</v>
      </c>
      <c r="G64" s="107">
        <v>58.6</v>
      </c>
      <c r="H64" s="107">
        <v>16.399999999999999</v>
      </c>
      <c r="I64" s="107">
        <v>5</v>
      </c>
      <c r="J64" s="107">
        <v>4.3</v>
      </c>
      <c r="K64" s="107">
        <v>41.6</v>
      </c>
      <c r="L64" s="107">
        <v>464.7</v>
      </c>
    </row>
    <row r="65" spans="1:12" ht="15" customHeight="1" x14ac:dyDescent="0.25">
      <c r="A65" s="203"/>
      <c r="B65" s="203"/>
      <c r="C65" s="106" t="s">
        <v>23</v>
      </c>
      <c r="D65" s="107">
        <v>59.2</v>
      </c>
      <c r="E65" s="107">
        <v>43.6</v>
      </c>
      <c r="F65" s="107">
        <v>81.400000000000006</v>
      </c>
      <c r="G65" s="107">
        <v>26.8</v>
      </c>
      <c r="H65" s="107">
        <v>14.2</v>
      </c>
      <c r="I65" s="107">
        <v>10.6</v>
      </c>
      <c r="J65" s="107">
        <v>8.6</v>
      </c>
      <c r="K65" s="107">
        <v>1.6</v>
      </c>
      <c r="L65" s="107">
        <v>245.9</v>
      </c>
    </row>
    <row r="66" spans="1:12" ht="15" customHeight="1" x14ac:dyDescent="0.25">
      <c r="A66" s="203"/>
      <c r="B66" s="203"/>
      <c r="C66" s="106" t="s">
        <v>24</v>
      </c>
      <c r="D66" s="107">
        <v>0.4</v>
      </c>
      <c r="E66" s="107" t="s">
        <v>167</v>
      </c>
      <c r="F66" s="5" t="s">
        <v>167</v>
      </c>
      <c r="G66" s="107" t="s">
        <v>167</v>
      </c>
      <c r="H66" s="107" t="s">
        <v>167</v>
      </c>
      <c r="I66" s="107" t="s">
        <v>167</v>
      </c>
      <c r="J66" s="107" t="s">
        <v>167</v>
      </c>
      <c r="K66" s="107">
        <v>0.3</v>
      </c>
      <c r="L66" s="107">
        <v>0.7</v>
      </c>
    </row>
    <row r="67" spans="1:12" ht="15" customHeight="1" x14ac:dyDescent="0.25">
      <c r="A67" s="203"/>
      <c r="B67" s="203"/>
      <c r="C67" s="105" t="s">
        <v>12</v>
      </c>
      <c r="D67" s="76">
        <v>176.2</v>
      </c>
      <c r="E67" s="76">
        <v>53.7</v>
      </c>
      <c r="F67" s="76">
        <v>293.39999999999998</v>
      </c>
      <c r="G67" s="76">
        <v>85.4</v>
      </c>
      <c r="H67" s="76">
        <v>30.5</v>
      </c>
      <c r="I67" s="76">
        <v>15.6</v>
      </c>
      <c r="J67" s="76">
        <v>12.8</v>
      </c>
      <c r="K67" s="76">
        <v>43.6</v>
      </c>
      <c r="L67" s="76">
        <v>711.3</v>
      </c>
    </row>
    <row r="68" spans="1:12" ht="15" customHeight="1" x14ac:dyDescent="0.25">
      <c r="A68" s="203" t="s">
        <v>289</v>
      </c>
      <c r="B68" s="203" t="s">
        <v>21</v>
      </c>
      <c r="C68" s="106" t="s">
        <v>22</v>
      </c>
      <c r="D68" s="107">
        <v>108.8</v>
      </c>
      <c r="E68" s="107">
        <v>10.1</v>
      </c>
      <c r="F68" s="107">
        <v>177.7</v>
      </c>
      <c r="G68" s="107">
        <v>42.2</v>
      </c>
      <c r="H68" s="107">
        <v>16.600000000000001</v>
      </c>
      <c r="I68" s="107">
        <v>3.9</v>
      </c>
      <c r="J68" s="107">
        <v>4.5</v>
      </c>
      <c r="K68" s="107">
        <v>37.1</v>
      </c>
      <c r="L68" s="107">
        <v>400.9</v>
      </c>
    </row>
    <row r="69" spans="1:12" ht="15" customHeight="1" x14ac:dyDescent="0.25">
      <c r="A69" s="203"/>
      <c r="B69" s="203"/>
      <c r="C69" s="106" t="s">
        <v>23</v>
      </c>
      <c r="D69" s="107">
        <v>60.5</v>
      </c>
      <c r="E69" s="107">
        <v>60.7</v>
      </c>
      <c r="F69" s="107">
        <v>70.099999999999994</v>
      </c>
      <c r="G69" s="107">
        <v>24.7</v>
      </c>
      <c r="H69" s="107">
        <v>15.2</v>
      </c>
      <c r="I69" s="107">
        <v>7.8</v>
      </c>
      <c r="J69" s="107">
        <v>10.5</v>
      </c>
      <c r="K69" s="107">
        <v>2</v>
      </c>
      <c r="L69" s="107">
        <v>251.6</v>
      </c>
    </row>
    <row r="70" spans="1:12" ht="15" customHeight="1" x14ac:dyDescent="0.25">
      <c r="A70" s="203"/>
      <c r="B70" s="203"/>
      <c r="C70" s="106" t="s">
        <v>24</v>
      </c>
      <c r="D70" s="107">
        <v>0.7</v>
      </c>
      <c r="E70" s="107">
        <v>0.2</v>
      </c>
      <c r="F70" s="107">
        <v>0.1</v>
      </c>
      <c r="G70" s="107" t="s">
        <v>167</v>
      </c>
      <c r="H70" s="107">
        <v>0.3</v>
      </c>
      <c r="I70" s="107" t="s">
        <v>167</v>
      </c>
      <c r="J70" s="107" t="s">
        <v>167</v>
      </c>
      <c r="K70" s="107">
        <v>0.4</v>
      </c>
      <c r="L70" s="107">
        <v>1.8</v>
      </c>
    </row>
    <row r="71" spans="1:12" ht="15" customHeight="1" x14ac:dyDescent="0.25">
      <c r="A71" s="203"/>
      <c r="B71" s="203"/>
      <c r="C71" s="105" t="s">
        <v>12</v>
      </c>
      <c r="D71" s="76">
        <v>170</v>
      </c>
      <c r="E71" s="76">
        <v>71</v>
      </c>
      <c r="F71" s="76">
        <v>247.9</v>
      </c>
      <c r="G71" s="76">
        <v>66.900000000000006</v>
      </c>
      <c r="H71" s="76">
        <v>32.1</v>
      </c>
      <c r="I71" s="76">
        <v>11.7</v>
      </c>
      <c r="J71" s="76">
        <v>15</v>
      </c>
      <c r="K71" s="76">
        <v>39.5</v>
      </c>
      <c r="L71" s="76">
        <v>654.20000000000005</v>
      </c>
    </row>
    <row r="72" spans="1:12" ht="15" customHeight="1" x14ac:dyDescent="0.25">
      <c r="A72" s="203"/>
      <c r="B72" s="203" t="s">
        <v>25</v>
      </c>
      <c r="C72" s="106" t="s">
        <v>22</v>
      </c>
      <c r="D72" s="107">
        <v>8.6</v>
      </c>
      <c r="E72" s="107">
        <v>1.2</v>
      </c>
      <c r="F72" s="107">
        <v>30</v>
      </c>
      <c r="G72" s="107">
        <v>3.4</v>
      </c>
      <c r="H72" s="107">
        <v>3.9</v>
      </c>
      <c r="I72" s="107">
        <v>0.9</v>
      </c>
      <c r="J72" s="107">
        <v>1.2</v>
      </c>
      <c r="K72" s="107">
        <v>2.9</v>
      </c>
      <c r="L72" s="107">
        <v>52</v>
      </c>
    </row>
    <row r="73" spans="1:12" ht="15" customHeight="1" x14ac:dyDescent="0.25">
      <c r="A73" s="203"/>
      <c r="B73" s="203"/>
      <c r="C73" s="106" t="s">
        <v>23</v>
      </c>
      <c r="D73" s="107">
        <v>5.5</v>
      </c>
      <c r="E73" s="107">
        <v>1.6</v>
      </c>
      <c r="F73" s="107">
        <v>11.7</v>
      </c>
      <c r="G73" s="107">
        <v>3.6</v>
      </c>
      <c r="H73" s="107">
        <v>2.2000000000000002</v>
      </c>
      <c r="I73" s="107">
        <v>1.7</v>
      </c>
      <c r="J73" s="107">
        <v>0.9</v>
      </c>
      <c r="K73" s="107" t="s">
        <v>167</v>
      </c>
      <c r="L73" s="107">
        <v>27.3</v>
      </c>
    </row>
    <row r="74" spans="1:12" ht="15" customHeight="1" x14ac:dyDescent="0.25">
      <c r="A74" s="203"/>
      <c r="B74" s="203"/>
      <c r="C74" s="106" t="s">
        <v>24</v>
      </c>
      <c r="D74" s="107">
        <v>0.1</v>
      </c>
      <c r="E74" s="107" t="s">
        <v>167</v>
      </c>
      <c r="F74" s="107">
        <v>0.1</v>
      </c>
      <c r="G74" s="107" t="s">
        <v>167</v>
      </c>
      <c r="H74" s="107" t="s">
        <v>167</v>
      </c>
      <c r="I74" s="107" t="s">
        <v>167</v>
      </c>
      <c r="J74" s="107" t="s">
        <v>167</v>
      </c>
      <c r="K74" s="107" t="s">
        <v>167</v>
      </c>
      <c r="L74" s="107">
        <v>0.3</v>
      </c>
    </row>
    <row r="75" spans="1:12" ht="15" customHeight="1" x14ac:dyDescent="0.25">
      <c r="A75" s="203"/>
      <c r="B75" s="203"/>
      <c r="C75" s="105" t="s">
        <v>12</v>
      </c>
      <c r="D75" s="76">
        <v>14.3</v>
      </c>
      <c r="E75" s="76">
        <v>2.9</v>
      </c>
      <c r="F75" s="76">
        <v>41.8</v>
      </c>
      <c r="G75" s="76">
        <v>7</v>
      </c>
      <c r="H75" s="76">
        <v>6.1</v>
      </c>
      <c r="I75" s="76">
        <v>2.6</v>
      </c>
      <c r="J75" s="76">
        <v>2</v>
      </c>
      <c r="K75" s="76">
        <v>2.9</v>
      </c>
      <c r="L75" s="76">
        <v>79.5</v>
      </c>
    </row>
    <row r="76" spans="1:12" ht="15" customHeight="1" x14ac:dyDescent="0.25">
      <c r="A76" s="203"/>
      <c r="B76" s="203" t="s">
        <v>24</v>
      </c>
      <c r="C76" s="106" t="s">
        <v>22</v>
      </c>
      <c r="D76" s="107" t="s">
        <v>167</v>
      </c>
      <c r="E76" s="107" t="s">
        <v>167</v>
      </c>
      <c r="F76" s="107" t="s">
        <v>167</v>
      </c>
      <c r="G76" s="107" t="s">
        <v>167</v>
      </c>
      <c r="H76" s="107" t="s">
        <v>167</v>
      </c>
      <c r="I76" s="107" t="s">
        <v>167</v>
      </c>
      <c r="J76" s="107" t="s">
        <v>167</v>
      </c>
      <c r="K76" s="107" t="s">
        <v>167</v>
      </c>
      <c r="L76" s="107" t="s">
        <v>167</v>
      </c>
    </row>
    <row r="77" spans="1:12" ht="15" customHeight="1" x14ac:dyDescent="0.25">
      <c r="A77" s="203"/>
      <c r="B77" s="203"/>
      <c r="C77" s="106" t="s">
        <v>23</v>
      </c>
      <c r="D77" s="107" t="s">
        <v>167</v>
      </c>
      <c r="E77" s="107" t="s">
        <v>167</v>
      </c>
      <c r="F77" s="107" t="s">
        <v>167</v>
      </c>
      <c r="G77" s="107" t="s">
        <v>167</v>
      </c>
      <c r="H77" s="107" t="s">
        <v>167</v>
      </c>
      <c r="I77" s="107" t="s">
        <v>167</v>
      </c>
      <c r="J77" s="107" t="s">
        <v>167</v>
      </c>
      <c r="K77" s="107" t="s">
        <v>167</v>
      </c>
      <c r="L77" s="107">
        <v>0.1</v>
      </c>
    </row>
    <row r="78" spans="1:12" ht="15" customHeight="1" x14ac:dyDescent="0.25">
      <c r="A78" s="203"/>
      <c r="B78" s="203"/>
      <c r="C78" s="106" t="s">
        <v>24</v>
      </c>
      <c r="D78" s="107" t="s">
        <v>167</v>
      </c>
      <c r="E78" s="107" t="s">
        <v>167</v>
      </c>
      <c r="F78" s="107" t="s">
        <v>167</v>
      </c>
      <c r="G78" s="107" t="s">
        <v>167</v>
      </c>
      <c r="H78" s="107" t="s">
        <v>167</v>
      </c>
      <c r="I78" s="107" t="s">
        <v>167</v>
      </c>
      <c r="J78" s="107" t="s">
        <v>167</v>
      </c>
      <c r="K78" s="107" t="s">
        <v>167</v>
      </c>
      <c r="L78" s="107" t="s">
        <v>167</v>
      </c>
    </row>
    <row r="79" spans="1:12" ht="15" customHeight="1" x14ac:dyDescent="0.25">
      <c r="A79" s="203"/>
      <c r="B79" s="203"/>
      <c r="C79" s="105" t="s">
        <v>12</v>
      </c>
      <c r="D79" s="76" t="s">
        <v>167</v>
      </c>
      <c r="E79" s="76" t="s">
        <v>167</v>
      </c>
      <c r="F79" s="76" t="s">
        <v>167</v>
      </c>
      <c r="G79" s="76" t="s">
        <v>167</v>
      </c>
      <c r="H79" s="76" t="s">
        <v>167</v>
      </c>
      <c r="I79" s="76" t="s">
        <v>167</v>
      </c>
      <c r="J79" s="76" t="s">
        <v>167</v>
      </c>
      <c r="K79" s="76" t="s">
        <v>167</v>
      </c>
      <c r="L79" s="76">
        <v>0.1</v>
      </c>
    </row>
    <row r="80" spans="1:12" ht="15" customHeight="1" x14ac:dyDescent="0.25">
      <c r="A80" s="203"/>
      <c r="B80" s="203" t="s">
        <v>12</v>
      </c>
      <c r="C80" s="106" t="s">
        <v>22</v>
      </c>
      <c r="D80" s="107">
        <v>117.4</v>
      </c>
      <c r="E80" s="107">
        <v>11.3</v>
      </c>
      <c r="F80" s="107">
        <v>207.7</v>
      </c>
      <c r="G80" s="107">
        <v>45.6</v>
      </c>
      <c r="H80" s="107">
        <v>20.399999999999999</v>
      </c>
      <c r="I80" s="107">
        <v>4.7</v>
      </c>
      <c r="J80" s="107">
        <v>5.7</v>
      </c>
      <c r="K80" s="107">
        <v>40</v>
      </c>
      <c r="L80" s="107">
        <v>452.8</v>
      </c>
    </row>
    <row r="81" spans="1:12" ht="15" customHeight="1" x14ac:dyDescent="0.25">
      <c r="A81" s="203"/>
      <c r="B81" s="203"/>
      <c r="C81" s="106" t="s">
        <v>23</v>
      </c>
      <c r="D81" s="107">
        <v>66.099999999999994</v>
      </c>
      <c r="E81" s="107">
        <v>62.3</v>
      </c>
      <c r="F81" s="107">
        <v>81.8</v>
      </c>
      <c r="G81" s="107">
        <v>28.3</v>
      </c>
      <c r="H81" s="107">
        <v>17.399999999999999</v>
      </c>
      <c r="I81" s="107">
        <v>9.6</v>
      </c>
      <c r="J81" s="107">
        <v>11.4</v>
      </c>
      <c r="K81" s="107">
        <v>2</v>
      </c>
      <c r="L81" s="107">
        <v>278.89999999999998</v>
      </c>
    </row>
    <row r="82" spans="1:12" ht="15" customHeight="1" x14ac:dyDescent="0.25">
      <c r="A82" s="203"/>
      <c r="B82" s="203"/>
      <c r="C82" s="106" t="s">
        <v>24</v>
      </c>
      <c r="D82" s="107">
        <v>0.8</v>
      </c>
      <c r="E82" s="107">
        <v>0.2</v>
      </c>
      <c r="F82" s="107">
        <v>0.3</v>
      </c>
      <c r="G82" s="107" t="s">
        <v>167</v>
      </c>
      <c r="H82" s="107">
        <v>0.3</v>
      </c>
      <c r="I82" s="107" t="s">
        <v>167</v>
      </c>
      <c r="J82" s="107" t="s">
        <v>167</v>
      </c>
      <c r="K82" s="107">
        <v>0.4</v>
      </c>
      <c r="L82" s="107">
        <v>2</v>
      </c>
    </row>
    <row r="83" spans="1:12" ht="15" customHeight="1" x14ac:dyDescent="0.25">
      <c r="A83" s="203"/>
      <c r="B83" s="203"/>
      <c r="C83" s="105" t="s">
        <v>12</v>
      </c>
      <c r="D83" s="76">
        <v>184.3</v>
      </c>
      <c r="E83" s="76">
        <v>73.900000000000006</v>
      </c>
      <c r="F83" s="76">
        <v>289.8</v>
      </c>
      <c r="G83" s="76">
        <v>73.900000000000006</v>
      </c>
      <c r="H83" s="76">
        <v>38.200000000000003</v>
      </c>
      <c r="I83" s="76">
        <v>14.3</v>
      </c>
      <c r="J83" s="76">
        <v>17.100000000000001</v>
      </c>
      <c r="K83" s="76">
        <v>42.4</v>
      </c>
      <c r="L83" s="76">
        <v>733.7</v>
      </c>
    </row>
    <row r="84" spans="1:12" ht="11.1" customHeight="1" x14ac:dyDescent="0.25">
      <c r="A84" s="201" t="s">
        <v>13</v>
      </c>
      <c r="B84" s="201"/>
      <c r="C84" s="201"/>
      <c r="D84" s="201"/>
      <c r="E84" s="201"/>
      <c r="F84" s="201"/>
      <c r="G84" s="201"/>
      <c r="H84" s="201"/>
      <c r="I84" s="201"/>
      <c r="J84" s="201"/>
      <c r="K84" s="201"/>
      <c r="L84" s="201"/>
    </row>
    <row r="85" spans="1:12" s="6" customFormat="1" ht="11.1" customHeight="1" x14ac:dyDescent="0.15">
      <c r="A85" s="6" t="s">
        <v>14</v>
      </c>
    </row>
    <row r="86" spans="1:12" s="10" customFormat="1" ht="11.1" customHeight="1" x14ac:dyDescent="0.2">
      <c r="A86" s="57" t="s">
        <v>18</v>
      </c>
    </row>
    <row r="87" spans="1:12" s="6" customFormat="1" ht="11.1" customHeight="1" x14ac:dyDescent="0.15">
      <c r="A87" s="6" t="s">
        <v>64</v>
      </c>
    </row>
    <row r="88" spans="1:12" s="6" customFormat="1" ht="18" customHeight="1" x14ac:dyDescent="0.15">
      <c r="A88" s="199" t="s">
        <v>65</v>
      </c>
      <c r="B88" s="199"/>
      <c r="C88" s="199"/>
      <c r="D88" s="199"/>
      <c r="E88" s="199"/>
      <c r="F88" s="199"/>
      <c r="G88" s="199"/>
      <c r="H88" s="199"/>
      <c r="I88" s="199"/>
      <c r="J88" s="199"/>
      <c r="K88" s="199"/>
      <c r="L88" s="199"/>
    </row>
    <row r="89" spans="1:12" s="6" customFormat="1" ht="11.1" customHeight="1" x14ac:dyDescent="0.15">
      <c r="A89" s="6" t="s">
        <v>16</v>
      </c>
    </row>
    <row r="90" spans="1:12" s="6" customFormat="1" ht="11.1" customHeight="1" x14ac:dyDescent="0.15">
      <c r="A90" s="6" t="s">
        <v>271</v>
      </c>
    </row>
    <row r="91" spans="1:12" ht="12" customHeight="1" x14ac:dyDescent="0.25">
      <c r="A91" s="2"/>
    </row>
  </sheetData>
  <mergeCells count="28">
    <mergeCell ref="A88:L88"/>
    <mergeCell ref="A1:L1"/>
    <mergeCell ref="A4:A19"/>
    <mergeCell ref="B4:B7"/>
    <mergeCell ref="B8:B11"/>
    <mergeCell ref="B12:B15"/>
    <mergeCell ref="B16:B19"/>
    <mergeCell ref="A36:A51"/>
    <mergeCell ref="B36:B39"/>
    <mergeCell ref="B40:B43"/>
    <mergeCell ref="B44:B47"/>
    <mergeCell ref="B48:B51"/>
    <mergeCell ref="A20:A35"/>
    <mergeCell ref="B20:B23"/>
    <mergeCell ref="B24:B27"/>
    <mergeCell ref="B28:B31"/>
    <mergeCell ref="B32:B35"/>
    <mergeCell ref="A84:L84"/>
    <mergeCell ref="A52:A67"/>
    <mergeCell ref="B52:B55"/>
    <mergeCell ref="B56:B59"/>
    <mergeCell ref="B60:B63"/>
    <mergeCell ref="B64:B67"/>
    <mergeCell ref="A68:A83"/>
    <mergeCell ref="B68:B71"/>
    <mergeCell ref="B72:B75"/>
    <mergeCell ref="B76:B79"/>
    <mergeCell ref="B80:B83"/>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89"/>
  <sheetViews>
    <sheetView topLeftCell="A27" zoomScaleNormal="100" workbookViewId="0">
      <selection activeCell="L46" sqref="L46"/>
    </sheetView>
  </sheetViews>
  <sheetFormatPr defaultColWidth="9.140625" defaultRowHeight="15" x14ac:dyDescent="0.25"/>
  <cols>
    <col min="1" max="12" width="11.42578125" style="1" bestFit="1" customWidth="1"/>
    <col min="13" max="16384" width="9.140625" style="1"/>
  </cols>
  <sheetData>
    <row r="1" spans="1:12" ht="24.75" customHeight="1" x14ac:dyDescent="0.25">
      <c r="A1" s="200" t="s">
        <v>316</v>
      </c>
      <c r="B1" s="200"/>
      <c r="C1" s="200"/>
      <c r="D1" s="200"/>
      <c r="E1" s="200"/>
      <c r="F1" s="200"/>
      <c r="G1" s="200"/>
      <c r="H1" s="200"/>
      <c r="I1" s="200"/>
      <c r="J1" s="200"/>
      <c r="K1" s="200"/>
      <c r="L1" s="200"/>
    </row>
    <row r="2" spans="1:12" ht="3.75" customHeight="1" x14ac:dyDescent="0.25">
      <c r="A2" s="2"/>
    </row>
    <row r="3" spans="1:12" ht="23.25" x14ac:dyDescent="0.25">
      <c r="A3" s="52" t="s">
        <v>189</v>
      </c>
      <c r="B3" s="52" t="s">
        <v>185</v>
      </c>
      <c r="C3" s="52" t="s">
        <v>186</v>
      </c>
      <c r="D3" s="3" t="s">
        <v>1</v>
      </c>
      <c r="E3" s="3" t="s">
        <v>2</v>
      </c>
      <c r="F3" s="3" t="s">
        <v>3</v>
      </c>
      <c r="G3" s="3" t="s">
        <v>4</v>
      </c>
      <c r="H3" s="3" t="s">
        <v>5</v>
      </c>
      <c r="I3" s="3" t="s">
        <v>6</v>
      </c>
      <c r="J3" s="3" t="s">
        <v>7</v>
      </c>
      <c r="K3" s="3" t="s">
        <v>8</v>
      </c>
      <c r="L3" s="3" t="s">
        <v>9</v>
      </c>
    </row>
    <row r="4" spans="1:12" ht="15" customHeight="1" x14ac:dyDescent="0.25">
      <c r="A4" s="203" t="s">
        <v>51</v>
      </c>
      <c r="B4" s="203" t="s">
        <v>21</v>
      </c>
      <c r="C4" s="106" t="s">
        <v>22</v>
      </c>
      <c r="D4" s="107">
        <v>76</v>
      </c>
      <c r="E4" s="107">
        <v>19</v>
      </c>
      <c r="F4" s="107">
        <v>140.4</v>
      </c>
      <c r="G4" s="107">
        <v>72.3</v>
      </c>
      <c r="H4" s="107">
        <v>12.6</v>
      </c>
      <c r="I4" s="107">
        <v>3.7</v>
      </c>
      <c r="J4" s="107">
        <v>2</v>
      </c>
      <c r="K4" s="107">
        <v>27.8</v>
      </c>
      <c r="L4" s="107">
        <v>353.7</v>
      </c>
    </row>
    <row r="5" spans="1:12" ht="15" customHeight="1" x14ac:dyDescent="0.25">
      <c r="A5" s="203"/>
      <c r="B5" s="203"/>
      <c r="C5" s="106" t="s">
        <v>23</v>
      </c>
      <c r="D5" s="107">
        <v>110.7</v>
      </c>
      <c r="E5" s="107">
        <v>134.1</v>
      </c>
      <c r="F5" s="107">
        <v>71.599999999999994</v>
      </c>
      <c r="G5" s="107">
        <v>23.3</v>
      </c>
      <c r="H5" s="107">
        <v>10.199999999999999</v>
      </c>
      <c r="I5" s="107">
        <v>5</v>
      </c>
      <c r="J5" s="107">
        <v>5.9</v>
      </c>
      <c r="K5" s="107">
        <v>1.3</v>
      </c>
      <c r="L5" s="107">
        <v>362.1</v>
      </c>
    </row>
    <row r="6" spans="1:12" ht="15" customHeight="1" x14ac:dyDescent="0.25">
      <c r="A6" s="203"/>
      <c r="B6" s="203"/>
      <c r="C6" s="106" t="s">
        <v>24</v>
      </c>
      <c r="D6" s="107">
        <v>1.2</v>
      </c>
      <c r="E6" s="107" t="s">
        <v>167</v>
      </c>
      <c r="F6" s="107">
        <v>0.5</v>
      </c>
      <c r="G6" s="107" t="s">
        <v>167</v>
      </c>
      <c r="H6" s="107" t="s">
        <v>167</v>
      </c>
      <c r="I6" s="107" t="s">
        <v>167</v>
      </c>
      <c r="J6" s="107" t="s">
        <v>167</v>
      </c>
      <c r="K6" s="107">
        <v>0.4</v>
      </c>
      <c r="L6" s="107">
        <v>2</v>
      </c>
    </row>
    <row r="7" spans="1:12" ht="15" customHeight="1" x14ac:dyDescent="0.25">
      <c r="A7" s="203"/>
      <c r="B7" s="203"/>
      <c r="C7" s="105" t="s">
        <v>12</v>
      </c>
      <c r="D7" s="76">
        <v>187.9</v>
      </c>
      <c r="E7" s="76">
        <v>153.19999999999999</v>
      </c>
      <c r="F7" s="76">
        <v>212.5</v>
      </c>
      <c r="G7" s="76">
        <v>95.6</v>
      </c>
      <c r="H7" s="76">
        <v>22.7</v>
      </c>
      <c r="I7" s="76">
        <v>8.6999999999999993</v>
      </c>
      <c r="J7" s="76">
        <v>7.9</v>
      </c>
      <c r="K7" s="76">
        <v>29.5</v>
      </c>
      <c r="L7" s="76">
        <v>717.9</v>
      </c>
    </row>
    <row r="8" spans="1:12" ht="15" customHeight="1" x14ac:dyDescent="0.25">
      <c r="A8" s="203"/>
      <c r="B8" s="203" t="s">
        <v>25</v>
      </c>
      <c r="C8" s="106" t="s">
        <v>22</v>
      </c>
      <c r="D8" s="107">
        <v>7.3</v>
      </c>
      <c r="E8" s="107">
        <v>1</v>
      </c>
      <c r="F8" s="107">
        <v>15.9</v>
      </c>
      <c r="G8" s="107">
        <v>8.5</v>
      </c>
      <c r="H8" s="107">
        <v>3.6</v>
      </c>
      <c r="I8" s="107" t="s">
        <v>167</v>
      </c>
      <c r="J8" s="107">
        <v>0.7</v>
      </c>
      <c r="K8" s="107">
        <v>2.8</v>
      </c>
      <c r="L8" s="107">
        <v>39.9</v>
      </c>
    </row>
    <row r="9" spans="1:12" ht="15" customHeight="1" x14ac:dyDescent="0.25">
      <c r="A9" s="203"/>
      <c r="B9" s="203"/>
      <c r="C9" s="106" t="s">
        <v>23</v>
      </c>
      <c r="D9" s="107">
        <v>10.3</v>
      </c>
      <c r="E9" s="107">
        <v>9.1999999999999993</v>
      </c>
      <c r="F9" s="107">
        <v>9.1999999999999993</v>
      </c>
      <c r="G9" s="107">
        <v>1.7</v>
      </c>
      <c r="H9" s="107">
        <v>1.9</v>
      </c>
      <c r="I9" s="107">
        <v>0.7</v>
      </c>
      <c r="J9" s="107">
        <v>0.9</v>
      </c>
      <c r="K9" s="107" t="s">
        <v>167</v>
      </c>
      <c r="L9" s="107">
        <v>33.9</v>
      </c>
    </row>
    <row r="10" spans="1:12" ht="15" customHeight="1" x14ac:dyDescent="0.25">
      <c r="A10" s="203"/>
      <c r="B10" s="203"/>
      <c r="C10" s="106" t="s">
        <v>24</v>
      </c>
      <c r="D10" s="107">
        <v>0.1</v>
      </c>
      <c r="E10" s="107" t="s">
        <v>167</v>
      </c>
      <c r="F10" s="107" t="s">
        <v>167</v>
      </c>
      <c r="G10" s="107" t="s">
        <v>167</v>
      </c>
      <c r="H10" s="107" t="s">
        <v>167</v>
      </c>
      <c r="I10" s="107" t="s">
        <v>167</v>
      </c>
      <c r="J10" s="107" t="s">
        <v>167</v>
      </c>
      <c r="K10" s="107" t="s">
        <v>167</v>
      </c>
      <c r="L10" s="107">
        <v>0.1</v>
      </c>
    </row>
    <row r="11" spans="1:12" ht="15" customHeight="1" x14ac:dyDescent="0.25">
      <c r="A11" s="203"/>
      <c r="B11" s="203"/>
      <c r="C11" s="105" t="s">
        <v>12</v>
      </c>
      <c r="D11" s="76">
        <v>17.7</v>
      </c>
      <c r="E11" s="76">
        <v>10.199999999999999</v>
      </c>
      <c r="F11" s="76">
        <v>25.2</v>
      </c>
      <c r="G11" s="76">
        <v>10.199999999999999</v>
      </c>
      <c r="H11" s="76">
        <v>5.5</v>
      </c>
      <c r="I11" s="76">
        <v>0.7</v>
      </c>
      <c r="J11" s="76">
        <v>1.5</v>
      </c>
      <c r="K11" s="76">
        <v>2.8</v>
      </c>
      <c r="L11" s="76">
        <v>73.900000000000006</v>
      </c>
    </row>
    <row r="12" spans="1:12" ht="15" customHeight="1" x14ac:dyDescent="0.25">
      <c r="A12" s="203"/>
      <c r="B12" s="203" t="s">
        <v>24</v>
      </c>
      <c r="C12" s="106" t="s">
        <v>22</v>
      </c>
      <c r="D12" s="107">
        <v>0.3</v>
      </c>
      <c r="E12" s="107" t="s">
        <v>167</v>
      </c>
      <c r="F12" s="107" t="s">
        <v>167</v>
      </c>
      <c r="G12" s="107" t="s">
        <v>167</v>
      </c>
      <c r="H12" s="107" t="s">
        <v>167</v>
      </c>
      <c r="I12" s="107" t="s">
        <v>167</v>
      </c>
      <c r="J12" s="107" t="s">
        <v>167</v>
      </c>
      <c r="K12" s="107" t="s">
        <v>167</v>
      </c>
      <c r="L12" s="107">
        <v>0.3</v>
      </c>
    </row>
    <row r="13" spans="1:12" ht="15" customHeight="1" x14ac:dyDescent="0.25">
      <c r="A13" s="203"/>
      <c r="B13" s="203"/>
      <c r="C13" s="106" t="s">
        <v>23</v>
      </c>
      <c r="D13" s="107" t="s">
        <v>167</v>
      </c>
      <c r="E13" s="107" t="s">
        <v>167</v>
      </c>
      <c r="F13" s="107" t="s">
        <v>167</v>
      </c>
      <c r="G13" s="107" t="s">
        <v>167</v>
      </c>
      <c r="H13" s="107" t="s">
        <v>167</v>
      </c>
      <c r="I13" s="107" t="s">
        <v>167</v>
      </c>
      <c r="J13" s="107" t="s">
        <v>167</v>
      </c>
      <c r="K13" s="107" t="s">
        <v>167</v>
      </c>
      <c r="L13" s="107" t="s">
        <v>167</v>
      </c>
    </row>
    <row r="14" spans="1:12" ht="15" customHeight="1" x14ac:dyDescent="0.25">
      <c r="A14" s="203"/>
      <c r="B14" s="203"/>
      <c r="C14" s="106" t="s">
        <v>24</v>
      </c>
      <c r="D14" s="107" t="s">
        <v>167</v>
      </c>
      <c r="E14" s="107" t="s">
        <v>167</v>
      </c>
      <c r="F14" s="107" t="s">
        <v>167</v>
      </c>
      <c r="G14" s="107" t="s">
        <v>167</v>
      </c>
      <c r="H14" s="107" t="s">
        <v>167</v>
      </c>
      <c r="I14" s="107" t="s">
        <v>167</v>
      </c>
      <c r="J14" s="107" t="s">
        <v>167</v>
      </c>
      <c r="K14" s="107" t="s">
        <v>167</v>
      </c>
      <c r="L14" s="107" t="s">
        <v>167</v>
      </c>
    </row>
    <row r="15" spans="1:12" ht="15" customHeight="1" x14ac:dyDescent="0.25">
      <c r="A15" s="203"/>
      <c r="B15" s="203"/>
      <c r="C15" s="105" t="s">
        <v>12</v>
      </c>
      <c r="D15" s="76">
        <v>0.3</v>
      </c>
      <c r="E15" s="76" t="s">
        <v>167</v>
      </c>
      <c r="F15" s="76" t="s">
        <v>167</v>
      </c>
      <c r="G15" s="76" t="s">
        <v>167</v>
      </c>
      <c r="H15" s="76" t="s">
        <v>167</v>
      </c>
      <c r="I15" s="76" t="s">
        <v>167</v>
      </c>
      <c r="J15" s="76" t="s">
        <v>167</v>
      </c>
      <c r="K15" s="76" t="s">
        <v>167</v>
      </c>
      <c r="L15" s="76">
        <v>0.3</v>
      </c>
    </row>
    <row r="16" spans="1:12" ht="15" customHeight="1" x14ac:dyDescent="0.25">
      <c r="A16" s="203"/>
      <c r="B16" s="203" t="s">
        <v>12</v>
      </c>
      <c r="C16" s="106" t="s">
        <v>22</v>
      </c>
      <c r="D16" s="107">
        <v>83.6</v>
      </c>
      <c r="E16" s="107">
        <v>20.100000000000001</v>
      </c>
      <c r="F16" s="107">
        <v>156.4</v>
      </c>
      <c r="G16" s="107">
        <v>80.8</v>
      </c>
      <c r="H16" s="107">
        <v>16.2</v>
      </c>
      <c r="I16" s="107">
        <v>3.7</v>
      </c>
      <c r="J16" s="107">
        <v>2.6</v>
      </c>
      <c r="K16" s="107">
        <v>30.6</v>
      </c>
      <c r="L16" s="107">
        <v>393.9</v>
      </c>
    </row>
    <row r="17" spans="1:12" ht="15" customHeight="1" x14ac:dyDescent="0.25">
      <c r="A17" s="203"/>
      <c r="B17" s="203"/>
      <c r="C17" s="106" t="s">
        <v>23</v>
      </c>
      <c r="D17" s="107">
        <v>121</v>
      </c>
      <c r="E17" s="107">
        <v>143.30000000000001</v>
      </c>
      <c r="F17" s="107">
        <v>80.8</v>
      </c>
      <c r="G17" s="107">
        <v>25</v>
      </c>
      <c r="H17" s="107">
        <v>12.1</v>
      </c>
      <c r="I17" s="107">
        <v>5.7</v>
      </c>
      <c r="J17" s="107">
        <v>6.8</v>
      </c>
      <c r="K17" s="107">
        <v>1.3</v>
      </c>
      <c r="L17" s="107">
        <v>396.1</v>
      </c>
    </row>
    <row r="18" spans="1:12" ht="15" customHeight="1" x14ac:dyDescent="0.25">
      <c r="A18" s="203"/>
      <c r="B18" s="203"/>
      <c r="C18" s="106" t="s">
        <v>24</v>
      </c>
      <c r="D18" s="107">
        <v>1.3</v>
      </c>
      <c r="E18" s="107" t="s">
        <v>167</v>
      </c>
      <c r="F18" s="107">
        <v>0.5</v>
      </c>
      <c r="G18" s="107" t="s">
        <v>167</v>
      </c>
      <c r="H18" s="107" t="s">
        <v>167</v>
      </c>
      <c r="I18" s="107" t="s">
        <v>167</v>
      </c>
      <c r="J18" s="107" t="s">
        <v>167</v>
      </c>
      <c r="K18" s="107">
        <v>0.4</v>
      </c>
      <c r="L18" s="107">
        <v>2.2000000000000002</v>
      </c>
    </row>
    <row r="19" spans="1:12" ht="15" customHeight="1" x14ac:dyDescent="0.25">
      <c r="A19" s="203"/>
      <c r="B19" s="203"/>
      <c r="C19" s="105" t="s">
        <v>12</v>
      </c>
      <c r="D19" s="76">
        <v>205.9</v>
      </c>
      <c r="E19" s="76">
        <v>163.4</v>
      </c>
      <c r="F19" s="76">
        <v>237.7</v>
      </c>
      <c r="G19" s="76">
        <v>105.8</v>
      </c>
      <c r="H19" s="76">
        <v>28.2</v>
      </c>
      <c r="I19" s="76">
        <v>9.4</v>
      </c>
      <c r="J19" s="76">
        <v>9.4</v>
      </c>
      <c r="K19" s="76">
        <v>32.299999999999997</v>
      </c>
      <c r="L19" s="76">
        <v>792.1</v>
      </c>
    </row>
    <row r="20" spans="1:12" ht="15" customHeight="1" x14ac:dyDescent="0.25">
      <c r="A20" s="203" t="s">
        <v>52</v>
      </c>
      <c r="B20" s="203" t="s">
        <v>21</v>
      </c>
      <c r="C20" s="106" t="s">
        <v>22</v>
      </c>
      <c r="D20" s="107">
        <v>81.099999999999994</v>
      </c>
      <c r="E20" s="107">
        <v>16.2</v>
      </c>
      <c r="F20" s="107">
        <v>170</v>
      </c>
      <c r="G20" s="107">
        <v>79.599999999999994</v>
      </c>
      <c r="H20" s="107">
        <v>15.1</v>
      </c>
      <c r="I20" s="107">
        <v>4.0999999999999996</v>
      </c>
      <c r="J20" s="107">
        <v>1.7</v>
      </c>
      <c r="K20" s="107">
        <v>44.1</v>
      </c>
      <c r="L20" s="107">
        <v>412</v>
      </c>
    </row>
    <row r="21" spans="1:12" ht="15" customHeight="1" x14ac:dyDescent="0.25">
      <c r="A21" s="203"/>
      <c r="B21" s="203"/>
      <c r="C21" s="106" t="s">
        <v>23</v>
      </c>
      <c r="D21" s="107">
        <v>93.5</v>
      </c>
      <c r="E21" s="107">
        <v>95.6</v>
      </c>
      <c r="F21" s="107">
        <v>88.2</v>
      </c>
      <c r="G21" s="107">
        <v>23.6</v>
      </c>
      <c r="H21" s="107">
        <v>15</v>
      </c>
      <c r="I21" s="107">
        <v>4.0999999999999996</v>
      </c>
      <c r="J21" s="107">
        <v>7.9</v>
      </c>
      <c r="K21" s="107">
        <v>1.8</v>
      </c>
      <c r="L21" s="107">
        <v>329.6</v>
      </c>
    </row>
    <row r="22" spans="1:12" ht="15" customHeight="1" x14ac:dyDescent="0.25">
      <c r="A22" s="203"/>
      <c r="B22" s="203"/>
      <c r="C22" s="106" t="s">
        <v>24</v>
      </c>
      <c r="D22" s="107">
        <v>1.6</v>
      </c>
      <c r="E22" s="107" t="s">
        <v>167</v>
      </c>
      <c r="F22" s="107" t="s">
        <v>167</v>
      </c>
      <c r="G22" s="107" t="s">
        <v>167</v>
      </c>
      <c r="H22" s="107" t="s">
        <v>167</v>
      </c>
      <c r="I22" s="107" t="s">
        <v>167</v>
      </c>
      <c r="J22" s="107" t="s">
        <v>167</v>
      </c>
      <c r="K22" s="107">
        <v>0.3</v>
      </c>
      <c r="L22" s="107">
        <v>1.9</v>
      </c>
    </row>
    <row r="23" spans="1:12" ht="15" customHeight="1" x14ac:dyDescent="0.25">
      <c r="A23" s="203"/>
      <c r="B23" s="203"/>
      <c r="C23" s="105" t="s">
        <v>12</v>
      </c>
      <c r="D23" s="76">
        <v>176.3</v>
      </c>
      <c r="E23" s="76">
        <v>111.7</v>
      </c>
      <c r="F23" s="76">
        <v>258.2</v>
      </c>
      <c r="G23" s="76">
        <v>103.2</v>
      </c>
      <c r="H23" s="76">
        <v>30</v>
      </c>
      <c r="I23" s="76">
        <v>8.1999999999999993</v>
      </c>
      <c r="J23" s="76">
        <v>9.6</v>
      </c>
      <c r="K23" s="76">
        <v>46.2</v>
      </c>
      <c r="L23" s="76">
        <v>743.5</v>
      </c>
    </row>
    <row r="24" spans="1:12" ht="15" customHeight="1" x14ac:dyDescent="0.25">
      <c r="A24" s="203"/>
      <c r="B24" s="203" t="s">
        <v>25</v>
      </c>
      <c r="C24" s="106" t="s">
        <v>22</v>
      </c>
      <c r="D24" s="107">
        <v>6.4</v>
      </c>
      <c r="E24" s="107">
        <v>1.8</v>
      </c>
      <c r="F24" s="107">
        <v>20.5</v>
      </c>
      <c r="G24" s="107">
        <v>10.7</v>
      </c>
      <c r="H24" s="107">
        <v>2.4</v>
      </c>
      <c r="I24" s="107" t="s">
        <v>167</v>
      </c>
      <c r="J24" s="107">
        <v>1.2</v>
      </c>
      <c r="K24" s="107">
        <v>5.6</v>
      </c>
      <c r="L24" s="107">
        <v>48.7</v>
      </c>
    </row>
    <row r="25" spans="1:12" ht="15" customHeight="1" x14ac:dyDescent="0.25">
      <c r="A25" s="203"/>
      <c r="B25" s="203"/>
      <c r="C25" s="106" t="s">
        <v>23</v>
      </c>
      <c r="D25" s="107">
        <v>6.7</v>
      </c>
      <c r="E25" s="107">
        <v>6.9</v>
      </c>
      <c r="F25" s="107">
        <v>10.5</v>
      </c>
      <c r="G25" s="107">
        <v>4.0999999999999996</v>
      </c>
      <c r="H25" s="107">
        <v>2.1</v>
      </c>
      <c r="I25" s="107">
        <v>0.9</v>
      </c>
      <c r="J25" s="107">
        <v>0.8</v>
      </c>
      <c r="K25" s="107">
        <v>0.2</v>
      </c>
      <c r="L25" s="107">
        <v>32.299999999999997</v>
      </c>
    </row>
    <row r="26" spans="1:12" ht="15" customHeight="1" x14ac:dyDescent="0.25">
      <c r="A26" s="203"/>
      <c r="B26" s="203"/>
      <c r="C26" s="106" t="s">
        <v>24</v>
      </c>
      <c r="D26" s="107">
        <v>0.7</v>
      </c>
      <c r="E26" s="107" t="s">
        <v>167</v>
      </c>
      <c r="F26" s="107" t="s">
        <v>167</v>
      </c>
      <c r="G26" s="107" t="s">
        <v>167</v>
      </c>
      <c r="H26" s="107" t="s">
        <v>167</v>
      </c>
      <c r="I26" s="107" t="s">
        <v>167</v>
      </c>
      <c r="J26" s="107" t="s">
        <v>167</v>
      </c>
      <c r="K26" s="107">
        <v>0.3</v>
      </c>
      <c r="L26" s="107">
        <v>1</v>
      </c>
    </row>
    <row r="27" spans="1:12" ht="15" customHeight="1" x14ac:dyDescent="0.25">
      <c r="A27" s="203"/>
      <c r="B27" s="203"/>
      <c r="C27" s="105" t="s">
        <v>12</v>
      </c>
      <c r="D27" s="76">
        <v>13.8</v>
      </c>
      <c r="E27" s="76">
        <v>8.6999999999999993</v>
      </c>
      <c r="F27" s="76">
        <v>31.1</v>
      </c>
      <c r="G27" s="76">
        <v>14.8</v>
      </c>
      <c r="H27" s="76">
        <v>4.5</v>
      </c>
      <c r="I27" s="76">
        <v>0.9</v>
      </c>
      <c r="J27" s="76">
        <v>2</v>
      </c>
      <c r="K27" s="76">
        <v>6.2</v>
      </c>
      <c r="L27" s="76">
        <v>82.1</v>
      </c>
    </row>
    <row r="28" spans="1:12" ht="15" customHeight="1" x14ac:dyDescent="0.25">
      <c r="A28" s="203"/>
      <c r="B28" s="203" t="s">
        <v>24</v>
      </c>
      <c r="C28" s="106" t="s">
        <v>22</v>
      </c>
      <c r="D28" s="107" t="s">
        <v>167</v>
      </c>
      <c r="E28" s="107" t="s">
        <v>167</v>
      </c>
      <c r="F28" s="107" t="s">
        <v>167</v>
      </c>
      <c r="G28" s="107" t="s">
        <v>167</v>
      </c>
      <c r="H28" s="107" t="s">
        <v>167</v>
      </c>
      <c r="I28" s="107" t="s">
        <v>167</v>
      </c>
      <c r="J28" s="107" t="s">
        <v>167</v>
      </c>
      <c r="K28" s="107" t="s">
        <v>167</v>
      </c>
      <c r="L28" s="107" t="s">
        <v>167</v>
      </c>
    </row>
    <row r="29" spans="1:12" ht="15" customHeight="1" x14ac:dyDescent="0.25">
      <c r="A29" s="203"/>
      <c r="B29" s="203"/>
      <c r="C29" s="106" t="s">
        <v>23</v>
      </c>
      <c r="D29" s="107" t="s">
        <v>167</v>
      </c>
      <c r="E29" s="107" t="s">
        <v>167</v>
      </c>
      <c r="F29" s="107" t="s">
        <v>167</v>
      </c>
      <c r="G29" s="107" t="s">
        <v>167</v>
      </c>
      <c r="H29" s="107" t="s">
        <v>167</v>
      </c>
      <c r="I29" s="107" t="s">
        <v>167</v>
      </c>
      <c r="J29" s="107" t="s">
        <v>167</v>
      </c>
      <c r="K29" s="107" t="s">
        <v>167</v>
      </c>
      <c r="L29" s="107" t="s">
        <v>167</v>
      </c>
    </row>
    <row r="30" spans="1:12" ht="15" customHeight="1" x14ac:dyDescent="0.25">
      <c r="A30" s="203"/>
      <c r="B30" s="203"/>
      <c r="C30" s="106" t="s">
        <v>24</v>
      </c>
      <c r="D30" s="107" t="s">
        <v>167</v>
      </c>
      <c r="E30" s="107" t="s">
        <v>167</v>
      </c>
      <c r="F30" s="107" t="s">
        <v>167</v>
      </c>
      <c r="G30" s="107" t="s">
        <v>167</v>
      </c>
      <c r="H30" s="107" t="s">
        <v>167</v>
      </c>
      <c r="I30" s="107" t="s">
        <v>167</v>
      </c>
      <c r="J30" s="107" t="s">
        <v>167</v>
      </c>
      <c r="K30" s="107" t="s">
        <v>167</v>
      </c>
      <c r="L30" s="107" t="s">
        <v>167</v>
      </c>
    </row>
    <row r="31" spans="1:12" ht="15" customHeight="1" x14ac:dyDescent="0.25">
      <c r="A31" s="203"/>
      <c r="B31" s="203"/>
      <c r="C31" s="105" t="s">
        <v>12</v>
      </c>
      <c r="D31" s="76" t="s">
        <v>167</v>
      </c>
      <c r="E31" s="76" t="s">
        <v>167</v>
      </c>
      <c r="F31" s="76" t="s">
        <v>167</v>
      </c>
      <c r="G31" s="76" t="s">
        <v>167</v>
      </c>
      <c r="H31" s="76" t="s">
        <v>167</v>
      </c>
      <c r="I31" s="76" t="s">
        <v>167</v>
      </c>
      <c r="J31" s="76" t="s">
        <v>167</v>
      </c>
      <c r="K31" s="76" t="s">
        <v>167</v>
      </c>
      <c r="L31" s="107" t="s">
        <v>167</v>
      </c>
    </row>
    <row r="32" spans="1:12" ht="15" customHeight="1" x14ac:dyDescent="0.25">
      <c r="A32" s="203"/>
      <c r="B32" s="203" t="s">
        <v>12</v>
      </c>
      <c r="C32" s="106" t="s">
        <v>22</v>
      </c>
      <c r="D32" s="107">
        <v>87.5</v>
      </c>
      <c r="E32" s="107">
        <v>18</v>
      </c>
      <c r="F32" s="107">
        <v>190.6</v>
      </c>
      <c r="G32" s="107">
        <v>90.3</v>
      </c>
      <c r="H32" s="107">
        <v>17.5</v>
      </c>
      <c r="I32" s="107">
        <v>4.0999999999999996</v>
      </c>
      <c r="J32" s="107">
        <v>2.9</v>
      </c>
      <c r="K32" s="107">
        <v>49.7</v>
      </c>
      <c r="L32" s="107">
        <v>460.7</v>
      </c>
    </row>
    <row r="33" spans="1:12" ht="15" customHeight="1" x14ac:dyDescent="0.25">
      <c r="A33" s="203"/>
      <c r="B33" s="203"/>
      <c r="C33" s="106" t="s">
        <v>23</v>
      </c>
      <c r="D33" s="107">
        <v>100.2</v>
      </c>
      <c r="E33" s="107">
        <v>102.5</v>
      </c>
      <c r="F33" s="107">
        <v>98.7</v>
      </c>
      <c r="G33" s="107">
        <v>27.7</v>
      </c>
      <c r="H33" s="107">
        <v>17</v>
      </c>
      <c r="I33" s="107">
        <v>5</v>
      </c>
      <c r="J33" s="107">
        <v>8.6999999999999993</v>
      </c>
      <c r="K33" s="107">
        <v>2</v>
      </c>
      <c r="L33" s="107">
        <v>361.9</v>
      </c>
    </row>
    <row r="34" spans="1:12" ht="15" customHeight="1" x14ac:dyDescent="0.25">
      <c r="A34" s="203"/>
      <c r="B34" s="203"/>
      <c r="C34" s="106" t="s">
        <v>24</v>
      </c>
      <c r="D34" s="107">
        <v>2.2999999999999998</v>
      </c>
      <c r="E34" s="107" t="s">
        <v>167</v>
      </c>
      <c r="F34" s="107" t="s">
        <v>167</v>
      </c>
      <c r="G34" s="107" t="s">
        <v>167</v>
      </c>
      <c r="H34" s="107" t="s">
        <v>167</v>
      </c>
      <c r="I34" s="107" t="s">
        <v>167</v>
      </c>
      <c r="J34" s="107" t="s">
        <v>167</v>
      </c>
      <c r="K34" s="107">
        <v>0.6</v>
      </c>
      <c r="L34" s="107">
        <v>3</v>
      </c>
    </row>
    <row r="35" spans="1:12" ht="15" customHeight="1" x14ac:dyDescent="0.25">
      <c r="A35" s="203"/>
      <c r="B35" s="203"/>
      <c r="C35" s="105" t="s">
        <v>12</v>
      </c>
      <c r="D35" s="76">
        <v>190.1</v>
      </c>
      <c r="E35" s="76">
        <v>120.5</v>
      </c>
      <c r="F35" s="76">
        <v>289.3</v>
      </c>
      <c r="G35" s="76">
        <v>118</v>
      </c>
      <c r="H35" s="76">
        <v>34.5</v>
      </c>
      <c r="I35" s="76">
        <v>9.1</v>
      </c>
      <c r="J35" s="76">
        <v>11.6</v>
      </c>
      <c r="K35" s="76">
        <v>52.4</v>
      </c>
      <c r="L35" s="76">
        <v>825.5</v>
      </c>
    </row>
    <row r="36" spans="1:12" ht="15" customHeight="1" x14ac:dyDescent="0.25">
      <c r="A36" s="203" t="s">
        <v>53</v>
      </c>
      <c r="B36" s="203" t="s">
        <v>21</v>
      </c>
      <c r="C36" s="106" t="s">
        <v>22</v>
      </c>
      <c r="D36" s="107">
        <v>102.8</v>
      </c>
      <c r="E36" s="107">
        <v>14.6</v>
      </c>
      <c r="F36" s="107">
        <v>188.8</v>
      </c>
      <c r="G36" s="107">
        <v>65.400000000000006</v>
      </c>
      <c r="H36" s="107">
        <v>13.9</v>
      </c>
      <c r="I36" s="107">
        <v>3.2</v>
      </c>
      <c r="J36" s="107">
        <v>3.4</v>
      </c>
      <c r="K36" s="107">
        <v>42.6</v>
      </c>
      <c r="L36" s="107">
        <v>434.7</v>
      </c>
    </row>
    <row r="37" spans="1:12" ht="15" customHeight="1" x14ac:dyDescent="0.25">
      <c r="A37" s="203"/>
      <c r="B37" s="203"/>
      <c r="C37" s="106" t="s">
        <v>23</v>
      </c>
      <c r="D37" s="107">
        <v>83.9</v>
      </c>
      <c r="E37" s="107">
        <v>86.5</v>
      </c>
      <c r="F37" s="107">
        <v>84.6</v>
      </c>
      <c r="G37" s="107">
        <v>22.1</v>
      </c>
      <c r="H37" s="107">
        <v>13.1</v>
      </c>
      <c r="I37" s="107">
        <v>8</v>
      </c>
      <c r="J37" s="107">
        <v>11.1</v>
      </c>
      <c r="K37" s="107">
        <v>1.6</v>
      </c>
      <c r="L37" s="107">
        <v>310.89999999999998</v>
      </c>
    </row>
    <row r="38" spans="1:12" ht="15" customHeight="1" x14ac:dyDescent="0.25">
      <c r="A38" s="203"/>
      <c r="B38" s="203"/>
      <c r="C38" s="106" t="s">
        <v>24</v>
      </c>
      <c r="D38" s="107">
        <v>0.9</v>
      </c>
      <c r="E38" s="107" t="s">
        <v>167</v>
      </c>
      <c r="F38" s="107" t="s">
        <v>167</v>
      </c>
      <c r="G38" s="107" t="s">
        <v>167</v>
      </c>
      <c r="H38" s="107" t="s">
        <v>167</v>
      </c>
      <c r="I38" s="107" t="s">
        <v>167</v>
      </c>
      <c r="J38" s="107">
        <v>0.6</v>
      </c>
      <c r="K38" s="107">
        <v>1.3</v>
      </c>
      <c r="L38" s="107">
        <v>2.8</v>
      </c>
    </row>
    <row r="39" spans="1:12" ht="15" customHeight="1" x14ac:dyDescent="0.25">
      <c r="A39" s="203"/>
      <c r="B39" s="203"/>
      <c r="C39" s="105" t="s">
        <v>12</v>
      </c>
      <c r="D39" s="76">
        <v>187.5</v>
      </c>
      <c r="E39" s="76">
        <v>101.1</v>
      </c>
      <c r="F39" s="76">
        <v>273.5</v>
      </c>
      <c r="G39" s="76">
        <v>87.5</v>
      </c>
      <c r="H39" s="76">
        <v>27</v>
      </c>
      <c r="I39" s="76">
        <v>11.2</v>
      </c>
      <c r="J39" s="76">
        <v>15.1</v>
      </c>
      <c r="K39" s="76">
        <v>45.5</v>
      </c>
      <c r="L39" s="76">
        <v>748.4</v>
      </c>
    </row>
    <row r="40" spans="1:12" ht="15" customHeight="1" x14ac:dyDescent="0.25">
      <c r="A40" s="203"/>
      <c r="B40" s="203" t="s">
        <v>25</v>
      </c>
      <c r="C40" s="106" t="s">
        <v>22</v>
      </c>
      <c r="D40" s="107">
        <v>5.7</v>
      </c>
      <c r="E40" s="107">
        <v>0.6</v>
      </c>
      <c r="F40" s="107">
        <v>29.4</v>
      </c>
      <c r="G40" s="107">
        <v>6.4</v>
      </c>
      <c r="H40" s="107">
        <v>4.3</v>
      </c>
      <c r="I40" s="107">
        <v>1.2</v>
      </c>
      <c r="J40" s="107">
        <v>1.1000000000000001</v>
      </c>
      <c r="K40" s="107">
        <v>6.9</v>
      </c>
      <c r="L40" s="107">
        <v>55.6</v>
      </c>
    </row>
    <row r="41" spans="1:12" ht="15" customHeight="1" x14ac:dyDescent="0.25">
      <c r="A41" s="203"/>
      <c r="B41" s="203"/>
      <c r="C41" s="106" t="s">
        <v>23</v>
      </c>
      <c r="D41" s="107">
        <v>6.4</v>
      </c>
      <c r="E41" s="107">
        <v>6</v>
      </c>
      <c r="F41" s="107">
        <v>8.4</v>
      </c>
      <c r="G41" s="107">
        <v>4.8</v>
      </c>
      <c r="H41" s="107">
        <v>2.1</v>
      </c>
      <c r="I41" s="107">
        <v>1.1000000000000001</v>
      </c>
      <c r="J41" s="107">
        <v>1.6</v>
      </c>
      <c r="K41" s="107" t="s">
        <v>167</v>
      </c>
      <c r="L41" s="107">
        <v>30.5</v>
      </c>
    </row>
    <row r="42" spans="1:12" ht="15" customHeight="1" x14ac:dyDescent="0.25">
      <c r="A42" s="203"/>
      <c r="B42" s="203"/>
      <c r="C42" s="106" t="s">
        <v>24</v>
      </c>
      <c r="D42" s="107">
        <v>0.1</v>
      </c>
      <c r="E42" s="107" t="s">
        <v>167</v>
      </c>
      <c r="F42" s="107" t="s">
        <v>167</v>
      </c>
      <c r="G42" s="107" t="s">
        <v>167</v>
      </c>
      <c r="H42" s="107" t="s">
        <v>167</v>
      </c>
      <c r="I42" s="107" t="s">
        <v>167</v>
      </c>
      <c r="J42" s="107" t="s">
        <v>167</v>
      </c>
      <c r="K42" s="107">
        <v>0.5</v>
      </c>
      <c r="L42" s="107">
        <v>0.7</v>
      </c>
    </row>
    <row r="43" spans="1:12" ht="15" customHeight="1" x14ac:dyDescent="0.25">
      <c r="A43" s="203"/>
      <c r="B43" s="203"/>
      <c r="C43" s="105" t="s">
        <v>12</v>
      </c>
      <c r="D43" s="76">
        <v>12.2</v>
      </c>
      <c r="E43" s="76">
        <v>6.6</v>
      </c>
      <c r="F43" s="76">
        <v>37.799999999999997</v>
      </c>
      <c r="G43" s="76">
        <v>11.1</v>
      </c>
      <c r="H43" s="76">
        <v>6.4</v>
      </c>
      <c r="I43" s="76">
        <v>2.2999999999999998</v>
      </c>
      <c r="J43" s="76">
        <v>2.7</v>
      </c>
      <c r="K43" s="76">
        <v>7.4</v>
      </c>
      <c r="L43" s="76">
        <v>86.7</v>
      </c>
    </row>
    <row r="44" spans="1:12" ht="15" customHeight="1" x14ac:dyDescent="0.25">
      <c r="A44" s="203"/>
      <c r="B44" s="203" t="s">
        <v>24</v>
      </c>
      <c r="C44" s="106" t="s">
        <v>22</v>
      </c>
      <c r="D44" s="107" t="s">
        <v>167</v>
      </c>
      <c r="E44" s="107" t="s">
        <v>167</v>
      </c>
      <c r="F44" s="107" t="s">
        <v>167</v>
      </c>
      <c r="G44" s="107" t="s">
        <v>167</v>
      </c>
      <c r="H44" s="107" t="s">
        <v>167</v>
      </c>
      <c r="I44" s="107" t="s">
        <v>167</v>
      </c>
      <c r="J44" s="107" t="s">
        <v>167</v>
      </c>
      <c r="K44" s="107" t="s">
        <v>167</v>
      </c>
      <c r="L44" s="5" t="s">
        <v>167</v>
      </c>
    </row>
    <row r="45" spans="1:12" ht="15" customHeight="1" x14ac:dyDescent="0.25">
      <c r="A45" s="203"/>
      <c r="B45" s="203"/>
      <c r="C45" s="106" t="s">
        <v>23</v>
      </c>
      <c r="D45" s="107" t="s">
        <v>167</v>
      </c>
      <c r="E45" s="107" t="s">
        <v>167</v>
      </c>
      <c r="F45" s="107" t="s">
        <v>167</v>
      </c>
      <c r="G45" s="107" t="s">
        <v>167</v>
      </c>
      <c r="H45" s="107" t="s">
        <v>167</v>
      </c>
      <c r="I45" s="107" t="s">
        <v>167</v>
      </c>
      <c r="J45" s="107" t="s">
        <v>167</v>
      </c>
      <c r="K45" s="107" t="s">
        <v>167</v>
      </c>
      <c r="L45" s="107">
        <v>0.1</v>
      </c>
    </row>
    <row r="46" spans="1:12" ht="15" customHeight="1" x14ac:dyDescent="0.25">
      <c r="A46" s="203"/>
      <c r="B46" s="203"/>
      <c r="C46" s="106" t="s">
        <v>24</v>
      </c>
      <c r="D46" s="107" t="s">
        <v>167</v>
      </c>
      <c r="E46" s="107" t="s">
        <v>167</v>
      </c>
      <c r="F46" s="107" t="s">
        <v>167</v>
      </c>
      <c r="G46" s="107" t="s">
        <v>167</v>
      </c>
      <c r="H46" s="107" t="s">
        <v>167</v>
      </c>
      <c r="I46" s="107" t="s">
        <v>167</v>
      </c>
      <c r="J46" s="107" t="s">
        <v>167</v>
      </c>
      <c r="K46" s="107" t="s">
        <v>167</v>
      </c>
      <c r="L46" s="5" t="s">
        <v>167</v>
      </c>
    </row>
    <row r="47" spans="1:12" ht="15" customHeight="1" x14ac:dyDescent="0.25">
      <c r="A47" s="203"/>
      <c r="B47" s="203"/>
      <c r="C47" s="105" t="s">
        <v>12</v>
      </c>
      <c r="D47" s="76" t="s">
        <v>167</v>
      </c>
      <c r="E47" s="76" t="s">
        <v>167</v>
      </c>
      <c r="F47" s="76" t="s">
        <v>167</v>
      </c>
      <c r="G47" s="76" t="s">
        <v>167</v>
      </c>
      <c r="H47" s="76" t="s">
        <v>167</v>
      </c>
      <c r="I47" s="76" t="s">
        <v>167</v>
      </c>
      <c r="J47" s="76" t="s">
        <v>167</v>
      </c>
      <c r="K47" s="76" t="s">
        <v>167</v>
      </c>
      <c r="L47" s="76">
        <v>0.1</v>
      </c>
    </row>
    <row r="48" spans="1:12" ht="15" customHeight="1" x14ac:dyDescent="0.25">
      <c r="A48" s="203"/>
      <c r="B48" s="203" t="s">
        <v>12</v>
      </c>
      <c r="C48" s="106" t="s">
        <v>22</v>
      </c>
      <c r="D48" s="107">
        <v>108.4</v>
      </c>
      <c r="E48" s="107">
        <v>15.1</v>
      </c>
      <c r="F48" s="107">
        <v>218.3</v>
      </c>
      <c r="G48" s="107">
        <v>71.8</v>
      </c>
      <c r="H48" s="107">
        <v>18.3</v>
      </c>
      <c r="I48" s="107">
        <v>4.5</v>
      </c>
      <c r="J48" s="107">
        <v>4.4000000000000004</v>
      </c>
      <c r="K48" s="107">
        <v>49.5</v>
      </c>
      <c r="L48" s="107">
        <v>490.3</v>
      </c>
    </row>
    <row r="49" spans="1:12" ht="15" customHeight="1" x14ac:dyDescent="0.25">
      <c r="A49" s="203"/>
      <c r="B49" s="203"/>
      <c r="C49" s="106" t="s">
        <v>23</v>
      </c>
      <c r="D49" s="107">
        <v>90.4</v>
      </c>
      <c r="E49" s="107">
        <v>92.6</v>
      </c>
      <c r="F49" s="107">
        <v>93</v>
      </c>
      <c r="G49" s="107">
        <v>26.8</v>
      </c>
      <c r="H49" s="107">
        <v>15.2</v>
      </c>
      <c r="I49" s="107">
        <v>9.1</v>
      </c>
      <c r="J49" s="107">
        <v>12.7</v>
      </c>
      <c r="K49" s="107">
        <v>1.6</v>
      </c>
      <c r="L49" s="107">
        <v>341.4</v>
      </c>
    </row>
    <row r="50" spans="1:12" ht="15" customHeight="1" x14ac:dyDescent="0.25">
      <c r="A50" s="203"/>
      <c r="B50" s="203"/>
      <c r="C50" s="106" t="s">
        <v>24</v>
      </c>
      <c r="D50" s="107">
        <v>1</v>
      </c>
      <c r="E50" s="107" t="s">
        <v>167</v>
      </c>
      <c r="F50" s="107" t="s">
        <v>167</v>
      </c>
      <c r="G50" s="107" t="s">
        <v>167</v>
      </c>
      <c r="H50" s="107" t="s">
        <v>167</v>
      </c>
      <c r="I50" s="107" t="s">
        <v>167</v>
      </c>
      <c r="J50" s="107">
        <v>0.6</v>
      </c>
      <c r="K50" s="107">
        <v>1.8</v>
      </c>
      <c r="L50" s="107">
        <v>3.5</v>
      </c>
    </row>
    <row r="51" spans="1:12" ht="15" customHeight="1" x14ac:dyDescent="0.25">
      <c r="A51" s="203"/>
      <c r="B51" s="203"/>
      <c r="C51" s="105" t="s">
        <v>12</v>
      </c>
      <c r="D51" s="76">
        <v>199.8</v>
      </c>
      <c r="E51" s="76">
        <v>107.7</v>
      </c>
      <c r="F51" s="76">
        <v>311.3</v>
      </c>
      <c r="G51" s="76">
        <v>98.6</v>
      </c>
      <c r="H51" s="76">
        <v>33.5</v>
      </c>
      <c r="I51" s="76">
        <v>13.6</v>
      </c>
      <c r="J51" s="76">
        <v>17.8</v>
      </c>
      <c r="K51" s="76">
        <v>52.9</v>
      </c>
      <c r="L51" s="76">
        <v>835.2</v>
      </c>
    </row>
    <row r="52" spans="1:12" ht="15" customHeight="1" x14ac:dyDescent="0.25">
      <c r="A52" s="203" t="s">
        <v>227</v>
      </c>
      <c r="B52" s="203" t="s">
        <v>21</v>
      </c>
      <c r="C52" s="106" t="s">
        <v>22</v>
      </c>
      <c r="D52" s="107">
        <v>124.2</v>
      </c>
      <c r="E52" s="107">
        <v>13.4</v>
      </c>
      <c r="F52" s="107">
        <v>195.6</v>
      </c>
      <c r="G52" s="107">
        <v>54.7</v>
      </c>
      <c r="H52" s="107">
        <v>13.6</v>
      </c>
      <c r="I52" s="107">
        <v>3.1</v>
      </c>
      <c r="J52" s="107">
        <v>4.5999999999999996</v>
      </c>
      <c r="K52" s="107">
        <v>39.9</v>
      </c>
      <c r="L52" s="107">
        <v>449.3</v>
      </c>
    </row>
    <row r="53" spans="1:12" ht="15" customHeight="1" x14ac:dyDescent="0.25">
      <c r="A53" s="203"/>
      <c r="B53" s="203"/>
      <c r="C53" s="106" t="s">
        <v>23</v>
      </c>
      <c r="D53" s="107">
        <v>77.099999999999994</v>
      </c>
      <c r="E53" s="107">
        <v>76.2</v>
      </c>
      <c r="F53" s="107">
        <v>83.8</v>
      </c>
      <c r="G53" s="107">
        <v>23.6</v>
      </c>
      <c r="H53" s="107">
        <v>13.3</v>
      </c>
      <c r="I53" s="107">
        <v>9.6</v>
      </c>
      <c r="J53" s="107">
        <v>9.8000000000000007</v>
      </c>
      <c r="K53" s="107">
        <v>1.6</v>
      </c>
      <c r="L53" s="107">
        <v>295.10000000000002</v>
      </c>
    </row>
    <row r="54" spans="1:12" ht="15" customHeight="1" x14ac:dyDescent="0.25">
      <c r="A54" s="203"/>
      <c r="B54" s="203"/>
      <c r="C54" s="106" t="s">
        <v>24</v>
      </c>
      <c r="D54" s="107">
        <v>0.3</v>
      </c>
      <c r="E54" s="107" t="s">
        <v>167</v>
      </c>
      <c r="F54" s="107" t="s">
        <v>167</v>
      </c>
      <c r="G54" s="107" t="s">
        <v>167</v>
      </c>
      <c r="H54" s="107" t="s">
        <v>167</v>
      </c>
      <c r="I54" s="107" t="s">
        <v>167</v>
      </c>
      <c r="J54" s="107" t="s">
        <v>167</v>
      </c>
      <c r="K54" s="107">
        <v>1.3</v>
      </c>
      <c r="L54" s="107">
        <v>1.6</v>
      </c>
    </row>
    <row r="55" spans="1:12" ht="15" customHeight="1" x14ac:dyDescent="0.25">
      <c r="A55" s="203"/>
      <c r="B55" s="203"/>
      <c r="C55" s="105" t="s">
        <v>12</v>
      </c>
      <c r="D55" s="76">
        <v>201.5</v>
      </c>
      <c r="E55" s="76">
        <v>89.7</v>
      </c>
      <c r="F55" s="76">
        <v>279.5</v>
      </c>
      <c r="G55" s="76">
        <v>78.3</v>
      </c>
      <c r="H55" s="76">
        <v>26.9</v>
      </c>
      <c r="I55" s="76">
        <v>12.7</v>
      </c>
      <c r="J55" s="76">
        <v>14.5</v>
      </c>
      <c r="K55" s="76">
        <v>42.9</v>
      </c>
      <c r="L55" s="76">
        <v>745.9</v>
      </c>
    </row>
    <row r="56" spans="1:12" ht="15" customHeight="1" x14ac:dyDescent="0.25">
      <c r="A56" s="203"/>
      <c r="B56" s="203" t="s">
        <v>25</v>
      </c>
      <c r="C56" s="106" t="s">
        <v>22</v>
      </c>
      <c r="D56" s="107">
        <v>8</v>
      </c>
      <c r="E56" s="107">
        <v>0.6</v>
      </c>
      <c r="F56" s="107">
        <v>31.5</v>
      </c>
      <c r="G56" s="107">
        <v>5</v>
      </c>
      <c r="H56" s="107">
        <v>4.0999999999999996</v>
      </c>
      <c r="I56" s="107">
        <v>2.5</v>
      </c>
      <c r="J56" s="107">
        <v>0.7</v>
      </c>
      <c r="K56" s="107">
        <v>3.3</v>
      </c>
      <c r="L56" s="107">
        <v>55.5</v>
      </c>
    </row>
    <row r="57" spans="1:12" ht="15" customHeight="1" x14ac:dyDescent="0.25">
      <c r="A57" s="203"/>
      <c r="B57" s="203"/>
      <c r="C57" s="106" t="s">
        <v>23</v>
      </c>
      <c r="D57" s="107">
        <v>7.3</v>
      </c>
      <c r="E57" s="107">
        <v>2.9</v>
      </c>
      <c r="F57" s="107">
        <v>8.6</v>
      </c>
      <c r="G57" s="107">
        <v>3.9</v>
      </c>
      <c r="H57" s="107">
        <v>2.7</v>
      </c>
      <c r="I57" s="107">
        <v>1.1000000000000001</v>
      </c>
      <c r="J57" s="107">
        <v>0.6</v>
      </c>
      <c r="K57" s="107" t="s">
        <v>167</v>
      </c>
      <c r="L57" s="107">
        <v>27.2</v>
      </c>
    </row>
    <row r="58" spans="1:12" ht="15" customHeight="1" x14ac:dyDescent="0.25">
      <c r="A58" s="203"/>
      <c r="B58" s="203"/>
      <c r="C58" s="106" t="s">
        <v>24</v>
      </c>
      <c r="D58" s="107">
        <v>0.1</v>
      </c>
      <c r="E58" s="107" t="s">
        <v>167</v>
      </c>
      <c r="F58" s="107" t="s">
        <v>167</v>
      </c>
      <c r="G58" s="107" t="s">
        <v>167</v>
      </c>
      <c r="H58" s="107" t="s">
        <v>167</v>
      </c>
      <c r="I58" s="107" t="s">
        <v>167</v>
      </c>
      <c r="J58" s="107" t="s">
        <v>167</v>
      </c>
      <c r="K58" s="107" t="s">
        <v>167</v>
      </c>
      <c r="L58" s="107">
        <v>0.1</v>
      </c>
    </row>
    <row r="59" spans="1:12" ht="15" customHeight="1" x14ac:dyDescent="0.25">
      <c r="A59" s="203"/>
      <c r="B59" s="203"/>
      <c r="C59" s="105" t="s">
        <v>12</v>
      </c>
      <c r="D59" s="76">
        <v>15.4</v>
      </c>
      <c r="E59" s="76">
        <v>3.4</v>
      </c>
      <c r="F59" s="76">
        <v>40.1</v>
      </c>
      <c r="G59" s="76">
        <v>8.9</v>
      </c>
      <c r="H59" s="76">
        <v>6.9</v>
      </c>
      <c r="I59" s="76">
        <v>3.6</v>
      </c>
      <c r="J59" s="76">
        <v>1.3</v>
      </c>
      <c r="K59" s="76">
        <v>3.3</v>
      </c>
      <c r="L59" s="76">
        <v>82.9</v>
      </c>
    </row>
    <row r="60" spans="1:12" ht="15" customHeight="1" x14ac:dyDescent="0.25">
      <c r="A60" s="203"/>
      <c r="B60" s="203" t="s">
        <v>24</v>
      </c>
      <c r="C60" s="106" t="s">
        <v>22</v>
      </c>
      <c r="D60" s="107" t="s">
        <v>167</v>
      </c>
      <c r="E60" s="107" t="s">
        <v>167</v>
      </c>
      <c r="F60" s="107" t="s">
        <v>167</v>
      </c>
      <c r="G60" s="107" t="s">
        <v>167</v>
      </c>
      <c r="H60" s="107" t="s">
        <v>167</v>
      </c>
      <c r="I60" s="107" t="s">
        <v>167</v>
      </c>
      <c r="J60" s="107" t="s">
        <v>167</v>
      </c>
      <c r="K60" s="107" t="s">
        <v>167</v>
      </c>
      <c r="L60" s="107" t="s">
        <v>167</v>
      </c>
    </row>
    <row r="61" spans="1:12" ht="15" customHeight="1" x14ac:dyDescent="0.25">
      <c r="A61" s="203"/>
      <c r="B61" s="203"/>
      <c r="C61" s="106" t="s">
        <v>23</v>
      </c>
      <c r="D61" s="107" t="s">
        <v>167</v>
      </c>
      <c r="E61" s="107" t="s">
        <v>167</v>
      </c>
      <c r="F61" s="107" t="s">
        <v>167</v>
      </c>
      <c r="G61" s="107" t="s">
        <v>167</v>
      </c>
      <c r="H61" s="107" t="s">
        <v>167</v>
      </c>
      <c r="I61" s="107" t="s">
        <v>167</v>
      </c>
      <c r="J61" s="107" t="s">
        <v>167</v>
      </c>
      <c r="K61" s="107" t="s">
        <v>167</v>
      </c>
      <c r="L61" s="107" t="s">
        <v>167</v>
      </c>
    </row>
    <row r="62" spans="1:12" ht="15" customHeight="1" x14ac:dyDescent="0.25">
      <c r="A62" s="203"/>
      <c r="B62" s="203"/>
      <c r="C62" s="106" t="s">
        <v>24</v>
      </c>
      <c r="D62" s="107" t="s">
        <v>167</v>
      </c>
      <c r="E62" s="107" t="s">
        <v>167</v>
      </c>
      <c r="F62" s="107" t="s">
        <v>167</v>
      </c>
      <c r="G62" s="107" t="s">
        <v>167</v>
      </c>
      <c r="H62" s="107" t="s">
        <v>167</v>
      </c>
      <c r="I62" s="107" t="s">
        <v>167</v>
      </c>
      <c r="J62" s="107" t="s">
        <v>167</v>
      </c>
      <c r="K62" s="107" t="s">
        <v>167</v>
      </c>
      <c r="L62" s="107" t="s">
        <v>167</v>
      </c>
    </row>
    <row r="63" spans="1:12" ht="15" customHeight="1" x14ac:dyDescent="0.25">
      <c r="A63" s="203"/>
      <c r="B63" s="203"/>
      <c r="C63" s="105" t="s">
        <v>12</v>
      </c>
      <c r="D63" s="76" t="s">
        <v>167</v>
      </c>
      <c r="E63" s="76" t="s">
        <v>167</v>
      </c>
      <c r="F63" s="76" t="s">
        <v>167</v>
      </c>
      <c r="G63" s="76" t="s">
        <v>167</v>
      </c>
      <c r="H63" s="76" t="s">
        <v>167</v>
      </c>
      <c r="I63" s="76" t="s">
        <v>167</v>
      </c>
      <c r="J63" s="76" t="s">
        <v>167</v>
      </c>
      <c r="K63" s="76" t="s">
        <v>167</v>
      </c>
      <c r="L63" s="107" t="s">
        <v>167</v>
      </c>
    </row>
    <row r="64" spans="1:12" ht="15" customHeight="1" x14ac:dyDescent="0.25">
      <c r="A64" s="203"/>
      <c r="B64" s="203" t="s">
        <v>12</v>
      </c>
      <c r="C64" s="106" t="s">
        <v>22</v>
      </c>
      <c r="D64" s="107">
        <v>132.19999999999999</v>
      </c>
      <c r="E64" s="107">
        <v>14</v>
      </c>
      <c r="F64" s="107">
        <v>227.1</v>
      </c>
      <c r="G64" s="107">
        <v>59.7</v>
      </c>
      <c r="H64" s="107">
        <v>17.7</v>
      </c>
      <c r="I64" s="107">
        <v>5.6</v>
      </c>
      <c r="J64" s="107">
        <v>5.3</v>
      </c>
      <c r="K64" s="107">
        <v>43.2</v>
      </c>
      <c r="L64" s="107">
        <v>504.8</v>
      </c>
    </row>
    <row r="65" spans="1:12" ht="15" customHeight="1" x14ac:dyDescent="0.25">
      <c r="A65" s="203"/>
      <c r="B65" s="203"/>
      <c r="C65" s="106" t="s">
        <v>23</v>
      </c>
      <c r="D65" s="107">
        <v>84.5</v>
      </c>
      <c r="E65" s="107">
        <v>79.099999999999994</v>
      </c>
      <c r="F65" s="107">
        <v>92.4</v>
      </c>
      <c r="G65" s="107">
        <v>27.5</v>
      </c>
      <c r="H65" s="107">
        <v>16.100000000000001</v>
      </c>
      <c r="I65" s="107">
        <v>10.7</v>
      </c>
      <c r="J65" s="107">
        <v>10.4</v>
      </c>
      <c r="K65" s="107">
        <v>1.6</v>
      </c>
      <c r="L65" s="107">
        <v>322.39999999999998</v>
      </c>
    </row>
    <row r="66" spans="1:12" ht="15" customHeight="1" x14ac:dyDescent="0.25">
      <c r="A66" s="203"/>
      <c r="B66" s="203"/>
      <c r="C66" s="106" t="s">
        <v>24</v>
      </c>
      <c r="D66" s="107">
        <v>0.4</v>
      </c>
      <c r="E66" s="107" t="s">
        <v>167</v>
      </c>
      <c r="F66" s="107" t="s">
        <v>167</v>
      </c>
      <c r="G66" s="107" t="s">
        <v>167</v>
      </c>
      <c r="H66" s="107" t="s">
        <v>167</v>
      </c>
      <c r="I66" s="107" t="s">
        <v>167</v>
      </c>
      <c r="J66" s="107" t="s">
        <v>167</v>
      </c>
      <c r="K66" s="107">
        <v>1.3</v>
      </c>
      <c r="L66" s="107">
        <v>1.7</v>
      </c>
    </row>
    <row r="67" spans="1:12" ht="15" customHeight="1" x14ac:dyDescent="0.25">
      <c r="A67" s="203"/>
      <c r="B67" s="203"/>
      <c r="C67" s="105" t="s">
        <v>12</v>
      </c>
      <c r="D67" s="76">
        <v>217</v>
      </c>
      <c r="E67" s="76">
        <v>93.1</v>
      </c>
      <c r="F67" s="76">
        <v>319.60000000000002</v>
      </c>
      <c r="G67" s="76">
        <v>87.2</v>
      </c>
      <c r="H67" s="76">
        <v>33.799999999999997</v>
      </c>
      <c r="I67" s="76">
        <v>16.3</v>
      </c>
      <c r="J67" s="76">
        <v>15.8</v>
      </c>
      <c r="K67" s="76">
        <v>46.2</v>
      </c>
      <c r="L67" s="76">
        <v>828.9</v>
      </c>
    </row>
    <row r="68" spans="1:12" ht="15" customHeight="1" x14ac:dyDescent="0.25">
      <c r="A68" s="203" t="s">
        <v>289</v>
      </c>
      <c r="B68" s="203" t="s">
        <v>21</v>
      </c>
      <c r="C68" s="106" t="s">
        <v>22</v>
      </c>
      <c r="D68" s="107">
        <v>130.80000000000001</v>
      </c>
      <c r="E68" s="107">
        <v>16.7</v>
      </c>
      <c r="F68" s="107">
        <v>184.3</v>
      </c>
      <c r="G68" s="107">
        <v>43.2</v>
      </c>
      <c r="H68" s="107">
        <v>17.600000000000001</v>
      </c>
      <c r="I68" s="107">
        <v>5</v>
      </c>
      <c r="J68" s="107">
        <v>5.5</v>
      </c>
      <c r="K68" s="107">
        <v>40.200000000000003</v>
      </c>
      <c r="L68" s="107">
        <v>443.3</v>
      </c>
    </row>
    <row r="69" spans="1:12" ht="15" customHeight="1" x14ac:dyDescent="0.25">
      <c r="A69" s="203"/>
      <c r="B69" s="203"/>
      <c r="C69" s="106" t="s">
        <v>23</v>
      </c>
      <c r="D69" s="107">
        <v>83.3</v>
      </c>
      <c r="E69" s="107">
        <v>106.1</v>
      </c>
      <c r="F69" s="107">
        <v>74.2</v>
      </c>
      <c r="G69" s="107">
        <v>25.3</v>
      </c>
      <c r="H69" s="107">
        <v>17.100000000000001</v>
      </c>
      <c r="I69" s="107">
        <v>8.1</v>
      </c>
      <c r="J69" s="107">
        <v>11.6</v>
      </c>
      <c r="K69" s="107">
        <v>2</v>
      </c>
      <c r="L69" s="107">
        <v>327.7</v>
      </c>
    </row>
    <row r="70" spans="1:12" ht="15" customHeight="1" x14ac:dyDescent="0.25">
      <c r="A70" s="203"/>
      <c r="B70" s="203"/>
      <c r="C70" s="106" t="s">
        <v>24</v>
      </c>
      <c r="D70" s="107">
        <v>1.5</v>
      </c>
      <c r="E70" s="107">
        <v>0.2</v>
      </c>
      <c r="F70" s="107">
        <v>0.1</v>
      </c>
      <c r="G70" s="107" t="s">
        <v>167</v>
      </c>
      <c r="H70" s="107">
        <v>0.4</v>
      </c>
      <c r="I70" s="107" t="s">
        <v>167</v>
      </c>
      <c r="J70" s="107" t="s">
        <v>167</v>
      </c>
      <c r="K70" s="107">
        <v>1.4</v>
      </c>
      <c r="L70" s="107">
        <v>3.6</v>
      </c>
    </row>
    <row r="71" spans="1:12" ht="15" customHeight="1" x14ac:dyDescent="0.25">
      <c r="A71" s="203"/>
      <c r="B71" s="203"/>
      <c r="C71" s="105" t="s">
        <v>12</v>
      </c>
      <c r="D71" s="76">
        <v>215.6</v>
      </c>
      <c r="E71" s="76">
        <v>123</v>
      </c>
      <c r="F71" s="76">
        <v>258.60000000000002</v>
      </c>
      <c r="G71" s="76">
        <v>68.5</v>
      </c>
      <c r="H71" s="76">
        <v>35</v>
      </c>
      <c r="I71" s="76">
        <v>13.1</v>
      </c>
      <c r="J71" s="76">
        <v>17.100000000000001</v>
      </c>
      <c r="K71" s="76">
        <v>43.6</v>
      </c>
      <c r="L71" s="76">
        <v>774.6</v>
      </c>
    </row>
    <row r="72" spans="1:12" ht="15" customHeight="1" x14ac:dyDescent="0.25">
      <c r="A72" s="203"/>
      <c r="B72" s="203" t="s">
        <v>25</v>
      </c>
      <c r="C72" s="106" t="s">
        <v>22</v>
      </c>
      <c r="D72" s="107">
        <v>8.9</v>
      </c>
      <c r="E72" s="107">
        <v>2.2999999999999998</v>
      </c>
      <c r="F72" s="107">
        <v>30.2</v>
      </c>
      <c r="G72" s="107">
        <v>3.4</v>
      </c>
      <c r="H72" s="107">
        <v>3.9</v>
      </c>
      <c r="I72" s="107">
        <v>0.9</v>
      </c>
      <c r="J72" s="107">
        <v>1.2</v>
      </c>
      <c r="K72" s="107">
        <v>2.9</v>
      </c>
      <c r="L72" s="107">
        <v>53.6</v>
      </c>
    </row>
    <row r="73" spans="1:12" ht="15" customHeight="1" x14ac:dyDescent="0.25">
      <c r="A73" s="203"/>
      <c r="B73" s="203"/>
      <c r="C73" s="106" t="s">
        <v>23</v>
      </c>
      <c r="D73" s="107">
        <v>6.7</v>
      </c>
      <c r="E73" s="107">
        <v>3.3</v>
      </c>
      <c r="F73" s="107">
        <v>11.7</v>
      </c>
      <c r="G73" s="107">
        <v>3.6</v>
      </c>
      <c r="H73" s="107">
        <v>3.1</v>
      </c>
      <c r="I73" s="107">
        <v>1.8</v>
      </c>
      <c r="J73" s="107">
        <v>0.9</v>
      </c>
      <c r="K73" s="107" t="s">
        <v>167</v>
      </c>
      <c r="L73" s="107">
        <v>31</v>
      </c>
    </row>
    <row r="74" spans="1:12" ht="15" customHeight="1" x14ac:dyDescent="0.25">
      <c r="A74" s="203"/>
      <c r="B74" s="203"/>
      <c r="C74" s="106" t="s">
        <v>24</v>
      </c>
      <c r="D74" s="107">
        <v>0.1</v>
      </c>
      <c r="E74" s="107" t="s">
        <v>167</v>
      </c>
      <c r="F74" s="107">
        <v>0.1</v>
      </c>
      <c r="G74" s="107" t="s">
        <v>167</v>
      </c>
      <c r="H74" s="107" t="s">
        <v>167</v>
      </c>
      <c r="I74" s="107" t="s">
        <v>167</v>
      </c>
      <c r="J74" s="107" t="s">
        <v>167</v>
      </c>
      <c r="K74" s="107" t="s">
        <v>167</v>
      </c>
      <c r="L74" s="107">
        <v>0.3</v>
      </c>
    </row>
    <row r="75" spans="1:12" ht="15" customHeight="1" x14ac:dyDescent="0.25">
      <c r="A75" s="203"/>
      <c r="B75" s="203"/>
      <c r="C75" s="105" t="s">
        <v>12</v>
      </c>
      <c r="D75" s="76">
        <v>15.7</v>
      </c>
      <c r="E75" s="76">
        <v>5.6</v>
      </c>
      <c r="F75" s="76">
        <v>42</v>
      </c>
      <c r="G75" s="76">
        <v>7</v>
      </c>
      <c r="H75" s="76">
        <v>7</v>
      </c>
      <c r="I75" s="76">
        <v>2.7</v>
      </c>
      <c r="J75" s="76">
        <v>2</v>
      </c>
      <c r="K75" s="76">
        <v>2.9</v>
      </c>
      <c r="L75" s="76">
        <v>84.9</v>
      </c>
    </row>
    <row r="76" spans="1:12" ht="15" customHeight="1" x14ac:dyDescent="0.25">
      <c r="A76" s="203"/>
      <c r="B76" s="203" t="s">
        <v>24</v>
      </c>
      <c r="C76" s="106" t="s">
        <v>22</v>
      </c>
      <c r="D76" s="107" t="s">
        <v>167</v>
      </c>
      <c r="E76" s="107" t="s">
        <v>167</v>
      </c>
      <c r="F76" s="107" t="s">
        <v>167</v>
      </c>
      <c r="G76" s="107" t="s">
        <v>167</v>
      </c>
      <c r="H76" s="107" t="s">
        <v>167</v>
      </c>
      <c r="I76" s="107" t="s">
        <v>167</v>
      </c>
      <c r="J76" s="107" t="s">
        <v>167</v>
      </c>
      <c r="K76" s="107" t="s">
        <v>167</v>
      </c>
      <c r="L76" s="107" t="s">
        <v>167</v>
      </c>
    </row>
    <row r="77" spans="1:12" ht="15" customHeight="1" x14ac:dyDescent="0.25">
      <c r="A77" s="203"/>
      <c r="B77" s="203"/>
      <c r="C77" s="106" t="s">
        <v>23</v>
      </c>
      <c r="D77" s="107" t="s">
        <v>167</v>
      </c>
      <c r="E77" s="107" t="s">
        <v>167</v>
      </c>
      <c r="F77" s="107" t="s">
        <v>167</v>
      </c>
      <c r="G77" s="107" t="s">
        <v>167</v>
      </c>
      <c r="H77" s="107" t="s">
        <v>167</v>
      </c>
      <c r="I77" s="107" t="s">
        <v>167</v>
      </c>
      <c r="J77" s="107" t="s">
        <v>167</v>
      </c>
      <c r="K77" s="107" t="s">
        <v>167</v>
      </c>
      <c r="L77" s="107">
        <v>0.1</v>
      </c>
    </row>
    <row r="78" spans="1:12" ht="15" customHeight="1" x14ac:dyDescent="0.25">
      <c r="A78" s="203"/>
      <c r="B78" s="203"/>
      <c r="C78" s="106" t="s">
        <v>24</v>
      </c>
      <c r="D78" s="107" t="s">
        <v>167</v>
      </c>
      <c r="E78" s="107" t="s">
        <v>167</v>
      </c>
      <c r="F78" s="107" t="s">
        <v>167</v>
      </c>
      <c r="G78" s="107" t="s">
        <v>167</v>
      </c>
      <c r="H78" s="107" t="s">
        <v>167</v>
      </c>
      <c r="I78" s="107" t="s">
        <v>167</v>
      </c>
      <c r="J78" s="107" t="s">
        <v>167</v>
      </c>
      <c r="K78" s="107" t="s">
        <v>167</v>
      </c>
      <c r="L78" s="107" t="s">
        <v>167</v>
      </c>
    </row>
    <row r="79" spans="1:12" ht="15" customHeight="1" x14ac:dyDescent="0.25">
      <c r="A79" s="203"/>
      <c r="B79" s="203"/>
      <c r="C79" s="105" t="s">
        <v>12</v>
      </c>
      <c r="D79" s="76" t="s">
        <v>167</v>
      </c>
      <c r="E79" s="76" t="s">
        <v>167</v>
      </c>
      <c r="F79" s="76" t="s">
        <v>167</v>
      </c>
      <c r="G79" s="76" t="s">
        <v>167</v>
      </c>
      <c r="H79" s="76" t="s">
        <v>167</v>
      </c>
      <c r="I79" s="76" t="s">
        <v>167</v>
      </c>
      <c r="J79" s="76" t="s">
        <v>167</v>
      </c>
      <c r="K79" s="76" t="s">
        <v>167</v>
      </c>
      <c r="L79" s="76">
        <v>0.1</v>
      </c>
    </row>
    <row r="80" spans="1:12" ht="15" customHeight="1" x14ac:dyDescent="0.25">
      <c r="A80" s="203"/>
      <c r="B80" s="203" t="s">
        <v>12</v>
      </c>
      <c r="C80" s="106" t="s">
        <v>22</v>
      </c>
      <c r="D80" s="107">
        <v>139.69999999999999</v>
      </c>
      <c r="E80" s="107">
        <v>19</v>
      </c>
      <c r="F80" s="107">
        <v>214.5</v>
      </c>
      <c r="G80" s="107">
        <v>46.6</v>
      </c>
      <c r="H80" s="107">
        <v>21.5</v>
      </c>
      <c r="I80" s="107">
        <v>5.9</v>
      </c>
      <c r="J80" s="107">
        <v>6.7</v>
      </c>
      <c r="K80" s="107">
        <v>43.1</v>
      </c>
      <c r="L80" s="107">
        <v>496.9</v>
      </c>
    </row>
    <row r="81" spans="1:12" ht="15" customHeight="1" x14ac:dyDescent="0.25">
      <c r="A81" s="203"/>
      <c r="B81" s="203"/>
      <c r="C81" s="106" t="s">
        <v>23</v>
      </c>
      <c r="D81" s="107">
        <v>90</v>
      </c>
      <c r="E81" s="107">
        <v>109.4</v>
      </c>
      <c r="F81" s="107">
        <v>85.9</v>
      </c>
      <c r="G81" s="107">
        <v>28.9</v>
      </c>
      <c r="H81" s="107">
        <v>20.100000000000001</v>
      </c>
      <c r="I81" s="107">
        <v>9.9</v>
      </c>
      <c r="J81" s="107">
        <v>12.5</v>
      </c>
      <c r="K81" s="107">
        <v>2</v>
      </c>
      <c r="L81" s="107">
        <v>358.8</v>
      </c>
    </row>
    <row r="82" spans="1:12" ht="15" customHeight="1" x14ac:dyDescent="0.25">
      <c r="A82" s="203"/>
      <c r="B82" s="203"/>
      <c r="C82" s="106" t="s">
        <v>24</v>
      </c>
      <c r="D82" s="107">
        <v>1.6</v>
      </c>
      <c r="E82" s="107">
        <v>0.2</v>
      </c>
      <c r="F82" s="107">
        <v>0.3</v>
      </c>
      <c r="G82" s="107" t="s">
        <v>167</v>
      </c>
      <c r="H82" s="107">
        <v>0.4</v>
      </c>
      <c r="I82" s="107" t="s">
        <v>167</v>
      </c>
      <c r="J82" s="107" t="s">
        <v>167</v>
      </c>
      <c r="K82" s="107">
        <v>1.4</v>
      </c>
      <c r="L82" s="107">
        <v>3.8</v>
      </c>
    </row>
    <row r="83" spans="1:12" ht="15" customHeight="1" x14ac:dyDescent="0.25">
      <c r="A83" s="203"/>
      <c r="B83" s="203"/>
      <c r="C83" s="105" t="s">
        <v>12</v>
      </c>
      <c r="D83" s="76">
        <v>231.3</v>
      </c>
      <c r="E83" s="76">
        <v>128.6</v>
      </c>
      <c r="F83" s="76">
        <v>300.7</v>
      </c>
      <c r="G83" s="76">
        <v>75.5</v>
      </c>
      <c r="H83" s="76">
        <v>42</v>
      </c>
      <c r="I83" s="76">
        <v>15.8</v>
      </c>
      <c r="J83" s="76">
        <v>19.100000000000001</v>
      </c>
      <c r="K83" s="76">
        <v>46.5</v>
      </c>
      <c r="L83" s="76">
        <v>859.5</v>
      </c>
    </row>
    <row r="84" spans="1:12" ht="11.1" customHeight="1" x14ac:dyDescent="0.25">
      <c r="A84" s="201" t="s">
        <v>13</v>
      </c>
      <c r="B84" s="201"/>
      <c r="C84" s="201"/>
      <c r="D84" s="201"/>
      <c r="E84" s="201"/>
      <c r="F84" s="201"/>
      <c r="G84" s="201"/>
      <c r="H84" s="201"/>
      <c r="I84" s="201"/>
      <c r="J84" s="201"/>
      <c r="K84" s="201"/>
      <c r="L84" s="201"/>
    </row>
    <row r="85" spans="1:12" s="6" customFormat="1" ht="11.1" customHeight="1" x14ac:dyDescent="0.15">
      <c r="A85" s="6" t="s">
        <v>14</v>
      </c>
    </row>
    <row r="86" spans="1:12" s="10" customFormat="1" ht="11.1" customHeight="1" x14ac:dyDescent="0.2">
      <c r="A86" s="57" t="s">
        <v>59</v>
      </c>
    </row>
    <row r="87" spans="1:12" s="6" customFormat="1" ht="11.1" customHeight="1" x14ac:dyDescent="0.15">
      <c r="A87" s="6" t="s">
        <v>16</v>
      </c>
    </row>
    <row r="88" spans="1:12" s="6" customFormat="1" ht="11.1" customHeight="1" x14ac:dyDescent="0.15">
      <c r="A88" s="6" t="s">
        <v>271</v>
      </c>
    </row>
    <row r="89" spans="1:12" ht="12" customHeight="1" x14ac:dyDescent="0.25">
      <c r="A89" s="2"/>
    </row>
  </sheetData>
  <mergeCells count="27">
    <mergeCell ref="A1:L1"/>
    <mergeCell ref="A4:A19"/>
    <mergeCell ref="B4:B7"/>
    <mergeCell ref="B8:B11"/>
    <mergeCell ref="B12:B15"/>
    <mergeCell ref="B16:B19"/>
    <mergeCell ref="A36:A51"/>
    <mergeCell ref="B36:B39"/>
    <mergeCell ref="B40:B43"/>
    <mergeCell ref="B44:B47"/>
    <mergeCell ref="B48:B51"/>
    <mergeCell ref="A20:A35"/>
    <mergeCell ref="B20:B23"/>
    <mergeCell ref="B24:B27"/>
    <mergeCell ref="B28:B31"/>
    <mergeCell ref="B32:B35"/>
    <mergeCell ref="A84:L84"/>
    <mergeCell ref="A52:A67"/>
    <mergeCell ref="B52:B55"/>
    <mergeCell ref="B56:B59"/>
    <mergeCell ref="B60:B63"/>
    <mergeCell ref="B64:B67"/>
    <mergeCell ref="A68:A83"/>
    <mergeCell ref="B68:B71"/>
    <mergeCell ref="B72:B75"/>
    <mergeCell ref="B76:B79"/>
    <mergeCell ref="B80:B83"/>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L65"/>
  <sheetViews>
    <sheetView topLeftCell="A23" zoomScaleNormal="100" workbookViewId="0">
      <selection activeCell="O1" sqref="O1"/>
    </sheetView>
  </sheetViews>
  <sheetFormatPr defaultColWidth="9.140625" defaultRowHeight="15" x14ac:dyDescent="0.25"/>
  <cols>
    <col min="1" max="12" width="11.42578125" style="1" bestFit="1" customWidth="1"/>
    <col min="13" max="16384" width="9.140625" style="1"/>
  </cols>
  <sheetData>
    <row r="1" spans="1:12" ht="27.95" customHeight="1" x14ac:dyDescent="0.25">
      <c r="A1" s="198" t="s">
        <v>317</v>
      </c>
      <c r="B1" s="198"/>
      <c r="C1" s="198"/>
      <c r="D1" s="198"/>
      <c r="E1" s="198"/>
      <c r="F1" s="198"/>
      <c r="G1" s="198"/>
      <c r="H1" s="198"/>
      <c r="I1" s="198"/>
      <c r="J1" s="198"/>
      <c r="K1" s="198"/>
      <c r="L1" s="198"/>
    </row>
    <row r="2" spans="1:12" ht="3.75" customHeight="1" x14ac:dyDescent="0.25">
      <c r="A2" s="2"/>
    </row>
    <row r="3" spans="1:12" ht="23.25" x14ac:dyDescent="0.25">
      <c r="A3" s="52" t="s">
        <v>189</v>
      </c>
      <c r="B3" s="52" t="s">
        <v>185</v>
      </c>
      <c r="C3" s="52" t="s">
        <v>186</v>
      </c>
      <c r="D3" s="3" t="s">
        <v>1</v>
      </c>
      <c r="E3" s="3" t="s">
        <v>2</v>
      </c>
      <c r="F3" s="3" t="s">
        <v>3</v>
      </c>
      <c r="G3" s="3" t="s">
        <v>4</v>
      </c>
      <c r="H3" s="3" t="s">
        <v>5</v>
      </c>
      <c r="I3" s="3" t="s">
        <v>6</v>
      </c>
      <c r="J3" s="3" t="s">
        <v>7</v>
      </c>
      <c r="K3" s="3" t="s">
        <v>8</v>
      </c>
      <c r="L3" s="3" t="s">
        <v>9</v>
      </c>
    </row>
    <row r="4" spans="1:12" ht="15" customHeight="1" x14ac:dyDescent="0.25">
      <c r="A4" s="203" t="s">
        <v>51</v>
      </c>
      <c r="B4" s="203" t="s">
        <v>21</v>
      </c>
      <c r="C4" s="4" t="s">
        <v>22</v>
      </c>
      <c r="D4" s="5">
        <v>19.048999999999999</v>
      </c>
      <c r="E4" s="5">
        <v>16.414999999999999</v>
      </c>
      <c r="F4" s="5">
        <v>53.1</v>
      </c>
      <c r="G4" s="5">
        <v>64.908000000000001</v>
      </c>
      <c r="H4" s="5">
        <v>24.777000000000001</v>
      </c>
      <c r="I4" s="5">
        <v>10.933999999999999</v>
      </c>
      <c r="J4" s="5">
        <v>24.757999999999999</v>
      </c>
      <c r="K4" s="5">
        <v>45.530999999999999</v>
      </c>
      <c r="L4" s="5">
        <v>35.895000000000003</v>
      </c>
    </row>
    <row r="5" spans="1:12" ht="15" customHeight="1" x14ac:dyDescent="0.25">
      <c r="A5" s="203"/>
      <c r="B5" s="203"/>
      <c r="C5" s="4" t="s">
        <v>23</v>
      </c>
      <c r="D5" s="5">
        <v>2.0979999999999999</v>
      </c>
      <c r="E5" s="5">
        <v>2.6890000000000001</v>
      </c>
      <c r="F5" s="5">
        <v>2.617</v>
      </c>
      <c r="G5" s="5">
        <v>1.5660000000000001</v>
      </c>
      <c r="H5" s="5">
        <v>1.083</v>
      </c>
      <c r="I5" s="5">
        <v>1.61</v>
      </c>
      <c r="J5" s="5">
        <v>2.2080000000000002</v>
      </c>
      <c r="K5" s="5">
        <v>1.665</v>
      </c>
      <c r="L5" s="5">
        <v>2.2229999999999999</v>
      </c>
    </row>
    <row r="6" spans="1:12" ht="15" customHeight="1" x14ac:dyDescent="0.25">
      <c r="A6" s="203"/>
      <c r="B6" s="203"/>
      <c r="C6" s="105" t="s">
        <v>12</v>
      </c>
      <c r="D6" s="76">
        <v>3.4009999999999998</v>
      </c>
      <c r="E6" s="76">
        <v>2.9710000000000001</v>
      </c>
      <c r="F6" s="76">
        <v>7.1</v>
      </c>
      <c r="G6" s="76">
        <v>6.125</v>
      </c>
      <c r="H6" s="76">
        <v>2.339</v>
      </c>
      <c r="I6" s="76">
        <v>2.6739999999999999</v>
      </c>
      <c r="J6" s="76">
        <v>3.0350000000000001</v>
      </c>
      <c r="K6" s="76">
        <v>21.515000000000001</v>
      </c>
      <c r="L6" s="76">
        <v>4.4909999999999997</v>
      </c>
    </row>
    <row r="7" spans="1:12" ht="15" customHeight="1" x14ac:dyDescent="0.25">
      <c r="A7" s="203"/>
      <c r="B7" s="203" t="s">
        <v>25</v>
      </c>
      <c r="C7" s="4" t="s">
        <v>22</v>
      </c>
      <c r="D7" s="5">
        <v>1.774</v>
      </c>
      <c r="E7" s="5">
        <v>1.123</v>
      </c>
      <c r="F7" s="5">
        <v>6.2910000000000004</v>
      </c>
      <c r="G7" s="5">
        <v>8.4220000000000006</v>
      </c>
      <c r="H7" s="5">
        <v>7.72</v>
      </c>
      <c r="I7" s="5" t="s">
        <v>167</v>
      </c>
      <c r="J7" s="5">
        <v>10.239000000000001</v>
      </c>
      <c r="K7" s="5">
        <v>4.7270000000000003</v>
      </c>
      <c r="L7" s="5">
        <v>4.3470000000000004</v>
      </c>
    </row>
    <row r="8" spans="1:12" ht="15" customHeight="1" x14ac:dyDescent="0.25">
      <c r="A8" s="203"/>
      <c r="B8" s="203"/>
      <c r="C8" s="4" t="s">
        <v>23</v>
      </c>
      <c r="D8" s="5">
        <v>0.247</v>
      </c>
      <c r="E8" s="5">
        <v>0.25</v>
      </c>
      <c r="F8" s="5">
        <v>0.36199999999999999</v>
      </c>
      <c r="G8" s="5">
        <v>0.14000000000000001</v>
      </c>
      <c r="H8" s="5">
        <v>0.24199999999999999</v>
      </c>
      <c r="I8" s="5">
        <v>0.28799999999999998</v>
      </c>
      <c r="J8" s="5">
        <v>0.44700000000000001</v>
      </c>
      <c r="K8" s="5">
        <v>5.6000000000000001E-2</v>
      </c>
      <c r="L8" s="5">
        <v>0.26300000000000001</v>
      </c>
    </row>
    <row r="9" spans="1:12" ht="15" customHeight="1" x14ac:dyDescent="0.25">
      <c r="A9" s="203"/>
      <c r="B9" s="203"/>
      <c r="C9" s="105" t="s">
        <v>12</v>
      </c>
      <c r="D9" s="76">
        <v>0.36499999999999999</v>
      </c>
      <c r="E9" s="76">
        <v>0.26900000000000002</v>
      </c>
      <c r="F9" s="76">
        <v>0.89700000000000002</v>
      </c>
      <c r="G9" s="76">
        <v>0.76400000000000001</v>
      </c>
      <c r="H9" s="76">
        <v>0.64200000000000002</v>
      </c>
      <c r="I9" s="76">
        <v>0.255</v>
      </c>
      <c r="J9" s="76">
        <v>0.77500000000000002</v>
      </c>
      <c r="K9" s="76">
        <v>2.2160000000000002</v>
      </c>
      <c r="L9" s="76">
        <v>0.54200000000000004</v>
      </c>
    </row>
    <row r="10" spans="1:12" ht="15" customHeight="1" x14ac:dyDescent="0.25">
      <c r="A10" s="203"/>
      <c r="B10" s="203" t="s">
        <v>12</v>
      </c>
      <c r="C10" s="4" t="s">
        <v>22</v>
      </c>
      <c r="D10" s="5">
        <v>10.683999999999999</v>
      </c>
      <c r="E10" s="5">
        <v>8.8369999999999997</v>
      </c>
      <c r="F10" s="5">
        <v>30.216000000000001</v>
      </c>
      <c r="G10" s="5">
        <v>36.851999999999997</v>
      </c>
      <c r="H10" s="5">
        <v>16.428000000000001</v>
      </c>
      <c r="I10" s="5">
        <v>5.6760000000000002</v>
      </c>
      <c r="J10" s="5">
        <v>18.024000000000001</v>
      </c>
      <c r="K10" s="5">
        <v>25.582999999999998</v>
      </c>
      <c r="L10" s="5">
        <v>20.48</v>
      </c>
    </row>
    <row r="11" spans="1:12" ht="15" customHeight="1" x14ac:dyDescent="0.25">
      <c r="A11" s="203"/>
      <c r="B11" s="203"/>
      <c r="C11" s="4" t="s">
        <v>23</v>
      </c>
      <c r="D11" s="5">
        <v>1.202</v>
      </c>
      <c r="E11" s="5">
        <v>1.504</v>
      </c>
      <c r="F11" s="5">
        <v>1.5249999999999999</v>
      </c>
      <c r="G11" s="5">
        <v>0.876</v>
      </c>
      <c r="H11" s="5">
        <v>0.67300000000000004</v>
      </c>
      <c r="I11" s="5">
        <v>0.97299999999999998</v>
      </c>
      <c r="J11" s="5">
        <v>1.3520000000000001</v>
      </c>
      <c r="K11" s="5">
        <v>0.89600000000000002</v>
      </c>
      <c r="L11" s="5">
        <v>1.2729999999999999</v>
      </c>
    </row>
    <row r="12" spans="1:12" ht="15" customHeight="1" x14ac:dyDescent="0.25">
      <c r="A12" s="203"/>
      <c r="B12" s="203"/>
      <c r="C12" s="105" t="s">
        <v>12</v>
      </c>
      <c r="D12" s="76">
        <v>1.9330000000000001</v>
      </c>
      <c r="E12" s="76">
        <v>1.657</v>
      </c>
      <c r="F12" s="76">
        <v>4.093</v>
      </c>
      <c r="G12" s="76">
        <v>3.524</v>
      </c>
      <c r="H12" s="76">
        <v>1.512</v>
      </c>
      <c r="I12" s="76">
        <v>1.508</v>
      </c>
      <c r="J12" s="76">
        <v>1.9379999999999999</v>
      </c>
      <c r="K12" s="76">
        <v>12.199</v>
      </c>
      <c r="L12" s="76">
        <v>2.5760000000000001</v>
      </c>
    </row>
    <row r="13" spans="1:12" ht="15" customHeight="1" x14ac:dyDescent="0.25">
      <c r="A13" s="203" t="s">
        <v>52</v>
      </c>
      <c r="B13" s="203" t="s">
        <v>21</v>
      </c>
      <c r="C13" s="4" t="s">
        <v>22</v>
      </c>
      <c r="D13" s="5">
        <v>23.003</v>
      </c>
      <c r="E13" s="5">
        <v>16.771999999999998</v>
      </c>
      <c r="F13" s="5">
        <v>63.436999999999998</v>
      </c>
      <c r="G13" s="5">
        <v>70.021000000000001</v>
      </c>
      <c r="H13" s="5">
        <v>28.361999999999998</v>
      </c>
      <c r="I13" s="5">
        <v>10.157</v>
      </c>
      <c r="J13" s="5">
        <v>20.87</v>
      </c>
      <c r="K13" s="5">
        <v>73.114000000000004</v>
      </c>
      <c r="L13" s="5">
        <v>42.908999999999999</v>
      </c>
    </row>
    <row r="14" spans="1:12" ht="15" customHeight="1" x14ac:dyDescent="0.25">
      <c r="A14" s="203"/>
      <c r="B14" s="203"/>
      <c r="C14" s="4" t="s">
        <v>23</v>
      </c>
      <c r="D14" s="5">
        <v>1.637</v>
      </c>
      <c r="E14" s="5">
        <v>1.9370000000000001</v>
      </c>
      <c r="F14" s="5">
        <v>3.032</v>
      </c>
      <c r="G14" s="5">
        <v>1.4890000000000001</v>
      </c>
      <c r="H14" s="5">
        <v>1.5680000000000001</v>
      </c>
      <c r="I14" s="5">
        <v>1.601</v>
      </c>
      <c r="J14" s="5">
        <v>2.8740000000000001</v>
      </c>
      <c r="K14" s="5">
        <v>2.327</v>
      </c>
      <c r="L14" s="5">
        <v>2.0139999999999998</v>
      </c>
    </row>
    <row r="15" spans="1:12" ht="15" customHeight="1" x14ac:dyDescent="0.25">
      <c r="A15" s="203"/>
      <c r="B15" s="203"/>
      <c r="C15" s="105" t="s">
        <v>12</v>
      </c>
      <c r="D15" s="76">
        <v>3.2839999999999998</v>
      </c>
      <c r="E15" s="76">
        <v>2.246</v>
      </c>
      <c r="F15" s="76">
        <v>8.4149999999999991</v>
      </c>
      <c r="G15" s="76">
        <v>6.4039999999999999</v>
      </c>
      <c r="H15" s="76">
        <v>3.004</v>
      </c>
      <c r="I15" s="76">
        <v>2.58</v>
      </c>
      <c r="J15" s="76">
        <v>3.5219999999999998</v>
      </c>
      <c r="K15" s="76">
        <v>33.64</v>
      </c>
      <c r="L15" s="76">
        <v>4.7729999999999997</v>
      </c>
    </row>
    <row r="16" spans="1:12" ht="15" customHeight="1" x14ac:dyDescent="0.25">
      <c r="A16" s="203"/>
      <c r="B16" s="203" t="s">
        <v>25</v>
      </c>
      <c r="C16" s="4" t="s">
        <v>22</v>
      </c>
      <c r="D16" s="5">
        <v>2.032</v>
      </c>
      <c r="E16" s="5">
        <v>0.47799999999999998</v>
      </c>
      <c r="F16" s="5">
        <v>8.2119999999999997</v>
      </c>
      <c r="G16" s="5">
        <v>10.019</v>
      </c>
      <c r="H16" s="5">
        <v>5.3739999999999997</v>
      </c>
      <c r="I16" s="107" t="s">
        <v>167</v>
      </c>
      <c r="J16" s="5">
        <v>18.28</v>
      </c>
      <c r="K16" s="5">
        <v>9.7959999999999994</v>
      </c>
      <c r="L16" s="5">
        <v>5.4189999999999996</v>
      </c>
    </row>
    <row r="17" spans="1:12" ht="15" customHeight="1" x14ac:dyDescent="0.25">
      <c r="A17" s="203"/>
      <c r="B17" s="203"/>
      <c r="C17" s="4" t="s">
        <v>23</v>
      </c>
      <c r="D17" s="5">
        <v>0.16200000000000001</v>
      </c>
      <c r="E17" s="5">
        <v>0.20499999999999999</v>
      </c>
      <c r="F17" s="5">
        <v>0.41499999999999998</v>
      </c>
      <c r="G17" s="5">
        <v>0.20399999999999999</v>
      </c>
      <c r="H17" s="5">
        <v>0.26400000000000001</v>
      </c>
      <c r="I17" s="5">
        <v>0.40200000000000002</v>
      </c>
      <c r="J17" s="5">
        <v>0.42499999999999999</v>
      </c>
      <c r="K17" s="5">
        <v>0.34799999999999998</v>
      </c>
      <c r="L17" s="5">
        <v>0.249</v>
      </c>
    </row>
    <row r="18" spans="1:12" ht="15" customHeight="1" x14ac:dyDescent="0.25">
      <c r="A18" s="203"/>
      <c r="B18" s="203"/>
      <c r="C18" s="105" t="s">
        <v>12</v>
      </c>
      <c r="D18" s="76">
        <v>0.32300000000000001</v>
      </c>
      <c r="E18" s="76">
        <v>0.21099999999999999</v>
      </c>
      <c r="F18" s="76">
        <v>1.123</v>
      </c>
      <c r="G18" s="76">
        <v>0.94099999999999995</v>
      </c>
      <c r="H18" s="76">
        <v>0.54200000000000004</v>
      </c>
      <c r="I18" s="76">
        <v>0.35599999999999998</v>
      </c>
      <c r="J18" s="76">
        <v>0.995</v>
      </c>
      <c r="K18" s="76">
        <v>4.8650000000000002</v>
      </c>
      <c r="L18" s="76">
        <v>0.61</v>
      </c>
    </row>
    <row r="19" spans="1:12" ht="15" customHeight="1" x14ac:dyDescent="0.25">
      <c r="A19" s="203"/>
      <c r="B19" s="203" t="s">
        <v>12</v>
      </c>
      <c r="C19" s="4" t="s">
        <v>22</v>
      </c>
      <c r="D19" s="5">
        <v>12.786</v>
      </c>
      <c r="E19" s="5">
        <v>8.7149999999999999</v>
      </c>
      <c r="F19" s="5">
        <v>36.384999999999998</v>
      </c>
      <c r="G19" s="5">
        <v>40.231999999999999</v>
      </c>
      <c r="H19" s="5">
        <v>17.074000000000002</v>
      </c>
      <c r="I19" s="5">
        <v>5.2610000000000001</v>
      </c>
      <c r="J19" s="5">
        <v>19.690000000000001</v>
      </c>
      <c r="K19" s="5">
        <v>42.151000000000003</v>
      </c>
      <c r="L19" s="5">
        <v>24.556999999999999</v>
      </c>
    </row>
    <row r="20" spans="1:12" ht="15" customHeight="1" x14ac:dyDescent="0.25">
      <c r="A20" s="203"/>
      <c r="B20" s="203"/>
      <c r="C20" s="4" t="s">
        <v>23</v>
      </c>
      <c r="D20" s="5">
        <v>0.92200000000000004</v>
      </c>
      <c r="E20" s="5">
        <v>1.095</v>
      </c>
      <c r="F20" s="5">
        <v>1.764</v>
      </c>
      <c r="G20" s="5">
        <v>0.86699999999999999</v>
      </c>
      <c r="H20" s="5">
        <v>0.93300000000000005</v>
      </c>
      <c r="I20" s="5">
        <v>1.024</v>
      </c>
      <c r="J20" s="5">
        <v>1.6850000000000001</v>
      </c>
      <c r="K20" s="5">
        <v>1.383</v>
      </c>
      <c r="L20" s="5">
        <v>1.1579999999999999</v>
      </c>
    </row>
    <row r="21" spans="1:12" ht="15" customHeight="1" x14ac:dyDescent="0.25">
      <c r="A21" s="203"/>
      <c r="B21" s="203"/>
      <c r="C21" s="105" t="s">
        <v>12</v>
      </c>
      <c r="D21" s="76">
        <v>1.849</v>
      </c>
      <c r="E21" s="76">
        <v>1.2569999999999999</v>
      </c>
      <c r="F21" s="76">
        <v>4.8780000000000001</v>
      </c>
      <c r="G21" s="76">
        <v>3.7549999999999999</v>
      </c>
      <c r="H21" s="76">
        <v>1.804</v>
      </c>
      <c r="I21" s="76">
        <v>1.51</v>
      </c>
      <c r="J21" s="76">
        <v>2.298</v>
      </c>
      <c r="K21" s="76">
        <v>19.760000000000002</v>
      </c>
      <c r="L21" s="76">
        <v>2.7530000000000001</v>
      </c>
    </row>
    <row r="22" spans="1:12" ht="15" customHeight="1" x14ac:dyDescent="0.25">
      <c r="A22" s="203" t="s">
        <v>53</v>
      </c>
      <c r="B22" s="203" t="s">
        <v>21</v>
      </c>
      <c r="C22" s="4" t="s">
        <v>22</v>
      </c>
      <c r="D22" s="5">
        <v>29.678000000000001</v>
      </c>
      <c r="E22" s="5">
        <v>14.641</v>
      </c>
      <c r="F22" s="5">
        <v>68.251999999999995</v>
      </c>
      <c r="G22" s="5">
        <v>55.142000000000003</v>
      </c>
      <c r="H22" s="5">
        <v>26.616</v>
      </c>
      <c r="I22" s="5">
        <v>8.4640000000000004</v>
      </c>
      <c r="J22" s="5">
        <v>38.807000000000002</v>
      </c>
      <c r="K22" s="5">
        <v>69.837000000000003</v>
      </c>
      <c r="L22" s="5">
        <v>44.451000000000001</v>
      </c>
    </row>
    <row r="23" spans="1:12" ht="15" customHeight="1" x14ac:dyDescent="0.25">
      <c r="A23" s="203"/>
      <c r="B23" s="203"/>
      <c r="C23" s="4" t="s">
        <v>23</v>
      </c>
      <c r="D23" s="5">
        <v>1.4350000000000001</v>
      </c>
      <c r="E23" s="5">
        <v>1.758</v>
      </c>
      <c r="F23" s="5">
        <v>2.8149999999999999</v>
      </c>
      <c r="G23" s="5">
        <v>1.448</v>
      </c>
      <c r="H23" s="5">
        <v>1.429</v>
      </c>
      <c r="I23" s="5">
        <v>3.1909999999999998</v>
      </c>
      <c r="J23" s="5">
        <v>3.6739999999999999</v>
      </c>
      <c r="K23" s="5">
        <v>2.0030000000000001</v>
      </c>
      <c r="L23" s="5">
        <v>1.889</v>
      </c>
    </row>
    <row r="24" spans="1:12" ht="15" customHeight="1" x14ac:dyDescent="0.25">
      <c r="A24" s="203"/>
      <c r="B24" s="203"/>
      <c r="C24" s="105" t="s">
        <v>12</v>
      </c>
      <c r="D24" s="76">
        <v>3.573</v>
      </c>
      <c r="E24" s="76">
        <v>2.0270000000000001</v>
      </c>
      <c r="F24" s="76">
        <v>8.6180000000000003</v>
      </c>
      <c r="G24" s="76">
        <v>5.2510000000000003</v>
      </c>
      <c r="H24" s="76">
        <v>2.7850000000000001</v>
      </c>
      <c r="I24" s="76">
        <v>3.7919999999999998</v>
      </c>
      <c r="J24" s="76">
        <v>4.9489999999999998</v>
      </c>
      <c r="K24" s="76">
        <v>32.094000000000001</v>
      </c>
      <c r="L24" s="76">
        <v>4.7430000000000003</v>
      </c>
    </row>
    <row r="25" spans="1:12" ht="15" customHeight="1" x14ac:dyDescent="0.25">
      <c r="A25" s="203"/>
      <c r="B25" s="203" t="s">
        <v>25</v>
      </c>
      <c r="C25" s="4" t="s">
        <v>22</v>
      </c>
      <c r="D25" s="5">
        <v>1.7190000000000001</v>
      </c>
      <c r="E25" s="5">
        <v>0.33500000000000002</v>
      </c>
      <c r="F25" s="5">
        <v>11.388999999999999</v>
      </c>
      <c r="G25" s="5">
        <v>6.0090000000000003</v>
      </c>
      <c r="H25" s="5">
        <v>9.2439999999999998</v>
      </c>
      <c r="I25" s="107">
        <v>4.0759999999999996</v>
      </c>
      <c r="J25" s="5">
        <v>15.965999999999999</v>
      </c>
      <c r="K25" s="5">
        <v>12.135</v>
      </c>
      <c r="L25" s="5">
        <v>6.2169999999999996</v>
      </c>
    </row>
    <row r="26" spans="1:12" ht="15" customHeight="1" x14ac:dyDescent="0.25">
      <c r="A26" s="203"/>
      <c r="B26" s="203"/>
      <c r="C26" s="4" t="s">
        <v>23</v>
      </c>
      <c r="D26" s="5">
        <v>0.14899999999999999</v>
      </c>
      <c r="E26" s="5">
        <v>0.156</v>
      </c>
      <c r="F26" s="5">
        <v>0.3</v>
      </c>
      <c r="G26" s="5">
        <v>0.20699999999999999</v>
      </c>
      <c r="H26" s="5">
        <v>0.26200000000000001</v>
      </c>
      <c r="I26" s="5">
        <v>0.48399999999999999</v>
      </c>
      <c r="J26" s="5">
        <v>0.80300000000000005</v>
      </c>
      <c r="K26" s="5" t="s">
        <v>167</v>
      </c>
      <c r="L26" s="5">
        <v>0.214</v>
      </c>
    </row>
    <row r="27" spans="1:12" ht="15" customHeight="1" x14ac:dyDescent="0.25">
      <c r="A27" s="203"/>
      <c r="B27" s="203"/>
      <c r="C27" s="105" t="s">
        <v>12</v>
      </c>
      <c r="D27" s="76">
        <v>0.27200000000000002</v>
      </c>
      <c r="E27" s="76">
        <v>0.16</v>
      </c>
      <c r="F27" s="76">
        <v>1.306</v>
      </c>
      <c r="G27" s="76">
        <v>0.63400000000000001</v>
      </c>
      <c r="H27" s="76">
        <v>0.75</v>
      </c>
      <c r="I27" s="76">
        <v>0.89700000000000002</v>
      </c>
      <c r="J27" s="76">
        <v>1.284</v>
      </c>
      <c r="K27" s="76">
        <v>5.7060000000000004</v>
      </c>
      <c r="L27" s="76">
        <v>0.626</v>
      </c>
    </row>
    <row r="28" spans="1:12" ht="15" customHeight="1" x14ac:dyDescent="0.25">
      <c r="A28" s="203"/>
      <c r="B28" s="203" t="s">
        <v>12</v>
      </c>
      <c r="C28" s="4" t="s">
        <v>22</v>
      </c>
      <c r="D28" s="5">
        <v>16.074000000000002</v>
      </c>
      <c r="E28" s="5">
        <v>7.5679999999999996</v>
      </c>
      <c r="F28" s="5">
        <v>40.317999999999998</v>
      </c>
      <c r="G28" s="5">
        <v>30.803999999999998</v>
      </c>
      <c r="H28" s="5">
        <v>18.100999999999999</v>
      </c>
      <c r="I28" s="5">
        <v>6.343</v>
      </c>
      <c r="J28" s="5">
        <v>28.553999999999998</v>
      </c>
      <c r="K28" s="5">
        <v>41.646999999999998</v>
      </c>
      <c r="L28" s="5">
        <v>25.736999999999998</v>
      </c>
    </row>
    <row r="29" spans="1:12" ht="15" customHeight="1" x14ac:dyDescent="0.25">
      <c r="A29" s="203"/>
      <c r="B29" s="203"/>
      <c r="C29" s="4" t="s">
        <v>23</v>
      </c>
      <c r="D29" s="5">
        <v>0.81299999999999994</v>
      </c>
      <c r="E29" s="5">
        <v>0.97899999999999998</v>
      </c>
      <c r="F29" s="5">
        <v>1.595</v>
      </c>
      <c r="G29" s="5">
        <v>0.84599999999999997</v>
      </c>
      <c r="H29" s="5">
        <v>0.86199999999999999</v>
      </c>
      <c r="I29" s="5">
        <v>1.8879999999999999</v>
      </c>
      <c r="J29" s="5">
        <v>2.2759999999999998</v>
      </c>
      <c r="K29" s="5">
        <v>1.0389999999999999</v>
      </c>
      <c r="L29" s="5">
        <v>1.0760000000000001</v>
      </c>
    </row>
    <row r="30" spans="1:12" ht="15" customHeight="1" x14ac:dyDescent="0.25">
      <c r="A30" s="203"/>
      <c r="B30" s="203"/>
      <c r="C30" s="105" t="s">
        <v>12</v>
      </c>
      <c r="D30" s="76">
        <v>1.974</v>
      </c>
      <c r="E30" s="76">
        <v>1.1180000000000001</v>
      </c>
      <c r="F30" s="76">
        <v>5.069</v>
      </c>
      <c r="G30" s="76">
        <v>3.01</v>
      </c>
      <c r="H30" s="76">
        <v>1.7949999999999999</v>
      </c>
      <c r="I30" s="76">
        <v>2.3980000000000001</v>
      </c>
      <c r="J30" s="76">
        <v>3.169</v>
      </c>
      <c r="K30" s="76">
        <v>19.309999999999999</v>
      </c>
      <c r="L30" s="76">
        <v>2.7450000000000001</v>
      </c>
    </row>
    <row r="31" spans="1:12" ht="15" customHeight="1" x14ac:dyDescent="0.25">
      <c r="A31" s="203" t="s">
        <v>227</v>
      </c>
      <c r="B31" s="203" t="s">
        <v>21</v>
      </c>
      <c r="C31" s="4" t="s">
        <v>22</v>
      </c>
      <c r="D31" s="5">
        <v>34.021999999999998</v>
      </c>
      <c r="E31" s="5">
        <v>13.667999999999999</v>
      </c>
      <c r="F31" s="5">
        <v>70.256</v>
      </c>
      <c r="G31" s="5">
        <v>50.987000000000002</v>
      </c>
      <c r="H31" s="5">
        <v>25.321000000000002</v>
      </c>
      <c r="I31" s="5">
        <v>7.9630000000000001</v>
      </c>
      <c r="J31" s="5">
        <v>60.094000000000001</v>
      </c>
      <c r="K31" s="5">
        <v>86.713999999999999</v>
      </c>
      <c r="L31" s="5">
        <v>46.459000000000003</v>
      </c>
    </row>
    <row r="32" spans="1:12" ht="15" customHeight="1" x14ac:dyDescent="0.25">
      <c r="A32" s="203"/>
      <c r="B32" s="203"/>
      <c r="C32" s="4" t="s">
        <v>23</v>
      </c>
      <c r="D32" s="5">
        <v>1.343</v>
      </c>
      <c r="E32" s="5">
        <v>1.28</v>
      </c>
      <c r="F32" s="5">
        <v>2.7050000000000001</v>
      </c>
      <c r="G32" s="5">
        <v>1.6339999999999999</v>
      </c>
      <c r="H32" s="5">
        <v>1.333</v>
      </c>
      <c r="I32" s="5">
        <v>3.81</v>
      </c>
      <c r="J32" s="5">
        <v>4.8170000000000002</v>
      </c>
      <c r="K32" s="5">
        <v>2.734</v>
      </c>
      <c r="L32" s="5">
        <v>1.7490000000000001</v>
      </c>
    </row>
    <row r="33" spans="1:12" ht="15" customHeight="1" x14ac:dyDescent="0.25">
      <c r="A33" s="203"/>
      <c r="B33" s="203"/>
      <c r="C33" s="105" t="s">
        <v>12</v>
      </c>
      <c r="D33" s="76">
        <v>3.806</v>
      </c>
      <c r="E33" s="76">
        <v>1.538</v>
      </c>
      <c r="F33" s="76">
        <v>8.6419999999999995</v>
      </c>
      <c r="G33" s="76">
        <v>5.0609999999999999</v>
      </c>
      <c r="H33" s="76">
        <v>2.6179999999999999</v>
      </c>
      <c r="I33" s="76">
        <v>4.28</v>
      </c>
      <c r="J33" s="76">
        <v>6.7569999999999997</v>
      </c>
      <c r="K33" s="76">
        <v>38.601999999999997</v>
      </c>
      <c r="L33" s="76">
        <v>4.673</v>
      </c>
    </row>
    <row r="34" spans="1:12" ht="15" customHeight="1" x14ac:dyDescent="0.25">
      <c r="A34" s="203"/>
      <c r="B34" s="203" t="s">
        <v>25</v>
      </c>
      <c r="C34" s="4" t="s">
        <v>22</v>
      </c>
      <c r="D34" s="5">
        <v>2.6539999999999999</v>
      </c>
      <c r="E34" s="5">
        <v>0.84</v>
      </c>
      <c r="F34" s="5">
        <v>11.803000000000001</v>
      </c>
      <c r="G34" s="5">
        <v>4.7969999999999997</v>
      </c>
      <c r="H34" s="5">
        <v>8.8729999999999993</v>
      </c>
      <c r="I34" s="5">
        <v>8.23</v>
      </c>
      <c r="J34" s="5">
        <v>13.663</v>
      </c>
      <c r="K34" s="5">
        <v>7.8010000000000002</v>
      </c>
      <c r="L34" s="5">
        <v>6.3360000000000003</v>
      </c>
    </row>
    <row r="35" spans="1:12" ht="15" customHeight="1" x14ac:dyDescent="0.25">
      <c r="A35" s="203"/>
      <c r="B35" s="203"/>
      <c r="C35" s="4" t="s">
        <v>23</v>
      </c>
      <c r="D35" s="5">
        <v>0.17399999999999999</v>
      </c>
      <c r="E35" s="5">
        <v>4.2999999999999997E-2</v>
      </c>
      <c r="F35" s="5">
        <v>0.33400000000000002</v>
      </c>
      <c r="G35" s="5">
        <v>0.28199999999999997</v>
      </c>
      <c r="H35" s="5">
        <v>0.33700000000000002</v>
      </c>
      <c r="I35" s="5">
        <v>0.49399999999999999</v>
      </c>
      <c r="J35" s="5">
        <v>0.40100000000000002</v>
      </c>
      <c r="K35" s="107" t="s">
        <v>167</v>
      </c>
      <c r="L35" s="5">
        <v>0.20499999999999999</v>
      </c>
    </row>
    <row r="36" spans="1:12" ht="15" customHeight="1" x14ac:dyDescent="0.25">
      <c r="A36" s="203"/>
      <c r="B36" s="203"/>
      <c r="C36" s="105" t="s">
        <v>12</v>
      </c>
      <c r="D36" s="76">
        <v>0.36299999999999999</v>
      </c>
      <c r="E36" s="76">
        <v>0.06</v>
      </c>
      <c r="F36" s="76">
        <v>1.3620000000000001</v>
      </c>
      <c r="G36" s="76">
        <v>0.60499999999999998</v>
      </c>
      <c r="H36" s="76">
        <v>0.79900000000000004</v>
      </c>
      <c r="I36" s="76">
        <v>1.38</v>
      </c>
      <c r="J36" s="76">
        <v>0.81899999999999995</v>
      </c>
      <c r="K36" s="76">
        <v>3.3650000000000002</v>
      </c>
      <c r="L36" s="76">
        <v>0.61099999999999999</v>
      </c>
    </row>
    <row r="37" spans="1:12" ht="15" customHeight="1" x14ac:dyDescent="0.25">
      <c r="A37" s="203"/>
      <c r="B37" s="203" t="s">
        <v>12</v>
      </c>
      <c r="C37" s="4" t="s">
        <v>22</v>
      </c>
      <c r="D37" s="5">
        <v>18.827000000000002</v>
      </c>
      <c r="E37" s="5">
        <v>7.335</v>
      </c>
      <c r="F37" s="5">
        <v>41.575000000000003</v>
      </c>
      <c r="G37" s="5">
        <v>28.175000000000001</v>
      </c>
      <c r="H37" s="5">
        <v>17.268000000000001</v>
      </c>
      <c r="I37" s="5">
        <v>8.093</v>
      </c>
      <c r="J37" s="5">
        <v>39.191000000000003</v>
      </c>
      <c r="K37" s="5">
        <v>48.331000000000003</v>
      </c>
      <c r="L37" s="5">
        <v>26.866</v>
      </c>
    </row>
    <row r="38" spans="1:12" ht="15" customHeight="1" x14ac:dyDescent="0.25">
      <c r="A38" s="203"/>
      <c r="B38" s="203"/>
      <c r="C38" s="4" t="s">
        <v>23</v>
      </c>
      <c r="D38" s="5">
        <v>0.77600000000000002</v>
      </c>
      <c r="E38" s="5">
        <v>0.67800000000000005</v>
      </c>
      <c r="F38" s="5">
        <v>1.5549999999999999</v>
      </c>
      <c r="G38" s="5">
        <v>0.97799999999999998</v>
      </c>
      <c r="H38" s="5">
        <v>0.84799999999999998</v>
      </c>
      <c r="I38" s="5">
        <v>2.2109999999999999</v>
      </c>
      <c r="J38" s="5">
        <v>2.6880000000000002</v>
      </c>
      <c r="K38" s="5">
        <v>1.4179999999999999</v>
      </c>
      <c r="L38" s="5">
        <v>0.999</v>
      </c>
    </row>
    <row r="39" spans="1:12" ht="15" customHeight="1" x14ac:dyDescent="0.25">
      <c r="A39" s="203"/>
      <c r="B39" s="203"/>
      <c r="C39" s="105" t="s">
        <v>12</v>
      </c>
      <c r="D39" s="76">
        <v>2.137</v>
      </c>
      <c r="E39" s="76">
        <v>0.81899999999999995</v>
      </c>
      <c r="F39" s="76">
        <v>5.1059999999999999</v>
      </c>
      <c r="G39" s="76">
        <v>2.8959999999999999</v>
      </c>
      <c r="H39" s="76">
        <v>1.7310000000000001</v>
      </c>
      <c r="I39" s="76">
        <v>2.8809999999999998</v>
      </c>
      <c r="J39" s="76">
        <v>3.9</v>
      </c>
      <c r="K39" s="76">
        <v>21.568000000000001</v>
      </c>
      <c r="L39" s="76">
        <v>2.7010000000000001</v>
      </c>
    </row>
    <row r="40" spans="1:12" ht="15" customHeight="1" x14ac:dyDescent="0.25">
      <c r="A40" s="203" t="s">
        <v>289</v>
      </c>
      <c r="B40" s="203" t="s">
        <v>21</v>
      </c>
      <c r="C40" s="4" t="s">
        <v>22</v>
      </c>
      <c r="D40" s="5">
        <v>33.896999999999998</v>
      </c>
      <c r="E40" s="5">
        <v>14.223000000000001</v>
      </c>
      <c r="F40" s="5">
        <v>68.150999999999996</v>
      </c>
      <c r="G40" s="5">
        <v>39.979999999999997</v>
      </c>
      <c r="H40" s="5">
        <v>33.823999999999998</v>
      </c>
      <c r="I40" s="5">
        <v>12.351000000000001</v>
      </c>
      <c r="J40" s="5">
        <v>74.447000000000003</v>
      </c>
      <c r="K40" s="5">
        <v>63.061999999999998</v>
      </c>
      <c r="L40" s="5">
        <v>44.372999999999998</v>
      </c>
    </row>
    <row r="41" spans="1:12" ht="15" customHeight="1" x14ac:dyDescent="0.25">
      <c r="A41" s="203"/>
      <c r="B41" s="203"/>
      <c r="C41" s="4" t="s">
        <v>23</v>
      </c>
      <c r="D41" s="5">
        <v>1.526</v>
      </c>
      <c r="E41" s="5">
        <v>1.8089999999999999</v>
      </c>
      <c r="F41" s="5">
        <v>2.5680000000000001</v>
      </c>
      <c r="G41" s="5">
        <v>1.716</v>
      </c>
      <c r="H41" s="5">
        <v>1.7649999999999999</v>
      </c>
      <c r="I41" s="5">
        <v>3.1619999999999999</v>
      </c>
      <c r="J41" s="5">
        <v>6.2110000000000003</v>
      </c>
      <c r="K41" s="5">
        <v>2.4159999999999999</v>
      </c>
      <c r="L41" s="5">
        <v>1.958</v>
      </c>
    </row>
    <row r="42" spans="1:12" ht="15" customHeight="1" x14ac:dyDescent="0.25">
      <c r="A42" s="203"/>
      <c r="B42" s="203"/>
      <c r="C42" s="105" t="s">
        <v>12</v>
      </c>
      <c r="D42" s="76">
        <v>3.9670000000000001</v>
      </c>
      <c r="E42" s="76">
        <v>2.073</v>
      </c>
      <c r="F42" s="76">
        <v>8.2919999999999998</v>
      </c>
      <c r="G42" s="76">
        <v>4.3380000000000001</v>
      </c>
      <c r="H42" s="76">
        <v>3.52</v>
      </c>
      <c r="I42" s="76">
        <v>4.1909999999999998</v>
      </c>
      <c r="J42" s="76">
        <v>8.5730000000000004</v>
      </c>
      <c r="K42" s="76">
        <v>27.629000000000001</v>
      </c>
      <c r="L42" s="76">
        <v>4.7569999999999997</v>
      </c>
    </row>
    <row r="43" spans="1:12" ht="15" customHeight="1" x14ac:dyDescent="0.25">
      <c r="A43" s="203"/>
      <c r="B43" s="203" t="s">
        <v>25</v>
      </c>
      <c r="C43" s="4" t="s">
        <v>22</v>
      </c>
      <c r="D43" s="5">
        <v>2.875</v>
      </c>
      <c r="E43" s="5">
        <v>1.802</v>
      </c>
      <c r="F43" s="5">
        <v>11.991</v>
      </c>
      <c r="G43" s="5">
        <v>3.2810000000000001</v>
      </c>
      <c r="H43" s="5">
        <v>8.3290000000000006</v>
      </c>
      <c r="I43" s="5">
        <v>2.915</v>
      </c>
      <c r="J43" s="5">
        <v>23.707999999999998</v>
      </c>
      <c r="K43" s="5">
        <v>5.226</v>
      </c>
      <c r="L43" s="5">
        <v>6.0679999999999996</v>
      </c>
    </row>
    <row r="44" spans="1:12" ht="15" customHeight="1" x14ac:dyDescent="0.25">
      <c r="A44" s="203"/>
      <c r="B44" s="203"/>
      <c r="C44" s="4" t="s">
        <v>23</v>
      </c>
      <c r="D44" s="5">
        <v>0.14799999999999999</v>
      </c>
      <c r="E44" s="107">
        <v>5.0999999999999997E-2</v>
      </c>
      <c r="F44" s="5">
        <v>0.45500000000000002</v>
      </c>
      <c r="G44" s="5">
        <v>0.26600000000000001</v>
      </c>
      <c r="H44" s="5">
        <v>0.26700000000000002</v>
      </c>
      <c r="I44" s="5">
        <v>0.754</v>
      </c>
      <c r="J44" s="5">
        <v>0.53800000000000003</v>
      </c>
      <c r="K44" s="107" t="s">
        <v>167</v>
      </c>
      <c r="L44" s="5">
        <v>0.22500000000000001</v>
      </c>
    </row>
    <row r="45" spans="1:12" ht="15" customHeight="1" x14ac:dyDescent="0.25">
      <c r="A45" s="203"/>
      <c r="B45" s="203"/>
      <c r="C45" s="105" t="s">
        <v>12</v>
      </c>
      <c r="D45" s="76">
        <v>0.35399999999999998</v>
      </c>
      <c r="E45" s="76">
        <v>8.7999999999999995E-2</v>
      </c>
      <c r="F45" s="76">
        <v>1.4810000000000001</v>
      </c>
      <c r="G45" s="76">
        <v>0.47699999999999998</v>
      </c>
      <c r="H45" s="76">
        <v>0.70099999999999996</v>
      </c>
      <c r="I45" s="76">
        <v>0.999</v>
      </c>
      <c r="J45" s="76">
        <v>1.2270000000000001</v>
      </c>
      <c r="K45" s="76">
        <v>2.1680000000000001</v>
      </c>
      <c r="L45" s="76">
        <v>0.61199999999999999</v>
      </c>
    </row>
    <row r="46" spans="1:12" ht="15" customHeight="1" x14ac:dyDescent="0.25">
      <c r="A46" s="203"/>
      <c r="B46" s="203" t="s">
        <v>12</v>
      </c>
      <c r="C46" s="4" t="s">
        <v>22</v>
      </c>
      <c r="D46" s="5">
        <v>18.927</v>
      </c>
      <c r="E46" s="5">
        <v>8.1140000000000008</v>
      </c>
      <c r="F46" s="5">
        <v>40.65</v>
      </c>
      <c r="G46" s="5">
        <v>21.923999999999999</v>
      </c>
      <c r="H46" s="5">
        <v>21.393000000000001</v>
      </c>
      <c r="I46" s="5">
        <v>7.7649999999999997</v>
      </c>
      <c r="J46" s="5">
        <v>51.854999999999997</v>
      </c>
      <c r="K46" s="5">
        <v>35.119999999999997</v>
      </c>
      <c r="L46" s="5">
        <v>25.73</v>
      </c>
    </row>
    <row r="47" spans="1:12" ht="15" customHeight="1" x14ac:dyDescent="0.25">
      <c r="A47" s="203"/>
      <c r="B47" s="203"/>
      <c r="C47" s="4" t="s">
        <v>23</v>
      </c>
      <c r="D47" s="5">
        <v>0.85799999999999998</v>
      </c>
      <c r="E47" s="5">
        <v>0.95299999999999996</v>
      </c>
      <c r="F47" s="5">
        <v>1.5429999999999999</v>
      </c>
      <c r="G47" s="5">
        <v>1.012</v>
      </c>
      <c r="H47" s="5">
        <v>1.0349999999999999</v>
      </c>
      <c r="I47" s="5">
        <v>1.9990000000000001</v>
      </c>
      <c r="J47" s="5">
        <v>3.4649999999999999</v>
      </c>
      <c r="K47" s="5">
        <v>1.254</v>
      </c>
      <c r="L47" s="5">
        <v>1.1160000000000001</v>
      </c>
    </row>
    <row r="48" spans="1:12" ht="15" customHeight="1" x14ac:dyDescent="0.25">
      <c r="A48" s="203"/>
      <c r="B48" s="203"/>
      <c r="C48" s="105" t="s">
        <v>12</v>
      </c>
      <c r="D48" s="76">
        <v>2.2160000000000002</v>
      </c>
      <c r="E48" s="76">
        <v>1.1060000000000001</v>
      </c>
      <c r="F48" s="76">
        <v>4.984</v>
      </c>
      <c r="G48" s="76">
        <v>2.46</v>
      </c>
      <c r="H48" s="76">
        <v>2.1469999999999998</v>
      </c>
      <c r="I48" s="76">
        <v>2.649</v>
      </c>
      <c r="J48" s="76">
        <v>5.0259999999999998</v>
      </c>
      <c r="K48" s="76">
        <v>15.364000000000001</v>
      </c>
      <c r="L48" s="76">
        <v>2.7440000000000002</v>
      </c>
    </row>
    <row r="49" spans="1:12" ht="5.25" customHeight="1" x14ac:dyDescent="0.25">
      <c r="A49" s="2"/>
    </row>
    <row r="50" spans="1:12" ht="0.75" hidden="1" customHeight="1" x14ac:dyDescent="0.25">
      <c r="A50" s="2"/>
    </row>
    <row r="51" spans="1:12" ht="2.25" customHeight="1" x14ac:dyDescent="0.25">
      <c r="A51" s="55"/>
    </row>
    <row r="52" spans="1:12" x14ac:dyDescent="0.25">
      <c r="A52" s="119" t="s">
        <v>240</v>
      </c>
      <c r="B52" s="137"/>
      <c r="C52" s="137"/>
      <c r="D52" s="137"/>
      <c r="E52" s="137"/>
      <c r="F52" s="137"/>
      <c r="G52" s="137"/>
      <c r="H52" s="137"/>
      <c r="I52" s="137"/>
      <c r="J52" s="137"/>
      <c r="K52" s="137"/>
      <c r="L52" s="137"/>
    </row>
    <row r="53" spans="1:12" ht="11.1" customHeight="1" x14ac:dyDescent="0.25">
      <c r="A53" s="6" t="s">
        <v>58</v>
      </c>
      <c r="B53" s="6"/>
      <c r="C53" s="6"/>
      <c r="D53" s="6"/>
      <c r="E53" s="6"/>
      <c r="F53" s="6"/>
      <c r="G53" s="6"/>
      <c r="H53" s="6"/>
      <c r="I53" s="6"/>
      <c r="J53" s="6"/>
      <c r="K53" s="6"/>
    </row>
    <row r="54" spans="1:12" s="6" customFormat="1" ht="9" x14ac:dyDescent="0.15">
      <c r="A54" s="6" t="s">
        <v>40</v>
      </c>
    </row>
    <row r="55" spans="1:12" s="6" customFormat="1" ht="22.5" customHeight="1" x14ac:dyDescent="0.15">
      <c r="A55" s="199" t="s">
        <v>29</v>
      </c>
      <c r="B55" s="199"/>
      <c r="C55" s="199"/>
      <c r="D55" s="199"/>
      <c r="E55" s="199"/>
      <c r="F55" s="199"/>
      <c r="G55" s="199"/>
      <c r="H55" s="199"/>
      <c r="I55" s="199"/>
      <c r="J55" s="199"/>
      <c r="K55" s="199"/>
    </row>
    <row r="56" spans="1:12" s="6" customFormat="1" ht="11.1" customHeight="1" x14ac:dyDescent="0.15">
      <c r="A56" s="6" t="s">
        <v>248</v>
      </c>
      <c r="B56" s="122"/>
      <c r="C56" s="122"/>
      <c r="D56" s="122"/>
      <c r="E56" s="122"/>
      <c r="F56" s="122"/>
      <c r="G56" s="122"/>
      <c r="H56" s="122"/>
      <c r="I56" s="122"/>
      <c r="J56" s="122"/>
      <c r="K56" s="122"/>
    </row>
    <row r="57" spans="1:12" s="6" customFormat="1" ht="11.1" customHeight="1" x14ac:dyDescent="0.15">
      <c r="A57" s="6" t="s">
        <v>249</v>
      </c>
      <c r="B57" s="122"/>
      <c r="C57" s="122"/>
      <c r="D57" s="122"/>
      <c r="E57" s="122"/>
      <c r="F57" s="122"/>
      <c r="G57" s="122"/>
      <c r="H57" s="122"/>
      <c r="I57" s="122"/>
      <c r="J57" s="122"/>
      <c r="K57" s="122"/>
    </row>
    <row r="58" spans="1:12" s="6" customFormat="1" ht="11.1" customHeight="1" x14ac:dyDescent="0.15">
      <c r="A58" s="6" t="s">
        <v>318</v>
      </c>
    </row>
    <row r="59" spans="1:12" s="6" customFormat="1" ht="11.1" customHeight="1" x14ac:dyDescent="0.15"/>
    <row r="60" spans="1:12" s="6" customFormat="1" ht="11.1" customHeight="1" x14ac:dyDescent="0.15">
      <c r="A60" s="6" t="s">
        <v>215</v>
      </c>
    </row>
    <row r="61" spans="1:12" s="6" customFormat="1" ht="22.5" customHeight="1" x14ac:dyDescent="0.15"/>
    <row r="62" spans="1:12" s="6" customFormat="1" ht="11.1" customHeight="1" x14ac:dyDescent="0.15"/>
    <row r="63" spans="1:12" s="6" customFormat="1" ht="11.1" customHeight="1" x14ac:dyDescent="0.15"/>
    <row r="65" s="6" customFormat="1" ht="11.1" customHeight="1" x14ac:dyDescent="0.15"/>
  </sheetData>
  <mergeCells count="22">
    <mergeCell ref="A31:A39"/>
    <mergeCell ref="A13:A21"/>
    <mergeCell ref="B13:B15"/>
    <mergeCell ref="B16:B18"/>
    <mergeCell ref="B19:B21"/>
    <mergeCell ref="A22:A30"/>
    <mergeCell ref="B22:B24"/>
    <mergeCell ref="B25:B27"/>
    <mergeCell ref="B28:B30"/>
    <mergeCell ref="B31:B33"/>
    <mergeCell ref="B34:B36"/>
    <mergeCell ref="B37:B39"/>
    <mergeCell ref="A1:L1"/>
    <mergeCell ref="A4:A12"/>
    <mergeCell ref="B4:B6"/>
    <mergeCell ref="B7:B9"/>
    <mergeCell ref="B10:B12"/>
    <mergeCell ref="A55:K55"/>
    <mergeCell ref="A40:A48"/>
    <mergeCell ref="B40:B42"/>
    <mergeCell ref="B43:B45"/>
    <mergeCell ref="B46:B48"/>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52"/>
  <sheetViews>
    <sheetView zoomScale="91" zoomScaleNormal="91" workbookViewId="0">
      <selection sqref="A1:M1"/>
    </sheetView>
  </sheetViews>
  <sheetFormatPr defaultColWidth="9.140625" defaultRowHeight="15" x14ac:dyDescent="0.25"/>
  <cols>
    <col min="1" max="1" width="11.42578125" style="1" bestFit="1" customWidth="1"/>
    <col min="2" max="2" width="23.42578125" style="1" customWidth="1"/>
    <col min="3" max="13" width="11.42578125" style="1" bestFit="1" customWidth="1"/>
    <col min="14" max="16384" width="9.140625" style="1"/>
  </cols>
  <sheetData>
    <row r="1" spans="1:21" ht="24" customHeight="1" x14ac:dyDescent="0.25">
      <c r="A1" s="198" t="s">
        <v>319</v>
      </c>
      <c r="B1" s="198"/>
      <c r="C1" s="198"/>
      <c r="D1" s="198"/>
      <c r="E1" s="198"/>
      <c r="F1" s="198"/>
      <c r="G1" s="198"/>
      <c r="H1" s="198"/>
      <c r="I1" s="198"/>
      <c r="J1" s="198"/>
      <c r="K1" s="198"/>
      <c r="L1" s="198"/>
      <c r="M1" s="198"/>
    </row>
    <row r="2" spans="1:21" ht="2.25" customHeight="1" x14ac:dyDescent="0.25">
      <c r="A2" s="2"/>
    </row>
    <row r="3" spans="1:21" x14ac:dyDescent="0.25">
      <c r="A3" s="40" t="s">
        <v>189</v>
      </c>
      <c r="B3" s="40" t="s">
        <v>223</v>
      </c>
      <c r="C3" s="3" t="s">
        <v>1</v>
      </c>
      <c r="D3" s="3" t="s">
        <v>2</v>
      </c>
      <c r="E3" s="3" t="s">
        <v>3</v>
      </c>
      <c r="F3" s="3" t="s">
        <v>4</v>
      </c>
      <c r="G3" s="3" t="s">
        <v>5</v>
      </c>
      <c r="H3" s="3" t="s">
        <v>6</v>
      </c>
      <c r="I3" s="3" t="s">
        <v>7</v>
      </c>
      <c r="J3" s="3" t="s">
        <v>8</v>
      </c>
      <c r="K3" s="3" t="s">
        <v>9</v>
      </c>
    </row>
    <row r="4" spans="1:21" x14ac:dyDescent="0.25">
      <c r="A4" s="203" t="s">
        <v>51</v>
      </c>
      <c r="B4" s="4" t="s">
        <v>66</v>
      </c>
      <c r="C4" s="8">
        <v>711</v>
      </c>
      <c r="D4" s="8">
        <v>201</v>
      </c>
      <c r="E4" s="8">
        <v>340</v>
      </c>
      <c r="F4" s="8">
        <v>185</v>
      </c>
      <c r="G4" s="8">
        <v>131</v>
      </c>
      <c r="H4" s="8">
        <v>16</v>
      </c>
      <c r="I4" s="8">
        <v>39</v>
      </c>
      <c r="J4" s="8">
        <v>83</v>
      </c>
      <c r="K4" s="169">
        <v>1706</v>
      </c>
      <c r="L4" s="8"/>
      <c r="M4" s="8"/>
      <c r="N4" s="8"/>
      <c r="O4" s="8"/>
      <c r="P4" s="8"/>
      <c r="Q4" s="8"/>
      <c r="R4" s="8"/>
      <c r="S4" s="8"/>
      <c r="T4" s="8"/>
      <c r="U4" s="128"/>
    </row>
    <row r="5" spans="1:21" x14ac:dyDescent="0.25">
      <c r="A5" s="203"/>
      <c r="B5" s="4" t="s">
        <v>67</v>
      </c>
      <c r="C5" s="8">
        <v>769</v>
      </c>
      <c r="D5" s="8">
        <v>432</v>
      </c>
      <c r="E5" s="8">
        <v>681</v>
      </c>
      <c r="F5" s="8">
        <v>417</v>
      </c>
      <c r="G5" s="8">
        <v>129</v>
      </c>
      <c r="H5" s="8">
        <v>27</v>
      </c>
      <c r="I5" s="8">
        <v>35</v>
      </c>
      <c r="J5" s="8">
        <v>91</v>
      </c>
      <c r="K5" s="169">
        <v>2581</v>
      </c>
      <c r="L5" s="8"/>
      <c r="M5" s="8"/>
      <c r="N5" s="8"/>
      <c r="O5" s="8"/>
      <c r="P5" s="8"/>
      <c r="Q5" s="8"/>
      <c r="R5" s="8"/>
      <c r="S5" s="8"/>
      <c r="T5" s="8"/>
    </row>
    <row r="6" spans="1:21" x14ac:dyDescent="0.25">
      <c r="A6" s="203"/>
      <c r="B6" s="9" t="s">
        <v>12</v>
      </c>
      <c r="C6" s="81">
        <v>1480</v>
      </c>
      <c r="D6" s="81">
        <v>633</v>
      </c>
      <c r="E6" s="81">
        <v>1021</v>
      </c>
      <c r="F6" s="81">
        <v>602</v>
      </c>
      <c r="G6" s="81">
        <v>260</v>
      </c>
      <c r="H6" s="81">
        <v>43</v>
      </c>
      <c r="I6" s="81">
        <v>74</v>
      </c>
      <c r="J6" s="81">
        <v>174</v>
      </c>
      <c r="K6" s="81">
        <v>4287</v>
      </c>
      <c r="L6" s="81"/>
      <c r="M6" s="81"/>
      <c r="N6" s="81"/>
      <c r="O6" s="81"/>
      <c r="P6" s="81"/>
      <c r="Q6" s="81"/>
      <c r="R6" s="81"/>
      <c r="S6" s="81"/>
      <c r="T6" s="81"/>
    </row>
    <row r="7" spans="1:21" x14ac:dyDescent="0.25">
      <c r="A7" s="203" t="s">
        <v>52</v>
      </c>
      <c r="B7" s="4" t="s">
        <v>66</v>
      </c>
      <c r="C7" s="8">
        <v>593</v>
      </c>
      <c r="D7" s="8">
        <v>160</v>
      </c>
      <c r="E7" s="8">
        <v>328</v>
      </c>
      <c r="F7" s="8">
        <v>349</v>
      </c>
      <c r="G7" s="8">
        <v>156</v>
      </c>
      <c r="H7" s="8">
        <v>16</v>
      </c>
      <c r="I7" s="8">
        <v>32</v>
      </c>
      <c r="J7" s="8">
        <v>133</v>
      </c>
      <c r="K7" s="169">
        <v>1767</v>
      </c>
      <c r="L7" s="8"/>
      <c r="M7" s="8"/>
      <c r="N7" s="8"/>
      <c r="O7" s="8"/>
      <c r="P7" s="8"/>
      <c r="Q7" s="8"/>
      <c r="R7" s="8"/>
      <c r="S7" s="8"/>
      <c r="T7" s="8"/>
    </row>
    <row r="8" spans="1:21" x14ac:dyDescent="0.25">
      <c r="A8" s="203"/>
      <c r="B8" s="4" t="s">
        <v>67</v>
      </c>
      <c r="C8" s="8">
        <v>740</v>
      </c>
      <c r="D8" s="8">
        <v>332</v>
      </c>
      <c r="E8" s="8">
        <v>752</v>
      </c>
      <c r="F8" s="8">
        <v>407</v>
      </c>
      <c r="G8" s="8">
        <v>140</v>
      </c>
      <c r="H8" s="8">
        <v>28</v>
      </c>
      <c r="I8" s="8">
        <v>41</v>
      </c>
      <c r="J8" s="8">
        <v>148</v>
      </c>
      <c r="K8" s="169">
        <v>2588</v>
      </c>
      <c r="L8" s="8"/>
      <c r="M8" s="8"/>
      <c r="N8" s="8"/>
      <c r="O8" s="8"/>
      <c r="P8" s="8"/>
      <c r="Q8" s="8"/>
      <c r="R8" s="8"/>
      <c r="S8" s="8"/>
      <c r="T8" s="8"/>
    </row>
    <row r="9" spans="1:21" x14ac:dyDescent="0.25">
      <c r="A9" s="203"/>
      <c r="B9" s="9" t="s">
        <v>12</v>
      </c>
      <c r="C9" s="81">
        <v>1333</v>
      </c>
      <c r="D9" s="81">
        <v>492</v>
      </c>
      <c r="E9" s="81">
        <v>1080</v>
      </c>
      <c r="F9" s="81">
        <v>756</v>
      </c>
      <c r="G9" s="81">
        <v>296</v>
      </c>
      <c r="H9" s="81">
        <v>44</v>
      </c>
      <c r="I9" s="81">
        <v>73</v>
      </c>
      <c r="J9" s="81">
        <v>281</v>
      </c>
      <c r="K9" s="81">
        <v>4355</v>
      </c>
      <c r="L9" s="81"/>
      <c r="M9" s="81"/>
      <c r="N9" s="81"/>
      <c r="O9" s="81"/>
      <c r="P9" s="81"/>
      <c r="Q9" s="81"/>
      <c r="R9" s="81"/>
      <c r="S9" s="81"/>
      <c r="T9" s="81"/>
    </row>
    <row r="10" spans="1:21" x14ac:dyDescent="0.25">
      <c r="A10" s="203" t="s">
        <v>53</v>
      </c>
      <c r="B10" s="4" t="s">
        <v>66</v>
      </c>
      <c r="C10" s="8">
        <v>765</v>
      </c>
      <c r="D10" s="8">
        <v>177</v>
      </c>
      <c r="E10" s="8">
        <v>373</v>
      </c>
      <c r="F10" s="8">
        <v>375</v>
      </c>
      <c r="G10" s="8">
        <v>155</v>
      </c>
      <c r="H10" s="8">
        <v>32</v>
      </c>
      <c r="I10" s="8">
        <v>66</v>
      </c>
      <c r="J10" s="8">
        <v>106</v>
      </c>
      <c r="K10" s="169">
        <v>2049</v>
      </c>
      <c r="L10" s="8"/>
      <c r="M10" s="8"/>
      <c r="N10" s="8"/>
      <c r="O10" s="8"/>
      <c r="P10" s="8"/>
      <c r="Q10" s="8"/>
      <c r="R10" s="8"/>
      <c r="S10" s="8"/>
      <c r="T10" s="8"/>
    </row>
    <row r="11" spans="1:21" x14ac:dyDescent="0.25">
      <c r="A11" s="203"/>
      <c r="B11" s="4" t="s">
        <v>67</v>
      </c>
      <c r="C11" s="8">
        <v>724</v>
      </c>
      <c r="D11" s="8">
        <v>265</v>
      </c>
      <c r="E11" s="8">
        <v>731</v>
      </c>
      <c r="F11" s="8">
        <v>428</v>
      </c>
      <c r="G11" s="8">
        <v>176</v>
      </c>
      <c r="H11" s="8">
        <v>26</v>
      </c>
      <c r="I11" s="8">
        <v>42</v>
      </c>
      <c r="J11" s="8">
        <v>176</v>
      </c>
      <c r="K11" s="169">
        <v>2568</v>
      </c>
      <c r="L11" s="8"/>
      <c r="M11" s="8"/>
      <c r="N11" s="8"/>
      <c r="O11" s="8"/>
      <c r="P11" s="8"/>
      <c r="Q11" s="8"/>
      <c r="R11" s="8"/>
      <c r="S11" s="8"/>
      <c r="T11" s="8"/>
    </row>
    <row r="12" spans="1:21" x14ac:dyDescent="0.25">
      <c r="A12" s="203"/>
      <c r="B12" s="9" t="s">
        <v>12</v>
      </c>
      <c r="C12" s="81">
        <v>1489</v>
      </c>
      <c r="D12" s="81">
        <v>442</v>
      </c>
      <c r="E12" s="81">
        <v>1104</v>
      </c>
      <c r="F12" s="81">
        <v>803</v>
      </c>
      <c r="G12" s="81">
        <v>331</v>
      </c>
      <c r="H12" s="81">
        <v>58</v>
      </c>
      <c r="I12" s="81">
        <v>108</v>
      </c>
      <c r="J12" s="81">
        <v>282</v>
      </c>
      <c r="K12" s="81">
        <v>4617</v>
      </c>
      <c r="L12" s="81"/>
      <c r="M12" s="81"/>
      <c r="N12" s="81"/>
      <c r="O12" s="81"/>
      <c r="P12" s="81"/>
      <c r="Q12" s="81"/>
      <c r="R12" s="81"/>
      <c r="S12" s="81"/>
      <c r="T12" s="81"/>
    </row>
    <row r="13" spans="1:21" x14ac:dyDescent="0.25">
      <c r="A13" s="203" t="s">
        <v>227</v>
      </c>
      <c r="B13" s="4" t="s">
        <v>66</v>
      </c>
      <c r="C13" s="8">
        <v>737</v>
      </c>
      <c r="D13" s="8">
        <v>117</v>
      </c>
      <c r="E13" s="8">
        <v>351</v>
      </c>
      <c r="F13" s="8">
        <v>347</v>
      </c>
      <c r="G13" s="8">
        <v>149</v>
      </c>
      <c r="H13" s="8">
        <v>35</v>
      </c>
      <c r="I13" s="8">
        <v>61</v>
      </c>
      <c r="J13" s="8">
        <v>123</v>
      </c>
      <c r="K13" s="169">
        <v>1920</v>
      </c>
      <c r="L13" s="8"/>
      <c r="M13" s="8"/>
      <c r="N13" s="8"/>
      <c r="O13" s="8"/>
      <c r="P13" s="8"/>
      <c r="Q13" s="8"/>
      <c r="R13" s="8"/>
      <c r="S13" s="8"/>
      <c r="T13" s="8"/>
    </row>
    <row r="14" spans="1:21" x14ac:dyDescent="0.25">
      <c r="A14" s="203"/>
      <c r="B14" s="4" t="s">
        <v>67</v>
      </c>
      <c r="C14" s="8">
        <v>763</v>
      </c>
      <c r="D14" s="8">
        <v>236</v>
      </c>
      <c r="E14" s="8">
        <v>767</v>
      </c>
      <c r="F14" s="8">
        <v>446</v>
      </c>
      <c r="G14" s="8">
        <v>168</v>
      </c>
      <c r="H14" s="8">
        <v>42</v>
      </c>
      <c r="I14" s="8">
        <v>51</v>
      </c>
      <c r="J14" s="8">
        <v>182</v>
      </c>
      <c r="K14" s="169">
        <v>2655</v>
      </c>
      <c r="L14" s="8"/>
      <c r="M14" s="8"/>
      <c r="N14" s="8"/>
      <c r="O14" s="8"/>
      <c r="P14" s="8"/>
      <c r="Q14" s="8"/>
      <c r="R14" s="8"/>
      <c r="S14" s="8"/>
      <c r="T14" s="8"/>
    </row>
    <row r="15" spans="1:21" x14ac:dyDescent="0.25">
      <c r="A15" s="203"/>
      <c r="B15" s="9" t="s">
        <v>12</v>
      </c>
      <c r="C15" s="81">
        <v>1500</v>
      </c>
      <c r="D15" s="81">
        <v>353</v>
      </c>
      <c r="E15" s="81">
        <v>1118</v>
      </c>
      <c r="F15" s="81">
        <v>793</v>
      </c>
      <c r="G15" s="81">
        <v>317</v>
      </c>
      <c r="H15" s="81">
        <v>77</v>
      </c>
      <c r="I15" s="81">
        <v>112</v>
      </c>
      <c r="J15" s="81">
        <v>305</v>
      </c>
      <c r="K15" s="81">
        <v>4575</v>
      </c>
      <c r="L15" s="81"/>
      <c r="M15" s="81"/>
      <c r="N15" s="81"/>
      <c r="O15" s="81"/>
      <c r="P15" s="81"/>
      <c r="Q15" s="81"/>
      <c r="R15" s="81"/>
      <c r="S15" s="81"/>
      <c r="T15" s="81"/>
    </row>
    <row r="16" spans="1:21" x14ac:dyDescent="0.25">
      <c r="A16" s="203" t="s">
        <v>289</v>
      </c>
      <c r="B16" s="4" t="s">
        <v>66</v>
      </c>
      <c r="C16" s="8">
        <v>742</v>
      </c>
      <c r="D16" s="8">
        <v>195</v>
      </c>
      <c r="E16" s="8">
        <v>344</v>
      </c>
      <c r="F16" s="8">
        <v>382</v>
      </c>
      <c r="G16" s="8">
        <v>165</v>
      </c>
      <c r="H16" s="8">
        <v>25</v>
      </c>
      <c r="I16" s="8">
        <v>45</v>
      </c>
      <c r="J16" s="8">
        <v>144</v>
      </c>
      <c r="K16" s="169">
        <v>2042</v>
      </c>
      <c r="L16" s="8"/>
      <c r="M16" s="8"/>
      <c r="N16" s="8"/>
      <c r="O16" s="8"/>
      <c r="P16" s="8"/>
      <c r="Q16" s="8"/>
      <c r="R16" s="8"/>
      <c r="S16" s="8"/>
      <c r="T16" s="8"/>
    </row>
    <row r="17" spans="1:20" x14ac:dyDescent="0.25">
      <c r="A17" s="203"/>
      <c r="B17" s="4" t="s">
        <v>67</v>
      </c>
      <c r="C17" s="8">
        <v>819</v>
      </c>
      <c r="D17" s="8">
        <v>247</v>
      </c>
      <c r="E17" s="8">
        <v>733</v>
      </c>
      <c r="F17" s="8">
        <v>427</v>
      </c>
      <c r="G17" s="8">
        <v>186</v>
      </c>
      <c r="H17" s="8">
        <v>45</v>
      </c>
      <c r="I17" s="8">
        <v>54</v>
      </c>
      <c r="J17" s="8">
        <v>189</v>
      </c>
      <c r="K17" s="169">
        <v>2700</v>
      </c>
      <c r="L17" s="8"/>
      <c r="M17" s="8"/>
      <c r="N17" s="8"/>
      <c r="O17" s="8"/>
      <c r="P17" s="8"/>
      <c r="Q17" s="8"/>
      <c r="R17" s="8"/>
      <c r="S17" s="8"/>
      <c r="T17" s="8"/>
    </row>
    <row r="18" spans="1:20" x14ac:dyDescent="0.25">
      <c r="A18" s="213"/>
      <c r="B18" s="96" t="s">
        <v>12</v>
      </c>
      <c r="C18" s="101">
        <v>1561</v>
      </c>
      <c r="D18" s="101">
        <v>442</v>
      </c>
      <c r="E18" s="101">
        <v>1077</v>
      </c>
      <c r="F18" s="101">
        <v>809</v>
      </c>
      <c r="G18" s="101">
        <v>351</v>
      </c>
      <c r="H18" s="101">
        <v>70</v>
      </c>
      <c r="I18" s="101">
        <v>99</v>
      </c>
      <c r="J18" s="101">
        <v>333</v>
      </c>
      <c r="K18" s="101">
        <v>4742</v>
      </c>
      <c r="L18" s="81"/>
      <c r="M18" s="81"/>
      <c r="N18" s="81"/>
      <c r="O18" s="81"/>
      <c r="P18" s="81"/>
      <c r="Q18" s="81"/>
      <c r="R18" s="81"/>
      <c r="S18" s="81"/>
      <c r="T18" s="81"/>
    </row>
    <row r="19" spans="1:20" ht="2.25" customHeight="1" x14ac:dyDescent="0.25"/>
    <row r="20" spans="1:20" x14ac:dyDescent="0.25">
      <c r="A20" s="6" t="s">
        <v>220</v>
      </c>
    </row>
    <row r="21" spans="1:20" x14ac:dyDescent="0.25">
      <c r="A21" s="202" t="s">
        <v>18</v>
      </c>
      <c r="B21" s="202"/>
      <c r="C21" s="202"/>
      <c r="D21" s="202"/>
      <c r="E21" s="202"/>
      <c r="F21" s="202"/>
      <c r="G21" s="202"/>
      <c r="H21" s="202"/>
      <c r="I21" s="202"/>
      <c r="J21" s="202"/>
      <c r="K21" s="202"/>
      <c r="L21" s="202"/>
      <c r="M21" s="202"/>
    </row>
    <row r="22" spans="1:20" s="6" customFormat="1" ht="9" x14ac:dyDescent="0.15">
      <c r="A22" s="6" t="s">
        <v>58</v>
      </c>
    </row>
    <row r="23" spans="1:20" s="6" customFormat="1" ht="9" x14ac:dyDescent="0.15">
      <c r="A23" s="6" t="s">
        <v>20</v>
      </c>
    </row>
    <row r="24" spans="1:20" s="6" customFormat="1" ht="9" x14ac:dyDescent="0.15"/>
    <row r="25" spans="1:20" s="6" customFormat="1" ht="9" x14ac:dyDescent="0.15">
      <c r="A25" s="6" t="s">
        <v>271</v>
      </c>
    </row>
    <row r="26" spans="1:20" x14ac:dyDescent="0.25">
      <c r="A26" s="2"/>
    </row>
    <row r="34" spans="7:15" x14ac:dyDescent="0.25">
      <c r="J34" s="127"/>
      <c r="L34" s="127"/>
    </row>
    <row r="35" spans="7:15" x14ac:dyDescent="0.25">
      <c r="I35" s="127"/>
      <c r="J35" s="127"/>
      <c r="L35" s="127"/>
    </row>
    <row r="36" spans="7:15" x14ac:dyDescent="0.25">
      <c r="I36" s="127"/>
      <c r="J36" s="127"/>
      <c r="L36" s="127"/>
    </row>
    <row r="37" spans="7:15" x14ac:dyDescent="0.25">
      <c r="L37" s="127"/>
    </row>
    <row r="38" spans="7:15" x14ac:dyDescent="0.25">
      <c r="I38" s="127"/>
      <c r="J38" s="127"/>
      <c r="L38" s="127"/>
      <c r="O38" s="127"/>
    </row>
    <row r="39" spans="7:15" x14ac:dyDescent="0.25">
      <c r="I39" s="127"/>
      <c r="J39" s="127"/>
      <c r="L39" s="127"/>
      <c r="O39" s="127"/>
    </row>
    <row r="40" spans="7:15" x14ac:dyDescent="0.25">
      <c r="G40" s="127"/>
      <c r="I40" s="127"/>
      <c r="L40" s="127"/>
      <c r="O40" s="127"/>
    </row>
    <row r="41" spans="7:15" x14ac:dyDescent="0.25">
      <c r="I41" s="127"/>
      <c r="L41" s="127"/>
      <c r="O41" s="127"/>
    </row>
    <row r="42" spans="7:15" x14ac:dyDescent="0.25">
      <c r="I42" s="127"/>
      <c r="J42" s="127"/>
      <c r="L42" s="127"/>
      <c r="O42" s="127"/>
    </row>
    <row r="43" spans="7:15" x14ac:dyDescent="0.25">
      <c r="G43" s="127"/>
      <c r="I43" s="127"/>
      <c r="L43" s="127"/>
      <c r="O43" s="127"/>
    </row>
    <row r="44" spans="7:15" x14ac:dyDescent="0.25">
      <c r="I44" s="127"/>
      <c r="L44" s="127"/>
      <c r="O44" s="127"/>
    </row>
    <row r="45" spans="7:15" x14ac:dyDescent="0.25">
      <c r="I45" s="127"/>
      <c r="J45" s="127"/>
      <c r="L45" s="127"/>
      <c r="O45" s="127"/>
    </row>
    <row r="46" spans="7:15" x14ac:dyDescent="0.25">
      <c r="G46" s="127"/>
      <c r="I46" s="127"/>
      <c r="L46" s="127"/>
      <c r="O46" s="127"/>
    </row>
    <row r="47" spans="7:15" x14ac:dyDescent="0.25">
      <c r="I47" s="127"/>
      <c r="L47" s="127"/>
      <c r="O47" s="127"/>
    </row>
    <row r="48" spans="7:15" x14ac:dyDescent="0.25">
      <c r="I48" s="127"/>
      <c r="J48" s="127"/>
      <c r="L48" s="127"/>
      <c r="O48" s="127"/>
    </row>
    <row r="49" spans="7:15" x14ac:dyDescent="0.25">
      <c r="G49" s="127"/>
      <c r="I49" s="127"/>
      <c r="O49" s="127"/>
    </row>
    <row r="50" spans="7:15" x14ac:dyDescent="0.25">
      <c r="O50" s="127"/>
    </row>
    <row r="51" spans="7:15" x14ac:dyDescent="0.25">
      <c r="O51" s="127"/>
    </row>
    <row r="52" spans="7:15" x14ac:dyDescent="0.25">
      <c r="G52" s="127"/>
      <c r="I52" s="127"/>
      <c r="O52" s="127"/>
    </row>
  </sheetData>
  <mergeCells count="7">
    <mergeCell ref="A21:M21"/>
    <mergeCell ref="A1:M1"/>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K49"/>
  <sheetViews>
    <sheetView zoomScaleNormal="100" workbookViewId="0">
      <selection sqref="A1:F1"/>
    </sheetView>
  </sheetViews>
  <sheetFormatPr defaultColWidth="9.140625" defaultRowHeight="15" x14ac:dyDescent="0.25"/>
  <cols>
    <col min="1" max="1" width="14.42578125" style="1" customWidth="1"/>
    <col min="2" max="6" width="21.5703125" style="1" customWidth="1"/>
    <col min="7" max="8" width="11.42578125" style="1" bestFit="1" customWidth="1"/>
    <col min="9" max="16384" width="9.140625" style="1"/>
  </cols>
  <sheetData>
    <row r="1" spans="1:11" ht="32.25" customHeight="1" x14ac:dyDescent="0.25">
      <c r="A1" s="209" t="s">
        <v>337</v>
      </c>
      <c r="B1" s="209"/>
      <c r="C1" s="209"/>
      <c r="D1" s="209"/>
      <c r="E1" s="209"/>
      <c r="F1" s="209"/>
      <c r="G1" s="59"/>
      <c r="H1" s="59"/>
    </row>
    <row r="2" spans="1:11" ht="3" customHeight="1" x14ac:dyDescent="0.25">
      <c r="A2" s="2"/>
    </row>
    <row r="3" spans="1:11" x14ac:dyDescent="0.25">
      <c r="A3" s="40" t="s">
        <v>189</v>
      </c>
      <c r="B3" s="40" t="s">
        <v>224</v>
      </c>
      <c r="C3" s="3" t="s">
        <v>22</v>
      </c>
      <c r="D3" s="3" t="s">
        <v>23</v>
      </c>
      <c r="E3" s="3" t="s">
        <v>24</v>
      </c>
      <c r="F3" s="11" t="s">
        <v>12</v>
      </c>
    </row>
    <row r="4" spans="1:11" x14ac:dyDescent="0.25">
      <c r="A4" s="203" t="s">
        <v>51</v>
      </c>
      <c r="B4" s="4" t="s">
        <v>66</v>
      </c>
      <c r="C4" s="169">
        <v>649</v>
      </c>
      <c r="D4" s="169">
        <v>1011</v>
      </c>
      <c r="E4" s="169">
        <v>46</v>
      </c>
      <c r="F4" s="169">
        <v>1706</v>
      </c>
      <c r="G4" s="8"/>
      <c r="H4" s="8"/>
      <c r="I4" s="8"/>
      <c r="J4" s="8"/>
      <c r="K4" s="128"/>
    </row>
    <row r="5" spans="1:11" x14ac:dyDescent="0.25">
      <c r="A5" s="203"/>
      <c r="B5" s="4" t="s">
        <v>67</v>
      </c>
      <c r="C5" s="169">
        <v>1349</v>
      </c>
      <c r="D5" s="169">
        <v>1222</v>
      </c>
      <c r="E5" s="169">
        <v>10</v>
      </c>
      <c r="F5" s="169">
        <v>2581</v>
      </c>
      <c r="G5" s="8"/>
      <c r="H5" s="8"/>
      <c r="I5" s="8"/>
      <c r="J5" s="8"/>
    </row>
    <row r="6" spans="1:11" x14ac:dyDescent="0.25">
      <c r="A6" s="203"/>
      <c r="B6" s="9" t="s">
        <v>12</v>
      </c>
      <c r="C6" s="81">
        <v>1998</v>
      </c>
      <c r="D6" s="81">
        <v>2233</v>
      </c>
      <c r="E6" s="81">
        <v>56</v>
      </c>
      <c r="F6" s="81">
        <v>4287</v>
      </c>
      <c r="G6" s="81"/>
      <c r="H6" s="81"/>
      <c r="I6" s="81"/>
      <c r="J6" s="81"/>
    </row>
    <row r="7" spans="1:11" x14ac:dyDescent="0.25">
      <c r="A7" s="203" t="s">
        <v>52</v>
      </c>
      <c r="B7" s="4" t="s">
        <v>66</v>
      </c>
      <c r="C7" s="169">
        <v>920</v>
      </c>
      <c r="D7" s="169">
        <v>824</v>
      </c>
      <c r="E7" s="169">
        <v>23</v>
      </c>
      <c r="F7" s="169">
        <v>1767</v>
      </c>
      <c r="G7" s="8"/>
      <c r="H7" s="8"/>
      <c r="I7" s="8"/>
      <c r="J7" s="8"/>
    </row>
    <row r="8" spans="1:11" x14ac:dyDescent="0.25">
      <c r="A8" s="203"/>
      <c r="B8" s="4" t="s">
        <v>67</v>
      </c>
      <c r="C8" s="169">
        <v>1446</v>
      </c>
      <c r="D8" s="169">
        <v>1130</v>
      </c>
      <c r="E8" s="169">
        <v>12</v>
      </c>
      <c r="F8" s="169">
        <v>2588</v>
      </c>
      <c r="G8" s="8"/>
      <c r="H8" s="8"/>
      <c r="I8" s="8"/>
      <c r="J8" s="8"/>
    </row>
    <row r="9" spans="1:11" x14ac:dyDescent="0.25">
      <c r="A9" s="203"/>
      <c r="B9" s="9" t="s">
        <v>12</v>
      </c>
      <c r="C9" s="81">
        <v>2366</v>
      </c>
      <c r="D9" s="81">
        <v>1954</v>
      </c>
      <c r="E9" s="81">
        <v>35</v>
      </c>
      <c r="F9" s="81">
        <v>4355</v>
      </c>
      <c r="G9" s="81"/>
      <c r="H9" s="81"/>
      <c r="I9" s="81"/>
      <c r="J9" s="81"/>
    </row>
    <row r="10" spans="1:11" x14ac:dyDescent="0.25">
      <c r="A10" s="203" t="s">
        <v>53</v>
      </c>
      <c r="B10" s="4" t="s">
        <v>66</v>
      </c>
      <c r="C10" s="169">
        <v>1063</v>
      </c>
      <c r="D10" s="169">
        <v>939</v>
      </c>
      <c r="E10" s="169">
        <v>47</v>
      </c>
      <c r="F10" s="169">
        <v>2049</v>
      </c>
      <c r="G10" s="8"/>
      <c r="H10" s="8"/>
      <c r="I10" s="8"/>
      <c r="J10" s="8"/>
    </row>
    <row r="11" spans="1:11" x14ac:dyDescent="0.25">
      <c r="A11" s="203"/>
      <c r="B11" s="4" t="s">
        <v>67</v>
      </c>
      <c r="C11" s="169">
        <v>1567</v>
      </c>
      <c r="D11" s="169">
        <v>992</v>
      </c>
      <c r="E11" s="169">
        <v>9</v>
      </c>
      <c r="F11" s="169">
        <v>2568</v>
      </c>
      <c r="G11" s="8"/>
      <c r="H11" s="8"/>
      <c r="I11" s="8"/>
      <c r="J11" s="8"/>
    </row>
    <row r="12" spans="1:11" x14ac:dyDescent="0.25">
      <c r="A12" s="203"/>
      <c r="B12" s="9" t="s">
        <v>12</v>
      </c>
      <c r="C12" s="81">
        <v>2630</v>
      </c>
      <c r="D12" s="81">
        <v>1931</v>
      </c>
      <c r="E12" s="81">
        <v>56</v>
      </c>
      <c r="F12" s="81">
        <v>4617</v>
      </c>
      <c r="G12" s="81"/>
      <c r="H12" s="81"/>
      <c r="I12" s="81"/>
      <c r="J12" s="81"/>
    </row>
    <row r="13" spans="1:11" x14ac:dyDescent="0.25">
      <c r="A13" s="203" t="s">
        <v>227</v>
      </c>
      <c r="B13" s="4" t="s">
        <v>66</v>
      </c>
      <c r="C13" s="169">
        <v>979</v>
      </c>
      <c r="D13" s="169">
        <v>905</v>
      </c>
      <c r="E13" s="169">
        <v>36</v>
      </c>
      <c r="F13" s="169">
        <v>1920</v>
      </c>
      <c r="G13" s="8"/>
      <c r="H13" s="8"/>
      <c r="I13" s="8"/>
      <c r="J13" s="8"/>
    </row>
    <row r="14" spans="1:11" x14ac:dyDescent="0.25">
      <c r="A14" s="203"/>
      <c r="B14" s="4" t="s">
        <v>67</v>
      </c>
      <c r="C14" s="169">
        <v>1692</v>
      </c>
      <c r="D14" s="169">
        <v>957</v>
      </c>
      <c r="E14" s="169">
        <v>6</v>
      </c>
      <c r="F14" s="169">
        <v>2655</v>
      </c>
      <c r="G14" s="8"/>
      <c r="H14" s="8"/>
      <c r="I14" s="8"/>
      <c r="J14" s="8"/>
    </row>
    <row r="15" spans="1:11" x14ac:dyDescent="0.25">
      <c r="A15" s="203"/>
      <c r="B15" s="9" t="s">
        <v>12</v>
      </c>
      <c r="C15" s="81">
        <v>2671</v>
      </c>
      <c r="D15" s="81">
        <v>1862</v>
      </c>
      <c r="E15" s="81">
        <v>42</v>
      </c>
      <c r="F15" s="81">
        <v>4575</v>
      </c>
      <c r="G15" s="81"/>
      <c r="H15" s="81"/>
      <c r="I15" s="81"/>
      <c r="J15" s="81"/>
    </row>
    <row r="16" spans="1:11" x14ac:dyDescent="0.25">
      <c r="A16" s="203" t="s">
        <v>289</v>
      </c>
      <c r="B16" s="4" t="s">
        <v>66</v>
      </c>
      <c r="C16" s="169">
        <v>1010</v>
      </c>
      <c r="D16" s="169">
        <v>976</v>
      </c>
      <c r="E16" s="169">
        <v>56</v>
      </c>
      <c r="F16" s="169">
        <v>2042</v>
      </c>
      <c r="G16" s="8"/>
      <c r="H16" s="8"/>
      <c r="I16" s="8"/>
      <c r="J16" s="8"/>
    </row>
    <row r="17" spans="1:10" x14ac:dyDescent="0.25">
      <c r="A17" s="203"/>
      <c r="B17" s="4" t="s">
        <v>67</v>
      </c>
      <c r="C17" s="169">
        <v>1704</v>
      </c>
      <c r="D17" s="169">
        <v>990</v>
      </c>
      <c r="E17" s="169">
        <v>6</v>
      </c>
      <c r="F17" s="169">
        <v>2700</v>
      </c>
      <c r="G17" s="8"/>
      <c r="H17" s="8"/>
      <c r="I17" s="8"/>
      <c r="J17" s="8"/>
    </row>
    <row r="18" spans="1:10" x14ac:dyDescent="0.25">
      <c r="A18" s="203"/>
      <c r="B18" s="9" t="s">
        <v>12</v>
      </c>
      <c r="C18" s="81">
        <v>2714</v>
      </c>
      <c r="D18" s="81">
        <v>1966</v>
      </c>
      <c r="E18" s="81">
        <v>62</v>
      </c>
      <c r="F18" s="81">
        <v>4742</v>
      </c>
      <c r="G18" s="81"/>
      <c r="H18" s="81"/>
      <c r="I18" s="81"/>
      <c r="J18" s="81"/>
    </row>
    <row r="19" spans="1:10" ht="3" customHeight="1" x14ac:dyDescent="0.25">
      <c r="A19" s="120"/>
      <c r="B19" s="97"/>
      <c r="C19" s="54"/>
      <c r="D19" s="54"/>
      <c r="E19" s="54"/>
      <c r="F19" s="54"/>
    </row>
    <row r="20" spans="1:10" ht="3.75" customHeight="1" x14ac:dyDescent="0.25"/>
    <row r="21" spans="1:10" ht="14.25" customHeight="1" x14ac:dyDescent="0.25">
      <c r="A21" s="6" t="s">
        <v>220</v>
      </c>
    </row>
    <row r="22" spans="1:10" x14ac:dyDescent="0.25">
      <c r="A22" s="202" t="s">
        <v>18</v>
      </c>
      <c r="B22" s="202"/>
      <c r="C22" s="202"/>
      <c r="D22" s="202"/>
      <c r="E22" s="202"/>
      <c r="F22" s="202"/>
      <c r="G22" s="202"/>
      <c r="H22" s="202"/>
    </row>
    <row r="23" spans="1:10" s="6" customFormat="1" ht="9" x14ac:dyDescent="0.15">
      <c r="A23" s="6" t="s">
        <v>58</v>
      </c>
    </row>
    <row r="24" spans="1:10" s="6" customFormat="1" ht="14.25" customHeight="1" x14ac:dyDescent="0.15">
      <c r="A24" s="6" t="s">
        <v>299</v>
      </c>
    </row>
    <row r="25" spans="1:10" s="6" customFormat="1" ht="9" x14ac:dyDescent="0.15">
      <c r="A25" s="6" t="s">
        <v>16</v>
      </c>
    </row>
    <row r="26" spans="1:10" s="6" customFormat="1" ht="9" x14ac:dyDescent="0.15">
      <c r="A26" s="6" t="s">
        <v>271</v>
      </c>
    </row>
    <row r="27" spans="1:10" x14ac:dyDescent="0.25">
      <c r="A27" s="2"/>
    </row>
    <row r="32" spans="1:10" x14ac:dyDescent="0.25">
      <c r="I32" s="127"/>
      <c r="J32" s="128"/>
    </row>
    <row r="35" spans="8:11" x14ac:dyDescent="0.25">
      <c r="I35" s="127"/>
      <c r="K35" s="127"/>
    </row>
    <row r="36" spans="8:11" x14ac:dyDescent="0.25">
      <c r="H36" s="127"/>
      <c r="I36" s="127"/>
      <c r="K36" s="127"/>
    </row>
    <row r="37" spans="8:11" x14ac:dyDescent="0.25">
      <c r="H37" s="127"/>
      <c r="I37" s="127"/>
      <c r="K37" s="127"/>
    </row>
    <row r="38" spans="8:11" x14ac:dyDescent="0.25">
      <c r="I38" s="127"/>
      <c r="K38" s="127"/>
    </row>
    <row r="39" spans="8:11" x14ac:dyDescent="0.25">
      <c r="H39" s="127"/>
      <c r="I39" s="127"/>
      <c r="K39" s="127"/>
    </row>
    <row r="40" spans="8:11" x14ac:dyDescent="0.25">
      <c r="H40" s="127"/>
      <c r="I40" s="127"/>
      <c r="K40" s="127"/>
    </row>
    <row r="41" spans="8:11" x14ac:dyDescent="0.25">
      <c r="H41" s="127"/>
      <c r="I41" s="127"/>
      <c r="K41" s="127"/>
    </row>
    <row r="42" spans="8:11" x14ac:dyDescent="0.25">
      <c r="H42" s="127"/>
      <c r="K42" s="127"/>
    </row>
    <row r="43" spans="8:11" x14ac:dyDescent="0.25">
      <c r="H43" s="127"/>
      <c r="I43" s="127"/>
      <c r="K43" s="127"/>
    </row>
    <row r="44" spans="8:11" x14ac:dyDescent="0.25">
      <c r="K44" s="127"/>
    </row>
    <row r="45" spans="8:11" x14ac:dyDescent="0.25">
      <c r="H45" s="127"/>
      <c r="K45" s="127"/>
    </row>
    <row r="46" spans="8:11" x14ac:dyDescent="0.25">
      <c r="H46" s="127"/>
      <c r="I46" s="127"/>
      <c r="K46" s="127"/>
    </row>
    <row r="47" spans="8:11" x14ac:dyDescent="0.25">
      <c r="H47" s="127"/>
      <c r="K47" s="127"/>
    </row>
    <row r="48" spans="8:11" x14ac:dyDescent="0.25">
      <c r="H48" s="127"/>
      <c r="K48" s="127"/>
    </row>
    <row r="49" spans="8:11" x14ac:dyDescent="0.25">
      <c r="H49" s="127"/>
      <c r="I49" s="127"/>
      <c r="K49" s="127"/>
    </row>
  </sheetData>
  <mergeCells count="7">
    <mergeCell ref="A1:F1"/>
    <mergeCell ref="A22:H22"/>
    <mergeCell ref="A4:A6"/>
    <mergeCell ref="A7:A9"/>
    <mergeCell ref="A10:A12"/>
    <mergeCell ref="A13:A15"/>
    <mergeCell ref="A16:A18"/>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O28"/>
  <sheetViews>
    <sheetView zoomScaleNormal="100" workbookViewId="0">
      <selection activeCell="J30" sqref="J30"/>
    </sheetView>
  </sheetViews>
  <sheetFormatPr defaultColWidth="9.140625" defaultRowHeight="15" x14ac:dyDescent="0.25"/>
  <cols>
    <col min="1" max="15" width="11.42578125" style="1" bestFit="1" customWidth="1"/>
    <col min="16" max="16384" width="9.140625" style="1"/>
  </cols>
  <sheetData>
    <row r="1" spans="1:15" ht="27.95" customHeight="1" x14ac:dyDescent="0.25">
      <c r="A1" s="198" t="s">
        <v>320</v>
      </c>
      <c r="B1" s="198"/>
      <c r="C1" s="198"/>
      <c r="D1" s="198"/>
      <c r="E1" s="198"/>
      <c r="F1" s="198"/>
      <c r="G1" s="198"/>
      <c r="H1" s="198"/>
      <c r="I1" s="198"/>
      <c r="J1" s="198"/>
      <c r="K1" s="198"/>
      <c r="L1" s="198"/>
      <c r="M1" s="198"/>
      <c r="N1" s="198"/>
      <c r="O1" s="198"/>
    </row>
    <row r="2" spans="1:15" ht="2.25" customHeight="1" x14ac:dyDescent="0.25">
      <c r="A2" s="2"/>
    </row>
    <row r="3" spans="1:15" ht="23.25" x14ac:dyDescent="0.25">
      <c r="A3" s="52" t="s">
        <v>185</v>
      </c>
      <c r="B3" s="52" t="s">
        <v>186</v>
      </c>
      <c r="C3" s="3" t="s">
        <v>35</v>
      </c>
      <c r="D3" s="3">
        <v>12</v>
      </c>
      <c r="E3" s="3">
        <v>13</v>
      </c>
      <c r="F3" s="3">
        <v>14</v>
      </c>
      <c r="G3" s="3">
        <v>15</v>
      </c>
      <c r="H3" s="3">
        <v>16</v>
      </c>
      <c r="I3" s="3">
        <v>17</v>
      </c>
      <c r="J3" s="3" t="s">
        <v>11</v>
      </c>
      <c r="K3" s="11" t="s">
        <v>9</v>
      </c>
    </row>
    <row r="4" spans="1:15" ht="15" customHeight="1" x14ac:dyDescent="0.25">
      <c r="A4" s="105" t="s">
        <v>21</v>
      </c>
      <c r="B4" s="106" t="s">
        <v>22</v>
      </c>
      <c r="C4" s="108">
        <v>148</v>
      </c>
      <c r="D4" s="108">
        <v>249</v>
      </c>
      <c r="E4" s="108">
        <v>441</v>
      </c>
      <c r="F4" s="108">
        <v>484</v>
      </c>
      <c r="G4" s="108">
        <v>391</v>
      </c>
      <c r="H4" s="108">
        <v>240</v>
      </c>
      <c r="I4" s="108" t="s">
        <v>174</v>
      </c>
      <c r="J4" s="108" t="s">
        <v>174</v>
      </c>
      <c r="K4" s="108">
        <v>2124</v>
      </c>
    </row>
    <row r="5" spans="1:15" ht="15" customHeight="1" x14ac:dyDescent="0.25">
      <c r="A5" s="105"/>
      <c r="B5" s="106" t="s">
        <v>23</v>
      </c>
      <c r="C5" s="108">
        <v>21</v>
      </c>
      <c r="D5" s="108">
        <v>64</v>
      </c>
      <c r="E5" s="108">
        <v>178</v>
      </c>
      <c r="F5" s="108">
        <v>349</v>
      </c>
      <c r="G5" s="108">
        <v>428</v>
      </c>
      <c r="H5" s="108">
        <v>314</v>
      </c>
      <c r="I5" s="108" t="s">
        <v>174</v>
      </c>
      <c r="J5" s="108" t="s">
        <v>174</v>
      </c>
      <c r="K5" s="108">
        <v>1645</v>
      </c>
    </row>
    <row r="6" spans="1:15" ht="15" customHeight="1" x14ac:dyDescent="0.25">
      <c r="A6" s="105"/>
      <c r="B6" s="106" t="s">
        <v>24</v>
      </c>
      <c r="C6" s="5" t="s">
        <v>167</v>
      </c>
      <c r="D6" s="108">
        <v>2</v>
      </c>
      <c r="E6" s="108">
        <v>3</v>
      </c>
      <c r="F6" s="108">
        <v>9</v>
      </c>
      <c r="G6" s="108">
        <v>15</v>
      </c>
      <c r="H6" s="108">
        <v>8</v>
      </c>
      <c r="I6" s="108">
        <v>13</v>
      </c>
      <c r="J6" s="108">
        <v>1</v>
      </c>
      <c r="K6" s="108">
        <v>51</v>
      </c>
    </row>
    <row r="7" spans="1:15" ht="15" customHeight="1" x14ac:dyDescent="0.25">
      <c r="A7" s="105"/>
      <c r="B7" s="109" t="s">
        <v>12</v>
      </c>
      <c r="C7" s="81">
        <v>169</v>
      </c>
      <c r="D7" s="81">
        <v>315</v>
      </c>
      <c r="E7" s="81">
        <v>622</v>
      </c>
      <c r="F7" s="81">
        <v>842</v>
      </c>
      <c r="G7" s="81">
        <v>834</v>
      </c>
      <c r="H7" s="81">
        <v>562</v>
      </c>
      <c r="I7" s="81">
        <v>418</v>
      </c>
      <c r="J7" s="81">
        <v>58</v>
      </c>
      <c r="K7" s="81">
        <v>3820</v>
      </c>
      <c r="L7" s="128"/>
    </row>
    <row r="8" spans="1:15" ht="15" customHeight="1" x14ac:dyDescent="0.25">
      <c r="A8" s="105" t="s">
        <v>25</v>
      </c>
      <c r="B8" s="106" t="s">
        <v>22</v>
      </c>
      <c r="C8" s="108">
        <v>21</v>
      </c>
      <c r="D8" s="108">
        <v>70</v>
      </c>
      <c r="E8" s="108">
        <v>113</v>
      </c>
      <c r="F8" s="108">
        <v>156</v>
      </c>
      <c r="G8" s="108">
        <v>115</v>
      </c>
      <c r="H8" s="108">
        <v>77</v>
      </c>
      <c r="I8" s="108" t="s">
        <v>174</v>
      </c>
      <c r="J8" s="108" t="s">
        <v>174</v>
      </c>
      <c r="K8" s="108">
        <v>590</v>
      </c>
    </row>
    <row r="9" spans="1:15" ht="15" customHeight="1" x14ac:dyDescent="0.25">
      <c r="A9" s="105"/>
      <c r="B9" s="106" t="s">
        <v>23</v>
      </c>
      <c r="C9" s="108">
        <v>1</v>
      </c>
      <c r="D9" s="108">
        <v>19</v>
      </c>
      <c r="E9" s="108">
        <v>59</v>
      </c>
      <c r="F9" s="108">
        <v>67</v>
      </c>
      <c r="G9" s="108">
        <v>80</v>
      </c>
      <c r="H9" s="108">
        <v>43</v>
      </c>
      <c r="I9" s="108" t="s">
        <v>174</v>
      </c>
      <c r="J9" s="108" t="s">
        <v>174</v>
      </c>
      <c r="K9" s="108">
        <v>319</v>
      </c>
    </row>
    <row r="10" spans="1:15" ht="15" customHeight="1" x14ac:dyDescent="0.25">
      <c r="A10" s="105"/>
      <c r="B10" s="106" t="s">
        <v>24</v>
      </c>
      <c r="C10" s="5" t="s">
        <v>167</v>
      </c>
      <c r="D10" s="108">
        <v>2</v>
      </c>
      <c r="E10" s="108">
        <v>2</v>
      </c>
      <c r="F10" s="108">
        <v>2</v>
      </c>
      <c r="G10" s="108">
        <v>2</v>
      </c>
      <c r="H10" s="108">
        <v>1</v>
      </c>
      <c r="I10" s="108">
        <v>2</v>
      </c>
      <c r="J10" s="5" t="s">
        <v>167</v>
      </c>
      <c r="K10" s="108">
        <v>11</v>
      </c>
    </row>
    <row r="11" spans="1:15" ht="15" customHeight="1" x14ac:dyDescent="0.25">
      <c r="A11" s="105"/>
      <c r="B11" s="109" t="s">
        <v>12</v>
      </c>
      <c r="C11" s="81">
        <v>22</v>
      </c>
      <c r="D11" s="81">
        <v>91</v>
      </c>
      <c r="E11" s="81">
        <v>174</v>
      </c>
      <c r="F11" s="81">
        <v>225</v>
      </c>
      <c r="G11" s="81">
        <v>197</v>
      </c>
      <c r="H11" s="81">
        <v>121</v>
      </c>
      <c r="I11" s="81">
        <v>85</v>
      </c>
      <c r="J11" s="81">
        <v>5</v>
      </c>
      <c r="K11" s="81">
        <v>920</v>
      </c>
    </row>
    <row r="12" spans="1:15" ht="15" customHeight="1" x14ac:dyDescent="0.25">
      <c r="A12" s="105" t="s">
        <v>24</v>
      </c>
      <c r="B12" s="106" t="s">
        <v>22</v>
      </c>
      <c r="C12" s="5" t="s">
        <v>167</v>
      </c>
      <c r="D12" s="5" t="s">
        <v>167</v>
      </c>
      <c r="E12" s="5" t="s">
        <v>167</v>
      </c>
      <c r="F12" s="5" t="s">
        <v>167</v>
      </c>
      <c r="G12" s="5" t="s">
        <v>167</v>
      </c>
      <c r="H12" s="5" t="s">
        <v>167</v>
      </c>
      <c r="I12" s="5" t="s">
        <v>167</v>
      </c>
      <c r="J12" s="5" t="s">
        <v>167</v>
      </c>
      <c r="K12" s="5" t="s">
        <v>167</v>
      </c>
    </row>
    <row r="13" spans="1:15" ht="15" customHeight="1" x14ac:dyDescent="0.25">
      <c r="A13" s="105"/>
      <c r="B13" s="106" t="s">
        <v>23</v>
      </c>
      <c r="C13" s="5" t="s">
        <v>167</v>
      </c>
      <c r="D13" s="5" t="s">
        <v>167</v>
      </c>
      <c r="E13" s="108">
        <v>1</v>
      </c>
      <c r="F13" s="5" t="s">
        <v>167</v>
      </c>
      <c r="G13" s="5" t="s">
        <v>167</v>
      </c>
      <c r="H13" s="108">
        <v>1</v>
      </c>
      <c r="I13" s="5" t="s">
        <v>167</v>
      </c>
      <c r="J13" s="5" t="s">
        <v>167</v>
      </c>
      <c r="K13" s="108">
        <v>2</v>
      </c>
    </row>
    <row r="14" spans="1:15" ht="15" customHeight="1" x14ac:dyDescent="0.25">
      <c r="A14" s="105"/>
      <c r="B14" s="106" t="s">
        <v>24</v>
      </c>
      <c r="C14" s="5" t="s">
        <v>167</v>
      </c>
      <c r="D14" s="5" t="s">
        <v>167</v>
      </c>
      <c r="E14" s="5" t="s">
        <v>167</v>
      </c>
      <c r="F14" s="5" t="s">
        <v>167</v>
      </c>
      <c r="G14" s="5" t="s">
        <v>167</v>
      </c>
      <c r="H14" s="5" t="s">
        <v>167</v>
      </c>
      <c r="I14" s="5" t="s">
        <v>167</v>
      </c>
      <c r="J14" s="5" t="s">
        <v>167</v>
      </c>
      <c r="K14" s="5" t="s">
        <v>167</v>
      </c>
    </row>
    <row r="15" spans="1:15" ht="15" customHeight="1" x14ac:dyDescent="0.25">
      <c r="A15" s="105"/>
      <c r="B15" s="109" t="s">
        <v>12</v>
      </c>
      <c r="C15" s="5" t="s">
        <v>167</v>
      </c>
      <c r="D15" s="5" t="s">
        <v>167</v>
      </c>
      <c r="E15" s="81">
        <v>1</v>
      </c>
      <c r="F15" s="5" t="s">
        <v>167</v>
      </c>
      <c r="G15" s="5" t="s">
        <v>167</v>
      </c>
      <c r="H15" s="108">
        <v>1</v>
      </c>
      <c r="I15" s="5" t="s">
        <v>167</v>
      </c>
      <c r="J15" s="5" t="s">
        <v>167</v>
      </c>
      <c r="K15" s="81">
        <v>2</v>
      </c>
    </row>
    <row r="16" spans="1:15" ht="15" customHeight="1" x14ac:dyDescent="0.25">
      <c r="A16" s="9" t="s">
        <v>12</v>
      </c>
      <c r="B16" s="106" t="s">
        <v>22</v>
      </c>
      <c r="C16" s="108">
        <v>169</v>
      </c>
      <c r="D16" s="108">
        <v>319</v>
      </c>
      <c r="E16" s="108">
        <v>554</v>
      </c>
      <c r="F16" s="108">
        <v>640</v>
      </c>
      <c r="G16" s="108">
        <v>506</v>
      </c>
      <c r="H16" s="108">
        <v>317</v>
      </c>
      <c r="I16" s="108">
        <v>197</v>
      </c>
      <c r="J16" s="108">
        <v>12</v>
      </c>
      <c r="K16" s="108">
        <v>2714</v>
      </c>
    </row>
    <row r="17" spans="1:15" ht="15" customHeight="1" x14ac:dyDescent="0.25">
      <c r="A17" s="9"/>
      <c r="B17" s="106" t="s">
        <v>23</v>
      </c>
      <c r="C17" s="108">
        <v>22</v>
      </c>
      <c r="D17" s="108">
        <v>83</v>
      </c>
      <c r="E17" s="108">
        <v>238</v>
      </c>
      <c r="F17" s="108">
        <v>416</v>
      </c>
      <c r="G17" s="108">
        <v>508</v>
      </c>
      <c r="H17" s="108">
        <v>358</v>
      </c>
      <c r="I17" s="108">
        <v>291</v>
      </c>
      <c r="J17" s="108">
        <v>50</v>
      </c>
      <c r="K17" s="108">
        <v>1966</v>
      </c>
    </row>
    <row r="18" spans="1:15" ht="15" customHeight="1" x14ac:dyDescent="0.25">
      <c r="A18" s="9"/>
      <c r="B18" s="106" t="s">
        <v>24</v>
      </c>
      <c r="C18" s="5" t="s">
        <v>167</v>
      </c>
      <c r="D18" s="108">
        <v>4</v>
      </c>
      <c r="E18" s="108">
        <v>5</v>
      </c>
      <c r="F18" s="108">
        <v>11</v>
      </c>
      <c r="G18" s="108">
        <v>17</v>
      </c>
      <c r="H18" s="108">
        <v>9</v>
      </c>
      <c r="I18" s="108">
        <v>15</v>
      </c>
      <c r="J18" s="108">
        <v>1</v>
      </c>
      <c r="K18" s="108">
        <v>62</v>
      </c>
    </row>
    <row r="19" spans="1:15" ht="15" customHeight="1" x14ac:dyDescent="0.25">
      <c r="A19" s="96"/>
      <c r="B19" s="113" t="s">
        <v>12</v>
      </c>
      <c r="C19" s="101">
        <v>191</v>
      </c>
      <c r="D19" s="101">
        <v>406</v>
      </c>
      <c r="E19" s="101">
        <v>797</v>
      </c>
      <c r="F19" s="101">
        <v>1067</v>
      </c>
      <c r="G19" s="101">
        <v>1031</v>
      </c>
      <c r="H19" s="101">
        <v>684</v>
      </c>
      <c r="I19" s="101">
        <v>503</v>
      </c>
      <c r="J19" s="101">
        <v>63</v>
      </c>
      <c r="K19" s="101">
        <v>4742</v>
      </c>
    </row>
    <row r="20" spans="1:15" ht="2.25" customHeight="1" x14ac:dyDescent="0.25">
      <c r="C20" s="1" t="s">
        <v>167</v>
      </c>
      <c r="D20" s="1" t="s">
        <v>167</v>
      </c>
      <c r="E20" s="1" t="s">
        <v>167</v>
      </c>
      <c r="F20" s="1" t="s">
        <v>167</v>
      </c>
      <c r="G20" s="1" t="s">
        <v>167</v>
      </c>
      <c r="H20" s="1" t="s">
        <v>167</v>
      </c>
      <c r="I20" s="1" t="s">
        <v>167</v>
      </c>
      <c r="J20" s="1" t="s">
        <v>167</v>
      </c>
      <c r="K20" s="1" t="s">
        <v>167</v>
      </c>
    </row>
    <row r="21" spans="1:15" s="6" customFormat="1" ht="11.1" customHeight="1" x14ac:dyDescent="0.15">
      <c r="A21" s="6" t="s">
        <v>220</v>
      </c>
    </row>
    <row r="22" spans="1:15" ht="11.1" customHeight="1" x14ac:dyDescent="0.25">
      <c r="A22" s="202" t="s">
        <v>18</v>
      </c>
      <c r="B22" s="202"/>
      <c r="C22" s="202"/>
      <c r="D22" s="202"/>
      <c r="E22" s="202"/>
      <c r="F22" s="202"/>
      <c r="G22" s="202"/>
      <c r="H22" s="202"/>
      <c r="I22" s="202"/>
      <c r="J22" s="202"/>
      <c r="K22" s="202"/>
      <c r="L22" s="202"/>
      <c r="M22" s="202"/>
      <c r="N22" s="202"/>
      <c r="O22" s="202"/>
    </row>
    <row r="23" spans="1:15" s="6" customFormat="1" ht="11.1" customHeight="1" x14ac:dyDescent="0.15">
      <c r="A23" s="6" t="s">
        <v>68</v>
      </c>
    </row>
    <row r="24" spans="1:15" s="6" customFormat="1" ht="11.1" customHeight="1" x14ac:dyDescent="0.15">
      <c r="A24" s="6" t="s">
        <v>69</v>
      </c>
    </row>
    <row r="25" spans="1:15" s="6" customFormat="1" ht="11.1" customHeight="1" x14ac:dyDescent="0.15">
      <c r="A25" s="6" t="s">
        <v>34</v>
      </c>
    </row>
    <row r="26" spans="1:15" s="6" customFormat="1" ht="11.1" customHeight="1" x14ac:dyDescent="0.15"/>
    <row r="27" spans="1:15" s="6" customFormat="1" ht="11.1" customHeight="1" x14ac:dyDescent="0.15">
      <c r="A27" s="6" t="s">
        <v>271</v>
      </c>
    </row>
    <row r="28" spans="1:15" ht="12" customHeight="1" x14ac:dyDescent="0.25">
      <c r="A28" s="2"/>
    </row>
  </sheetData>
  <mergeCells count="2">
    <mergeCell ref="A1:O1"/>
    <mergeCell ref="A22:O22"/>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M28"/>
  <sheetViews>
    <sheetView topLeftCell="B1" zoomScaleNormal="100" workbookViewId="0">
      <selection activeCell="L35" sqref="L35"/>
    </sheetView>
  </sheetViews>
  <sheetFormatPr defaultColWidth="9.140625" defaultRowHeight="15" x14ac:dyDescent="0.25"/>
  <cols>
    <col min="1" max="13" width="11.42578125" style="1" bestFit="1" customWidth="1"/>
    <col min="14" max="16384" width="9.140625" style="1"/>
  </cols>
  <sheetData>
    <row r="1" spans="1:13" ht="27.95" customHeight="1" x14ac:dyDescent="0.25">
      <c r="A1" s="198" t="s">
        <v>321</v>
      </c>
      <c r="B1" s="198"/>
      <c r="C1" s="198"/>
      <c r="D1" s="198"/>
      <c r="E1" s="198"/>
      <c r="F1" s="198"/>
      <c r="G1" s="198"/>
      <c r="H1" s="198"/>
      <c r="I1" s="198"/>
      <c r="J1" s="198"/>
      <c r="K1" s="198"/>
      <c r="L1" s="198"/>
      <c r="M1" s="198"/>
    </row>
    <row r="2" spans="1:13" ht="2.25" customHeight="1" x14ac:dyDescent="0.25">
      <c r="A2" s="2"/>
    </row>
    <row r="3" spans="1:13" ht="23.25" x14ac:dyDescent="0.25">
      <c r="A3" s="52" t="s">
        <v>186</v>
      </c>
      <c r="B3" s="52" t="s">
        <v>187</v>
      </c>
      <c r="C3" s="3" t="s">
        <v>1</v>
      </c>
      <c r="D3" s="3" t="s">
        <v>2</v>
      </c>
      <c r="E3" s="3" t="s">
        <v>3</v>
      </c>
      <c r="F3" s="3" t="s">
        <v>4</v>
      </c>
      <c r="G3" s="3" t="s">
        <v>5</v>
      </c>
      <c r="H3" s="3" t="s">
        <v>6</v>
      </c>
      <c r="I3" s="3" t="s">
        <v>7</v>
      </c>
      <c r="J3" s="3" t="s">
        <v>8</v>
      </c>
      <c r="K3" s="3" t="s">
        <v>9</v>
      </c>
    </row>
    <row r="4" spans="1:13" x14ac:dyDescent="0.25">
      <c r="A4" s="106" t="s">
        <v>22</v>
      </c>
      <c r="B4" s="106" t="s">
        <v>43</v>
      </c>
      <c r="C4" s="108">
        <v>238</v>
      </c>
      <c r="D4" s="108">
        <v>12</v>
      </c>
      <c r="E4" s="108">
        <v>339</v>
      </c>
      <c r="F4" s="108">
        <v>257</v>
      </c>
      <c r="G4" s="108">
        <v>78</v>
      </c>
      <c r="H4" s="108">
        <v>8</v>
      </c>
      <c r="I4" s="108">
        <v>13</v>
      </c>
      <c r="J4" s="108">
        <v>97</v>
      </c>
      <c r="K4" s="108">
        <v>1042</v>
      </c>
    </row>
    <row r="5" spans="1:13" x14ac:dyDescent="0.25">
      <c r="A5" s="106"/>
      <c r="B5" s="106" t="s">
        <v>44</v>
      </c>
      <c r="C5" s="108">
        <v>569</v>
      </c>
      <c r="D5" s="108">
        <v>45</v>
      </c>
      <c r="E5" s="108">
        <v>399</v>
      </c>
      <c r="F5" s="108">
        <v>280</v>
      </c>
      <c r="G5" s="108">
        <v>108</v>
      </c>
      <c r="H5" s="108">
        <v>16</v>
      </c>
      <c r="I5" s="108">
        <v>21</v>
      </c>
      <c r="J5" s="108">
        <v>222</v>
      </c>
      <c r="K5" s="108">
        <v>1660</v>
      </c>
    </row>
    <row r="6" spans="1:13" x14ac:dyDescent="0.25">
      <c r="A6" s="106"/>
      <c r="B6" s="106" t="s">
        <v>45</v>
      </c>
      <c r="C6" s="108">
        <v>5</v>
      </c>
      <c r="D6" s="108">
        <v>6</v>
      </c>
      <c r="E6" s="5" t="s">
        <v>167</v>
      </c>
      <c r="F6" s="5" t="s">
        <v>167</v>
      </c>
      <c r="G6" s="108">
        <v>1</v>
      </c>
      <c r="H6" s="5" t="s">
        <v>167</v>
      </c>
      <c r="I6" s="5" t="s">
        <v>167</v>
      </c>
      <c r="J6" s="5" t="s">
        <v>167</v>
      </c>
      <c r="K6" s="108">
        <v>12</v>
      </c>
    </row>
    <row r="7" spans="1:13" x14ac:dyDescent="0.25">
      <c r="A7" s="106"/>
      <c r="B7" s="109" t="s">
        <v>12</v>
      </c>
      <c r="C7" s="81">
        <v>812</v>
      </c>
      <c r="D7" s="81">
        <v>63</v>
      </c>
      <c r="E7" s="81">
        <v>738</v>
      </c>
      <c r="F7" s="81">
        <v>537</v>
      </c>
      <c r="G7" s="81">
        <v>187</v>
      </c>
      <c r="H7" s="81">
        <v>24</v>
      </c>
      <c r="I7" s="81">
        <v>34</v>
      </c>
      <c r="J7" s="81">
        <v>319</v>
      </c>
      <c r="K7" s="81">
        <v>2714</v>
      </c>
      <c r="L7" s="128"/>
    </row>
    <row r="8" spans="1:13" ht="15" customHeight="1" x14ac:dyDescent="0.25">
      <c r="A8" s="106" t="s">
        <v>23</v>
      </c>
      <c r="B8" s="106" t="s">
        <v>43</v>
      </c>
      <c r="C8" s="108">
        <v>128</v>
      </c>
      <c r="D8" s="108">
        <v>29</v>
      </c>
      <c r="E8" s="108">
        <v>76</v>
      </c>
      <c r="F8" s="108">
        <v>55</v>
      </c>
      <c r="G8" s="108">
        <v>28</v>
      </c>
      <c r="H8" s="108">
        <v>12</v>
      </c>
      <c r="I8" s="108">
        <v>13</v>
      </c>
      <c r="J8" s="108">
        <v>2</v>
      </c>
      <c r="K8" s="108">
        <v>343</v>
      </c>
    </row>
    <row r="9" spans="1:13" x14ac:dyDescent="0.25">
      <c r="A9" s="106"/>
      <c r="B9" s="106" t="s">
        <v>44</v>
      </c>
      <c r="C9" s="108">
        <v>561</v>
      </c>
      <c r="D9" s="108">
        <v>314</v>
      </c>
      <c r="E9" s="108">
        <v>259</v>
      </c>
      <c r="F9" s="108">
        <v>217</v>
      </c>
      <c r="G9" s="108">
        <v>128</v>
      </c>
      <c r="H9" s="108">
        <v>34</v>
      </c>
      <c r="I9" s="108">
        <v>52</v>
      </c>
      <c r="J9" s="108">
        <v>8</v>
      </c>
      <c r="K9" s="108">
        <v>1573</v>
      </c>
    </row>
    <row r="10" spans="1:13" x14ac:dyDescent="0.25">
      <c r="A10" s="106"/>
      <c r="B10" s="106" t="s">
        <v>45</v>
      </c>
      <c r="C10" s="108">
        <v>10</v>
      </c>
      <c r="D10" s="108">
        <v>34</v>
      </c>
      <c r="E10" s="108">
        <v>1</v>
      </c>
      <c r="F10" s="5" t="s">
        <v>167</v>
      </c>
      <c r="G10" s="108">
        <v>5</v>
      </c>
      <c r="H10" s="5" t="s">
        <v>167</v>
      </c>
      <c r="I10" s="5" t="s">
        <v>167</v>
      </c>
      <c r="J10" s="5" t="s">
        <v>167</v>
      </c>
      <c r="K10" s="108">
        <v>50</v>
      </c>
    </row>
    <row r="11" spans="1:13" x14ac:dyDescent="0.25">
      <c r="A11" s="106"/>
      <c r="B11" s="109" t="s">
        <v>12</v>
      </c>
      <c r="C11" s="81">
        <v>699</v>
      </c>
      <c r="D11" s="81">
        <v>377</v>
      </c>
      <c r="E11" s="81">
        <v>336</v>
      </c>
      <c r="F11" s="81">
        <v>272</v>
      </c>
      <c r="G11" s="81">
        <v>161</v>
      </c>
      <c r="H11" s="81">
        <v>46</v>
      </c>
      <c r="I11" s="81">
        <v>65</v>
      </c>
      <c r="J11" s="81">
        <v>10</v>
      </c>
      <c r="K11" s="81">
        <v>1966</v>
      </c>
    </row>
    <row r="12" spans="1:13" x14ac:dyDescent="0.25">
      <c r="A12" s="106" t="s">
        <v>24</v>
      </c>
      <c r="B12" s="106" t="s">
        <v>43</v>
      </c>
      <c r="C12" s="108">
        <v>9</v>
      </c>
      <c r="D12" s="5" t="s">
        <v>167</v>
      </c>
      <c r="E12" s="5" t="s">
        <v>167</v>
      </c>
      <c r="F12" s="5" t="s">
        <v>167</v>
      </c>
      <c r="G12" s="5" t="s">
        <v>167</v>
      </c>
      <c r="H12" s="5" t="s">
        <v>167</v>
      </c>
      <c r="I12" s="5" t="s">
        <v>167</v>
      </c>
      <c r="J12" s="5" t="s">
        <v>167</v>
      </c>
      <c r="K12" s="108">
        <v>9</v>
      </c>
    </row>
    <row r="13" spans="1:13" x14ac:dyDescent="0.25">
      <c r="A13" s="106"/>
      <c r="B13" s="106" t="s">
        <v>44</v>
      </c>
      <c r="C13" s="108">
        <v>40</v>
      </c>
      <c r="D13" s="108">
        <v>2</v>
      </c>
      <c r="E13" s="108">
        <v>3</v>
      </c>
      <c r="F13" s="5" t="s">
        <v>167</v>
      </c>
      <c r="G13" s="108">
        <v>3</v>
      </c>
      <c r="H13" s="5" t="s">
        <v>167</v>
      </c>
      <c r="I13" s="5" t="s">
        <v>167</v>
      </c>
      <c r="J13" s="108">
        <v>4</v>
      </c>
      <c r="K13" s="108">
        <v>52</v>
      </c>
    </row>
    <row r="14" spans="1:13" x14ac:dyDescent="0.25">
      <c r="A14" s="106"/>
      <c r="B14" s="106" t="s">
        <v>45</v>
      </c>
      <c r="C14" s="108">
        <v>1</v>
      </c>
      <c r="D14" s="5" t="s">
        <v>167</v>
      </c>
      <c r="E14" s="5" t="s">
        <v>167</v>
      </c>
      <c r="F14" s="5" t="s">
        <v>167</v>
      </c>
      <c r="G14" s="5" t="s">
        <v>167</v>
      </c>
      <c r="H14" s="5" t="s">
        <v>167</v>
      </c>
      <c r="I14" s="5" t="s">
        <v>167</v>
      </c>
      <c r="J14" s="5" t="s">
        <v>167</v>
      </c>
      <c r="K14" s="108">
        <v>1</v>
      </c>
    </row>
    <row r="15" spans="1:13" x14ac:dyDescent="0.25">
      <c r="A15" s="106"/>
      <c r="B15" s="109" t="s">
        <v>12</v>
      </c>
      <c r="C15" s="81">
        <v>50</v>
      </c>
      <c r="D15" s="81">
        <v>2</v>
      </c>
      <c r="E15" s="81">
        <v>3</v>
      </c>
      <c r="F15" s="5" t="s">
        <v>167</v>
      </c>
      <c r="G15" s="81">
        <v>3</v>
      </c>
      <c r="H15" s="5" t="s">
        <v>167</v>
      </c>
      <c r="I15" s="5" t="s">
        <v>167</v>
      </c>
      <c r="J15" s="81">
        <v>4</v>
      </c>
      <c r="K15" s="81">
        <v>62</v>
      </c>
    </row>
    <row r="16" spans="1:13" x14ac:dyDescent="0.25">
      <c r="A16" s="109" t="s">
        <v>12</v>
      </c>
      <c r="B16" s="106" t="s">
        <v>43</v>
      </c>
      <c r="C16" s="108">
        <v>375</v>
      </c>
      <c r="D16" s="108">
        <v>41</v>
      </c>
      <c r="E16" s="108">
        <v>415</v>
      </c>
      <c r="F16" s="108">
        <v>312</v>
      </c>
      <c r="G16" s="108">
        <v>106</v>
      </c>
      <c r="H16" s="108">
        <v>20</v>
      </c>
      <c r="I16" s="108">
        <v>26</v>
      </c>
      <c r="J16" s="108">
        <v>99</v>
      </c>
      <c r="K16" s="108">
        <v>1394</v>
      </c>
    </row>
    <row r="17" spans="1:13" x14ac:dyDescent="0.25">
      <c r="A17" s="109"/>
      <c r="B17" s="106" t="s">
        <v>44</v>
      </c>
      <c r="C17" s="108">
        <v>1170</v>
      </c>
      <c r="D17" s="108">
        <v>361</v>
      </c>
      <c r="E17" s="108">
        <v>661</v>
      </c>
      <c r="F17" s="108">
        <v>497</v>
      </c>
      <c r="G17" s="108">
        <v>239</v>
      </c>
      <c r="H17" s="108">
        <v>50</v>
      </c>
      <c r="I17" s="108">
        <v>73</v>
      </c>
      <c r="J17" s="108">
        <v>234</v>
      </c>
      <c r="K17" s="108">
        <v>3285</v>
      </c>
    </row>
    <row r="18" spans="1:13" x14ac:dyDescent="0.25">
      <c r="A18" s="109"/>
      <c r="B18" s="106" t="s">
        <v>45</v>
      </c>
      <c r="C18" s="108">
        <v>16</v>
      </c>
      <c r="D18" s="108">
        <v>40</v>
      </c>
      <c r="E18" s="108">
        <v>1</v>
      </c>
      <c r="F18" s="5" t="s">
        <v>167</v>
      </c>
      <c r="G18" s="108">
        <v>6</v>
      </c>
      <c r="H18" s="5" t="s">
        <v>167</v>
      </c>
      <c r="I18" s="5" t="s">
        <v>167</v>
      </c>
      <c r="J18" s="5" t="s">
        <v>167</v>
      </c>
      <c r="K18" s="108">
        <v>63</v>
      </c>
    </row>
    <row r="19" spans="1:13" x14ac:dyDescent="0.25">
      <c r="A19" s="113"/>
      <c r="B19" s="113" t="s">
        <v>12</v>
      </c>
      <c r="C19" s="101">
        <v>1561</v>
      </c>
      <c r="D19" s="101">
        <v>442</v>
      </c>
      <c r="E19" s="101">
        <v>1077</v>
      </c>
      <c r="F19" s="101">
        <v>809</v>
      </c>
      <c r="G19" s="101">
        <v>351</v>
      </c>
      <c r="H19" s="101">
        <v>70</v>
      </c>
      <c r="I19" s="101">
        <v>99</v>
      </c>
      <c r="J19" s="101">
        <v>333</v>
      </c>
      <c r="K19" s="101">
        <v>4742</v>
      </c>
    </row>
    <row r="20" spans="1:13" ht="0.75" customHeight="1" x14ac:dyDescent="0.25"/>
    <row r="21" spans="1:13" s="6" customFormat="1" ht="11.1" customHeight="1" x14ac:dyDescent="0.15">
      <c r="A21" s="6" t="s">
        <v>220</v>
      </c>
    </row>
    <row r="22" spans="1:13" ht="11.1" customHeight="1" x14ac:dyDescent="0.25">
      <c r="A22" s="202" t="s">
        <v>18</v>
      </c>
      <c r="B22" s="202"/>
      <c r="C22" s="202"/>
      <c r="D22" s="202"/>
      <c r="E22" s="202"/>
      <c r="F22" s="202"/>
      <c r="G22" s="202"/>
      <c r="H22" s="202"/>
      <c r="I22" s="202"/>
      <c r="J22" s="202"/>
      <c r="K22" s="202"/>
      <c r="L22" s="202"/>
      <c r="M22" s="202"/>
    </row>
    <row r="23" spans="1:13" s="6" customFormat="1" ht="11.1" customHeight="1" x14ac:dyDescent="0.15">
      <c r="A23" s="6" t="s">
        <v>68</v>
      </c>
    </row>
    <row r="24" spans="1:13" s="6" customFormat="1" ht="11.1" customHeight="1" x14ac:dyDescent="0.15">
      <c r="A24" s="6" t="s">
        <v>69</v>
      </c>
    </row>
    <row r="25" spans="1:13" s="6" customFormat="1" ht="11.1" customHeight="1" x14ac:dyDescent="0.15">
      <c r="A25" s="6" t="s">
        <v>34</v>
      </c>
    </row>
    <row r="26" spans="1:13" s="6" customFormat="1" ht="11.1" customHeight="1" x14ac:dyDescent="0.15"/>
    <row r="27" spans="1:13" s="6" customFormat="1" ht="11.1" customHeight="1" x14ac:dyDescent="0.15">
      <c r="A27" s="6" t="s">
        <v>271</v>
      </c>
    </row>
    <row r="28" spans="1:13" ht="12" customHeight="1" x14ac:dyDescent="0.25">
      <c r="A28" s="2"/>
    </row>
  </sheetData>
  <mergeCells count="2">
    <mergeCell ref="A1:M1"/>
    <mergeCell ref="A22:M22"/>
  </mergeCells>
  <pageMargins left="0.08" right="0.08" top="1" bottom="1" header="0.5" footer="0.5"/>
  <pageSetup orientation="landscape" blackAndWhite="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O28"/>
  <sheetViews>
    <sheetView zoomScaleNormal="100" workbookViewId="0">
      <selection activeCell="K35" sqref="K35"/>
    </sheetView>
  </sheetViews>
  <sheetFormatPr defaultColWidth="9.140625" defaultRowHeight="15" x14ac:dyDescent="0.25"/>
  <cols>
    <col min="1" max="15" width="11.42578125" style="1" bestFit="1" customWidth="1"/>
    <col min="16" max="16384" width="9.140625" style="1"/>
  </cols>
  <sheetData>
    <row r="1" spans="1:15" ht="27.95" customHeight="1" x14ac:dyDescent="0.25">
      <c r="A1" s="198" t="s">
        <v>322</v>
      </c>
      <c r="B1" s="198"/>
      <c r="C1" s="198"/>
      <c r="D1" s="198"/>
      <c r="E1" s="198"/>
      <c r="F1" s="198"/>
      <c r="G1" s="198"/>
      <c r="H1" s="198"/>
      <c r="I1" s="198"/>
      <c r="J1" s="198"/>
      <c r="K1" s="198"/>
      <c r="L1" s="198"/>
      <c r="M1" s="198"/>
      <c r="N1" s="198"/>
      <c r="O1" s="198"/>
    </row>
    <row r="2" spans="1:15" ht="0.75" customHeight="1" x14ac:dyDescent="0.25">
      <c r="A2" s="2"/>
    </row>
    <row r="3" spans="1:15" ht="23.25" x14ac:dyDescent="0.25">
      <c r="A3" s="52" t="s">
        <v>185</v>
      </c>
      <c r="B3" s="52" t="s">
        <v>186</v>
      </c>
      <c r="C3" s="3" t="s">
        <v>35</v>
      </c>
      <c r="D3" s="3">
        <v>12</v>
      </c>
      <c r="E3" s="3">
        <v>13</v>
      </c>
      <c r="F3" s="3">
        <v>14</v>
      </c>
      <c r="G3" s="3">
        <v>15</v>
      </c>
      <c r="H3" s="3">
        <v>16</v>
      </c>
      <c r="I3" s="3">
        <v>17</v>
      </c>
      <c r="J3" s="3" t="s">
        <v>11</v>
      </c>
      <c r="K3" s="11" t="s">
        <v>12</v>
      </c>
    </row>
    <row r="4" spans="1:15" ht="15" customHeight="1" x14ac:dyDescent="0.25">
      <c r="A4" s="106" t="s">
        <v>21</v>
      </c>
      <c r="B4" s="106" t="s">
        <v>22</v>
      </c>
      <c r="C4" s="169">
        <v>116</v>
      </c>
      <c r="D4" s="169">
        <v>231</v>
      </c>
      <c r="E4" s="169">
        <v>405</v>
      </c>
      <c r="F4" s="169">
        <v>477</v>
      </c>
      <c r="G4" s="169">
        <v>404</v>
      </c>
      <c r="H4" s="169">
        <v>275</v>
      </c>
      <c r="I4" s="169">
        <v>203</v>
      </c>
      <c r="J4" s="169">
        <v>13</v>
      </c>
      <c r="K4" s="169">
        <v>2124</v>
      </c>
    </row>
    <row r="5" spans="1:15" ht="15" customHeight="1" x14ac:dyDescent="0.25">
      <c r="A5" s="106"/>
      <c r="B5" s="106" t="s">
        <v>23</v>
      </c>
      <c r="C5" s="169">
        <v>19</v>
      </c>
      <c r="D5" s="169">
        <v>55</v>
      </c>
      <c r="E5" s="169">
        <v>171</v>
      </c>
      <c r="F5" s="169">
        <v>311</v>
      </c>
      <c r="G5" s="169">
        <v>427</v>
      </c>
      <c r="H5" s="169">
        <v>334</v>
      </c>
      <c r="I5" s="169">
        <v>275</v>
      </c>
      <c r="J5" s="169">
        <v>53</v>
      </c>
      <c r="K5" s="169">
        <v>1645</v>
      </c>
    </row>
    <row r="6" spans="1:15" ht="15" customHeight="1" x14ac:dyDescent="0.25">
      <c r="A6" s="106"/>
      <c r="B6" s="106" t="s">
        <v>24</v>
      </c>
      <c r="C6" s="8" t="s">
        <v>167</v>
      </c>
      <c r="D6" s="169">
        <v>2</v>
      </c>
      <c r="E6" s="169">
        <v>3</v>
      </c>
      <c r="F6" s="169">
        <v>8</v>
      </c>
      <c r="G6" s="169">
        <v>13</v>
      </c>
      <c r="H6" s="169">
        <v>10</v>
      </c>
      <c r="I6" s="169">
        <v>14</v>
      </c>
      <c r="J6" s="169">
        <v>1</v>
      </c>
      <c r="K6" s="169">
        <v>51</v>
      </c>
    </row>
    <row r="7" spans="1:15" ht="15" customHeight="1" x14ac:dyDescent="0.25">
      <c r="A7" s="106"/>
      <c r="B7" s="109" t="s">
        <v>12</v>
      </c>
      <c r="C7" s="81">
        <v>135</v>
      </c>
      <c r="D7" s="81">
        <v>288</v>
      </c>
      <c r="E7" s="81">
        <v>579</v>
      </c>
      <c r="F7" s="81">
        <v>796</v>
      </c>
      <c r="G7" s="81">
        <v>844</v>
      </c>
      <c r="H7" s="81">
        <v>619</v>
      </c>
      <c r="I7" s="81">
        <v>492</v>
      </c>
      <c r="J7" s="81">
        <v>67</v>
      </c>
      <c r="K7" s="81">
        <v>3820</v>
      </c>
      <c r="L7" s="128"/>
    </row>
    <row r="8" spans="1:15" ht="15" customHeight="1" x14ac:dyDescent="0.25">
      <c r="A8" s="106" t="s">
        <v>25</v>
      </c>
      <c r="B8" s="106" t="s">
        <v>22</v>
      </c>
      <c r="C8" s="169">
        <v>16</v>
      </c>
      <c r="D8" s="169">
        <v>56</v>
      </c>
      <c r="E8" s="169">
        <v>103</v>
      </c>
      <c r="F8" s="169">
        <v>154</v>
      </c>
      <c r="G8" s="169">
        <v>123</v>
      </c>
      <c r="H8" s="169">
        <v>87</v>
      </c>
      <c r="I8" s="169">
        <v>48</v>
      </c>
      <c r="J8" s="169">
        <v>3</v>
      </c>
      <c r="K8" s="169">
        <v>590</v>
      </c>
    </row>
    <row r="9" spans="1:15" ht="15" customHeight="1" x14ac:dyDescent="0.25">
      <c r="A9" s="106"/>
      <c r="B9" s="106" t="s">
        <v>23</v>
      </c>
      <c r="C9" s="169">
        <v>1</v>
      </c>
      <c r="D9" s="169">
        <v>19</v>
      </c>
      <c r="E9" s="169">
        <v>52</v>
      </c>
      <c r="F9" s="169">
        <v>64</v>
      </c>
      <c r="G9" s="169">
        <v>79</v>
      </c>
      <c r="H9" s="169">
        <v>45</v>
      </c>
      <c r="I9" s="169">
        <v>56</v>
      </c>
      <c r="J9" s="169">
        <v>3</v>
      </c>
      <c r="K9" s="169">
        <v>319</v>
      </c>
    </row>
    <row r="10" spans="1:15" ht="15" customHeight="1" x14ac:dyDescent="0.25">
      <c r="A10" s="106"/>
      <c r="B10" s="106" t="s">
        <v>24</v>
      </c>
      <c r="C10" s="8" t="s">
        <v>167</v>
      </c>
      <c r="D10" s="169">
        <v>2</v>
      </c>
      <c r="E10" s="169">
        <v>2</v>
      </c>
      <c r="F10" s="169">
        <v>2</v>
      </c>
      <c r="G10" s="169">
        <v>2</v>
      </c>
      <c r="H10" s="169">
        <v>1</v>
      </c>
      <c r="I10" s="169">
        <v>2</v>
      </c>
      <c r="J10" s="8" t="s">
        <v>167</v>
      </c>
      <c r="K10" s="169">
        <v>11</v>
      </c>
    </row>
    <row r="11" spans="1:15" ht="15" customHeight="1" x14ac:dyDescent="0.25">
      <c r="A11" s="106"/>
      <c r="B11" s="109" t="s">
        <v>12</v>
      </c>
      <c r="C11" s="81">
        <v>17</v>
      </c>
      <c r="D11" s="81">
        <v>77</v>
      </c>
      <c r="E11" s="81">
        <v>157</v>
      </c>
      <c r="F11" s="81">
        <v>220</v>
      </c>
      <c r="G11" s="81">
        <v>204</v>
      </c>
      <c r="H11" s="81">
        <v>133</v>
      </c>
      <c r="I11" s="81">
        <v>106</v>
      </c>
      <c r="J11" s="81">
        <v>6</v>
      </c>
      <c r="K11" s="81">
        <v>920</v>
      </c>
    </row>
    <row r="12" spans="1:15" ht="15" customHeight="1" x14ac:dyDescent="0.25">
      <c r="A12" s="106" t="s">
        <v>24</v>
      </c>
      <c r="B12" s="106" t="s">
        <v>22</v>
      </c>
      <c r="C12" s="8" t="s">
        <v>167</v>
      </c>
      <c r="D12" s="8" t="s">
        <v>167</v>
      </c>
      <c r="E12" s="8" t="s">
        <v>167</v>
      </c>
      <c r="F12" s="8" t="s">
        <v>167</v>
      </c>
      <c r="G12" s="8" t="s">
        <v>167</v>
      </c>
      <c r="H12" s="8" t="s">
        <v>167</v>
      </c>
      <c r="I12" s="8" t="s">
        <v>167</v>
      </c>
      <c r="J12" s="8" t="s">
        <v>167</v>
      </c>
      <c r="K12" s="8" t="s">
        <v>167</v>
      </c>
    </row>
    <row r="13" spans="1:15" ht="15" customHeight="1" x14ac:dyDescent="0.25">
      <c r="A13" s="106"/>
      <c r="B13" s="106" t="s">
        <v>23</v>
      </c>
      <c r="C13" s="8" t="s">
        <v>167</v>
      </c>
      <c r="D13" s="8" t="s">
        <v>167</v>
      </c>
      <c r="E13" s="169">
        <v>1</v>
      </c>
      <c r="F13" s="8" t="s">
        <v>167</v>
      </c>
      <c r="G13" s="8" t="s">
        <v>167</v>
      </c>
      <c r="H13" s="169">
        <v>1</v>
      </c>
      <c r="I13" s="8" t="s">
        <v>167</v>
      </c>
      <c r="J13" s="8" t="s">
        <v>167</v>
      </c>
      <c r="K13" s="169">
        <v>2</v>
      </c>
    </row>
    <row r="14" spans="1:15" ht="15" customHeight="1" x14ac:dyDescent="0.25">
      <c r="A14" s="106"/>
      <c r="B14" s="106" t="s">
        <v>24</v>
      </c>
      <c r="C14" s="8" t="s">
        <v>167</v>
      </c>
      <c r="D14" s="8" t="s">
        <v>167</v>
      </c>
      <c r="E14" s="8" t="s">
        <v>167</v>
      </c>
      <c r="F14" s="8" t="s">
        <v>167</v>
      </c>
      <c r="G14" s="8" t="s">
        <v>167</v>
      </c>
      <c r="H14" s="8" t="s">
        <v>167</v>
      </c>
      <c r="I14" s="8" t="s">
        <v>167</v>
      </c>
      <c r="J14" s="8" t="s">
        <v>167</v>
      </c>
      <c r="K14" s="8" t="s">
        <v>167</v>
      </c>
    </row>
    <row r="15" spans="1:15" ht="15" customHeight="1" x14ac:dyDescent="0.25">
      <c r="A15" s="106"/>
      <c r="B15" s="109" t="s">
        <v>12</v>
      </c>
      <c r="C15" s="81" t="s">
        <v>167</v>
      </c>
      <c r="D15" s="81" t="s">
        <v>167</v>
      </c>
      <c r="E15" s="81">
        <v>1</v>
      </c>
      <c r="F15" s="81" t="s">
        <v>167</v>
      </c>
      <c r="G15" s="81" t="s">
        <v>167</v>
      </c>
      <c r="H15" s="81">
        <v>1</v>
      </c>
      <c r="I15" s="81" t="s">
        <v>167</v>
      </c>
      <c r="J15" s="81" t="s">
        <v>167</v>
      </c>
      <c r="K15" s="81">
        <v>2</v>
      </c>
    </row>
    <row r="16" spans="1:15" ht="15" customHeight="1" x14ac:dyDescent="0.25">
      <c r="A16" s="109" t="s">
        <v>12</v>
      </c>
      <c r="B16" s="106" t="s">
        <v>22</v>
      </c>
      <c r="C16" s="169">
        <v>132</v>
      </c>
      <c r="D16" s="169">
        <v>287</v>
      </c>
      <c r="E16" s="169">
        <v>508</v>
      </c>
      <c r="F16" s="169">
        <v>631</v>
      </c>
      <c r="G16" s="169">
        <v>527</v>
      </c>
      <c r="H16" s="169">
        <v>362</v>
      </c>
      <c r="I16" s="169">
        <v>251</v>
      </c>
      <c r="J16" s="169">
        <v>16</v>
      </c>
      <c r="K16" s="169">
        <v>2714</v>
      </c>
    </row>
    <row r="17" spans="1:15" ht="15" customHeight="1" x14ac:dyDescent="0.25">
      <c r="A17" s="109"/>
      <c r="B17" s="106" t="s">
        <v>23</v>
      </c>
      <c r="C17" s="169">
        <v>20</v>
      </c>
      <c r="D17" s="169">
        <v>74</v>
      </c>
      <c r="E17" s="169">
        <v>224</v>
      </c>
      <c r="F17" s="169">
        <v>375</v>
      </c>
      <c r="G17" s="169">
        <v>506</v>
      </c>
      <c r="H17" s="169">
        <v>380</v>
      </c>
      <c r="I17" s="169">
        <v>331</v>
      </c>
      <c r="J17" s="169">
        <v>56</v>
      </c>
      <c r="K17" s="169">
        <v>1966</v>
      </c>
    </row>
    <row r="18" spans="1:15" ht="15" customHeight="1" x14ac:dyDescent="0.25">
      <c r="A18" s="109"/>
      <c r="B18" s="106" t="s">
        <v>24</v>
      </c>
      <c r="C18" s="8" t="s">
        <v>167</v>
      </c>
      <c r="D18" s="169">
        <v>4</v>
      </c>
      <c r="E18" s="169">
        <v>5</v>
      </c>
      <c r="F18" s="169">
        <v>10</v>
      </c>
      <c r="G18" s="169">
        <v>15</v>
      </c>
      <c r="H18" s="169">
        <v>11</v>
      </c>
      <c r="I18" s="169">
        <v>16</v>
      </c>
      <c r="J18" s="169">
        <v>1</v>
      </c>
      <c r="K18" s="169">
        <v>62</v>
      </c>
    </row>
    <row r="19" spans="1:15" ht="15" customHeight="1" x14ac:dyDescent="0.25">
      <c r="A19" s="113"/>
      <c r="B19" s="113" t="s">
        <v>12</v>
      </c>
      <c r="C19" s="171">
        <v>152</v>
      </c>
      <c r="D19" s="171">
        <v>365</v>
      </c>
      <c r="E19" s="171">
        <v>737</v>
      </c>
      <c r="F19" s="171">
        <v>1016</v>
      </c>
      <c r="G19" s="171">
        <v>1048</v>
      </c>
      <c r="H19" s="171">
        <v>753</v>
      </c>
      <c r="I19" s="171">
        <v>598</v>
      </c>
      <c r="J19" s="171">
        <v>73</v>
      </c>
      <c r="K19" s="171">
        <v>4742</v>
      </c>
    </row>
    <row r="20" spans="1:15" ht="12" customHeight="1" x14ac:dyDescent="0.25">
      <c r="A20" s="6" t="s">
        <v>220</v>
      </c>
    </row>
    <row r="21" spans="1:15" ht="11.1" customHeight="1" x14ac:dyDescent="0.25">
      <c r="A21" s="202" t="s">
        <v>18</v>
      </c>
      <c r="B21" s="202"/>
      <c r="C21" s="202"/>
      <c r="D21" s="202"/>
      <c r="E21" s="202"/>
      <c r="F21" s="202"/>
      <c r="G21" s="202"/>
      <c r="H21" s="202"/>
      <c r="I21" s="202"/>
      <c r="J21" s="202"/>
      <c r="K21" s="202"/>
      <c r="L21" s="202"/>
      <c r="M21" s="202"/>
      <c r="N21" s="202"/>
      <c r="O21" s="202"/>
    </row>
    <row r="22" spans="1:15" s="6" customFormat="1" ht="11.1" customHeight="1" x14ac:dyDescent="0.15">
      <c r="A22" s="6" t="s">
        <v>68</v>
      </c>
    </row>
    <row r="23" spans="1:15" s="6" customFormat="1" ht="11.1" customHeight="1" x14ac:dyDescent="0.15">
      <c r="A23" s="6" t="s">
        <v>70</v>
      </c>
    </row>
    <row r="24" spans="1:15" s="6" customFormat="1" ht="11.1" customHeight="1" x14ac:dyDescent="0.15">
      <c r="A24" s="6" t="s">
        <v>71</v>
      </c>
    </row>
    <row r="25" spans="1:15" s="6" customFormat="1" ht="11.1" customHeight="1" x14ac:dyDescent="0.15">
      <c r="A25" s="6" t="s">
        <v>236</v>
      </c>
    </row>
    <row r="26" spans="1:15" s="6" customFormat="1" ht="11.1" customHeight="1" x14ac:dyDescent="0.15"/>
    <row r="27" spans="1:15" s="6" customFormat="1" ht="11.1" customHeight="1" x14ac:dyDescent="0.15">
      <c r="A27" s="6" t="s">
        <v>271</v>
      </c>
    </row>
    <row r="28" spans="1:15" ht="12" customHeight="1" x14ac:dyDescent="0.25">
      <c r="A28" s="2"/>
    </row>
  </sheetData>
  <mergeCells count="2">
    <mergeCell ref="A1:O1"/>
    <mergeCell ref="A21:O21"/>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28"/>
  <sheetViews>
    <sheetView zoomScaleNormal="100" workbookViewId="0">
      <selection activeCell="L35" sqref="L35"/>
    </sheetView>
  </sheetViews>
  <sheetFormatPr defaultColWidth="9.140625" defaultRowHeight="15" x14ac:dyDescent="0.25"/>
  <cols>
    <col min="1" max="13" width="11.42578125" style="1" bestFit="1" customWidth="1"/>
    <col min="14" max="16384" width="9.140625" style="1"/>
  </cols>
  <sheetData>
    <row r="1" spans="1:13" ht="27.95" customHeight="1" x14ac:dyDescent="0.25">
      <c r="A1" s="198" t="s">
        <v>323</v>
      </c>
      <c r="B1" s="198"/>
      <c r="C1" s="198"/>
      <c r="D1" s="198"/>
      <c r="E1" s="198"/>
      <c r="F1" s="198"/>
      <c r="G1" s="198"/>
      <c r="H1" s="198"/>
      <c r="I1" s="198"/>
      <c r="J1" s="198"/>
      <c r="K1" s="198"/>
      <c r="L1" s="198"/>
      <c r="M1" s="198"/>
    </row>
    <row r="2" spans="1:13" ht="3" customHeight="1" x14ac:dyDescent="0.25">
      <c r="A2" s="2"/>
    </row>
    <row r="3" spans="1:13" ht="23.25" x14ac:dyDescent="0.25">
      <c r="A3" s="52" t="s">
        <v>186</v>
      </c>
      <c r="B3" s="52" t="s">
        <v>187</v>
      </c>
      <c r="C3" s="3" t="s">
        <v>1</v>
      </c>
      <c r="D3" s="3" t="s">
        <v>2</v>
      </c>
      <c r="E3" s="3" t="s">
        <v>3</v>
      </c>
      <c r="F3" s="3" t="s">
        <v>4</v>
      </c>
      <c r="G3" s="3" t="s">
        <v>5</v>
      </c>
      <c r="H3" s="3" t="s">
        <v>6</v>
      </c>
      <c r="I3" s="3" t="s">
        <v>7</v>
      </c>
      <c r="J3" s="3" t="s">
        <v>8</v>
      </c>
      <c r="K3" s="3" t="s">
        <v>9</v>
      </c>
    </row>
    <row r="4" spans="1:13" x14ac:dyDescent="0.25">
      <c r="A4" s="203" t="s">
        <v>22</v>
      </c>
      <c r="B4" s="106" t="s">
        <v>43</v>
      </c>
      <c r="C4" s="108">
        <v>214</v>
      </c>
      <c r="D4" s="108">
        <v>8</v>
      </c>
      <c r="E4" s="8">
        <v>292</v>
      </c>
      <c r="F4" s="108">
        <v>235</v>
      </c>
      <c r="G4" s="108">
        <v>71</v>
      </c>
      <c r="H4" s="108">
        <v>7</v>
      </c>
      <c r="I4" s="108">
        <v>13</v>
      </c>
      <c r="J4" s="108">
        <v>87</v>
      </c>
      <c r="K4" s="8">
        <v>927</v>
      </c>
    </row>
    <row r="5" spans="1:13" x14ac:dyDescent="0.25">
      <c r="A5" s="203"/>
      <c r="B5" s="106" t="s">
        <v>44</v>
      </c>
      <c r="C5" s="108">
        <v>591</v>
      </c>
      <c r="D5" s="108">
        <v>48</v>
      </c>
      <c r="E5" s="8">
        <v>445</v>
      </c>
      <c r="F5" s="108">
        <v>302</v>
      </c>
      <c r="G5" s="108">
        <v>115</v>
      </c>
      <c r="H5" s="108">
        <v>17</v>
      </c>
      <c r="I5" s="108">
        <v>21</v>
      </c>
      <c r="J5" s="108">
        <v>232</v>
      </c>
      <c r="K5" s="8">
        <v>1771</v>
      </c>
    </row>
    <row r="6" spans="1:13" x14ac:dyDescent="0.25">
      <c r="A6" s="203"/>
      <c r="B6" s="106" t="s">
        <v>45</v>
      </c>
      <c r="C6" s="108">
        <v>7</v>
      </c>
      <c r="D6" s="108">
        <v>7</v>
      </c>
      <c r="E6" s="8">
        <v>1</v>
      </c>
      <c r="F6" s="108" t="s">
        <v>167</v>
      </c>
      <c r="G6" s="108">
        <v>1</v>
      </c>
      <c r="H6" s="108" t="s">
        <v>167</v>
      </c>
      <c r="I6" s="108" t="s">
        <v>167</v>
      </c>
      <c r="J6" s="108" t="s">
        <v>167</v>
      </c>
      <c r="K6" s="8">
        <v>16</v>
      </c>
    </row>
    <row r="7" spans="1:13" x14ac:dyDescent="0.25">
      <c r="A7" s="203"/>
      <c r="B7" s="109" t="s">
        <v>12</v>
      </c>
      <c r="C7" s="81">
        <v>812</v>
      </c>
      <c r="D7" s="81">
        <v>63</v>
      </c>
      <c r="E7" s="8">
        <v>738</v>
      </c>
      <c r="F7" s="81">
        <v>537</v>
      </c>
      <c r="G7" s="81">
        <v>187</v>
      </c>
      <c r="H7" s="81">
        <v>24</v>
      </c>
      <c r="I7" s="81">
        <v>34</v>
      </c>
      <c r="J7" s="81">
        <v>319</v>
      </c>
      <c r="K7" s="8">
        <v>2714</v>
      </c>
      <c r="L7" s="128"/>
    </row>
    <row r="8" spans="1:13" ht="15" customHeight="1" x14ac:dyDescent="0.25">
      <c r="A8" s="203" t="s">
        <v>23</v>
      </c>
      <c r="B8" s="106" t="s">
        <v>43</v>
      </c>
      <c r="C8" s="108">
        <v>114</v>
      </c>
      <c r="D8" s="108">
        <v>29</v>
      </c>
      <c r="E8" s="8">
        <v>71</v>
      </c>
      <c r="F8" s="108">
        <v>53</v>
      </c>
      <c r="G8" s="108">
        <v>27</v>
      </c>
      <c r="H8" s="108">
        <v>9</v>
      </c>
      <c r="I8" s="108">
        <v>13</v>
      </c>
      <c r="J8" s="108">
        <v>2</v>
      </c>
      <c r="K8" s="8">
        <v>318</v>
      </c>
    </row>
    <row r="9" spans="1:13" x14ac:dyDescent="0.25">
      <c r="A9" s="203"/>
      <c r="B9" s="106" t="s">
        <v>44</v>
      </c>
      <c r="C9" s="108">
        <v>573</v>
      </c>
      <c r="D9" s="108">
        <v>311</v>
      </c>
      <c r="E9" s="8">
        <v>264</v>
      </c>
      <c r="F9" s="108">
        <v>219</v>
      </c>
      <c r="G9" s="108">
        <v>128</v>
      </c>
      <c r="H9" s="108">
        <v>37</v>
      </c>
      <c r="I9" s="108">
        <v>52</v>
      </c>
      <c r="J9" s="108">
        <v>8</v>
      </c>
      <c r="K9" s="8">
        <v>1592</v>
      </c>
    </row>
    <row r="10" spans="1:13" x14ac:dyDescent="0.25">
      <c r="A10" s="203"/>
      <c r="B10" s="106" t="s">
        <v>45</v>
      </c>
      <c r="C10" s="108">
        <v>12</v>
      </c>
      <c r="D10" s="108">
        <v>37</v>
      </c>
      <c r="E10" s="8">
        <v>1</v>
      </c>
      <c r="F10" s="108" t="s">
        <v>167</v>
      </c>
      <c r="G10" s="108">
        <v>6</v>
      </c>
      <c r="H10" s="108" t="s">
        <v>167</v>
      </c>
      <c r="I10" s="108" t="s">
        <v>167</v>
      </c>
      <c r="J10" s="108" t="s">
        <v>167</v>
      </c>
      <c r="K10" s="8">
        <v>56</v>
      </c>
    </row>
    <row r="11" spans="1:13" x14ac:dyDescent="0.25">
      <c r="A11" s="203"/>
      <c r="B11" s="109" t="s">
        <v>12</v>
      </c>
      <c r="C11" s="81">
        <v>699</v>
      </c>
      <c r="D11" s="81">
        <v>377</v>
      </c>
      <c r="E11" s="8">
        <v>336</v>
      </c>
      <c r="F11" s="81">
        <v>272</v>
      </c>
      <c r="G11" s="81">
        <v>161</v>
      </c>
      <c r="H11" s="81">
        <v>46</v>
      </c>
      <c r="I11" s="81">
        <v>65</v>
      </c>
      <c r="J11" s="81">
        <v>10</v>
      </c>
      <c r="K11" s="8">
        <v>1966</v>
      </c>
    </row>
    <row r="12" spans="1:13" x14ac:dyDescent="0.25">
      <c r="A12" s="203" t="s">
        <v>24</v>
      </c>
      <c r="B12" s="106" t="s">
        <v>43</v>
      </c>
      <c r="C12" s="108">
        <v>9</v>
      </c>
      <c r="D12" s="108" t="s">
        <v>167</v>
      </c>
      <c r="E12" s="108" t="s">
        <v>167</v>
      </c>
      <c r="F12" s="108" t="s">
        <v>167</v>
      </c>
      <c r="G12" s="108" t="s">
        <v>167</v>
      </c>
      <c r="H12" s="108" t="s">
        <v>167</v>
      </c>
      <c r="I12" s="108" t="s">
        <v>167</v>
      </c>
      <c r="J12" s="108" t="s">
        <v>167</v>
      </c>
      <c r="K12" s="8">
        <v>9</v>
      </c>
    </row>
    <row r="13" spans="1:13" x14ac:dyDescent="0.25">
      <c r="A13" s="203"/>
      <c r="B13" s="106" t="s">
        <v>44</v>
      </c>
      <c r="C13" s="108">
        <v>40</v>
      </c>
      <c r="D13" s="108">
        <v>2</v>
      </c>
      <c r="E13" s="8">
        <v>3</v>
      </c>
      <c r="F13" s="108" t="s">
        <v>167</v>
      </c>
      <c r="G13" s="108">
        <v>3</v>
      </c>
      <c r="H13" s="108" t="s">
        <v>167</v>
      </c>
      <c r="I13" s="108" t="s">
        <v>167</v>
      </c>
      <c r="J13" s="108">
        <v>4</v>
      </c>
      <c r="K13" s="8">
        <v>52</v>
      </c>
    </row>
    <row r="14" spans="1:13" x14ac:dyDescent="0.25">
      <c r="A14" s="203"/>
      <c r="B14" s="106" t="s">
        <v>45</v>
      </c>
      <c r="C14" s="108">
        <v>1</v>
      </c>
      <c r="D14" s="108" t="s">
        <v>167</v>
      </c>
      <c r="E14" s="108" t="s">
        <v>167</v>
      </c>
      <c r="F14" s="108" t="s">
        <v>167</v>
      </c>
      <c r="G14" s="108" t="s">
        <v>167</v>
      </c>
      <c r="H14" s="108" t="s">
        <v>167</v>
      </c>
      <c r="I14" s="108" t="s">
        <v>167</v>
      </c>
      <c r="J14" s="108" t="s">
        <v>167</v>
      </c>
      <c r="K14" s="8">
        <v>1</v>
      </c>
    </row>
    <row r="15" spans="1:13" x14ac:dyDescent="0.25">
      <c r="A15" s="203"/>
      <c r="B15" s="109" t="s">
        <v>12</v>
      </c>
      <c r="C15" s="81">
        <v>50</v>
      </c>
      <c r="D15" s="108">
        <v>2</v>
      </c>
      <c r="E15" s="8">
        <v>3</v>
      </c>
      <c r="F15" s="108" t="s">
        <v>167</v>
      </c>
      <c r="G15" s="108">
        <v>3</v>
      </c>
      <c r="H15" s="108" t="s">
        <v>167</v>
      </c>
      <c r="I15" s="81" t="s">
        <v>167</v>
      </c>
      <c r="J15" s="81">
        <v>4</v>
      </c>
      <c r="K15" s="8">
        <v>62</v>
      </c>
    </row>
    <row r="16" spans="1:13" x14ac:dyDescent="0.25">
      <c r="A16" s="214" t="s">
        <v>12</v>
      </c>
      <c r="B16" s="106" t="s">
        <v>43</v>
      </c>
      <c r="C16" s="108">
        <v>337</v>
      </c>
      <c r="D16" s="108">
        <v>37</v>
      </c>
      <c r="E16" s="8">
        <v>363</v>
      </c>
      <c r="F16" s="108">
        <v>288</v>
      </c>
      <c r="G16" s="108">
        <v>98</v>
      </c>
      <c r="H16" s="108">
        <v>16</v>
      </c>
      <c r="I16" s="108">
        <v>26</v>
      </c>
      <c r="J16" s="108">
        <v>89</v>
      </c>
      <c r="K16" s="8">
        <v>1254</v>
      </c>
    </row>
    <row r="17" spans="1:13" x14ac:dyDescent="0.25">
      <c r="A17" s="214"/>
      <c r="B17" s="106" t="s">
        <v>44</v>
      </c>
      <c r="C17" s="108">
        <v>1204</v>
      </c>
      <c r="D17" s="108">
        <v>361</v>
      </c>
      <c r="E17" s="8">
        <v>712</v>
      </c>
      <c r="F17" s="108">
        <v>521</v>
      </c>
      <c r="G17" s="108">
        <v>246</v>
      </c>
      <c r="H17" s="108">
        <v>54</v>
      </c>
      <c r="I17" s="108">
        <v>73</v>
      </c>
      <c r="J17" s="108">
        <v>244</v>
      </c>
      <c r="K17" s="8">
        <v>3415</v>
      </c>
    </row>
    <row r="18" spans="1:13" x14ac:dyDescent="0.25">
      <c r="A18" s="214"/>
      <c r="B18" s="106" t="s">
        <v>45</v>
      </c>
      <c r="C18" s="108">
        <v>20</v>
      </c>
      <c r="D18" s="108">
        <v>44</v>
      </c>
      <c r="E18" s="8">
        <v>2</v>
      </c>
      <c r="F18" s="108" t="s">
        <v>167</v>
      </c>
      <c r="G18" s="108">
        <v>7</v>
      </c>
      <c r="H18" s="108" t="s">
        <v>167</v>
      </c>
      <c r="I18" s="108" t="s">
        <v>167</v>
      </c>
      <c r="J18" s="108" t="s">
        <v>167</v>
      </c>
      <c r="K18" s="8">
        <v>73</v>
      </c>
    </row>
    <row r="19" spans="1:13" ht="14.25" customHeight="1" x14ac:dyDescent="0.25">
      <c r="A19" s="215"/>
      <c r="B19" s="113" t="s">
        <v>12</v>
      </c>
      <c r="C19" s="101">
        <v>1561</v>
      </c>
      <c r="D19" s="101">
        <v>442</v>
      </c>
      <c r="E19" s="101">
        <v>1077</v>
      </c>
      <c r="F19" s="101">
        <v>809</v>
      </c>
      <c r="G19" s="101">
        <v>351</v>
      </c>
      <c r="H19" s="101">
        <v>70</v>
      </c>
      <c r="I19" s="101">
        <v>99</v>
      </c>
      <c r="J19" s="101">
        <v>333</v>
      </c>
      <c r="K19" s="101">
        <v>4742</v>
      </c>
    </row>
    <row r="20" spans="1:13" ht="12" hidden="1" customHeight="1" x14ac:dyDescent="0.25"/>
    <row r="21" spans="1:13" s="6" customFormat="1" ht="11.1" customHeight="1" x14ac:dyDescent="0.25">
      <c r="A21" s="6" t="s">
        <v>220</v>
      </c>
      <c r="M21" s="1"/>
    </row>
    <row r="22" spans="1:13" ht="11.1" customHeight="1" x14ac:dyDescent="0.25">
      <c r="A22" s="202" t="s">
        <v>18</v>
      </c>
      <c r="B22" s="202"/>
      <c r="C22" s="202"/>
      <c r="D22" s="202"/>
      <c r="E22" s="202"/>
      <c r="F22" s="202"/>
      <c r="G22" s="202"/>
      <c r="H22" s="202"/>
      <c r="I22" s="202"/>
      <c r="J22" s="202"/>
      <c r="K22" s="202"/>
      <c r="L22" s="202"/>
      <c r="M22" s="202"/>
    </row>
    <row r="23" spans="1:13" s="6" customFormat="1" ht="11.1" customHeight="1" x14ac:dyDescent="0.15">
      <c r="A23" s="6" t="s">
        <v>72</v>
      </c>
    </row>
    <row r="24" spans="1:13" s="6" customFormat="1" ht="11.1" customHeight="1" x14ac:dyDescent="0.15">
      <c r="A24" s="6" t="s">
        <v>73</v>
      </c>
    </row>
    <row r="25" spans="1:13" s="6" customFormat="1" ht="11.1" customHeight="1" x14ac:dyDescent="0.15">
      <c r="A25" s="6" t="s">
        <v>34</v>
      </c>
    </row>
    <row r="26" spans="1:13" s="6" customFormat="1" ht="11.1" customHeight="1" x14ac:dyDescent="0.15"/>
    <row r="27" spans="1:13" s="6" customFormat="1" ht="11.1" customHeight="1" x14ac:dyDescent="0.15">
      <c r="A27" s="6" t="s">
        <v>271</v>
      </c>
    </row>
    <row r="28" spans="1:13" ht="12" customHeight="1" x14ac:dyDescent="0.25">
      <c r="A28" s="2"/>
    </row>
  </sheetData>
  <mergeCells count="6">
    <mergeCell ref="A1:M1"/>
    <mergeCell ref="A22:M22"/>
    <mergeCell ref="A4:A7"/>
    <mergeCell ref="A8:A11"/>
    <mergeCell ref="A12:A15"/>
    <mergeCell ref="A16:A19"/>
  </mergeCells>
  <pageMargins left="0.08" right="0.08" top="1" bottom="1" header="0.5" footer="0.5"/>
  <pageSetup orientation="landscape" blackAndWhite="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S91"/>
  <sheetViews>
    <sheetView topLeftCell="A43" zoomScaleNormal="100" workbookViewId="0">
      <selection activeCell="K78" sqref="K78"/>
    </sheetView>
  </sheetViews>
  <sheetFormatPr defaultColWidth="9.140625" defaultRowHeight="15" x14ac:dyDescent="0.25"/>
  <cols>
    <col min="1" max="1" width="11.42578125" style="1" bestFit="1" customWidth="1"/>
    <col min="2" max="2" width="25.5703125" style="1" customWidth="1"/>
    <col min="3" max="6" width="11.42578125" style="1" bestFit="1" customWidth="1"/>
    <col min="7" max="16384" width="9.140625" style="1"/>
  </cols>
  <sheetData>
    <row r="1" spans="1:6" ht="34.5" customHeight="1" x14ac:dyDescent="0.25">
      <c r="A1" s="217" t="s">
        <v>324</v>
      </c>
      <c r="B1" s="218"/>
      <c r="C1" s="218"/>
      <c r="D1" s="218"/>
      <c r="E1" s="218"/>
      <c r="F1" s="218"/>
    </row>
    <row r="2" spans="1:6" ht="3.75" customHeight="1" x14ac:dyDescent="0.25">
      <c r="A2" s="71"/>
    </row>
    <row r="3" spans="1:6" ht="23.25" x14ac:dyDescent="0.25">
      <c r="A3" s="40" t="s">
        <v>185</v>
      </c>
      <c r="B3" s="40" t="s">
        <v>208</v>
      </c>
      <c r="C3" s="72" t="s">
        <v>22</v>
      </c>
      <c r="D3" s="72" t="s">
        <v>23</v>
      </c>
      <c r="E3" s="72" t="s">
        <v>24</v>
      </c>
      <c r="F3" s="72" t="s">
        <v>12</v>
      </c>
    </row>
    <row r="4" spans="1:6" x14ac:dyDescent="0.25">
      <c r="A4" s="203" t="s">
        <v>21</v>
      </c>
      <c r="B4" s="73" t="s">
        <v>202</v>
      </c>
      <c r="C4" s="5">
        <v>151.19999999999999</v>
      </c>
      <c r="D4" s="5">
        <v>243</v>
      </c>
      <c r="E4" s="5">
        <v>1.9</v>
      </c>
      <c r="F4" s="5">
        <v>396.1</v>
      </c>
    </row>
    <row r="5" spans="1:6" x14ac:dyDescent="0.25">
      <c r="A5" s="203"/>
      <c r="B5" s="73" t="s">
        <v>203</v>
      </c>
      <c r="C5" s="5">
        <v>92.2</v>
      </c>
      <c r="D5" s="5">
        <v>47.7</v>
      </c>
      <c r="E5" s="5">
        <v>0.3</v>
      </c>
      <c r="F5" s="5">
        <v>140.19999999999999</v>
      </c>
    </row>
    <row r="6" spans="1:6" x14ac:dyDescent="0.25">
      <c r="A6" s="203"/>
      <c r="B6" s="73" t="s">
        <v>204</v>
      </c>
      <c r="C6" s="5">
        <v>119.9</v>
      </c>
      <c r="D6" s="5">
        <v>11.6</v>
      </c>
      <c r="E6" s="5">
        <v>0.4</v>
      </c>
      <c r="F6" s="5">
        <v>131.80000000000001</v>
      </c>
    </row>
    <row r="7" spans="1:6" x14ac:dyDescent="0.25">
      <c r="A7" s="203"/>
      <c r="B7" s="73" t="s">
        <v>205</v>
      </c>
      <c r="C7" s="5">
        <v>37.700000000000003</v>
      </c>
      <c r="D7" s="5">
        <v>0.4</v>
      </c>
      <c r="E7" s="147" t="s">
        <v>167</v>
      </c>
      <c r="F7" s="5">
        <v>38</v>
      </c>
    </row>
    <row r="8" spans="1:6" x14ac:dyDescent="0.25">
      <c r="A8" s="203"/>
      <c r="B8" s="73" t="s">
        <v>206</v>
      </c>
      <c r="C8" s="5">
        <v>29.7</v>
      </c>
      <c r="D8" s="5">
        <v>0.6</v>
      </c>
      <c r="E8" s="147" t="s">
        <v>167</v>
      </c>
      <c r="F8" s="5">
        <v>30.3</v>
      </c>
    </row>
    <row r="9" spans="1:6" x14ac:dyDescent="0.25">
      <c r="A9" s="203" t="s">
        <v>25</v>
      </c>
      <c r="B9" s="73" t="s">
        <v>202</v>
      </c>
      <c r="C9" s="5">
        <v>19.399999999999999</v>
      </c>
      <c r="D9" s="5">
        <v>24.7</v>
      </c>
      <c r="E9" s="5">
        <v>0.1</v>
      </c>
      <c r="F9" s="5">
        <v>44.2</v>
      </c>
    </row>
    <row r="10" spans="1:6" x14ac:dyDescent="0.25">
      <c r="A10" s="203"/>
      <c r="B10" s="73" t="s">
        <v>203</v>
      </c>
      <c r="C10" s="5">
        <v>8.5</v>
      </c>
      <c r="D10" s="5">
        <v>4.2</v>
      </c>
      <c r="E10" s="147" t="s">
        <v>167</v>
      </c>
      <c r="F10" s="5">
        <v>12.6</v>
      </c>
    </row>
    <row r="11" spans="1:6" x14ac:dyDescent="0.25">
      <c r="A11" s="203"/>
      <c r="B11" s="73" t="s">
        <v>204</v>
      </c>
      <c r="C11" s="5">
        <v>20.9</v>
      </c>
      <c r="D11" s="5">
        <v>0.5</v>
      </c>
      <c r="E11" s="147" t="s">
        <v>167</v>
      </c>
      <c r="F11" s="5">
        <v>21.4</v>
      </c>
    </row>
    <row r="12" spans="1:6" x14ac:dyDescent="0.25">
      <c r="A12" s="203"/>
      <c r="B12" s="73" t="s">
        <v>205</v>
      </c>
      <c r="C12" s="5">
        <v>2.6</v>
      </c>
      <c r="D12" s="147" t="s">
        <v>167</v>
      </c>
      <c r="E12" s="147" t="s">
        <v>167</v>
      </c>
      <c r="F12" s="5">
        <v>2.6</v>
      </c>
    </row>
    <row r="13" spans="1:6" x14ac:dyDescent="0.25">
      <c r="A13" s="203"/>
      <c r="B13" s="73" t="s">
        <v>206</v>
      </c>
      <c r="C13" s="5">
        <v>0.5</v>
      </c>
      <c r="D13" s="147" t="s">
        <v>167</v>
      </c>
      <c r="E13" s="147" t="s">
        <v>167</v>
      </c>
      <c r="F13" s="5">
        <v>0.5</v>
      </c>
    </row>
    <row r="14" spans="1:6" x14ac:dyDescent="0.25">
      <c r="A14" s="203" t="s">
        <v>24</v>
      </c>
      <c r="B14" s="73" t="s">
        <v>202</v>
      </c>
      <c r="C14" s="147" t="s">
        <v>167</v>
      </c>
      <c r="D14" s="147" t="s">
        <v>167</v>
      </c>
      <c r="E14" s="147" t="s">
        <v>167</v>
      </c>
      <c r="F14" s="147" t="s">
        <v>167</v>
      </c>
    </row>
    <row r="15" spans="1:6" x14ac:dyDescent="0.25">
      <c r="A15" s="203"/>
      <c r="B15" s="73" t="s">
        <v>203</v>
      </c>
      <c r="C15" s="147" t="s">
        <v>167</v>
      </c>
      <c r="D15" s="147" t="s">
        <v>167</v>
      </c>
      <c r="E15" s="147" t="s">
        <v>167</v>
      </c>
      <c r="F15" s="147" t="s">
        <v>167</v>
      </c>
    </row>
    <row r="16" spans="1:6" x14ac:dyDescent="0.25">
      <c r="A16" s="203"/>
      <c r="B16" s="73" t="s">
        <v>204</v>
      </c>
      <c r="C16" s="147" t="s">
        <v>167</v>
      </c>
      <c r="D16" s="147" t="s">
        <v>167</v>
      </c>
      <c r="E16" s="147" t="s">
        <v>167</v>
      </c>
      <c r="F16" s="147" t="s">
        <v>167</v>
      </c>
    </row>
    <row r="17" spans="1:11" x14ac:dyDescent="0.25">
      <c r="A17" s="203"/>
      <c r="B17" s="73" t="s">
        <v>205</v>
      </c>
      <c r="C17" s="147" t="s">
        <v>167</v>
      </c>
      <c r="D17" s="147" t="s">
        <v>167</v>
      </c>
      <c r="E17" s="147" t="s">
        <v>167</v>
      </c>
      <c r="F17" s="147" t="s">
        <v>167</v>
      </c>
    </row>
    <row r="18" spans="1:11" x14ac:dyDescent="0.25">
      <c r="A18" s="203"/>
      <c r="B18" s="73" t="s">
        <v>206</v>
      </c>
      <c r="C18" s="147" t="s">
        <v>167</v>
      </c>
      <c r="D18" s="147" t="s">
        <v>167</v>
      </c>
      <c r="E18" s="147" t="s">
        <v>167</v>
      </c>
      <c r="F18" s="147" t="s">
        <v>167</v>
      </c>
    </row>
    <row r="19" spans="1:11" x14ac:dyDescent="0.25">
      <c r="A19" s="203" t="s">
        <v>12</v>
      </c>
      <c r="B19" s="73" t="s">
        <v>202</v>
      </c>
      <c r="C19" s="5">
        <v>170.6</v>
      </c>
      <c r="D19" s="5">
        <v>267.7</v>
      </c>
      <c r="E19" s="5">
        <v>2</v>
      </c>
      <c r="F19" s="5">
        <v>440.3</v>
      </c>
    </row>
    <row r="20" spans="1:11" x14ac:dyDescent="0.25">
      <c r="A20" s="203"/>
      <c r="B20" s="73" t="s">
        <v>203</v>
      </c>
      <c r="C20" s="5">
        <v>100.6</v>
      </c>
      <c r="D20" s="5">
        <v>51.9</v>
      </c>
      <c r="E20" s="5">
        <v>0.3</v>
      </c>
      <c r="F20" s="5">
        <v>152.80000000000001</v>
      </c>
    </row>
    <row r="21" spans="1:11" x14ac:dyDescent="0.25">
      <c r="A21" s="203"/>
      <c r="B21" s="73" t="s">
        <v>204</v>
      </c>
      <c r="C21" s="5">
        <v>140.80000000000001</v>
      </c>
      <c r="D21" s="5">
        <v>12</v>
      </c>
      <c r="E21" s="5">
        <v>0.4</v>
      </c>
      <c r="F21" s="5">
        <v>153.19999999999999</v>
      </c>
    </row>
    <row r="22" spans="1:11" x14ac:dyDescent="0.25">
      <c r="A22" s="203"/>
      <c r="B22" s="73" t="s">
        <v>205</v>
      </c>
      <c r="C22" s="5">
        <v>40.299999999999997</v>
      </c>
      <c r="D22" s="5">
        <v>0.4</v>
      </c>
      <c r="E22" s="147" t="s">
        <v>167</v>
      </c>
      <c r="F22" s="5">
        <v>40.700000000000003</v>
      </c>
    </row>
    <row r="23" spans="1:11" x14ac:dyDescent="0.25">
      <c r="A23" s="203"/>
      <c r="B23" s="73" t="s">
        <v>206</v>
      </c>
      <c r="C23" s="5">
        <v>30.2</v>
      </c>
      <c r="D23" s="5">
        <v>0.6</v>
      </c>
      <c r="E23" s="147" t="s">
        <v>167</v>
      </c>
      <c r="F23" s="5">
        <v>30.8</v>
      </c>
    </row>
    <row r="24" spans="1:11" x14ac:dyDescent="0.25">
      <c r="A24" s="71"/>
      <c r="B24" s="77" t="s">
        <v>77</v>
      </c>
      <c r="C24" s="76">
        <v>496.94</v>
      </c>
      <c r="D24" s="76">
        <v>358.76</v>
      </c>
      <c r="E24" s="76">
        <v>3.83</v>
      </c>
      <c r="F24" s="76">
        <v>859.53</v>
      </c>
      <c r="H24" s="76"/>
      <c r="I24" s="76"/>
      <c r="J24" s="76"/>
      <c r="K24" s="76"/>
    </row>
    <row r="25" spans="1:11" x14ac:dyDescent="0.25">
      <c r="A25" s="216" t="s">
        <v>13</v>
      </c>
      <c r="B25" s="216"/>
      <c r="C25" s="216"/>
      <c r="D25" s="216"/>
      <c r="E25" s="216"/>
      <c r="F25" s="216"/>
    </row>
    <row r="26" spans="1:11" x14ac:dyDescent="0.25">
      <c r="A26" s="119" t="s">
        <v>241</v>
      </c>
      <c r="B26" s="91"/>
      <c r="C26" s="91"/>
      <c r="D26" s="91"/>
      <c r="E26" s="91"/>
      <c r="F26" s="91"/>
    </row>
    <row r="27" spans="1:11" s="74" customFormat="1" ht="9" x14ac:dyDescent="0.15">
      <c r="A27" s="6" t="s">
        <v>14</v>
      </c>
    </row>
    <row r="28" spans="1:11" s="75" customFormat="1" ht="12.75" x14ac:dyDescent="0.2">
      <c r="A28" s="57" t="s">
        <v>18</v>
      </c>
    </row>
    <row r="29" spans="1:11" s="74" customFormat="1" ht="18.75" customHeight="1" x14ac:dyDescent="0.15">
      <c r="A29" s="219" t="s">
        <v>74</v>
      </c>
      <c r="B29" s="219"/>
      <c r="C29" s="219"/>
      <c r="D29" s="219"/>
      <c r="E29" s="219"/>
      <c r="F29" s="219"/>
    </row>
    <row r="30" spans="1:11" s="74" customFormat="1" ht="9" x14ac:dyDescent="0.15">
      <c r="A30" s="74" t="s">
        <v>75</v>
      </c>
    </row>
    <row r="31" spans="1:11" s="74" customFormat="1" ht="9" x14ac:dyDescent="0.15">
      <c r="A31" s="74" t="s">
        <v>16</v>
      </c>
    </row>
    <row r="32" spans="1:11" s="74" customFormat="1" ht="9" x14ac:dyDescent="0.15">
      <c r="A32" s="6" t="s">
        <v>271</v>
      </c>
    </row>
    <row r="33" spans="1:19" x14ac:dyDescent="0.25">
      <c r="A33" s="71"/>
    </row>
    <row r="34" spans="1:19" ht="33.75" customHeight="1" x14ac:dyDescent="0.25">
      <c r="A34" s="209" t="s">
        <v>338</v>
      </c>
      <c r="B34" s="220"/>
      <c r="C34" s="220"/>
      <c r="D34" s="220"/>
      <c r="E34" s="220"/>
      <c r="F34" s="220"/>
    </row>
    <row r="35" spans="1:19" ht="3.75" customHeight="1" x14ac:dyDescent="0.25">
      <c r="A35" s="71"/>
    </row>
    <row r="36" spans="1:19" ht="23.25" x14ac:dyDescent="0.25">
      <c r="A36" s="40" t="s">
        <v>185</v>
      </c>
      <c r="B36" s="40" t="s">
        <v>208</v>
      </c>
      <c r="C36" s="72" t="s">
        <v>22</v>
      </c>
      <c r="D36" s="72" t="s">
        <v>23</v>
      </c>
      <c r="E36" s="72" t="s">
        <v>24</v>
      </c>
      <c r="F36" s="72" t="s">
        <v>207</v>
      </c>
    </row>
    <row r="37" spans="1:19" x14ac:dyDescent="0.25">
      <c r="A37" s="203" t="s">
        <v>21</v>
      </c>
      <c r="B37" s="73" t="s">
        <v>202</v>
      </c>
      <c r="C37" s="13">
        <v>879</v>
      </c>
      <c r="D37" s="13">
        <v>1281</v>
      </c>
      <c r="E37" s="13">
        <v>29</v>
      </c>
      <c r="F37" s="13">
        <v>2189</v>
      </c>
      <c r="G37" s="13"/>
      <c r="H37" s="13"/>
      <c r="I37" s="13"/>
      <c r="J37" s="13"/>
      <c r="N37" s="127"/>
      <c r="O37" s="127"/>
      <c r="P37" s="127"/>
      <c r="Q37" s="127"/>
      <c r="S37" s="127"/>
    </row>
    <row r="38" spans="1:19" x14ac:dyDescent="0.25">
      <c r="A38" s="203"/>
      <c r="B38" s="73" t="s">
        <v>203</v>
      </c>
      <c r="C38" s="13">
        <v>387</v>
      </c>
      <c r="D38" s="13">
        <v>215</v>
      </c>
      <c r="E38" s="13">
        <v>12</v>
      </c>
      <c r="F38" s="13">
        <v>614</v>
      </c>
      <c r="G38" s="13"/>
      <c r="H38" s="13"/>
      <c r="I38" s="13"/>
      <c r="J38" s="13"/>
      <c r="N38" s="127"/>
      <c r="O38" s="127"/>
      <c r="P38" s="127"/>
      <c r="Q38" s="127"/>
    </row>
    <row r="39" spans="1:19" x14ac:dyDescent="0.25">
      <c r="A39" s="203"/>
      <c r="B39" s="73" t="s">
        <v>204</v>
      </c>
      <c r="C39" s="13">
        <v>422</v>
      </c>
      <c r="D39" s="13">
        <v>63</v>
      </c>
      <c r="E39" s="13">
        <v>6</v>
      </c>
      <c r="F39" s="13">
        <v>491</v>
      </c>
      <c r="G39" s="13"/>
      <c r="H39" s="13"/>
      <c r="I39" s="13"/>
      <c r="J39" s="13"/>
      <c r="N39" s="127"/>
      <c r="O39" s="127"/>
      <c r="P39" s="127"/>
      <c r="Q39" s="127"/>
    </row>
    <row r="40" spans="1:19" x14ac:dyDescent="0.25">
      <c r="A40" s="203"/>
      <c r="B40" s="73" t="s">
        <v>205</v>
      </c>
      <c r="C40" s="147" t="s">
        <v>174</v>
      </c>
      <c r="D40" s="147" t="s">
        <v>174</v>
      </c>
      <c r="E40" s="147" t="s">
        <v>167</v>
      </c>
      <c r="F40" s="13">
        <v>173</v>
      </c>
      <c r="G40" s="13"/>
      <c r="H40" s="13"/>
      <c r="I40" s="13"/>
      <c r="J40" s="13"/>
      <c r="N40" s="127"/>
      <c r="O40" s="127"/>
      <c r="P40" s="127"/>
      <c r="Q40" s="127"/>
    </row>
    <row r="41" spans="1:19" x14ac:dyDescent="0.25">
      <c r="A41" s="203"/>
      <c r="B41" s="73" t="s">
        <v>206</v>
      </c>
      <c r="C41" s="147" t="s">
        <v>174</v>
      </c>
      <c r="D41" s="147" t="s">
        <v>174</v>
      </c>
      <c r="E41" s="147" t="s">
        <v>167</v>
      </c>
      <c r="F41" s="13">
        <v>216</v>
      </c>
      <c r="G41" s="13"/>
      <c r="H41" s="13"/>
      <c r="I41" s="13"/>
      <c r="J41" s="13"/>
      <c r="N41" s="127"/>
      <c r="O41" s="127"/>
      <c r="P41" s="127"/>
      <c r="Q41" s="127"/>
    </row>
    <row r="42" spans="1:19" x14ac:dyDescent="0.25">
      <c r="A42" s="203" t="s">
        <v>25</v>
      </c>
      <c r="B42" s="73" t="s">
        <v>202</v>
      </c>
      <c r="C42" s="147">
        <v>321</v>
      </c>
      <c r="D42" s="147">
        <v>252</v>
      </c>
      <c r="E42" s="13">
        <v>5</v>
      </c>
      <c r="F42" s="13">
        <v>577</v>
      </c>
      <c r="G42" s="13"/>
      <c r="H42" s="13"/>
      <c r="I42" s="13"/>
      <c r="J42" s="13"/>
      <c r="N42" s="127"/>
      <c r="O42" s="127"/>
      <c r="P42" s="127"/>
      <c r="Q42" s="127"/>
    </row>
    <row r="43" spans="1:19" x14ac:dyDescent="0.25">
      <c r="A43" s="203"/>
      <c r="B43" s="73" t="s">
        <v>203</v>
      </c>
      <c r="C43" s="147">
        <v>77</v>
      </c>
      <c r="D43" s="147">
        <v>43</v>
      </c>
      <c r="E43" s="13">
        <v>1</v>
      </c>
      <c r="F43" s="13">
        <v>121</v>
      </c>
      <c r="G43" s="13"/>
      <c r="H43" s="13"/>
      <c r="I43" s="13"/>
      <c r="J43" s="13"/>
      <c r="N43" s="127"/>
      <c r="O43" s="127"/>
      <c r="P43" s="127"/>
      <c r="Q43" s="127"/>
    </row>
    <row r="44" spans="1:19" x14ac:dyDescent="0.25">
      <c r="A44" s="203"/>
      <c r="B44" s="73" t="s">
        <v>204</v>
      </c>
      <c r="C44" s="147">
        <v>122</v>
      </c>
      <c r="D44" s="147">
        <v>8</v>
      </c>
      <c r="E44" s="13">
        <v>1</v>
      </c>
      <c r="F44" s="13">
        <v>131</v>
      </c>
      <c r="G44" s="13"/>
      <c r="H44" s="13"/>
      <c r="I44" s="13"/>
      <c r="J44" s="13"/>
      <c r="N44" s="127"/>
      <c r="O44" s="127"/>
      <c r="P44" s="127"/>
      <c r="Q44" s="127"/>
    </row>
    <row r="45" spans="1:19" x14ac:dyDescent="0.25">
      <c r="A45" s="203"/>
      <c r="B45" s="73" t="s">
        <v>205</v>
      </c>
      <c r="C45" s="147" t="s">
        <v>174</v>
      </c>
      <c r="D45" s="147" t="s">
        <v>174</v>
      </c>
      <c r="E45" s="147" t="s">
        <v>167</v>
      </c>
      <c r="F45" s="13">
        <v>33</v>
      </c>
      <c r="G45" s="13"/>
      <c r="H45" s="13"/>
      <c r="I45" s="13"/>
      <c r="J45" s="13"/>
      <c r="N45" s="127"/>
      <c r="O45" s="127"/>
      <c r="P45" s="127"/>
      <c r="Q45" s="127"/>
    </row>
    <row r="46" spans="1:19" x14ac:dyDescent="0.25">
      <c r="A46" s="203"/>
      <c r="B46" s="73" t="s">
        <v>206</v>
      </c>
      <c r="C46" s="147" t="s">
        <v>174</v>
      </c>
      <c r="D46" s="147" t="s">
        <v>174</v>
      </c>
      <c r="E46" s="147" t="s">
        <v>167</v>
      </c>
      <c r="F46" s="13">
        <v>19</v>
      </c>
      <c r="G46" s="13"/>
      <c r="H46" s="13"/>
      <c r="I46" s="13"/>
      <c r="J46" s="13"/>
      <c r="N46" s="127"/>
      <c r="O46" s="127"/>
      <c r="P46" s="127"/>
      <c r="Q46" s="127"/>
    </row>
    <row r="47" spans="1:19" x14ac:dyDescent="0.25">
      <c r="A47" s="203" t="s">
        <v>24</v>
      </c>
      <c r="B47" s="73" t="s">
        <v>202</v>
      </c>
      <c r="C47" s="147" t="s">
        <v>167</v>
      </c>
      <c r="D47" s="147">
        <v>1</v>
      </c>
      <c r="E47" s="147" t="s">
        <v>167</v>
      </c>
      <c r="F47" s="13">
        <v>1</v>
      </c>
      <c r="G47" s="13"/>
      <c r="H47" s="13"/>
      <c r="I47" s="13"/>
      <c r="J47" s="13"/>
      <c r="N47" s="127"/>
      <c r="O47" s="127"/>
      <c r="P47" s="127"/>
      <c r="Q47" s="127"/>
    </row>
    <row r="48" spans="1:19" x14ac:dyDescent="0.25">
      <c r="A48" s="203"/>
      <c r="B48" s="73" t="s">
        <v>203</v>
      </c>
      <c r="C48" s="147" t="s">
        <v>167</v>
      </c>
      <c r="D48" s="13">
        <v>1</v>
      </c>
      <c r="E48" s="147" t="s">
        <v>167</v>
      </c>
      <c r="F48" s="13">
        <v>1</v>
      </c>
      <c r="G48" s="13"/>
      <c r="H48" s="13"/>
      <c r="I48" s="13"/>
      <c r="J48" s="13"/>
      <c r="N48" s="127"/>
      <c r="O48" s="127"/>
      <c r="P48" s="127"/>
      <c r="Q48" s="127"/>
    </row>
    <row r="49" spans="1:17" x14ac:dyDescent="0.25">
      <c r="A49" s="203"/>
      <c r="B49" s="73" t="s">
        <v>204</v>
      </c>
      <c r="C49" s="147" t="s">
        <v>167</v>
      </c>
      <c r="D49" s="147" t="s">
        <v>167</v>
      </c>
      <c r="E49" s="147" t="s">
        <v>167</v>
      </c>
      <c r="F49" s="147" t="s">
        <v>167</v>
      </c>
      <c r="G49" s="13"/>
      <c r="H49" s="13"/>
      <c r="I49" s="13"/>
      <c r="J49" s="13"/>
      <c r="N49" s="127"/>
      <c r="O49" s="127"/>
      <c r="P49" s="127"/>
      <c r="Q49" s="127"/>
    </row>
    <row r="50" spans="1:17" x14ac:dyDescent="0.25">
      <c r="A50" s="203"/>
      <c r="B50" s="73" t="s">
        <v>205</v>
      </c>
      <c r="C50" s="147" t="s">
        <v>167</v>
      </c>
      <c r="D50" s="147" t="s">
        <v>167</v>
      </c>
      <c r="E50" s="147" t="s">
        <v>167</v>
      </c>
      <c r="F50" s="147" t="s">
        <v>167</v>
      </c>
      <c r="G50" s="13"/>
      <c r="H50" s="13"/>
      <c r="I50" s="13"/>
      <c r="J50" s="13"/>
      <c r="N50" s="127"/>
      <c r="O50" s="127"/>
      <c r="P50" s="127"/>
      <c r="Q50" s="127"/>
    </row>
    <row r="51" spans="1:17" x14ac:dyDescent="0.25">
      <c r="A51" s="203"/>
      <c r="B51" s="73" t="s">
        <v>206</v>
      </c>
      <c r="C51" s="147" t="s">
        <v>167</v>
      </c>
      <c r="D51" s="147" t="s">
        <v>167</v>
      </c>
      <c r="E51" s="147" t="s">
        <v>167</v>
      </c>
      <c r="F51" s="147" t="s">
        <v>167</v>
      </c>
      <c r="G51" s="13"/>
      <c r="H51" s="13"/>
      <c r="I51" s="13"/>
      <c r="J51" s="13"/>
      <c r="N51" s="127"/>
      <c r="O51" s="127"/>
      <c r="P51" s="127"/>
      <c r="Q51" s="127"/>
    </row>
    <row r="52" spans="1:17" x14ac:dyDescent="0.25">
      <c r="A52" s="203" t="s">
        <v>12</v>
      </c>
      <c r="B52" s="73" t="s">
        <v>202</v>
      </c>
      <c r="C52" s="13">
        <v>1200</v>
      </c>
      <c r="D52" s="13">
        <v>1534</v>
      </c>
      <c r="E52" s="13">
        <v>34</v>
      </c>
      <c r="F52" s="13">
        <v>2768</v>
      </c>
      <c r="G52" s="13"/>
      <c r="H52" s="13"/>
      <c r="I52" s="13"/>
      <c r="J52" s="13"/>
      <c r="N52" s="127"/>
      <c r="O52" s="127"/>
      <c r="P52" s="127"/>
      <c r="Q52" s="127"/>
    </row>
    <row r="53" spans="1:17" x14ac:dyDescent="0.25">
      <c r="A53" s="203"/>
      <c r="B53" s="73" t="s">
        <v>203</v>
      </c>
      <c r="C53" s="13">
        <v>464</v>
      </c>
      <c r="D53" s="13">
        <v>260</v>
      </c>
      <c r="E53" s="13">
        <v>13</v>
      </c>
      <c r="F53" s="13">
        <v>737</v>
      </c>
      <c r="G53" s="13"/>
      <c r="H53" s="13"/>
      <c r="I53" s="13"/>
      <c r="J53" s="13"/>
      <c r="N53" s="127"/>
      <c r="O53" s="127"/>
      <c r="P53" s="127"/>
      <c r="Q53" s="127"/>
    </row>
    <row r="54" spans="1:17" x14ac:dyDescent="0.25">
      <c r="A54" s="203"/>
      <c r="B54" s="73" t="s">
        <v>204</v>
      </c>
      <c r="C54" s="147">
        <v>544</v>
      </c>
      <c r="D54" s="147">
        <v>71</v>
      </c>
      <c r="E54" s="13">
        <v>7</v>
      </c>
      <c r="F54" s="13">
        <v>622</v>
      </c>
      <c r="G54" s="13"/>
      <c r="H54" s="13"/>
      <c r="I54" s="13"/>
      <c r="J54" s="13"/>
      <c r="N54" s="127"/>
      <c r="O54" s="127"/>
      <c r="P54" s="127"/>
      <c r="Q54" s="127"/>
    </row>
    <row r="55" spans="1:17" x14ac:dyDescent="0.25">
      <c r="A55" s="203"/>
      <c r="B55" s="73" t="s">
        <v>205</v>
      </c>
      <c r="C55" s="147" t="s">
        <v>174</v>
      </c>
      <c r="D55" s="147" t="s">
        <v>174</v>
      </c>
      <c r="E55" s="147" t="s">
        <v>167</v>
      </c>
      <c r="F55" s="13">
        <v>206</v>
      </c>
      <c r="G55" s="13"/>
      <c r="H55" s="13"/>
      <c r="I55" s="13"/>
      <c r="J55" s="13"/>
      <c r="N55" s="127"/>
      <c r="O55" s="127"/>
      <c r="P55" s="127"/>
      <c r="Q55" s="127"/>
    </row>
    <row r="56" spans="1:17" x14ac:dyDescent="0.25">
      <c r="A56" s="203"/>
      <c r="B56" s="73" t="s">
        <v>206</v>
      </c>
      <c r="C56" s="147" t="s">
        <v>174</v>
      </c>
      <c r="D56" s="147" t="s">
        <v>174</v>
      </c>
      <c r="E56" s="147" t="s">
        <v>167</v>
      </c>
      <c r="F56" s="13">
        <v>235</v>
      </c>
      <c r="G56" s="13"/>
      <c r="H56" s="13"/>
      <c r="I56" s="13"/>
      <c r="J56" s="13"/>
      <c r="N56" s="127"/>
      <c r="O56" s="127"/>
      <c r="P56" s="127"/>
      <c r="Q56" s="127"/>
    </row>
    <row r="57" spans="1:17" x14ac:dyDescent="0.25">
      <c r="A57" s="92"/>
      <c r="B57" s="92" t="s">
        <v>77</v>
      </c>
      <c r="C57" s="172">
        <v>2714</v>
      </c>
      <c r="D57" s="172">
        <v>1966</v>
      </c>
      <c r="E57" s="172">
        <v>62</v>
      </c>
      <c r="F57" s="172">
        <v>4742</v>
      </c>
      <c r="G57" s="8"/>
      <c r="H57" s="8"/>
      <c r="I57" s="8"/>
      <c r="J57" s="8"/>
    </row>
    <row r="58" spans="1:17" ht="11.25" customHeight="1" x14ac:dyDescent="0.25">
      <c r="A58" s="6" t="s">
        <v>220</v>
      </c>
      <c r="B58" s="105"/>
      <c r="C58" s="143"/>
      <c r="D58" s="143"/>
      <c r="E58" s="143"/>
      <c r="F58" s="143"/>
    </row>
    <row r="59" spans="1:17" x14ac:dyDescent="0.25">
      <c r="A59" s="74" t="s">
        <v>222</v>
      </c>
      <c r="B59" s="74"/>
      <c r="C59" s="74"/>
      <c r="D59" s="74"/>
      <c r="E59" s="74"/>
      <c r="F59" s="74"/>
      <c r="G59" s="74"/>
      <c r="H59" s="74"/>
      <c r="I59" s="74"/>
      <c r="J59" s="74"/>
      <c r="K59" s="74"/>
      <c r="L59" s="74"/>
      <c r="M59" s="74"/>
    </row>
    <row r="60" spans="1:17" ht="11.25" customHeight="1" x14ac:dyDescent="0.25">
      <c r="A60" s="74" t="s">
        <v>14</v>
      </c>
      <c r="B60" s="74"/>
      <c r="C60" s="74"/>
      <c r="D60" s="74"/>
      <c r="E60" s="74"/>
      <c r="F60" s="74"/>
      <c r="G60" s="74"/>
      <c r="H60" s="74"/>
      <c r="I60" s="74"/>
      <c r="J60" s="74"/>
      <c r="K60" s="74"/>
      <c r="L60" s="74"/>
      <c r="M60" s="74"/>
    </row>
    <row r="61" spans="1:17" s="75" customFormat="1" ht="12.75" x14ac:dyDescent="0.2">
      <c r="A61" s="57" t="s">
        <v>18</v>
      </c>
    </row>
    <row r="62" spans="1:17" s="74" customFormat="1" ht="18.75" customHeight="1" x14ac:dyDescent="0.15">
      <c r="A62" s="219" t="s">
        <v>74</v>
      </c>
      <c r="B62" s="219"/>
      <c r="C62" s="219"/>
      <c r="D62" s="219"/>
      <c r="E62" s="219"/>
      <c r="F62" s="219"/>
    </row>
    <row r="63" spans="1:17" s="74" customFormat="1" ht="9" x14ac:dyDescent="0.15">
      <c r="A63" s="74" t="s">
        <v>75</v>
      </c>
    </row>
    <row r="64" spans="1:17" s="74" customFormat="1" ht="9" x14ac:dyDescent="0.15">
      <c r="A64" s="6" t="s">
        <v>256</v>
      </c>
    </row>
    <row r="65" spans="1:8" s="74" customFormat="1" ht="12.75" customHeight="1" x14ac:dyDescent="0.15">
      <c r="A65" s="74" t="s">
        <v>16</v>
      </c>
    </row>
    <row r="66" spans="1:8" s="74" customFormat="1" ht="18.75" customHeight="1" x14ac:dyDescent="0.15">
      <c r="A66" s="199" t="s">
        <v>271</v>
      </c>
      <c r="B66" s="219"/>
      <c r="C66" s="219"/>
      <c r="D66" s="219"/>
      <c r="E66" s="219"/>
      <c r="F66" s="219"/>
    </row>
    <row r="67" spans="1:8" x14ac:dyDescent="0.25">
      <c r="A67" s="71"/>
    </row>
    <row r="76" spans="1:8" x14ac:dyDescent="0.25">
      <c r="F76" s="127"/>
      <c r="H76" s="127"/>
    </row>
    <row r="91" spans="5:8" x14ac:dyDescent="0.25">
      <c r="E91" s="127"/>
      <c r="F91" s="127"/>
      <c r="H91" s="127"/>
    </row>
  </sheetData>
  <mergeCells count="14">
    <mergeCell ref="A66:F66"/>
    <mergeCell ref="A29:F29"/>
    <mergeCell ref="A62:F62"/>
    <mergeCell ref="A42:A46"/>
    <mergeCell ref="A47:A51"/>
    <mergeCell ref="A52:A56"/>
    <mergeCell ref="A37:A41"/>
    <mergeCell ref="A34:F34"/>
    <mergeCell ref="A25:F25"/>
    <mergeCell ref="A1:F1"/>
    <mergeCell ref="A4:A8"/>
    <mergeCell ref="A9:A13"/>
    <mergeCell ref="A14:A18"/>
    <mergeCell ref="A19:A23"/>
  </mergeCells>
  <pageMargins left="0.08" right="0.08" top="1" bottom="1" header="0.5" footer="0.5"/>
  <pageSetup orientation="landscape" blackAndWhite="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B80"/>
  <sheetViews>
    <sheetView topLeftCell="A50" zoomScaleNormal="100" workbookViewId="0">
      <selection activeCell="O12" sqref="O12"/>
    </sheetView>
  </sheetViews>
  <sheetFormatPr defaultColWidth="9.140625" defaultRowHeight="15" x14ac:dyDescent="0.25"/>
  <cols>
    <col min="1" max="1" width="20.85546875" style="1" customWidth="1"/>
    <col min="2" max="10" width="11.42578125" style="1" bestFit="1" customWidth="1"/>
    <col min="11" max="28" width="9.140625" style="84"/>
    <col min="29" max="16384" width="9.140625" style="1"/>
  </cols>
  <sheetData>
    <row r="1" spans="1:28" ht="29.25" customHeight="1" x14ac:dyDescent="0.25">
      <c r="A1" s="217" t="s">
        <v>325</v>
      </c>
      <c r="B1" s="217"/>
      <c r="C1" s="217"/>
      <c r="D1" s="217"/>
      <c r="E1" s="217"/>
      <c r="F1" s="217"/>
      <c r="G1" s="217"/>
      <c r="H1" s="217"/>
      <c r="I1" s="217"/>
      <c r="J1" s="217"/>
    </row>
    <row r="2" spans="1:28" ht="3.75" customHeight="1" x14ac:dyDescent="0.25">
      <c r="A2" s="2"/>
    </row>
    <row r="3" spans="1:28" x14ac:dyDescent="0.25">
      <c r="A3" s="36" t="s">
        <v>208</v>
      </c>
      <c r="B3" s="3" t="s">
        <v>1</v>
      </c>
      <c r="C3" s="3" t="s">
        <v>2</v>
      </c>
      <c r="D3" s="3" t="s">
        <v>3</v>
      </c>
      <c r="E3" s="3" t="s">
        <v>4</v>
      </c>
      <c r="F3" s="3" t="s">
        <v>5</v>
      </c>
      <c r="G3" s="3" t="s">
        <v>6</v>
      </c>
      <c r="H3" s="3" t="s">
        <v>7</v>
      </c>
      <c r="I3" s="3" t="s">
        <v>8</v>
      </c>
      <c r="J3" s="3" t="s">
        <v>9</v>
      </c>
    </row>
    <row r="4" spans="1:28" x14ac:dyDescent="0.25">
      <c r="A4" s="4" t="s">
        <v>202</v>
      </c>
      <c r="B4" s="5">
        <v>103.8</v>
      </c>
      <c r="C4" s="5">
        <v>48.9</v>
      </c>
      <c r="D4" s="5">
        <v>125.1</v>
      </c>
      <c r="E4" s="5">
        <v>44.6</v>
      </c>
      <c r="F4" s="5">
        <v>27.6</v>
      </c>
      <c r="G4" s="5" t="s">
        <v>170</v>
      </c>
      <c r="H4" s="5">
        <v>15.2</v>
      </c>
      <c r="I4" s="5" t="s">
        <v>170</v>
      </c>
      <c r="J4" s="5">
        <v>365.3</v>
      </c>
    </row>
    <row r="5" spans="1:28" x14ac:dyDescent="0.25">
      <c r="A5" s="4" t="s">
        <v>203</v>
      </c>
      <c r="B5" s="5">
        <v>53.9</v>
      </c>
      <c r="C5" s="5">
        <v>14</v>
      </c>
      <c r="D5" s="5">
        <v>45.4</v>
      </c>
      <c r="E5" s="5">
        <v>4.4000000000000004</v>
      </c>
      <c r="F5" s="5">
        <v>0.7</v>
      </c>
      <c r="G5" s="5">
        <v>12.8</v>
      </c>
      <c r="H5" s="5" t="s">
        <v>167</v>
      </c>
      <c r="I5" s="5" t="s">
        <v>170</v>
      </c>
      <c r="J5" s="5">
        <v>131.30000000000001</v>
      </c>
    </row>
    <row r="6" spans="1:28" x14ac:dyDescent="0.25">
      <c r="A6" s="4" t="s">
        <v>204</v>
      </c>
      <c r="B6" s="5">
        <v>15.5</v>
      </c>
      <c r="C6" s="5">
        <v>1.3</v>
      </c>
      <c r="D6" s="5">
        <v>95.1</v>
      </c>
      <c r="E6" s="5">
        <v>9.4</v>
      </c>
      <c r="F6" s="5">
        <v>7</v>
      </c>
      <c r="G6" s="5">
        <v>1.5</v>
      </c>
      <c r="H6" s="5" t="s">
        <v>170</v>
      </c>
      <c r="I6" s="5">
        <v>17</v>
      </c>
      <c r="J6" s="5">
        <v>146.69999999999999</v>
      </c>
    </row>
    <row r="7" spans="1:28" x14ac:dyDescent="0.25">
      <c r="A7" s="4" t="s">
        <v>205</v>
      </c>
      <c r="B7" s="5">
        <v>3.2</v>
      </c>
      <c r="C7" s="13" t="s">
        <v>167</v>
      </c>
      <c r="D7" s="5">
        <v>13.8</v>
      </c>
      <c r="E7" s="5">
        <v>5</v>
      </c>
      <c r="F7" s="5">
        <v>0.9</v>
      </c>
      <c r="G7" s="13" t="s">
        <v>167</v>
      </c>
      <c r="H7" s="5" t="s">
        <v>170</v>
      </c>
      <c r="I7" s="5">
        <v>15.4</v>
      </c>
      <c r="J7" s="5">
        <v>38.200000000000003</v>
      </c>
    </row>
    <row r="8" spans="1:28" x14ac:dyDescent="0.25">
      <c r="A8" s="4" t="s">
        <v>206</v>
      </c>
      <c r="B8" s="5">
        <v>3.9</v>
      </c>
      <c r="C8" s="5" t="s">
        <v>170</v>
      </c>
      <c r="D8" s="5">
        <v>6.7</v>
      </c>
      <c r="E8" s="5">
        <v>10.1</v>
      </c>
      <c r="F8" s="5">
        <v>0.5</v>
      </c>
      <c r="G8" s="13" t="s">
        <v>167</v>
      </c>
      <c r="H8" s="5" t="s">
        <v>170</v>
      </c>
      <c r="I8" s="5">
        <v>8.8000000000000007</v>
      </c>
      <c r="J8" s="5">
        <v>30</v>
      </c>
    </row>
    <row r="9" spans="1:28" x14ac:dyDescent="0.25">
      <c r="A9" s="77" t="s">
        <v>77</v>
      </c>
      <c r="B9" s="76">
        <v>184.28</v>
      </c>
      <c r="C9" s="76">
        <v>73.86</v>
      </c>
      <c r="D9" s="76">
        <v>289.79000000000002</v>
      </c>
      <c r="E9" s="76">
        <v>73.86</v>
      </c>
      <c r="F9" s="76">
        <v>38.22</v>
      </c>
      <c r="G9" s="76">
        <v>14.32</v>
      </c>
      <c r="H9" s="76">
        <v>17.05</v>
      </c>
      <c r="I9" s="76">
        <v>42.37</v>
      </c>
      <c r="J9" s="76">
        <v>733.74</v>
      </c>
    </row>
    <row r="10" spans="1:28" x14ac:dyDescent="0.25">
      <c r="A10" s="212" t="s">
        <v>13</v>
      </c>
      <c r="B10" s="212"/>
      <c r="C10" s="212"/>
      <c r="D10" s="212"/>
      <c r="E10" s="212"/>
      <c r="F10" s="212"/>
      <c r="G10" s="212"/>
      <c r="H10" s="212"/>
      <c r="I10" s="212"/>
      <c r="J10" s="212"/>
    </row>
    <row r="11" spans="1:28" x14ac:dyDescent="0.25">
      <c r="A11" s="119" t="s">
        <v>221</v>
      </c>
      <c r="B11" s="90"/>
      <c r="C11" s="90"/>
      <c r="D11" s="90"/>
      <c r="E11" s="90"/>
      <c r="F11" s="90"/>
      <c r="G11" s="90"/>
      <c r="H11" s="90"/>
      <c r="I11" s="90"/>
      <c r="J11" s="90"/>
    </row>
    <row r="12" spans="1:28" s="6" customFormat="1" x14ac:dyDescent="0.25">
      <c r="A12" s="6" t="s">
        <v>14</v>
      </c>
      <c r="K12" s="84"/>
      <c r="L12" s="84"/>
      <c r="M12" s="84"/>
      <c r="N12" s="84"/>
      <c r="O12" s="84"/>
      <c r="P12" s="84"/>
      <c r="Q12" s="84"/>
      <c r="R12" s="84"/>
      <c r="S12" s="84"/>
      <c r="T12" s="84"/>
      <c r="U12" s="84"/>
      <c r="V12" s="84"/>
      <c r="W12" s="84"/>
      <c r="X12" s="84"/>
      <c r="Y12" s="84"/>
      <c r="Z12" s="84"/>
      <c r="AA12" s="84"/>
      <c r="AB12" s="84"/>
    </row>
    <row r="13" spans="1:28" s="10" customFormat="1" x14ac:dyDescent="0.25">
      <c r="A13" s="57" t="s">
        <v>18</v>
      </c>
      <c r="K13" s="84"/>
      <c r="L13" s="84"/>
      <c r="M13" s="84"/>
      <c r="N13" s="84"/>
      <c r="O13" s="84"/>
      <c r="P13" s="84"/>
      <c r="Q13" s="84"/>
      <c r="R13" s="84"/>
      <c r="S13" s="84"/>
      <c r="T13" s="84"/>
      <c r="U13" s="84"/>
      <c r="V13" s="84"/>
      <c r="W13" s="84"/>
      <c r="X13" s="84"/>
      <c r="Y13" s="84"/>
      <c r="Z13" s="84"/>
      <c r="AA13" s="84"/>
      <c r="AB13" s="84"/>
    </row>
    <row r="14" spans="1:28" s="6" customFormat="1" x14ac:dyDescent="0.25">
      <c r="A14" s="6" t="s">
        <v>74</v>
      </c>
      <c r="K14" s="84"/>
      <c r="L14" s="84"/>
      <c r="M14" s="84"/>
      <c r="N14" s="84"/>
      <c r="O14" s="84"/>
      <c r="P14" s="84"/>
      <c r="Q14" s="84"/>
      <c r="R14" s="84"/>
      <c r="S14" s="84"/>
      <c r="T14" s="84"/>
      <c r="U14" s="84"/>
      <c r="V14" s="84"/>
      <c r="W14" s="84"/>
      <c r="X14" s="84"/>
      <c r="Y14" s="84"/>
      <c r="Z14" s="84"/>
      <c r="AA14" s="84"/>
      <c r="AB14" s="84"/>
    </row>
    <row r="15" spans="1:28" s="6" customFormat="1" x14ac:dyDescent="0.25">
      <c r="A15" s="6" t="s">
        <v>75</v>
      </c>
      <c r="K15" s="84"/>
      <c r="L15" s="84"/>
      <c r="M15" s="84"/>
      <c r="N15" s="84"/>
      <c r="O15" s="84"/>
      <c r="P15" s="84"/>
      <c r="Q15" s="84"/>
      <c r="R15" s="84"/>
      <c r="S15" s="84"/>
      <c r="T15" s="84"/>
      <c r="U15" s="84"/>
      <c r="V15" s="84"/>
      <c r="W15" s="84"/>
      <c r="X15" s="84"/>
      <c r="Y15" s="84"/>
      <c r="Z15" s="84"/>
      <c r="AA15" s="84"/>
      <c r="AB15" s="84"/>
    </row>
    <row r="16" spans="1:28" s="6" customFormat="1" ht="19.5" customHeight="1" x14ac:dyDescent="0.25">
      <c r="A16" s="199" t="s">
        <v>29</v>
      </c>
      <c r="B16" s="199"/>
      <c r="C16" s="199"/>
      <c r="D16" s="199"/>
      <c r="E16" s="199"/>
      <c r="F16" s="199"/>
      <c r="G16" s="199"/>
      <c r="H16" s="199"/>
      <c r="I16" s="199"/>
      <c r="J16" s="199"/>
      <c r="K16" s="84"/>
      <c r="L16" s="84"/>
      <c r="M16" s="84"/>
      <c r="N16" s="84"/>
      <c r="O16" s="84"/>
      <c r="P16" s="84"/>
      <c r="Q16" s="84"/>
      <c r="R16" s="84"/>
      <c r="S16" s="84"/>
      <c r="T16" s="84"/>
      <c r="U16" s="84"/>
      <c r="V16" s="84"/>
      <c r="W16" s="84"/>
      <c r="X16" s="84"/>
      <c r="Y16" s="84"/>
      <c r="Z16" s="84"/>
      <c r="AA16" s="84"/>
      <c r="AB16" s="84"/>
    </row>
    <row r="17" spans="1:28" s="6" customFormat="1" x14ac:dyDescent="0.25">
      <c r="A17" s="6" t="s">
        <v>16</v>
      </c>
      <c r="K17" s="84"/>
      <c r="L17" s="84"/>
      <c r="M17" s="84"/>
      <c r="N17" s="84"/>
      <c r="O17" s="84"/>
      <c r="P17" s="84"/>
      <c r="Q17" s="84"/>
      <c r="R17" s="84"/>
      <c r="S17" s="84"/>
      <c r="T17" s="84"/>
      <c r="U17" s="84"/>
      <c r="V17" s="84"/>
      <c r="W17" s="84"/>
      <c r="X17" s="84"/>
      <c r="Y17" s="84"/>
      <c r="Z17" s="84"/>
      <c r="AA17" s="84"/>
      <c r="AB17" s="84"/>
    </row>
    <row r="18" spans="1:28" s="6" customFormat="1" x14ac:dyDescent="0.25">
      <c r="A18" s="6" t="s">
        <v>271</v>
      </c>
      <c r="K18" s="84"/>
      <c r="L18" s="84"/>
      <c r="M18" s="84"/>
      <c r="N18" s="84"/>
      <c r="O18" s="84"/>
      <c r="P18" s="84"/>
      <c r="Q18" s="84"/>
      <c r="R18" s="84"/>
      <c r="S18" s="84"/>
      <c r="T18" s="84"/>
      <c r="U18" s="84"/>
      <c r="V18" s="84"/>
      <c r="W18" s="84"/>
      <c r="X18" s="84"/>
      <c r="Y18" s="84"/>
      <c r="Z18" s="84"/>
      <c r="AA18" s="84"/>
      <c r="AB18" s="84"/>
    </row>
    <row r="19" spans="1:28" x14ac:dyDescent="0.25">
      <c r="A19" s="2"/>
    </row>
    <row r="20" spans="1:28" x14ac:dyDescent="0.25">
      <c r="A20" s="198" t="s">
        <v>376</v>
      </c>
      <c r="B20" s="198"/>
      <c r="C20" s="198"/>
      <c r="D20" s="198"/>
      <c r="E20" s="198"/>
      <c r="F20" s="198"/>
      <c r="G20" s="198"/>
      <c r="H20" s="198"/>
      <c r="I20" s="198"/>
      <c r="J20" s="198"/>
    </row>
    <row r="21" spans="1:28" ht="3" customHeight="1" x14ac:dyDescent="0.25">
      <c r="A21" s="2"/>
    </row>
    <row r="22" spans="1:28" x14ac:dyDescent="0.25">
      <c r="A22" s="36" t="s">
        <v>208</v>
      </c>
      <c r="B22" s="3" t="s">
        <v>1</v>
      </c>
      <c r="C22" s="3" t="s">
        <v>2</v>
      </c>
      <c r="D22" s="3" t="s">
        <v>3</v>
      </c>
      <c r="E22" s="3" t="s">
        <v>4</v>
      </c>
      <c r="F22" s="3" t="s">
        <v>5</v>
      </c>
      <c r="G22" s="3" t="s">
        <v>6</v>
      </c>
      <c r="H22" s="3" t="s">
        <v>7</v>
      </c>
      <c r="I22" s="3" t="s">
        <v>8</v>
      </c>
      <c r="J22" s="3" t="s">
        <v>9</v>
      </c>
    </row>
    <row r="23" spans="1:28" x14ac:dyDescent="0.25">
      <c r="A23" s="4" t="s">
        <v>202</v>
      </c>
      <c r="B23" s="13">
        <v>913</v>
      </c>
      <c r="C23" s="125">
        <v>247</v>
      </c>
      <c r="D23" s="13">
        <v>486</v>
      </c>
      <c r="E23" s="125">
        <v>621</v>
      </c>
      <c r="F23" s="125">
        <v>247</v>
      </c>
      <c r="G23" s="5" t="s">
        <v>170</v>
      </c>
      <c r="H23" s="125">
        <v>87</v>
      </c>
      <c r="I23" s="5" t="s">
        <v>170</v>
      </c>
      <c r="J23" s="13">
        <v>2602</v>
      </c>
    </row>
    <row r="24" spans="1:28" x14ac:dyDescent="0.25">
      <c r="A24" s="4" t="s">
        <v>203</v>
      </c>
      <c r="B24" s="13">
        <v>371</v>
      </c>
      <c r="C24" s="125">
        <v>62</v>
      </c>
      <c r="D24" s="13">
        <v>163</v>
      </c>
      <c r="E24" s="125">
        <v>30</v>
      </c>
      <c r="F24" s="125">
        <v>8</v>
      </c>
      <c r="G24" s="125">
        <v>60</v>
      </c>
      <c r="H24" s="125" t="s">
        <v>167</v>
      </c>
      <c r="I24" s="5" t="s">
        <v>170</v>
      </c>
      <c r="J24" s="13">
        <v>694</v>
      </c>
    </row>
    <row r="25" spans="1:28" x14ac:dyDescent="0.25">
      <c r="A25" s="4" t="s">
        <v>204</v>
      </c>
      <c r="B25" s="13">
        <v>76</v>
      </c>
      <c r="C25" s="125">
        <v>4</v>
      </c>
      <c r="D25" s="13">
        <v>296</v>
      </c>
      <c r="E25" s="125">
        <v>59</v>
      </c>
      <c r="F25" s="125">
        <v>41</v>
      </c>
      <c r="G25" s="125">
        <v>9</v>
      </c>
      <c r="H25" s="5" t="s">
        <v>170</v>
      </c>
      <c r="I25" s="125">
        <v>122</v>
      </c>
      <c r="J25" s="13">
        <v>607</v>
      </c>
    </row>
    <row r="26" spans="1:28" x14ac:dyDescent="0.25">
      <c r="A26" s="4" t="s">
        <v>205</v>
      </c>
      <c r="B26" s="13">
        <v>18</v>
      </c>
      <c r="C26" s="125" t="s">
        <v>167</v>
      </c>
      <c r="D26" s="13">
        <v>52</v>
      </c>
      <c r="E26" s="125">
        <v>23</v>
      </c>
      <c r="F26" s="125">
        <v>12</v>
      </c>
      <c r="G26" s="125" t="s">
        <v>167</v>
      </c>
      <c r="H26" s="5" t="s">
        <v>170</v>
      </c>
      <c r="I26" s="125">
        <v>100</v>
      </c>
      <c r="J26" s="13">
        <v>204</v>
      </c>
    </row>
    <row r="27" spans="1:28" x14ac:dyDescent="0.25">
      <c r="A27" s="4" t="s">
        <v>206</v>
      </c>
      <c r="B27" s="13">
        <v>14</v>
      </c>
      <c r="C27" s="5" t="s">
        <v>170</v>
      </c>
      <c r="D27" s="13">
        <v>37</v>
      </c>
      <c r="E27" s="125">
        <v>74</v>
      </c>
      <c r="F27" s="125">
        <v>8</v>
      </c>
      <c r="G27" s="125" t="s">
        <v>167</v>
      </c>
      <c r="H27" s="5" t="s">
        <v>170</v>
      </c>
      <c r="I27" s="125">
        <v>99</v>
      </c>
      <c r="J27" s="13">
        <v>231</v>
      </c>
    </row>
    <row r="28" spans="1:28" x14ac:dyDescent="0.25">
      <c r="A28" s="93" t="s">
        <v>77</v>
      </c>
      <c r="B28" s="76">
        <v>1470</v>
      </c>
      <c r="C28" s="76">
        <v>351</v>
      </c>
      <c r="D28" s="76">
        <v>1055</v>
      </c>
      <c r="E28" s="76">
        <v>809</v>
      </c>
      <c r="F28" s="76">
        <v>339</v>
      </c>
      <c r="G28" s="76">
        <v>70</v>
      </c>
      <c r="H28" s="76">
        <v>99</v>
      </c>
      <c r="I28" s="76">
        <v>330</v>
      </c>
      <c r="J28" s="76">
        <v>4523</v>
      </c>
    </row>
    <row r="29" spans="1:28" x14ac:dyDescent="0.25">
      <c r="A29" s="207" t="s">
        <v>242</v>
      </c>
      <c r="B29" s="207"/>
      <c r="C29" s="207"/>
      <c r="D29" s="207"/>
      <c r="E29" s="207"/>
      <c r="F29" s="207"/>
      <c r="G29" s="207"/>
      <c r="H29" s="207"/>
      <c r="I29" s="207"/>
      <c r="J29" s="207"/>
    </row>
    <row r="30" spans="1:28" s="10" customFormat="1" x14ac:dyDescent="0.25">
      <c r="A30" s="57" t="s">
        <v>18</v>
      </c>
      <c r="D30" s="168"/>
      <c r="K30" s="84"/>
      <c r="L30" s="84"/>
      <c r="M30" s="84"/>
      <c r="N30" s="84"/>
      <c r="O30" s="84"/>
      <c r="P30" s="84"/>
      <c r="Q30" s="84"/>
      <c r="R30" s="84"/>
      <c r="S30" s="84"/>
      <c r="T30" s="84"/>
      <c r="U30" s="84"/>
      <c r="V30" s="84"/>
      <c r="W30" s="84"/>
      <c r="X30" s="84"/>
      <c r="Y30" s="84"/>
      <c r="Z30" s="84"/>
      <c r="AA30" s="84"/>
      <c r="AB30" s="84"/>
    </row>
    <row r="31" spans="1:28" s="6" customFormat="1" x14ac:dyDescent="0.25">
      <c r="A31" s="6" t="s">
        <v>74</v>
      </c>
      <c r="K31" s="84"/>
      <c r="L31" s="84"/>
      <c r="M31" s="84"/>
      <c r="N31" s="84"/>
      <c r="O31" s="84"/>
      <c r="P31" s="84"/>
      <c r="Q31" s="84"/>
      <c r="R31" s="84"/>
      <c r="S31" s="84"/>
      <c r="T31" s="84"/>
      <c r="U31" s="84"/>
      <c r="V31" s="84"/>
      <c r="W31" s="84"/>
      <c r="X31" s="84"/>
      <c r="Y31" s="84"/>
      <c r="Z31" s="84"/>
      <c r="AA31" s="84"/>
      <c r="AB31" s="84"/>
    </row>
    <row r="32" spans="1:28" s="6" customFormat="1" x14ac:dyDescent="0.25">
      <c r="A32" s="6" t="s">
        <v>75</v>
      </c>
      <c r="K32" s="84"/>
      <c r="L32" s="84"/>
      <c r="M32" s="84"/>
      <c r="N32" s="84"/>
      <c r="O32" s="84"/>
      <c r="P32" s="84"/>
      <c r="Q32" s="84"/>
      <c r="R32" s="84"/>
      <c r="S32" s="84"/>
      <c r="T32" s="84"/>
      <c r="U32" s="84"/>
      <c r="V32" s="84"/>
      <c r="W32" s="84"/>
      <c r="X32" s="84"/>
      <c r="Y32" s="84"/>
      <c r="Z32" s="84"/>
      <c r="AA32" s="84"/>
      <c r="AB32" s="84"/>
    </row>
    <row r="33" spans="1:28" s="6" customFormat="1" ht="19.5" customHeight="1" x14ac:dyDescent="0.25">
      <c r="A33" s="199" t="s">
        <v>30</v>
      </c>
      <c r="B33" s="199"/>
      <c r="C33" s="199"/>
      <c r="D33" s="199"/>
      <c r="E33" s="199"/>
      <c r="F33" s="199"/>
      <c r="G33" s="199"/>
      <c r="H33" s="199"/>
      <c r="I33" s="199"/>
      <c r="J33" s="199"/>
      <c r="K33" s="84"/>
      <c r="L33" s="84"/>
      <c r="M33" s="84"/>
      <c r="N33" s="84"/>
      <c r="O33" s="84"/>
      <c r="P33" s="84"/>
      <c r="Q33" s="84"/>
      <c r="R33" s="84"/>
      <c r="S33" s="84"/>
      <c r="T33" s="84"/>
      <c r="U33" s="84"/>
      <c r="V33" s="84"/>
      <c r="W33" s="84"/>
      <c r="X33" s="84"/>
      <c r="Y33" s="84"/>
      <c r="Z33" s="84"/>
      <c r="AA33" s="84"/>
      <c r="AB33" s="84"/>
    </row>
    <row r="34" spans="1:28" s="6" customFormat="1" x14ac:dyDescent="0.25">
      <c r="A34" s="6" t="s">
        <v>16</v>
      </c>
      <c r="K34" s="84"/>
      <c r="L34" s="84"/>
      <c r="M34" s="84"/>
      <c r="N34" s="84"/>
      <c r="O34" s="84"/>
      <c r="P34" s="84"/>
      <c r="Q34" s="84"/>
      <c r="R34" s="84"/>
      <c r="S34" s="84"/>
      <c r="T34" s="84"/>
      <c r="U34" s="84"/>
      <c r="V34" s="84"/>
      <c r="W34" s="84"/>
      <c r="X34" s="84"/>
      <c r="Y34" s="84"/>
      <c r="Z34" s="84"/>
      <c r="AA34" s="84"/>
      <c r="AB34" s="84"/>
    </row>
    <row r="35" spans="1:28" s="6" customFormat="1" x14ac:dyDescent="0.25">
      <c r="A35" s="6" t="s">
        <v>271</v>
      </c>
      <c r="K35" s="84"/>
      <c r="L35" s="84"/>
      <c r="M35" s="84"/>
      <c r="N35" s="84"/>
      <c r="O35" s="84"/>
      <c r="P35" s="84"/>
      <c r="Q35" s="84"/>
      <c r="R35" s="84"/>
      <c r="S35" s="84"/>
      <c r="T35" s="84"/>
      <c r="U35" s="84"/>
      <c r="V35" s="84"/>
      <c r="W35" s="84"/>
      <c r="X35" s="84"/>
      <c r="Y35" s="84"/>
      <c r="Z35" s="84"/>
      <c r="AA35" s="84"/>
      <c r="AB35" s="84"/>
    </row>
    <row r="36" spans="1:28" s="6" customFormat="1" x14ac:dyDescent="0.25">
      <c r="K36" s="84"/>
      <c r="L36" s="84"/>
      <c r="M36" s="84"/>
      <c r="N36" s="84"/>
      <c r="O36" s="84"/>
      <c r="P36" s="84"/>
      <c r="Q36" s="84"/>
      <c r="R36" s="84"/>
      <c r="S36" s="84"/>
      <c r="T36" s="84"/>
      <c r="U36" s="84"/>
      <c r="V36" s="84"/>
      <c r="W36" s="84"/>
      <c r="X36" s="84"/>
      <c r="Y36" s="84"/>
      <c r="Z36" s="84"/>
      <c r="AA36" s="84"/>
      <c r="AB36" s="84"/>
    </row>
    <row r="37" spans="1:28" ht="30.75" customHeight="1" x14ac:dyDescent="0.25">
      <c r="A37" s="209" t="s">
        <v>377</v>
      </c>
      <c r="B37" s="209"/>
      <c r="C37" s="209"/>
      <c r="D37" s="209"/>
      <c r="E37" s="209"/>
      <c r="F37" s="209"/>
      <c r="G37" s="209"/>
      <c r="H37" s="209"/>
      <c r="I37" s="209"/>
      <c r="J37" s="209"/>
    </row>
    <row r="38" spans="1:28" ht="15" hidden="1" customHeight="1" x14ac:dyDescent="0.25">
      <c r="A38" s="2"/>
    </row>
    <row r="39" spans="1:28" x14ac:dyDescent="0.25">
      <c r="A39" s="36" t="s">
        <v>208</v>
      </c>
      <c r="B39" s="3" t="s">
        <v>1</v>
      </c>
      <c r="C39" s="3" t="s">
        <v>2</v>
      </c>
      <c r="D39" s="3" t="s">
        <v>3</v>
      </c>
      <c r="E39" s="3" t="s">
        <v>4</v>
      </c>
      <c r="F39" s="3" t="s">
        <v>5</v>
      </c>
      <c r="G39" s="3" t="s">
        <v>6</v>
      </c>
      <c r="H39" s="3" t="s">
        <v>7</v>
      </c>
      <c r="I39" s="3" t="s">
        <v>8</v>
      </c>
      <c r="J39" s="3" t="s">
        <v>9</v>
      </c>
    </row>
    <row r="40" spans="1:28" x14ac:dyDescent="0.25">
      <c r="A40" s="4" t="s">
        <v>202</v>
      </c>
      <c r="B40" s="5">
        <v>1.679</v>
      </c>
      <c r="C40" s="155">
        <v>0.95899999999999996</v>
      </c>
      <c r="D40" s="5">
        <v>3.3410000000000002</v>
      </c>
      <c r="E40" s="155">
        <v>1.9039999999999999</v>
      </c>
      <c r="F40" s="155">
        <v>2.0739999999999998</v>
      </c>
      <c r="G40" s="155" t="s">
        <v>170</v>
      </c>
      <c r="H40" s="155">
        <v>4.5979999999999999</v>
      </c>
      <c r="I40" s="155" t="s">
        <v>170</v>
      </c>
      <c r="J40" s="5">
        <v>1.919</v>
      </c>
    </row>
    <row r="41" spans="1:28" x14ac:dyDescent="0.25">
      <c r="A41" s="4" t="s">
        <v>203</v>
      </c>
      <c r="B41" s="5">
        <v>3.262</v>
      </c>
      <c r="C41" s="155">
        <v>1.1020000000000001</v>
      </c>
      <c r="D41" s="5">
        <v>3.9350000000000001</v>
      </c>
      <c r="E41" s="155">
        <v>1.599</v>
      </c>
      <c r="F41" s="155">
        <v>0.40300000000000002</v>
      </c>
      <c r="G41" s="155">
        <v>3.8210000000000002</v>
      </c>
      <c r="H41" s="155" t="s">
        <v>167</v>
      </c>
      <c r="I41" s="155" t="s">
        <v>170</v>
      </c>
      <c r="J41" s="5">
        <v>2.6949999999999998</v>
      </c>
    </row>
    <row r="42" spans="1:28" x14ac:dyDescent="0.25">
      <c r="A42" s="4" t="s">
        <v>204</v>
      </c>
      <c r="B42" s="5">
        <v>3.855</v>
      </c>
      <c r="C42" s="155">
        <v>0.53200000000000003</v>
      </c>
      <c r="D42" s="5">
        <v>12.148999999999999</v>
      </c>
      <c r="E42" s="155">
        <v>4.5709999999999997</v>
      </c>
      <c r="F42" s="155">
        <v>3.41</v>
      </c>
      <c r="G42" s="155">
        <v>0.753</v>
      </c>
      <c r="H42" s="155" t="s">
        <v>170</v>
      </c>
      <c r="I42" s="155">
        <v>11.129</v>
      </c>
      <c r="J42" s="5">
        <v>6.694</v>
      </c>
    </row>
    <row r="43" spans="1:28" x14ac:dyDescent="0.25">
      <c r="A43" s="4" t="s">
        <v>205</v>
      </c>
      <c r="B43" s="5">
        <v>11.381</v>
      </c>
      <c r="C43" s="155" t="s">
        <v>167</v>
      </c>
      <c r="D43" s="5">
        <v>18.581</v>
      </c>
      <c r="E43" s="155">
        <v>4.8860000000000001</v>
      </c>
      <c r="F43" s="155">
        <v>1.883</v>
      </c>
      <c r="G43" s="155" t="s">
        <v>167</v>
      </c>
      <c r="H43" s="155" t="s">
        <v>170</v>
      </c>
      <c r="I43" s="155">
        <v>27.242999999999999</v>
      </c>
      <c r="J43" s="5">
        <v>12.128</v>
      </c>
    </row>
    <row r="44" spans="1:28" x14ac:dyDescent="0.25">
      <c r="A44" s="4" t="s">
        <v>206</v>
      </c>
      <c r="B44" s="5">
        <v>51.758000000000003</v>
      </c>
      <c r="C44" s="155" t="s">
        <v>170</v>
      </c>
      <c r="D44" s="5">
        <v>11.426</v>
      </c>
      <c r="E44" s="155">
        <v>16.385999999999999</v>
      </c>
      <c r="F44" s="155">
        <v>3.2639999999999998</v>
      </c>
      <c r="G44" s="155" t="s">
        <v>167</v>
      </c>
      <c r="H44" s="155" t="s">
        <v>170</v>
      </c>
      <c r="I44" s="155">
        <v>13.977</v>
      </c>
      <c r="J44" s="5">
        <v>14.443</v>
      </c>
    </row>
    <row r="45" spans="1:28" ht="3.75" customHeight="1" x14ac:dyDescent="0.25">
      <c r="A45" s="153"/>
      <c r="B45" s="156"/>
      <c r="C45" s="156"/>
      <c r="D45" s="156"/>
      <c r="E45" s="156"/>
      <c r="F45" s="156"/>
      <c r="G45" s="156"/>
      <c r="H45" s="156"/>
      <c r="I45" s="156"/>
      <c r="J45" s="156"/>
    </row>
    <row r="46" spans="1:28" ht="1.5" customHeight="1" x14ac:dyDescent="0.25">
      <c r="A46" s="151"/>
      <c r="B46" s="152"/>
      <c r="C46" s="152"/>
      <c r="D46" s="152"/>
      <c r="E46" s="152"/>
      <c r="F46" s="152"/>
      <c r="G46" s="152"/>
      <c r="H46" s="152"/>
      <c r="I46" s="152"/>
      <c r="J46" s="152"/>
    </row>
    <row r="47" spans="1:28" x14ac:dyDescent="0.25">
      <c r="A47" s="6" t="s">
        <v>222</v>
      </c>
      <c r="B47" s="6"/>
      <c r="C47" s="6"/>
      <c r="D47" s="6"/>
      <c r="E47" s="6"/>
      <c r="F47" s="6"/>
      <c r="G47" s="6"/>
      <c r="H47" s="6"/>
      <c r="I47" s="6"/>
      <c r="J47" s="6"/>
    </row>
    <row r="48" spans="1:28" s="10" customFormat="1" x14ac:dyDescent="0.25">
      <c r="A48" s="6" t="s">
        <v>18</v>
      </c>
      <c r="B48" s="6"/>
      <c r="C48" s="6"/>
      <c r="D48" s="6"/>
      <c r="E48" s="6"/>
      <c r="F48" s="6"/>
      <c r="G48" s="6"/>
      <c r="H48" s="6"/>
      <c r="I48" s="6"/>
      <c r="J48" s="6"/>
      <c r="K48" s="84"/>
      <c r="L48" s="84"/>
      <c r="M48" s="84"/>
      <c r="N48" s="84"/>
      <c r="O48" s="84"/>
      <c r="P48" s="84"/>
      <c r="Q48" s="84"/>
      <c r="R48" s="84"/>
      <c r="S48" s="84"/>
      <c r="T48" s="84"/>
      <c r="U48" s="84"/>
      <c r="V48" s="84"/>
      <c r="W48" s="84"/>
      <c r="X48" s="84"/>
      <c r="Y48" s="84"/>
      <c r="Z48" s="84"/>
      <c r="AA48" s="84"/>
      <c r="AB48" s="84"/>
    </row>
    <row r="49" spans="1:28" s="6" customFormat="1" ht="9" customHeight="1" x14ac:dyDescent="0.25">
      <c r="A49" s="6" t="s">
        <v>74</v>
      </c>
      <c r="K49" s="84"/>
      <c r="L49" s="84"/>
      <c r="M49" s="84"/>
      <c r="N49" s="84"/>
      <c r="O49" s="84"/>
      <c r="P49" s="84"/>
      <c r="Q49" s="84"/>
      <c r="R49" s="84"/>
      <c r="S49" s="84"/>
      <c r="T49" s="84"/>
      <c r="U49" s="84"/>
      <c r="V49" s="84"/>
      <c r="W49" s="84"/>
      <c r="X49" s="84"/>
      <c r="Y49" s="84"/>
      <c r="Z49" s="84"/>
      <c r="AA49" s="84"/>
      <c r="AB49" s="84"/>
    </row>
    <row r="50" spans="1:28" s="6" customFormat="1" x14ac:dyDescent="0.25">
      <c r="A50" s="6" t="s">
        <v>75</v>
      </c>
      <c r="K50" s="84"/>
      <c r="L50" s="84"/>
      <c r="M50" s="84"/>
      <c r="N50" s="84"/>
      <c r="O50" s="84"/>
      <c r="P50" s="84"/>
      <c r="Q50" s="84"/>
      <c r="R50" s="84"/>
      <c r="S50" s="84"/>
      <c r="T50" s="84"/>
      <c r="U50" s="84"/>
      <c r="V50" s="84"/>
      <c r="W50" s="84"/>
      <c r="X50" s="84"/>
      <c r="Y50" s="84"/>
      <c r="Z50" s="84"/>
      <c r="AA50" s="84"/>
      <c r="AB50" s="84"/>
    </row>
    <row r="51" spans="1:28" s="6" customFormat="1" ht="19.5" customHeight="1" x14ac:dyDescent="0.25">
      <c r="A51" s="6" t="s">
        <v>29</v>
      </c>
      <c r="K51" s="84"/>
      <c r="L51" s="84"/>
      <c r="M51" s="84"/>
      <c r="N51" s="84"/>
      <c r="O51" s="84"/>
      <c r="P51" s="84"/>
      <c r="Q51" s="84"/>
      <c r="R51" s="84"/>
      <c r="S51" s="84"/>
      <c r="T51" s="84"/>
      <c r="U51" s="84"/>
      <c r="V51" s="84"/>
      <c r="W51" s="84"/>
      <c r="X51" s="84"/>
      <c r="Y51" s="84"/>
      <c r="Z51" s="84"/>
      <c r="AA51" s="84"/>
      <c r="AB51" s="84"/>
    </row>
    <row r="52" spans="1:28" s="6" customFormat="1" ht="10.5" customHeight="1" x14ac:dyDescent="0.25">
      <c r="A52" s="6" t="s">
        <v>62</v>
      </c>
      <c r="K52" s="84"/>
      <c r="L52" s="84"/>
      <c r="M52" s="84"/>
      <c r="N52" s="84"/>
      <c r="O52" s="84"/>
      <c r="P52" s="84"/>
      <c r="Q52" s="84"/>
      <c r="R52" s="84"/>
      <c r="S52" s="84"/>
      <c r="T52" s="84"/>
      <c r="U52" s="84"/>
      <c r="V52" s="84"/>
      <c r="W52" s="84"/>
      <c r="X52" s="84"/>
      <c r="Y52" s="84"/>
      <c r="Z52" s="84"/>
      <c r="AA52" s="84"/>
      <c r="AB52" s="84"/>
    </row>
    <row r="53" spans="1:28" s="6" customFormat="1" x14ac:dyDescent="0.25">
      <c r="A53" s="6" t="s">
        <v>290</v>
      </c>
      <c r="K53" s="84"/>
      <c r="L53" s="84"/>
      <c r="M53" s="84"/>
      <c r="N53" s="84"/>
      <c r="O53" s="84"/>
      <c r="P53" s="84"/>
      <c r="Q53" s="84"/>
      <c r="R53" s="84"/>
      <c r="S53" s="84"/>
      <c r="T53" s="84"/>
      <c r="U53" s="84"/>
      <c r="V53" s="84"/>
      <c r="W53" s="84"/>
      <c r="X53" s="84"/>
      <c r="Y53" s="84"/>
      <c r="Z53" s="84"/>
      <c r="AA53" s="84"/>
      <c r="AB53" s="84"/>
    </row>
    <row r="54" spans="1:28" s="6" customFormat="1" x14ac:dyDescent="0.25">
      <c r="A54" s="6" t="s">
        <v>16</v>
      </c>
      <c r="K54" s="84"/>
      <c r="L54" s="84"/>
      <c r="M54" s="84"/>
      <c r="N54" s="84"/>
      <c r="O54" s="84"/>
      <c r="P54" s="84"/>
      <c r="Q54" s="84"/>
      <c r="R54" s="84"/>
      <c r="S54" s="84"/>
      <c r="T54" s="84"/>
      <c r="U54" s="84"/>
      <c r="V54" s="84"/>
      <c r="W54" s="84"/>
      <c r="X54" s="84"/>
      <c r="Y54" s="84"/>
      <c r="Z54" s="84"/>
      <c r="AA54" s="84"/>
      <c r="AB54" s="84"/>
    </row>
    <row r="55" spans="1:28" s="10" customFormat="1" x14ac:dyDescent="0.25">
      <c r="A55" s="6" t="s">
        <v>257</v>
      </c>
      <c r="B55" s="6"/>
      <c r="C55" s="6"/>
      <c r="D55" s="6"/>
      <c r="E55" s="6"/>
      <c r="F55" s="6"/>
      <c r="G55" s="6"/>
      <c r="H55" s="6"/>
      <c r="I55" s="6"/>
      <c r="J55" s="6"/>
      <c r="K55" s="84"/>
      <c r="L55" s="84"/>
      <c r="M55" s="84"/>
      <c r="N55" s="84"/>
      <c r="O55" s="84"/>
      <c r="P55" s="84"/>
      <c r="Q55" s="84"/>
      <c r="R55" s="84"/>
      <c r="S55" s="84"/>
      <c r="T55" s="84"/>
      <c r="U55" s="84"/>
      <c r="V55" s="84"/>
      <c r="W55" s="84"/>
      <c r="X55" s="84"/>
      <c r="Y55" s="84"/>
      <c r="Z55" s="84"/>
      <c r="AA55" s="84"/>
      <c r="AB55" s="84"/>
    </row>
    <row r="56" spans="1:28" s="10" customFormat="1" x14ac:dyDescent="0.25">
      <c r="A56" s="6"/>
      <c r="B56" s="6"/>
      <c r="C56" s="6"/>
      <c r="D56" s="6"/>
      <c r="E56" s="6"/>
      <c r="F56" s="6"/>
      <c r="G56" s="6"/>
      <c r="H56" s="6"/>
      <c r="I56" s="6"/>
      <c r="J56" s="6"/>
      <c r="K56" s="84"/>
      <c r="L56" s="84"/>
      <c r="M56" s="84"/>
      <c r="N56" s="84"/>
      <c r="O56" s="84"/>
      <c r="P56" s="84"/>
      <c r="Q56" s="84"/>
      <c r="R56" s="84"/>
      <c r="S56" s="84"/>
      <c r="T56" s="84"/>
      <c r="U56" s="84"/>
      <c r="V56" s="84"/>
      <c r="W56" s="84"/>
      <c r="X56" s="84"/>
      <c r="Y56" s="84"/>
      <c r="Z56" s="84"/>
      <c r="AA56" s="84"/>
      <c r="AB56" s="84"/>
    </row>
    <row r="57" spans="1:28" ht="27.75" customHeight="1" x14ac:dyDescent="0.25">
      <c r="A57" s="198" t="s">
        <v>378</v>
      </c>
      <c r="B57" s="198"/>
      <c r="C57" s="198"/>
      <c r="D57" s="198"/>
      <c r="E57" s="198"/>
      <c r="F57" s="198"/>
      <c r="G57" s="198"/>
      <c r="H57" s="198"/>
      <c r="I57" s="198"/>
      <c r="J57" s="198"/>
    </row>
    <row r="58" spans="1:28" ht="3" customHeight="1" x14ac:dyDescent="0.25">
      <c r="A58" s="2"/>
    </row>
    <row r="59" spans="1:28" x14ac:dyDescent="0.25">
      <c r="A59" s="36" t="s">
        <v>208</v>
      </c>
      <c r="B59" s="3" t="s">
        <v>1</v>
      </c>
      <c r="C59" s="3" t="s">
        <v>2</v>
      </c>
      <c r="D59" s="3" t="s">
        <v>3</v>
      </c>
      <c r="E59" s="3" t="s">
        <v>4</v>
      </c>
      <c r="F59" s="3" t="s">
        <v>5</v>
      </c>
      <c r="G59" s="3" t="s">
        <v>6</v>
      </c>
      <c r="H59" s="3" t="s">
        <v>7</v>
      </c>
      <c r="I59" s="3" t="s">
        <v>8</v>
      </c>
      <c r="J59" s="3" t="s">
        <v>9</v>
      </c>
    </row>
    <row r="60" spans="1:28" x14ac:dyDescent="0.25">
      <c r="A60" s="4" t="s">
        <v>202</v>
      </c>
      <c r="B60" s="5">
        <v>14.769</v>
      </c>
      <c r="C60" s="155">
        <v>4.8440000000000003</v>
      </c>
      <c r="D60" s="5">
        <v>12.988</v>
      </c>
      <c r="E60" s="155">
        <v>26.541</v>
      </c>
      <c r="F60" s="155">
        <v>18.542000000000002</v>
      </c>
      <c r="G60" s="155" t="s">
        <v>170</v>
      </c>
      <c r="H60" s="155">
        <v>26.277999999999999</v>
      </c>
      <c r="I60" s="155" t="s">
        <v>170</v>
      </c>
      <c r="J60" s="5">
        <v>13.669</v>
      </c>
    </row>
    <row r="61" spans="1:28" x14ac:dyDescent="0.25">
      <c r="A61" s="4" t="s">
        <v>203</v>
      </c>
      <c r="B61" s="5">
        <v>22.445</v>
      </c>
      <c r="C61" s="155">
        <v>4.8410000000000002</v>
      </c>
      <c r="D61" s="5">
        <v>14.1</v>
      </c>
      <c r="E61" s="155">
        <v>11.13</v>
      </c>
      <c r="F61" s="155">
        <v>4.6180000000000003</v>
      </c>
      <c r="G61" s="155">
        <v>17.89</v>
      </c>
      <c r="H61" s="155" t="s">
        <v>167</v>
      </c>
      <c r="I61" s="155" t="s">
        <v>170</v>
      </c>
      <c r="J61" s="5">
        <v>14.25</v>
      </c>
    </row>
    <row r="62" spans="1:28" x14ac:dyDescent="0.25">
      <c r="A62" s="4" t="s">
        <v>204</v>
      </c>
      <c r="B62" s="5">
        <v>18.908999999999999</v>
      </c>
      <c r="C62" s="155" t="s">
        <v>167</v>
      </c>
      <c r="D62" s="5">
        <v>37.868000000000002</v>
      </c>
      <c r="E62" s="155">
        <v>28.468</v>
      </c>
      <c r="F62" s="155">
        <v>20.105</v>
      </c>
      <c r="G62" s="155">
        <v>4.4969999999999999</v>
      </c>
      <c r="H62" s="155" t="s">
        <v>170</v>
      </c>
      <c r="I62" s="155">
        <v>80.245000000000005</v>
      </c>
      <c r="J62" s="5">
        <v>27.710999999999999</v>
      </c>
    </row>
    <row r="63" spans="1:28" x14ac:dyDescent="0.25">
      <c r="A63" s="4" t="s">
        <v>205</v>
      </c>
      <c r="B63" s="5">
        <v>65.067999999999998</v>
      </c>
      <c r="C63" s="155" t="s">
        <v>167</v>
      </c>
      <c r="D63" s="5">
        <v>69.727000000000004</v>
      </c>
      <c r="E63" s="155">
        <v>22.023</v>
      </c>
      <c r="F63" s="155">
        <v>26.495999999999999</v>
      </c>
      <c r="G63" s="155" t="s">
        <v>167</v>
      </c>
      <c r="H63" s="155" t="s">
        <v>170</v>
      </c>
      <c r="I63" s="155">
        <v>176.791</v>
      </c>
      <c r="J63" s="5">
        <v>64.84</v>
      </c>
    </row>
    <row r="64" spans="1:28" x14ac:dyDescent="0.25">
      <c r="A64" s="4" t="s">
        <v>206</v>
      </c>
      <c r="B64" s="5">
        <v>185.124</v>
      </c>
      <c r="C64" s="155" t="s">
        <v>170</v>
      </c>
      <c r="D64" s="5">
        <v>62.783000000000001</v>
      </c>
      <c r="E64" s="155">
        <v>119.443</v>
      </c>
      <c r="F64" s="155">
        <v>56.176000000000002</v>
      </c>
      <c r="G64" s="155" t="s">
        <v>167</v>
      </c>
      <c r="H64" s="155" t="s">
        <v>170</v>
      </c>
      <c r="I64" s="155">
        <v>156.773</v>
      </c>
      <c r="J64" s="5">
        <v>111.56399999999999</v>
      </c>
    </row>
    <row r="65" spans="1:28" ht="3.75" customHeight="1" x14ac:dyDescent="0.25">
      <c r="A65" s="153"/>
      <c r="B65" s="154"/>
      <c r="C65" s="154"/>
      <c r="D65" s="154"/>
      <c r="E65" s="154"/>
      <c r="F65" s="154"/>
      <c r="G65" s="154"/>
      <c r="H65" s="154"/>
      <c r="I65" s="154"/>
      <c r="J65" s="154"/>
    </row>
    <row r="66" spans="1:28" ht="2.25" customHeight="1" x14ac:dyDescent="0.25">
      <c r="A66" s="151"/>
      <c r="B66" s="152"/>
      <c r="C66" s="152"/>
      <c r="D66" s="152"/>
      <c r="E66" s="152"/>
      <c r="F66" s="152"/>
      <c r="G66" s="152"/>
      <c r="H66" s="152"/>
      <c r="I66" s="152"/>
      <c r="J66" s="152"/>
    </row>
    <row r="67" spans="1:28" ht="15" customHeight="1" x14ac:dyDescent="0.25">
      <c r="A67" s="6" t="s">
        <v>222</v>
      </c>
      <c r="B67" s="6"/>
      <c r="C67" s="6"/>
      <c r="D67" s="6"/>
      <c r="E67" s="6"/>
      <c r="F67" s="6"/>
      <c r="G67" s="6"/>
      <c r="H67" s="6"/>
      <c r="I67" s="6"/>
      <c r="J67" s="6"/>
    </row>
    <row r="68" spans="1:28" s="10" customFormat="1" x14ac:dyDescent="0.25">
      <c r="A68" s="6" t="s">
        <v>18</v>
      </c>
      <c r="B68" s="6"/>
      <c r="C68" s="6"/>
      <c r="D68" s="6"/>
      <c r="E68" s="6"/>
      <c r="F68" s="6"/>
      <c r="G68" s="6"/>
      <c r="H68" s="6"/>
      <c r="I68" s="6"/>
      <c r="J68" s="6"/>
      <c r="K68" s="84"/>
      <c r="L68" s="84"/>
      <c r="M68" s="84"/>
      <c r="N68" s="84"/>
      <c r="O68" s="84"/>
      <c r="P68" s="84"/>
      <c r="Q68" s="84"/>
      <c r="R68" s="84"/>
      <c r="S68" s="84"/>
      <c r="T68" s="84"/>
      <c r="U68" s="84"/>
      <c r="V68" s="84"/>
      <c r="W68" s="84"/>
      <c r="X68" s="84"/>
      <c r="Y68" s="84"/>
      <c r="Z68" s="84"/>
      <c r="AA68" s="84"/>
      <c r="AB68" s="84"/>
    </row>
    <row r="69" spans="1:28" s="6" customFormat="1" x14ac:dyDescent="0.25">
      <c r="A69" s="6" t="s">
        <v>74</v>
      </c>
      <c r="K69" s="84"/>
      <c r="L69" s="84"/>
      <c r="M69" s="84"/>
      <c r="N69" s="84"/>
      <c r="O69" s="84"/>
      <c r="P69" s="84"/>
      <c r="Q69" s="84"/>
      <c r="R69" s="84"/>
      <c r="S69" s="84"/>
      <c r="T69" s="84"/>
      <c r="U69" s="84"/>
      <c r="V69" s="84"/>
      <c r="W69" s="84"/>
      <c r="X69" s="84"/>
      <c r="Y69" s="84"/>
      <c r="Z69" s="84"/>
      <c r="AA69" s="84"/>
      <c r="AB69" s="84"/>
    </row>
    <row r="70" spans="1:28" s="6" customFormat="1" ht="9.75" customHeight="1" x14ac:dyDescent="0.25">
      <c r="A70" s="6" t="s">
        <v>75</v>
      </c>
      <c r="K70" s="84"/>
      <c r="L70" s="84"/>
      <c r="M70" s="84"/>
      <c r="N70" s="84"/>
      <c r="O70" s="84"/>
      <c r="P70" s="84"/>
      <c r="Q70" s="84"/>
      <c r="R70" s="84"/>
      <c r="S70" s="84"/>
      <c r="T70" s="84"/>
      <c r="U70" s="84"/>
      <c r="V70" s="84"/>
      <c r="W70" s="84"/>
      <c r="X70" s="84"/>
      <c r="Y70" s="84"/>
      <c r="Z70" s="84"/>
      <c r="AA70" s="84"/>
      <c r="AB70" s="84"/>
    </row>
    <row r="71" spans="1:28" s="6" customFormat="1" ht="18.75" customHeight="1" x14ac:dyDescent="0.25">
      <c r="A71" s="6" t="s">
        <v>30</v>
      </c>
      <c r="K71" s="84"/>
      <c r="L71" s="84"/>
      <c r="M71" s="84"/>
      <c r="N71" s="84"/>
      <c r="O71" s="84"/>
      <c r="P71" s="84"/>
      <c r="Q71" s="84"/>
      <c r="R71" s="84"/>
      <c r="S71" s="84"/>
      <c r="T71" s="84"/>
      <c r="U71" s="84"/>
      <c r="V71" s="84"/>
      <c r="W71" s="84"/>
      <c r="X71" s="84"/>
      <c r="Y71" s="84"/>
      <c r="Z71" s="84"/>
      <c r="AA71" s="84"/>
      <c r="AB71" s="84"/>
    </row>
    <row r="72" spans="1:28" s="6" customFormat="1" x14ac:dyDescent="0.25">
      <c r="A72" s="6" t="s">
        <v>62</v>
      </c>
      <c r="K72" s="84"/>
      <c r="L72" s="84"/>
      <c r="M72" s="84"/>
      <c r="N72" s="84"/>
      <c r="O72" s="84"/>
      <c r="P72" s="84"/>
      <c r="Q72" s="84"/>
      <c r="R72" s="84"/>
      <c r="S72" s="84"/>
      <c r="T72" s="84"/>
      <c r="U72" s="84"/>
      <c r="V72" s="84"/>
      <c r="W72" s="84"/>
      <c r="X72" s="84"/>
      <c r="Y72" s="84"/>
      <c r="Z72" s="84"/>
      <c r="AA72" s="84"/>
      <c r="AB72" s="84"/>
    </row>
    <row r="73" spans="1:28" s="6" customFormat="1" x14ac:dyDescent="0.25">
      <c r="A73" s="6" t="s">
        <v>63</v>
      </c>
      <c r="K73" s="84"/>
      <c r="L73" s="84"/>
      <c r="M73" s="84"/>
      <c r="N73" s="84"/>
      <c r="O73" s="84"/>
      <c r="P73" s="84"/>
      <c r="Q73" s="84"/>
      <c r="R73" s="84"/>
      <c r="S73" s="84"/>
      <c r="T73" s="84"/>
      <c r="U73" s="84"/>
      <c r="V73" s="84"/>
      <c r="W73" s="84"/>
      <c r="X73" s="84"/>
      <c r="Y73" s="84"/>
      <c r="Z73" s="84"/>
      <c r="AA73" s="84"/>
      <c r="AB73" s="84"/>
    </row>
    <row r="74" spans="1:28" s="6" customFormat="1" x14ac:dyDescent="0.25">
      <c r="A74" s="6" t="s">
        <v>444</v>
      </c>
      <c r="K74" s="84"/>
      <c r="L74" s="84"/>
      <c r="M74" s="84"/>
      <c r="N74" s="84"/>
      <c r="O74" s="84"/>
      <c r="P74" s="84"/>
      <c r="Q74" s="84"/>
      <c r="R74" s="84"/>
      <c r="S74" s="84"/>
      <c r="T74" s="84"/>
      <c r="U74" s="84"/>
      <c r="V74" s="84"/>
      <c r="W74" s="84"/>
      <c r="X74" s="84"/>
      <c r="Y74" s="84"/>
      <c r="Z74" s="84"/>
      <c r="AA74" s="84"/>
      <c r="AB74" s="84"/>
    </row>
    <row r="75" spans="1:28" s="10" customFormat="1" x14ac:dyDescent="0.25">
      <c r="A75" s="6" t="s">
        <v>16</v>
      </c>
      <c r="B75" s="6"/>
      <c r="C75" s="6"/>
      <c r="D75" s="6"/>
      <c r="E75" s="6"/>
      <c r="F75" s="6"/>
      <c r="G75" s="6"/>
      <c r="H75" s="6"/>
      <c r="I75" s="6"/>
      <c r="J75" s="6"/>
      <c r="K75" s="84"/>
      <c r="L75" s="84"/>
      <c r="M75" s="84"/>
      <c r="N75" s="84"/>
      <c r="O75" s="84"/>
      <c r="P75" s="84"/>
      <c r="Q75" s="84"/>
      <c r="R75" s="84"/>
      <c r="S75" s="84"/>
      <c r="T75" s="84"/>
      <c r="U75" s="84"/>
      <c r="V75" s="84"/>
      <c r="W75" s="84"/>
      <c r="X75" s="84"/>
      <c r="Y75" s="84"/>
      <c r="Z75" s="84"/>
      <c r="AA75" s="84"/>
      <c r="AB75" s="84"/>
    </row>
    <row r="76" spans="1:28" s="6" customFormat="1" x14ac:dyDescent="0.25">
      <c r="A76" s="6" t="s">
        <v>258</v>
      </c>
      <c r="K76" s="84"/>
      <c r="L76" s="84"/>
      <c r="M76" s="84"/>
      <c r="N76" s="84"/>
      <c r="O76" s="84"/>
      <c r="P76" s="84"/>
      <c r="Q76" s="84"/>
      <c r="R76" s="84"/>
      <c r="S76" s="84"/>
      <c r="T76" s="84"/>
      <c r="U76" s="84"/>
      <c r="V76" s="84"/>
      <c r="W76" s="84"/>
      <c r="X76" s="84"/>
      <c r="Y76" s="84"/>
      <c r="Z76" s="84"/>
      <c r="AA76" s="84"/>
      <c r="AB76" s="84"/>
    </row>
    <row r="77" spans="1:28" s="6" customFormat="1" x14ac:dyDescent="0.25">
      <c r="K77" s="84"/>
      <c r="L77" s="84"/>
      <c r="M77" s="84"/>
      <c r="N77" s="84"/>
      <c r="O77" s="84"/>
      <c r="P77" s="84"/>
      <c r="Q77" s="84"/>
      <c r="R77" s="84"/>
      <c r="S77" s="84"/>
      <c r="T77" s="84"/>
      <c r="U77" s="84"/>
      <c r="V77" s="84"/>
      <c r="W77" s="84"/>
      <c r="X77" s="84"/>
      <c r="Y77" s="84"/>
      <c r="Z77" s="84"/>
      <c r="AA77" s="84"/>
      <c r="AB77" s="84"/>
    </row>
    <row r="78" spans="1:28" s="10" customFormat="1" x14ac:dyDescent="0.25">
      <c r="A78" s="6"/>
      <c r="B78" s="6"/>
      <c r="C78" s="6"/>
      <c r="D78" s="6"/>
      <c r="E78" s="6"/>
      <c r="F78" s="6"/>
      <c r="G78" s="6"/>
      <c r="H78" s="6"/>
      <c r="I78" s="6"/>
      <c r="J78" s="6"/>
      <c r="K78" s="84"/>
      <c r="L78" s="84"/>
      <c r="M78" s="84"/>
      <c r="N78" s="84"/>
      <c r="O78" s="84"/>
      <c r="P78" s="84"/>
      <c r="Q78" s="84"/>
      <c r="R78" s="84"/>
      <c r="S78" s="84"/>
      <c r="T78" s="84"/>
      <c r="U78" s="84"/>
      <c r="V78" s="84"/>
      <c r="W78" s="84"/>
      <c r="X78" s="84"/>
      <c r="Y78" s="84"/>
      <c r="Z78" s="84"/>
      <c r="AA78" s="84"/>
      <c r="AB78" s="84"/>
    </row>
    <row r="79" spans="1:28" s="6" customFormat="1" x14ac:dyDescent="0.25">
      <c r="K79" s="84"/>
      <c r="L79" s="84"/>
      <c r="M79" s="84"/>
      <c r="N79" s="84"/>
      <c r="O79" s="84"/>
      <c r="P79" s="84"/>
      <c r="Q79" s="84"/>
      <c r="R79" s="84"/>
      <c r="S79" s="84"/>
      <c r="T79" s="84"/>
      <c r="U79" s="84"/>
      <c r="V79" s="84"/>
      <c r="W79" s="84"/>
      <c r="X79" s="84"/>
      <c r="Y79" s="84"/>
      <c r="Z79" s="84"/>
      <c r="AA79" s="84"/>
      <c r="AB79" s="84"/>
    </row>
    <row r="80" spans="1:28" s="6" customFormat="1" x14ac:dyDescent="0.25">
      <c r="K80" s="84"/>
      <c r="L80" s="84"/>
      <c r="M80" s="84"/>
      <c r="N80" s="84"/>
      <c r="O80" s="84"/>
      <c r="P80" s="84"/>
      <c r="Q80" s="84"/>
      <c r="R80" s="84"/>
      <c r="S80" s="84"/>
      <c r="T80" s="84"/>
      <c r="U80" s="84"/>
      <c r="V80" s="84"/>
      <c r="W80" s="84"/>
      <c r="X80" s="84"/>
      <c r="Y80" s="84"/>
      <c r="Z80" s="84"/>
      <c r="AA80" s="84"/>
      <c r="AB80" s="84"/>
    </row>
  </sheetData>
  <mergeCells count="8">
    <mergeCell ref="A37:J37"/>
    <mergeCell ref="A57:J57"/>
    <mergeCell ref="A29:J29"/>
    <mergeCell ref="A1:J1"/>
    <mergeCell ref="A10:J10"/>
    <mergeCell ref="A16:J16"/>
    <mergeCell ref="A33:J33"/>
    <mergeCell ref="A20:J20"/>
  </mergeCells>
  <pageMargins left="0.08" right="0.08" top="1" bottom="1" header="0.5" footer="0.5"/>
  <pageSetup orientation="landscape" blackAndWhite="1"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T61"/>
  <sheetViews>
    <sheetView topLeftCell="A43" zoomScaleNormal="100" workbookViewId="0">
      <selection activeCell="D45" sqref="D45"/>
    </sheetView>
  </sheetViews>
  <sheetFormatPr defaultColWidth="9.140625" defaultRowHeight="15" x14ac:dyDescent="0.25"/>
  <cols>
    <col min="1" max="1" width="16.42578125" style="1" customWidth="1"/>
    <col min="2" max="2" width="22.42578125" style="1" customWidth="1"/>
    <col min="3" max="8" width="11.42578125" style="1" bestFit="1" customWidth="1"/>
    <col min="9" max="16384" width="9.140625" style="1"/>
  </cols>
  <sheetData>
    <row r="1" spans="1:11" ht="30" customHeight="1" x14ac:dyDescent="0.25">
      <c r="A1" s="217" t="s">
        <v>339</v>
      </c>
      <c r="B1" s="218"/>
      <c r="C1" s="218"/>
      <c r="D1" s="218"/>
      <c r="E1" s="218"/>
      <c r="F1" s="218"/>
    </row>
    <row r="2" spans="1:11" ht="12" customHeight="1" x14ac:dyDescent="0.25">
      <c r="A2" s="71"/>
    </row>
    <row r="3" spans="1:11" ht="23.25" x14ac:dyDescent="0.25">
      <c r="A3" s="78" t="s">
        <v>185</v>
      </c>
      <c r="B3" s="78" t="s">
        <v>212</v>
      </c>
      <c r="C3" s="72" t="s">
        <v>22</v>
      </c>
      <c r="D3" s="72" t="s">
        <v>23</v>
      </c>
      <c r="E3" s="72" t="s">
        <v>24</v>
      </c>
      <c r="F3" s="72" t="s">
        <v>12</v>
      </c>
    </row>
    <row r="4" spans="1:11" x14ac:dyDescent="0.25">
      <c r="A4" s="203" t="s">
        <v>21</v>
      </c>
      <c r="B4" s="73" t="s">
        <v>209</v>
      </c>
      <c r="C4" s="170">
        <v>186.8</v>
      </c>
      <c r="D4" s="170">
        <v>103.2</v>
      </c>
      <c r="E4" s="170">
        <v>0.1</v>
      </c>
      <c r="F4" s="170">
        <v>290</v>
      </c>
      <c r="G4" s="13"/>
      <c r="H4" s="13"/>
      <c r="I4" s="13"/>
      <c r="J4" s="13"/>
      <c r="K4" s="136"/>
    </row>
    <row r="5" spans="1:11" x14ac:dyDescent="0.25">
      <c r="A5" s="203"/>
      <c r="B5" s="73">
        <v>2</v>
      </c>
      <c r="C5" s="170">
        <v>133.80000000000001</v>
      </c>
      <c r="D5" s="170">
        <v>65.599999999999994</v>
      </c>
      <c r="E5" s="170">
        <v>0.7</v>
      </c>
      <c r="F5" s="170">
        <v>200.1</v>
      </c>
      <c r="G5" s="13"/>
      <c r="H5" s="13"/>
      <c r="I5" s="13"/>
      <c r="J5" s="13"/>
    </row>
    <row r="6" spans="1:11" x14ac:dyDescent="0.25">
      <c r="A6" s="203"/>
      <c r="B6" s="73">
        <v>3</v>
      </c>
      <c r="C6" s="170">
        <v>68.099999999999994</v>
      </c>
      <c r="D6" s="170">
        <v>70.099999999999994</v>
      </c>
      <c r="E6" s="170">
        <v>1</v>
      </c>
      <c r="F6" s="170">
        <v>139.30000000000001</v>
      </c>
      <c r="G6" s="13"/>
      <c r="H6" s="13"/>
      <c r="I6" s="13"/>
      <c r="J6" s="13"/>
    </row>
    <row r="7" spans="1:11" x14ac:dyDescent="0.25">
      <c r="A7" s="203"/>
      <c r="B7" s="73">
        <v>4</v>
      </c>
      <c r="C7" s="170">
        <v>24.7</v>
      </c>
      <c r="D7" s="170">
        <v>38.200000000000003</v>
      </c>
      <c r="E7" s="170">
        <v>0.8</v>
      </c>
      <c r="F7" s="170">
        <v>63.6</v>
      </c>
      <c r="G7" s="13"/>
      <c r="H7" s="13"/>
      <c r="I7" s="13"/>
      <c r="J7" s="13"/>
    </row>
    <row r="8" spans="1:11" x14ac:dyDescent="0.25">
      <c r="A8" s="203"/>
      <c r="B8" s="73" t="s">
        <v>210</v>
      </c>
      <c r="C8" s="170">
        <v>19</v>
      </c>
      <c r="D8" s="170">
        <v>28.9</v>
      </c>
      <c r="E8" s="13" t="s">
        <v>167</v>
      </c>
      <c r="F8" s="170">
        <v>48</v>
      </c>
      <c r="G8" s="13"/>
      <c r="H8" s="13"/>
      <c r="I8" s="13"/>
      <c r="J8" s="13"/>
    </row>
    <row r="9" spans="1:11" x14ac:dyDescent="0.25">
      <c r="A9" s="203" t="s">
        <v>25</v>
      </c>
      <c r="B9" s="73" t="s">
        <v>209</v>
      </c>
      <c r="C9" s="170">
        <v>21.6</v>
      </c>
      <c r="D9" s="170">
        <v>11</v>
      </c>
      <c r="E9" s="13" t="s">
        <v>167</v>
      </c>
      <c r="F9" s="170">
        <v>32.6</v>
      </c>
      <c r="G9" s="13"/>
      <c r="H9" s="13"/>
      <c r="I9" s="13"/>
      <c r="J9" s="13"/>
    </row>
    <row r="10" spans="1:11" x14ac:dyDescent="0.25">
      <c r="A10" s="203"/>
      <c r="B10" s="73">
        <v>2</v>
      </c>
      <c r="C10" s="170">
        <v>14.2</v>
      </c>
      <c r="D10" s="170">
        <v>6.1</v>
      </c>
      <c r="E10" s="170">
        <v>0.1</v>
      </c>
      <c r="F10" s="170">
        <v>20.399999999999999</v>
      </c>
      <c r="G10" s="13"/>
      <c r="H10" s="13"/>
      <c r="I10" s="13"/>
      <c r="J10" s="13"/>
    </row>
    <row r="11" spans="1:11" x14ac:dyDescent="0.25">
      <c r="A11" s="203"/>
      <c r="B11" s="73">
        <v>3</v>
      </c>
      <c r="C11" s="170">
        <v>10.9</v>
      </c>
      <c r="D11" s="170">
        <v>5.0999999999999996</v>
      </c>
      <c r="E11" s="13" t="s">
        <v>167</v>
      </c>
      <c r="F11" s="170">
        <v>16.100000000000001</v>
      </c>
      <c r="G11" s="13"/>
      <c r="H11" s="13"/>
      <c r="I11" s="13"/>
      <c r="J11" s="13"/>
    </row>
    <row r="12" spans="1:11" x14ac:dyDescent="0.25">
      <c r="A12" s="203"/>
      <c r="B12" s="73">
        <v>4</v>
      </c>
      <c r="C12" s="170">
        <v>3.3</v>
      </c>
      <c r="D12" s="170">
        <v>4.2</v>
      </c>
      <c r="E12" s="13" t="s">
        <v>167</v>
      </c>
      <c r="F12" s="170">
        <v>7.5</v>
      </c>
      <c r="G12" s="13"/>
      <c r="H12" s="13"/>
      <c r="I12" s="13"/>
      <c r="J12" s="13"/>
    </row>
    <row r="13" spans="1:11" x14ac:dyDescent="0.25">
      <c r="A13" s="203"/>
      <c r="B13" s="73" t="s">
        <v>210</v>
      </c>
      <c r="C13" s="170">
        <v>2.2000000000000002</v>
      </c>
      <c r="D13" s="170">
        <v>3</v>
      </c>
      <c r="E13" s="13" t="s">
        <v>167</v>
      </c>
      <c r="F13" s="170">
        <v>5.3</v>
      </c>
      <c r="G13" s="13"/>
      <c r="H13" s="13"/>
      <c r="I13" s="13"/>
      <c r="J13" s="13"/>
    </row>
    <row r="14" spans="1:11" x14ac:dyDescent="0.25">
      <c r="A14" s="203" t="s">
        <v>24</v>
      </c>
      <c r="B14" s="73" t="s">
        <v>209</v>
      </c>
      <c r="C14" s="13" t="s">
        <v>167</v>
      </c>
      <c r="D14" s="13" t="s">
        <v>167</v>
      </c>
      <c r="E14" s="13" t="s">
        <v>167</v>
      </c>
      <c r="F14" s="13" t="s">
        <v>167</v>
      </c>
      <c r="G14" s="13"/>
      <c r="H14" s="13"/>
      <c r="I14" s="13"/>
      <c r="J14" s="13"/>
    </row>
    <row r="15" spans="1:11" x14ac:dyDescent="0.25">
      <c r="A15" s="203"/>
      <c r="B15" s="73">
        <v>2</v>
      </c>
      <c r="C15" s="13" t="s">
        <v>167</v>
      </c>
      <c r="D15" s="13" t="s">
        <v>167</v>
      </c>
      <c r="E15" s="13" t="s">
        <v>167</v>
      </c>
      <c r="F15" s="13" t="s">
        <v>167</v>
      </c>
      <c r="G15" s="13"/>
      <c r="H15" s="13"/>
      <c r="I15" s="13"/>
      <c r="J15" s="13"/>
    </row>
    <row r="16" spans="1:11" x14ac:dyDescent="0.25">
      <c r="A16" s="203"/>
      <c r="B16" s="73">
        <v>3</v>
      </c>
      <c r="C16" s="13" t="s">
        <v>167</v>
      </c>
      <c r="D16" s="13" t="s">
        <v>167</v>
      </c>
      <c r="E16" s="13" t="s">
        <v>167</v>
      </c>
      <c r="F16" s="13" t="s">
        <v>167</v>
      </c>
      <c r="G16" s="13"/>
      <c r="H16" s="13"/>
      <c r="I16" s="13"/>
      <c r="J16" s="13"/>
    </row>
    <row r="17" spans="1:12" x14ac:dyDescent="0.25">
      <c r="A17" s="203"/>
      <c r="B17" s="73">
        <v>4</v>
      </c>
      <c r="C17" s="13" t="s">
        <v>167</v>
      </c>
      <c r="D17" s="13" t="s">
        <v>167</v>
      </c>
      <c r="E17" s="13" t="s">
        <v>167</v>
      </c>
      <c r="F17" s="13" t="s">
        <v>167</v>
      </c>
      <c r="G17" s="13"/>
      <c r="H17" s="13"/>
      <c r="I17" s="13"/>
      <c r="J17" s="13"/>
    </row>
    <row r="18" spans="1:12" x14ac:dyDescent="0.25">
      <c r="A18" s="203"/>
      <c r="B18" s="73" t="s">
        <v>210</v>
      </c>
      <c r="C18" s="13" t="s">
        <v>167</v>
      </c>
      <c r="D18" s="13" t="s">
        <v>167</v>
      </c>
      <c r="E18" s="13" t="s">
        <v>167</v>
      </c>
      <c r="F18" s="13" t="s">
        <v>167</v>
      </c>
      <c r="G18" s="13"/>
      <c r="H18" s="13"/>
      <c r="I18" s="13"/>
      <c r="J18" s="13"/>
    </row>
    <row r="19" spans="1:12" x14ac:dyDescent="0.25">
      <c r="A19" s="203" t="s">
        <v>12</v>
      </c>
      <c r="B19" s="73" t="s">
        <v>209</v>
      </c>
      <c r="C19" s="170">
        <v>208.4</v>
      </c>
      <c r="D19" s="170">
        <v>114.2</v>
      </c>
      <c r="E19" s="170">
        <v>0.1</v>
      </c>
      <c r="F19" s="170">
        <v>322.60000000000002</v>
      </c>
      <c r="G19" s="13"/>
      <c r="H19" s="13"/>
      <c r="I19" s="13"/>
      <c r="J19" s="13"/>
    </row>
    <row r="20" spans="1:12" x14ac:dyDescent="0.25">
      <c r="A20" s="203"/>
      <c r="B20" s="73">
        <v>2</v>
      </c>
      <c r="C20" s="170">
        <v>148.1</v>
      </c>
      <c r="D20" s="170">
        <v>71.7</v>
      </c>
      <c r="E20" s="170">
        <v>0.8</v>
      </c>
      <c r="F20" s="170">
        <v>220.6</v>
      </c>
      <c r="G20" s="13"/>
      <c r="H20" s="13"/>
      <c r="I20" s="13"/>
      <c r="J20" s="13"/>
    </row>
    <row r="21" spans="1:12" x14ac:dyDescent="0.25">
      <c r="A21" s="203"/>
      <c r="B21" s="73">
        <v>3</v>
      </c>
      <c r="C21" s="170">
        <v>79.099999999999994</v>
      </c>
      <c r="D21" s="170">
        <v>75.3</v>
      </c>
      <c r="E21" s="170">
        <v>1.1000000000000001</v>
      </c>
      <c r="F21" s="170">
        <v>155.4</v>
      </c>
      <c r="G21" s="13"/>
      <c r="H21" s="13"/>
      <c r="I21" s="13"/>
      <c r="J21" s="13"/>
    </row>
    <row r="22" spans="1:12" x14ac:dyDescent="0.25">
      <c r="A22" s="203"/>
      <c r="B22" s="73">
        <v>4</v>
      </c>
      <c r="C22" s="170">
        <v>28</v>
      </c>
      <c r="D22" s="170">
        <v>42.5</v>
      </c>
      <c r="E22" s="170">
        <v>0.8</v>
      </c>
      <c r="F22" s="170">
        <v>71.2</v>
      </c>
      <c r="G22" s="13"/>
      <c r="H22" s="13"/>
      <c r="I22" s="13"/>
      <c r="J22" s="13"/>
    </row>
    <row r="23" spans="1:12" x14ac:dyDescent="0.25">
      <c r="A23" s="203"/>
      <c r="B23" s="73" t="s">
        <v>210</v>
      </c>
      <c r="C23" s="170">
        <v>21.3</v>
      </c>
      <c r="D23" s="170">
        <v>31.9</v>
      </c>
      <c r="E23" s="13" t="s">
        <v>167</v>
      </c>
      <c r="F23" s="170">
        <v>53.2</v>
      </c>
      <c r="G23" s="13"/>
      <c r="H23" s="13"/>
      <c r="I23" s="13"/>
      <c r="J23" s="13"/>
    </row>
    <row r="24" spans="1:12" ht="15" customHeight="1" x14ac:dyDescent="0.25">
      <c r="A24" s="71"/>
      <c r="B24" s="79" t="s">
        <v>211</v>
      </c>
      <c r="C24" s="148">
        <v>496.9</v>
      </c>
      <c r="D24" s="148">
        <v>358.8</v>
      </c>
      <c r="E24" s="148">
        <v>3.8</v>
      </c>
      <c r="F24" s="148">
        <v>859.5</v>
      </c>
      <c r="G24" s="63"/>
      <c r="H24" s="63"/>
      <c r="I24" s="63"/>
      <c r="J24" s="63"/>
      <c r="K24" s="76"/>
      <c r="L24" s="76"/>
    </row>
    <row r="25" spans="1:12" ht="18.75" customHeight="1" x14ac:dyDescent="0.25">
      <c r="A25" s="216" t="s">
        <v>13</v>
      </c>
      <c r="B25" s="216"/>
      <c r="C25" s="216"/>
      <c r="D25" s="216"/>
      <c r="E25" s="216"/>
      <c r="F25" s="216"/>
    </row>
    <row r="26" spans="1:12" ht="9.75" customHeight="1" x14ac:dyDescent="0.25">
      <c r="A26" s="119" t="s">
        <v>243</v>
      </c>
      <c r="B26" s="91"/>
      <c r="C26" s="91"/>
      <c r="D26" s="91"/>
      <c r="E26" s="91"/>
      <c r="F26" s="91"/>
    </row>
    <row r="27" spans="1:12" s="74" customFormat="1" ht="14.25" customHeight="1" x14ac:dyDescent="0.15">
      <c r="A27" s="74" t="s">
        <v>14</v>
      </c>
    </row>
    <row r="28" spans="1:12" s="75" customFormat="1" ht="12" customHeight="1" x14ac:dyDescent="0.2">
      <c r="A28" s="57" t="s">
        <v>76</v>
      </c>
    </row>
    <row r="29" spans="1:12" s="74" customFormat="1" ht="11.1" customHeight="1" x14ac:dyDescent="0.15">
      <c r="A29" s="74" t="s">
        <v>16</v>
      </c>
    </row>
    <row r="30" spans="1:12" s="74" customFormat="1" ht="11.1" customHeight="1" x14ac:dyDescent="0.15">
      <c r="A30" s="6" t="s">
        <v>271</v>
      </c>
    </row>
    <row r="31" spans="1:12" ht="12" customHeight="1" x14ac:dyDescent="0.25">
      <c r="A31" s="71"/>
    </row>
    <row r="32" spans="1:12" ht="42" customHeight="1" x14ac:dyDescent="0.25">
      <c r="A32" s="209" t="s">
        <v>340</v>
      </c>
      <c r="B32" s="220"/>
      <c r="C32" s="220"/>
      <c r="D32" s="220"/>
      <c r="E32" s="220"/>
      <c r="F32" s="220"/>
      <c r="G32" s="80"/>
      <c r="H32" s="80"/>
    </row>
    <row r="33" spans="1:20" ht="3.75" customHeight="1" x14ac:dyDescent="0.25">
      <c r="A33" s="71"/>
    </row>
    <row r="34" spans="1:20" ht="23.25" x14ac:dyDescent="0.25">
      <c r="A34" s="78" t="s">
        <v>185</v>
      </c>
      <c r="B34" s="78" t="s">
        <v>212</v>
      </c>
      <c r="C34" s="72" t="s">
        <v>22</v>
      </c>
      <c r="D34" s="72" t="s">
        <v>23</v>
      </c>
      <c r="E34" s="72" t="s">
        <v>24</v>
      </c>
      <c r="F34" s="11" t="s">
        <v>12</v>
      </c>
    </row>
    <row r="35" spans="1:20" x14ac:dyDescent="0.25">
      <c r="A35" s="222" t="s">
        <v>21</v>
      </c>
      <c r="B35" s="73" t="s">
        <v>209</v>
      </c>
      <c r="C35" s="169">
        <v>864</v>
      </c>
      <c r="D35" s="169">
        <v>492</v>
      </c>
      <c r="E35" s="169">
        <v>12</v>
      </c>
      <c r="F35" s="169">
        <v>1368</v>
      </c>
      <c r="G35" s="8"/>
      <c r="H35" s="8"/>
      <c r="I35" s="8"/>
      <c r="J35" s="8"/>
      <c r="K35" s="128"/>
      <c r="Q35" s="128"/>
      <c r="R35" s="128"/>
      <c r="S35" s="128"/>
      <c r="T35" s="128"/>
    </row>
    <row r="36" spans="1:20" x14ac:dyDescent="0.25">
      <c r="A36" s="222"/>
      <c r="B36" s="73">
        <v>2</v>
      </c>
      <c r="C36" s="169">
        <v>641</v>
      </c>
      <c r="D36" s="169">
        <v>361</v>
      </c>
      <c r="E36" s="169">
        <v>20</v>
      </c>
      <c r="F36" s="169">
        <v>1022</v>
      </c>
      <c r="G36" s="8"/>
      <c r="H36" s="8"/>
      <c r="I36" s="8"/>
      <c r="J36" s="8"/>
      <c r="O36" s="127"/>
      <c r="Q36" s="128"/>
      <c r="R36" s="128"/>
      <c r="S36" s="128"/>
      <c r="T36" s="128"/>
    </row>
    <row r="37" spans="1:20" x14ac:dyDescent="0.25">
      <c r="A37" s="222"/>
      <c r="B37" s="73">
        <v>3</v>
      </c>
      <c r="C37" s="169">
        <v>332</v>
      </c>
      <c r="D37" s="169">
        <v>328</v>
      </c>
      <c r="E37" s="169">
        <v>5</v>
      </c>
      <c r="F37" s="169">
        <v>665</v>
      </c>
      <c r="G37" s="8"/>
      <c r="H37" s="8"/>
      <c r="I37" s="8"/>
      <c r="J37" s="8"/>
      <c r="O37" s="127"/>
      <c r="Q37" s="128"/>
      <c r="R37" s="128"/>
      <c r="S37" s="128"/>
      <c r="T37" s="128"/>
    </row>
    <row r="38" spans="1:20" x14ac:dyDescent="0.25">
      <c r="A38" s="222"/>
      <c r="B38" s="73">
        <v>4</v>
      </c>
      <c r="C38" s="169">
        <v>158</v>
      </c>
      <c r="D38" s="169">
        <v>231</v>
      </c>
      <c r="E38" s="169">
        <v>8</v>
      </c>
      <c r="F38" s="169">
        <v>397</v>
      </c>
      <c r="G38" s="8"/>
      <c r="H38" s="8"/>
      <c r="I38" s="8"/>
      <c r="J38" s="8"/>
      <c r="Q38" s="128"/>
      <c r="R38" s="128"/>
      <c r="S38" s="128"/>
      <c r="T38" s="128"/>
    </row>
    <row r="39" spans="1:20" x14ac:dyDescent="0.25">
      <c r="A39" s="222"/>
      <c r="B39" s="73" t="s">
        <v>210</v>
      </c>
      <c r="C39" s="169">
        <v>88</v>
      </c>
      <c r="D39" s="169">
        <v>167</v>
      </c>
      <c r="E39" s="169">
        <v>2</v>
      </c>
      <c r="F39" s="169">
        <v>257</v>
      </c>
      <c r="G39" s="8"/>
      <c r="H39" s="8"/>
      <c r="I39" s="8"/>
      <c r="J39" s="8"/>
      <c r="Q39" s="128"/>
      <c r="R39" s="128"/>
      <c r="S39" s="128"/>
      <c r="T39" s="128"/>
    </row>
    <row r="40" spans="1:20" x14ac:dyDescent="0.25">
      <c r="A40" s="222" t="s">
        <v>25</v>
      </c>
      <c r="B40" s="73" t="s">
        <v>209</v>
      </c>
      <c r="C40" s="169">
        <v>204</v>
      </c>
      <c r="D40" s="169">
        <v>87</v>
      </c>
      <c r="E40" s="169">
        <v>1</v>
      </c>
      <c r="F40" s="169">
        <v>292</v>
      </c>
      <c r="G40" s="8"/>
      <c r="H40" s="8"/>
      <c r="I40" s="8"/>
      <c r="J40" s="8"/>
      <c r="Q40" s="128"/>
      <c r="R40" s="128"/>
      <c r="S40" s="128"/>
      <c r="T40" s="128"/>
    </row>
    <row r="41" spans="1:20" x14ac:dyDescent="0.25">
      <c r="A41" s="222"/>
      <c r="B41" s="73">
        <v>2</v>
      </c>
      <c r="C41" s="169">
        <v>187</v>
      </c>
      <c r="D41" s="169">
        <v>76</v>
      </c>
      <c r="E41" s="169">
        <v>5</v>
      </c>
      <c r="F41" s="169">
        <v>268</v>
      </c>
      <c r="G41" s="8"/>
      <c r="H41" s="8"/>
      <c r="I41" s="8"/>
      <c r="J41" s="8"/>
      <c r="Q41" s="128"/>
      <c r="R41" s="128"/>
      <c r="S41" s="128"/>
      <c r="T41" s="128"/>
    </row>
    <row r="42" spans="1:20" x14ac:dyDescent="0.25">
      <c r="A42" s="222"/>
      <c r="B42" s="73">
        <v>3</v>
      </c>
      <c r="C42" s="169">
        <v>93</v>
      </c>
      <c r="D42" s="169">
        <v>49</v>
      </c>
      <c r="E42" s="169">
        <v>2</v>
      </c>
      <c r="F42" s="169">
        <v>144</v>
      </c>
      <c r="G42" s="8"/>
      <c r="H42" s="8"/>
      <c r="I42" s="8"/>
      <c r="J42" s="8"/>
      <c r="Q42" s="128"/>
      <c r="R42" s="128"/>
      <c r="S42" s="128"/>
      <c r="T42" s="128"/>
    </row>
    <row r="43" spans="1:20" x14ac:dyDescent="0.25">
      <c r="A43" s="222"/>
      <c r="B43" s="73">
        <v>4</v>
      </c>
      <c r="C43" s="169">
        <v>62</v>
      </c>
      <c r="D43" s="169">
        <v>49</v>
      </c>
      <c r="E43" s="13" t="s">
        <v>167</v>
      </c>
      <c r="F43" s="169">
        <v>111</v>
      </c>
      <c r="G43" s="8"/>
      <c r="H43" s="8"/>
      <c r="I43" s="8"/>
      <c r="J43" s="8"/>
      <c r="Q43" s="128"/>
      <c r="R43" s="128"/>
      <c r="S43" s="128"/>
      <c r="T43" s="128"/>
    </row>
    <row r="44" spans="1:20" x14ac:dyDescent="0.25">
      <c r="A44" s="222"/>
      <c r="B44" s="73" t="s">
        <v>210</v>
      </c>
      <c r="C44" s="169">
        <v>28</v>
      </c>
      <c r="D44" s="169">
        <v>47</v>
      </c>
      <c r="E44" s="13" t="s">
        <v>167</v>
      </c>
      <c r="F44" s="169">
        <v>75</v>
      </c>
      <c r="G44" s="8"/>
      <c r="H44" s="8"/>
      <c r="I44" s="8"/>
      <c r="J44" s="8"/>
      <c r="Q44" s="128"/>
      <c r="R44" s="128"/>
      <c r="S44" s="128"/>
      <c r="T44" s="128"/>
    </row>
    <row r="45" spans="1:20" x14ac:dyDescent="0.25">
      <c r="A45" s="222" t="s">
        <v>24</v>
      </c>
      <c r="B45" s="73" t="s">
        <v>209</v>
      </c>
      <c r="C45" s="13" t="s">
        <v>167</v>
      </c>
      <c r="D45" s="13" t="s">
        <v>167</v>
      </c>
      <c r="E45" s="13" t="s">
        <v>167</v>
      </c>
      <c r="F45" s="13" t="s">
        <v>167</v>
      </c>
      <c r="G45" s="8"/>
      <c r="H45" s="8"/>
      <c r="I45" s="8"/>
      <c r="J45" s="8"/>
      <c r="Q45" s="128"/>
      <c r="R45" s="128"/>
      <c r="S45" s="128"/>
      <c r="T45" s="128"/>
    </row>
    <row r="46" spans="1:20" x14ac:dyDescent="0.25">
      <c r="A46" s="222"/>
      <c r="B46" s="73">
        <v>2</v>
      </c>
      <c r="C46" s="13" t="s">
        <v>167</v>
      </c>
      <c r="D46" s="169">
        <v>1</v>
      </c>
      <c r="E46" s="13" t="s">
        <v>167</v>
      </c>
      <c r="F46" s="169">
        <v>1</v>
      </c>
      <c r="G46" s="8"/>
      <c r="H46" s="8"/>
      <c r="I46" s="8"/>
      <c r="J46" s="8"/>
      <c r="Q46" s="128"/>
      <c r="R46" s="128"/>
      <c r="S46" s="128"/>
      <c r="T46" s="128"/>
    </row>
    <row r="47" spans="1:20" x14ac:dyDescent="0.25">
      <c r="A47" s="222"/>
      <c r="B47" s="73">
        <v>3</v>
      </c>
      <c r="C47" s="13" t="s">
        <v>167</v>
      </c>
      <c r="D47" s="169">
        <v>1</v>
      </c>
      <c r="E47" s="13" t="s">
        <v>167</v>
      </c>
      <c r="F47" s="169">
        <v>1</v>
      </c>
      <c r="G47" s="8"/>
      <c r="H47" s="8"/>
      <c r="I47" s="8"/>
      <c r="J47" s="8"/>
      <c r="Q47" s="128"/>
      <c r="R47" s="128"/>
      <c r="S47" s="128"/>
      <c r="T47" s="128"/>
    </row>
    <row r="48" spans="1:20" x14ac:dyDescent="0.25">
      <c r="A48" s="222"/>
      <c r="B48" s="73">
        <v>4</v>
      </c>
      <c r="C48" s="13" t="s">
        <v>167</v>
      </c>
      <c r="D48" s="13" t="s">
        <v>167</v>
      </c>
      <c r="E48" s="13" t="s">
        <v>167</v>
      </c>
      <c r="F48" s="13" t="s">
        <v>167</v>
      </c>
      <c r="G48" s="8"/>
      <c r="H48" s="8"/>
      <c r="I48" s="8"/>
      <c r="J48" s="8"/>
      <c r="Q48" s="128"/>
      <c r="R48" s="128"/>
      <c r="S48" s="128"/>
      <c r="T48" s="128"/>
    </row>
    <row r="49" spans="1:20" x14ac:dyDescent="0.25">
      <c r="A49" s="222"/>
      <c r="B49" s="73" t="s">
        <v>210</v>
      </c>
      <c r="C49" s="13" t="s">
        <v>167</v>
      </c>
      <c r="D49" s="13" t="s">
        <v>167</v>
      </c>
      <c r="E49" s="13" t="s">
        <v>167</v>
      </c>
      <c r="F49" s="13" t="s">
        <v>167</v>
      </c>
      <c r="G49" s="8"/>
      <c r="H49" s="8"/>
      <c r="I49" s="8"/>
      <c r="J49" s="8"/>
      <c r="Q49" s="128"/>
      <c r="R49" s="128"/>
      <c r="S49" s="128"/>
      <c r="T49" s="128"/>
    </row>
    <row r="50" spans="1:20" x14ac:dyDescent="0.25">
      <c r="A50" s="223" t="s">
        <v>12</v>
      </c>
      <c r="B50" s="73" t="s">
        <v>209</v>
      </c>
      <c r="C50" s="169">
        <v>1068</v>
      </c>
      <c r="D50" s="169">
        <v>579</v>
      </c>
      <c r="E50" s="169">
        <v>13</v>
      </c>
      <c r="F50" s="169">
        <v>1660</v>
      </c>
      <c r="G50" s="8"/>
      <c r="H50" s="8"/>
      <c r="I50" s="8"/>
      <c r="J50" s="8"/>
      <c r="Q50" s="128"/>
      <c r="R50" s="128"/>
      <c r="S50" s="128"/>
      <c r="T50" s="128"/>
    </row>
    <row r="51" spans="1:20" x14ac:dyDescent="0.25">
      <c r="A51" s="223"/>
      <c r="B51" s="73">
        <v>2</v>
      </c>
      <c r="C51" s="169">
        <v>828</v>
      </c>
      <c r="D51" s="169">
        <v>438</v>
      </c>
      <c r="E51" s="169">
        <v>25</v>
      </c>
      <c r="F51" s="169">
        <v>1291</v>
      </c>
      <c r="G51" s="8"/>
      <c r="H51" s="8"/>
      <c r="I51" s="8"/>
      <c r="J51" s="8"/>
      <c r="L51" s="127"/>
      <c r="O51" s="127"/>
      <c r="Q51" s="128"/>
      <c r="R51" s="128"/>
      <c r="S51" s="128"/>
      <c r="T51" s="128"/>
    </row>
    <row r="52" spans="1:20" x14ac:dyDescent="0.25">
      <c r="A52" s="223"/>
      <c r="B52" s="73">
        <v>3</v>
      </c>
      <c r="C52" s="169">
        <v>425</v>
      </c>
      <c r="D52" s="169">
        <v>378</v>
      </c>
      <c r="E52" s="169">
        <v>7</v>
      </c>
      <c r="F52" s="169">
        <v>810</v>
      </c>
      <c r="G52" s="8"/>
      <c r="H52" s="8"/>
      <c r="I52" s="8"/>
      <c r="J52" s="8"/>
      <c r="O52" s="127"/>
      <c r="Q52" s="128"/>
      <c r="R52" s="128"/>
      <c r="S52" s="128"/>
      <c r="T52" s="128"/>
    </row>
    <row r="53" spans="1:20" x14ac:dyDescent="0.25">
      <c r="A53" s="223"/>
      <c r="B53" s="73">
        <v>4</v>
      </c>
      <c r="C53" s="169">
        <v>220</v>
      </c>
      <c r="D53" s="169">
        <v>280</v>
      </c>
      <c r="E53" s="169">
        <v>8</v>
      </c>
      <c r="F53" s="169">
        <v>508</v>
      </c>
      <c r="G53" s="8"/>
      <c r="H53" s="8"/>
      <c r="I53" s="8"/>
      <c r="J53" s="8"/>
      <c r="Q53" s="128"/>
      <c r="R53" s="128"/>
      <c r="S53" s="128"/>
      <c r="T53" s="128"/>
    </row>
    <row r="54" spans="1:20" x14ac:dyDescent="0.25">
      <c r="A54" s="223"/>
      <c r="B54" s="73" t="s">
        <v>210</v>
      </c>
      <c r="C54" s="169">
        <v>116</v>
      </c>
      <c r="D54" s="169">
        <v>214</v>
      </c>
      <c r="E54" s="169">
        <v>2</v>
      </c>
      <c r="F54" s="169">
        <v>332</v>
      </c>
      <c r="G54" s="8"/>
      <c r="H54" s="8"/>
      <c r="I54" s="8"/>
      <c r="J54" s="8"/>
      <c r="Q54" s="128"/>
      <c r="R54" s="128"/>
      <c r="S54" s="128"/>
      <c r="T54" s="128"/>
    </row>
    <row r="55" spans="1:20" ht="12" customHeight="1" x14ac:dyDescent="0.25">
      <c r="A55" s="53"/>
      <c r="B55" s="123" t="s">
        <v>77</v>
      </c>
      <c r="C55" s="172">
        <v>2714</v>
      </c>
      <c r="D55" s="172">
        <v>1966</v>
      </c>
      <c r="E55" s="172">
        <v>62</v>
      </c>
      <c r="F55" s="172">
        <v>4742</v>
      </c>
    </row>
    <row r="56" spans="1:20" ht="21.95" customHeight="1" x14ac:dyDescent="0.25">
      <c r="A56" s="57" t="s">
        <v>244</v>
      </c>
      <c r="B56" s="74"/>
      <c r="C56" s="74"/>
      <c r="D56" s="74"/>
      <c r="E56" s="74"/>
      <c r="F56" s="74"/>
      <c r="G56" s="74"/>
      <c r="H56" s="74"/>
      <c r="I56" s="74"/>
      <c r="J56" s="74"/>
      <c r="K56" s="74"/>
      <c r="L56" s="74"/>
    </row>
    <row r="57" spans="1:20" s="74" customFormat="1" ht="11.1" customHeight="1" x14ac:dyDescent="0.15">
      <c r="A57" s="208" t="s">
        <v>18</v>
      </c>
      <c r="B57" s="221"/>
      <c r="C57" s="221"/>
      <c r="D57" s="221"/>
      <c r="E57" s="221"/>
      <c r="F57" s="221"/>
      <c r="G57" s="221"/>
      <c r="H57" s="221"/>
    </row>
    <row r="58" spans="1:20" s="74" customFormat="1" ht="11.1" customHeight="1" x14ac:dyDescent="0.15">
      <c r="A58" s="6" t="s">
        <v>78</v>
      </c>
    </row>
    <row r="59" spans="1:20" ht="12" customHeight="1" x14ac:dyDescent="0.25">
      <c r="A59" s="6" t="s">
        <v>264</v>
      </c>
      <c r="B59" s="74"/>
      <c r="C59" s="74"/>
      <c r="D59" s="74"/>
      <c r="E59" s="74"/>
      <c r="F59" s="74"/>
      <c r="G59" s="74"/>
      <c r="H59" s="74"/>
    </row>
    <row r="61" spans="1:20" x14ac:dyDescent="0.25">
      <c r="A61" s="6" t="s">
        <v>271</v>
      </c>
    </row>
  </sheetData>
  <mergeCells count="12">
    <mergeCell ref="A57:H57"/>
    <mergeCell ref="A32:F32"/>
    <mergeCell ref="A35:A39"/>
    <mergeCell ref="A40:A44"/>
    <mergeCell ref="A45:A49"/>
    <mergeCell ref="A50:A54"/>
    <mergeCell ref="A9:A13"/>
    <mergeCell ref="A14:A18"/>
    <mergeCell ref="A19:A23"/>
    <mergeCell ref="A25:F25"/>
    <mergeCell ref="A1:F1"/>
    <mergeCell ref="A4:A8"/>
  </mergeCells>
  <pageMargins left="0.08" right="0.08" top="1" bottom="1" header="0.5" footer="0.5"/>
  <pageSetup orientation="landscape" blackAndWhite="1"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C87"/>
  <sheetViews>
    <sheetView zoomScaleNormal="100" workbookViewId="0">
      <selection activeCell="H12" sqref="H12"/>
    </sheetView>
  </sheetViews>
  <sheetFormatPr defaultColWidth="9.140625" defaultRowHeight="15" x14ac:dyDescent="0.25"/>
  <cols>
    <col min="1" max="1" width="17.42578125" style="1" customWidth="1"/>
    <col min="2" max="9" width="11.42578125" style="1" bestFit="1" customWidth="1"/>
    <col min="10" max="10" width="11.42578125" style="1" customWidth="1"/>
    <col min="11" max="13" width="11.42578125" style="1" bestFit="1" customWidth="1"/>
    <col min="14" max="19" width="9.140625" style="1"/>
    <col min="20" max="20" width="19.85546875" style="1" bestFit="1" customWidth="1"/>
    <col min="21" max="16384" width="9.140625" style="1"/>
  </cols>
  <sheetData>
    <row r="1" spans="1:29" ht="27.75" customHeight="1" x14ac:dyDescent="0.25">
      <c r="A1" s="217" t="s">
        <v>341</v>
      </c>
      <c r="B1" s="217"/>
      <c r="C1" s="217"/>
      <c r="D1" s="217"/>
      <c r="E1" s="217"/>
      <c r="F1" s="217"/>
      <c r="G1" s="217"/>
      <c r="H1" s="217"/>
      <c r="I1" s="217"/>
      <c r="J1" s="217"/>
      <c r="K1" s="217"/>
    </row>
    <row r="2" spans="1:29" ht="2.25" customHeight="1" x14ac:dyDescent="0.25">
      <c r="A2" s="2"/>
    </row>
    <row r="3" spans="1:29" ht="23.25" x14ac:dyDescent="0.25">
      <c r="A3" s="78" t="s">
        <v>212</v>
      </c>
      <c r="B3" s="3" t="s">
        <v>1</v>
      </c>
      <c r="C3" s="3" t="s">
        <v>2</v>
      </c>
      <c r="D3" s="3" t="s">
        <v>3</v>
      </c>
      <c r="E3" s="3" t="s">
        <v>4</v>
      </c>
      <c r="F3" s="3" t="s">
        <v>5</v>
      </c>
      <c r="G3" s="3" t="s">
        <v>6</v>
      </c>
      <c r="H3" s="3" t="s">
        <v>7</v>
      </c>
      <c r="I3" s="3" t="s">
        <v>8</v>
      </c>
      <c r="J3" s="3" t="s">
        <v>9</v>
      </c>
    </row>
    <row r="4" spans="1:29" x14ac:dyDescent="0.25">
      <c r="A4" s="4" t="s">
        <v>209</v>
      </c>
      <c r="B4" s="5">
        <v>69.5</v>
      </c>
      <c r="C4" s="5">
        <v>16.600000000000001</v>
      </c>
      <c r="D4" s="170">
        <v>127</v>
      </c>
      <c r="E4" s="5">
        <v>24.9</v>
      </c>
      <c r="F4" s="5">
        <v>23</v>
      </c>
      <c r="G4" s="5">
        <v>9.8000000000000007</v>
      </c>
      <c r="H4" s="5" t="s">
        <v>167</v>
      </c>
      <c r="I4" s="5">
        <v>12.1</v>
      </c>
      <c r="J4" s="170">
        <v>283</v>
      </c>
      <c r="K4" s="5"/>
      <c r="L4" s="84"/>
      <c r="M4" s="84"/>
      <c r="N4" s="84"/>
      <c r="O4" s="84"/>
      <c r="P4" s="84"/>
      <c r="Q4" s="84"/>
      <c r="R4" s="84"/>
      <c r="S4" s="84"/>
      <c r="T4" s="84"/>
      <c r="U4" s="84"/>
      <c r="V4" s="84"/>
      <c r="W4" s="84"/>
      <c r="X4" s="84"/>
      <c r="Y4" s="84"/>
      <c r="Z4" s="84"/>
      <c r="AA4" s="84"/>
      <c r="AB4" s="84"/>
      <c r="AC4" s="84"/>
    </row>
    <row r="5" spans="1:29" x14ac:dyDescent="0.25">
      <c r="A5" s="4">
        <v>2</v>
      </c>
      <c r="B5" s="5">
        <v>53.9</v>
      </c>
      <c r="C5" s="5">
        <v>12.5</v>
      </c>
      <c r="D5" s="170">
        <v>87.3</v>
      </c>
      <c r="E5" s="5">
        <v>25.3</v>
      </c>
      <c r="F5" s="5">
        <v>7.9</v>
      </c>
      <c r="G5" s="5">
        <v>3.2</v>
      </c>
      <c r="H5" s="5" t="s">
        <v>170</v>
      </c>
      <c r="I5" s="5">
        <v>8.1999999999999993</v>
      </c>
      <c r="J5" s="170">
        <v>198.2</v>
      </c>
      <c r="K5" s="5"/>
      <c r="L5" s="84"/>
      <c r="M5" s="84"/>
      <c r="N5" s="84"/>
      <c r="O5" s="84"/>
      <c r="P5" s="84"/>
      <c r="Q5" s="84"/>
      <c r="R5" s="84"/>
      <c r="S5" s="84"/>
      <c r="T5" s="84"/>
      <c r="U5" s="84"/>
      <c r="V5" s="84"/>
      <c r="W5" s="84"/>
      <c r="X5" s="84"/>
      <c r="Y5" s="84"/>
      <c r="Z5" s="84"/>
      <c r="AA5" s="84"/>
      <c r="AB5" s="84"/>
      <c r="AC5" s="84"/>
    </row>
    <row r="6" spans="1:29" x14ac:dyDescent="0.25">
      <c r="A6" s="4">
        <v>3</v>
      </c>
      <c r="B6" s="5">
        <v>23.5</v>
      </c>
      <c r="C6" s="5">
        <v>23.3</v>
      </c>
      <c r="D6" s="170">
        <v>51.8</v>
      </c>
      <c r="E6" s="5">
        <v>10.4</v>
      </c>
      <c r="F6" s="5">
        <v>4.7</v>
      </c>
      <c r="G6" s="5">
        <v>1.2</v>
      </c>
      <c r="H6" s="5">
        <v>0.1</v>
      </c>
      <c r="I6" s="5">
        <v>15.2</v>
      </c>
      <c r="J6" s="170">
        <v>130.30000000000001</v>
      </c>
      <c r="K6" s="5"/>
      <c r="L6" s="84"/>
      <c r="M6" s="84"/>
      <c r="N6" s="84"/>
      <c r="O6" s="84"/>
      <c r="P6" s="84"/>
      <c r="Q6" s="84"/>
      <c r="R6" s="84"/>
      <c r="S6" s="84"/>
      <c r="T6" s="84"/>
      <c r="U6" s="84"/>
      <c r="V6" s="84"/>
      <c r="W6" s="84"/>
      <c r="X6" s="84"/>
      <c r="Y6" s="84"/>
      <c r="Z6" s="84"/>
      <c r="AA6" s="84"/>
      <c r="AB6" s="84"/>
      <c r="AC6" s="84"/>
    </row>
    <row r="7" spans="1:29" x14ac:dyDescent="0.25">
      <c r="A7" s="4">
        <v>4</v>
      </c>
      <c r="B7" s="5">
        <v>15</v>
      </c>
      <c r="C7" s="5">
        <v>8.1</v>
      </c>
      <c r="D7" s="170">
        <v>15.5</v>
      </c>
      <c r="E7" s="5">
        <v>7.1</v>
      </c>
      <c r="F7" s="5">
        <v>1.7</v>
      </c>
      <c r="G7" s="5">
        <v>0.1</v>
      </c>
      <c r="H7" s="5">
        <v>5.4</v>
      </c>
      <c r="I7" s="5">
        <v>5.8</v>
      </c>
      <c r="J7" s="170">
        <v>58.8</v>
      </c>
      <c r="K7" s="5"/>
      <c r="L7" s="84"/>
      <c r="M7" s="84"/>
      <c r="N7" s="84"/>
      <c r="O7" s="84"/>
      <c r="P7" s="84"/>
      <c r="Q7" s="84"/>
      <c r="R7" s="84"/>
      <c r="S7" s="84"/>
      <c r="T7" s="84"/>
      <c r="U7" s="84"/>
      <c r="V7" s="84"/>
      <c r="W7" s="84"/>
      <c r="X7" s="84"/>
      <c r="Y7" s="84"/>
      <c r="Z7" s="84"/>
      <c r="AA7" s="84"/>
      <c r="AB7" s="84"/>
      <c r="AC7" s="84"/>
    </row>
    <row r="8" spans="1:29" x14ac:dyDescent="0.25">
      <c r="A8" s="4" t="s">
        <v>210</v>
      </c>
      <c r="B8" s="5">
        <v>18.600000000000001</v>
      </c>
      <c r="C8" s="5">
        <v>4.2</v>
      </c>
      <c r="D8" s="170">
        <v>5.7</v>
      </c>
      <c r="E8" s="5">
        <v>6</v>
      </c>
      <c r="F8" s="5" t="s">
        <v>167</v>
      </c>
      <c r="G8" s="5" t="s">
        <v>167</v>
      </c>
      <c r="H8" s="5">
        <v>10.7</v>
      </c>
      <c r="I8" s="5" t="s">
        <v>167</v>
      </c>
      <c r="J8" s="170">
        <v>45.2</v>
      </c>
      <c r="K8" s="5"/>
      <c r="L8" s="84"/>
      <c r="M8" s="84"/>
      <c r="N8" s="84"/>
      <c r="O8" s="84"/>
      <c r="P8" s="84"/>
      <c r="Q8" s="84"/>
      <c r="R8" s="84"/>
      <c r="S8" s="84"/>
      <c r="T8" s="84"/>
      <c r="U8" s="84"/>
      <c r="V8" s="84"/>
      <c r="W8" s="84"/>
      <c r="X8" s="84"/>
      <c r="Y8" s="84"/>
      <c r="Z8" s="84"/>
      <c r="AA8" s="84"/>
      <c r="AB8" s="84"/>
      <c r="AC8" s="84"/>
    </row>
    <row r="9" spans="1:29" ht="12" customHeight="1" x14ac:dyDescent="0.25">
      <c r="A9" s="79" t="s">
        <v>211</v>
      </c>
      <c r="B9" s="76">
        <v>184.28</v>
      </c>
      <c r="C9" s="76">
        <v>73.86</v>
      </c>
      <c r="D9" s="76">
        <v>289.79000000000002</v>
      </c>
      <c r="E9" s="76">
        <v>73.86</v>
      </c>
      <c r="F9" s="76">
        <v>38.22</v>
      </c>
      <c r="G9" s="76">
        <v>14.32</v>
      </c>
      <c r="H9" s="76">
        <v>17.05</v>
      </c>
      <c r="I9" s="76">
        <v>42.37</v>
      </c>
      <c r="J9" s="76">
        <v>733.74</v>
      </c>
      <c r="K9" s="76"/>
      <c r="L9" s="84"/>
      <c r="M9" s="84"/>
      <c r="N9" s="84"/>
      <c r="O9" s="84"/>
      <c r="P9" s="84"/>
      <c r="Q9" s="84"/>
      <c r="R9" s="84"/>
      <c r="S9" s="84"/>
      <c r="T9" s="84"/>
      <c r="U9" s="84"/>
      <c r="V9" s="84"/>
      <c r="W9" s="84"/>
      <c r="X9" s="84"/>
      <c r="Y9" s="84"/>
      <c r="Z9" s="84"/>
      <c r="AA9" s="84"/>
      <c r="AB9" s="84"/>
      <c r="AC9" s="84"/>
    </row>
    <row r="10" spans="1:29" ht="11.1" customHeight="1" x14ac:dyDescent="0.25">
      <c r="A10" s="121" t="s">
        <v>13</v>
      </c>
      <c r="B10" s="121"/>
      <c r="C10" s="121"/>
      <c r="D10" s="121"/>
      <c r="E10" s="121"/>
      <c r="F10" s="121"/>
      <c r="G10" s="121"/>
      <c r="H10" s="121"/>
      <c r="I10" s="121"/>
      <c r="J10" s="121"/>
      <c r="L10" s="84"/>
      <c r="M10" s="84"/>
      <c r="N10" s="84"/>
      <c r="O10" s="84"/>
      <c r="P10" s="84"/>
      <c r="Q10" s="84"/>
      <c r="R10" s="84"/>
      <c r="S10" s="84"/>
      <c r="T10" s="84"/>
      <c r="U10" s="84"/>
      <c r="V10" s="84"/>
      <c r="W10" s="84"/>
      <c r="X10" s="84"/>
      <c r="Y10" s="84"/>
      <c r="Z10" s="84"/>
      <c r="AA10" s="84"/>
      <c r="AB10" s="84"/>
      <c r="AC10" s="84"/>
    </row>
    <row r="11" spans="1:29" ht="11.1" customHeight="1" x14ac:dyDescent="0.25">
      <c r="A11" s="119" t="s">
        <v>221</v>
      </c>
      <c r="B11" s="90"/>
      <c r="C11" s="90"/>
      <c r="D11" s="90"/>
      <c r="E11" s="90"/>
      <c r="F11" s="90"/>
      <c r="G11" s="90"/>
      <c r="H11" s="90"/>
      <c r="I11" s="90"/>
      <c r="J11" s="90"/>
      <c r="K11" s="90"/>
      <c r="L11" s="84"/>
      <c r="M11" s="84"/>
      <c r="N11" s="84"/>
      <c r="O11" s="84"/>
      <c r="P11" s="84"/>
      <c r="Q11" s="84"/>
      <c r="R11" s="84"/>
      <c r="S11" s="84"/>
      <c r="T11" s="84"/>
      <c r="U11" s="84"/>
      <c r="V11" s="84"/>
      <c r="W11" s="84"/>
      <c r="X11" s="84"/>
      <c r="Y11" s="84"/>
      <c r="Z11" s="84"/>
      <c r="AA11" s="84"/>
      <c r="AB11" s="84"/>
      <c r="AC11" s="84"/>
    </row>
    <row r="12" spans="1:29" s="6" customFormat="1" ht="11.1" customHeight="1" x14ac:dyDescent="0.25">
      <c r="A12" s="6" t="s">
        <v>14</v>
      </c>
      <c r="L12" s="84"/>
      <c r="M12" s="84"/>
      <c r="N12" s="84"/>
      <c r="O12" s="84"/>
      <c r="P12" s="84"/>
      <c r="Q12" s="84"/>
      <c r="R12" s="84"/>
      <c r="S12" s="84"/>
      <c r="T12" s="84"/>
      <c r="U12" s="84"/>
      <c r="V12" s="84"/>
      <c r="W12" s="84"/>
      <c r="X12" s="84"/>
      <c r="Y12" s="84"/>
      <c r="Z12" s="84"/>
      <c r="AA12" s="84"/>
      <c r="AB12" s="84"/>
      <c r="AC12" s="84"/>
    </row>
    <row r="13" spans="1:29" s="10" customFormat="1" ht="11.1" customHeight="1" x14ac:dyDescent="0.25">
      <c r="A13" s="57" t="s">
        <v>18</v>
      </c>
      <c r="L13" s="84"/>
      <c r="M13" s="84"/>
      <c r="N13" s="84"/>
      <c r="O13" s="84"/>
      <c r="P13" s="84"/>
      <c r="Q13" s="84"/>
      <c r="R13" s="84"/>
      <c r="S13" s="84"/>
      <c r="T13" s="84"/>
      <c r="U13" s="84"/>
      <c r="V13" s="84"/>
      <c r="W13" s="84"/>
      <c r="X13" s="84"/>
      <c r="Y13" s="84"/>
      <c r="Z13" s="84"/>
      <c r="AA13" s="84"/>
      <c r="AB13" s="84"/>
      <c r="AC13" s="84"/>
    </row>
    <row r="14" spans="1:29" s="6" customFormat="1" ht="11.1" customHeight="1" x14ac:dyDescent="0.25">
      <c r="A14" s="6" t="s">
        <v>78</v>
      </c>
      <c r="L14" s="84"/>
      <c r="M14" s="84"/>
      <c r="N14" s="84"/>
      <c r="O14" s="84"/>
      <c r="P14" s="84"/>
      <c r="Q14" s="84"/>
      <c r="R14" s="84"/>
      <c r="S14" s="84"/>
      <c r="T14" s="84"/>
      <c r="U14" s="84"/>
      <c r="V14" s="84"/>
      <c r="W14" s="84"/>
      <c r="X14" s="84"/>
      <c r="Y14" s="84"/>
      <c r="Z14" s="84"/>
      <c r="AA14" s="84"/>
      <c r="AB14" s="84"/>
      <c r="AC14" s="84"/>
    </row>
    <row r="15" spans="1:29" s="6" customFormat="1" ht="20.25" customHeight="1" x14ac:dyDescent="0.25">
      <c r="A15" s="199" t="s">
        <v>37</v>
      </c>
      <c r="B15" s="199"/>
      <c r="C15" s="199"/>
      <c r="D15" s="199"/>
      <c r="E15" s="199"/>
      <c r="F15" s="199"/>
      <c r="G15" s="199"/>
      <c r="H15" s="199"/>
      <c r="I15" s="199"/>
      <c r="J15" s="199"/>
      <c r="K15" s="199"/>
      <c r="L15" s="84"/>
      <c r="M15" s="84"/>
      <c r="N15" s="84"/>
      <c r="O15" s="84"/>
      <c r="P15" s="84"/>
      <c r="Q15" s="84"/>
      <c r="R15" s="84"/>
      <c r="S15" s="84"/>
      <c r="T15" s="84"/>
      <c r="U15" s="84"/>
      <c r="V15" s="84"/>
      <c r="W15" s="84"/>
      <c r="X15" s="84"/>
      <c r="Y15" s="84"/>
      <c r="Z15" s="84"/>
      <c r="AA15" s="84"/>
      <c r="AB15" s="84"/>
      <c r="AC15" s="84"/>
    </row>
    <row r="16" spans="1:29" s="6" customFormat="1" ht="20.25" customHeight="1" x14ac:dyDescent="0.25">
      <c r="A16" s="199" t="s">
        <v>79</v>
      </c>
      <c r="B16" s="199"/>
      <c r="C16" s="199"/>
      <c r="D16" s="199"/>
      <c r="E16" s="199"/>
      <c r="F16" s="199"/>
      <c r="G16" s="199"/>
      <c r="H16" s="199"/>
      <c r="I16" s="199"/>
      <c r="J16" s="199"/>
      <c r="K16" s="199"/>
      <c r="L16" s="84"/>
      <c r="M16" s="84"/>
      <c r="N16" s="84"/>
      <c r="O16" s="84"/>
      <c r="P16" s="84"/>
      <c r="Q16" s="84"/>
      <c r="R16" s="84"/>
      <c r="S16" s="84"/>
      <c r="T16" s="84"/>
      <c r="U16" s="84"/>
      <c r="V16" s="84"/>
      <c r="W16" s="84"/>
      <c r="X16" s="84"/>
      <c r="Y16" s="84"/>
      <c r="Z16" s="84"/>
      <c r="AA16" s="84"/>
      <c r="AB16" s="84"/>
      <c r="AC16" s="84"/>
    </row>
    <row r="17" spans="1:29" s="6" customFormat="1" ht="11.1" customHeight="1" x14ac:dyDescent="0.25">
      <c r="A17" s="6" t="s">
        <v>80</v>
      </c>
      <c r="L17" s="84"/>
      <c r="M17" s="84"/>
      <c r="N17" s="84"/>
      <c r="O17" s="84"/>
      <c r="P17" s="84"/>
      <c r="Q17" s="84"/>
      <c r="R17" s="84"/>
      <c r="S17" s="84"/>
      <c r="T17" s="84"/>
      <c r="U17" s="84"/>
      <c r="V17" s="84"/>
      <c r="W17" s="84"/>
      <c r="X17" s="84"/>
      <c r="Y17" s="84"/>
      <c r="Z17" s="84"/>
      <c r="AA17" s="84"/>
      <c r="AB17" s="84"/>
      <c r="AC17" s="84"/>
    </row>
    <row r="18" spans="1:29" s="6" customFormat="1" ht="11.1" customHeight="1" x14ac:dyDescent="0.25">
      <c r="A18" s="6" t="s">
        <v>16</v>
      </c>
      <c r="L18" s="84"/>
      <c r="M18" s="84"/>
      <c r="N18" s="84"/>
      <c r="O18" s="84"/>
      <c r="P18" s="84"/>
      <c r="Q18" s="84"/>
      <c r="R18" s="84"/>
      <c r="S18" s="84"/>
      <c r="T18" s="84"/>
      <c r="U18" s="84"/>
      <c r="V18" s="84"/>
      <c r="W18" s="84"/>
      <c r="X18" s="84"/>
      <c r="Y18" s="84"/>
      <c r="Z18" s="84"/>
      <c r="AA18" s="84"/>
      <c r="AB18" s="84"/>
      <c r="AC18" s="84"/>
    </row>
    <row r="19" spans="1:29" s="6" customFormat="1" ht="11.1" customHeight="1" x14ac:dyDescent="0.25">
      <c r="A19" s="6" t="s">
        <v>271</v>
      </c>
      <c r="L19" s="84"/>
      <c r="M19" s="84"/>
      <c r="N19" s="84"/>
      <c r="O19" s="84"/>
      <c r="P19" s="84"/>
      <c r="Q19" s="84"/>
      <c r="R19" s="84"/>
      <c r="S19" s="84"/>
      <c r="T19" s="84"/>
      <c r="U19" s="84"/>
      <c r="V19" s="84"/>
      <c r="W19" s="84"/>
      <c r="X19" s="84"/>
      <c r="Y19" s="84"/>
      <c r="Z19" s="84"/>
      <c r="AA19" s="84"/>
      <c r="AB19" s="84"/>
      <c r="AC19" s="84"/>
    </row>
    <row r="20" spans="1:29" ht="12" customHeight="1" x14ac:dyDescent="0.25">
      <c r="A20" s="2"/>
      <c r="L20" s="84"/>
      <c r="M20" s="84"/>
      <c r="N20" s="84"/>
      <c r="O20" s="84"/>
      <c r="P20" s="84"/>
      <c r="Q20" s="84"/>
      <c r="R20" s="84"/>
      <c r="S20" s="84"/>
      <c r="T20" s="84"/>
      <c r="U20" s="84"/>
      <c r="V20" s="84"/>
      <c r="W20" s="84"/>
      <c r="X20" s="84"/>
      <c r="Y20" s="84"/>
      <c r="Z20" s="84"/>
      <c r="AA20" s="84"/>
      <c r="AB20" s="84"/>
      <c r="AC20" s="84"/>
    </row>
    <row r="21" spans="1:29" ht="27.75" customHeight="1" x14ac:dyDescent="0.25">
      <c r="A21" s="209" t="s">
        <v>445</v>
      </c>
      <c r="B21" s="209"/>
      <c r="C21" s="209"/>
      <c r="D21" s="209"/>
      <c r="E21" s="209"/>
      <c r="F21" s="209"/>
      <c r="G21" s="209"/>
      <c r="H21" s="209"/>
      <c r="I21" s="209"/>
      <c r="J21" s="209"/>
      <c r="K21" s="209"/>
      <c r="L21" s="84"/>
      <c r="M21" s="84"/>
      <c r="N21" s="84"/>
      <c r="O21" s="84"/>
      <c r="P21" s="84"/>
      <c r="Q21" s="84"/>
      <c r="R21" s="84"/>
      <c r="S21" s="84"/>
      <c r="T21" s="84"/>
      <c r="U21" s="84"/>
      <c r="V21" s="84"/>
      <c r="W21" s="84"/>
      <c r="X21" s="84"/>
      <c r="Y21" s="84"/>
      <c r="Z21" s="84"/>
      <c r="AA21" s="84"/>
      <c r="AB21" s="84"/>
      <c r="AC21" s="84"/>
    </row>
    <row r="22" spans="1:29" ht="2.25" customHeight="1" x14ac:dyDescent="0.25">
      <c r="A22" s="2"/>
      <c r="L22" s="84"/>
      <c r="M22" s="84"/>
      <c r="N22" s="84"/>
      <c r="O22" s="84"/>
      <c r="P22" s="84"/>
      <c r="Q22" s="84"/>
      <c r="R22" s="84"/>
      <c r="S22" s="84"/>
      <c r="T22" s="84"/>
      <c r="U22" s="84"/>
      <c r="V22" s="84"/>
      <c r="W22" s="84"/>
      <c r="X22" s="84"/>
      <c r="Y22" s="84"/>
      <c r="Z22" s="84"/>
      <c r="AA22" s="84"/>
      <c r="AB22" s="84"/>
      <c r="AC22" s="84"/>
    </row>
    <row r="23" spans="1:29" ht="23.25" x14ac:dyDescent="0.25">
      <c r="A23" s="78" t="s">
        <v>212</v>
      </c>
      <c r="B23" s="3" t="s">
        <v>1</v>
      </c>
      <c r="C23" s="3" t="s">
        <v>2</v>
      </c>
      <c r="D23" s="3" t="s">
        <v>3</v>
      </c>
      <c r="E23" s="3" t="s">
        <v>4</v>
      </c>
      <c r="F23" s="3" t="s">
        <v>5</v>
      </c>
      <c r="G23" s="3" t="s">
        <v>6</v>
      </c>
      <c r="H23" s="3" t="s">
        <v>7</v>
      </c>
      <c r="I23" s="3" t="s">
        <v>8</v>
      </c>
      <c r="J23" s="11" t="s">
        <v>9</v>
      </c>
      <c r="L23" s="84"/>
      <c r="M23" s="84"/>
      <c r="N23" s="84"/>
      <c r="O23" s="84"/>
      <c r="P23" s="84"/>
      <c r="Q23" s="84"/>
      <c r="R23" s="84"/>
      <c r="S23" s="84"/>
      <c r="T23" s="84"/>
      <c r="U23" s="84"/>
      <c r="V23" s="84"/>
      <c r="W23" s="84"/>
      <c r="X23" s="84"/>
      <c r="Y23" s="84"/>
      <c r="Z23" s="84"/>
      <c r="AA23" s="84"/>
      <c r="AB23" s="84"/>
      <c r="AC23" s="84"/>
    </row>
    <row r="24" spans="1:29" x14ac:dyDescent="0.25">
      <c r="A24" s="4" t="s">
        <v>209</v>
      </c>
      <c r="B24" s="5">
        <v>421</v>
      </c>
      <c r="C24" s="5">
        <v>76</v>
      </c>
      <c r="D24" s="170">
        <v>427</v>
      </c>
      <c r="E24" s="5">
        <v>218</v>
      </c>
      <c r="F24" s="5">
        <v>192</v>
      </c>
      <c r="G24" s="5">
        <v>44</v>
      </c>
      <c r="H24" s="5" t="s">
        <v>167</v>
      </c>
      <c r="I24" s="5">
        <v>128</v>
      </c>
      <c r="J24" s="170">
        <v>1506</v>
      </c>
      <c r="K24" s="8"/>
      <c r="L24" s="84"/>
      <c r="M24" s="84"/>
      <c r="N24" s="84"/>
      <c r="O24" s="84"/>
      <c r="P24" s="84"/>
      <c r="Q24" s="84"/>
      <c r="R24" s="84"/>
      <c r="S24" s="84"/>
      <c r="T24" s="84"/>
      <c r="U24" s="84"/>
      <c r="V24" s="84"/>
      <c r="W24" s="84"/>
      <c r="X24" s="84"/>
      <c r="Y24" s="84"/>
      <c r="Z24" s="84"/>
      <c r="AA24" s="84"/>
      <c r="AB24" s="84"/>
      <c r="AC24" s="84"/>
    </row>
    <row r="25" spans="1:29" x14ac:dyDescent="0.25">
      <c r="A25" s="4">
        <v>2</v>
      </c>
      <c r="B25" s="5">
        <v>443</v>
      </c>
      <c r="C25" s="5">
        <v>60</v>
      </c>
      <c r="D25" s="170">
        <v>304</v>
      </c>
      <c r="E25" s="5">
        <v>256</v>
      </c>
      <c r="F25" s="5">
        <v>57</v>
      </c>
      <c r="G25" s="5">
        <v>13</v>
      </c>
      <c r="H25" s="5" t="s">
        <v>170</v>
      </c>
      <c r="I25" s="5">
        <v>75</v>
      </c>
      <c r="J25" s="170">
        <v>1208</v>
      </c>
      <c r="K25" s="8"/>
      <c r="L25" s="84"/>
      <c r="M25" s="84"/>
      <c r="N25" s="84"/>
      <c r="O25" s="84"/>
      <c r="P25" s="84"/>
      <c r="Q25" s="84"/>
      <c r="R25" s="84"/>
      <c r="S25" s="84"/>
      <c r="T25" s="84"/>
      <c r="U25" s="84"/>
      <c r="V25" s="84"/>
      <c r="W25" s="84"/>
      <c r="X25" s="84"/>
      <c r="Y25" s="84"/>
      <c r="Z25" s="84"/>
      <c r="AA25" s="84"/>
      <c r="AB25" s="84"/>
      <c r="AC25" s="84"/>
    </row>
    <row r="26" spans="1:29" x14ac:dyDescent="0.25">
      <c r="A26" s="4">
        <v>3</v>
      </c>
      <c r="B26" s="5">
        <v>182</v>
      </c>
      <c r="C26" s="5">
        <v>92</v>
      </c>
      <c r="D26" s="170">
        <v>172</v>
      </c>
      <c r="E26" s="5">
        <v>172</v>
      </c>
      <c r="F26" s="5">
        <v>45</v>
      </c>
      <c r="G26" s="5" t="s">
        <v>174</v>
      </c>
      <c r="H26" s="5" t="s">
        <v>174</v>
      </c>
      <c r="I26" s="5">
        <v>71</v>
      </c>
      <c r="J26" s="170">
        <v>741</v>
      </c>
      <c r="K26" s="8"/>
      <c r="L26" s="84"/>
      <c r="M26" s="84"/>
      <c r="N26" s="84"/>
      <c r="O26" s="84"/>
      <c r="P26" s="84"/>
      <c r="Q26" s="84"/>
      <c r="R26" s="84"/>
      <c r="S26" s="84"/>
      <c r="T26" s="84"/>
      <c r="U26" s="84"/>
      <c r="V26" s="84"/>
      <c r="W26" s="84"/>
      <c r="X26" s="84"/>
      <c r="Y26" s="84"/>
      <c r="Z26" s="84"/>
      <c r="AA26" s="84"/>
      <c r="AB26" s="84"/>
      <c r="AC26" s="84"/>
    </row>
    <row r="27" spans="1:29" x14ac:dyDescent="0.25">
      <c r="A27" s="4">
        <v>4</v>
      </c>
      <c r="B27" s="5">
        <v>150</v>
      </c>
      <c r="C27" s="5">
        <v>39</v>
      </c>
      <c r="D27" s="170">
        <v>60</v>
      </c>
      <c r="E27" s="5">
        <v>109</v>
      </c>
      <c r="F27" s="5">
        <v>25</v>
      </c>
      <c r="G27" s="5" t="s">
        <v>174</v>
      </c>
      <c r="H27" s="5" t="s">
        <v>174</v>
      </c>
      <c r="I27" s="5">
        <v>43</v>
      </c>
      <c r="J27" s="170">
        <v>468</v>
      </c>
      <c r="K27" s="8"/>
      <c r="L27" s="84"/>
      <c r="M27" s="84"/>
      <c r="N27" s="84"/>
      <c r="O27" s="84"/>
      <c r="P27" s="84"/>
      <c r="Q27" s="84"/>
      <c r="R27" s="84"/>
      <c r="S27" s="84"/>
      <c r="T27" s="84"/>
      <c r="U27" s="84"/>
      <c r="V27" s="84"/>
      <c r="W27" s="84"/>
      <c r="X27" s="84"/>
      <c r="Y27" s="84"/>
      <c r="Z27" s="84"/>
      <c r="AA27" s="84"/>
      <c r="AB27" s="84"/>
      <c r="AC27" s="84"/>
    </row>
    <row r="28" spans="1:29" x14ac:dyDescent="0.25">
      <c r="A28" s="4" t="s">
        <v>210</v>
      </c>
      <c r="B28" s="5">
        <v>173</v>
      </c>
      <c r="C28" s="5">
        <v>28</v>
      </c>
      <c r="D28" s="170">
        <v>20</v>
      </c>
      <c r="E28" s="5">
        <v>37</v>
      </c>
      <c r="F28" s="5">
        <v>2</v>
      </c>
      <c r="G28" s="5" t="s">
        <v>167</v>
      </c>
      <c r="H28" s="5">
        <v>49</v>
      </c>
      <c r="I28" s="5" t="s">
        <v>167</v>
      </c>
      <c r="J28" s="170">
        <v>309</v>
      </c>
      <c r="K28" s="8"/>
      <c r="L28" s="84"/>
      <c r="M28" s="84"/>
      <c r="N28" s="84"/>
      <c r="O28" s="84"/>
      <c r="P28" s="84"/>
      <c r="Q28" s="84"/>
      <c r="R28" s="84"/>
      <c r="S28" s="84"/>
      <c r="T28" s="84"/>
      <c r="U28" s="84"/>
      <c r="V28" s="84"/>
      <c r="W28" s="84"/>
      <c r="X28" s="84"/>
      <c r="Y28" s="84"/>
      <c r="Z28" s="84"/>
      <c r="AA28" s="84"/>
      <c r="AB28" s="84"/>
      <c r="AC28" s="84"/>
    </row>
    <row r="29" spans="1:29" x14ac:dyDescent="0.25">
      <c r="A29" s="4" t="s">
        <v>77</v>
      </c>
      <c r="B29" s="76">
        <v>1470</v>
      </c>
      <c r="C29" s="76">
        <v>351</v>
      </c>
      <c r="D29" s="76">
        <v>1055</v>
      </c>
      <c r="E29" s="76">
        <v>809</v>
      </c>
      <c r="F29" s="76">
        <v>339</v>
      </c>
      <c r="G29" s="76">
        <v>70</v>
      </c>
      <c r="H29" s="76">
        <v>99</v>
      </c>
      <c r="I29" s="76">
        <v>330</v>
      </c>
      <c r="J29" s="76">
        <v>4523</v>
      </c>
      <c r="K29" s="81"/>
      <c r="L29" s="84"/>
      <c r="M29" s="84"/>
      <c r="N29" s="84"/>
      <c r="O29" s="84"/>
      <c r="P29" s="84"/>
      <c r="Q29" s="84"/>
      <c r="R29" s="84"/>
      <c r="S29" s="84"/>
      <c r="T29" s="84"/>
      <c r="U29" s="84"/>
      <c r="V29" s="84"/>
      <c r="W29" s="84"/>
      <c r="X29" s="84"/>
      <c r="Y29" s="84"/>
      <c r="Z29" s="84"/>
      <c r="AA29" s="84"/>
      <c r="AB29" s="84"/>
      <c r="AC29" s="84"/>
    </row>
    <row r="30" spans="1:29" ht="3.75" customHeight="1" x14ac:dyDescent="0.25">
      <c r="A30" s="93"/>
      <c r="B30" s="54"/>
      <c r="C30" s="54"/>
      <c r="D30" s="54"/>
      <c r="E30" s="54"/>
      <c r="F30" s="54"/>
      <c r="G30" s="54"/>
      <c r="H30" s="54"/>
      <c r="I30" s="54"/>
      <c r="J30" s="54"/>
      <c r="L30" s="84"/>
      <c r="M30" s="84"/>
      <c r="N30" s="84"/>
      <c r="O30" s="84"/>
      <c r="P30" s="84"/>
      <c r="Q30" s="84"/>
      <c r="R30" s="84"/>
      <c r="S30" s="84"/>
      <c r="T30" s="84"/>
      <c r="U30" s="84"/>
      <c r="V30" s="84"/>
      <c r="W30" s="84"/>
      <c r="X30" s="84"/>
      <c r="Y30" s="84"/>
      <c r="Z30" s="84"/>
      <c r="AA30" s="84"/>
      <c r="AB30" s="84"/>
      <c r="AC30" s="84"/>
    </row>
    <row r="31" spans="1:29" ht="11.1" customHeight="1" x14ac:dyDescent="0.25">
      <c r="A31" s="57" t="s">
        <v>242</v>
      </c>
      <c r="B31" s="6"/>
      <c r="C31" s="6"/>
      <c r="D31" s="6"/>
      <c r="E31" s="6"/>
      <c r="F31" s="6"/>
      <c r="G31" s="10"/>
      <c r="K31" s="128"/>
    </row>
    <row r="32" spans="1:29" s="10" customFormat="1" ht="11.1" customHeight="1" x14ac:dyDescent="0.2">
      <c r="A32" s="57" t="s">
        <v>18</v>
      </c>
    </row>
    <row r="33" spans="1:28" s="10" customFormat="1" ht="11.1" customHeight="1" x14ac:dyDescent="0.2">
      <c r="A33" s="57" t="s">
        <v>78</v>
      </c>
    </row>
    <row r="34" spans="1:28" s="10" customFormat="1" ht="11.1" customHeight="1" x14ac:dyDescent="0.2">
      <c r="A34" s="57" t="s">
        <v>33</v>
      </c>
    </row>
    <row r="35" spans="1:28" s="10" customFormat="1" ht="11.1" customHeight="1" x14ac:dyDescent="0.2">
      <c r="A35" s="57" t="s">
        <v>79</v>
      </c>
    </row>
    <row r="36" spans="1:28" s="10" customFormat="1" ht="11.1" customHeight="1" x14ac:dyDescent="0.2">
      <c r="A36" s="57" t="s">
        <v>80</v>
      </c>
    </row>
    <row r="37" spans="1:28" s="6" customFormat="1" ht="11.1" customHeight="1" x14ac:dyDescent="0.15"/>
    <row r="38" spans="1:28" ht="12" customHeight="1" x14ac:dyDescent="0.25">
      <c r="A38" s="6" t="s">
        <v>271</v>
      </c>
      <c r="B38" s="6"/>
      <c r="C38" s="6"/>
      <c r="D38" s="6"/>
      <c r="E38" s="6"/>
      <c r="F38" s="6"/>
      <c r="G38" s="6"/>
      <c r="H38" s="6"/>
      <c r="I38" s="6"/>
      <c r="J38" s="6"/>
      <c r="K38" s="6"/>
      <c r="L38" s="6"/>
      <c r="M38" s="6"/>
    </row>
    <row r="39" spans="1:28" ht="12" customHeight="1" x14ac:dyDescent="0.25">
      <c r="A39" s="6"/>
      <c r="B39" s="6"/>
      <c r="C39" s="6"/>
      <c r="D39" s="6"/>
      <c r="E39" s="6"/>
      <c r="F39" s="6"/>
      <c r="G39" s="6"/>
      <c r="H39" s="6"/>
      <c r="I39" s="6"/>
      <c r="J39" s="6"/>
      <c r="K39" s="6"/>
      <c r="L39" s="6"/>
      <c r="M39" s="6"/>
    </row>
    <row r="40" spans="1:28" ht="27.95" customHeight="1" x14ac:dyDescent="0.25">
      <c r="A40" s="217" t="s">
        <v>342</v>
      </c>
      <c r="B40" s="217"/>
      <c r="C40" s="217"/>
      <c r="D40" s="217"/>
      <c r="E40" s="217"/>
      <c r="F40" s="217"/>
      <c r="G40" s="217"/>
      <c r="H40" s="217"/>
      <c r="I40" s="217"/>
      <c r="J40" s="217"/>
      <c r="K40" s="217"/>
      <c r="L40" s="209"/>
      <c r="M40" s="209"/>
    </row>
    <row r="41" spans="1:28" ht="1.5" customHeight="1" x14ac:dyDescent="0.25">
      <c r="A41" s="2"/>
    </row>
    <row r="42" spans="1:28" ht="23.25" x14ac:dyDescent="0.25">
      <c r="A42" s="78" t="s">
        <v>212</v>
      </c>
      <c r="B42" s="3" t="s">
        <v>1</v>
      </c>
      <c r="C42" s="3" t="s">
        <v>2</v>
      </c>
      <c r="D42" s="3" t="s">
        <v>3</v>
      </c>
      <c r="E42" s="3" t="s">
        <v>4</v>
      </c>
      <c r="F42" s="3" t="s">
        <v>5</v>
      </c>
      <c r="G42" s="3" t="s">
        <v>6</v>
      </c>
      <c r="H42" s="3" t="s">
        <v>7</v>
      </c>
      <c r="I42" s="3" t="s">
        <v>8</v>
      </c>
      <c r="J42" s="3" t="s">
        <v>9</v>
      </c>
      <c r="T42" s="182"/>
    </row>
    <row r="43" spans="1:28" x14ac:dyDescent="0.25">
      <c r="A43" s="4" t="s">
        <v>209</v>
      </c>
      <c r="B43" s="5">
        <v>4.6550000000000002</v>
      </c>
      <c r="C43" s="5">
        <v>1.659</v>
      </c>
      <c r="D43" s="5">
        <v>8.0779999999999994</v>
      </c>
      <c r="E43" s="5">
        <v>6.0069999999999997</v>
      </c>
      <c r="F43" s="5">
        <v>3.6480000000000001</v>
      </c>
      <c r="G43" s="5">
        <v>3.5960000000000001</v>
      </c>
      <c r="H43" s="5" t="s">
        <v>167</v>
      </c>
      <c r="I43" s="5">
        <v>16.170000000000002</v>
      </c>
      <c r="J43" s="5">
        <v>5.1820000000000004</v>
      </c>
      <c r="K43" s="84"/>
      <c r="L43" s="84"/>
      <c r="M43" s="84"/>
      <c r="N43" s="84"/>
      <c r="O43" s="84"/>
      <c r="P43" s="84"/>
      <c r="Q43" s="84"/>
      <c r="R43" s="84"/>
      <c r="S43" s="84"/>
      <c r="T43" s="84"/>
      <c r="U43" s="84"/>
      <c r="V43" s="84"/>
      <c r="W43" s="84"/>
      <c r="X43" s="84"/>
      <c r="Y43" s="84"/>
      <c r="Z43" s="84"/>
      <c r="AA43" s="84"/>
      <c r="AB43" s="84"/>
    </row>
    <row r="44" spans="1:28" x14ac:dyDescent="0.25">
      <c r="A44" s="4">
        <v>2</v>
      </c>
      <c r="B44" s="5">
        <v>2.7879999999999998</v>
      </c>
      <c r="C44" s="5">
        <v>1.0780000000000001</v>
      </c>
      <c r="D44" s="5">
        <v>6.9980000000000002</v>
      </c>
      <c r="E44" s="5">
        <v>3.1560000000000001</v>
      </c>
      <c r="F44" s="5">
        <v>2.5430000000000001</v>
      </c>
      <c r="G44" s="5">
        <v>2.677</v>
      </c>
      <c r="H44" s="5" t="s">
        <v>170</v>
      </c>
      <c r="I44" s="5">
        <v>16.579000000000001</v>
      </c>
      <c r="J44" s="5">
        <v>3.5259999999999998</v>
      </c>
      <c r="K44" s="84"/>
      <c r="L44" s="84"/>
      <c r="M44" s="84"/>
      <c r="N44" s="84"/>
      <c r="O44" s="84"/>
      <c r="P44" s="84"/>
      <c r="Q44" s="84"/>
      <c r="R44" s="84"/>
      <c r="S44" s="84"/>
      <c r="T44" s="84"/>
      <c r="U44" s="84"/>
      <c r="V44" s="84"/>
      <c r="W44" s="84"/>
      <c r="X44" s="84"/>
      <c r="Y44" s="84"/>
      <c r="Z44" s="84"/>
      <c r="AA44" s="84"/>
      <c r="AB44" s="84"/>
    </row>
    <row r="45" spans="1:28" x14ac:dyDescent="0.25">
      <c r="A45" s="4">
        <v>3</v>
      </c>
      <c r="B45" s="5">
        <v>2.0880000000000001</v>
      </c>
      <c r="C45" s="5">
        <v>1.34</v>
      </c>
      <c r="D45" s="5">
        <v>3.6560000000000001</v>
      </c>
      <c r="E45" s="5">
        <v>1.7190000000000001</v>
      </c>
      <c r="F45" s="5">
        <v>1.1240000000000001</v>
      </c>
      <c r="G45" s="5">
        <v>1.7849999999999999</v>
      </c>
      <c r="H45" s="5" t="s">
        <v>167</v>
      </c>
      <c r="I45" s="5">
        <v>30.745000000000001</v>
      </c>
      <c r="J45" s="5">
        <v>2.4</v>
      </c>
      <c r="K45" s="84"/>
      <c r="L45" s="84"/>
      <c r="M45" s="84"/>
      <c r="N45" s="84"/>
      <c r="O45" s="84"/>
      <c r="P45" s="84"/>
      <c r="Q45" s="84"/>
      <c r="R45" s="84"/>
      <c r="S45" s="84"/>
      <c r="T45" s="84"/>
      <c r="U45" s="84"/>
      <c r="V45" s="84"/>
      <c r="W45" s="84"/>
      <c r="X45" s="84"/>
      <c r="Y45" s="84"/>
      <c r="Z45" s="84"/>
      <c r="AA45" s="84"/>
      <c r="AB45" s="84"/>
    </row>
    <row r="46" spans="1:28" x14ac:dyDescent="0.25">
      <c r="A46" s="4">
        <v>4</v>
      </c>
      <c r="B46" s="5">
        <v>1.0469999999999999</v>
      </c>
      <c r="C46" s="5">
        <v>0.53300000000000003</v>
      </c>
      <c r="D46" s="5">
        <v>1.6759999999999999</v>
      </c>
      <c r="E46" s="5">
        <v>0.92500000000000004</v>
      </c>
      <c r="F46" s="5">
        <v>0.63600000000000001</v>
      </c>
      <c r="G46" s="5">
        <v>0.18099999999999999</v>
      </c>
      <c r="H46" s="5">
        <v>5.2480000000000002</v>
      </c>
      <c r="I46" s="5">
        <v>6.1050000000000004</v>
      </c>
      <c r="J46" s="5">
        <v>1.1319999999999999</v>
      </c>
      <c r="K46" s="84"/>
      <c r="L46" s="84"/>
      <c r="M46" s="84"/>
      <c r="N46" s="84"/>
      <c r="O46" s="84"/>
      <c r="P46" s="84"/>
      <c r="Q46" s="84"/>
      <c r="R46" s="84"/>
      <c r="S46" s="84"/>
      <c r="T46" s="84"/>
      <c r="U46" s="84"/>
      <c r="V46" s="84"/>
      <c r="W46" s="84"/>
      <c r="X46" s="84"/>
      <c r="Y46" s="84"/>
      <c r="Z46" s="84"/>
      <c r="AA46" s="84"/>
      <c r="AB46" s="84"/>
    </row>
    <row r="47" spans="1:28" x14ac:dyDescent="0.25">
      <c r="A47" s="94" t="s">
        <v>210</v>
      </c>
      <c r="B47" s="95">
        <v>0.81299999999999994</v>
      </c>
      <c r="C47" s="95">
        <v>0.34799999999999998</v>
      </c>
      <c r="D47" s="95">
        <v>0.88100000000000001</v>
      </c>
      <c r="E47" s="95">
        <v>1.5389999999999999</v>
      </c>
      <c r="F47" s="95">
        <v>1.2999999999999999E-2</v>
      </c>
      <c r="G47" s="95" t="s">
        <v>167</v>
      </c>
      <c r="H47" s="95">
        <v>4.6879999999999997</v>
      </c>
      <c r="I47" s="95" t="s">
        <v>167</v>
      </c>
      <c r="J47" s="95">
        <v>0.92</v>
      </c>
      <c r="K47" s="84"/>
      <c r="L47" s="84"/>
      <c r="M47" s="84"/>
      <c r="N47" s="84"/>
      <c r="O47" s="84"/>
      <c r="P47" s="84"/>
      <c r="Q47" s="84"/>
      <c r="R47" s="84"/>
      <c r="S47" s="84"/>
      <c r="T47" s="84"/>
      <c r="U47" s="84"/>
      <c r="V47" s="84"/>
      <c r="W47" s="84"/>
      <c r="X47" s="84"/>
      <c r="Y47" s="84"/>
      <c r="Z47" s="84"/>
      <c r="AA47" s="84"/>
      <c r="AB47" s="84"/>
    </row>
    <row r="48" spans="1:28" ht="2.25" customHeight="1" x14ac:dyDescent="0.25">
      <c r="A48" s="79"/>
      <c r="B48" s="76"/>
      <c r="C48" s="76"/>
      <c r="D48" s="76"/>
      <c r="E48" s="76"/>
      <c r="F48" s="76"/>
      <c r="G48" s="76"/>
      <c r="H48" s="76"/>
      <c r="I48" s="76"/>
      <c r="J48" s="76"/>
    </row>
    <row r="49" spans="1:28" ht="12" hidden="1" customHeight="1" x14ac:dyDescent="0.25">
      <c r="A49" s="121"/>
      <c r="B49" s="121"/>
      <c r="C49" s="121"/>
      <c r="D49" s="121"/>
      <c r="E49" s="121"/>
      <c r="F49" s="121"/>
      <c r="G49" s="121"/>
      <c r="H49" s="121"/>
      <c r="I49" s="121"/>
      <c r="J49" s="121"/>
    </row>
    <row r="50" spans="1:28" ht="11.1" customHeight="1" x14ac:dyDescent="0.25">
      <c r="A50" s="119" t="s">
        <v>242</v>
      </c>
      <c r="B50" s="90"/>
      <c r="C50" s="90"/>
      <c r="D50" s="90"/>
      <c r="E50" s="90"/>
      <c r="F50" s="90"/>
      <c r="G50" s="90"/>
      <c r="H50" s="90"/>
      <c r="I50" s="90"/>
      <c r="J50" s="90"/>
      <c r="K50" s="90"/>
    </row>
    <row r="51" spans="1:28" s="10" customFormat="1" ht="11.1" customHeight="1" x14ac:dyDescent="0.2">
      <c r="A51" s="6" t="s">
        <v>18</v>
      </c>
      <c r="B51" s="6"/>
      <c r="C51" s="6"/>
      <c r="D51" s="6"/>
      <c r="E51" s="6"/>
      <c r="F51" s="6"/>
      <c r="G51" s="6"/>
      <c r="H51" s="6"/>
      <c r="I51" s="6"/>
      <c r="J51" s="6"/>
      <c r="K51" s="6"/>
    </row>
    <row r="52" spans="1:28" s="10" customFormat="1" ht="11.1" customHeight="1" x14ac:dyDescent="0.2">
      <c r="A52" s="57" t="s">
        <v>78</v>
      </c>
    </row>
    <row r="53" spans="1:28" s="10" customFormat="1" ht="11.1" customHeight="1" x14ac:dyDescent="0.2">
      <c r="A53" s="6" t="s">
        <v>37</v>
      </c>
      <c r="B53" s="6"/>
      <c r="C53" s="6"/>
      <c r="D53" s="6"/>
      <c r="E53" s="6"/>
      <c r="F53" s="6"/>
      <c r="G53" s="6"/>
      <c r="H53" s="6"/>
      <c r="I53" s="6"/>
      <c r="J53" s="6"/>
      <c r="K53" s="6"/>
    </row>
    <row r="54" spans="1:28" s="10" customFormat="1" ht="11.1" customHeight="1" x14ac:dyDescent="0.2">
      <c r="A54" s="199" t="s">
        <v>38</v>
      </c>
      <c r="B54" s="199"/>
      <c r="C54" s="199"/>
      <c r="D54" s="199"/>
      <c r="E54" s="199"/>
      <c r="F54" s="199"/>
      <c r="G54" s="199"/>
      <c r="H54" s="199"/>
      <c r="I54" s="199"/>
      <c r="J54" s="199"/>
      <c r="K54" s="199"/>
    </row>
    <row r="55" spans="1:28" s="10" customFormat="1" ht="11.1" customHeight="1" x14ac:dyDescent="0.2">
      <c r="A55" s="199" t="s">
        <v>217</v>
      </c>
      <c r="B55" s="199"/>
      <c r="C55" s="199"/>
      <c r="D55" s="199"/>
      <c r="E55" s="199"/>
      <c r="F55" s="199"/>
      <c r="G55" s="199"/>
      <c r="H55" s="199"/>
      <c r="I55" s="199"/>
      <c r="J55" s="199"/>
      <c r="K55" s="199"/>
    </row>
    <row r="56" spans="1:28" s="10" customFormat="1" ht="11.1" customHeight="1" x14ac:dyDescent="0.2">
      <c r="A56" s="6" t="s">
        <v>218</v>
      </c>
      <c r="B56" s="6"/>
      <c r="C56" s="6"/>
      <c r="D56" s="6"/>
      <c r="E56" s="6"/>
      <c r="F56" s="6"/>
      <c r="G56" s="6"/>
      <c r="H56" s="6"/>
      <c r="I56" s="6"/>
      <c r="J56" s="6"/>
      <c r="K56" s="6"/>
    </row>
    <row r="57" spans="1:28" s="10" customFormat="1" ht="11.1" customHeight="1" x14ac:dyDescent="0.2">
      <c r="A57" s="6" t="s">
        <v>305</v>
      </c>
      <c r="B57" s="6"/>
      <c r="C57" s="6"/>
      <c r="D57" s="6"/>
      <c r="E57" s="6"/>
      <c r="F57" s="6"/>
      <c r="G57" s="6"/>
      <c r="H57" s="6"/>
      <c r="I57" s="6"/>
      <c r="J57" s="6"/>
      <c r="K57" s="6"/>
    </row>
    <row r="58" spans="1:28" s="6" customFormat="1" ht="11.1" customHeight="1" x14ac:dyDescent="0.25">
      <c r="A58" s="2" t="s">
        <v>16</v>
      </c>
      <c r="B58" s="1"/>
      <c r="C58" s="1"/>
      <c r="D58" s="1"/>
      <c r="E58" s="1"/>
      <c r="F58" s="1"/>
      <c r="G58" s="1"/>
      <c r="H58" s="1"/>
      <c r="I58" s="1"/>
      <c r="J58" s="1"/>
      <c r="K58" s="1"/>
    </row>
    <row r="59" spans="1:28" ht="12" customHeight="1" x14ac:dyDescent="0.25">
      <c r="A59" s="6" t="s">
        <v>259</v>
      </c>
      <c r="B59" s="6"/>
      <c r="C59" s="6"/>
      <c r="D59" s="6"/>
      <c r="E59" s="6"/>
      <c r="F59" s="6"/>
      <c r="G59" s="6"/>
      <c r="H59" s="6"/>
      <c r="I59" s="6"/>
      <c r="J59" s="6"/>
      <c r="K59" s="6"/>
      <c r="L59" s="6"/>
      <c r="M59" s="6"/>
    </row>
    <row r="60" spans="1:28" ht="12" customHeight="1" x14ac:dyDescent="0.25">
      <c r="A60" s="2"/>
      <c r="L60" s="6"/>
      <c r="M60" s="6"/>
    </row>
    <row r="61" spans="1:28" ht="33" customHeight="1" x14ac:dyDescent="0.25">
      <c r="A61" s="217" t="s">
        <v>446</v>
      </c>
      <c r="B61" s="217"/>
      <c r="C61" s="217"/>
      <c r="D61" s="217"/>
      <c r="E61" s="217"/>
      <c r="F61" s="217"/>
      <c r="G61" s="217"/>
      <c r="H61" s="217"/>
      <c r="I61" s="217"/>
      <c r="J61" s="217"/>
      <c r="L61" s="6"/>
      <c r="M61" s="6"/>
    </row>
    <row r="62" spans="1:28" ht="0.75" customHeight="1" x14ac:dyDescent="0.25">
      <c r="A62" s="4"/>
      <c r="B62" s="8"/>
      <c r="C62" s="8"/>
      <c r="D62" s="8"/>
      <c r="E62" s="8"/>
      <c r="F62" s="8"/>
      <c r="G62" s="8"/>
      <c r="H62" s="5"/>
      <c r="I62" s="8"/>
      <c r="J62" s="8"/>
    </row>
    <row r="63" spans="1:28" ht="22.5" x14ac:dyDescent="0.25">
      <c r="A63" s="159" t="s">
        <v>212</v>
      </c>
      <c r="B63" s="160" t="s">
        <v>1</v>
      </c>
      <c r="C63" s="160" t="s">
        <v>2</v>
      </c>
      <c r="D63" s="160" t="s">
        <v>3</v>
      </c>
      <c r="E63" s="160" t="s">
        <v>4</v>
      </c>
      <c r="F63" s="160" t="s">
        <v>5</v>
      </c>
      <c r="G63" s="160" t="s">
        <v>6</v>
      </c>
      <c r="H63" s="161" t="s">
        <v>7</v>
      </c>
      <c r="I63" s="160" t="s">
        <v>8</v>
      </c>
      <c r="J63" s="160" t="s">
        <v>9</v>
      </c>
      <c r="K63" s="84"/>
      <c r="L63" s="84"/>
      <c r="M63" s="84"/>
      <c r="N63" s="84"/>
      <c r="O63" s="84"/>
      <c r="P63" s="84"/>
      <c r="Q63" s="84"/>
      <c r="R63" s="84"/>
      <c r="S63" s="84"/>
      <c r="T63" s="84"/>
      <c r="U63" s="84"/>
      <c r="V63" s="84"/>
      <c r="W63" s="84"/>
      <c r="X63" s="84"/>
      <c r="Y63" s="84"/>
      <c r="Z63" s="84"/>
      <c r="AA63" s="84"/>
      <c r="AB63" s="84"/>
    </row>
    <row r="64" spans="1:28" x14ac:dyDescent="0.25">
      <c r="A64" s="4" t="s">
        <v>209</v>
      </c>
      <c r="B64" s="5">
        <v>28.157</v>
      </c>
      <c r="C64" s="5">
        <v>7.5979999999999999</v>
      </c>
      <c r="D64" s="5">
        <v>27.152000000000001</v>
      </c>
      <c r="E64" s="5">
        <v>52.552</v>
      </c>
      <c r="F64" s="5">
        <v>30.481000000000002</v>
      </c>
      <c r="G64" s="5">
        <v>16.117999999999999</v>
      </c>
      <c r="H64" s="5" t="s">
        <v>167</v>
      </c>
      <c r="I64" s="5">
        <v>171.19200000000001</v>
      </c>
      <c r="J64" s="5">
        <v>27.574000000000002</v>
      </c>
      <c r="K64" s="5"/>
      <c r="L64" s="5"/>
      <c r="M64" s="5"/>
      <c r="N64" s="5"/>
      <c r="O64" s="5"/>
      <c r="P64" s="5"/>
      <c r="Q64" s="5"/>
      <c r="R64" s="5"/>
      <c r="S64" s="186"/>
      <c r="T64" s="186"/>
      <c r="U64" s="186"/>
      <c r="V64" s="186"/>
      <c r="W64" s="186"/>
      <c r="X64" s="186"/>
      <c r="Y64" s="186"/>
      <c r="Z64" s="186"/>
      <c r="AA64" s="186"/>
      <c r="AB64" s="186"/>
    </row>
    <row r="65" spans="1:28" x14ac:dyDescent="0.25">
      <c r="A65" s="4">
        <v>2</v>
      </c>
      <c r="B65" s="5">
        <v>22.969000000000001</v>
      </c>
      <c r="C65" s="5">
        <v>5.1779999999999999</v>
      </c>
      <c r="D65" s="5">
        <v>24.361000000000001</v>
      </c>
      <c r="E65" s="5">
        <v>31.875</v>
      </c>
      <c r="F65" s="5">
        <v>18.295999999999999</v>
      </c>
      <c r="G65" s="5">
        <v>10.958</v>
      </c>
      <c r="H65" s="5" t="s">
        <v>167</v>
      </c>
      <c r="I65" s="5">
        <v>151.94499999999999</v>
      </c>
      <c r="J65" s="5">
        <v>21.486000000000001</v>
      </c>
      <c r="K65" s="5"/>
      <c r="L65" s="5"/>
      <c r="M65" s="5"/>
      <c r="N65" s="5"/>
      <c r="O65" s="5"/>
      <c r="P65" s="5"/>
      <c r="Q65" s="5"/>
      <c r="R65" s="5"/>
      <c r="S65" s="186"/>
      <c r="T65" s="186"/>
      <c r="U65" s="186"/>
      <c r="V65" s="186"/>
      <c r="W65" s="186"/>
      <c r="X65" s="186"/>
      <c r="Y65" s="186"/>
      <c r="Z65" s="186"/>
      <c r="AA65" s="186"/>
      <c r="AB65" s="186"/>
    </row>
    <row r="66" spans="1:28" x14ac:dyDescent="0.25">
      <c r="A66" s="4">
        <v>3</v>
      </c>
      <c r="B66" s="5">
        <v>16.181999999999999</v>
      </c>
      <c r="C66" s="5">
        <v>5.2789999999999999</v>
      </c>
      <c r="D66" s="5">
        <v>12.144</v>
      </c>
      <c r="E66" s="5">
        <v>28.303000000000001</v>
      </c>
      <c r="F66" s="5">
        <v>10.734</v>
      </c>
      <c r="G66" s="5" t="s">
        <v>174</v>
      </c>
      <c r="H66" s="5" t="s">
        <v>174</v>
      </c>
      <c r="I66" s="5">
        <v>144.04499999999999</v>
      </c>
      <c r="J66" s="5">
        <v>13.654</v>
      </c>
      <c r="K66" s="5"/>
      <c r="L66" s="5"/>
      <c r="M66" s="5"/>
      <c r="N66" s="5"/>
      <c r="O66" s="5"/>
      <c r="P66" s="5"/>
      <c r="Q66" s="5"/>
      <c r="R66" s="5"/>
      <c r="S66" s="186"/>
      <c r="T66" s="186"/>
      <c r="U66" s="186"/>
      <c r="V66" s="186"/>
      <c r="W66" s="186"/>
      <c r="X66" s="186"/>
      <c r="Y66" s="186"/>
      <c r="Z66" s="186"/>
      <c r="AA66" s="186"/>
      <c r="AB66" s="186"/>
    </row>
    <row r="67" spans="1:28" x14ac:dyDescent="0.25">
      <c r="A67" s="4">
        <v>4</v>
      </c>
      <c r="B67" s="5">
        <v>10.433999999999999</v>
      </c>
      <c r="C67" s="5">
        <v>2.5510000000000002</v>
      </c>
      <c r="D67" s="5">
        <v>6.4749999999999996</v>
      </c>
      <c r="E67" s="5">
        <v>14.217000000000001</v>
      </c>
      <c r="F67" s="5">
        <v>9.1999999999999993</v>
      </c>
      <c r="G67" s="5" t="s">
        <v>174</v>
      </c>
      <c r="H67" s="5" t="s">
        <v>174</v>
      </c>
      <c r="I67" s="5">
        <v>45.506999999999998</v>
      </c>
      <c r="J67" s="5">
        <v>9.0060000000000002</v>
      </c>
      <c r="K67" s="5"/>
      <c r="L67" s="5"/>
      <c r="M67" s="5"/>
      <c r="N67" s="5"/>
      <c r="O67" s="5"/>
      <c r="P67" s="5"/>
      <c r="Q67" s="5"/>
      <c r="R67" s="5"/>
      <c r="S67" s="186"/>
      <c r="T67" s="186"/>
      <c r="U67" s="186"/>
      <c r="V67" s="186"/>
      <c r="W67" s="186"/>
      <c r="X67" s="186"/>
      <c r="Y67" s="186"/>
      <c r="Z67" s="186"/>
      <c r="AA67" s="186"/>
      <c r="AB67" s="186"/>
    </row>
    <row r="68" spans="1:28" x14ac:dyDescent="0.25">
      <c r="A68" s="162" t="s">
        <v>210</v>
      </c>
      <c r="B68" s="95">
        <v>7.5659999999999998</v>
      </c>
      <c r="C68" s="95">
        <v>2.3410000000000002</v>
      </c>
      <c r="D68" s="95">
        <v>3.07</v>
      </c>
      <c r="E68" s="95">
        <v>9.4149999999999991</v>
      </c>
      <c r="F68" s="95" t="s">
        <v>167</v>
      </c>
      <c r="G68" s="95" t="s">
        <v>167</v>
      </c>
      <c r="H68" s="95">
        <v>21.504000000000001</v>
      </c>
      <c r="I68" s="95" t="s">
        <v>167</v>
      </c>
      <c r="J68" s="95">
        <v>6.2850000000000001</v>
      </c>
      <c r="K68" s="5"/>
      <c r="L68" s="5"/>
      <c r="M68" s="5"/>
      <c r="N68" s="5"/>
      <c r="O68" s="5"/>
      <c r="P68" s="5"/>
      <c r="Q68" s="5"/>
      <c r="R68" s="5"/>
      <c r="S68" s="186"/>
      <c r="T68" s="186"/>
      <c r="U68" s="186"/>
      <c r="V68" s="186"/>
      <c r="W68" s="186"/>
      <c r="X68" s="186"/>
      <c r="Y68" s="186"/>
      <c r="Z68" s="186"/>
      <c r="AA68" s="186"/>
      <c r="AB68" s="186"/>
    </row>
    <row r="69" spans="1:28" ht="2.25" customHeight="1" x14ac:dyDescent="0.25">
      <c r="A69" s="57"/>
      <c r="B69" s="76"/>
      <c r="C69" s="76"/>
      <c r="D69" s="76"/>
      <c r="E69" s="76"/>
      <c r="F69" s="76"/>
      <c r="G69" s="76"/>
      <c r="H69" s="76"/>
      <c r="I69" s="76"/>
      <c r="J69" s="76"/>
      <c r="K69" s="84"/>
      <c r="L69" s="84"/>
      <c r="M69" s="84"/>
      <c r="N69" s="84"/>
      <c r="O69" s="84"/>
      <c r="P69" s="84"/>
      <c r="Q69" s="84"/>
      <c r="R69" s="84"/>
      <c r="S69" s="84"/>
      <c r="T69" s="84"/>
      <c r="U69" s="84"/>
      <c r="V69" s="84"/>
      <c r="W69" s="84"/>
      <c r="X69" s="84"/>
      <c r="Y69" s="84"/>
      <c r="Z69" s="84"/>
      <c r="AA69" s="84"/>
      <c r="AB69" s="84"/>
    </row>
    <row r="70" spans="1:28" ht="2.25" customHeight="1" x14ac:dyDescent="0.25">
      <c r="A70" s="57"/>
      <c r="B70" s="121"/>
      <c r="C70" s="121"/>
      <c r="D70" s="121"/>
      <c r="E70" s="121"/>
      <c r="F70" s="121"/>
      <c r="G70" s="121"/>
      <c r="H70" s="121"/>
      <c r="I70" s="121"/>
      <c r="J70" s="121"/>
      <c r="K70" s="84"/>
      <c r="L70" s="84"/>
      <c r="M70" s="84"/>
      <c r="N70" s="84"/>
      <c r="O70" s="84"/>
      <c r="P70" s="84"/>
      <c r="Q70" s="84"/>
      <c r="R70" s="84"/>
      <c r="S70" s="84"/>
      <c r="T70" s="84"/>
      <c r="U70" s="84"/>
      <c r="V70" s="84"/>
      <c r="W70" s="84"/>
      <c r="X70" s="84"/>
      <c r="Y70" s="84"/>
      <c r="Z70" s="84"/>
      <c r="AA70" s="84"/>
      <c r="AB70" s="84"/>
    </row>
    <row r="71" spans="1:28" ht="11.1" customHeight="1" x14ac:dyDescent="0.25">
      <c r="A71" s="57" t="s">
        <v>242</v>
      </c>
      <c r="B71" s="90"/>
      <c r="C71" s="90"/>
      <c r="D71" s="90"/>
      <c r="E71" s="90"/>
      <c r="F71" s="90"/>
      <c r="G71" s="90"/>
      <c r="H71" s="90"/>
      <c r="I71" s="90"/>
      <c r="J71" s="5"/>
      <c r="K71" s="84"/>
      <c r="L71" s="84"/>
      <c r="M71" s="84"/>
      <c r="N71" s="84"/>
      <c r="O71" s="84"/>
      <c r="P71" s="84"/>
      <c r="Q71" s="84"/>
      <c r="R71" s="84"/>
      <c r="S71" s="84"/>
      <c r="T71" s="84"/>
      <c r="U71" s="84"/>
      <c r="V71" s="84"/>
      <c r="W71" s="84"/>
      <c r="X71" s="84"/>
      <c r="Y71" s="84"/>
      <c r="Z71" s="84"/>
      <c r="AA71" s="84"/>
      <c r="AB71" s="84"/>
    </row>
    <row r="72" spans="1:28" s="10" customFormat="1" ht="11.1" customHeight="1" x14ac:dyDescent="0.2">
      <c r="A72" s="57" t="s">
        <v>18</v>
      </c>
      <c r="B72" s="95"/>
      <c r="C72" s="95"/>
      <c r="D72" s="95"/>
      <c r="E72" s="95"/>
      <c r="F72" s="95"/>
      <c r="G72" s="95"/>
      <c r="H72" s="95"/>
      <c r="I72" s="95"/>
    </row>
    <row r="73" spans="1:28" s="10" customFormat="1" ht="11.1" customHeight="1" x14ac:dyDescent="0.2">
      <c r="A73" s="57" t="s">
        <v>78</v>
      </c>
      <c r="B73" s="76"/>
      <c r="C73" s="76"/>
      <c r="D73" s="76"/>
      <c r="E73" s="76"/>
      <c r="F73" s="76"/>
      <c r="G73" s="76"/>
      <c r="H73" s="76"/>
      <c r="I73" s="76"/>
    </row>
    <row r="74" spans="1:28" s="10" customFormat="1" ht="11.1" customHeight="1" x14ac:dyDescent="0.2">
      <c r="A74" s="57" t="s">
        <v>33</v>
      </c>
    </row>
    <row r="75" spans="1:28" s="10" customFormat="1" ht="11.1" customHeight="1" x14ac:dyDescent="0.2">
      <c r="A75" s="6" t="s">
        <v>38</v>
      </c>
      <c r="B75" s="6"/>
      <c r="C75" s="6"/>
      <c r="D75" s="6"/>
      <c r="E75" s="6"/>
      <c r="F75" s="6"/>
      <c r="G75" s="6"/>
      <c r="H75" s="6"/>
      <c r="I75" s="6"/>
      <c r="J75" s="6"/>
      <c r="K75" s="6"/>
    </row>
    <row r="76" spans="1:28" s="10" customFormat="1" ht="11.1" customHeight="1" x14ac:dyDescent="0.2">
      <c r="A76" s="6" t="s">
        <v>39</v>
      </c>
      <c r="B76" s="6"/>
      <c r="C76" s="6"/>
      <c r="D76" s="6"/>
      <c r="E76" s="6"/>
      <c r="F76" s="6"/>
      <c r="G76" s="6"/>
      <c r="H76" s="6"/>
      <c r="I76" s="6"/>
      <c r="J76" s="6"/>
      <c r="K76" s="6"/>
    </row>
    <row r="77" spans="1:28" s="10" customFormat="1" ht="11.1" customHeight="1" x14ac:dyDescent="0.2">
      <c r="A77" s="6" t="s">
        <v>213</v>
      </c>
      <c r="B77" s="6"/>
      <c r="C77" s="6"/>
      <c r="D77" s="6"/>
      <c r="E77" s="6"/>
      <c r="F77" s="6"/>
      <c r="G77" s="6"/>
      <c r="H77" s="6"/>
      <c r="I77" s="6"/>
      <c r="J77" s="6"/>
      <c r="K77" s="6"/>
    </row>
    <row r="78" spans="1:28" s="10" customFormat="1" ht="11.1" customHeight="1" x14ac:dyDescent="0.2">
      <c r="A78" s="6" t="s">
        <v>214</v>
      </c>
      <c r="B78" s="6"/>
      <c r="C78" s="6"/>
      <c r="D78" s="6"/>
      <c r="E78" s="6"/>
      <c r="F78" s="6"/>
      <c r="G78" s="6"/>
      <c r="H78" s="6"/>
      <c r="I78" s="6"/>
      <c r="J78" s="6"/>
      <c r="K78" s="6"/>
    </row>
    <row r="79" spans="1:28" s="10" customFormat="1" ht="11.1" customHeight="1" x14ac:dyDescent="0.2">
      <c r="A79" s="6" t="s">
        <v>447</v>
      </c>
      <c r="B79" s="6"/>
      <c r="C79" s="6"/>
      <c r="D79" s="6"/>
      <c r="E79" s="6"/>
      <c r="F79" s="6"/>
      <c r="G79" s="6"/>
      <c r="H79" s="6"/>
      <c r="I79" s="6"/>
      <c r="J79" s="6"/>
      <c r="K79" s="6"/>
    </row>
    <row r="80" spans="1:28" s="10" customFormat="1" ht="11.1" customHeight="1" x14ac:dyDescent="0.2">
      <c r="A80" s="6"/>
      <c r="B80" s="6"/>
      <c r="C80" s="6"/>
      <c r="D80" s="6"/>
      <c r="E80" s="6"/>
      <c r="F80" s="6"/>
      <c r="G80" s="6"/>
      <c r="H80" s="6"/>
      <c r="I80" s="6"/>
      <c r="J80" s="6"/>
      <c r="K80" s="6"/>
    </row>
    <row r="81" spans="1:11" s="10" customFormat="1" ht="11.1" customHeight="1" x14ac:dyDescent="0.2">
      <c r="A81" s="6" t="s">
        <v>216</v>
      </c>
      <c r="B81" s="6"/>
      <c r="C81" s="6"/>
      <c r="D81" s="6"/>
      <c r="E81" s="6"/>
      <c r="F81" s="6"/>
      <c r="G81" s="6"/>
      <c r="H81" s="6"/>
      <c r="I81" s="6"/>
      <c r="J81" s="6"/>
      <c r="K81" s="6"/>
    </row>
    <row r="82" spans="1:11" x14ac:dyDescent="0.25">
      <c r="A82" s="4"/>
      <c r="B82" s="5"/>
      <c r="C82" s="5"/>
      <c r="D82" s="5"/>
      <c r="E82" s="5"/>
      <c r="F82" s="5"/>
      <c r="G82" s="5"/>
      <c r="H82" s="5"/>
      <c r="I82" s="5"/>
      <c r="J82" s="5"/>
      <c r="K82" s="5"/>
    </row>
    <row r="83" spans="1:11" x14ac:dyDescent="0.25">
      <c r="A83" s="4"/>
      <c r="B83" s="5"/>
      <c r="C83" s="5"/>
      <c r="D83" s="5"/>
      <c r="E83" s="5"/>
      <c r="F83" s="5"/>
      <c r="G83" s="5"/>
      <c r="H83" s="5"/>
      <c r="I83" s="5"/>
      <c r="J83" s="5"/>
      <c r="K83" s="5"/>
    </row>
    <row r="84" spans="1:11" x14ac:dyDescent="0.25">
      <c r="A84" s="79"/>
      <c r="B84" s="76"/>
      <c r="C84" s="76"/>
      <c r="D84" s="76"/>
      <c r="E84" s="76"/>
      <c r="F84" s="76"/>
      <c r="G84" s="76"/>
      <c r="H84" s="76"/>
      <c r="I84" s="76"/>
      <c r="J84" s="76"/>
    </row>
    <row r="87" spans="1:11" x14ac:dyDescent="0.25">
      <c r="D87" s="5"/>
    </row>
  </sheetData>
  <mergeCells count="9">
    <mergeCell ref="A55:K55"/>
    <mergeCell ref="A61:J61"/>
    <mergeCell ref="A40:K40"/>
    <mergeCell ref="L40:M40"/>
    <mergeCell ref="A1:K1"/>
    <mergeCell ref="A15:K15"/>
    <mergeCell ref="A16:K16"/>
    <mergeCell ref="A21:K21"/>
    <mergeCell ref="A54:K54"/>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I27"/>
  <sheetViews>
    <sheetView zoomScaleNormal="100" workbookViewId="0">
      <selection activeCell="D7" sqref="D7"/>
    </sheetView>
  </sheetViews>
  <sheetFormatPr defaultColWidth="9.140625" defaultRowHeight="15" x14ac:dyDescent="0.25"/>
  <cols>
    <col min="1" max="1" width="25" style="1" customWidth="1"/>
    <col min="2" max="7" width="11.42578125" style="1" bestFit="1" customWidth="1"/>
    <col min="8" max="16384" width="9.140625" style="1"/>
  </cols>
  <sheetData>
    <row r="1" spans="1:7" ht="46.5" customHeight="1" x14ac:dyDescent="0.25">
      <c r="A1" s="209" t="s">
        <v>343</v>
      </c>
      <c r="B1" s="209"/>
      <c r="C1" s="209"/>
      <c r="D1" s="209"/>
      <c r="E1" s="209"/>
      <c r="F1" s="60"/>
      <c r="G1" s="60"/>
    </row>
    <row r="2" spans="1:7" ht="5.25" customHeight="1" x14ac:dyDescent="0.25">
      <c r="A2" s="2"/>
    </row>
    <row r="3" spans="1:7" ht="23.25" x14ac:dyDescent="0.25">
      <c r="A3" s="52" t="s">
        <v>191</v>
      </c>
      <c r="B3" s="3" t="s">
        <v>22</v>
      </c>
      <c r="C3" s="3" t="s">
        <v>23</v>
      </c>
      <c r="D3" s="3" t="s">
        <v>24</v>
      </c>
      <c r="E3" s="11" t="s">
        <v>12</v>
      </c>
    </row>
    <row r="4" spans="1:7" x14ac:dyDescent="0.25">
      <c r="A4" s="106">
        <v>1</v>
      </c>
      <c r="B4" s="169">
        <v>1361</v>
      </c>
      <c r="C4" s="169">
        <v>1021</v>
      </c>
      <c r="D4" s="169">
        <v>48</v>
      </c>
      <c r="E4" s="169">
        <v>2430</v>
      </c>
    </row>
    <row r="5" spans="1:7" x14ac:dyDescent="0.25">
      <c r="A5" s="106">
        <v>2</v>
      </c>
      <c r="B5" s="169">
        <v>601</v>
      </c>
      <c r="C5" s="169">
        <v>387</v>
      </c>
      <c r="D5" s="169">
        <v>7</v>
      </c>
      <c r="E5" s="169">
        <v>995</v>
      </c>
    </row>
    <row r="6" spans="1:7" x14ac:dyDescent="0.25">
      <c r="A6" s="106">
        <v>3</v>
      </c>
      <c r="B6" s="169">
        <v>282</v>
      </c>
      <c r="C6" s="169">
        <v>198</v>
      </c>
      <c r="D6" s="169">
        <v>3</v>
      </c>
      <c r="E6" s="169">
        <v>483</v>
      </c>
    </row>
    <row r="7" spans="1:7" x14ac:dyDescent="0.25">
      <c r="A7" s="106">
        <v>4</v>
      </c>
      <c r="B7" s="169">
        <v>148</v>
      </c>
      <c r="C7" s="169">
        <v>90</v>
      </c>
      <c r="D7" s="5" t="s">
        <v>167</v>
      </c>
      <c r="E7" s="169">
        <v>238</v>
      </c>
    </row>
    <row r="8" spans="1:7" x14ac:dyDescent="0.25">
      <c r="A8" s="106">
        <v>5</v>
      </c>
      <c r="B8" s="169">
        <v>80</v>
      </c>
      <c r="C8" s="169">
        <v>50</v>
      </c>
      <c r="D8" s="5" t="s">
        <v>167</v>
      </c>
      <c r="E8" s="169">
        <v>130</v>
      </c>
    </row>
    <row r="9" spans="1:7" x14ac:dyDescent="0.25">
      <c r="A9" s="106" t="s">
        <v>81</v>
      </c>
      <c r="B9" s="169">
        <v>128</v>
      </c>
      <c r="C9" s="169">
        <v>78</v>
      </c>
      <c r="D9" s="5" t="s">
        <v>167</v>
      </c>
      <c r="E9" s="169">
        <v>206</v>
      </c>
      <c r="F9" s="128"/>
    </row>
    <row r="10" spans="1:7" ht="14.25" customHeight="1" x14ac:dyDescent="0.25">
      <c r="A10" s="109" t="s">
        <v>12</v>
      </c>
      <c r="B10" s="81">
        <v>2600</v>
      </c>
      <c r="C10" s="81">
        <v>1824</v>
      </c>
      <c r="D10" s="81">
        <v>58</v>
      </c>
      <c r="E10" s="81">
        <v>4482</v>
      </c>
      <c r="F10" s="128"/>
    </row>
    <row r="11" spans="1:7" ht="3.75" customHeight="1" x14ac:dyDescent="0.25">
      <c r="A11" s="53"/>
      <c r="B11" s="53"/>
      <c r="C11" s="53"/>
      <c r="D11" s="53"/>
      <c r="E11" s="53"/>
    </row>
    <row r="12" spans="1:7" s="6" customFormat="1" ht="11.1" customHeight="1" x14ac:dyDescent="0.15">
      <c r="A12" s="6" t="s">
        <v>271</v>
      </c>
    </row>
    <row r="13" spans="1:7" ht="12" customHeight="1" x14ac:dyDescent="0.25">
      <c r="A13" s="2"/>
    </row>
    <row r="14" spans="1:7" x14ac:dyDescent="0.25">
      <c r="B14" s="128"/>
      <c r="C14" s="128"/>
    </row>
    <row r="15" spans="1:7" x14ac:dyDescent="0.25">
      <c r="B15" s="173"/>
      <c r="C15" s="173"/>
    </row>
    <row r="21" spans="6:9" x14ac:dyDescent="0.25">
      <c r="F21" s="127"/>
      <c r="G21" s="127"/>
      <c r="I21" s="127"/>
    </row>
    <row r="27" spans="6:9" x14ac:dyDescent="0.25">
      <c r="F27" s="127"/>
      <c r="G27" s="127"/>
      <c r="I27" s="127"/>
    </row>
  </sheetData>
  <mergeCells count="1">
    <mergeCell ref="A1:E1"/>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O122"/>
  <sheetViews>
    <sheetView topLeftCell="B1" zoomScaleNormal="100" workbookViewId="0">
      <selection activeCell="L35" sqref="L35"/>
    </sheetView>
  </sheetViews>
  <sheetFormatPr defaultColWidth="9.140625" defaultRowHeight="15" x14ac:dyDescent="0.25"/>
  <cols>
    <col min="1" max="12" width="11.42578125" style="1" bestFit="1" customWidth="1"/>
    <col min="13" max="16384" width="9.140625" style="1"/>
  </cols>
  <sheetData>
    <row r="1" spans="1:12" ht="28.5" customHeight="1" x14ac:dyDescent="0.25">
      <c r="A1" s="209" t="s">
        <v>345</v>
      </c>
      <c r="B1" s="227"/>
      <c r="C1" s="227"/>
      <c r="D1" s="227"/>
      <c r="E1" s="227"/>
      <c r="F1" s="227"/>
      <c r="G1" s="227"/>
      <c r="H1" s="227"/>
      <c r="I1" s="227"/>
      <c r="J1" s="227"/>
      <c r="K1" s="60"/>
      <c r="L1" s="60"/>
    </row>
    <row r="2" spans="1:12" s="12" customFormat="1" ht="1.5" customHeight="1" x14ac:dyDescent="0.2">
      <c r="A2" s="12" t="s">
        <v>16</v>
      </c>
    </row>
    <row r="3" spans="1:12" ht="23.25" x14ac:dyDescent="0.25">
      <c r="A3" s="61" t="s">
        <v>186</v>
      </c>
      <c r="B3" s="3" t="s">
        <v>1</v>
      </c>
      <c r="C3" s="3" t="s">
        <v>2</v>
      </c>
      <c r="D3" s="3" t="s">
        <v>3</v>
      </c>
      <c r="E3" s="3" t="s">
        <v>4</v>
      </c>
      <c r="F3" s="3" t="s">
        <v>5</v>
      </c>
      <c r="G3" s="3" t="s">
        <v>6</v>
      </c>
      <c r="H3" s="3" t="s">
        <v>7</v>
      </c>
      <c r="I3" s="3" t="s">
        <v>8</v>
      </c>
      <c r="J3" s="3" t="s">
        <v>9</v>
      </c>
      <c r="K3" s="63"/>
    </row>
    <row r="4" spans="1:12" ht="14.45" customHeight="1" x14ac:dyDescent="0.25">
      <c r="A4" s="62"/>
      <c r="B4" s="224" t="s">
        <v>448</v>
      </c>
      <c r="C4" s="225"/>
      <c r="D4" s="225"/>
      <c r="E4" s="225"/>
      <c r="F4" s="225"/>
      <c r="G4" s="225"/>
      <c r="H4" s="225"/>
      <c r="I4" s="225"/>
      <c r="J4" s="225"/>
      <c r="K4" s="63"/>
    </row>
    <row r="5" spans="1:12" ht="15" customHeight="1" x14ac:dyDescent="0.25">
      <c r="A5" s="4" t="s">
        <v>22</v>
      </c>
      <c r="B5" s="13">
        <v>2</v>
      </c>
      <c r="C5" s="13">
        <v>24</v>
      </c>
      <c r="D5" s="13">
        <v>30</v>
      </c>
      <c r="E5" s="13">
        <v>2</v>
      </c>
      <c r="F5" s="13">
        <v>5</v>
      </c>
      <c r="G5" s="13">
        <v>19</v>
      </c>
      <c r="H5" s="13">
        <v>2</v>
      </c>
      <c r="I5" s="13">
        <v>5</v>
      </c>
      <c r="J5" s="13">
        <v>5</v>
      </c>
    </row>
    <row r="6" spans="1:12" ht="15" customHeight="1" x14ac:dyDescent="0.25">
      <c r="A6" s="4" t="s">
        <v>23</v>
      </c>
      <c r="B6" s="13">
        <v>2</v>
      </c>
      <c r="C6" s="13">
        <v>20</v>
      </c>
      <c r="D6" s="13">
        <v>28</v>
      </c>
      <c r="E6" s="13">
        <v>3</v>
      </c>
      <c r="F6" s="13">
        <v>7</v>
      </c>
      <c r="G6" s="13">
        <v>19</v>
      </c>
      <c r="H6" s="13">
        <v>2</v>
      </c>
      <c r="I6" s="13">
        <v>4</v>
      </c>
      <c r="J6" s="13">
        <v>5</v>
      </c>
    </row>
    <row r="7" spans="1:12" ht="15" customHeight="1" x14ac:dyDescent="0.25">
      <c r="A7" s="4" t="s">
        <v>24</v>
      </c>
      <c r="B7" s="13">
        <v>2</v>
      </c>
      <c r="C7" s="13">
        <v>27</v>
      </c>
      <c r="D7" s="13">
        <v>42</v>
      </c>
      <c r="E7" s="13" t="s">
        <v>167</v>
      </c>
      <c r="F7" s="13">
        <v>4</v>
      </c>
      <c r="G7" s="13" t="s">
        <v>167</v>
      </c>
      <c r="H7" s="13" t="s">
        <v>167</v>
      </c>
      <c r="I7" s="13">
        <v>4</v>
      </c>
      <c r="J7" s="13">
        <v>2</v>
      </c>
    </row>
    <row r="8" spans="1:12" ht="15" customHeight="1" x14ac:dyDescent="0.25">
      <c r="A8" s="68" t="s">
        <v>12</v>
      </c>
      <c r="B8" s="63">
        <v>2</v>
      </c>
      <c r="C8" s="63">
        <v>21</v>
      </c>
      <c r="D8" s="63">
        <v>29</v>
      </c>
      <c r="E8" s="63">
        <v>2</v>
      </c>
      <c r="F8" s="63">
        <v>5</v>
      </c>
      <c r="G8" s="63">
        <v>19</v>
      </c>
      <c r="H8" s="63">
        <v>2</v>
      </c>
      <c r="I8" s="63">
        <v>5</v>
      </c>
      <c r="J8" s="63">
        <v>5</v>
      </c>
    </row>
    <row r="9" spans="1:12" ht="15" customHeight="1" x14ac:dyDescent="0.25">
      <c r="B9" s="226" t="s">
        <v>192</v>
      </c>
      <c r="C9" s="226"/>
      <c r="D9" s="226"/>
      <c r="E9" s="226"/>
      <c r="F9" s="226"/>
      <c r="G9" s="226"/>
      <c r="H9" s="226"/>
      <c r="I9" s="226"/>
      <c r="J9" s="226"/>
    </row>
    <row r="10" spans="1:12" ht="15" customHeight="1" x14ac:dyDescent="0.25">
      <c r="A10" s="4" t="s">
        <v>22</v>
      </c>
      <c r="B10" s="13">
        <v>2</v>
      </c>
      <c r="C10" s="13">
        <v>25</v>
      </c>
      <c r="D10" s="13">
        <v>36</v>
      </c>
      <c r="E10" s="13">
        <v>2</v>
      </c>
      <c r="F10" s="13">
        <v>5</v>
      </c>
      <c r="G10" s="13">
        <v>20</v>
      </c>
      <c r="H10" s="13">
        <v>2</v>
      </c>
      <c r="I10" s="13">
        <v>5</v>
      </c>
      <c r="J10" s="13">
        <v>6</v>
      </c>
    </row>
    <row r="11" spans="1:12" ht="15" customHeight="1" x14ac:dyDescent="0.25">
      <c r="A11" s="4" t="s">
        <v>23</v>
      </c>
      <c r="B11" s="13">
        <v>2</v>
      </c>
      <c r="C11" s="13">
        <v>22</v>
      </c>
      <c r="D11" s="13">
        <v>32</v>
      </c>
      <c r="E11" s="13">
        <v>3</v>
      </c>
      <c r="F11" s="13">
        <v>7</v>
      </c>
      <c r="G11" s="13">
        <v>25</v>
      </c>
      <c r="H11" s="13">
        <v>2</v>
      </c>
      <c r="I11" s="13">
        <v>4</v>
      </c>
      <c r="J11" s="13">
        <v>6</v>
      </c>
    </row>
    <row r="12" spans="1:12" ht="15" customHeight="1" x14ac:dyDescent="0.25">
      <c r="A12" s="4" t="s">
        <v>24</v>
      </c>
      <c r="B12" s="13">
        <v>2</v>
      </c>
      <c r="C12" s="13">
        <v>27</v>
      </c>
      <c r="D12" s="13">
        <v>42</v>
      </c>
      <c r="E12" s="13" t="s">
        <v>167</v>
      </c>
      <c r="F12" s="13">
        <v>4</v>
      </c>
      <c r="G12" s="13" t="s">
        <v>167</v>
      </c>
      <c r="H12" s="13" t="s">
        <v>167</v>
      </c>
      <c r="I12" s="13">
        <v>4</v>
      </c>
      <c r="J12" s="13">
        <v>2</v>
      </c>
    </row>
    <row r="13" spans="1:12" ht="15" customHeight="1" x14ac:dyDescent="0.25">
      <c r="A13" s="68" t="s">
        <v>12</v>
      </c>
      <c r="B13" s="63">
        <v>2</v>
      </c>
      <c r="C13" s="63">
        <v>22</v>
      </c>
      <c r="D13" s="63">
        <v>35</v>
      </c>
      <c r="E13" s="63">
        <v>2</v>
      </c>
      <c r="F13" s="63">
        <v>6</v>
      </c>
      <c r="G13" s="63">
        <v>22</v>
      </c>
      <c r="H13" s="63">
        <v>2</v>
      </c>
      <c r="I13" s="63">
        <v>5</v>
      </c>
      <c r="J13" s="63">
        <v>6</v>
      </c>
    </row>
    <row r="14" spans="1:12" ht="15" customHeight="1" x14ac:dyDescent="0.25">
      <c r="B14" s="226" t="s">
        <v>193</v>
      </c>
      <c r="C14" s="226"/>
      <c r="D14" s="226"/>
      <c r="E14" s="226"/>
      <c r="F14" s="226"/>
      <c r="G14" s="226"/>
      <c r="H14" s="226"/>
      <c r="I14" s="226"/>
      <c r="J14" s="226"/>
    </row>
    <row r="15" spans="1:12" ht="15" customHeight="1" x14ac:dyDescent="0.25">
      <c r="A15" s="4" t="s">
        <v>22</v>
      </c>
      <c r="B15" s="125">
        <v>1589</v>
      </c>
      <c r="C15" s="125">
        <v>105</v>
      </c>
      <c r="D15" s="13">
        <v>1271</v>
      </c>
      <c r="E15" s="125">
        <v>1210</v>
      </c>
      <c r="F15" s="125">
        <v>432</v>
      </c>
      <c r="G15" s="125">
        <v>41</v>
      </c>
      <c r="H15" s="125">
        <v>66</v>
      </c>
      <c r="I15" s="125">
        <v>633</v>
      </c>
      <c r="J15" s="13">
        <v>5347</v>
      </c>
    </row>
    <row r="16" spans="1:12" ht="15" customHeight="1" x14ac:dyDescent="0.25">
      <c r="A16" s="4" t="s">
        <v>23</v>
      </c>
      <c r="B16" s="125">
        <v>1276</v>
      </c>
      <c r="C16" s="125">
        <v>589</v>
      </c>
      <c r="D16" s="13">
        <v>516</v>
      </c>
      <c r="E16" s="125">
        <v>684</v>
      </c>
      <c r="F16" s="125">
        <v>288</v>
      </c>
      <c r="G16" s="125">
        <v>95</v>
      </c>
      <c r="H16" s="125">
        <v>138</v>
      </c>
      <c r="I16" s="125">
        <v>27</v>
      </c>
      <c r="J16" s="13">
        <v>3613</v>
      </c>
    </row>
    <row r="17" spans="1:12" ht="15" customHeight="1" x14ac:dyDescent="0.25">
      <c r="A17" s="4" t="s">
        <v>24</v>
      </c>
      <c r="B17" s="125">
        <v>59</v>
      </c>
      <c r="C17" s="125">
        <v>2</v>
      </c>
      <c r="D17" s="13">
        <v>3</v>
      </c>
      <c r="E17" s="125" t="s">
        <v>167</v>
      </c>
      <c r="F17" s="125">
        <v>3</v>
      </c>
      <c r="G17" s="125" t="s">
        <v>167</v>
      </c>
      <c r="H17" s="125" t="s">
        <v>167</v>
      </c>
      <c r="I17" s="125">
        <v>4</v>
      </c>
      <c r="J17" s="13">
        <v>71</v>
      </c>
    </row>
    <row r="18" spans="1:12" ht="15" customHeight="1" x14ac:dyDescent="0.25">
      <c r="A18" s="68" t="s">
        <v>12</v>
      </c>
      <c r="B18" s="126">
        <v>2924</v>
      </c>
      <c r="C18" s="126">
        <v>696</v>
      </c>
      <c r="D18" s="63">
        <v>1790</v>
      </c>
      <c r="E18" s="126">
        <v>1894</v>
      </c>
      <c r="F18" s="126">
        <v>723</v>
      </c>
      <c r="G18" s="126">
        <v>136</v>
      </c>
      <c r="H18" s="126">
        <v>204</v>
      </c>
      <c r="I18" s="126">
        <v>664</v>
      </c>
      <c r="J18" s="63">
        <v>9031</v>
      </c>
    </row>
    <row r="19" spans="1:12" ht="15" customHeight="1" x14ac:dyDescent="0.25">
      <c r="B19" s="226" t="s">
        <v>194</v>
      </c>
      <c r="C19" s="226"/>
      <c r="D19" s="226"/>
      <c r="E19" s="226"/>
      <c r="F19" s="226"/>
      <c r="G19" s="226"/>
      <c r="H19" s="226"/>
      <c r="I19" s="226"/>
      <c r="J19" s="226"/>
    </row>
    <row r="20" spans="1:12" ht="15" customHeight="1" x14ac:dyDescent="0.25">
      <c r="A20" s="4" t="s">
        <v>22</v>
      </c>
      <c r="B20" s="125">
        <v>787</v>
      </c>
      <c r="C20" s="125">
        <v>55</v>
      </c>
      <c r="D20" s="13">
        <v>696</v>
      </c>
      <c r="E20" s="125">
        <v>523</v>
      </c>
      <c r="F20" s="125">
        <v>186</v>
      </c>
      <c r="G20" s="125">
        <v>23</v>
      </c>
      <c r="H20" s="125">
        <v>31</v>
      </c>
      <c r="I20" s="125">
        <v>299</v>
      </c>
      <c r="J20" s="13">
        <v>2600</v>
      </c>
    </row>
    <row r="21" spans="1:12" ht="15" customHeight="1" x14ac:dyDescent="0.25">
      <c r="A21" s="4" t="s">
        <v>23</v>
      </c>
      <c r="B21" s="125">
        <v>652</v>
      </c>
      <c r="C21" s="125">
        <v>323</v>
      </c>
      <c r="D21" s="13">
        <v>306</v>
      </c>
      <c r="E21" s="125">
        <v>267</v>
      </c>
      <c r="F21" s="125">
        <v>156</v>
      </c>
      <c r="G21" s="125">
        <v>46</v>
      </c>
      <c r="H21" s="125">
        <v>65</v>
      </c>
      <c r="I21" s="125">
        <v>9</v>
      </c>
      <c r="J21" s="13">
        <v>1824</v>
      </c>
    </row>
    <row r="22" spans="1:12" ht="15" customHeight="1" x14ac:dyDescent="0.25">
      <c r="A22" s="4" t="s">
        <v>24</v>
      </c>
      <c r="B22" s="125">
        <v>48</v>
      </c>
      <c r="C22" s="125">
        <v>1</v>
      </c>
      <c r="D22" s="13">
        <v>3</v>
      </c>
      <c r="E22" s="125" t="s">
        <v>167</v>
      </c>
      <c r="F22" s="125">
        <v>3</v>
      </c>
      <c r="G22" s="125" t="s">
        <v>167</v>
      </c>
      <c r="H22" s="125" t="s">
        <v>167</v>
      </c>
      <c r="I22" s="125">
        <v>3</v>
      </c>
      <c r="J22" s="13">
        <v>58</v>
      </c>
    </row>
    <row r="23" spans="1:12" ht="15" customHeight="1" x14ac:dyDescent="0.25">
      <c r="A23" s="39" t="s">
        <v>12</v>
      </c>
      <c r="B23" s="126">
        <v>1487</v>
      </c>
      <c r="C23" s="126">
        <v>379</v>
      </c>
      <c r="D23" s="63">
        <v>1005</v>
      </c>
      <c r="E23" s="126">
        <v>790</v>
      </c>
      <c r="F23" s="126">
        <v>345</v>
      </c>
      <c r="G23" s="126">
        <v>69</v>
      </c>
      <c r="H23" s="126">
        <v>96</v>
      </c>
      <c r="I23" s="126">
        <v>311</v>
      </c>
      <c r="J23" s="63">
        <v>4482</v>
      </c>
    </row>
    <row r="24" spans="1:12" ht="3" customHeight="1" x14ac:dyDescent="0.25">
      <c r="A24" s="2"/>
    </row>
    <row r="25" spans="1:12" ht="11.1" customHeight="1" x14ac:dyDescent="0.25">
      <c r="A25" s="206" t="s">
        <v>18</v>
      </c>
      <c r="B25" s="206"/>
      <c r="C25" s="206"/>
      <c r="D25" s="206"/>
      <c r="E25" s="206"/>
      <c r="F25" s="206"/>
      <c r="G25" s="206"/>
      <c r="H25" s="206"/>
      <c r="I25" s="206"/>
      <c r="J25" s="206"/>
      <c r="K25" s="202"/>
      <c r="L25" s="202"/>
    </row>
    <row r="26" spans="1:12" s="6" customFormat="1" ht="11.1" customHeight="1" x14ac:dyDescent="0.15">
      <c r="A26" s="6" t="s">
        <v>82</v>
      </c>
    </row>
    <row r="27" spans="1:12" s="6" customFormat="1" ht="11.1" customHeight="1" x14ac:dyDescent="0.15">
      <c r="A27" s="6" t="s">
        <v>83</v>
      </c>
    </row>
    <row r="28" spans="1:12" s="6" customFormat="1" ht="11.1" customHeight="1" x14ac:dyDescent="0.15">
      <c r="A28" s="6" t="s">
        <v>344</v>
      </c>
    </row>
    <row r="29" spans="1:12" s="6" customFormat="1" ht="11.1" customHeight="1" x14ac:dyDescent="0.15">
      <c r="A29" s="6" t="s">
        <v>16</v>
      </c>
    </row>
    <row r="30" spans="1:12" s="6" customFormat="1" ht="11.1" customHeight="1" x14ac:dyDescent="0.15">
      <c r="A30" s="6" t="s">
        <v>271</v>
      </c>
    </row>
    <row r="31" spans="1:12" ht="12" customHeight="1" x14ac:dyDescent="0.25">
      <c r="A31" s="2"/>
    </row>
    <row r="92" spans="7:15" x14ac:dyDescent="0.25">
      <c r="G92" s="127"/>
      <c r="I92" s="127"/>
      <c r="J92" s="127"/>
      <c r="O92" s="127"/>
    </row>
    <row r="93" spans="7:15" x14ac:dyDescent="0.25">
      <c r="G93" s="127"/>
      <c r="O93" s="127"/>
    </row>
    <row r="95" spans="7:15" x14ac:dyDescent="0.25">
      <c r="G95" s="127"/>
      <c r="I95" s="127"/>
      <c r="J95" s="127"/>
      <c r="O95" s="127"/>
    </row>
    <row r="119" spans="6:14" x14ac:dyDescent="0.25">
      <c r="N119" s="127"/>
    </row>
    <row r="120" spans="6:14" x14ac:dyDescent="0.25">
      <c r="N120" s="127"/>
    </row>
    <row r="122" spans="6:14" x14ac:dyDescent="0.25">
      <c r="F122" s="127"/>
      <c r="N122" s="127"/>
    </row>
  </sheetData>
  <mergeCells count="6">
    <mergeCell ref="A25:L25"/>
    <mergeCell ref="B4:J4"/>
    <mergeCell ref="B9:J9"/>
    <mergeCell ref="A1:J1"/>
    <mergeCell ref="B14:J14"/>
    <mergeCell ref="B19:J19"/>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L56"/>
  <sheetViews>
    <sheetView topLeftCell="F1" zoomScaleNormal="100" workbookViewId="0">
      <selection activeCell="S25" sqref="S25"/>
    </sheetView>
  </sheetViews>
  <sheetFormatPr defaultColWidth="9.140625" defaultRowHeight="15" x14ac:dyDescent="0.25"/>
  <cols>
    <col min="1" max="1" width="11.42578125" style="1" bestFit="1" customWidth="1"/>
    <col min="2" max="2" width="14.140625" style="1" customWidth="1"/>
    <col min="3" max="8" width="11.42578125" style="1" bestFit="1" customWidth="1"/>
    <col min="9" max="11" width="11.42578125" style="84" bestFit="1" customWidth="1"/>
    <col min="12" max="12" width="11.42578125" style="1" bestFit="1" customWidth="1"/>
    <col min="13" max="16384" width="9.140625" style="1"/>
  </cols>
  <sheetData>
    <row r="1" spans="1:12" ht="27.75" customHeight="1" x14ac:dyDescent="0.25">
      <c r="A1" s="209" t="s">
        <v>346</v>
      </c>
      <c r="B1" s="209"/>
      <c r="C1" s="209"/>
      <c r="D1" s="209"/>
      <c r="E1" s="209"/>
      <c r="F1" s="209"/>
      <c r="G1" s="209"/>
      <c r="H1" s="209"/>
      <c r="I1" s="209"/>
      <c r="J1" s="209"/>
      <c r="K1" s="209"/>
      <c r="L1" s="209"/>
    </row>
    <row r="2" spans="1:12" ht="0.75" customHeight="1" x14ac:dyDescent="0.25">
      <c r="A2" s="2"/>
    </row>
    <row r="3" spans="1:12" ht="23.25" x14ac:dyDescent="0.25">
      <c r="A3" s="52" t="s">
        <v>189</v>
      </c>
      <c r="B3" s="52" t="s">
        <v>186</v>
      </c>
      <c r="C3" s="52" t="s">
        <v>185</v>
      </c>
      <c r="D3" s="3" t="s">
        <v>1</v>
      </c>
      <c r="E3" s="3" t="s">
        <v>2</v>
      </c>
      <c r="F3" s="3" t="s">
        <v>3</v>
      </c>
      <c r="G3" s="3" t="s">
        <v>4</v>
      </c>
      <c r="H3" s="3" t="s">
        <v>5</v>
      </c>
      <c r="I3" s="85" t="s">
        <v>6</v>
      </c>
      <c r="J3" s="85" t="s">
        <v>7</v>
      </c>
      <c r="K3" s="85" t="s">
        <v>8</v>
      </c>
      <c r="L3" s="3" t="s">
        <v>9</v>
      </c>
    </row>
    <row r="4" spans="1:12" x14ac:dyDescent="0.25">
      <c r="A4" s="203" t="s">
        <v>51</v>
      </c>
      <c r="B4" s="203" t="s">
        <v>22</v>
      </c>
      <c r="C4" s="4" t="s">
        <v>21</v>
      </c>
      <c r="D4" s="5">
        <v>59.3</v>
      </c>
      <c r="E4" s="5">
        <v>105.2</v>
      </c>
      <c r="F4" s="5">
        <v>103.2</v>
      </c>
      <c r="G4" s="5">
        <v>83</v>
      </c>
      <c r="H4" s="5">
        <v>51.5</v>
      </c>
      <c r="I4" s="5" t="s">
        <v>174</v>
      </c>
      <c r="J4" s="5" t="s">
        <v>174</v>
      </c>
      <c r="K4" s="5">
        <v>70.099999999999994</v>
      </c>
      <c r="L4" s="5">
        <v>80.099999999999994</v>
      </c>
    </row>
    <row r="5" spans="1:12" x14ac:dyDescent="0.25">
      <c r="A5" s="203"/>
      <c r="B5" s="203"/>
      <c r="C5" s="4" t="s">
        <v>25</v>
      </c>
      <c r="D5" s="5">
        <v>22.7</v>
      </c>
      <c r="E5" s="5">
        <v>47.9</v>
      </c>
      <c r="F5" s="5">
        <v>44.1</v>
      </c>
      <c r="G5" s="5">
        <v>44.3</v>
      </c>
      <c r="H5" s="5">
        <v>41.3</v>
      </c>
      <c r="I5" s="5" t="s">
        <v>174</v>
      </c>
      <c r="J5" s="5" t="s">
        <v>174</v>
      </c>
      <c r="K5" s="5">
        <v>55.8</v>
      </c>
      <c r="L5" s="5">
        <v>37.9</v>
      </c>
    </row>
    <row r="6" spans="1:12" x14ac:dyDescent="0.25">
      <c r="A6" s="203"/>
      <c r="B6" s="203"/>
      <c r="C6" s="105" t="s">
        <v>12</v>
      </c>
      <c r="D6" s="76">
        <v>52</v>
      </c>
      <c r="E6" s="76">
        <v>99</v>
      </c>
      <c r="F6" s="76">
        <v>90.8</v>
      </c>
      <c r="G6" s="76">
        <v>76</v>
      </c>
      <c r="H6" s="76">
        <v>48.8</v>
      </c>
      <c r="I6" s="76">
        <v>89.1</v>
      </c>
      <c r="J6" s="76">
        <v>43.8</v>
      </c>
      <c r="K6" s="76">
        <v>68.5</v>
      </c>
      <c r="L6" s="76">
        <v>72</v>
      </c>
    </row>
    <row r="7" spans="1:12" ht="15" customHeight="1" x14ac:dyDescent="0.25">
      <c r="A7" s="203"/>
      <c r="B7" s="203" t="s">
        <v>23</v>
      </c>
      <c r="C7" s="4" t="s">
        <v>21</v>
      </c>
      <c r="D7" s="5">
        <v>57.4</v>
      </c>
      <c r="E7" s="5">
        <v>100.4</v>
      </c>
      <c r="F7" s="5">
        <v>83.5</v>
      </c>
      <c r="G7" s="5">
        <v>49</v>
      </c>
      <c r="H7" s="5">
        <v>32.9</v>
      </c>
      <c r="I7" s="5">
        <v>83.2</v>
      </c>
      <c r="J7" s="5">
        <v>61.9</v>
      </c>
      <c r="K7" s="5">
        <v>65.7</v>
      </c>
      <c r="L7" s="5">
        <v>71.3</v>
      </c>
    </row>
    <row r="8" spans="1:12" x14ac:dyDescent="0.25">
      <c r="A8" s="203"/>
      <c r="B8" s="203"/>
      <c r="C8" s="4" t="s">
        <v>25</v>
      </c>
      <c r="D8" s="5">
        <v>25.8</v>
      </c>
      <c r="E8" s="5">
        <v>47.3</v>
      </c>
      <c r="F8" s="5">
        <v>46.8</v>
      </c>
      <c r="G8" s="5">
        <v>15.7</v>
      </c>
      <c r="H8" s="5">
        <v>27.3</v>
      </c>
      <c r="I8" s="5">
        <v>26.6</v>
      </c>
      <c r="J8" s="5">
        <v>17.5</v>
      </c>
      <c r="K8" s="5">
        <v>14</v>
      </c>
      <c r="L8" s="5">
        <v>32.4</v>
      </c>
    </row>
    <row r="9" spans="1:12" x14ac:dyDescent="0.25">
      <c r="A9" s="203"/>
      <c r="B9" s="203"/>
      <c r="C9" s="105" t="s">
        <v>12</v>
      </c>
      <c r="D9" s="76">
        <v>52</v>
      </c>
      <c r="E9" s="76">
        <v>93.7</v>
      </c>
      <c r="F9" s="76">
        <v>76.7</v>
      </c>
      <c r="G9" s="76">
        <v>42.7</v>
      </c>
      <c r="H9" s="76">
        <v>31.9</v>
      </c>
      <c r="I9" s="76">
        <v>65.5</v>
      </c>
      <c r="J9" s="76">
        <v>46.8</v>
      </c>
      <c r="K9" s="76">
        <v>59.3</v>
      </c>
      <c r="L9" s="76">
        <v>64.599999999999994</v>
      </c>
    </row>
    <row r="10" spans="1:12" x14ac:dyDescent="0.25">
      <c r="A10" s="203"/>
      <c r="B10" s="203" t="s">
        <v>12</v>
      </c>
      <c r="C10" s="4" t="s">
        <v>21</v>
      </c>
      <c r="D10" s="5">
        <v>57</v>
      </c>
      <c r="E10" s="5">
        <v>101</v>
      </c>
      <c r="F10" s="5">
        <v>95.1</v>
      </c>
      <c r="G10" s="5">
        <v>71</v>
      </c>
      <c r="H10" s="5">
        <v>41.1</v>
      </c>
      <c r="I10" s="5">
        <v>85.6</v>
      </c>
      <c r="J10" s="5">
        <v>54.4</v>
      </c>
      <c r="K10" s="5">
        <v>69.900000000000006</v>
      </c>
      <c r="L10" s="5">
        <v>74.599999999999994</v>
      </c>
    </row>
    <row r="11" spans="1:12" x14ac:dyDescent="0.25">
      <c r="A11" s="203"/>
      <c r="B11" s="203"/>
      <c r="C11" s="4" t="s">
        <v>25</v>
      </c>
      <c r="D11" s="5">
        <v>23.6</v>
      </c>
      <c r="E11" s="5">
        <v>47.3</v>
      </c>
      <c r="F11" s="5">
        <v>44.8</v>
      </c>
      <c r="G11" s="5">
        <v>33.9</v>
      </c>
      <c r="H11" s="5">
        <v>34.6</v>
      </c>
      <c r="I11" s="5">
        <v>26.6</v>
      </c>
      <c r="J11" s="5">
        <v>23.5</v>
      </c>
      <c r="K11" s="5">
        <v>51.5</v>
      </c>
      <c r="L11" s="5">
        <v>34.6</v>
      </c>
    </row>
    <row r="12" spans="1:12" x14ac:dyDescent="0.25">
      <c r="A12" s="203"/>
      <c r="B12" s="203"/>
      <c r="C12" s="105" t="s">
        <v>12</v>
      </c>
      <c r="D12" s="76">
        <v>50.8</v>
      </c>
      <c r="E12" s="76">
        <v>94.3</v>
      </c>
      <c r="F12" s="76">
        <v>85</v>
      </c>
      <c r="G12" s="76">
        <v>64.2</v>
      </c>
      <c r="H12" s="76">
        <v>39.700000000000003</v>
      </c>
      <c r="I12" s="76">
        <v>73</v>
      </c>
      <c r="J12" s="76">
        <v>44.8</v>
      </c>
      <c r="K12" s="76">
        <v>67.8</v>
      </c>
      <c r="L12" s="76">
        <v>67.400000000000006</v>
      </c>
    </row>
    <row r="13" spans="1:12" x14ac:dyDescent="0.25">
      <c r="A13" s="203" t="s">
        <v>52</v>
      </c>
      <c r="B13" s="203" t="s">
        <v>22</v>
      </c>
      <c r="C13" s="4" t="s">
        <v>21</v>
      </c>
      <c r="D13" s="5">
        <v>56.8</v>
      </c>
      <c r="E13" s="5">
        <v>89.4</v>
      </c>
      <c r="F13" s="5">
        <v>114</v>
      </c>
      <c r="G13" s="5">
        <v>74.2</v>
      </c>
      <c r="H13" s="5">
        <v>52</v>
      </c>
      <c r="I13" s="5" t="s">
        <v>174</v>
      </c>
      <c r="J13" s="5" t="s">
        <v>174</v>
      </c>
      <c r="K13" s="5">
        <v>73.5</v>
      </c>
      <c r="L13" s="5">
        <v>80.099999999999994</v>
      </c>
    </row>
    <row r="14" spans="1:12" x14ac:dyDescent="0.25">
      <c r="A14" s="203"/>
      <c r="B14" s="203"/>
      <c r="C14" s="4" t="s">
        <v>25</v>
      </c>
      <c r="D14" s="5">
        <v>21.5</v>
      </c>
      <c r="E14" s="5">
        <v>51.2</v>
      </c>
      <c r="F14" s="5">
        <v>49.7</v>
      </c>
      <c r="G14" s="5">
        <v>31</v>
      </c>
      <c r="H14" s="5">
        <v>23.9</v>
      </c>
      <c r="I14" s="5" t="s">
        <v>174</v>
      </c>
      <c r="J14" s="5" t="s">
        <v>174</v>
      </c>
      <c r="K14" s="5">
        <v>43.9</v>
      </c>
      <c r="L14" s="5">
        <v>36.5</v>
      </c>
    </row>
    <row r="15" spans="1:12" x14ac:dyDescent="0.25">
      <c r="A15" s="203"/>
      <c r="B15" s="203"/>
      <c r="C15" s="105" t="s">
        <v>12</v>
      </c>
      <c r="D15" s="76">
        <v>50.6</v>
      </c>
      <c r="E15" s="76">
        <v>82.1</v>
      </c>
      <c r="F15" s="76">
        <v>100</v>
      </c>
      <c r="G15" s="76">
        <v>63.7</v>
      </c>
      <c r="H15" s="76">
        <v>44.7</v>
      </c>
      <c r="I15" s="76">
        <v>94.4</v>
      </c>
      <c r="J15" s="76">
        <v>62.8</v>
      </c>
      <c r="K15" s="76">
        <v>68.3</v>
      </c>
      <c r="L15" s="76">
        <v>71.099999999999994</v>
      </c>
    </row>
    <row r="16" spans="1:12" ht="15" customHeight="1" x14ac:dyDescent="0.25">
      <c r="A16" s="203"/>
      <c r="B16" s="203" t="s">
        <v>23</v>
      </c>
      <c r="C16" s="4" t="s">
        <v>21</v>
      </c>
      <c r="D16" s="5">
        <v>60.2</v>
      </c>
      <c r="E16" s="5">
        <v>97.8</v>
      </c>
      <c r="F16" s="5">
        <v>102.6</v>
      </c>
      <c r="G16" s="5">
        <v>43.2</v>
      </c>
      <c r="H16" s="5">
        <v>45.1</v>
      </c>
      <c r="I16" s="5">
        <v>71</v>
      </c>
      <c r="J16" s="5">
        <v>75.7</v>
      </c>
      <c r="K16" s="5">
        <v>72.599999999999994</v>
      </c>
      <c r="L16" s="5">
        <v>74</v>
      </c>
    </row>
    <row r="17" spans="1:12" x14ac:dyDescent="0.25">
      <c r="A17" s="203"/>
      <c r="B17" s="203"/>
      <c r="C17" s="4" t="s">
        <v>25</v>
      </c>
      <c r="D17" s="5">
        <v>23.5</v>
      </c>
      <c r="E17" s="5">
        <v>45.9</v>
      </c>
      <c r="F17" s="5">
        <v>55</v>
      </c>
      <c r="G17" s="5">
        <v>38.4</v>
      </c>
      <c r="H17" s="5">
        <v>23.6</v>
      </c>
      <c r="I17" s="5">
        <v>37.200000000000003</v>
      </c>
      <c r="J17" s="5">
        <v>15.5</v>
      </c>
      <c r="K17" s="5">
        <v>44.5</v>
      </c>
      <c r="L17" s="5">
        <v>35.700000000000003</v>
      </c>
    </row>
    <row r="18" spans="1:12" x14ac:dyDescent="0.25">
      <c r="A18" s="203"/>
      <c r="B18" s="203"/>
      <c r="C18" s="105" t="s">
        <v>12</v>
      </c>
      <c r="D18" s="76">
        <v>54.5</v>
      </c>
      <c r="E18" s="76">
        <v>90.8</v>
      </c>
      <c r="F18" s="76">
        <v>93.9</v>
      </c>
      <c r="G18" s="76">
        <v>42.4</v>
      </c>
      <c r="H18" s="76">
        <v>40.6</v>
      </c>
      <c r="I18" s="76">
        <v>60.8</v>
      </c>
      <c r="J18" s="76">
        <v>54.9</v>
      </c>
      <c r="K18" s="76">
        <v>67.5</v>
      </c>
      <c r="L18" s="76">
        <v>67.5</v>
      </c>
    </row>
    <row r="19" spans="1:12" x14ac:dyDescent="0.25">
      <c r="A19" s="203"/>
      <c r="B19" s="203" t="s">
        <v>12</v>
      </c>
      <c r="C19" s="4" t="s">
        <v>21</v>
      </c>
      <c r="D19" s="5">
        <v>58</v>
      </c>
      <c r="E19" s="5">
        <v>96.5</v>
      </c>
      <c r="F19" s="5">
        <v>109.8</v>
      </c>
      <c r="G19" s="5">
        <v>63.8</v>
      </c>
      <c r="H19" s="5">
        <v>48.3</v>
      </c>
      <c r="I19" s="5">
        <v>81.099999999999994</v>
      </c>
      <c r="J19" s="5">
        <v>68.8</v>
      </c>
      <c r="K19" s="5">
        <v>73</v>
      </c>
      <c r="L19" s="5">
        <v>76.900000000000006</v>
      </c>
    </row>
    <row r="20" spans="1:12" x14ac:dyDescent="0.25">
      <c r="A20" s="203"/>
      <c r="B20" s="203"/>
      <c r="C20" s="4" t="s">
        <v>25</v>
      </c>
      <c r="D20" s="5">
        <v>22.8</v>
      </c>
      <c r="E20" s="5">
        <v>46.9</v>
      </c>
      <c r="F20" s="5">
        <v>51.4</v>
      </c>
      <c r="G20" s="5">
        <v>32.799999999999997</v>
      </c>
      <c r="H20" s="5">
        <v>23.7</v>
      </c>
      <c r="I20" s="5">
        <v>37.200000000000003</v>
      </c>
      <c r="J20" s="5">
        <v>29.9</v>
      </c>
      <c r="K20" s="5">
        <v>45.4</v>
      </c>
      <c r="L20" s="5">
        <v>36.200000000000003</v>
      </c>
    </row>
    <row r="21" spans="1:12" x14ac:dyDescent="0.25">
      <c r="A21" s="203"/>
      <c r="B21" s="203"/>
      <c r="C21" s="105" t="s">
        <v>12</v>
      </c>
      <c r="D21" s="76">
        <v>52.1</v>
      </c>
      <c r="E21" s="76">
        <v>89.4</v>
      </c>
      <c r="F21" s="76">
        <v>97.8</v>
      </c>
      <c r="G21" s="76">
        <v>57</v>
      </c>
      <c r="H21" s="76">
        <v>42.6</v>
      </c>
      <c r="I21" s="76">
        <v>72.5</v>
      </c>
      <c r="J21" s="76">
        <v>56</v>
      </c>
      <c r="K21" s="76">
        <v>68.099999999999994</v>
      </c>
      <c r="L21" s="76">
        <v>69.2</v>
      </c>
    </row>
    <row r="22" spans="1:12" x14ac:dyDescent="0.25">
      <c r="A22" s="203" t="s">
        <v>53</v>
      </c>
      <c r="B22" s="203" t="s">
        <v>22</v>
      </c>
      <c r="C22" s="4" t="s">
        <v>21</v>
      </c>
      <c r="D22" s="5">
        <v>58.5</v>
      </c>
      <c r="E22" s="5">
        <v>84.4</v>
      </c>
      <c r="F22" s="5">
        <v>114.4</v>
      </c>
      <c r="G22" s="5">
        <v>58.1</v>
      </c>
      <c r="H22" s="5">
        <v>41.7</v>
      </c>
      <c r="I22" s="5">
        <v>98.6</v>
      </c>
      <c r="J22" s="5">
        <v>61.6</v>
      </c>
      <c r="K22" s="5">
        <v>69.8</v>
      </c>
      <c r="L22" s="5">
        <v>75.8</v>
      </c>
    </row>
    <row r="23" spans="1:12" x14ac:dyDescent="0.25">
      <c r="A23" s="203"/>
      <c r="B23" s="203"/>
      <c r="C23" s="4" t="s">
        <v>25</v>
      </c>
      <c r="D23" s="5">
        <v>15</v>
      </c>
      <c r="E23" s="5">
        <v>30.3</v>
      </c>
      <c r="F23" s="5">
        <v>64.400000000000006</v>
      </c>
      <c r="G23" s="5">
        <v>21.1</v>
      </c>
      <c r="H23" s="5">
        <v>28.9</v>
      </c>
      <c r="I23" s="13">
        <v>89</v>
      </c>
      <c r="J23" s="5">
        <v>48</v>
      </c>
      <c r="K23" s="5">
        <v>57.3</v>
      </c>
      <c r="L23" s="5">
        <v>38</v>
      </c>
    </row>
    <row r="24" spans="1:12" x14ac:dyDescent="0.25">
      <c r="A24" s="203"/>
      <c r="B24" s="203"/>
      <c r="C24" s="105" t="s">
        <v>12</v>
      </c>
      <c r="D24" s="76">
        <v>50.8</v>
      </c>
      <c r="E24" s="76">
        <v>79</v>
      </c>
      <c r="F24" s="76">
        <v>103.4</v>
      </c>
      <c r="G24" s="76">
        <v>50.3</v>
      </c>
      <c r="H24" s="76">
        <v>37.700000000000003</v>
      </c>
      <c r="I24" s="76">
        <v>95.8</v>
      </c>
      <c r="J24" s="76">
        <v>57.7</v>
      </c>
      <c r="K24" s="76">
        <v>67.7</v>
      </c>
      <c r="L24" s="76">
        <v>68.099999999999994</v>
      </c>
    </row>
    <row r="25" spans="1:12" ht="15" customHeight="1" x14ac:dyDescent="0.25">
      <c r="A25" s="203"/>
      <c r="B25" s="203" t="s">
        <v>23</v>
      </c>
      <c r="C25" s="4" t="s">
        <v>21</v>
      </c>
      <c r="D25" s="5">
        <v>56.3</v>
      </c>
      <c r="E25" s="5">
        <v>96.4</v>
      </c>
      <c r="F25" s="5">
        <v>110.4</v>
      </c>
      <c r="G25" s="5">
        <v>35.5</v>
      </c>
      <c r="H25" s="5">
        <v>39.1</v>
      </c>
      <c r="I25" s="5">
        <v>88.4</v>
      </c>
      <c r="J25" s="5" t="s">
        <v>174</v>
      </c>
      <c r="K25" s="5" t="s">
        <v>174</v>
      </c>
      <c r="L25" s="5">
        <v>71.099999999999994</v>
      </c>
    </row>
    <row r="26" spans="1:12" x14ac:dyDescent="0.25">
      <c r="A26" s="203"/>
      <c r="B26" s="203"/>
      <c r="C26" s="4" t="s">
        <v>25</v>
      </c>
      <c r="D26" s="5">
        <v>18.600000000000001</v>
      </c>
      <c r="E26" s="5">
        <v>50.1</v>
      </c>
      <c r="F26" s="5">
        <v>60.2</v>
      </c>
      <c r="G26" s="5">
        <v>31.7</v>
      </c>
      <c r="H26" s="5">
        <v>24.6</v>
      </c>
      <c r="I26" s="5">
        <v>50.9</v>
      </c>
      <c r="J26" s="5" t="s">
        <v>174</v>
      </c>
      <c r="K26" s="5" t="s">
        <v>174</v>
      </c>
      <c r="L26" s="5">
        <v>33.200000000000003</v>
      </c>
    </row>
    <row r="27" spans="1:12" x14ac:dyDescent="0.25">
      <c r="A27" s="203"/>
      <c r="B27" s="203"/>
      <c r="C27" s="105" t="s">
        <v>12</v>
      </c>
      <c r="D27" s="76">
        <v>49.1</v>
      </c>
      <c r="E27" s="76">
        <v>90.9</v>
      </c>
      <c r="F27" s="76">
        <v>102.7</v>
      </c>
      <c r="G27" s="76">
        <v>34.799999999999997</v>
      </c>
      <c r="H27" s="76">
        <v>36</v>
      </c>
      <c r="I27" s="76">
        <v>81</v>
      </c>
      <c r="J27" s="76">
        <v>61.2</v>
      </c>
      <c r="K27" s="76">
        <v>96.5</v>
      </c>
      <c r="L27" s="76">
        <v>64.5</v>
      </c>
    </row>
    <row r="28" spans="1:12" x14ac:dyDescent="0.25">
      <c r="A28" s="203"/>
      <c r="B28" s="203" t="s">
        <v>12</v>
      </c>
      <c r="C28" s="4" t="s">
        <v>21</v>
      </c>
      <c r="D28" s="5">
        <v>56.5</v>
      </c>
      <c r="E28" s="5">
        <v>94.4</v>
      </c>
      <c r="F28" s="5">
        <v>112.9</v>
      </c>
      <c r="G28" s="5">
        <v>50.1</v>
      </c>
      <c r="H28" s="5">
        <v>40.4</v>
      </c>
      <c r="I28" s="5">
        <v>91.1</v>
      </c>
      <c r="J28" s="5">
        <v>68.7</v>
      </c>
      <c r="K28" s="5">
        <v>70.400000000000006</v>
      </c>
      <c r="L28" s="5">
        <v>73.2</v>
      </c>
    </row>
    <row r="29" spans="1:12" x14ac:dyDescent="0.25">
      <c r="A29" s="203"/>
      <c r="B29" s="203"/>
      <c r="C29" s="4" t="s">
        <v>25</v>
      </c>
      <c r="D29" s="5">
        <v>16.3</v>
      </c>
      <c r="E29" s="5">
        <v>47.4</v>
      </c>
      <c r="F29" s="5">
        <v>63.4</v>
      </c>
      <c r="G29" s="5">
        <v>24.7</v>
      </c>
      <c r="H29" s="5">
        <v>27.3</v>
      </c>
      <c r="I29" s="5">
        <v>65.5</v>
      </c>
      <c r="J29" s="5">
        <v>30.9</v>
      </c>
      <c r="K29" s="5">
        <v>60.3</v>
      </c>
      <c r="L29" s="5">
        <v>35.799999999999997</v>
      </c>
    </row>
    <row r="30" spans="1:12" x14ac:dyDescent="0.25">
      <c r="A30" s="203"/>
      <c r="B30" s="203"/>
      <c r="C30" s="105" t="s">
        <v>12</v>
      </c>
      <c r="D30" s="76">
        <v>49</v>
      </c>
      <c r="E30" s="76">
        <v>89</v>
      </c>
      <c r="F30" s="76">
        <v>103</v>
      </c>
      <c r="G30" s="76">
        <v>44.9</v>
      </c>
      <c r="H30" s="76">
        <v>36.9</v>
      </c>
      <c r="I30" s="76">
        <v>85.4</v>
      </c>
      <c r="J30" s="76">
        <v>57.9</v>
      </c>
      <c r="K30" s="76">
        <v>68.5</v>
      </c>
      <c r="L30" s="76">
        <v>66</v>
      </c>
    </row>
    <row r="31" spans="1:12" x14ac:dyDescent="0.25">
      <c r="A31" s="203" t="s">
        <v>227</v>
      </c>
      <c r="B31" s="203" t="s">
        <v>22</v>
      </c>
      <c r="C31" s="4" t="s">
        <v>21</v>
      </c>
      <c r="D31" s="5">
        <v>69.5</v>
      </c>
      <c r="E31" s="5">
        <v>90.9</v>
      </c>
      <c r="F31" s="5">
        <v>117.9</v>
      </c>
      <c r="G31" s="5">
        <v>50.5</v>
      </c>
      <c r="H31" s="5">
        <v>39.299999999999997</v>
      </c>
      <c r="I31" s="5">
        <v>76.3</v>
      </c>
      <c r="J31" s="5">
        <v>58.3</v>
      </c>
      <c r="K31" s="5">
        <v>60.5</v>
      </c>
      <c r="L31" s="5">
        <v>77.400000000000006</v>
      </c>
    </row>
    <row r="32" spans="1:12" x14ac:dyDescent="0.25">
      <c r="A32" s="203"/>
      <c r="B32" s="203"/>
      <c r="C32" s="4" t="s">
        <v>25</v>
      </c>
      <c r="D32" s="5">
        <v>18.100000000000001</v>
      </c>
      <c r="E32" s="5">
        <v>71</v>
      </c>
      <c r="F32" s="5">
        <v>76.599999999999994</v>
      </c>
      <c r="G32" s="5">
        <v>16.8</v>
      </c>
      <c r="H32" s="5">
        <v>25.6</v>
      </c>
      <c r="I32" s="5">
        <v>89.9</v>
      </c>
      <c r="J32" s="5">
        <v>22.3</v>
      </c>
      <c r="K32" s="5">
        <v>23.4</v>
      </c>
      <c r="L32" s="5">
        <v>36.700000000000003</v>
      </c>
    </row>
    <row r="33" spans="1:12" x14ac:dyDescent="0.25">
      <c r="A33" s="203"/>
      <c r="B33" s="203"/>
      <c r="C33" s="105" t="s">
        <v>12</v>
      </c>
      <c r="D33" s="76">
        <v>59.3</v>
      </c>
      <c r="E33" s="76">
        <v>89.8</v>
      </c>
      <c r="F33" s="76">
        <v>109.7</v>
      </c>
      <c r="G33" s="76">
        <v>43.3</v>
      </c>
      <c r="H33" s="76">
        <v>34.9</v>
      </c>
      <c r="I33" s="76">
        <v>81.8</v>
      </c>
      <c r="J33" s="76">
        <v>48.4</v>
      </c>
      <c r="K33" s="76">
        <v>54</v>
      </c>
      <c r="L33" s="76">
        <v>69</v>
      </c>
    </row>
    <row r="34" spans="1:12" ht="15" customHeight="1" x14ac:dyDescent="0.25">
      <c r="A34" s="203"/>
      <c r="B34" s="203" t="s">
        <v>23</v>
      </c>
      <c r="C34" s="4" t="s">
        <v>21</v>
      </c>
      <c r="D34" s="5">
        <v>56</v>
      </c>
      <c r="E34" s="5">
        <v>104.3</v>
      </c>
      <c r="F34" s="5">
        <v>103.4</v>
      </c>
      <c r="G34" s="5">
        <v>37.5</v>
      </c>
      <c r="H34" s="5">
        <v>43.5</v>
      </c>
      <c r="I34" s="5">
        <v>85.1</v>
      </c>
      <c r="J34" s="5" t="s">
        <v>174</v>
      </c>
      <c r="K34" s="5" t="s">
        <v>174</v>
      </c>
      <c r="L34" s="5">
        <v>71.2</v>
      </c>
    </row>
    <row r="35" spans="1:12" x14ac:dyDescent="0.25">
      <c r="A35" s="203"/>
      <c r="B35" s="203"/>
      <c r="C35" s="4" t="s">
        <v>25</v>
      </c>
      <c r="D35" s="5">
        <v>18.399999999999999</v>
      </c>
      <c r="E35" s="5">
        <v>36.1</v>
      </c>
      <c r="F35" s="5">
        <v>49.3</v>
      </c>
      <c r="G35" s="5">
        <v>24.2</v>
      </c>
      <c r="H35" s="5">
        <v>50.1</v>
      </c>
      <c r="I35" s="5">
        <v>34.799999999999997</v>
      </c>
      <c r="J35" s="5" t="s">
        <v>174</v>
      </c>
      <c r="K35" s="5" t="s">
        <v>174</v>
      </c>
      <c r="L35" s="5">
        <v>28.7</v>
      </c>
    </row>
    <row r="36" spans="1:12" x14ac:dyDescent="0.25">
      <c r="A36" s="203"/>
      <c r="B36" s="203"/>
      <c r="C36" s="105" t="s">
        <v>12</v>
      </c>
      <c r="D36" s="76">
        <v>47.2</v>
      </c>
      <c r="E36" s="76">
        <v>97.6</v>
      </c>
      <c r="F36" s="76">
        <v>93.8</v>
      </c>
      <c r="G36" s="76">
        <v>34.799999999999997</v>
      </c>
      <c r="H36" s="76">
        <v>44.5</v>
      </c>
      <c r="I36" s="76">
        <v>73.7</v>
      </c>
      <c r="J36" s="76">
        <v>52.2</v>
      </c>
      <c r="K36" s="76">
        <v>75.3</v>
      </c>
      <c r="L36" s="76">
        <v>63.1</v>
      </c>
    </row>
    <row r="37" spans="1:12" x14ac:dyDescent="0.25">
      <c r="A37" s="203"/>
      <c r="B37" s="203" t="s">
        <v>12</v>
      </c>
      <c r="C37" s="4" t="s">
        <v>21</v>
      </c>
      <c r="D37" s="5">
        <v>62.5</v>
      </c>
      <c r="E37" s="5">
        <v>102</v>
      </c>
      <c r="F37" s="5">
        <v>112.9</v>
      </c>
      <c r="G37" s="5">
        <v>45.7</v>
      </c>
      <c r="H37" s="5">
        <v>41.3</v>
      </c>
      <c r="I37" s="5">
        <v>82.8</v>
      </c>
      <c r="J37" s="5">
        <v>61.4</v>
      </c>
      <c r="K37" s="5">
        <v>61.9</v>
      </c>
      <c r="L37" s="5">
        <v>74.400000000000006</v>
      </c>
    </row>
    <row r="38" spans="1:12" x14ac:dyDescent="0.25">
      <c r="A38" s="203"/>
      <c r="B38" s="203"/>
      <c r="C38" s="4" t="s">
        <v>25</v>
      </c>
      <c r="D38" s="5">
        <v>17.8</v>
      </c>
      <c r="E38" s="5">
        <v>39.4</v>
      </c>
      <c r="F38" s="5">
        <v>68.400000000000006</v>
      </c>
      <c r="G38" s="5">
        <v>19.399999999999999</v>
      </c>
      <c r="H38" s="5">
        <v>31.8</v>
      </c>
      <c r="I38" s="5">
        <v>59.8</v>
      </c>
      <c r="J38" s="5">
        <v>15.8</v>
      </c>
      <c r="K38" s="5">
        <v>23.1</v>
      </c>
      <c r="L38" s="5">
        <v>33.200000000000003</v>
      </c>
    </row>
    <row r="39" spans="1:12" x14ac:dyDescent="0.25">
      <c r="A39" s="203"/>
      <c r="B39" s="203"/>
      <c r="C39" s="105" t="s">
        <v>12</v>
      </c>
      <c r="D39" s="76">
        <v>52.8</v>
      </c>
      <c r="E39" s="76">
        <v>96.4</v>
      </c>
      <c r="F39" s="76">
        <v>104.4</v>
      </c>
      <c r="G39" s="76">
        <v>40.200000000000003</v>
      </c>
      <c r="H39" s="76">
        <v>38.9</v>
      </c>
      <c r="I39" s="76">
        <v>76.3</v>
      </c>
      <c r="J39" s="76">
        <v>49.6</v>
      </c>
      <c r="K39" s="76">
        <v>55.3</v>
      </c>
      <c r="L39" s="76">
        <v>66.099999999999994</v>
      </c>
    </row>
    <row r="40" spans="1:12" x14ac:dyDescent="0.25">
      <c r="A40" s="203" t="s">
        <v>289</v>
      </c>
      <c r="B40" s="203" t="s">
        <v>22</v>
      </c>
      <c r="C40" s="4" t="s">
        <v>21</v>
      </c>
      <c r="D40" s="5">
        <v>73.3</v>
      </c>
      <c r="E40" s="5">
        <v>110.7</v>
      </c>
      <c r="F40" s="5">
        <v>117.3</v>
      </c>
      <c r="G40" s="5">
        <v>39.4</v>
      </c>
      <c r="H40" s="5">
        <v>50.2</v>
      </c>
      <c r="I40" s="5">
        <v>95.6</v>
      </c>
      <c r="J40" s="5">
        <v>80.599999999999994</v>
      </c>
      <c r="K40" s="5">
        <v>54</v>
      </c>
      <c r="L40" s="5">
        <v>76.2</v>
      </c>
    </row>
    <row r="41" spans="1:12" x14ac:dyDescent="0.25">
      <c r="A41" s="203"/>
      <c r="B41" s="203"/>
      <c r="C41" s="4" t="s">
        <v>25</v>
      </c>
      <c r="D41" s="5">
        <v>20.3</v>
      </c>
      <c r="E41" s="5">
        <v>107</v>
      </c>
      <c r="F41" s="5">
        <v>67.2</v>
      </c>
      <c r="G41" s="5">
        <v>9.1</v>
      </c>
      <c r="H41" s="5">
        <v>24.3</v>
      </c>
      <c r="I41" s="5">
        <v>54</v>
      </c>
      <c r="J41" s="5">
        <v>42.2</v>
      </c>
      <c r="K41" s="5">
        <v>22.4</v>
      </c>
      <c r="L41" s="5">
        <v>33.200000000000003</v>
      </c>
    </row>
    <row r="42" spans="1:12" x14ac:dyDescent="0.25">
      <c r="A42" s="203"/>
      <c r="B42" s="203"/>
      <c r="C42" s="105" t="s">
        <v>12</v>
      </c>
      <c r="D42" s="76">
        <v>62.8</v>
      </c>
      <c r="E42" s="76">
        <v>110.3</v>
      </c>
      <c r="F42" s="76">
        <v>106.1</v>
      </c>
      <c r="G42" s="76">
        <v>31.7</v>
      </c>
      <c r="H42" s="76">
        <v>42</v>
      </c>
      <c r="I42" s="76">
        <v>85.6</v>
      </c>
      <c r="J42" s="76">
        <v>69.7</v>
      </c>
      <c r="K42" s="76">
        <v>49.4</v>
      </c>
      <c r="L42" s="76">
        <v>66.8</v>
      </c>
    </row>
    <row r="43" spans="1:12" ht="15" customHeight="1" x14ac:dyDescent="0.25">
      <c r="A43" s="203"/>
      <c r="B43" s="203" t="s">
        <v>23</v>
      </c>
      <c r="C43" s="4" t="s">
        <v>21</v>
      </c>
      <c r="D43" s="5">
        <v>53.5</v>
      </c>
      <c r="E43" s="5">
        <v>108.5</v>
      </c>
      <c r="F43" s="5">
        <v>97.8</v>
      </c>
      <c r="G43" s="5">
        <v>42.1</v>
      </c>
      <c r="H43" s="5">
        <v>48.3</v>
      </c>
      <c r="I43" s="5">
        <v>80.2</v>
      </c>
      <c r="J43" s="5" t="s">
        <v>174</v>
      </c>
      <c r="K43" s="5" t="s">
        <v>174</v>
      </c>
      <c r="L43" s="5">
        <v>72.599999999999994</v>
      </c>
    </row>
    <row r="44" spans="1:12" x14ac:dyDescent="0.25">
      <c r="A44" s="203"/>
      <c r="B44" s="203"/>
      <c r="C44" s="4" t="s">
        <v>25</v>
      </c>
      <c r="D44" s="5">
        <v>18.8</v>
      </c>
      <c r="E44" s="5">
        <v>60</v>
      </c>
      <c r="F44" s="5">
        <v>73.900000000000006</v>
      </c>
      <c r="G44" s="5">
        <v>24.9</v>
      </c>
      <c r="H44" s="5">
        <v>35</v>
      </c>
      <c r="I44" s="5">
        <v>66.7</v>
      </c>
      <c r="J44" s="5" t="s">
        <v>174</v>
      </c>
      <c r="K44" s="5" t="s">
        <v>174</v>
      </c>
      <c r="L44" s="5">
        <v>35.5</v>
      </c>
    </row>
    <row r="45" spans="1:12" x14ac:dyDescent="0.25">
      <c r="A45" s="203"/>
      <c r="B45" s="203"/>
      <c r="C45" s="105" t="s">
        <v>12</v>
      </c>
      <c r="D45" s="76">
        <v>47</v>
      </c>
      <c r="E45" s="76">
        <v>106</v>
      </c>
      <c r="F45" s="76">
        <v>93.4</v>
      </c>
      <c r="G45" s="76">
        <v>38.799999999999997</v>
      </c>
      <c r="H45" s="76">
        <v>45.7</v>
      </c>
      <c r="I45" s="76">
        <v>77.3</v>
      </c>
      <c r="J45" s="76">
        <v>66.900000000000006</v>
      </c>
      <c r="K45" s="76">
        <v>74.3</v>
      </c>
      <c r="L45" s="76">
        <v>66.5</v>
      </c>
    </row>
    <row r="46" spans="1:12" x14ac:dyDescent="0.25">
      <c r="A46" s="203"/>
      <c r="B46" s="203" t="s">
        <v>12</v>
      </c>
      <c r="C46" s="4" t="s">
        <v>21</v>
      </c>
      <c r="D46" s="5">
        <v>62.4</v>
      </c>
      <c r="E46" s="5">
        <v>108.5</v>
      </c>
      <c r="F46" s="5">
        <v>110.7</v>
      </c>
      <c r="G46" s="5">
        <v>40.299999999999997</v>
      </c>
      <c r="H46" s="5">
        <v>49.4</v>
      </c>
      <c r="I46" s="5">
        <v>85.4</v>
      </c>
      <c r="J46" s="5">
        <v>82.3</v>
      </c>
      <c r="K46" s="5">
        <v>55.9</v>
      </c>
      <c r="L46" s="5">
        <v>73.900000000000006</v>
      </c>
    </row>
    <row r="47" spans="1:12" x14ac:dyDescent="0.25">
      <c r="A47" s="203"/>
      <c r="B47" s="203"/>
      <c r="C47" s="4" t="s">
        <v>25</v>
      </c>
      <c r="D47" s="5">
        <v>19.3</v>
      </c>
      <c r="E47" s="5">
        <v>73.400000000000006</v>
      </c>
      <c r="F47" s="5">
        <v>68.8</v>
      </c>
      <c r="G47" s="5">
        <v>13.5</v>
      </c>
      <c r="H47" s="5">
        <v>27.8</v>
      </c>
      <c r="I47" s="5">
        <v>61.9</v>
      </c>
      <c r="J47" s="5">
        <v>27.2</v>
      </c>
      <c r="K47" s="5">
        <v>21.9</v>
      </c>
      <c r="L47" s="5">
        <v>33.700000000000003</v>
      </c>
    </row>
    <row r="48" spans="1:12" x14ac:dyDescent="0.25">
      <c r="A48" s="203"/>
      <c r="B48" s="203"/>
      <c r="C48" s="105" t="s">
        <v>12</v>
      </c>
      <c r="D48" s="76">
        <v>54.1</v>
      </c>
      <c r="E48" s="76">
        <v>106.3</v>
      </c>
      <c r="F48" s="76">
        <v>102</v>
      </c>
      <c r="G48" s="76">
        <v>34.1</v>
      </c>
      <c r="H48" s="76">
        <v>43.7</v>
      </c>
      <c r="I48" s="76">
        <v>80.2</v>
      </c>
      <c r="J48" s="76">
        <v>67.900000000000006</v>
      </c>
      <c r="K48" s="76">
        <v>51</v>
      </c>
      <c r="L48" s="76">
        <v>66.099999999999994</v>
      </c>
    </row>
    <row r="49" spans="1:12" ht="10.5" customHeight="1" x14ac:dyDescent="0.25">
      <c r="A49" s="228" t="s">
        <v>237</v>
      </c>
      <c r="B49" s="207"/>
      <c r="C49" s="207"/>
      <c r="D49" s="207"/>
      <c r="E49" s="207"/>
      <c r="F49" s="207"/>
      <c r="G49" s="207"/>
      <c r="H49" s="207"/>
      <c r="I49" s="207"/>
      <c r="J49" s="207"/>
      <c r="K49" s="207"/>
      <c r="L49" s="207"/>
    </row>
    <row r="50" spans="1:12" ht="11.1" customHeight="1" x14ac:dyDescent="0.25">
      <c r="A50" s="202" t="s">
        <v>18</v>
      </c>
      <c r="B50" s="202"/>
      <c r="C50" s="202"/>
      <c r="D50" s="202"/>
      <c r="E50" s="202"/>
      <c r="F50" s="202"/>
      <c r="G50" s="202"/>
      <c r="H50" s="202"/>
      <c r="I50" s="202"/>
      <c r="J50" s="202"/>
      <c r="K50" s="202"/>
      <c r="L50" s="202"/>
    </row>
    <row r="51" spans="1:12" s="6" customFormat="1" ht="11.1" customHeight="1" x14ac:dyDescent="0.15">
      <c r="A51" s="6" t="s">
        <v>84</v>
      </c>
      <c r="I51" s="86"/>
      <c r="J51" s="86"/>
      <c r="K51" s="86"/>
    </row>
    <row r="52" spans="1:12" s="6" customFormat="1" ht="11.1" customHeight="1" x14ac:dyDescent="0.15">
      <c r="A52" s="6" t="s">
        <v>85</v>
      </c>
      <c r="I52" s="86"/>
      <c r="J52" s="86"/>
      <c r="K52" s="86"/>
    </row>
    <row r="53" spans="1:12" s="6" customFormat="1" ht="11.1" customHeight="1" x14ac:dyDescent="0.15">
      <c r="A53" s="6" t="s">
        <v>61</v>
      </c>
      <c r="I53" s="86"/>
      <c r="J53" s="86"/>
      <c r="K53" s="86"/>
    </row>
    <row r="54" spans="1:12" s="6" customFormat="1" ht="11.1" customHeight="1" x14ac:dyDescent="0.15">
      <c r="I54" s="86"/>
      <c r="J54" s="86"/>
      <c r="K54" s="86"/>
    </row>
    <row r="55" spans="1:12" s="6" customFormat="1" ht="11.1" customHeight="1" x14ac:dyDescent="0.15">
      <c r="A55" s="6" t="s">
        <v>271</v>
      </c>
      <c r="I55" s="86"/>
      <c r="J55" s="86"/>
      <c r="K55" s="86"/>
    </row>
    <row r="56" spans="1:12" ht="12" customHeight="1" x14ac:dyDescent="0.25">
      <c r="A56" s="2"/>
    </row>
  </sheetData>
  <mergeCells count="23">
    <mergeCell ref="A1:L1"/>
    <mergeCell ref="A4:A12"/>
    <mergeCell ref="B4:B6"/>
    <mergeCell ref="B7:B9"/>
    <mergeCell ref="B10:B12"/>
    <mergeCell ref="A13:A21"/>
    <mergeCell ref="B13:B15"/>
    <mergeCell ref="B16:B18"/>
    <mergeCell ref="B19:B21"/>
    <mergeCell ref="A22:A30"/>
    <mergeCell ref="B22:B24"/>
    <mergeCell ref="B25:B27"/>
    <mergeCell ref="B28:B30"/>
    <mergeCell ref="A50:L50"/>
    <mergeCell ref="A31:A39"/>
    <mergeCell ref="B31:B33"/>
    <mergeCell ref="B34:B36"/>
    <mergeCell ref="B37:B39"/>
    <mergeCell ref="A40:A48"/>
    <mergeCell ref="B40:B42"/>
    <mergeCell ref="B43:B45"/>
    <mergeCell ref="B46:B48"/>
    <mergeCell ref="A49:L49"/>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Q43"/>
  <sheetViews>
    <sheetView zoomScaleNormal="100" workbookViewId="0">
      <selection activeCell="G19" sqref="G19"/>
    </sheetView>
  </sheetViews>
  <sheetFormatPr defaultColWidth="9.140625" defaultRowHeight="15" x14ac:dyDescent="0.25"/>
  <cols>
    <col min="1" max="1" width="30" style="1" customWidth="1"/>
    <col min="2" max="7" width="11.42578125" style="1" bestFit="1" customWidth="1"/>
    <col min="8" max="10" width="11.42578125" style="84" bestFit="1" customWidth="1"/>
    <col min="11" max="12" width="11.42578125" style="1" bestFit="1" customWidth="1"/>
    <col min="13" max="16384" width="9.140625" style="1"/>
  </cols>
  <sheetData>
    <row r="1" spans="1:12" x14ac:dyDescent="0.25">
      <c r="A1" s="198" t="s">
        <v>347</v>
      </c>
      <c r="B1" s="198"/>
      <c r="C1" s="198"/>
      <c r="D1" s="198"/>
      <c r="E1" s="198"/>
      <c r="F1" s="198"/>
      <c r="G1" s="198"/>
      <c r="H1" s="198"/>
      <c r="I1" s="198"/>
      <c r="J1" s="198"/>
      <c r="K1" s="198"/>
      <c r="L1" s="198"/>
    </row>
    <row r="2" spans="1:12" ht="3.75" customHeight="1" x14ac:dyDescent="0.25">
      <c r="A2" s="2"/>
    </row>
    <row r="3" spans="1:12" x14ac:dyDescent="0.25">
      <c r="A3" s="52" t="s">
        <v>145</v>
      </c>
      <c r="B3" s="3" t="s">
        <v>1</v>
      </c>
      <c r="C3" s="3" t="s">
        <v>2</v>
      </c>
      <c r="D3" s="3" t="s">
        <v>3</v>
      </c>
      <c r="E3" s="3" t="s">
        <v>4</v>
      </c>
      <c r="F3" s="3" t="s">
        <v>5</v>
      </c>
      <c r="G3" s="3" t="s">
        <v>6</v>
      </c>
      <c r="H3" s="85" t="s">
        <v>7</v>
      </c>
      <c r="I3" s="85" t="s">
        <v>8</v>
      </c>
      <c r="J3" s="85" t="s">
        <v>9</v>
      </c>
    </row>
    <row r="4" spans="1:12" x14ac:dyDescent="0.25">
      <c r="A4" s="4" t="s">
        <v>86</v>
      </c>
      <c r="B4" s="8">
        <v>625</v>
      </c>
      <c r="C4" s="8" t="s">
        <v>167</v>
      </c>
      <c r="D4" s="8">
        <v>130</v>
      </c>
      <c r="E4" s="8">
        <v>1102</v>
      </c>
      <c r="F4" s="8">
        <v>464</v>
      </c>
      <c r="G4" s="8" t="s">
        <v>167</v>
      </c>
      <c r="H4" s="8">
        <v>150</v>
      </c>
      <c r="I4" s="8" t="s">
        <v>167</v>
      </c>
      <c r="J4" s="8">
        <v>2471</v>
      </c>
      <c r="K4" s="128"/>
    </row>
    <row r="5" spans="1:12" x14ac:dyDescent="0.25">
      <c r="A5" s="4" t="s">
        <v>87</v>
      </c>
      <c r="B5" s="8">
        <v>2198</v>
      </c>
      <c r="C5" s="8">
        <v>658</v>
      </c>
      <c r="D5" s="8">
        <v>1624</v>
      </c>
      <c r="E5" s="8">
        <v>690</v>
      </c>
      <c r="F5" s="8">
        <v>224</v>
      </c>
      <c r="G5" s="8">
        <v>131</v>
      </c>
      <c r="H5" s="8">
        <v>47</v>
      </c>
      <c r="I5" s="8">
        <v>659</v>
      </c>
      <c r="J5" s="8">
        <v>6231</v>
      </c>
      <c r="K5" s="128"/>
    </row>
    <row r="6" spans="1:12" x14ac:dyDescent="0.25">
      <c r="A6" s="37" t="s">
        <v>88</v>
      </c>
      <c r="B6" s="41">
        <v>2823</v>
      </c>
      <c r="C6" s="41">
        <v>658</v>
      </c>
      <c r="D6" s="41">
        <v>1754</v>
      </c>
      <c r="E6" s="41">
        <v>1792</v>
      </c>
      <c r="F6" s="41">
        <v>688</v>
      </c>
      <c r="G6" s="41" t="s">
        <v>174</v>
      </c>
      <c r="H6" s="41" t="s">
        <v>174</v>
      </c>
      <c r="I6" s="41">
        <v>659</v>
      </c>
      <c r="J6" s="41">
        <v>8702</v>
      </c>
      <c r="K6" s="128"/>
    </row>
    <row r="7" spans="1:12" x14ac:dyDescent="0.25">
      <c r="A7" s="4" t="s">
        <v>89</v>
      </c>
      <c r="B7" s="8">
        <v>19</v>
      </c>
      <c r="C7" s="8">
        <v>50</v>
      </c>
      <c r="D7" s="8">
        <v>18</v>
      </c>
      <c r="E7" s="8">
        <v>34</v>
      </c>
      <c r="F7" s="8">
        <v>12</v>
      </c>
      <c r="G7" s="8" t="s">
        <v>174</v>
      </c>
      <c r="H7" s="8" t="s">
        <v>174</v>
      </c>
      <c r="I7" s="8" t="s">
        <v>174</v>
      </c>
      <c r="J7" s="8">
        <v>137</v>
      </c>
      <c r="K7" s="128"/>
    </row>
    <row r="8" spans="1:12" x14ac:dyDescent="0.25">
      <c r="A8" s="4" t="s">
        <v>90</v>
      </c>
      <c r="B8" s="8" t="s">
        <v>167</v>
      </c>
      <c r="C8" s="8">
        <v>3</v>
      </c>
      <c r="D8" s="8" t="s">
        <v>167</v>
      </c>
      <c r="E8" s="8" t="s">
        <v>167</v>
      </c>
      <c r="F8" s="8" t="s">
        <v>167</v>
      </c>
      <c r="G8" s="8" t="s">
        <v>167</v>
      </c>
      <c r="H8" s="8" t="s">
        <v>174</v>
      </c>
      <c r="I8" s="8" t="s">
        <v>174</v>
      </c>
      <c r="J8" s="8">
        <v>9</v>
      </c>
      <c r="K8" s="128"/>
    </row>
    <row r="9" spans="1:12" x14ac:dyDescent="0.25">
      <c r="A9" s="96" t="s">
        <v>12</v>
      </c>
      <c r="B9" s="81">
        <v>2842</v>
      </c>
      <c r="C9" s="81">
        <v>711</v>
      </c>
      <c r="D9" s="81">
        <v>1772</v>
      </c>
      <c r="E9" s="81">
        <v>1826</v>
      </c>
      <c r="F9" s="81">
        <v>700</v>
      </c>
      <c r="G9" s="81">
        <v>132</v>
      </c>
      <c r="H9" s="81">
        <v>198</v>
      </c>
      <c r="I9" s="81">
        <v>667</v>
      </c>
      <c r="J9" s="81">
        <v>8848</v>
      </c>
      <c r="K9" s="128"/>
    </row>
    <row r="10" spans="1:12" x14ac:dyDescent="0.25">
      <c r="A10" s="212" t="s">
        <v>220</v>
      </c>
      <c r="B10" s="212"/>
      <c r="C10" s="212"/>
      <c r="D10" s="212"/>
      <c r="E10" s="212"/>
      <c r="F10" s="212"/>
      <c r="G10" s="212"/>
      <c r="H10" s="212"/>
      <c r="I10" s="212"/>
      <c r="J10" s="212"/>
      <c r="K10" s="208"/>
      <c r="L10" s="208"/>
    </row>
    <row r="11" spans="1:12" x14ac:dyDescent="0.25">
      <c r="A11" s="208" t="s">
        <v>454</v>
      </c>
      <c r="B11" s="208"/>
      <c r="C11" s="208"/>
      <c r="D11" s="208"/>
      <c r="E11" s="208"/>
      <c r="F11" s="208"/>
      <c r="G11" s="208"/>
      <c r="H11" s="208"/>
      <c r="I11" s="208"/>
      <c r="J11" s="208"/>
      <c r="K11" s="208"/>
      <c r="L11" s="208"/>
    </row>
    <row r="12" spans="1:12" s="6" customFormat="1" ht="11.25" customHeight="1" x14ac:dyDescent="0.15">
      <c r="A12" s="6" t="s">
        <v>455</v>
      </c>
      <c r="H12" s="86"/>
      <c r="I12" s="86"/>
      <c r="J12" s="86"/>
    </row>
    <row r="13" spans="1:12" s="6" customFormat="1" ht="11.25" customHeight="1" x14ac:dyDescent="0.15">
      <c r="H13" s="86"/>
      <c r="I13" s="86"/>
      <c r="J13" s="86"/>
    </row>
    <row r="14" spans="1:12" s="6" customFormat="1" ht="9" x14ac:dyDescent="0.15">
      <c r="A14" s="6" t="s">
        <v>271</v>
      </c>
      <c r="H14" s="86"/>
      <c r="I14" s="86"/>
      <c r="J14" s="86"/>
    </row>
    <row r="15" spans="1:12" x14ac:dyDescent="0.25">
      <c r="A15" s="2"/>
    </row>
    <row r="16" spans="1:12" x14ac:dyDescent="0.25">
      <c r="A16" s="198" t="s">
        <v>348</v>
      </c>
      <c r="B16" s="198"/>
      <c r="C16" s="198"/>
      <c r="D16" s="198"/>
      <c r="E16" s="198"/>
      <c r="F16" s="198"/>
      <c r="G16" s="198"/>
      <c r="H16" s="198"/>
      <c r="I16" s="198"/>
      <c r="J16" s="198"/>
      <c r="K16" s="198"/>
      <c r="L16" s="198"/>
    </row>
    <row r="17" spans="1:12" ht="3" customHeight="1" x14ac:dyDescent="0.25">
      <c r="A17" s="2"/>
    </row>
    <row r="18" spans="1:12" x14ac:dyDescent="0.25">
      <c r="A18" s="52" t="s">
        <v>145</v>
      </c>
      <c r="B18" s="3" t="s">
        <v>1</v>
      </c>
      <c r="C18" s="3" t="s">
        <v>2</v>
      </c>
      <c r="D18" s="3" t="s">
        <v>3</v>
      </c>
      <c r="E18" s="3" t="s">
        <v>4</v>
      </c>
      <c r="F18" s="3" t="s">
        <v>5</v>
      </c>
      <c r="G18" s="3" t="s">
        <v>6</v>
      </c>
      <c r="H18" s="85" t="s">
        <v>7</v>
      </c>
      <c r="I18" s="85" t="s">
        <v>8</v>
      </c>
      <c r="J18" s="85" t="s">
        <v>9</v>
      </c>
    </row>
    <row r="19" spans="1:12" x14ac:dyDescent="0.25">
      <c r="A19" s="4" t="s">
        <v>92</v>
      </c>
      <c r="B19" s="8">
        <v>503</v>
      </c>
      <c r="C19" s="8" t="s">
        <v>167</v>
      </c>
      <c r="D19" s="8">
        <v>117</v>
      </c>
      <c r="E19" s="8">
        <v>569</v>
      </c>
      <c r="F19" s="8">
        <v>275</v>
      </c>
      <c r="G19" s="5" t="s">
        <v>167</v>
      </c>
      <c r="H19" s="82">
        <v>81</v>
      </c>
      <c r="I19" s="8" t="s">
        <v>167</v>
      </c>
      <c r="J19" s="8">
        <v>1545</v>
      </c>
      <c r="K19" s="128"/>
    </row>
    <row r="20" spans="1:12" x14ac:dyDescent="0.25">
      <c r="A20" s="4" t="s">
        <v>87</v>
      </c>
      <c r="B20" s="8">
        <v>1225</v>
      </c>
      <c r="C20" s="8">
        <v>338</v>
      </c>
      <c r="D20" s="8">
        <v>917</v>
      </c>
      <c r="E20" s="8">
        <v>413</v>
      </c>
      <c r="F20" s="8">
        <v>154</v>
      </c>
      <c r="G20" s="8">
        <v>65</v>
      </c>
      <c r="H20" s="82">
        <v>33</v>
      </c>
      <c r="I20" s="8">
        <v>304</v>
      </c>
      <c r="J20" s="8">
        <v>3449</v>
      </c>
      <c r="K20" s="128"/>
    </row>
    <row r="21" spans="1:12" x14ac:dyDescent="0.25">
      <c r="A21" s="37" t="s">
        <v>88</v>
      </c>
      <c r="B21" s="41">
        <v>1443</v>
      </c>
      <c r="C21" s="41">
        <v>338</v>
      </c>
      <c r="D21" s="41">
        <v>962</v>
      </c>
      <c r="E21" s="41">
        <v>772</v>
      </c>
      <c r="F21" s="41">
        <v>339</v>
      </c>
      <c r="G21" s="41" t="s">
        <v>174</v>
      </c>
      <c r="H21" s="41" t="s">
        <v>174</v>
      </c>
      <c r="I21" s="41" t="s">
        <v>174</v>
      </c>
      <c r="J21" s="41">
        <v>4318</v>
      </c>
      <c r="K21" s="128"/>
    </row>
    <row r="22" spans="1:12" x14ac:dyDescent="0.25">
      <c r="A22" s="4" t="s">
        <v>89</v>
      </c>
      <c r="B22" s="8">
        <v>18</v>
      </c>
      <c r="C22" s="8">
        <v>43</v>
      </c>
      <c r="D22" s="8">
        <v>13</v>
      </c>
      <c r="E22" s="8">
        <v>27</v>
      </c>
      <c r="F22" s="8">
        <v>12</v>
      </c>
      <c r="G22" s="8" t="s">
        <v>174</v>
      </c>
      <c r="H22" s="8" t="s">
        <v>174</v>
      </c>
      <c r="I22" s="8" t="s">
        <v>174</v>
      </c>
      <c r="J22" s="8">
        <v>117</v>
      </c>
      <c r="K22" s="128"/>
    </row>
    <row r="23" spans="1:12" x14ac:dyDescent="0.25">
      <c r="A23" s="4" t="s">
        <v>90</v>
      </c>
      <c r="B23" s="8" t="s">
        <v>167</v>
      </c>
      <c r="C23" s="8">
        <v>3</v>
      </c>
      <c r="D23" s="8" t="s">
        <v>167</v>
      </c>
      <c r="E23" s="8" t="s">
        <v>167</v>
      </c>
      <c r="F23" s="8" t="s">
        <v>167</v>
      </c>
      <c r="G23" s="8" t="s">
        <v>167</v>
      </c>
      <c r="H23" s="8" t="s">
        <v>167</v>
      </c>
      <c r="I23" s="8">
        <v>4</v>
      </c>
      <c r="J23" s="8">
        <v>7</v>
      </c>
      <c r="K23" s="128"/>
    </row>
    <row r="24" spans="1:12" ht="14.25" customHeight="1" x14ac:dyDescent="0.25">
      <c r="A24" s="94" t="s">
        <v>93</v>
      </c>
      <c r="B24" s="101">
        <v>1454</v>
      </c>
      <c r="C24" s="101">
        <v>377</v>
      </c>
      <c r="D24" s="101">
        <v>965</v>
      </c>
      <c r="E24" s="101">
        <v>785</v>
      </c>
      <c r="F24" s="101">
        <v>342</v>
      </c>
      <c r="G24" s="101">
        <v>66</v>
      </c>
      <c r="H24" s="102">
        <v>96</v>
      </c>
      <c r="I24" s="101">
        <v>310</v>
      </c>
      <c r="J24" s="101">
        <v>4395</v>
      </c>
      <c r="K24" s="128"/>
    </row>
    <row r="25" spans="1:12" ht="3" hidden="1" customHeight="1" x14ac:dyDescent="0.25">
      <c r="A25" s="2"/>
    </row>
    <row r="26" spans="1:12" s="6" customFormat="1" ht="9" x14ac:dyDescent="0.15">
      <c r="A26" s="6" t="s">
        <v>220</v>
      </c>
      <c r="H26" s="86"/>
      <c r="I26" s="86"/>
      <c r="J26" s="86"/>
    </row>
    <row r="27" spans="1:12" ht="12.75" customHeight="1" x14ac:dyDescent="0.25">
      <c r="A27" s="202" t="s">
        <v>18</v>
      </c>
      <c r="B27" s="202"/>
      <c r="C27" s="202"/>
      <c r="D27" s="202"/>
      <c r="E27" s="202"/>
      <c r="F27" s="202"/>
      <c r="G27" s="202"/>
      <c r="H27" s="202"/>
      <c r="I27" s="202"/>
      <c r="J27" s="202"/>
      <c r="K27" s="202"/>
      <c r="L27" s="202"/>
    </row>
    <row r="28" spans="1:12" s="6" customFormat="1" ht="9" x14ac:dyDescent="0.15">
      <c r="A28" s="6" t="s">
        <v>94</v>
      </c>
      <c r="H28" s="86"/>
      <c r="I28" s="86"/>
      <c r="J28" s="86"/>
    </row>
    <row r="29" spans="1:12" s="6" customFormat="1" ht="9" x14ac:dyDescent="0.15">
      <c r="A29" s="6" t="s">
        <v>95</v>
      </c>
      <c r="H29" s="86"/>
      <c r="I29" s="86"/>
      <c r="J29" s="86"/>
    </row>
    <row r="30" spans="1:12" s="6" customFormat="1" ht="13.5" customHeight="1" x14ac:dyDescent="0.15">
      <c r="A30" s="6" t="s">
        <v>453</v>
      </c>
      <c r="H30" s="86"/>
      <c r="I30" s="86"/>
      <c r="J30" s="86"/>
    </row>
    <row r="31" spans="1:12" s="6" customFormat="1" ht="13.5" customHeight="1" x14ac:dyDescent="0.15">
      <c r="H31" s="86"/>
      <c r="I31" s="86"/>
      <c r="J31" s="86"/>
    </row>
    <row r="32" spans="1:12" s="6" customFormat="1" ht="9" x14ac:dyDescent="0.15">
      <c r="A32" s="6" t="s">
        <v>271</v>
      </c>
      <c r="H32" s="86"/>
      <c r="I32" s="86"/>
      <c r="J32" s="86"/>
    </row>
    <row r="33" spans="1:17" x14ac:dyDescent="0.25">
      <c r="A33" s="2"/>
    </row>
    <row r="36" spans="1:17" x14ac:dyDescent="0.25">
      <c r="E36" s="135"/>
      <c r="I36" s="134"/>
      <c r="K36" s="127"/>
    </row>
    <row r="37" spans="1:17" x14ac:dyDescent="0.25">
      <c r="E37" s="135"/>
      <c r="G37" s="135"/>
      <c r="I37" s="134"/>
      <c r="K37" s="127"/>
    </row>
    <row r="38" spans="1:17" x14ac:dyDescent="0.25">
      <c r="L38" s="127"/>
      <c r="M38" s="135"/>
      <c r="Q38" s="127"/>
    </row>
    <row r="39" spans="1:17" x14ac:dyDescent="0.25">
      <c r="E39" s="135"/>
      <c r="I39" s="134"/>
      <c r="K39" s="127"/>
      <c r="M39" s="135"/>
      <c r="Q39" s="127"/>
    </row>
    <row r="40" spans="1:17" x14ac:dyDescent="0.25">
      <c r="E40" s="135"/>
      <c r="G40" s="135"/>
      <c r="I40" s="134"/>
      <c r="K40" s="127"/>
      <c r="L40" s="127"/>
      <c r="M40" s="135"/>
      <c r="Q40" s="127"/>
    </row>
    <row r="43" spans="1:17" x14ac:dyDescent="0.25">
      <c r="E43" s="135"/>
      <c r="I43" s="134"/>
      <c r="K43" s="127"/>
      <c r="L43" s="127"/>
      <c r="M43" s="135"/>
      <c r="Q43" s="127"/>
    </row>
  </sheetData>
  <mergeCells count="5">
    <mergeCell ref="A27:L27"/>
    <mergeCell ref="A1:L1"/>
    <mergeCell ref="A11:L11"/>
    <mergeCell ref="A16:L16"/>
    <mergeCell ref="A10:L10"/>
  </mergeCells>
  <pageMargins left="0.08" right="0.08" top="1" bottom="1" header="0.5" footer="0.5"/>
  <pageSetup orientation="landscape" blackAndWhite="1"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T48"/>
  <sheetViews>
    <sheetView zoomScaleNormal="100" workbookViewId="0">
      <selection activeCell="N32" sqref="N32"/>
    </sheetView>
  </sheetViews>
  <sheetFormatPr defaultColWidth="9.140625" defaultRowHeight="15" customHeight="1" x14ac:dyDescent="0.25"/>
  <cols>
    <col min="1" max="1" width="24.5703125" style="1" customWidth="1"/>
    <col min="2" max="12" width="11.42578125" style="1" bestFit="1" customWidth="1"/>
    <col min="13" max="16384" width="9.140625" style="1"/>
  </cols>
  <sheetData>
    <row r="1" spans="1:20" ht="15" customHeight="1" x14ac:dyDescent="0.25">
      <c r="A1" s="198" t="s">
        <v>349</v>
      </c>
      <c r="B1" s="198"/>
      <c r="C1" s="198"/>
      <c r="D1" s="198"/>
      <c r="E1" s="198"/>
      <c r="F1" s="198"/>
      <c r="G1" s="198"/>
      <c r="H1" s="198"/>
      <c r="I1" s="198"/>
      <c r="J1" s="198"/>
      <c r="K1" s="198"/>
      <c r="L1" s="198"/>
    </row>
    <row r="2" spans="1:20" ht="0.75" customHeight="1" x14ac:dyDescent="0.25">
      <c r="A2" s="2"/>
    </row>
    <row r="3" spans="1:20" ht="15" customHeight="1" x14ac:dyDescent="0.25">
      <c r="A3" s="52" t="s">
        <v>145</v>
      </c>
      <c r="B3" s="3" t="s">
        <v>1</v>
      </c>
      <c r="C3" s="3" t="s">
        <v>2</v>
      </c>
      <c r="D3" s="3" t="s">
        <v>3</v>
      </c>
      <c r="E3" s="3" t="s">
        <v>4</v>
      </c>
      <c r="F3" s="3" t="s">
        <v>5</v>
      </c>
      <c r="G3" s="3" t="s">
        <v>6</v>
      </c>
      <c r="H3" s="3" t="s">
        <v>7</v>
      </c>
      <c r="I3" s="3" t="s">
        <v>8</v>
      </c>
      <c r="J3" s="3" t="s">
        <v>9</v>
      </c>
    </row>
    <row r="4" spans="1:20" ht="16.5" customHeight="1" x14ac:dyDescent="0.25">
      <c r="A4" s="4" t="s">
        <v>86</v>
      </c>
      <c r="B4" s="8">
        <v>449</v>
      </c>
      <c r="C4" s="8" t="s">
        <v>167</v>
      </c>
      <c r="D4" s="8">
        <v>44</v>
      </c>
      <c r="E4" s="8">
        <v>652</v>
      </c>
      <c r="F4" s="8">
        <v>235</v>
      </c>
      <c r="G4" s="8" t="s">
        <v>167</v>
      </c>
      <c r="H4" s="8">
        <v>139</v>
      </c>
      <c r="I4" s="8" t="s">
        <v>167</v>
      </c>
      <c r="J4" s="8">
        <v>1519</v>
      </c>
      <c r="K4" s="8"/>
      <c r="L4" s="8"/>
      <c r="M4" s="8"/>
      <c r="N4" s="8"/>
      <c r="O4" s="8"/>
      <c r="P4" s="8"/>
      <c r="Q4" s="8"/>
      <c r="R4" s="8"/>
      <c r="S4" s="8"/>
      <c r="T4" s="128"/>
    </row>
    <row r="5" spans="1:20" ht="15" customHeight="1" x14ac:dyDescent="0.25">
      <c r="A5" s="4" t="s">
        <v>87</v>
      </c>
      <c r="B5" s="8">
        <v>2237</v>
      </c>
      <c r="C5" s="8">
        <v>585</v>
      </c>
      <c r="D5" s="8">
        <v>1576</v>
      </c>
      <c r="E5" s="8">
        <v>1065</v>
      </c>
      <c r="F5" s="8">
        <v>438</v>
      </c>
      <c r="G5" s="8">
        <v>115</v>
      </c>
      <c r="H5" s="8">
        <v>55</v>
      </c>
      <c r="I5" s="8">
        <v>384</v>
      </c>
      <c r="J5" s="8">
        <v>6455</v>
      </c>
      <c r="K5" s="8"/>
      <c r="L5" s="8"/>
      <c r="M5" s="8"/>
      <c r="N5" s="8"/>
      <c r="O5" s="8"/>
      <c r="P5" s="8"/>
      <c r="Q5" s="8"/>
      <c r="R5" s="8"/>
      <c r="S5" s="8"/>
    </row>
    <row r="6" spans="1:20" ht="15" customHeight="1" x14ac:dyDescent="0.25">
      <c r="A6" s="37" t="s">
        <v>88</v>
      </c>
      <c r="B6" s="41">
        <v>2686</v>
      </c>
      <c r="C6" s="41">
        <v>585</v>
      </c>
      <c r="D6" s="41">
        <v>1620</v>
      </c>
      <c r="E6" s="41">
        <v>1717</v>
      </c>
      <c r="F6" s="41">
        <v>673</v>
      </c>
      <c r="G6" s="41" t="s">
        <v>174</v>
      </c>
      <c r="H6" s="41" t="s">
        <v>174</v>
      </c>
      <c r="I6" s="41">
        <v>384</v>
      </c>
      <c r="J6" s="41">
        <v>7974</v>
      </c>
      <c r="K6" s="41"/>
      <c r="L6" s="41"/>
      <c r="M6" s="41"/>
      <c r="N6" s="41"/>
      <c r="O6" s="41"/>
      <c r="P6" s="41"/>
      <c r="Q6" s="41"/>
      <c r="R6" s="41"/>
      <c r="S6" s="41"/>
    </row>
    <row r="7" spans="1:20" ht="15" customHeight="1" x14ac:dyDescent="0.25">
      <c r="A7" s="4" t="s">
        <v>89</v>
      </c>
      <c r="B7" s="8">
        <v>168</v>
      </c>
      <c r="C7" s="8">
        <v>87</v>
      </c>
      <c r="D7" s="8">
        <v>151</v>
      </c>
      <c r="E7" s="8">
        <v>105</v>
      </c>
      <c r="F7" s="8">
        <v>33</v>
      </c>
      <c r="G7" s="8" t="s">
        <v>174</v>
      </c>
      <c r="H7" s="8" t="s">
        <v>174</v>
      </c>
      <c r="I7" s="82">
        <v>156</v>
      </c>
      <c r="J7" s="8">
        <v>718</v>
      </c>
      <c r="K7" s="8"/>
      <c r="L7" s="8"/>
      <c r="M7" s="8"/>
      <c r="N7" s="8"/>
      <c r="O7" s="8"/>
      <c r="P7" s="82"/>
      <c r="Q7" s="82"/>
      <c r="R7" s="82"/>
      <c r="S7" s="8"/>
    </row>
    <row r="8" spans="1:20" ht="15" customHeight="1" x14ac:dyDescent="0.25">
      <c r="A8" s="4" t="s">
        <v>90</v>
      </c>
      <c r="B8" s="8" t="s">
        <v>167</v>
      </c>
      <c r="C8" s="8">
        <v>1</v>
      </c>
      <c r="D8" s="8" t="s">
        <v>167</v>
      </c>
      <c r="E8" s="8" t="s">
        <v>167</v>
      </c>
      <c r="F8" s="8" t="s">
        <v>167</v>
      </c>
      <c r="G8" s="8" t="s">
        <v>167</v>
      </c>
      <c r="H8" s="8" t="s">
        <v>167</v>
      </c>
      <c r="I8" s="82">
        <v>118</v>
      </c>
      <c r="J8" s="8">
        <v>119</v>
      </c>
      <c r="K8" s="8"/>
      <c r="L8" s="8"/>
      <c r="M8" s="8"/>
      <c r="N8" s="8"/>
      <c r="O8" s="8"/>
      <c r="P8" s="8"/>
      <c r="Q8" s="8"/>
      <c r="R8" s="82"/>
      <c r="S8" s="8"/>
    </row>
    <row r="9" spans="1:20" ht="15" customHeight="1" x14ac:dyDescent="0.25">
      <c r="A9" s="9" t="s">
        <v>12</v>
      </c>
      <c r="B9" s="81">
        <v>2854</v>
      </c>
      <c r="C9" s="81">
        <v>673</v>
      </c>
      <c r="D9" s="81">
        <v>1771</v>
      </c>
      <c r="E9" s="81">
        <v>1822</v>
      </c>
      <c r="F9" s="81">
        <v>706</v>
      </c>
      <c r="G9" s="81">
        <v>131</v>
      </c>
      <c r="H9" s="81">
        <v>196</v>
      </c>
      <c r="I9" s="81">
        <v>658</v>
      </c>
      <c r="J9" s="81">
        <v>8811</v>
      </c>
      <c r="K9" s="81"/>
      <c r="L9" s="81"/>
      <c r="M9" s="81"/>
      <c r="N9" s="81"/>
      <c r="O9" s="81"/>
      <c r="P9" s="81"/>
      <c r="Q9" s="81"/>
      <c r="R9" s="81"/>
      <c r="S9" s="81"/>
    </row>
    <row r="10" spans="1:20" ht="1.5" customHeight="1" x14ac:dyDescent="0.25">
      <c r="A10" s="53"/>
      <c r="B10" s="53"/>
      <c r="C10" s="53"/>
      <c r="D10" s="53"/>
      <c r="E10" s="53"/>
      <c r="F10" s="53"/>
      <c r="G10" s="53"/>
      <c r="H10" s="53"/>
      <c r="I10" s="53"/>
      <c r="J10" s="53"/>
    </row>
    <row r="11" spans="1:20" s="57" customFormat="1" ht="15" customHeight="1" x14ac:dyDescent="0.15">
      <c r="A11" s="57" t="s">
        <v>91</v>
      </c>
    </row>
    <row r="12" spans="1:20" s="6" customFormat="1" ht="14.25" customHeight="1" x14ac:dyDescent="0.15"/>
    <row r="13" spans="1:20" s="6" customFormat="1" ht="15" customHeight="1" x14ac:dyDescent="0.15">
      <c r="A13" s="6" t="s">
        <v>271</v>
      </c>
    </row>
    <row r="14" spans="1:20" ht="15" customHeight="1" x14ac:dyDescent="0.25">
      <c r="A14" s="2"/>
    </row>
    <row r="15" spans="1:20" ht="15" customHeight="1" x14ac:dyDescent="0.25">
      <c r="A15" s="198" t="s">
        <v>350</v>
      </c>
      <c r="B15" s="198"/>
      <c r="C15" s="198"/>
      <c r="D15" s="198"/>
      <c r="E15" s="198"/>
      <c r="F15" s="198"/>
      <c r="G15" s="198"/>
      <c r="H15" s="198"/>
      <c r="I15" s="198"/>
      <c r="J15" s="198"/>
      <c r="K15" s="198"/>
      <c r="L15" s="198"/>
    </row>
    <row r="16" spans="1:20" ht="0.75" customHeight="1" x14ac:dyDescent="0.25">
      <c r="A16" s="2"/>
    </row>
    <row r="17" spans="1:20" ht="15" customHeight="1" x14ac:dyDescent="0.25">
      <c r="A17" s="52" t="s">
        <v>145</v>
      </c>
      <c r="B17" s="3" t="s">
        <v>1</v>
      </c>
      <c r="C17" s="3" t="s">
        <v>2</v>
      </c>
      <c r="D17" s="3" t="s">
        <v>3</v>
      </c>
      <c r="E17" s="3" t="s">
        <v>4</v>
      </c>
      <c r="F17" s="3" t="s">
        <v>5</v>
      </c>
      <c r="G17" s="3" t="s">
        <v>6</v>
      </c>
      <c r="H17" s="3" t="s">
        <v>7</v>
      </c>
      <c r="I17" s="3" t="s">
        <v>8</v>
      </c>
      <c r="J17" s="3" t="s">
        <v>9</v>
      </c>
    </row>
    <row r="18" spans="1:20" ht="15" customHeight="1" x14ac:dyDescent="0.25">
      <c r="A18" s="106" t="s">
        <v>92</v>
      </c>
      <c r="B18" s="108">
        <v>383</v>
      </c>
      <c r="C18" s="108" t="s">
        <v>167</v>
      </c>
      <c r="D18" s="108">
        <v>44</v>
      </c>
      <c r="E18" s="108">
        <v>419</v>
      </c>
      <c r="F18" s="108">
        <v>156</v>
      </c>
      <c r="G18" s="108" t="s">
        <v>167</v>
      </c>
      <c r="H18" s="108">
        <v>78</v>
      </c>
      <c r="I18" s="108" t="s">
        <v>167</v>
      </c>
      <c r="J18" s="108">
        <v>1080</v>
      </c>
      <c r="K18" s="8"/>
      <c r="L18" s="8"/>
      <c r="M18" s="8"/>
      <c r="N18" s="8"/>
      <c r="O18" s="8"/>
      <c r="P18" s="8"/>
      <c r="Q18" s="8"/>
      <c r="R18" s="8"/>
      <c r="S18" s="8"/>
      <c r="T18" s="128"/>
    </row>
    <row r="19" spans="1:20" ht="15" customHeight="1" x14ac:dyDescent="0.25">
      <c r="A19" s="106" t="s">
        <v>87</v>
      </c>
      <c r="B19" s="108">
        <v>1236</v>
      </c>
      <c r="C19" s="108">
        <v>316</v>
      </c>
      <c r="D19" s="108">
        <v>937</v>
      </c>
      <c r="E19" s="108">
        <v>533</v>
      </c>
      <c r="F19" s="108">
        <v>245</v>
      </c>
      <c r="G19" s="108">
        <v>62</v>
      </c>
      <c r="H19" s="108">
        <v>39</v>
      </c>
      <c r="I19" s="108">
        <v>206</v>
      </c>
      <c r="J19" s="108">
        <v>3574</v>
      </c>
      <c r="K19" s="8"/>
      <c r="L19" s="8"/>
      <c r="M19" s="8"/>
      <c r="N19" s="8"/>
      <c r="O19" s="8"/>
      <c r="P19" s="8"/>
      <c r="Q19" s="8"/>
      <c r="R19" s="8"/>
      <c r="S19" s="8"/>
    </row>
    <row r="20" spans="1:20" ht="15" customHeight="1" x14ac:dyDescent="0.25">
      <c r="A20" s="37" t="s">
        <v>88</v>
      </c>
      <c r="B20" s="41">
        <v>1409</v>
      </c>
      <c r="C20" s="41">
        <v>316</v>
      </c>
      <c r="D20" s="41">
        <v>958</v>
      </c>
      <c r="E20" s="41">
        <v>748</v>
      </c>
      <c r="F20" s="41">
        <v>336</v>
      </c>
      <c r="G20" s="41" t="s">
        <v>174</v>
      </c>
      <c r="H20" s="41" t="s">
        <v>174</v>
      </c>
      <c r="I20" s="41">
        <v>206</v>
      </c>
      <c r="J20" s="41">
        <v>4128</v>
      </c>
      <c r="K20" s="41"/>
      <c r="L20" s="41"/>
      <c r="M20" s="41"/>
      <c r="N20" s="41"/>
      <c r="O20" s="41"/>
      <c r="P20" s="41"/>
      <c r="Q20" s="41"/>
      <c r="R20" s="41"/>
      <c r="S20" s="41"/>
    </row>
    <row r="21" spans="1:20" ht="15" customHeight="1" x14ac:dyDescent="0.25">
      <c r="A21" s="106" t="s">
        <v>89</v>
      </c>
      <c r="B21" s="108">
        <v>153</v>
      </c>
      <c r="C21" s="108">
        <v>74</v>
      </c>
      <c r="D21" s="108">
        <v>132</v>
      </c>
      <c r="E21" s="108">
        <v>78</v>
      </c>
      <c r="F21" s="108">
        <v>31</v>
      </c>
      <c r="G21" s="108" t="s">
        <v>174</v>
      </c>
      <c r="H21" s="108" t="s">
        <v>174</v>
      </c>
      <c r="I21" s="108">
        <v>90</v>
      </c>
      <c r="J21" s="108">
        <v>576</v>
      </c>
      <c r="K21" s="8"/>
      <c r="L21" s="8"/>
      <c r="M21" s="8"/>
      <c r="N21" s="8"/>
      <c r="O21" s="8"/>
      <c r="P21" s="8"/>
      <c r="Q21" s="8"/>
      <c r="R21" s="8"/>
      <c r="S21" s="8"/>
    </row>
    <row r="22" spans="1:20" ht="15" customHeight="1" x14ac:dyDescent="0.25">
      <c r="A22" s="106" t="s">
        <v>90</v>
      </c>
      <c r="B22" s="108" t="s">
        <v>167</v>
      </c>
      <c r="C22" s="108">
        <v>1</v>
      </c>
      <c r="D22" s="108" t="s">
        <v>167</v>
      </c>
      <c r="E22" s="108" t="s">
        <v>167</v>
      </c>
      <c r="F22" s="108" t="s">
        <v>167</v>
      </c>
      <c r="G22" s="108" t="s">
        <v>167</v>
      </c>
      <c r="H22" s="108" t="s">
        <v>167</v>
      </c>
      <c r="I22" s="108">
        <v>63</v>
      </c>
      <c r="J22" s="108">
        <v>64</v>
      </c>
      <c r="K22" s="8"/>
      <c r="L22" s="8"/>
      <c r="M22" s="8"/>
      <c r="N22" s="8"/>
      <c r="O22" s="8"/>
      <c r="P22" s="8"/>
      <c r="Q22" s="8"/>
      <c r="R22" s="8"/>
      <c r="S22" s="8"/>
    </row>
    <row r="23" spans="1:20" ht="15" customHeight="1" x14ac:dyDescent="0.25">
      <c r="A23" s="105" t="s">
        <v>93</v>
      </c>
      <c r="B23" s="81">
        <v>1487</v>
      </c>
      <c r="C23" s="81">
        <v>374</v>
      </c>
      <c r="D23" s="81">
        <v>1003</v>
      </c>
      <c r="E23" s="81">
        <v>789</v>
      </c>
      <c r="F23" s="81">
        <v>345</v>
      </c>
      <c r="G23" s="81">
        <v>69</v>
      </c>
      <c r="H23" s="81">
        <v>95</v>
      </c>
      <c r="I23" s="81">
        <v>315</v>
      </c>
      <c r="J23" s="81">
        <v>4477</v>
      </c>
      <c r="K23" s="81"/>
      <c r="L23" s="81"/>
      <c r="M23" s="81"/>
      <c r="N23" s="81"/>
      <c r="O23" s="81"/>
      <c r="P23" s="81"/>
      <c r="Q23" s="81"/>
      <c r="R23" s="81"/>
      <c r="S23" s="81"/>
    </row>
    <row r="24" spans="1:20" ht="3.75" customHeight="1" x14ac:dyDescent="0.25">
      <c r="A24" s="2"/>
    </row>
    <row r="25" spans="1:20" ht="15" customHeight="1" x14ac:dyDescent="0.25">
      <c r="A25" s="206" t="s">
        <v>18</v>
      </c>
      <c r="B25" s="206"/>
      <c r="C25" s="206"/>
      <c r="D25" s="206"/>
      <c r="E25" s="206"/>
      <c r="F25" s="206"/>
      <c r="G25" s="206"/>
      <c r="H25" s="206"/>
      <c r="I25" s="206"/>
      <c r="J25" s="206"/>
      <c r="K25" s="202"/>
      <c r="L25" s="202"/>
    </row>
    <row r="26" spans="1:20" s="6" customFormat="1" ht="15" customHeight="1" x14ac:dyDescent="0.15">
      <c r="A26" s="6" t="s">
        <v>96</v>
      </c>
    </row>
    <row r="27" spans="1:20" s="6" customFormat="1" ht="12.75" customHeight="1" x14ac:dyDescent="0.15">
      <c r="A27" s="6" t="s">
        <v>95</v>
      </c>
    </row>
    <row r="28" spans="1:20" s="6" customFormat="1" ht="11.25" customHeight="1" x14ac:dyDescent="0.15">
      <c r="A28" s="6" t="s">
        <v>16</v>
      </c>
    </row>
    <row r="29" spans="1:20" s="6" customFormat="1" ht="15" customHeight="1" x14ac:dyDescent="0.15">
      <c r="A29" s="6" t="s">
        <v>271</v>
      </c>
    </row>
    <row r="30" spans="1:20" ht="15" customHeight="1" x14ac:dyDescent="0.25">
      <c r="A30" s="2"/>
    </row>
    <row r="33" spans="5:14" ht="15" customHeight="1" x14ac:dyDescent="0.25">
      <c r="M33" s="127"/>
    </row>
    <row r="34" spans="5:14" ht="15" customHeight="1" x14ac:dyDescent="0.25">
      <c r="E34" s="127"/>
      <c r="G34" s="127"/>
      <c r="H34" s="127"/>
      <c r="M34" s="127"/>
    </row>
    <row r="35" spans="5:14" ht="15" customHeight="1" x14ac:dyDescent="0.25">
      <c r="E35" s="127"/>
      <c r="G35" s="127"/>
      <c r="H35" s="127"/>
      <c r="M35" s="127"/>
    </row>
    <row r="38" spans="5:14" ht="15" customHeight="1" x14ac:dyDescent="0.25">
      <c r="E38" s="127"/>
      <c r="G38" s="127"/>
      <c r="H38" s="127"/>
      <c r="M38" s="127"/>
    </row>
    <row r="43" spans="5:14" ht="15" customHeight="1" x14ac:dyDescent="0.25">
      <c r="N43" s="135"/>
    </row>
    <row r="44" spans="5:14" ht="15" customHeight="1" x14ac:dyDescent="0.25">
      <c r="F44" s="135"/>
      <c r="N44" s="135"/>
    </row>
    <row r="45" spans="5:14" ht="15" customHeight="1" x14ac:dyDescent="0.25">
      <c r="F45" s="135"/>
      <c r="N45" s="135"/>
    </row>
    <row r="48" spans="5:14" ht="15" customHeight="1" x14ac:dyDescent="0.25">
      <c r="F48" s="135"/>
      <c r="N48" s="135"/>
    </row>
  </sheetData>
  <mergeCells count="3">
    <mergeCell ref="A25:L25"/>
    <mergeCell ref="A1:L1"/>
    <mergeCell ref="A15:L15"/>
  </mergeCells>
  <pageMargins left="0.08" right="0.08" top="1" bottom="1" header="0.5" footer="0.5"/>
  <pageSetup orientation="landscape" blackAndWhite="1"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K58"/>
  <sheetViews>
    <sheetView zoomScaleNormal="100" workbookViewId="0">
      <selection activeCell="F25" sqref="F25"/>
    </sheetView>
  </sheetViews>
  <sheetFormatPr defaultColWidth="9.140625" defaultRowHeight="15" x14ac:dyDescent="0.25"/>
  <cols>
    <col min="1" max="1" width="22.42578125" style="1" customWidth="1"/>
    <col min="2" max="7" width="11.42578125" style="1" bestFit="1" customWidth="1"/>
    <col min="8" max="16384" width="9.140625" style="1"/>
  </cols>
  <sheetData>
    <row r="1" spans="1:7" ht="42" customHeight="1" x14ac:dyDescent="0.25">
      <c r="A1" s="209" t="s">
        <v>351</v>
      </c>
      <c r="B1" s="209"/>
      <c r="C1" s="209"/>
      <c r="D1" s="209"/>
      <c r="E1" s="209"/>
      <c r="F1" s="59"/>
      <c r="G1" s="59"/>
    </row>
    <row r="2" spans="1:7" ht="3" customHeight="1" x14ac:dyDescent="0.25">
      <c r="A2" s="2"/>
    </row>
    <row r="3" spans="1:7" ht="23.25" x14ac:dyDescent="0.25">
      <c r="A3" s="52" t="s">
        <v>195</v>
      </c>
      <c r="B3" s="3" t="s">
        <v>22</v>
      </c>
      <c r="C3" s="3" t="s">
        <v>23</v>
      </c>
      <c r="D3" s="3" t="s">
        <v>24</v>
      </c>
      <c r="E3" s="11" t="s">
        <v>12</v>
      </c>
    </row>
    <row r="4" spans="1:7" x14ac:dyDescent="0.25">
      <c r="A4" s="4">
        <v>1</v>
      </c>
      <c r="B4" s="8">
        <v>1303</v>
      </c>
      <c r="C4" s="8">
        <v>1004</v>
      </c>
      <c r="D4" s="8">
        <v>50</v>
      </c>
      <c r="E4" s="8">
        <v>2357</v>
      </c>
    </row>
    <row r="5" spans="1:7" x14ac:dyDescent="0.25">
      <c r="A5" s="4">
        <v>2</v>
      </c>
      <c r="B5" s="8">
        <v>600</v>
      </c>
      <c r="C5" s="8">
        <v>389</v>
      </c>
      <c r="D5" s="8">
        <v>6</v>
      </c>
      <c r="E5" s="8">
        <v>995</v>
      </c>
    </row>
    <row r="6" spans="1:7" x14ac:dyDescent="0.25">
      <c r="A6" s="4">
        <v>3</v>
      </c>
      <c r="B6" s="8">
        <v>273</v>
      </c>
      <c r="C6" s="8">
        <v>180</v>
      </c>
      <c r="D6" s="8">
        <v>5</v>
      </c>
      <c r="E6" s="8">
        <v>458</v>
      </c>
    </row>
    <row r="7" spans="1:7" x14ac:dyDescent="0.25">
      <c r="A7" s="4">
        <v>4</v>
      </c>
      <c r="B7" s="8">
        <v>154</v>
      </c>
      <c r="C7" s="8">
        <v>100</v>
      </c>
      <c r="D7" s="8" t="s">
        <v>167</v>
      </c>
      <c r="E7" s="8">
        <v>254</v>
      </c>
    </row>
    <row r="8" spans="1:7" x14ac:dyDescent="0.25">
      <c r="A8" s="4">
        <v>5</v>
      </c>
      <c r="B8" s="8">
        <v>100</v>
      </c>
      <c r="C8" s="8">
        <v>44</v>
      </c>
      <c r="D8" s="8" t="s">
        <v>167</v>
      </c>
      <c r="E8" s="8">
        <v>144</v>
      </c>
    </row>
    <row r="9" spans="1:7" x14ac:dyDescent="0.25">
      <c r="A9" s="4" t="s">
        <v>81</v>
      </c>
      <c r="B9" s="8">
        <v>114</v>
      </c>
      <c r="C9" s="8">
        <v>73</v>
      </c>
      <c r="D9" s="8" t="s">
        <v>167</v>
      </c>
      <c r="E9" s="8">
        <v>187</v>
      </c>
    </row>
    <row r="10" spans="1:7" x14ac:dyDescent="0.25">
      <c r="A10" s="9" t="s">
        <v>12</v>
      </c>
      <c r="B10" s="81">
        <v>2544</v>
      </c>
      <c r="C10" s="81">
        <v>1790</v>
      </c>
      <c r="D10" s="81">
        <v>61</v>
      </c>
      <c r="E10" s="81">
        <v>4395</v>
      </c>
    </row>
    <row r="11" spans="1:7" ht="0.75" customHeight="1" x14ac:dyDescent="0.25">
      <c r="A11" s="53"/>
      <c r="B11" s="53"/>
      <c r="C11" s="53"/>
      <c r="D11" s="53"/>
      <c r="E11" s="53"/>
    </row>
    <row r="12" spans="1:7" ht="12" customHeight="1" x14ac:dyDescent="0.25">
      <c r="A12" s="118" t="s">
        <v>452</v>
      </c>
    </row>
    <row r="13" spans="1:7" ht="12" customHeight="1" x14ac:dyDescent="0.25"/>
    <row r="14" spans="1:7" s="6" customFormat="1" ht="11.1" customHeight="1" x14ac:dyDescent="0.15">
      <c r="A14" s="118" t="s">
        <v>271</v>
      </c>
    </row>
    <row r="15" spans="1:7" ht="12" customHeight="1" x14ac:dyDescent="0.25">
      <c r="A15" s="2"/>
    </row>
    <row r="16" spans="1:7" ht="42" customHeight="1" x14ac:dyDescent="0.25">
      <c r="A16" s="209" t="s">
        <v>352</v>
      </c>
      <c r="B16" s="209"/>
      <c r="C16" s="209"/>
      <c r="D16" s="209"/>
      <c r="E16" s="209"/>
      <c r="F16" s="59"/>
      <c r="G16" s="59"/>
    </row>
    <row r="17" spans="1:7" ht="4.5" customHeight="1" x14ac:dyDescent="0.25">
      <c r="A17" s="2"/>
    </row>
    <row r="18" spans="1:7" ht="23.25" x14ac:dyDescent="0.25">
      <c r="A18" s="52" t="s">
        <v>196</v>
      </c>
      <c r="B18" s="3" t="s">
        <v>22</v>
      </c>
      <c r="C18" s="3" t="s">
        <v>23</v>
      </c>
      <c r="D18" s="3" t="s">
        <v>24</v>
      </c>
      <c r="E18" s="11" t="s">
        <v>12</v>
      </c>
    </row>
    <row r="19" spans="1:7" x14ac:dyDescent="0.25">
      <c r="A19" s="4">
        <v>1</v>
      </c>
      <c r="B19" s="8">
        <v>1368</v>
      </c>
      <c r="C19" s="8">
        <v>1026</v>
      </c>
      <c r="D19" s="8">
        <v>48</v>
      </c>
      <c r="E19" s="8">
        <v>2442</v>
      </c>
    </row>
    <row r="20" spans="1:7" x14ac:dyDescent="0.25">
      <c r="A20" s="4">
        <v>2</v>
      </c>
      <c r="B20" s="8">
        <v>613</v>
      </c>
      <c r="C20" s="8">
        <v>396</v>
      </c>
      <c r="D20" s="8">
        <v>7</v>
      </c>
      <c r="E20" s="8">
        <v>1016</v>
      </c>
    </row>
    <row r="21" spans="1:7" x14ac:dyDescent="0.25">
      <c r="A21" s="4">
        <v>3</v>
      </c>
      <c r="B21" s="8">
        <v>280</v>
      </c>
      <c r="C21" s="8">
        <v>194</v>
      </c>
      <c r="D21" s="8">
        <v>3</v>
      </c>
      <c r="E21" s="8">
        <v>477</v>
      </c>
    </row>
    <row r="22" spans="1:7" x14ac:dyDescent="0.25">
      <c r="A22" s="4">
        <v>4</v>
      </c>
      <c r="B22" s="8">
        <v>141</v>
      </c>
      <c r="C22" s="8">
        <v>87</v>
      </c>
      <c r="D22" s="8" t="s">
        <v>167</v>
      </c>
      <c r="E22" s="8">
        <v>228</v>
      </c>
    </row>
    <row r="23" spans="1:7" x14ac:dyDescent="0.25">
      <c r="A23" s="4">
        <v>5</v>
      </c>
      <c r="B23" s="8">
        <v>94</v>
      </c>
      <c r="C23" s="8">
        <v>47</v>
      </c>
      <c r="D23" s="8" t="s">
        <v>167</v>
      </c>
      <c r="E23" s="8">
        <v>141</v>
      </c>
    </row>
    <row r="24" spans="1:7" x14ac:dyDescent="0.25">
      <c r="A24" s="4" t="s">
        <v>81</v>
      </c>
      <c r="B24" s="8">
        <v>106</v>
      </c>
      <c r="C24" s="8">
        <v>67</v>
      </c>
      <c r="D24" s="8" t="s">
        <v>167</v>
      </c>
      <c r="E24" s="8">
        <v>173</v>
      </c>
    </row>
    <row r="25" spans="1:7" ht="13.5" customHeight="1" x14ac:dyDescent="0.25">
      <c r="A25" s="9" t="s">
        <v>12</v>
      </c>
      <c r="B25" s="81">
        <v>2602</v>
      </c>
      <c r="C25" s="81">
        <v>1817</v>
      </c>
      <c r="D25" s="81">
        <v>58</v>
      </c>
      <c r="E25" s="81">
        <v>4477</v>
      </c>
    </row>
    <row r="26" spans="1:7" ht="12" hidden="1" customHeight="1" x14ac:dyDescent="0.25"/>
    <row r="27" spans="1:7" ht="11.1" customHeight="1" x14ac:dyDescent="0.25">
      <c r="A27" s="229"/>
      <c r="B27" s="229"/>
      <c r="C27" s="229"/>
      <c r="D27" s="229"/>
      <c r="E27" s="229"/>
      <c r="F27" s="230"/>
      <c r="G27" s="230"/>
    </row>
    <row r="28" spans="1:7" s="6" customFormat="1" ht="11.1" customHeight="1" x14ac:dyDescent="0.15">
      <c r="A28" s="6" t="s">
        <v>271</v>
      </c>
    </row>
    <row r="29" spans="1:7" ht="12" customHeight="1" x14ac:dyDescent="0.25">
      <c r="A29" s="2"/>
    </row>
    <row r="35" spans="8:11" x14ac:dyDescent="0.25">
      <c r="H35" s="127"/>
      <c r="I35" s="127"/>
      <c r="K35" s="127"/>
    </row>
    <row r="41" spans="8:11" x14ac:dyDescent="0.25">
      <c r="H41" s="127"/>
      <c r="I41" s="127"/>
      <c r="K41" s="127"/>
    </row>
    <row r="52" spans="8:11" x14ac:dyDescent="0.25">
      <c r="H52" s="127"/>
      <c r="I52" s="127"/>
      <c r="K52" s="127"/>
    </row>
    <row r="53" spans="8:11" x14ac:dyDescent="0.25">
      <c r="K53" s="127"/>
    </row>
    <row r="58" spans="8:11" x14ac:dyDescent="0.25">
      <c r="H58" s="127"/>
      <c r="I58" s="127"/>
      <c r="K58" s="127"/>
    </row>
  </sheetData>
  <mergeCells count="3">
    <mergeCell ref="A27:G27"/>
    <mergeCell ref="A16:E16"/>
    <mergeCell ref="A1:E1"/>
  </mergeCells>
  <pageMargins left="0.08" right="0.08" top="1" bottom="1" header="0.5" footer="0.5"/>
  <pageSetup orientation="landscape" blackAndWhite="1"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M48"/>
  <sheetViews>
    <sheetView zoomScaleNormal="100" workbookViewId="0">
      <selection activeCell="E18" sqref="E18"/>
    </sheetView>
  </sheetViews>
  <sheetFormatPr defaultColWidth="9.140625" defaultRowHeight="15" x14ac:dyDescent="0.25"/>
  <cols>
    <col min="1" max="1" width="24.5703125" style="1" customWidth="1"/>
    <col min="2" max="12" width="11.42578125" style="1" bestFit="1" customWidth="1"/>
    <col min="13" max="16384" width="9.140625" style="1"/>
  </cols>
  <sheetData>
    <row r="1" spans="1:12" ht="27.95" customHeight="1" x14ac:dyDescent="0.25">
      <c r="A1" s="198" t="s">
        <v>353</v>
      </c>
      <c r="B1" s="198"/>
      <c r="C1" s="198"/>
      <c r="D1" s="198"/>
      <c r="E1" s="198"/>
      <c r="F1" s="198"/>
      <c r="G1" s="198"/>
      <c r="H1" s="198"/>
      <c r="I1" s="198"/>
      <c r="J1" s="198"/>
      <c r="K1" s="198"/>
      <c r="L1" s="198"/>
    </row>
    <row r="2" spans="1:12" ht="2.25" customHeight="1" x14ac:dyDescent="0.25">
      <c r="A2" s="2"/>
    </row>
    <row r="3" spans="1:12" ht="15" customHeight="1" x14ac:dyDescent="0.25">
      <c r="A3" s="40" t="s">
        <v>186</v>
      </c>
      <c r="B3" s="3" t="s">
        <v>1</v>
      </c>
      <c r="C3" s="3" t="s">
        <v>97</v>
      </c>
      <c r="D3" s="3" t="s">
        <v>98</v>
      </c>
      <c r="E3" s="3" t="s">
        <v>4</v>
      </c>
      <c r="F3" s="3" t="s">
        <v>5</v>
      </c>
      <c r="G3" s="3" t="s">
        <v>99</v>
      </c>
      <c r="H3" s="3" t="s">
        <v>7</v>
      </c>
      <c r="I3" s="3" t="s">
        <v>8</v>
      </c>
      <c r="J3" s="11" t="s">
        <v>12</v>
      </c>
    </row>
    <row r="4" spans="1:12" ht="15" customHeight="1" x14ac:dyDescent="0.25">
      <c r="A4" s="114" t="s">
        <v>22</v>
      </c>
      <c r="B4" s="115">
        <v>756</v>
      </c>
      <c r="C4" s="115">
        <v>58</v>
      </c>
      <c r="D4" s="115">
        <v>667</v>
      </c>
      <c r="E4" s="115">
        <v>527</v>
      </c>
      <c r="F4" s="115">
        <v>184</v>
      </c>
      <c r="G4" s="115">
        <v>22</v>
      </c>
      <c r="H4" s="115">
        <v>32</v>
      </c>
      <c r="I4" s="115">
        <v>298</v>
      </c>
      <c r="J4" s="115">
        <v>2544</v>
      </c>
    </row>
    <row r="5" spans="1:12" ht="15" customHeight="1" x14ac:dyDescent="0.25">
      <c r="A5" s="4" t="s">
        <v>23</v>
      </c>
      <c r="B5" s="8">
        <v>648</v>
      </c>
      <c r="C5" s="8">
        <v>317</v>
      </c>
      <c r="D5" s="8">
        <v>295</v>
      </c>
      <c r="E5" s="8">
        <v>258</v>
      </c>
      <c r="F5" s="8">
        <v>155</v>
      </c>
      <c r="G5" s="8">
        <v>44</v>
      </c>
      <c r="H5" s="8">
        <v>64</v>
      </c>
      <c r="I5" s="8">
        <v>9</v>
      </c>
      <c r="J5" s="8">
        <v>1790</v>
      </c>
    </row>
    <row r="6" spans="1:12" ht="15" customHeight="1" x14ac:dyDescent="0.25">
      <c r="A6" s="4" t="s">
        <v>24</v>
      </c>
      <c r="B6" s="8">
        <v>50</v>
      </c>
      <c r="C6" s="8">
        <v>2</v>
      </c>
      <c r="D6" s="8">
        <v>3</v>
      </c>
      <c r="E6" s="5" t="s">
        <v>167</v>
      </c>
      <c r="F6" s="8">
        <v>3</v>
      </c>
      <c r="G6" s="5" t="s">
        <v>167</v>
      </c>
      <c r="H6" s="5" t="s">
        <v>167</v>
      </c>
      <c r="I6" s="8">
        <v>3</v>
      </c>
      <c r="J6" s="8">
        <v>61</v>
      </c>
    </row>
    <row r="7" spans="1:12" ht="15" customHeight="1" x14ac:dyDescent="0.25">
      <c r="A7" s="96" t="s">
        <v>12</v>
      </c>
      <c r="B7" s="101">
        <v>1454</v>
      </c>
      <c r="C7" s="101">
        <v>377</v>
      </c>
      <c r="D7" s="101">
        <v>965</v>
      </c>
      <c r="E7" s="101">
        <v>785</v>
      </c>
      <c r="F7" s="101">
        <v>342</v>
      </c>
      <c r="G7" s="101">
        <v>66</v>
      </c>
      <c r="H7" s="101">
        <v>96</v>
      </c>
      <c r="I7" s="101">
        <v>310</v>
      </c>
      <c r="J7" s="101">
        <v>4395</v>
      </c>
    </row>
    <row r="8" spans="1:12" ht="5.25" customHeight="1" x14ac:dyDescent="0.25"/>
    <row r="9" spans="1:12" ht="12.75" customHeight="1" x14ac:dyDescent="0.25">
      <c r="A9" s="118" t="s">
        <v>452</v>
      </c>
    </row>
    <row r="10" spans="1:12" ht="12.75" customHeight="1" x14ac:dyDescent="0.25"/>
    <row r="11" spans="1:12" s="6" customFormat="1" ht="7.5" customHeight="1" x14ac:dyDescent="0.15">
      <c r="A11" s="6" t="s">
        <v>271</v>
      </c>
    </row>
    <row r="12" spans="1:12" ht="12" customHeight="1" x14ac:dyDescent="0.25">
      <c r="A12" s="2"/>
    </row>
    <row r="13" spans="1:12" ht="27.95" customHeight="1" x14ac:dyDescent="0.25">
      <c r="A13" s="198" t="s">
        <v>354</v>
      </c>
      <c r="B13" s="198"/>
      <c r="C13" s="198"/>
      <c r="D13" s="198"/>
      <c r="E13" s="198"/>
      <c r="F13" s="198"/>
      <c r="G13" s="198"/>
      <c r="H13" s="198"/>
      <c r="I13" s="198"/>
      <c r="J13" s="198"/>
      <c r="K13" s="198"/>
      <c r="L13" s="198"/>
    </row>
    <row r="14" spans="1:12" ht="0.75" customHeight="1" x14ac:dyDescent="0.25">
      <c r="A14" s="2"/>
    </row>
    <row r="15" spans="1:12" x14ac:dyDescent="0.25">
      <c r="A15" s="40" t="s">
        <v>186</v>
      </c>
      <c r="B15" s="3" t="s">
        <v>1</v>
      </c>
      <c r="C15" s="3" t="s">
        <v>97</v>
      </c>
      <c r="D15" s="3" t="s">
        <v>98</v>
      </c>
      <c r="E15" s="3" t="s">
        <v>4</v>
      </c>
      <c r="F15" s="3" t="s">
        <v>5</v>
      </c>
      <c r="G15" s="3" t="s">
        <v>99</v>
      </c>
      <c r="H15" s="3" t="s">
        <v>7</v>
      </c>
      <c r="I15" s="3" t="s">
        <v>8</v>
      </c>
      <c r="J15" s="11" t="s">
        <v>12</v>
      </c>
    </row>
    <row r="16" spans="1:12" x14ac:dyDescent="0.25">
      <c r="A16" s="4" t="s">
        <v>22</v>
      </c>
      <c r="B16" s="8">
        <v>787</v>
      </c>
      <c r="C16" s="8">
        <v>55</v>
      </c>
      <c r="D16" s="8">
        <v>694</v>
      </c>
      <c r="E16" s="8">
        <v>523</v>
      </c>
      <c r="F16" s="8">
        <v>186</v>
      </c>
      <c r="G16" s="8">
        <v>23</v>
      </c>
      <c r="H16" s="8">
        <v>31</v>
      </c>
      <c r="I16" s="8">
        <v>303</v>
      </c>
      <c r="J16" s="8">
        <v>2602</v>
      </c>
    </row>
    <row r="17" spans="1:13" x14ac:dyDescent="0.25">
      <c r="A17" s="4" t="s">
        <v>23</v>
      </c>
      <c r="B17" s="8">
        <v>652</v>
      </c>
      <c r="C17" s="8">
        <v>318</v>
      </c>
      <c r="D17" s="8">
        <v>306</v>
      </c>
      <c r="E17" s="8">
        <v>266</v>
      </c>
      <c r="F17" s="8">
        <v>156</v>
      </c>
      <c r="G17" s="8">
        <v>46</v>
      </c>
      <c r="H17" s="8">
        <v>64</v>
      </c>
      <c r="I17" s="8">
        <v>9</v>
      </c>
      <c r="J17" s="8">
        <v>1817</v>
      </c>
    </row>
    <row r="18" spans="1:13" x14ac:dyDescent="0.25">
      <c r="A18" s="4" t="s">
        <v>24</v>
      </c>
      <c r="B18" s="8">
        <v>48</v>
      </c>
      <c r="C18" s="8">
        <v>1</v>
      </c>
      <c r="D18" s="8">
        <v>3</v>
      </c>
      <c r="E18" s="5" t="s">
        <v>167</v>
      </c>
      <c r="F18" s="8">
        <v>3</v>
      </c>
      <c r="G18" s="5" t="s">
        <v>167</v>
      </c>
      <c r="H18" s="5" t="s">
        <v>167</v>
      </c>
      <c r="I18" s="8">
        <v>3</v>
      </c>
      <c r="J18" s="8">
        <v>58</v>
      </c>
    </row>
    <row r="19" spans="1:13" x14ac:dyDescent="0.25">
      <c r="A19" s="9" t="s">
        <v>12</v>
      </c>
      <c r="B19" s="81">
        <v>1487</v>
      </c>
      <c r="C19" s="81">
        <v>374</v>
      </c>
      <c r="D19" s="81">
        <v>1003</v>
      </c>
      <c r="E19" s="81">
        <v>789</v>
      </c>
      <c r="F19" s="81">
        <v>345</v>
      </c>
      <c r="G19" s="81">
        <v>69</v>
      </c>
      <c r="H19" s="81">
        <v>95</v>
      </c>
      <c r="I19" s="81">
        <v>315</v>
      </c>
      <c r="J19" s="81">
        <v>4477</v>
      </c>
    </row>
    <row r="20" spans="1:13" ht="3.75" customHeight="1" x14ac:dyDescent="0.25"/>
    <row r="21" spans="1:13" ht="6" customHeight="1" x14ac:dyDescent="0.25">
      <c r="A21" s="229"/>
      <c r="B21" s="229"/>
      <c r="C21" s="229"/>
      <c r="D21" s="229"/>
      <c r="E21" s="229"/>
      <c r="F21" s="229"/>
      <c r="G21" s="229"/>
      <c r="H21" s="229"/>
      <c r="I21" s="229"/>
      <c r="J21" s="229"/>
      <c r="K21" s="230"/>
      <c r="L21" s="230"/>
    </row>
    <row r="22" spans="1:13" s="6" customFormat="1" ht="11.1" customHeight="1" x14ac:dyDescent="0.15">
      <c r="A22" s="6" t="s">
        <v>271</v>
      </c>
    </row>
    <row r="23" spans="1:13" ht="12" customHeight="1" x14ac:dyDescent="0.25">
      <c r="A23" s="2"/>
    </row>
    <row r="31" spans="1:13" x14ac:dyDescent="0.25">
      <c r="M31" s="127"/>
    </row>
    <row r="32" spans="1:13" x14ac:dyDescent="0.25">
      <c r="M32" s="127"/>
    </row>
    <row r="34" spans="5:13" x14ac:dyDescent="0.25">
      <c r="E34" s="127"/>
      <c r="M34" s="127"/>
    </row>
    <row r="45" spans="5:13" x14ac:dyDescent="0.25">
      <c r="M45" s="127"/>
    </row>
    <row r="46" spans="5:13" x14ac:dyDescent="0.25">
      <c r="M46" s="127"/>
    </row>
    <row r="48" spans="5:13" x14ac:dyDescent="0.25">
      <c r="E48" s="127"/>
      <c r="M48" s="127"/>
    </row>
  </sheetData>
  <mergeCells count="3">
    <mergeCell ref="A21:L21"/>
    <mergeCell ref="A1:L1"/>
    <mergeCell ref="A13:L13"/>
  </mergeCells>
  <pageMargins left="0.08" right="0.08" top="1" bottom="1" header="0.5" footer="0.5"/>
  <pageSetup orientation="landscape" blackAndWhite="1"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G37"/>
  <sheetViews>
    <sheetView zoomScaleNormal="100" workbookViewId="0">
      <selection activeCell="G34" sqref="G34"/>
    </sheetView>
  </sheetViews>
  <sheetFormatPr defaultColWidth="9.140625" defaultRowHeight="15" x14ac:dyDescent="0.25"/>
  <cols>
    <col min="1" max="7" width="11.42578125" style="1" bestFit="1" customWidth="1"/>
    <col min="8" max="16384" width="9.140625" style="1"/>
  </cols>
  <sheetData>
    <row r="1" spans="1:7" ht="27.95" customHeight="1" x14ac:dyDescent="0.25">
      <c r="A1" s="209" t="s">
        <v>355</v>
      </c>
      <c r="B1" s="209"/>
      <c r="C1" s="209"/>
      <c r="D1" s="209"/>
      <c r="E1" s="209"/>
      <c r="F1" s="59"/>
      <c r="G1" s="59"/>
    </row>
    <row r="2" spans="1:7" ht="12" customHeight="1" x14ac:dyDescent="0.25">
      <c r="A2" s="2"/>
    </row>
    <row r="3" spans="1:7" x14ac:dyDescent="0.25">
      <c r="A3" s="52" t="s">
        <v>197</v>
      </c>
      <c r="B3" s="3" t="s">
        <v>21</v>
      </c>
      <c r="C3" s="3" t="s">
        <v>25</v>
      </c>
      <c r="D3" s="3" t="s">
        <v>24</v>
      </c>
      <c r="E3" s="11" t="s">
        <v>12</v>
      </c>
    </row>
    <row r="4" spans="1:7" x14ac:dyDescent="0.25">
      <c r="A4" s="4" t="s">
        <v>100</v>
      </c>
      <c r="B4" s="169">
        <v>570</v>
      </c>
      <c r="C4" s="169">
        <v>146</v>
      </c>
      <c r="D4" s="8" t="s">
        <v>167</v>
      </c>
      <c r="E4" s="8">
        <v>716</v>
      </c>
      <c r="F4" s="128"/>
    </row>
    <row r="5" spans="1:7" x14ac:dyDescent="0.25">
      <c r="A5" s="4" t="s">
        <v>101</v>
      </c>
      <c r="B5" s="169">
        <v>559</v>
      </c>
      <c r="C5" s="169">
        <v>139</v>
      </c>
      <c r="D5" s="8">
        <v>2</v>
      </c>
      <c r="E5" s="8">
        <v>700</v>
      </c>
      <c r="F5" s="128"/>
    </row>
    <row r="6" spans="1:7" x14ac:dyDescent="0.25">
      <c r="A6" s="4" t="s">
        <v>102</v>
      </c>
      <c r="B6" s="169">
        <v>505</v>
      </c>
      <c r="C6" s="169">
        <v>122</v>
      </c>
      <c r="D6" s="8">
        <v>1</v>
      </c>
      <c r="E6" s="8">
        <v>628</v>
      </c>
      <c r="F6" s="128"/>
    </row>
    <row r="7" spans="1:7" x14ac:dyDescent="0.25">
      <c r="A7" s="4" t="s">
        <v>103</v>
      </c>
      <c r="B7" s="169">
        <v>582</v>
      </c>
      <c r="C7" s="169">
        <v>172</v>
      </c>
      <c r="D7" s="8" t="s">
        <v>167</v>
      </c>
      <c r="E7" s="8">
        <v>754</v>
      </c>
      <c r="F7" s="128"/>
    </row>
    <row r="8" spans="1:7" x14ac:dyDescent="0.25">
      <c r="A8" s="4" t="s">
        <v>104</v>
      </c>
      <c r="B8" s="169">
        <v>618</v>
      </c>
      <c r="C8" s="169">
        <v>141</v>
      </c>
      <c r="D8" s="8" t="s">
        <v>167</v>
      </c>
      <c r="E8" s="8">
        <v>759</v>
      </c>
      <c r="F8" s="128"/>
    </row>
    <row r="9" spans="1:7" x14ac:dyDescent="0.25">
      <c r="A9" s="4" t="s">
        <v>105</v>
      </c>
      <c r="B9" s="169">
        <v>650</v>
      </c>
      <c r="C9" s="169">
        <v>167</v>
      </c>
      <c r="D9" s="8">
        <v>2</v>
      </c>
      <c r="E9" s="8">
        <v>819</v>
      </c>
      <c r="F9" s="128"/>
    </row>
    <row r="10" spans="1:7" x14ac:dyDescent="0.25">
      <c r="A10" s="4" t="s">
        <v>106</v>
      </c>
      <c r="B10" s="169">
        <v>691</v>
      </c>
      <c r="C10" s="169">
        <v>139</v>
      </c>
      <c r="D10" s="8">
        <v>1</v>
      </c>
      <c r="E10" s="8">
        <v>831</v>
      </c>
      <c r="F10" s="128"/>
    </row>
    <row r="11" spans="1:7" x14ac:dyDescent="0.25">
      <c r="A11" s="4" t="s">
        <v>107</v>
      </c>
      <c r="B11" s="169">
        <v>637</v>
      </c>
      <c r="C11" s="169">
        <v>103</v>
      </c>
      <c r="D11" s="8">
        <v>1</v>
      </c>
      <c r="E11" s="8">
        <v>741</v>
      </c>
      <c r="F11" s="128"/>
    </row>
    <row r="12" spans="1:7" x14ac:dyDescent="0.25">
      <c r="A12" s="4" t="s">
        <v>108</v>
      </c>
      <c r="B12" s="169">
        <v>561</v>
      </c>
      <c r="C12" s="169">
        <v>144</v>
      </c>
      <c r="D12" s="8" t="s">
        <v>167</v>
      </c>
      <c r="E12" s="8">
        <v>705</v>
      </c>
      <c r="F12" s="128"/>
    </row>
    <row r="13" spans="1:7" x14ac:dyDescent="0.25">
      <c r="A13" s="4" t="s">
        <v>109</v>
      </c>
      <c r="B13" s="169">
        <v>616</v>
      </c>
      <c r="C13" s="169">
        <v>180</v>
      </c>
      <c r="D13" s="8" t="s">
        <v>167</v>
      </c>
      <c r="E13" s="8">
        <v>796</v>
      </c>
      <c r="F13" s="128"/>
    </row>
    <row r="14" spans="1:7" x14ac:dyDescent="0.25">
      <c r="A14" s="4" t="s">
        <v>110</v>
      </c>
      <c r="B14" s="169">
        <v>577</v>
      </c>
      <c r="C14" s="169">
        <v>131</v>
      </c>
      <c r="D14" s="8" t="s">
        <v>167</v>
      </c>
      <c r="E14" s="8">
        <v>708</v>
      </c>
      <c r="F14" s="128"/>
    </row>
    <row r="15" spans="1:7" x14ac:dyDescent="0.25">
      <c r="A15" s="94" t="s">
        <v>111</v>
      </c>
      <c r="B15" s="169">
        <v>551</v>
      </c>
      <c r="C15" s="169">
        <v>140</v>
      </c>
      <c r="D15" s="8" t="s">
        <v>167</v>
      </c>
      <c r="E15" s="8">
        <v>691</v>
      </c>
      <c r="F15" s="128"/>
      <c r="G15" s="128"/>
    </row>
    <row r="16" spans="1:7" ht="11.1" customHeight="1" x14ac:dyDescent="0.25">
      <c r="A16" s="118" t="s">
        <v>452</v>
      </c>
      <c r="B16" s="165"/>
      <c r="C16" s="165"/>
      <c r="D16" s="165"/>
      <c r="E16" s="165"/>
      <c r="F16" s="166"/>
      <c r="G16" s="166"/>
    </row>
    <row r="17" spans="1:7" ht="11.1" customHeight="1" x14ac:dyDescent="0.25">
      <c r="A17" s="166"/>
      <c r="B17" s="166"/>
      <c r="C17" s="166"/>
      <c r="D17" s="166"/>
      <c r="E17" s="166"/>
      <c r="F17" s="166"/>
      <c r="G17" s="166"/>
    </row>
    <row r="18" spans="1:7" s="6" customFormat="1" ht="11.1" customHeight="1" x14ac:dyDescent="0.15">
      <c r="A18" s="6" t="s">
        <v>271</v>
      </c>
    </row>
    <row r="19" spans="1:7" ht="12" customHeight="1" x14ac:dyDescent="0.25">
      <c r="A19" s="2"/>
    </row>
    <row r="20" spans="1:7" ht="27.95" customHeight="1" x14ac:dyDescent="0.25">
      <c r="A20" s="209" t="s">
        <v>356</v>
      </c>
      <c r="B20" s="209"/>
      <c r="C20" s="209"/>
      <c r="D20" s="209"/>
      <c r="E20" s="209"/>
      <c r="F20" s="59"/>
      <c r="G20" s="59"/>
    </row>
    <row r="21" spans="1:7" ht="12" customHeight="1" x14ac:dyDescent="0.25">
      <c r="A21" s="2"/>
    </row>
    <row r="22" spans="1:7" x14ac:dyDescent="0.25">
      <c r="A22" s="52" t="s">
        <v>197</v>
      </c>
      <c r="B22" s="3" t="s">
        <v>21</v>
      </c>
      <c r="C22" s="3" t="s">
        <v>25</v>
      </c>
      <c r="D22" s="3" t="s">
        <v>24</v>
      </c>
      <c r="E22" s="11" t="s">
        <v>12</v>
      </c>
    </row>
    <row r="23" spans="1:7" x14ac:dyDescent="0.25">
      <c r="A23" s="4" t="s">
        <v>100</v>
      </c>
      <c r="B23" s="8">
        <v>628</v>
      </c>
      <c r="C23" s="8">
        <v>137</v>
      </c>
      <c r="D23" s="8" t="s">
        <v>167</v>
      </c>
      <c r="E23" s="8">
        <v>765</v>
      </c>
      <c r="F23" s="128"/>
    </row>
    <row r="24" spans="1:7" x14ac:dyDescent="0.25">
      <c r="A24" s="4" t="s">
        <v>101</v>
      </c>
      <c r="B24" s="8">
        <v>538</v>
      </c>
      <c r="C24" s="8">
        <v>149</v>
      </c>
      <c r="D24" s="8">
        <v>2</v>
      </c>
      <c r="E24" s="8">
        <v>689</v>
      </c>
      <c r="F24" s="128"/>
    </row>
    <row r="25" spans="1:7" x14ac:dyDescent="0.25">
      <c r="A25" s="4" t="s">
        <v>102</v>
      </c>
      <c r="B25" s="8">
        <v>494</v>
      </c>
      <c r="C25" s="8">
        <v>112</v>
      </c>
      <c r="D25" s="8">
        <v>1</v>
      </c>
      <c r="E25" s="8">
        <v>607</v>
      </c>
      <c r="F25" s="128"/>
    </row>
    <row r="26" spans="1:7" x14ac:dyDescent="0.25">
      <c r="A26" s="4" t="s">
        <v>103</v>
      </c>
      <c r="B26" s="8">
        <v>613</v>
      </c>
      <c r="C26" s="8">
        <v>163</v>
      </c>
      <c r="D26" s="8" t="s">
        <v>167</v>
      </c>
      <c r="E26" s="8">
        <v>776</v>
      </c>
      <c r="F26" s="128"/>
    </row>
    <row r="27" spans="1:7" x14ac:dyDescent="0.25">
      <c r="A27" s="4" t="s">
        <v>104</v>
      </c>
      <c r="B27" s="8">
        <v>616</v>
      </c>
      <c r="C27" s="8">
        <v>152</v>
      </c>
      <c r="D27" s="8" t="s">
        <v>167</v>
      </c>
      <c r="E27" s="8">
        <v>768</v>
      </c>
      <c r="F27" s="128"/>
    </row>
    <row r="28" spans="1:7" x14ac:dyDescent="0.25">
      <c r="A28" s="4" t="s">
        <v>105</v>
      </c>
      <c r="B28" s="8">
        <v>628</v>
      </c>
      <c r="C28" s="8">
        <v>152</v>
      </c>
      <c r="D28" s="8">
        <v>2</v>
      </c>
      <c r="E28" s="8">
        <v>782</v>
      </c>
      <c r="F28" s="128"/>
    </row>
    <row r="29" spans="1:7" x14ac:dyDescent="0.25">
      <c r="A29" s="4" t="s">
        <v>106</v>
      </c>
      <c r="B29" s="8">
        <v>624</v>
      </c>
      <c r="C29" s="8">
        <v>133</v>
      </c>
      <c r="D29" s="8">
        <v>1</v>
      </c>
      <c r="E29" s="8">
        <v>758</v>
      </c>
      <c r="F29" s="128"/>
    </row>
    <row r="30" spans="1:7" x14ac:dyDescent="0.25">
      <c r="A30" s="4" t="s">
        <v>107</v>
      </c>
      <c r="B30" s="8">
        <v>622</v>
      </c>
      <c r="C30" s="8">
        <v>132</v>
      </c>
      <c r="D30" s="8">
        <v>1</v>
      </c>
      <c r="E30" s="8">
        <v>755</v>
      </c>
      <c r="F30" s="128"/>
    </row>
    <row r="31" spans="1:7" x14ac:dyDescent="0.25">
      <c r="A31" s="4" t="s">
        <v>108</v>
      </c>
      <c r="B31" s="8">
        <v>561</v>
      </c>
      <c r="C31" s="8">
        <v>133</v>
      </c>
      <c r="D31" s="8" t="s">
        <v>167</v>
      </c>
      <c r="E31" s="8">
        <v>694</v>
      </c>
      <c r="F31" s="128"/>
    </row>
    <row r="32" spans="1:7" x14ac:dyDescent="0.25">
      <c r="A32" s="4" t="s">
        <v>109</v>
      </c>
      <c r="B32" s="8">
        <v>591</v>
      </c>
      <c r="C32" s="8">
        <v>174</v>
      </c>
      <c r="D32" s="8" t="s">
        <v>167</v>
      </c>
      <c r="E32" s="8">
        <v>765</v>
      </c>
      <c r="F32" s="128"/>
    </row>
    <row r="33" spans="1:7" x14ac:dyDescent="0.25">
      <c r="A33" s="4" t="s">
        <v>110</v>
      </c>
      <c r="B33" s="8">
        <v>602</v>
      </c>
      <c r="C33" s="8">
        <v>135</v>
      </c>
      <c r="D33" s="8" t="s">
        <v>167</v>
      </c>
      <c r="E33" s="8">
        <v>737</v>
      </c>
      <c r="F33" s="128"/>
    </row>
    <row r="34" spans="1:7" x14ac:dyDescent="0.25">
      <c r="A34" s="94" t="s">
        <v>111</v>
      </c>
      <c r="B34" s="167">
        <v>567</v>
      </c>
      <c r="C34" s="167">
        <v>148</v>
      </c>
      <c r="D34" s="167" t="s">
        <v>167</v>
      </c>
      <c r="E34" s="167">
        <v>715</v>
      </c>
      <c r="F34" s="128"/>
    </row>
    <row r="35" spans="1:7" ht="10.5" customHeight="1" x14ac:dyDescent="0.25">
      <c r="B35" s="118"/>
      <c r="C35" s="118"/>
      <c r="D35" s="118"/>
      <c r="E35" s="118"/>
      <c r="F35" s="118"/>
      <c r="G35" s="118"/>
    </row>
    <row r="36" spans="1:7" s="6" customFormat="1" ht="11.1" customHeight="1" x14ac:dyDescent="0.15">
      <c r="A36" s="6" t="s">
        <v>271</v>
      </c>
    </row>
    <row r="37" spans="1:7" ht="12" customHeight="1" x14ac:dyDescent="0.25">
      <c r="A37" s="2"/>
    </row>
  </sheetData>
  <mergeCells count="2">
    <mergeCell ref="A1:E1"/>
    <mergeCell ref="A20:E20"/>
  </mergeCells>
  <pageMargins left="0.08" right="0.08" top="1" bottom="1" header="0.5" footer="0.5"/>
  <pageSetup orientation="landscape" blackAndWhite="1"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85"/>
  <sheetViews>
    <sheetView topLeftCell="A25" zoomScaleNormal="100" workbookViewId="0">
      <selection activeCell="K50" sqref="K50"/>
    </sheetView>
  </sheetViews>
  <sheetFormatPr defaultColWidth="9.140625" defaultRowHeight="15" x14ac:dyDescent="0.25"/>
  <cols>
    <col min="1" max="1" width="28" style="1" customWidth="1"/>
    <col min="2" max="2" width="15.42578125" style="1" customWidth="1"/>
    <col min="3" max="11" width="11.42578125" style="1" bestFit="1" customWidth="1"/>
    <col min="12" max="16384" width="9.140625" style="1"/>
  </cols>
  <sheetData>
    <row r="1" spans="1:21" ht="21" customHeight="1" x14ac:dyDescent="0.25">
      <c r="A1" s="200" t="s">
        <v>326</v>
      </c>
      <c r="B1" s="200"/>
      <c r="C1" s="200"/>
      <c r="D1" s="200"/>
      <c r="E1" s="200"/>
      <c r="F1" s="200"/>
      <c r="G1" s="200"/>
      <c r="H1" s="200"/>
      <c r="I1" s="200"/>
      <c r="J1" s="200"/>
      <c r="K1" s="200"/>
    </row>
    <row r="2" spans="1:21" ht="3.75" customHeight="1" x14ac:dyDescent="0.25">
      <c r="A2" s="2"/>
    </row>
    <row r="3" spans="1:21" x14ac:dyDescent="0.25">
      <c r="A3" s="65" t="s">
        <v>145</v>
      </c>
      <c r="B3" s="65" t="s">
        <v>186</v>
      </c>
      <c r="C3" s="3" t="s">
        <v>1</v>
      </c>
      <c r="D3" s="3" t="s">
        <v>2</v>
      </c>
      <c r="E3" s="3" t="s">
        <v>3</v>
      </c>
      <c r="F3" s="3" t="s">
        <v>4</v>
      </c>
      <c r="G3" s="3" t="s">
        <v>5</v>
      </c>
      <c r="H3" s="3" t="s">
        <v>6</v>
      </c>
      <c r="I3" s="3" t="s">
        <v>7</v>
      </c>
      <c r="J3" s="3" t="s">
        <v>8</v>
      </c>
      <c r="K3" s="3" t="s">
        <v>9</v>
      </c>
    </row>
    <row r="4" spans="1:21" ht="15" customHeight="1" x14ac:dyDescent="0.25">
      <c r="A4" s="203" t="s">
        <v>86</v>
      </c>
      <c r="B4" s="4" t="s">
        <v>22</v>
      </c>
      <c r="C4" s="5">
        <v>2.2000000000000002</v>
      </c>
      <c r="D4" s="5" t="s">
        <v>167</v>
      </c>
      <c r="E4" s="5">
        <v>0.5</v>
      </c>
      <c r="F4" s="5">
        <v>3.5</v>
      </c>
      <c r="G4" s="5">
        <v>2.6</v>
      </c>
      <c r="H4" s="5" t="s">
        <v>167</v>
      </c>
      <c r="I4" s="5">
        <v>1.8</v>
      </c>
      <c r="J4" s="5" t="s">
        <v>167</v>
      </c>
      <c r="K4" s="5">
        <v>10.7</v>
      </c>
      <c r="L4" s="174"/>
      <c r="M4" s="174"/>
      <c r="N4" s="174"/>
      <c r="O4" s="174"/>
      <c r="P4" s="174"/>
      <c r="Q4" s="174"/>
      <c r="R4" s="174"/>
      <c r="S4" s="174"/>
      <c r="T4" s="174"/>
      <c r="U4" s="136"/>
    </row>
    <row r="5" spans="1:21" ht="15" customHeight="1" x14ac:dyDescent="0.25">
      <c r="A5" s="203"/>
      <c r="B5" s="4" t="s">
        <v>23</v>
      </c>
      <c r="C5" s="5">
        <v>2.2999999999999998</v>
      </c>
      <c r="D5" s="5" t="s">
        <v>167</v>
      </c>
      <c r="E5" s="5">
        <v>0.3</v>
      </c>
      <c r="F5" s="5">
        <v>2.2000000000000002</v>
      </c>
      <c r="G5" s="5">
        <v>2.6</v>
      </c>
      <c r="H5" s="5" t="s">
        <v>167</v>
      </c>
      <c r="I5" s="5">
        <v>3.5</v>
      </c>
      <c r="J5" s="5" t="s">
        <v>167</v>
      </c>
      <c r="K5" s="5">
        <v>10.8</v>
      </c>
      <c r="L5" s="174"/>
      <c r="M5" s="174"/>
      <c r="N5" s="174"/>
      <c r="O5" s="174"/>
      <c r="P5" s="174"/>
      <c r="Q5" s="174"/>
      <c r="R5" s="174"/>
      <c r="S5" s="174"/>
      <c r="T5" s="174"/>
    </row>
    <row r="6" spans="1:21" ht="15" customHeight="1" x14ac:dyDescent="0.25">
      <c r="A6" s="203"/>
      <c r="B6" s="4" t="s">
        <v>24</v>
      </c>
      <c r="C6" s="5">
        <v>0.1</v>
      </c>
      <c r="D6" s="5" t="s">
        <v>167</v>
      </c>
      <c r="E6" s="5" t="s">
        <v>167</v>
      </c>
      <c r="F6" s="5" t="s">
        <v>167</v>
      </c>
      <c r="G6" s="5" t="s">
        <v>167</v>
      </c>
      <c r="H6" s="5" t="s">
        <v>167</v>
      </c>
      <c r="I6" s="5" t="s">
        <v>167</v>
      </c>
      <c r="J6" s="5" t="s">
        <v>167</v>
      </c>
      <c r="K6" s="5">
        <v>0.1</v>
      </c>
      <c r="L6" s="174"/>
      <c r="M6" s="174"/>
      <c r="N6" s="174"/>
      <c r="O6" s="174"/>
      <c r="P6" s="174"/>
      <c r="Q6" s="174"/>
      <c r="R6" s="174"/>
      <c r="S6" s="174"/>
      <c r="T6" s="174"/>
    </row>
    <row r="7" spans="1:21" ht="15" customHeight="1" x14ac:dyDescent="0.25">
      <c r="A7" s="203"/>
      <c r="B7" s="105" t="s">
        <v>12</v>
      </c>
      <c r="C7" s="76">
        <v>4.5999999999999996</v>
      </c>
      <c r="D7" s="5" t="s">
        <v>167</v>
      </c>
      <c r="E7" s="76">
        <v>0.8</v>
      </c>
      <c r="F7" s="76">
        <v>5.7</v>
      </c>
      <c r="G7" s="76">
        <v>5.3</v>
      </c>
      <c r="H7" s="5" t="s">
        <v>167</v>
      </c>
      <c r="I7" s="76">
        <v>5.3</v>
      </c>
      <c r="J7" s="5" t="s">
        <v>167</v>
      </c>
      <c r="K7" s="76">
        <v>21.7</v>
      </c>
      <c r="L7" s="174"/>
      <c r="M7" s="174"/>
      <c r="N7" s="174"/>
      <c r="O7" s="174"/>
      <c r="P7" s="174"/>
      <c r="Q7" s="174"/>
      <c r="R7" s="174"/>
      <c r="S7" s="174"/>
      <c r="T7" s="174"/>
    </row>
    <row r="8" spans="1:21" ht="15" customHeight="1" x14ac:dyDescent="0.25">
      <c r="A8" s="203" t="s">
        <v>87</v>
      </c>
      <c r="B8" s="4" t="s">
        <v>22</v>
      </c>
      <c r="C8" s="5">
        <v>101.3</v>
      </c>
      <c r="D8" s="5">
        <v>11.8</v>
      </c>
      <c r="E8" s="5">
        <v>192.2</v>
      </c>
      <c r="F8" s="5">
        <v>30.8</v>
      </c>
      <c r="G8" s="5">
        <v>18</v>
      </c>
      <c r="H8" s="5">
        <v>4.9000000000000004</v>
      </c>
      <c r="I8" s="5">
        <v>4.8</v>
      </c>
      <c r="J8" s="5">
        <v>43.1</v>
      </c>
      <c r="K8" s="5">
        <v>406.9</v>
      </c>
      <c r="L8" s="174"/>
      <c r="M8" s="174"/>
      <c r="N8" s="174"/>
      <c r="O8" s="174"/>
      <c r="P8" s="174"/>
      <c r="Q8" s="174"/>
      <c r="R8" s="174"/>
      <c r="S8" s="174"/>
      <c r="T8" s="174"/>
    </row>
    <row r="9" spans="1:21" ht="15" customHeight="1" x14ac:dyDescent="0.25">
      <c r="A9" s="203"/>
      <c r="B9" s="4" t="s">
        <v>23</v>
      </c>
      <c r="C9" s="5">
        <v>62.3</v>
      </c>
      <c r="D9" s="5">
        <v>65.400000000000006</v>
      </c>
      <c r="E9" s="5">
        <v>82.7</v>
      </c>
      <c r="F9" s="5">
        <v>15.8</v>
      </c>
      <c r="G9" s="5">
        <v>15.5</v>
      </c>
      <c r="H9" s="5">
        <v>8.5</v>
      </c>
      <c r="I9" s="5">
        <v>7.8</v>
      </c>
      <c r="J9" s="5">
        <v>2</v>
      </c>
      <c r="K9" s="5">
        <v>260.10000000000002</v>
      </c>
      <c r="L9" s="174"/>
      <c r="M9" s="174"/>
      <c r="N9" s="174"/>
      <c r="O9" s="174"/>
      <c r="P9" s="174"/>
      <c r="Q9" s="174"/>
      <c r="R9" s="174"/>
      <c r="S9" s="174"/>
      <c r="T9" s="174"/>
    </row>
    <row r="10" spans="1:21" ht="15" customHeight="1" x14ac:dyDescent="0.25">
      <c r="A10" s="203"/>
      <c r="B10" s="4" t="s">
        <v>24</v>
      </c>
      <c r="C10" s="5">
        <v>0.5</v>
      </c>
      <c r="D10" s="5">
        <v>0.2</v>
      </c>
      <c r="E10" s="5">
        <v>0.3</v>
      </c>
      <c r="F10" s="5" t="s">
        <v>167</v>
      </c>
      <c r="G10" s="5">
        <v>0.4</v>
      </c>
      <c r="H10" s="5" t="s">
        <v>167</v>
      </c>
      <c r="I10" s="5" t="s">
        <v>167</v>
      </c>
      <c r="J10" s="5">
        <v>1.4</v>
      </c>
      <c r="K10" s="5">
        <v>2.7</v>
      </c>
      <c r="L10" s="174"/>
      <c r="M10" s="174"/>
      <c r="N10" s="174"/>
      <c r="O10" s="174"/>
      <c r="P10" s="174"/>
      <c r="Q10" s="174"/>
      <c r="R10" s="174"/>
      <c r="S10" s="174"/>
      <c r="T10" s="174"/>
    </row>
    <row r="11" spans="1:21" ht="15" customHeight="1" x14ac:dyDescent="0.25">
      <c r="A11" s="203"/>
      <c r="B11" s="105" t="s">
        <v>12</v>
      </c>
      <c r="C11" s="76">
        <v>164.1</v>
      </c>
      <c r="D11" s="76">
        <v>77.400000000000006</v>
      </c>
      <c r="E11" s="76">
        <v>275.2</v>
      </c>
      <c r="F11" s="76">
        <v>46.6</v>
      </c>
      <c r="G11" s="76">
        <v>33.9</v>
      </c>
      <c r="H11" s="76">
        <v>13.4</v>
      </c>
      <c r="I11" s="76">
        <v>12.7</v>
      </c>
      <c r="J11" s="76">
        <v>46.5</v>
      </c>
      <c r="K11" s="76">
        <v>669.7</v>
      </c>
      <c r="L11" s="174"/>
      <c r="M11" s="174"/>
      <c r="N11" s="174"/>
      <c r="O11" s="174"/>
      <c r="P11" s="174"/>
      <c r="Q11" s="174"/>
      <c r="R11" s="174"/>
      <c r="S11" s="174"/>
      <c r="T11" s="174"/>
    </row>
    <row r="12" spans="1:21" ht="15" customHeight="1" x14ac:dyDescent="0.25">
      <c r="A12" s="231" t="s">
        <v>112</v>
      </c>
      <c r="B12" s="37" t="s">
        <v>22</v>
      </c>
      <c r="C12" s="38">
        <v>103.2</v>
      </c>
      <c r="D12" s="38">
        <v>11.8</v>
      </c>
      <c r="E12" s="38">
        <v>192.5</v>
      </c>
      <c r="F12" s="38">
        <v>33.6</v>
      </c>
      <c r="G12" s="38">
        <v>19.899999999999999</v>
      </c>
      <c r="H12" s="38">
        <v>4.9000000000000004</v>
      </c>
      <c r="I12" s="38">
        <v>6.7</v>
      </c>
      <c r="J12" s="38">
        <v>43.1</v>
      </c>
      <c r="K12" s="38">
        <v>415.7</v>
      </c>
      <c r="L12" s="174"/>
      <c r="M12" s="174"/>
      <c r="N12" s="174"/>
      <c r="O12" s="174"/>
      <c r="P12" s="174"/>
      <c r="Q12" s="174"/>
      <c r="R12" s="174"/>
      <c r="S12" s="174"/>
      <c r="T12" s="174"/>
    </row>
    <row r="13" spans="1:21" ht="15" customHeight="1" x14ac:dyDescent="0.25">
      <c r="A13" s="231"/>
      <c r="B13" s="37" t="s">
        <v>23</v>
      </c>
      <c r="C13" s="38">
        <v>64.3</v>
      </c>
      <c r="D13" s="38">
        <v>65.400000000000006</v>
      </c>
      <c r="E13" s="38">
        <v>82.9</v>
      </c>
      <c r="F13" s="38">
        <v>17.399999999999999</v>
      </c>
      <c r="G13" s="38">
        <v>17.8</v>
      </c>
      <c r="H13" s="38">
        <v>8.5</v>
      </c>
      <c r="I13" s="38">
        <v>11.3</v>
      </c>
      <c r="J13" s="38">
        <v>2</v>
      </c>
      <c r="K13" s="38">
        <v>269.60000000000002</v>
      </c>
      <c r="L13" s="174"/>
      <c r="M13" s="174"/>
      <c r="N13" s="174"/>
      <c r="O13" s="174"/>
      <c r="P13" s="174"/>
      <c r="Q13" s="174"/>
      <c r="R13" s="174"/>
      <c r="S13" s="174"/>
      <c r="T13" s="174"/>
    </row>
    <row r="14" spans="1:21" ht="15" customHeight="1" x14ac:dyDescent="0.25">
      <c r="A14" s="231"/>
      <c r="B14" s="37" t="s">
        <v>24</v>
      </c>
      <c r="C14" s="38">
        <v>0.6</v>
      </c>
      <c r="D14" s="38">
        <v>0.2</v>
      </c>
      <c r="E14" s="38">
        <v>0.3</v>
      </c>
      <c r="F14" s="38" t="s">
        <v>167</v>
      </c>
      <c r="G14" s="38">
        <v>0.4</v>
      </c>
      <c r="H14" s="38" t="s">
        <v>167</v>
      </c>
      <c r="I14" s="38" t="s">
        <v>167</v>
      </c>
      <c r="J14" s="38">
        <v>1.4</v>
      </c>
      <c r="K14" s="38">
        <v>2.8</v>
      </c>
      <c r="L14" s="174"/>
      <c r="M14" s="174"/>
      <c r="N14" s="174"/>
      <c r="O14" s="174"/>
      <c r="P14" s="174"/>
      <c r="Q14" s="174"/>
      <c r="R14" s="174"/>
      <c r="S14" s="174"/>
      <c r="T14" s="174"/>
    </row>
    <row r="15" spans="1:21" ht="15" customHeight="1" x14ac:dyDescent="0.25">
      <c r="A15" s="231"/>
      <c r="B15" s="64" t="s">
        <v>12</v>
      </c>
      <c r="C15" s="49">
        <v>168.1</v>
      </c>
      <c r="D15" s="49">
        <v>77.400000000000006</v>
      </c>
      <c r="E15" s="49">
        <v>275.60000000000002</v>
      </c>
      <c r="F15" s="49">
        <v>51</v>
      </c>
      <c r="G15" s="49">
        <v>38.1</v>
      </c>
      <c r="H15" s="49">
        <v>13.4</v>
      </c>
      <c r="I15" s="49">
        <v>18</v>
      </c>
      <c r="J15" s="49">
        <v>46.5</v>
      </c>
      <c r="K15" s="49">
        <v>688.1</v>
      </c>
      <c r="L15" s="174"/>
      <c r="M15" s="174"/>
      <c r="N15" s="174"/>
      <c r="O15" s="174"/>
      <c r="P15" s="174"/>
      <c r="Q15" s="174"/>
      <c r="R15" s="174"/>
      <c r="S15" s="174"/>
      <c r="T15" s="174"/>
    </row>
    <row r="16" spans="1:21" ht="15" customHeight="1" x14ac:dyDescent="0.25">
      <c r="A16" s="203" t="s">
        <v>89</v>
      </c>
      <c r="B16" s="4" t="s">
        <v>22</v>
      </c>
      <c r="C16" s="5">
        <v>36.9</v>
      </c>
      <c r="D16" s="5">
        <v>6.4</v>
      </c>
      <c r="E16" s="5">
        <v>27.5</v>
      </c>
      <c r="F16" s="5">
        <v>13.1</v>
      </c>
      <c r="G16" s="5">
        <v>1.7</v>
      </c>
      <c r="H16" s="5">
        <v>1</v>
      </c>
      <c r="I16" s="5" t="s">
        <v>167</v>
      </c>
      <c r="J16" s="5">
        <v>27.3</v>
      </c>
      <c r="K16" s="5">
        <v>113.9</v>
      </c>
      <c r="L16" s="174"/>
      <c r="M16" s="174"/>
      <c r="N16" s="174"/>
      <c r="O16" s="174"/>
      <c r="P16" s="174"/>
      <c r="Q16" s="174"/>
      <c r="R16" s="174"/>
      <c r="S16" s="174"/>
      <c r="T16" s="174"/>
    </row>
    <row r="17" spans="1:20" ht="15" customHeight="1" x14ac:dyDescent="0.25">
      <c r="A17" s="203"/>
      <c r="B17" s="4" t="s">
        <v>23</v>
      </c>
      <c r="C17" s="5">
        <v>25.9</v>
      </c>
      <c r="D17" s="5">
        <v>37.299999999999997</v>
      </c>
      <c r="E17" s="5">
        <v>5.0999999999999996</v>
      </c>
      <c r="F17" s="5">
        <v>11.5</v>
      </c>
      <c r="G17" s="5">
        <v>2.8</v>
      </c>
      <c r="H17" s="5">
        <v>1.6</v>
      </c>
      <c r="I17" s="5">
        <v>1.2</v>
      </c>
      <c r="J17" s="5">
        <v>0.5</v>
      </c>
      <c r="K17" s="5">
        <v>86</v>
      </c>
      <c r="L17" s="174"/>
      <c r="M17" s="174"/>
      <c r="N17" s="174"/>
      <c r="O17" s="174"/>
      <c r="P17" s="174"/>
      <c r="Q17" s="174"/>
      <c r="R17" s="174"/>
      <c r="S17" s="174"/>
      <c r="T17" s="174"/>
    </row>
    <row r="18" spans="1:20" ht="15" customHeight="1" x14ac:dyDescent="0.25">
      <c r="A18" s="203"/>
      <c r="B18" s="4" t="s">
        <v>24</v>
      </c>
      <c r="C18" s="5">
        <v>1</v>
      </c>
      <c r="D18" s="5" t="s">
        <v>167</v>
      </c>
      <c r="E18" s="5" t="s">
        <v>167</v>
      </c>
      <c r="F18" s="5" t="s">
        <v>167</v>
      </c>
      <c r="G18" s="5" t="s">
        <v>167</v>
      </c>
      <c r="H18" s="5" t="s">
        <v>167</v>
      </c>
      <c r="I18" s="5" t="s">
        <v>167</v>
      </c>
      <c r="J18" s="5">
        <v>0.4</v>
      </c>
      <c r="K18" s="5">
        <v>1.4</v>
      </c>
      <c r="L18" s="174"/>
      <c r="M18" s="174"/>
      <c r="N18" s="174"/>
      <c r="O18" s="174"/>
      <c r="P18" s="174"/>
      <c r="Q18" s="174"/>
      <c r="R18" s="174"/>
      <c r="S18" s="174"/>
      <c r="T18" s="174"/>
    </row>
    <row r="19" spans="1:20" ht="15" customHeight="1" x14ac:dyDescent="0.25">
      <c r="A19" s="203"/>
      <c r="B19" s="105" t="s">
        <v>12</v>
      </c>
      <c r="C19" s="76">
        <v>63.8</v>
      </c>
      <c r="D19" s="76">
        <v>43.8</v>
      </c>
      <c r="E19" s="76">
        <v>32.6</v>
      </c>
      <c r="F19" s="76">
        <v>24.7</v>
      </c>
      <c r="G19" s="76">
        <v>4.5</v>
      </c>
      <c r="H19" s="76">
        <v>2.7</v>
      </c>
      <c r="I19" s="76">
        <v>1.2</v>
      </c>
      <c r="J19" s="76">
        <v>28.1</v>
      </c>
      <c r="K19" s="76">
        <v>201.3</v>
      </c>
      <c r="L19" s="174"/>
      <c r="M19" s="174"/>
      <c r="N19" s="174"/>
      <c r="O19" s="174"/>
      <c r="P19" s="174"/>
      <c r="Q19" s="174"/>
      <c r="R19" s="174"/>
      <c r="S19" s="174"/>
      <c r="T19" s="174"/>
    </row>
    <row r="20" spans="1:20" ht="15" customHeight="1" x14ac:dyDescent="0.25">
      <c r="A20" s="203" t="s">
        <v>12</v>
      </c>
      <c r="B20" s="4" t="s">
        <v>22</v>
      </c>
      <c r="C20" s="5">
        <v>139.69999999999999</v>
      </c>
      <c r="D20" s="5">
        <v>19</v>
      </c>
      <c r="E20" s="5">
        <v>214.5</v>
      </c>
      <c r="F20" s="5">
        <v>46.6</v>
      </c>
      <c r="G20" s="5">
        <v>21.5</v>
      </c>
      <c r="H20" s="5">
        <v>5.9</v>
      </c>
      <c r="I20" s="5">
        <v>6.7</v>
      </c>
      <c r="J20" s="5">
        <v>43.1</v>
      </c>
      <c r="K20" s="5">
        <v>496.9</v>
      </c>
      <c r="L20" s="174"/>
      <c r="M20" s="174"/>
      <c r="N20" s="174"/>
      <c r="O20" s="174"/>
      <c r="P20" s="174"/>
      <c r="Q20" s="174"/>
      <c r="R20" s="174"/>
      <c r="S20" s="174"/>
      <c r="T20" s="174"/>
    </row>
    <row r="21" spans="1:20" ht="15" customHeight="1" x14ac:dyDescent="0.25">
      <c r="A21" s="203"/>
      <c r="B21" s="4" t="s">
        <v>23</v>
      </c>
      <c r="C21" s="5">
        <v>90</v>
      </c>
      <c r="D21" s="5">
        <v>109.4</v>
      </c>
      <c r="E21" s="5">
        <v>85.9</v>
      </c>
      <c r="F21" s="5">
        <v>28.9</v>
      </c>
      <c r="G21" s="5">
        <v>20.100000000000001</v>
      </c>
      <c r="H21" s="5">
        <v>9.9</v>
      </c>
      <c r="I21" s="5">
        <v>12.5</v>
      </c>
      <c r="J21" s="5">
        <v>2</v>
      </c>
      <c r="K21" s="5">
        <v>358.8</v>
      </c>
      <c r="L21" s="174"/>
      <c r="M21" s="174"/>
      <c r="N21" s="174"/>
      <c r="O21" s="174"/>
      <c r="P21" s="174"/>
      <c r="Q21" s="174"/>
      <c r="R21" s="174"/>
      <c r="S21" s="174"/>
      <c r="T21" s="174"/>
    </row>
    <row r="22" spans="1:20" ht="15" customHeight="1" x14ac:dyDescent="0.25">
      <c r="A22" s="203"/>
      <c r="B22" s="4" t="s">
        <v>24</v>
      </c>
      <c r="C22" s="5">
        <v>1.6</v>
      </c>
      <c r="D22" s="5">
        <v>0.2</v>
      </c>
      <c r="E22" s="5">
        <v>0.3</v>
      </c>
      <c r="F22" s="5" t="s">
        <v>167</v>
      </c>
      <c r="G22" s="5">
        <v>0.4</v>
      </c>
      <c r="H22" s="5" t="s">
        <v>167</v>
      </c>
      <c r="I22" s="5" t="s">
        <v>167</v>
      </c>
      <c r="J22" s="5">
        <v>1.4</v>
      </c>
      <c r="K22" s="5">
        <v>3.8</v>
      </c>
      <c r="L22" s="174"/>
      <c r="M22" s="174"/>
      <c r="N22" s="174"/>
      <c r="O22" s="174"/>
      <c r="P22" s="174"/>
      <c r="Q22" s="174"/>
      <c r="R22" s="174"/>
      <c r="S22" s="174"/>
      <c r="T22" s="174"/>
    </row>
    <row r="23" spans="1:20" ht="15" customHeight="1" x14ac:dyDescent="0.25">
      <c r="A23" s="203"/>
      <c r="B23" s="105" t="s">
        <v>12</v>
      </c>
      <c r="C23" s="76">
        <v>231.3</v>
      </c>
      <c r="D23" s="76">
        <v>128.6</v>
      </c>
      <c r="E23" s="76">
        <v>300.7</v>
      </c>
      <c r="F23" s="76">
        <v>75.5</v>
      </c>
      <c r="G23" s="76">
        <v>42</v>
      </c>
      <c r="H23" s="76">
        <v>15.8</v>
      </c>
      <c r="I23" s="76">
        <v>19.100000000000001</v>
      </c>
      <c r="J23" s="76">
        <v>46.5</v>
      </c>
      <c r="K23" s="76">
        <v>859.5</v>
      </c>
      <c r="L23" s="174"/>
      <c r="M23" s="174"/>
      <c r="N23" s="174"/>
      <c r="O23" s="174"/>
      <c r="P23" s="174"/>
      <c r="Q23" s="174"/>
      <c r="R23" s="174"/>
      <c r="S23" s="174"/>
      <c r="T23" s="174"/>
    </row>
    <row r="24" spans="1:20" ht="11.1" customHeight="1" x14ac:dyDescent="0.25">
      <c r="A24" s="201" t="s">
        <v>13</v>
      </c>
      <c r="B24" s="201"/>
      <c r="C24" s="201"/>
      <c r="D24" s="201"/>
      <c r="E24" s="201"/>
      <c r="F24" s="201"/>
      <c r="G24" s="201"/>
      <c r="H24" s="201"/>
      <c r="I24" s="201"/>
      <c r="J24" s="201"/>
      <c r="K24" s="201"/>
    </row>
    <row r="25" spans="1:20" s="6" customFormat="1" ht="11.1" customHeight="1" x14ac:dyDescent="0.15">
      <c r="A25" s="6" t="s">
        <v>14</v>
      </c>
    </row>
    <row r="26" spans="1:20" s="10" customFormat="1" ht="11.1" customHeight="1" x14ac:dyDescent="0.2">
      <c r="A26" s="57" t="s">
        <v>18</v>
      </c>
    </row>
    <row r="27" spans="1:20" s="6" customFormat="1" ht="11.1" customHeight="1" x14ac:dyDescent="0.15">
      <c r="A27" s="6" t="s">
        <v>113</v>
      </c>
    </row>
    <row r="28" spans="1:20" s="6" customFormat="1" ht="11.1" customHeight="1" x14ac:dyDescent="0.15">
      <c r="A28" s="6" t="s">
        <v>95</v>
      </c>
    </row>
    <row r="29" spans="1:20" s="6" customFormat="1" ht="11.1" customHeight="1" x14ac:dyDescent="0.15">
      <c r="A29" s="6" t="s">
        <v>16</v>
      </c>
    </row>
    <row r="30" spans="1:20" s="6" customFormat="1" ht="11.1" customHeight="1" x14ac:dyDescent="0.15">
      <c r="A30" s="6" t="s">
        <v>271</v>
      </c>
    </row>
    <row r="31" spans="1:20" ht="12" customHeight="1" x14ac:dyDescent="0.25">
      <c r="A31" s="2"/>
    </row>
    <row r="32" spans="1:20" ht="27.95" customHeight="1" x14ac:dyDescent="0.25">
      <c r="A32" s="198" t="s">
        <v>238</v>
      </c>
      <c r="B32" s="198"/>
      <c r="C32" s="198"/>
      <c r="D32" s="198"/>
      <c r="E32" s="198"/>
      <c r="F32" s="198"/>
      <c r="G32" s="198"/>
      <c r="H32" s="198"/>
      <c r="I32" s="198"/>
      <c r="J32" s="198"/>
      <c r="K32" s="198"/>
    </row>
    <row r="33" spans="1:21" ht="3.75" customHeight="1" x14ac:dyDescent="0.25">
      <c r="A33" s="2"/>
    </row>
    <row r="34" spans="1:21" x14ac:dyDescent="0.25">
      <c r="A34" s="65" t="s">
        <v>145</v>
      </c>
      <c r="B34" s="65" t="s">
        <v>186</v>
      </c>
      <c r="C34" s="3" t="s">
        <v>1</v>
      </c>
      <c r="D34" s="3" t="s">
        <v>2</v>
      </c>
      <c r="E34" s="3" t="s">
        <v>3</v>
      </c>
      <c r="F34" s="3" t="s">
        <v>4</v>
      </c>
      <c r="G34" s="3" t="s">
        <v>5</v>
      </c>
      <c r="H34" s="3" t="s">
        <v>6</v>
      </c>
      <c r="I34" s="3" t="s">
        <v>7</v>
      </c>
      <c r="J34" s="3" t="s">
        <v>8</v>
      </c>
      <c r="K34" s="3" t="s">
        <v>9</v>
      </c>
    </row>
    <row r="35" spans="1:21" ht="15" customHeight="1" x14ac:dyDescent="0.25">
      <c r="A35" s="203" t="s">
        <v>86</v>
      </c>
      <c r="B35" s="4" t="s">
        <v>22</v>
      </c>
      <c r="C35" s="8">
        <v>268</v>
      </c>
      <c r="D35" s="8" t="s">
        <v>167</v>
      </c>
      <c r="E35" s="8">
        <v>78</v>
      </c>
      <c r="F35" s="8">
        <v>368</v>
      </c>
      <c r="G35" s="8">
        <v>157</v>
      </c>
      <c r="H35" s="8" t="s">
        <v>167</v>
      </c>
      <c r="I35" s="82">
        <v>29</v>
      </c>
      <c r="J35" s="82" t="s">
        <v>167</v>
      </c>
      <c r="K35" s="8">
        <v>900</v>
      </c>
      <c r="L35" s="175"/>
      <c r="M35" s="175"/>
      <c r="N35" s="175"/>
      <c r="O35" s="175"/>
      <c r="P35" s="175"/>
      <c r="Q35" s="175"/>
      <c r="R35" s="175"/>
      <c r="S35" s="175"/>
      <c r="T35" s="175"/>
      <c r="U35" s="128"/>
    </row>
    <row r="36" spans="1:21" ht="15" customHeight="1" x14ac:dyDescent="0.25">
      <c r="A36" s="203"/>
      <c r="B36" s="4" t="s">
        <v>23</v>
      </c>
      <c r="C36" s="8">
        <v>241</v>
      </c>
      <c r="D36" s="8" t="s">
        <v>167</v>
      </c>
      <c r="E36" s="8">
        <v>45</v>
      </c>
      <c r="F36" s="8">
        <v>203</v>
      </c>
      <c r="G36" s="8">
        <v>120</v>
      </c>
      <c r="H36" s="8" t="s">
        <v>167</v>
      </c>
      <c r="I36" s="82">
        <v>53</v>
      </c>
      <c r="J36" s="82" t="s">
        <v>167</v>
      </c>
      <c r="K36" s="8">
        <v>662</v>
      </c>
      <c r="L36" s="175"/>
      <c r="M36" s="175"/>
      <c r="N36" s="175"/>
      <c r="O36" s="175"/>
      <c r="P36" s="175"/>
      <c r="Q36" s="175"/>
      <c r="R36" s="175"/>
      <c r="S36" s="175"/>
      <c r="T36" s="175"/>
    </row>
    <row r="37" spans="1:21" ht="15" customHeight="1" x14ac:dyDescent="0.25">
      <c r="A37" s="203"/>
      <c r="B37" s="4" t="s">
        <v>24</v>
      </c>
      <c r="C37" s="8">
        <v>17</v>
      </c>
      <c r="D37" s="8" t="s">
        <v>167</v>
      </c>
      <c r="E37" s="8" t="s">
        <v>167</v>
      </c>
      <c r="F37" s="8" t="s">
        <v>167</v>
      </c>
      <c r="G37" s="8">
        <v>1</v>
      </c>
      <c r="H37" s="8" t="s">
        <v>167</v>
      </c>
      <c r="I37" s="82" t="s">
        <v>167</v>
      </c>
      <c r="J37" s="82" t="s">
        <v>167</v>
      </c>
      <c r="K37" s="8">
        <v>18</v>
      </c>
      <c r="L37" s="175"/>
      <c r="M37" s="175"/>
      <c r="N37" s="175"/>
      <c r="O37" s="175"/>
      <c r="P37" s="175"/>
      <c r="Q37" s="175"/>
      <c r="R37" s="175"/>
      <c r="S37" s="175"/>
      <c r="T37" s="175"/>
    </row>
    <row r="38" spans="1:21" ht="15" customHeight="1" x14ac:dyDescent="0.25">
      <c r="A38" s="203"/>
      <c r="B38" s="105" t="s">
        <v>12</v>
      </c>
      <c r="C38" s="81">
        <v>526</v>
      </c>
      <c r="D38" s="81" t="s">
        <v>167</v>
      </c>
      <c r="E38" s="81">
        <v>123</v>
      </c>
      <c r="F38" s="81">
        <v>571</v>
      </c>
      <c r="G38" s="81">
        <v>278</v>
      </c>
      <c r="H38" s="81" t="s">
        <v>167</v>
      </c>
      <c r="I38" s="83">
        <v>82</v>
      </c>
      <c r="J38" s="83" t="s">
        <v>167</v>
      </c>
      <c r="K38" s="81">
        <v>1580</v>
      </c>
      <c r="L38" s="175"/>
      <c r="M38" s="175"/>
      <c r="N38" s="175"/>
      <c r="O38" s="175"/>
      <c r="P38" s="175"/>
      <c r="Q38" s="175"/>
      <c r="R38" s="175"/>
      <c r="S38" s="175"/>
      <c r="T38" s="175"/>
    </row>
    <row r="39" spans="1:21" ht="15" customHeight="1" x14ac:dyDescent="0.25">
      <c r="A39" s="203" t="s">
        <v>87</v>
      </c>
      <c r="B39" s="4" t="s">
        <v>22</v>
      </c>
      <c r="C39" s="8">
        <v>716</v>
      </c>
      <c r="D39" s="8">
        <v>53</v>
      </c>
      <c r="E39" s="8">
        <v>723</v>
      </c>
      <c r="F39" s="8">
        <v>376</v>
      </c>
      <c r="G39" s="8">
        <v>136</v>
      </c>
      <c r="H39" s="8">
        <v>22</v>
      </c>
      <c r="I39" s="82">
        <v>17</v>
      </c>
      <c r="J39" s="82">
        <v>318</v>
      </c>
      <c r="K39" s="8">
        <v>2361</v>
      </c>
      <c r="L39" s="175"/>
      <c r="M39" s="175"/>
      <c r="N39" s="175"/>
      <c r="O39" s="175"/>
      <c r="P39" s="175"/>
      <c r="Q39" s="175"/>
      <c r="R39" s="175"/>
      <c r="S39" s="175"/>
      <c r="T39" s="175"/>
    </row>
    <row r="40" spans="1:21" ht="15" customHeight="1" x14ac:dyDescent="0.25">
      <c r="A40" s="203"/>
      <c r="B40" s="4" t="s">
        <v>23</v>
      </c>
      <c r="C40" s="8">
        <v>596</v>
      </c>
      <c r="D40" s="8">
        <v>317</v>
      </c>
      <c r="E40" s="8">
        <v>326</v>
      </c>
      <c r="F40" s="8">
        <v>190</v>
      </c>
      <c r="G40" s="8">
        <v>116</v>
      </c>
      <c r="H40" s="8">
        <v>44</v>
      </c>
      <c r="I40" s="82">
        <v>27</v>
      </c>
      <c r="J40" s="82">
        <v>10</v>
      </c>
      <c r="K40" s="8">
        <v>1626</v>
      </c>
      <c r="L40" s="175"/>
      <c r="M40" s="175"/>
      <c r="N40" s="175"/>
      <c r="O40" s="175"/>
      <c r="P40" s="175"/>
      <c r="Q40" s="175"/>
      <c r="R40" s="175"/>
      <c r="S40" s="175"/>
      <c r="T40" s="175"/>
    </row>
    <row r="41" spans="1:21" ht="15" customHeight="1" x14ac:dyDescent="0.25">
      <c r="A41" s="203"/>
      <c r="B41" s="4" t="s">
        <v>24</v>
      </c>
      <c r="C41" s="8">
        <v>40</v>
      </c>
      <c r="D41" s="8">
        <v>2</v>
      </c>
      <c r="E41" s="8">
        <v>3</v>
      </c>
      <c r="F41" s="8" t="s">
        <v>167</v>
      </c>
      <c r="G41" s="8">
        <v>2</v>
      </c>
      <c r="H41" s="8" t="s">
        <v>167</v>
      </c>
      <c r="I41" s="82" t="s">
        <v>167</v>
      </c>
      <c r="J41" s="82">
        <v>4</v>
      </c>
      <c r="K41" s="8">
        <v>51</v>
      </c>
      <c r="L41" s="175"/>
      <c r="M41" s="175"/>
      <c r="N41" s="175"/>
      <c r="O41" s="175"/>
      <c r="P41" s="175"/>
      <c r="Q41" s="175"/>
      <c r="R41" s="175"/>
      <c r="S41" s="175"/>
      <c r="T41" s="175"/>
    </row>
    <row r="42" spans="1:21" ht="15" customHeight="1" x14ac:dyDescent="0.25">
      <c r="A42" s="203"/>
      <c r="B42" s="105" t="s">
        <v>12</v>
      </c>
      <c r="C42" s="81">
        <v>1352</v>
      </c>
      <c r="D42" s="81">
        <v>372</v>
      </c>
      <c r="E42" s="81">
        <v>1052</v>
      </c>
      <c r="F42" s="81">
        <v>566</v>
      </c>
      <c r="G42" s="81">
        <v>254</v>
      </c>
      <c r="H42" s="81">
        <v>66</v>
      </c>
      <c r="I42" s="83">
        <v>44</v>
      </c>
      <c r="J42" s="83">
        <v>332</v>
      </c>
      <c r="K42" s="81">
        <v>4038</v>
      </c>
      <c r="L42" s="175"/>
      <c r="M42" s="175"/>
      <c r="N42" s="175"/>
      <c r="O42" s="175"/>
      <c r="P42" s="175"/>
      <c r="Q42" s="175"/>
      <c r="R42" s="175"/>
      <c r="S42" s="175"/>
      <c r="T42" s="175"/>
    </row>
    <row r="43" spans="1:21" ht="15" customHeight="1" x14ac:dyDescent="0.25">
      <c r="A43" s="231" t="s">
        <v>112</v>
      </c>
      <c r="B43" s="37" t="s">
        <v>22</v>
      </c>
      <c r="C43" s="41">
        <v>795</v>
      </c>
      <c r="D43" s="41">
        <v>53</v>
      </c>
      <c r="E43" s="41">
        <v>731</v>
      </c>
      <c r="F43" s="41">
        <v>527</v>
      </c>
      <c r="G43" s="41">
        <v>186</v>
      </c>
      <c r="H43" s="8" t="s">
        <v>174</v>
      </c>
      <c r="I43" s="82" t="s">
        <v>174</v>
      </c>
      <c r="J43" s="184">
        <v>318</v>
      </c>
      <c r="K43" s="8">
        <v>2666</v>
      </c>
      <c r="L43" s="175"/>
      <c r="M43" s="175"/>
      <c r="N43" s="175"/>
      <c r="O43" s="175"/>
      <c r="P43" s="175"/>
      <c r="Q43" s="175"/>
      <c r="R43" s="175"/>
      <c r="S43" s="175"/>
      <c r="T43" s="175"/>
    </row>
    <row r="44" spans="1:21" ht="15" customHeight="1" x14ac:dyDescent="0.25">
      <c r="A44" s="231"/>
      <c r="B44" s="37" t="s">
        <v>23</v>
      </c>
      <c r="C44" s="41">
        <v>671</v>
      </c>
      <c r="D44" s="41">
        <v>317</v>
      </c>
      <c r="E44" s="41">
        <v>335</v>
      </c>
      <c r="F44" s="41">
        <v>257</v>
      </c>
      <c r="G44" s="41">
        <v>159</v>
      </c>
      <c r="H44" s="8" t="s">
        <v>174</v>
      </c>
      <c r="I44" s="82" t="s">
        <v>174</v>
      </c>
      <c r="J44" s="184">
        <v>10</v>
      </c>
      <c r="K44" s="8">
        <v>1858</v>
      </c>
      <c r="L44" s="175"/>
      <c r="M44" s="175"/>
      <c r="N44" s="175"/>
      <c r="O44" s="175"/>
      <c r="P44" s="175"/>
      <c r="Q44" s="175"/>
      <c r="R44" s="175"/>
      <c r="S44" s="175"/>
      <c r="T44" s="175"/>
    </row>
    <row r="45" spans="1:21" ht="15" customHeight="1" x14ac:dyDescent="0.25">
      <c r="A45" s="231"/>
      <c r="B45" s="37" t="s">
        <v>24</v>
      </c>
      <c r="C45" s="41">
        <v>49</v>
      </c>
      <c r="D45" s="41">
        <v>2</v>
      </c>
      <c r="E45" s="41">
        <v>3</v>
      </c>
      <c r="F45" s="41" t="s">
        <v>167</v>
      </c>
      <c r="G45" s="41">
        <v>3</v>
      </c>
      <c r="H45" s="41" t="s">
        <v>167</v>
      </c>
      <c r="I45" s="184" t="s">
        <v>167</v>
      </c>
      <c r="J45" s="184">
        <v>4</v>
      </c>
      <c r="K45" s="8">
        <v>61</v>
      </c>
      <c r="L45" s="175"/>
      <c r="M45" s="175"/>
      <c r="N45" s="175"/>
      <c r="O45" s="175"/>
      <c r="P45" s="175"/>
      <c r="Q45" s="175"/>
      <c r="R45" s="175"/>
      <c r="S45" s="175"/>
      <c r="T45" s="175"/>
    </row>
    <row r="46" spans="1:21" ht="15" customHeight="1" x14ac:dyDescent="0.25">
      <c r="A46" s="231"/>
      <c r="B46" s="64" t="s">
        <v>12</v>
      </c>
      <c r="C46" s="51">
        <v>1515</v>
      </c>
      <c r="D46" s="51">
        <v>372</v>
      </c>
      <c r="E46" s="51">
        <v>1069</v>
      </c>
      <c r="F46" s="51">
        <v>784</v>
      </c>
      <c r="G46" s="51">
        <v>348</v>
      </c>
      <c r="H46" s="51">
        <v>66</v>
      </c>
      <c r="I46" s="185">
        <v>99</v>
      </c>
      <c r="J46" s="185">
        <v>332</v>
      </c>
      <c r="K46" s="81">
        <v>4585</v>
      </c>
      <c r="L46" s="175"/>
      <c r="M46" s="175"/>
      <c r="N46" s="175"/>
      <c r="O46" s="175"/>
      <c r="P46" s="175"/>
      <c r="Q46" s="175"/>
      <c r="R46" s="175"/>
      <c r="S46" s="175"/>
      <c r="T46" s="175"/>
    </row>
    <row r="47" spans="1:21" ht="15" customHeight="1" x14ac:dyDescent="0.25">
      <c r="A47" s="203" t="s">
        <v>89</v>
      </c>
      <c r="B47" s="4" t="s">
        <v>22</v>
      </c>
      <c r="C47" s="8">
        <v>134</v>
      </c>
      <c r="D47" s="8">
        <v>20</v>
      </c>
      <c r="E47" s="8">
        <v>143</v>
      </c>
      <c r="F47" s="8">
        <v>60</v>
      </c>
      <c r="G47" s="8">
        <v>19</v>
      </c>
      <c r="H47" s="8" t="s">
        <v>174</v>
      </c>
      <c r="I47" s="82" t="s">
        <v>174</v>
      </c>
      <c r="J47" s="82">
        <v>149</v>
      </c>
      <c r="K47" s="8">
        <v>532</v>
      </c>
      <c r="L47" s="175"/>
      <c r="M47" s="175"/>
      <c r="N47" s="175"/>
      <c r="O47" s="175"/>
      <c r="P47" s="175"/>
      <c r="Q47" s="175"/>
      <c r="R47" s="175"/>
      <c r="S47" s="175"/>
      <c r="T47" s="175"/>
    </row>
    <row r="48" spans="1:21" ht="15" customHeight="1" x14ac:dyDescent="0.25">
      <c r="A48" s="203"/>
      <c r="B48" s="4" t="s">
        <v>23</v>
      </c>
      <c r="C48" s="8">
        <v>86</v>
      </c>
      <c r="D48" s="8">
        <v>94</v>
      </c>
      <c r="E48" s="8">
        <v>30</v>
      </c>
      <c r="F48" s="8">
        <v>41</v>
      </c>
      <c r="G48" s="8">
        <v>16</v>
      </c>
      <c r="H48" s="8" t="s">
        <v>174</v>
      </c>
      <c r="I48" s="82" t="s">
        <v>174</v>
      </c>
      <c r="J48" s="82">
        <v>6</v>
      </c>
      <c r="K48" s="8">
        <v>286</v>
      </c>
      <c r="L48" s="175"/>
      <c r="M48" s="175"/>
      <c r="N48" s="175"/>
      <c r="O48" s="175"/>
      <c r="P48" s="175"/>
      <c r="Q48" s="175"/>
      <c r="R48" s="175"/>
      <c r="S48" s="175"/>
      <c r="T48" s="175"/>
    </row>
    <row r="49" spans="1:20" ht="15" customHeight="1" x14ac:dyDescent="0.25">
      <c r="A49" s="203"/>
      <c r="B49" s="4" t="s">
        <v>24</v>
      </c>
      <c r="C49" s="8">
        <v>2</v>
      </c>
      <c r="D49" s="8" t="s">
        <v>167</v>
      </c>
      <c r="E49" s="5" t="s">
        <v>167</v>
      </c>
      <c r="F49" s="8" t="s">
        <v>167</v>
      </c>
      <c r="G49" s="8" t="s">
        <v>167</v>
      </c>
      <c r="H49" s="8" t="s">
        <v>167</v>
      </c>
      <c r="I49" s="82" t="s">
        <v>167</v>
      </c>
      <c r="J49" s="82">
        <v>2</v>
      </c>
      <c r="K49" s="8">
        <v>4</v>
      </c>
      <c r="L49" s="175"/>
      <c r="M49" s="175"/>
      <c r="N49" s="175"/>
      <c r="O49" s="175"/>
      <c r="P49" s="175"/>
      <c r="Q49" s="175"/>
      <c r="R49" s="175"/>
      <c r="S49" s="175"/>
      <c r="T49" s="175"/>
    </row>
    <row r="50" spans="1:20" ht="15" customHeight="1" x14ac:dyDescent="0.25">
      <c r="A50" s="203"/>
      <c r="B50" s="105" t="s">
        <v>12</v>
      </c>
      <c r="C50" s="81">
        <v>222</v>
      </c>
      <c r="D50" s="81">
        <v>114</v>
      </c>
      <c r="E50" s="81">
        <v>173</v>
      </c>
      <c r="F50" s="81">
        <v>101</v>
      </c>
      <c r="G50" s="81">
        <v>35</v>
      </c>
      <c r="H50" s="81" t="s">
        <v>174</v>
      </c>
      <c r="I50" s="83" t="s">
        <v>174</v>
      </c>
      <c r="J50" s="83">
        <v>157</v>
      </c>
      <c r="K50" s="81">
        <v>822</v>
      </c>
      <c r="L50" s="175"/>
      <c r="M50" s="175"/>
      <c r="N50" s="175"/>
      <c r="O50" s="175"/>
      <c r="P50" s="175"/>
      <c r="Q50" s="175"/>
      <c r="R50" s="175"/>
      <c r="S50" s="175"/>
      <c r="T50" s="175"/>
    </row>
    <row r="51" spans="1:20" ht="15" customHeight="1" x14ac:dyDescent="0.25">
      <c r="A51" s="203" t="s">
        <v>12</v>
      </c>
      <c r="B51" s="4" t="s">
        <v>22</v>
      </c>
      <c r="C51" s="8">
        <v>812</v>
      </c>
      <c r="D51" s="8">
        <v>63</v>
      </c>
      <c r="E51" s="8">
        <v>738</v>
      </c>
      <c r="F51" s="8">
        <v>537</v>
      </c>
      <c r="G51" s="8">
        <v>187</v>
      </c>
      <c r="H51" s="8">
        <v>24</v>
      </c>
      <c r="I51" s="82">
        <v>34</v>
      </c>
      <c r="J51" s="82">
        <v>319</v>
      </c>
      <c r="K51" s="8">
        <v>2714</v>
      </c>
      <c r="L51" s="175"/>
      <c r="M51" s="175"/>
      <c r="N51" s="175"/>
      <c r="O51" s="175"/>
      <c r="P51" s="175"/>
      <c r="Q51" s="175"/>
      <c r="R51" s="175"/>
      <c r="S51" s="175"/>
      <c r="T51" s="175"/>
    </row>
    <row r="52" spans="1:20" ht="15" customHeight="1" x14ac:dyDescent="0.25">
      <c r="A52" s="203"/>
      <c r="B52" s="4" t="s">
        <v>23</v>
      </c>
      <c r="C52" s="8">
        <v>699</v>
      </c>
      <c r="D52" s="8">
        <v>377</v>
      </c>
      <c r="E52" s="8">
        <v>336</v>
      </c>
      <c r="F52" s="8">
        <v>272</v>
      </c>
      <c r="G52" s="8">
        <v>161</v>
      </c>
      <c r="H52" s="8">
        <v>46</v>
      </c>
      <c r="I52" s="82">
        <v>65</v>
      </c>
      <c r="J52" s="82">
        <v>10</v>
      </c>
      <c r="K52" s="8">
        <v>1966</v>
      </c>
      <c r="L52" s="175"/>
      <c r="M52" s="175"/>
      <c r="N52" s="175"/>
      <c r="O52" s="175"/>
      <c r="P52" s="175"/>
      <c r="Q52" s="175"/>
      <c r="R52" s="175"/>
      <c r="S52" s="175"/>
      <c r="T52" s="175"/>
    </row>
    <row r="53" spans="1:20" ht="15" customHeight="1" x14ac:dyDescent="0.25">
      <c r="A53" s="203"/>
      <c r="B53" s="4" t="s">
        <v>24</v>
      </c>
      <c r="C53" s="8">
        <v>50</v>
      </c>
      <c r="D53" s="8">
        <v>2</v>
      </c>
      <c r="E53" s="8">
        <v>3</v>
      </c>
      <c r="F53" s="8" t="s">
        <v>167</v>
      </c>
      <c r="G53" s="8">
        <v>3</v>
      </c>
      <c r="H53" s="8" t="s">
        <v>167</v>
      </c>
      <c r="I53" s="82" t="s">
        <v>167</v>
      </c>
      <c r="J53" s="82">
        <v>4</v>
      </c>
      <c r="K53" s="8">
        <v>62</v>
      </c>
      <c r="L53" s="175"/>
      <c r="M53" s="175"/>
      <c r="N53" s="175"/>
      <c r="O53" s="175"/>
      <c r="P53" s="175"/>
      <c r="Q53" s="175"/>
      <c r="R53" s="175"/>
      <c r="S53" s="175"/>
      <c r="T53" s="175"/>
    </row>
    <row r="54" spans="1:20" ht="19.5" customHeight="1" x14ac:dyDescent="0.25">
      <c r="A54" s="213"/>
      <c r="B54" s="92" t="s">
        <v>12</v>
      </c>
      <c r="C54" s="101">
        <v>1561</v>
      </c>
      <c r="D54" s="101">
        <v>442</v>
      </c>
      <c r="E54" s="101">
        <v>1077</v>
      </c>
      <c r="F54" s="101">
        <v>809</v>
      </c>
      <c r="G54" s="101">
        <v>351</v>
      </c>
      <c r="H54" s="101">
        <v>70</v>
      </c>
      <c r="I54" s="102">
        <v>99</v>
      </c>
      <c r="J54" s="102">
        <v>333</v>
      </c>
      <c r="K54" s="101">
        <v>4742</v>
      </c>
      <c r="L54" s="175"/>
      <c r="M54" s="175"/>
      <c r="N54" s="175"/>
      <c r="O54" s="175"/>
      <c r="P54" s="175"/>
      <c r="Q54" s="175"/>
      <c r="R54" s="175"/>
      <c r="S54" s="175"/>
      <c r="T54" s="175"/>
    </row>
    <row r="55" spans="1:20" x14ac:dyDescent="0.25">
      <c r="A55" s="6" t="s">
        <v>220</v>
      </c>
      <c r="B55" s="105"/>
      <c r="C55" s="81"/>
      <c r="D55" s="81"/>
      <c r="E55" s="81"/>
      <c r="F55" s="81"/>
      <c r="G55" s="81"/>
      <c r="H55" s="81"/>
      <c r="I55" s="81"/>
      <c r="J55" s="81"/>
      <c r="K55" s="81"/>
    </row>
    <row r="56" spans="1:20" s="6" customFormat="1" ht="14.25" customHeight="1" x14ac:dyDescent="0.15">
      <c r="A56" s="202" t="s">
        <v>18</v>
      </c>
      <c r="B56" s="202"/>
      <c r="C56" s="202"/>
      <c r="D56" s="202"/>
      <c r="E56" s="202"/>
      <c r="F56" s="202"/>
      <c r="G56" s="202"/>
      <c r="H56" s="202"/>
      <c r="I56" s="202"/>
      <c r="J56" s="202"/>
      <c r="K56" s="202"/>
      <c r="L56" s="202"/>
      <c r="M56" s="202"/>
    </row>
    <row r="57" spans="1:20" s="6" customFormat="1" ht="11.1" customHeight="1" x14ac:dyDescent="0.15">
      <c r="A57" s="6" t="s">
        <v>114</v>
      </c>
    </row>
    <row r="58" spans="1:20" s="6" customFormat="1" ht="11.1" customHeight="1" x14ac:dyDescent="0.15">
      <c r="A58" s="6" t="s">
        <v>95</v>
      </c>
    </row>
    <row r="59" spans="1:20" s="6" customFormat="1" ht="11.1" customHeight="1" x14ac:dyDescent="0.15">
      <c r="A59" s="6" t="s">
        <v>34</v>
      </c>
    </row>
    <row r="60" spans="1:20" s="6" customFormat="1" ht="11.1" customHeight="1" x14ac:dyDescent="0.15"/>
    <row r="61" spans="1:20" s="6" customFormat="1" ht="11.1" customHeight="1" x14ac:dyDescent="0.15">
      <c r="A61" s="6" t="s">
        <v>271</v>
      </c>
    </row>
    <row r="62" spans="1:20" ht="12" customHeight="1" x14ac:dyDescent="0.25">
      <c r="A62" s="2"/>
    </row>
    <row r="69" spans="6:17" x14ac:dyDescent="0.25">
      <c r="Q69" s="135"/>
    </row>
    <row r="70" spans="6:17" x14ac:dyDescent="0.25">
      <c r="Q70" s="135"/>
    </row>
    <row r="71" spans="6:17" x14ac:dyDescent="0.25">
      <c r="F71" s="135"/>
      <c r="H71" s="135"/>
      <c r="Q71" s="135"/>
    </row>
    <row r="73" spans="6:17" x14ac:dyDescent="0.25">
      <c r="I73" s="135"/>
      <c r="K73" s="135"/>
      <c r="Q73" s="135"/>
    </row>
    <row r="74" spans="6:17" x14ac:dyDescent="0.25">
      <c r="Q74" s="135"/>
    </row>
    <row r="75" spans="6:17" x14ac:dyDescent="0.25">
      <c r="F75" s="135"/>
      <c r="H75" s="135"/>
      <c r="Q75" s="135"/>
    </row>
    <row r="77" spans="6:17" x14ac:dyDescent="0.25">
      <c r="I77" s="135"/>
      <c r="K77" s="135"/>
      <c r="Q77" s="135"/>
    </row>
    <row r="82" spans="6:17" x14ac:dyDescent="0.25">
      <c r="Q82" s="135"/>
    </row>
    <row r="83" spans="6:17" x14ac:dyDescent="0.25">
      <c r="F83" s="135"/>
      <c r="H83" s="135"/>
      <c r="Q83" s="135"/>
    </row>
    <row r="85" spans="6:17" x14ac:dyDescent="0.25">
      <c r="I85" s="135"/>
      <c r="K85" s="135"/>
      <c r="Q85" s="135"/>
    </row>
  </sheetData>
  <mergeCells count="14">
    <mergeCell ref="A20:A23"/>
    <mergeCell ref="A24:K24"/>
    <mergeCell ref="A32:K32"/>
    <mergeCell ref="A1:K1"/>
    <mergeCell ref="A4:A7"/>
    <mergeCell ref="A8:A11"/>
    <mergeCell ref="A12:A15"/>
    <mergeCell ref="A16:A19"/>
    <mergeCell ref="A56:M56"/>
    <mergeCell ref="A43:A46"/>
    <mergeCell ref="A47:A50"/>
    <mergeCell ref="A51:A54"/>
    <mergeCell ref="A35:A38"/>
    <mergeCell ref="A39:A42"/>
  </mergeCells>
  <pageMargins left="0.08" right="0.08" top="1" bottom="1" header="0.5" footer="0.5"/>
  <pageSetup orientation="landscape" blackAndWhite="1"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91"/>
  <sheetViews>
    <sheetView zoomScaleNormal="100" workbookViewId="0">
      <selection activeCell="G6" sqref="G6"/>
    </sheetView>
  </sheetViews>
  <sheetFormatPr defaultColWidth="9.140625" defaultRowHeight="15" x14ac:dyDescent="0.25"/>
  <cols>
    <col min="1" max="1" width="25.85546875" style="1" customWidth="1"/>
    <col min="2" max="2" width="17.42578125" style="1" customWidth="1"/>
    <col min="3" max="11" width="11.42578125" style="1" bestFit="1" customWidth="1"/>
    <col min="12" max="16384" width="9.140625" style="1"/>
  </cols>
  <sheetData>
    <row r="1" spans="1:11" ht="14.25" customHeight="1" x14ac:dyDescent="0.25">
      <c r="A1" s="217" t="s">
        <v>327</v>
      </c>
      <c r="B1" s="217"/>
      <c r="C1" s="217"/>
      <c r="D1" s="217"/>
      <c r="E1" s="217"/>
      <c r="F1" s="217"/>
      <c r="G1" s="217"/>
      <c r="H1" s="217"/>
      <c r="I1" s="217"/>
      <c r="J1" s="217"/>
      <c r="K1" s="217"/>
    </row>
    <row r="2" spans="1:11" ht="2.25" customHeight="1" x14ac:dyDescent="0.25">
      <c r="A2" s="2"/>
    </row>
    <row r="3" spans="1:11" x14ac:dyDescent="0.25">
      <c r="A3" s="65" t="s">
        <v>145</v>
      </c>
      <c r="B3" s="65" t="s">
        <v>186</v>
      </c>
      <c r="C3" s="3" t="s">
        <v>1</v>
      </c>
      <c r="D3" s="3" t="s">
        <v>2</v>
      </c>
      <c r="E3" s="3" t="s">
        <v>3</v>
      </c>
      <c r="F3" s="3" t="s">
        <v>4</v>
      </c>
      <c r="G3" s="3" t="s">
        <v>5</v>
      </c>
      <c r="H3" s="3" t="s">
        <v>6</v>
      </c>
      <c r="I3" s="3" t="s">
        <v>7</v>
      </c>
      <c r="J3" s="3" t="s">
        <v>8</v>
      </c>
      <c r="K3" s="3" t="s">
        <v>9</v>
      </c>
    </row>
    <row r="4" spans="1:11" ht="15" customHeight="1" x14ac:dyDescent="0.25">
      <c r="A4" s="203" t="s">
        <v>373</v>
      </c>
      <c r="B4" s="4" t="s">
        <v>22</v>
      </c>
      <c r="C4" s="5">
        <v>2.1</v>
      </c>
      <c r="D4" s="5" t="s">
        <v>167</v>
      </c>
      <c r="E4" s="5">
        <v>0.5</v>
      </c>
      <c r="F4" s="5">
        <v>3.5</v>
      </c>
      <c r="G4" s="5">
        <v>2.6</v>
      </c>
      <c r="H4" s="5" t="s">
        <v>167</v>
      </c>
      <c r="I4" s="5">
        <v>1.8</v>
      </c>
      <c r="J4" s="5" t="s">
        <v>167</v>
      </c>
      <c r="K4" s="5">
        <v>10.7</v>
      </c>
    </row>
    <row r="5" spans="1:11" x14ac:dyDescent="0.25">
      <c r="A5" s="203"/>
      <c r="B5" s="4" t="s">
        <v>374</v>
      </c>
      <c r="C5" s="5">
        <v>2.2000000000000002</v>
      </c>
      <c r="D5" s="5" t="s">
        <v>167</v>
      </c>
      <c r="E5" s="5">
        <v>0.3</v>
      </c>
      <c r="F5" s="5">
        <v>2.2000000000000002</v>
      </c>
      <c r="G5" s="5">
        <v>2</v>
      </c>
      <c r="H5" s="5" t="s">
        <v>167</v>
      </c>
      <c r="I5" s="5">
        <v>3.5</v>
      </c>
      <c r="J5" s="5" t="s">
        <v>167</v>
      </c>
      <c r="K5" s="5">
        <v>10</v>
      </c>
    </row>
    <row r="6" spans="1:11" x14ac:dyDescent="0.25">
      <c r="A6" s="203"/>
      <c r="B6" s="4" t="s">
        <v>24</v>
      </c>
      <c r="C6" s="5">
        <v>0.1</v>
      </c>
      <c r="D6" s="5" t="s">
        <v>167</v>
      </c>
      <c r="E6" s="5" t="s">
        <v>167</v>
      </c>
      <c r="F6" s="5" t="s">
        <v>167</v>
      </c>
      <c r="G6" s="5" t="s">
        <v>167</v>
      </c>
      <c r="H6" s="5" t="s">
        <v>167</v>
      </c>
      <c r="I6" s="5" t="s">
        <v>167</v>
      </c>
      <c r="J6" s="5" t="s">
        <v>167</v>
      </c>
      <c r="K6" s="5">
        <v>0.1</v>
      </c>
    </row>
    <row r="7" spans="1:11" x14ac:dyDescent="0.25">
      <c r="A7" s="203"/>
      <c r="B7" s="105" t="s">
        <v>12</v>
      </c>
      <c r="C7" s="76">
        <v>4.4000000000000004</v>
      </c>
      <c r="D7" s="5" t="s">
        <v>167</v>
      </c>
      <c r="E7" s="76">
        <v>0.8</v>
      </c>
      <c r="F7" s="76">
        <v>5.7</v>
      </c>
      <c r="G7" s="76">
        <v>4.5999999999999996</v>
      </c>
      <c r="H7" s="5" t="s">
        <v>167</v>
      </c>
      <c r="I7" s="76">
        <v>5.3</v>
      </c>
      <c r="J7" s="76" t="s">
        <v>167</v>
      </c>
      <c r="K7" s="76">
        <v>20.8</v>
      </c>
    </row>
    <row r="8" spans="1:11" x14ac:dyDescent="0.25">
      <c r="A8" s="203" t="s">
        <v>87</v>
      </c>
      <c r="B8" s="4" t="s">
        <v>22</v>
      </c>
      <c r="C8" s="5">
        <v>92.1</v>
      </c>
      <c r="D8" s="5">
        <v>10.199999999999999</v>
      </c>
      <c r="E8" s="5">
        <v>186.8</v>
      </c>
      <c r="F8" s="5">
        <v>30.6</v>
      </c>
      <c r="G8" s="5">
        <v>17.7</v>
      </c>
      <c r="H8" s="5">
        <v>3.8</v>
      </c>
      <c r="I8" s="5">
        <v>3.8</v>
      </c>
      <c r="J8" s="5">
        <v>40</v>
      </c>
      <c r="K8" s="5">
        <v>384.8</v>
      </c>
    </row>
    <row r="9" spans="1:11" x14ac:dyDescent="0.25">
      <c r="A9" s="203"/>
      <c r="B9" s="4" t="s">
        <v>374</v>
      </c>
      <c r="C9" s="5">
        <v>54</v>
      </c>
      <c r="D9" s="5">
        <v>53.2</v>
      </c>
      <c r="E9" s="5">
        <v>78.599999999999994</v>
      </c>
      <c r="F9" s="5">
        <v>15.5</v>
      </c>
      <c r="G9" s="5">
        <v>13.9</v>
      </c>
      <c r="H9" s="5">
        <v>8.1</v>
      </c>
      <c r="I9" s="5">
        <v>7.2</v>
      </c>
      <c r="J9" s="5">
        <v>2</v>
      </c>
      <c r="K9" s="5">
        <v>232.5</v>
      </c>
    </row>
    <row r="10" spans="1:11" x14ac:dyDescent="0.25">
      <c r="A10" s="203"/>
      <c r="B10" s="4" t="s">
        <v>24</v>
      </c>
      <c r="C10" s="5">
        <v>0.5</v>
      </c>
      <c r="D10" s="5">
        <v>0.2</v>
      </c>
      <c r="E10" s="5">
        <v>0.3</v>
      </c>
      <c r="F10" s="5" t="s">
        <v>167</v>
      </c>
      <c r="G10" s="5">
        <v>0.3</v>
      </c>
      <c r="H10" s="5" t="s">
        <v>167</v>
      </c>
      <c r="I10" s="5" t="s">
        <v>167</v>
      </c>
      <c r="J10" s="5">
        <v>0.4</v>
      </c>
      <c r="K10" s="5">
        <v>1.7</v>
      </c>
    </row>
    <row r="11" spans="1:11" x14ac:dyDescent="0.25">
      <c r="A11" s="203"/>
      <c r="B11" s="105" t="s">
        <v>12</v>
      </c>
      <c r="C11" s="76">
        <v>146.6</v>
      </c>
      <c r="D11" s="76">
        <v>63.6</v>
      </c>
      <c r="E11" s="76">
        <v>265.60000000000002</v>
      </c>
      <c r="F11" s="76">
        <v>46</v>
      </c>
      <c r="G11" s="76">
        <v>31.9</v>
      </c>
      <c r="H11" s="76">
        <v>11.9</v>
      </c>
      <c r="I11" s="76">
        <v>11.1</v>
      </c>
      <c r="J11" s="76">
        <v>42.4</v>
      </c>
      <c r="K11" s="76">
        <v>619</v>
      </c>
    </row>
    <row r="12" spans="1:11" x14ac:dyDescent="0.25">
      <c r="A12" s="231" t="s">
        <v>112</v>
      </c>
      <c r="B12" s="37" t="s">
        <v>22</v>
      </c>
      <c r="C12" s="38">
        <v>94</v>
      </c>
      <c r="D12" s="38">
        <v>10.199999999999999</v>
      </c>
      <c r="E12" s="38">
        <v>187.1</v>
      </c>
      <c r="F12" s="38">
        <v>33.4</v>
      </c>
      <c r="G12" s="38">
        <v>19.5</v>
      </c>
      <c r="H12" s="38">
        <v>3.8</v>
      </c>
      <c r="I12" s="38">
        <v>5.7</v>
      </c>
      <c r="J12" s="38">
        <v>40</v>
      </c>
      <c r="K12" s="38">
        <v>393.5</v>
      </c>
    </row>
    <row r="13" spans="1:11" x14ac:dyDescent="0.25">
      <c r="A13" s="231"/>
      <c r="B13" s="37" t="s">
        <v>374</v>
      </c>
      <c r="C13" s="38">
        <v>55.8</v>
      </c>
      <c r="D13" s="38">
        <v>53.2</v>
      </c>
      <c r="E13" s="38">
        <v>78.8</v>
      </c>
      <c r="F13" s="38">
        <v>17</v>
      </c>
      <c r="G13" s="38">
        <v>15.6</v>
      </c>
      <c r="H13" s="38">
        <v>8.1</v>
      </c>
      <c r="I13" s="38">
        <v>10.7</v>
      </c>
      <c r="J13" s="38">
        <v>2</v>
      </c>
      <c r="K13" s="38">
        <v>241.3</v>
      </c>
    </row>
    <row r="14" spans="1:11" x14ac:dyDescent="0.25">
      <c r="A14" s="231"/>
      <c r="B14" s="37" t="s">
        <v>24</v>
      </c>
      <c r="C14" s="38">
        <v>0.6</v>
      </c>
      <c r="D14" s="38">
        <v>0.2</v>
      </c>
      <c r="E14" s="38">
        <v>0.3</v>
      </c>
      <c r="F14" s="38" t="s">
        <v>167</v>
      </c>
      <c r="G14" s="38">
        <v>0.3</v>
      </c>
      <c r="H14" s="38" t="s">
        <v>167</v>
      </c>
      <c r="I14" s="38" t="s">
        <v>167</v>
      </c>
      <c r="J14" s="38">
        <v>0.4</v>
      </c>
      <c r="K14" s="38">
        <v>1.8</v>
      </c>
    </row>
    <row r="15" spans="1:11" x14ac:dyDescent="0.25">
      <c r="A15" s="231"/>
      <c r="B15" s="64" t="s">
        <v>12</v>
      </c>
      <c r="C15" s="49">
        <v>150.4</v>
      </c>
      <c r="D15" s="49">
        <v>63.6</v>
      </c>
      <c r="E15" s="49">
        <v>266.10000000000002</v>
      </c>
      <c r="F15" s="49">
        <v>50.4</v>
      </c>
      <c r="G15" s="49">
        <v>35.5</v>
      </c>
      <c r="H15" s="49">
        <v>11.9</v>
      </c>
      <c r="I15" s="49">
        <v>16.399999999999999</v>
      </c>
      <c r="J15" s="49">
        <v>42.4</v>
      </c>
      <c r="K15" s="49">
        <v>636.6</v>
      </c>
    </row>
    <row r="16" spans="1:11" x14ac:dyDescent="0.25">
      <c r="A16" s="203" t="s">
        <v>89</v>
      </c>
      <c r="B16" s="4" t="s">
        <v>22</v>
      </c>
      <c r="C16" s="5">
        <v>23.8</v>
      </c>
      <c r="D16" s="5">
        <v>1.2</v>
      </c>
      <c r="E16" s="5">
        <v>26.1</v>
      </c>
      <c r="F16" s="5">
        <v>12.3</v>
      </c>
      <c r="G16" s="5">
        <v>1</v>
      </c>
      <c r="H16" s="5">
        <v>1</v>
      </c>
      <c r="I16" s="5" t="s">
        <v>167</v>
      </c>
      <c r="J16" s="5">
        <v>26.1</v>
      </c>
      <c r="K16" s="5">
        <v>91.5</v>
      </c>
    </row>
    <row r="17" spans="1:11" x14ac:dyDescent="0.25">
      <c r="A17" s="203"/>
      <c r="B17" s="4" t="s">
        <v>374</v>
      </c>
      <c r="C17" s="5">
        <v>10.4</v>
      </c>
      <c r="D17" s="5">
        <v>7.4</v>
      </c>
      <c r="E17" s="5">
        <v>5</v>
      </c>
      <c r="F17" s="5">
        <v>11.3</v>
      </c>
      <c r="G17" s="5">
        <v>2.2999999999999998</v>
      </c>
      <c r="H17" s="5">
        <v>1.6</v>
      </c>
      <c r="I17" s="5">
        <v>0.7</v>
      </c>
      <c r="J17" s="5">
        <v>0.5</v>
      </c>
      <c r="K17" s="5">
        <v>39.200000000000003</v>
      </c>
    </row>
    <row r="18" spans="1:11" x14ac:dyDescent="0.25">
      <c r="A18" s="203"/>
      <c r="B18" s="4" t="s">
        <v>24</v>
      </c>
      <c r="C18" s="5">
        <v>0.3</v>
      </c>
      <c r="D18" s="5" t="s">
        <v>167</v>
      </c>
      <c r="E18" s="5" t="s">
        <v>167</v>
      </c>
      <c r="F18" s="5" t="s">
        <v>167</v>
      </c>
      <c r="G18" s="5" t="s">
        <v>167</v>
      </c>
      <c r="H18" s="5" t="s">
        <v>167</v>
      </c>
      <c r="I18" s="5" t="s">
        <v>167</v>
      </c>
      <c r="J18" s="5">
        <v>0.4</v>
      </c>
      <c r="K18" s="5">
        <v>0.6</v>
      </c>
    </row>
    <row r="19" spans="1:11" x14ac:dyDescent="0.25">
      <c r="A19" s="203"/>
      <c r="B19" s="105" t="s">
        <v>12</v>
      </c>
      <c r="C19" s="76">
        <v>34.4</v>
      </c>
      <c r="D19" s="76">
        <v>8.6</v>
      </c>
      <c r="E19" s="76">
        <v>31.1</v>
      </c>
      <c r="F19" s="76">
        <v>23.7</v>
      </c>
      <c r="G19" s="76">
        <v>3.3</v>
      </c>
      <c r="H19" s="76">
        <v>2.6</v>
      </c>
      <c r="I19" s="76">
        <v>0.7</v>
      </c>
      <c r="J19" s="76">
        <v>27</v>
      </c>
      <c r="K19" s="76">
        <v>131.30000000000001</v>
      </c>
    </row>
    <row r="20" spans="1:11" x14ac:dyDescent="0.25">
      <c r="A20" s="203" t="s">
        <v>12</v>
      </c>
      <c r="B20" s="4" t="s">
        <v>22</v>
      </c>
      <c r="C20" s="5">
        <v>117.4</v>
      </c>
      <c r="D20" s="5">
        <v>11.3</v>
      </c>
      <c r="E20" s="5">
        <v>207.7</v>
      </c>
      <c r="F20" s="5">
        <v>45.6</v>
      </c>
      <c r="G20" s="5">
        <v>20.399999999999999</v>
      </c>
      <c r="H20" s="5">
        <v>4.7</v>
      </c>
      <c r="I20" s="5">
        <v>5.7</v>
      </c>
      <c r="J20" s="5">
        <v>40</v>
      </c>
      <c r="K20" s="5">
        <v>452.8</v>
      </c>
    </row>
    <row r="21" spans="1:11" x14ac:dyDescent="0.25">
      <c r="A21" s="203"/>
      <c r="B21" s="4" t="s">
        <v>374</v>
      </c>
      <c r="C21" s="5">
        <v>66.099999999999994</v>
      </c>
      <c r="D21" s="5">
        <v>62.3</v>
      </c>
      <c r="E21" s="5">
        <v>81.8</v>
      </c>
      <c r="F21" s="5">
        <v>28.3</v>
      </c>
      <c r="G21" s="5">
        <v>17.399999999999999</v>
      </c>
      <c r="H21" s="5">
        <v>9.6</v>
      </c>
      <c r="I21" s="5">
        <v>11.4</v>
      </c>
      <c r="J21" s="5">
        <v>2</v>
      </c>
      <c r="K21" s="5">
        <v>278.89999999999998</v>
      </c>
    </row>
    <row r="22" spans="1:11" x14ac:dyDescent="0.25">
      <c r="A22" s="203"/>
      <c r="B22" s="4" t="s">
        <v>24</v>
      </c>
      <c r="C22" s="5">
        <v>0.8</v>
      </c>
      <c r="D22" s="5">
        <v>0.2</v>
      </c>
      <c r="E22" s="5">
        <v>0.3</v>
      </c>
      <c r="F22" s="5" t="s">
        <v>167</v>
      </c>
      <c r="G22" s="5">
        <v>0.3</v>
      </c>
      <c r="H22" s="5" t="s">
        <v>167</v>
      </c>
      <c r="I22" s="5" t="s">
        <v>167</v>
      </c>
      <c r="J22" s="5">
        <v>0.4</v>
      </c>
      <c r="K22" s="5">
        <v>2</v>
      </c>
    </row>
    <row r="23" spans="1:11" x14ac:dyDescent="0.25">
      <c r="A23" s="203"/>
      <c r="B23" s="105" t="s">
        <v>12</v>
      </c>
      <c r="C23" s="76">
        <v>184.3</v>
      </c>
      <c r="D23" s="76">
        <v>73.900000000000006</v>
      </c>
      <c r="E23" s="76">
        <v>289.8</v>
      </c>
      <c r="F23" s="76">
        <v>73.900000000000006</v>
      </c>
      <c r="G23" s="76">
        <v>38.200000000000003</v>
      </c>
      <c r="H23" s="76">
        <v>14.3</v>
      </c>
      <c r="I23" s="76">
        <v>17.100000000000001</v>
      </c>
      <c r="J23" s="76">
        <v>42.4</v>
      </c>
      <c r="K23" s="76">
        <v>733.7</v>
      </c>
    </row>
    <row r="24" spans="1:11" ht="2.25" customHeight="1" x14ac:dyDescent="0.25">
      <c r="A24" s="2"/>
    </row>
    <row r="25" spans="1:11" ht="11.1" customHeight="1" x14ac:dyDescent="0.25">
      <c r="A25" s="201" t="s">
        <v>13</v>
      </c>
      <c r="B25" s="201"/>
      <c r="C25" s="201"/>
      <c r="D25" s="201"/>
      <c r="E25" s="201"/>
      <c r="F25" s="201"/>
      <c r="G25" s="201"/>
      <c r="H25" s="201"/>
      <c r="I25" s="201"/>
      <c r="J25" s="201"/>
      <c r="K25" s="201"/>
    </row>
    <row r="26" spans="1:11" s="6" customFormat="1" ht="11.1" customHeight="1" x14ac:dyDescent="0.15">
      <c r="A26" s="6" t="s">
        <v>14</v>
      </c>
    </row>
    <row r="27" spans="1:11" s="10" customFormat="1" ht="11.1" customHeight="1" x14ac:dyDescent="0.2">
      <c r="A27" s="57" t="s">
        <v>18</v>
      </c>
    </row>
    <row r="28" spans="1:11" s="6" customFormat="1" ht="11.1" customHeight="1" x14ac:dyDescent="0.15">
      <c r="A28" s="6" t="s">
        <v>113</v>
      </c>
    </row>
    <row r="29" spans="1:11" s="6" customFormat="1" ht="18.75" customHeight="1" x14ac:dyDescent="0.15">
      <c r="A29" s="199" t="s">
        <v>37</v>
      </c>
      <c r="B29" s="199"/>
      <c r="C29" s="199"/>
      <c r="D29" s="199"/>
      <c r="E29" s="199"/>
      <c r="F29" s="199"/>
      <c r="G29" s="199"/>
      <c r="H29" s="199"/>
      <c r="I29" s="199"/>
      <c r="J29" s="199"/>
      <c r="K29" s="199"/>
    </row>
    <row r="30" spans="1:11" s="6" customFormat="1" ht="11.1" customHeight="1" x14ac:dyDescent="0.15">
      <c r="A30" s="6" t="s">
        <v>115</v>
      </c>
    </row>
    <row r="31" spans="1:11" s="6" customFormat="1" ht="11.1" customHeight="1" x14ac:dyDescent="0.15">
      <c r="A31" s="6" t="s">
        <v>16</v>
      </c>
    </row>
    <row r="32" spans="1:11" s="6" customFormat="1" ht="11.1" customHeight="1" x14ac:dyDescent="0.15">
      <c r="A32" s="6" t="s">
        <v>271</v>
      </c>
    </row>
    <row r="33" spans="1:11" ht="12" customHeight="1" x14ac:dyDescent="0.25">
      <c r="A33" s="2"/>
    </row>
    <row r="34" spans="1:11" ht="27.95" customHeight="1" x14ac:dyDescent="0.25">
      <c r="A34" s="198" t="s">
        <v>328</v>
      </c>
      <c r="B34" s="198"/>
      <c r="C34" s="198"/>
      <c r="D34" s="198"/>
      <c r="E34" s="198"/>
      <c r="F34" s="198"/>
      <c r="G34" s="198"/>
      <c r="H34" s="198"/>
      <c r="I34" s="198"/>
      <c r="J34" s="198"/>
      <c r="K34" s="198"/>
    </row>
    <row r="35" spans="1:11" ht="5.25" customHeight="1" x14ac:dyDescent="0.25">
      <c r="A35" s="2"/>
    </row>
    <row r="36" spans="1:11" x14ac:dyDescent="0.25">
      <c r="A36" s="65" t="s">
        <v>145</v>
      </c>
      <c r="B36" s="65" t="s">
        <v>186</v>
      </c>
      <c r="C36" s="3" t="s">
        <v>1</v>
      </c>
      <c r="D36" s="3" t="s">
        <v>2</v>
      </c>
      <c r="E36" s="3" t="s">
        <v>3</v>
      </c>
      <c r="F36" s="3" t="s">
        <v>4</v>
      </c>
      <c r="G36" s="3" t="s">
        <v>5</v>
      </c>
      <c r="H36" s="3" t="s">
        <v>6</v>
      </c>
      <c r="I36" s="3" t="s">
        <v>7</v>
      </c>
      <c r="J36" s="3" t="s">
        <v>8</v>
      </c>
      <c r="K36" s="3" t="s">
        <v>116</v>
      </c>
    </row>
    <row r="37" spans="1:11" ht="15" customHeight="1" x14ac:dyDescent="0.25">
      <c r="A37" s="203" t="s">
        <v>373</v>
      </c>
      <c r="B37" s="4" t="s">
        <v>22</v>
      </c>
      <c r="C37" s="8">
        <v>258</v>
      </c>
      <c r="D37" s="8" t="s">
        <v>167</v>
      </c>
      <c r="E37" s="8">
        <v>78</v>
      </c>
      <c r="F37" s="8">
        <v>368</v>
      </c>
      <c r="G37" s="8">
        <v>157</v>
      </c>
      <c r="H37" s="8" t="s">
        <v>167</v>
      </c>
      <c r="I37" s="8">
        <v>29</v>
      </c>
      <c r="J37" s="8" t="s">
        <v>167</v>
      </c>
      <c r="K37" s="8">
        <v>890</v>
      </c>
    </row>
    <row r="38" spans="1:11" x14ac:dyDescent="0.25">
      <c r="A38" s="203"/>
      <c r="B38" s="4" t="s">
        <v>374</v>
      </c>
      <c r="C38" s="8">
        <v>235</v>
      </c>
      <c r="D38" s="8" t="s">
        <v>167</v>
      </c>
      <c r="E38" s="8">
        <v>45</v>
      </c>
      <c r="F38" s="8">
        <v>203</v>
      </c>
      <c r="G38" s="8">
        <v>120</v>
      </c>
      <c r="H38" s="8" t="s">
        <v>167</v>
      </c>
      <c r="I38" s="8">
        <v>53</v>
      </c>
      <c r="J38" s="8" t="s">
        <v>167</v>
      </c>
      <c r="K38" s="8">
        <v>656</v>
      </c>
    </row>
    <row r="39" spans="1:11" x14ac:dyDescent="0.25">
      <c r="A39" s="203"/>
      <c r="B39" s="4" t="s">
        <v>24</v>
      </c>
      <c r="C39" s="8">
        <v>16</v>
      </c>
      <c r="D39" s="8" t="s">
        <v>167</v>
      </c>
      <c r="E39" s="8" t="s">
        <v>167</v>
      </c>
      <c r="F39" s="8" t="s">
        <v>167</v>
      </c>
      <c r="G39" s="8">
        <v>1</v>
      </c>
      <c r="H39" s="8" t="s">
        <v>167</v>
      </c>
      <c r="I39" s="8" t="s">
        <v>167</v>
      </c>
      <c r="J39" s="8" t="s">
        <v>167</v>
      </c>
      <c r="K39" s="8">
        <v>17</v>
      </c>
    </row>
    <row r="40" spans="1:11" x14ac:dyDescent="0.25">
      <c r="A40" s="203"/>
      <c r="B40" s="105" t="s">
        <v>12</v>
      </c>
      <c r="C40" s="81">
        <v>509</v>
      </c>
      <c r="D40" s="81" t="s">
        <v>167</v>
      </c>
      <c r="E40" s="81">
        <v>123</v>
      </c>
      <c r="F40" s="81">
        <v>571</v>
      </c>
      <c r="G40" s="81">
        <v>278</v>
      </c>
      <c r="H40" s="81" t="s">
        <v>167</v>
      </c>
      <c r="I40" s="81">
        <v>82</v>
      </c>
      <c r="J40" s="81" t="s">
        <v>167</v>
      </c>
      <c r="K40" s="81">
        <v>1563</v>
      </c>
    </row>
    <row r="41" spans="1:11" x14ac:dyDescent="0.25">
      <c r="A41" s="203" t="s">
        <v>87</v>
      </c>
      <c r="B41" s="4" t="s">
        <v>22</v>
      </c>
      <c r="C41" s="8">
        <v>690</v>
      </c>
      <c r="D41" s="8">
        <v>49</v>
      </c>
      <c r="E41" s="8">
        <v>712</v>
      </c>
      <c r="F41" s="8">
        <v>375</v>
      </c>
      <c r="G41" s="8">
        <v>132</v>
      </c>
      <c r="H41" s="8">
        <v>22</v>
      </c>
      <c r="I41" s="8">
        <v>17</v>
      </c>
      <c r="J41" s="8">
        <v>316</v>
      </c>
      <c r="K41" s="8">
        <v>2313</v>
      </c>
    </row>
    <row r="42" spans="1:11" x14ac:dyDescent="0.25">
      <c r="A42" s="203"/>
      <c r="B42" s="4" t="s">
        <v>374</v>
      </c>
      <c r="C42" s="8">
        <v>569</v>
      </c>
      <c r="D42" s="8">
        <v>297</v>
      </c>
      <c r="E42" s="8">
        <v>318</v>
      </c>
      <c r="F42" s="8">
        <v>190</v>
      </c>
      <c r="G42" s="8">
        <v>109</v>
      </c>
      <c r="H42" s="8">
        <v>44</v>
      </c>
      <c r="I42" s="8">
        <v>27</v>
      </c>
      <c r="J42" s="8">
        <v>10</v>
      </c>
      <c r="K42" s="8">
        <v>1564</v>
      </c>
    </row>
    <row r="43" spans="1:11" x14ac:dyDescent="0.25">
      <c r="A43" s="203"/>
      <c r="B43" s="4" t="s">
        <v>24</v>
      </c>
      <c r="C43" s="8">
        <v>40</v>
      </c>
      <c r="D43" s="8">
        <v>2</v>
      </c>
      <c r="E43" s="8">
        <v>3</v>
      </c>
      <c r="F43" s="8" t="s">
        <v>167</v>
      </c>
      <c r="G43" s="8">
        <v>2</v>
      </c>
      <c r="H43" s="8" t="s">
        <v>167</v>
      </c>
      <c r="I43" s="8" t="s">
        <v>167</v>
      </c>
      <c r="J43" s="8">
        <v>3</v>
      </c>
      <c r="K43" s="8">
        <v>50</v>
      </c>
    </row>
    <row r="44" spans="1:11" x14ac:dyDescent="0.25">
      <c r="A44" s="203"/>
      <c r="B44" s="105" t="s">
        <v>12</v>
      </c>
      <c r="C44" s="81">
        <v>1299</v>
      </c>
      <c r="D44" s="81">
        <v>348</v>
      </c>
      <c r="E44" s="81">
        <v>1033</v>
      </c>
      <c r="F44" s="81">
        <v>565</v>
      </c>
      <c r="G44" s="81">
        <v>243</v>
      </c>
      <c r="H44" s="81">
        <v>66</v>
      </c>
      <c r="I44" s="81">
        <v>44</v>
      </c>
      <c r="J44" s="81">
        <v>329</v>
      </c>
      <c r="K44" s="81">
        <v>3927</v>
      </c>
    </row>
    <row r="45" spans="1:11" x14ac:dyDescent="0.25">
      <c r="A45" s="231" t="s">
        <v>112</v>
      </c>
      <c r="B45" s="37" t="s">
        <v>22</v>
      </c>
      <c r="C45" s="41">
        <v>762</v>
      </c>
      <c r="D45" s="41">
        <v>49</v>
      </c>
      <c r="E45" s="41">
        <v>720</v>
      </c>
      <c r="F45" s="41">
        <v>527</v>
      </c>
      <c r="G45" s="41">
        <v>182</v>
      </c>
      <c r="H45" s="8" t="s">
        <v>174</v>
      </c>
      <c r="I45" s="8" t="s">
        <v>174</v>
      </c>
      <c r="J45" s="41">
        <v>316</v>
      </c>
      <c r="K45" s="41">
        <v>2612</v>
      </c>
    </row>
    <row r="46" spans="1:11" x14ac:dyDescent="0.25">
      <c r="A46" s="231"/>
      <c r="B46" s="37" t="s">
        <v>374</v>
      </c>
      <c r="C46" s="41">
        <v>644</v>
      </c>
      <c r="D46" s="41">
        <v>297</v>
      </c>
      <c r="E46" s="41">
        <v>327</v>
      </c>
      <c r="F46" s="41">
        <v>257</v>
      </c>
      <c r="G46" s="41">
        <v>152</v>
      </c>
      <c r="H46" s="8" t="s">
        <v>174</v>
      </c>
      <c r="I46" s="8" t="s">
        <v>174</v>
      </c>
      <c r="J46" s="41">
        <v>10</v>
      </c>
      <c r="K46" s="41">
        <v>1796</v>
      </c>
    </row>
    <row r="47" spans="1:11" x14ac:dyDescent="0.25">
      <c r="A47" s="231"/>
      <c r="B47" s="37" t="s">
        <v>24</v>
      </c>
      <c r="C47" s="41">
        <v>48</v>
      </c>
      <c r="D47" s="41">
        <v>2</v>
      </c>
      <c r="E47" s="41">
        <v>3</v>
      </c>
      <c r="F47" s="41" t="s">
        <v>167</v>
      </c>
      <c r="G47" s="41">
        <v>3</v>
      </c>
      <c r="H47" s="41" t="s">
        <v>167</v>
      </c>
      <c r="I47" s="41" t="s">
        <v>167</v>
      </c>
      <c r="J47" s="41">
        <v>3</v>
      </c>
      <c r="K47" s="41">
        <v>59</v>
      </c>
    </row>
    <row r="48" spans="1:11" x14ac:dyDescent="0.25">
      <c r="A48" s="231"/>
      <c r="B48" s="64" t="s">
        <v>12</v>
      </c>
      <c r="C48" s="51">
        <v>1454</v>
      </c>
      <c r="D48" s="51">
        <v>348</v>
      </c>
      <c r="E48" s="51">
        <v>1050</v>
      </c>
      <c r="F48" s="51">
        <v>784</v>
      </c>
      <c r="G48" s="51">
        <v>337</v>
      </c>
      <c r="H48" s="51">
        <v>66</v>
      </c>
      <c r="I48" s="51">
        <v>99</v>
      </c>
      <c r="J48" s="51">
        <v>329</v>
      </c>
      <c r="K48" s="51">
        <v>4467</v>
      </c>
    </row>
    <row r="49" spans="1:11" x14ac:dyDescent="0.25">
      <c r="A49" s="203" t="s">
        <v>89</v>
      </c>
      <c r="B49" s="4" t="s">
        <v>22</v>
      </c>
      <c r="C49" s="8">
        <v>111</v>
      </c>
      <c r="D49" s="8">
        <v>7</v>
      </c>
      <c r="E49" s="8">
        <v>136</v>
      </c>
      <c r="F49" s="8">
        <v>60</v>
      </c>
      <c r="G49" s="8">
        <v>16</v>
      </c>
      <c r="H49" s="8" t="s">
        <v>174</v>
      </c>
      <c r="I49" s="8" t="s">
        <v>174</v>
      </c>
      <c r="J49" s="8">
        <v>149</v>
      </c>
      <c r="K49" s="8">
        <v>486</v>
      </c>
    </row>
    <row r="50" spans="1:11" x14ac:dyDescent="0.25">
      <c r="A50" s="203"/>
      <c r="B50" s="4" t="s">
        <v>374</v>
      </c>
      <c r="C50" s="8">
        <v>52</v>
      </c>
      <c r="D50" s="8">
        <v>29</v>
      </c>
      <c r="E50" s="8">
        <v>29</v>
      </c>
      <c r="F50" s="8">
        <v>41</v>
      </c>
      <c r="G50" s="8">
        <v>14</v>
      </c>
      <c r="H50" s="8" t="s">
        <v>174</v>
      </c>
      <c r="I50" s="8" t="s">
        <v>174</v>
      </c>
      <c r="J50" s="8">
        <v>6</v>
      </c>
      <c r="K50" s="8">
        <v>184</v>
      </c>
    </row>
    <row r="51" spans="1:11" x14ac:dyDescent="0.25">
      <c r="A51" s="203"/>
      <c r="B51" s="4" t="s">
        <v>24</v>
      </c>
      <c r="C51" s="8">
        <v>2</v>
      </c>
      <c r="D51" s="8" t="s">
        <v>167</v>
      </c>
      <c r="E51" s="8" t="s">
        <v>167</v>
      </c>
      <c r="F51" s="8" t="s">
        <v>167</v>
      </c>
      <c r="G51" s="8" t="s">
        <v>167</v>
      </c>
      <c r="H51" s="8" t="s">
        <v>167</v>
      </c>
      <c r="I51" s="8" t="s">
        <v>167</v>
      </c>
      <c r="J51" s="8">
        <v>2</v>
      </c>
      <c r="K51" s="8">
        <v>4</v>
      </c>
    </row>
    <row r="52" spans="1:11" x14ac:dyDescent="0.25">
      <c r="A52" s="203"/>
      <c r="B52" s="105" t="s">
        <v>12</v>
      </c>
      <c r="C52" s="81">
        <v>165</v>
      </c>
      <c r="D52" s="81">
        <v>36</v>
      </c>
      <c r="E52" s="81">
        <v>165</v>
      </c>
      <c r="F52" s="81">
        <v>101</v>
      </c>
      <c r="G52" s="81">
        <v>30</v>
      </c>
      <c r="H52" s="81" t="s">
        <v>174</v>
      </c>
      <c r="I52" s="81" t="s">
        <v>174</v>
      </c>
      <c r="J52" s="81">
        <v>157</v>
      </c>
      <c r="K52" s="81">
        <v>674</v>
      </c>
    </row>
    <row r="53" spans="1:11" x14ac:dyDescent="0.25">
      <c r="A53" s="203" t="s">
        <v>12</v>
      </c>
      <c r="B53" s="4" t="s">
        <v>22</v>
      </c>
      <c r="C53" s="8">
        <v>770</v>
      </c>
      <c r="D53" s="8">
        <v>49</v>
      </c>
      <c r="E53" s="8">
        <v>724</v>
      </c>
      <c r="F53" s="8">
        <v>537</v>
      </c>
      <c r="G53" s="8">
        <v>183</v>
      </c>
      <c r="H53" s="8">
        <v>24</v>
      </c>
      <c r="I53" s="8">
        <v>34</v>
      </c>
      <c r="J53" s="8">
        <v>317</v>
      </c>
      <c r="K53" s="8">
        <v>2638</v>
      </c>
    </row>
    <row r="54" spans="1:11" x14ac:dyDescent="0.25">
      <c r="A54" s="203"/>
      <c r="B54" s="4" t="s">
        <v>374</v>
      </c>
      <c r="C54" s="8">
        <v>651</v>
      </c>
      <c r="D54" s="8">
        <v>300</v>
      </c>
      <c r="E54" s="8">
        <v>328</v>
      </c>
      <c r="F54" s="8">
        <v>272</v>
      </c>
      <c r="G54" s="8">
        <v>153</v>
      </c>
      <c r="H54" s="8">
        <v>46</v>
      </c>
      <c r="I54" s="8">
        <v>65</v>
      </c>
      <c r="J54" s="8">
        <v>10</v>
      </c>
      <c r="K54" s="8">
        <v>1825</v>
      </c>
    </row>
    <row r="55" spans="1:11" x14ac:dyDescent="0.25">
      <c r="A55" s="203"/>
      <c r="B55" s="4" t="s">
        <v>24</v>
      </c>
      <c r="C55" s="8">
        <v>49</v>
      </c>
      <c r="D55" s="8">
        <v>2</v>
      </c>
      <c r="E55" s="8">
        <v>3</v>
      </c>
      <c r="F55" s="8" t="s">
        <v>167</v>
      </c>
      <c r="G55" s="8">
        <v>3</v>
      </c>
      <c r="H55" s="8" t="s">
        <v>167</v>
      </c>
      <c r="I55" s="8" t="s">
        <v>167</v>
      </c>
      <c r="J55" s="8">
        <v>3</v>
      </c>
      <c r="K55" s="8">
        <v>60</v>
      </c>
    </row>
    <row r="56" spans="1:11" x14ac:dyDescent="0.25">
      <c r="A56" s="213"/>
      <c r="B56" s="92" t="s">
        <v>12</v>
      </c>
      <c r="C56" s="101">
        <v>1470</v>
      </c>
      <c r="D56" s="101">
        <v>351</v>
      </c>
      <c r="E56" s="101">
        <v>1055</v>
      </c>
      <c r="F56" s="101">
        <v>809</v>
      </c>
      <c r="G56" s="101">
        <v>339</v>
      </c>
      <c r="H56" s="101">
        <v>70</v>
      </c>
      <c r="I56" s="101">
        <v>99</v>
      </c>
      <c r="J56" s="101">
        <v>330</v>
      </c>
      <c r="K56" s="101">
        <v>4523</v>
      </c>
    </row>
    <row r="57" spans="1:11" ht="1.5" customHeight="1" x14ac:dyDescent="0.25">
      <c r="A57" s="2"/>
      <c r="C57" s="1" t="s">
        <v>269</v>
      </c>
      <c r="D57" s="1" t="s">
        <v>269</v>
      </c>
      <c r="E57" s="1" t="s">
        <v>269</v>
      </c>
      <c r="F57" s="1" t="s">
        <v>269</v>
      </c>
      <c r="G57" s="1" t="s">
        <v>269</v>
      </c>
      <c r="H57" s="1" t="s">
        <v>269</v>
      </c>
      <c r="I57" s="1" t="s">
        <v>269</v>
      </c>
      <c r="J57" s="1" t="s">
        <v>269</v>
      </c>
      <c r="K57" s="1" t="s">
        <v>269</v>
      </c>
    </row>
    <row r="58" spans="1:11" ht="12" customHeight="1" x14ac:dyDescent="0.25">
      <c r="A58" s="6" t="s">
        <v>220</v>
      </c>
    </row>
    <row r="59" spans="1:11" ht="11.1" customHeight="1" x14ac:dyDescent="0.25">
      <c r="A59" s="202" t="s">
        <v>18</v>
      </c>
      <c r="B59" s="202"/>
      <c r="C59" s="202"/>
      <c r="D59" s="202"/>
      <c r="E59" s="202"/>
      <c r="F59" s="202"/>
      <c r="G59" s="202"/>
      <c r="H59" s="202"/>
      <c r="I59" s="202"/>
      <c r="J59" s="202"/>
      <c r="K59" s="202"/>
    </row>
    <row r="60" spans="1:11" s="6" customFormat="1" ht="11.1" customHeight="1" x14ac:dyDescent="0.15">
      <c r="A60" s="6" t="s">
        <v>113</v>
      </c>
    </row>
    <row r="61" spans="1:11" s="6" customFormat="1" ht="11.1" customHeight="1" x14ac:dyDescent="0.15">
      <c r="A61" s="6" t="s">
        <v>33</v>
      </c>
    </row>
    <row r="62" spans="1:11" s="6" customFormat="1" ht="11.1" customHeight="1" x14ac:dyDescent="0.15">
      <c r="A62" s="6" t="s">
        <v>115</v>
      </c>
    </row>
    <row r="63" spans="1:11" s="6" customFormat="1" ht="11.1" customHeight="1" x14ac:dyDescent="0.15">
      <c r="A63" s="6" t="s">
        <v>16</v>
      </c>
    </row>
    <row r="64" spans="1:11" s="6" customFormat="1" ht="11.1" customHeight="1" x14ac:dyDescent="0.15">
      <c r="A64" s="6" t="s">
        <v>271</v>
      </c>
    </row>
    <row r="65" spans="1:21" ht="12" customHeight="1" x14ac:dyDescent="0.25">
      <c r="A65" s="2"/>
    </row>
    <row r="75" spans="1:21" x14ac:dyDescent="0.25">
      <c r="U75" s="135"/>
    </row>
    <row r="76" spans="1:21" x14ac:dyDescent="0.25">
      <c r="U76" s="135"/>
    </row>
    <row r="77" spans="1:21" x14ac:dyDescent="0.25">
      <c r="U77" s="135"/>
    </row>
    <row r="79" spans="1:21" x14ac:dyDescent="0.25">
      <c r="M79" s="135"/>
      <c r="O79" s="135"/>
      <c r="U79" s="135"/>
    </row>
    <row r="80" spans="1:21" x14ac:dyDescent="0.25">
      <c r="U80" s="135"/>
    </row>
    <row r="81" spans="13:21" x14ac:dyDescent="0.25">
      <c r="U81" s="135"/>
    </row>
    <row r="83" spans="13:21" x14ac:dyDescent="0.25">
      <c r="M83" s="135"/>
      <c r="O83" s="135"/>
      <c r="U83" s="135"/>
    </row>
    <row r="88" spans="13:21" x14ac:dyDescent="0.25">
      <c r="U88" s="135"/>
    </row>
    <row r="89" spans="13:21" x14ac:dyDescent="0.25">
      <c r="U89" s="135"/>
    </row>
    <row r="91" spans="13:21" x14ac:dyDescent="0.25">
      <c r="M91" s="135"/>
      <c r="O91" s="135"/>
      <c r="U91" s="135"/>
    </row>
  </sheetData>
  <mergeCells count="15">
    <mergeCell ref="A16:A19"/>
    <mergeCell ref="A1:K1"/>
    <mergeCell ref="A4:A7"/>
    <mergeCell ref="A8:A11"/>
    <mergeCell ref="A12:A15"/>
    <mergeCell ref="A45:A48"/>
    <mergeCell ref="A49:A52"/>
    <mergeCell ref="A53:A56"/>
    <mergeCell ref="A59:K59"/>
    <mergeCell ref="A20:A23"/>
    <mergeCell ref="A25:K25"/>
    <mergeCell ref="A34:K34"/>
    <mergeCell ref="A37:A40"/>
    <mergeCell ref="A41:A44"/>
    <mergeCell ref="A29:K29"/>
  </mergeCells>
  <pageMargins left="0.08" right="0.08" top="1" bottom="1" header="0.5" footer="0.5"/>
  <pageSetup orientation="landscape" blackAndWhite="1"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K54"/>
  <sheetViews>
    <sheetView zoomScale="90" zoomScaleNormal="90" workbookViewId="0">
      <selection activeCell="M30" sqref="M30"/>
    </sheetView>
  </sheetViews>
  <sheetFormatPr defaultColWidth="9.140625" defaultRowHeight="15" x14ac:dyDescent="0.25"/>
  <cols>
    <col min="1" max="1" width="25.85546875" style="1" customWidth="1"/>
    <col min="2" max="2" width="17.5703125" style="1" customWidth="1"/>
    <col min="3" max="10" width="11.42578125" style="1" bestFit="1" customWidth="1"/>
    <col min="11" max="11" width="11.42578125" style="1" customWidth="1"/>
    <col min="12" max="16384" width="9.140625" style="1"/>
  </cols>
  <sheetData>
    <row r="1" spans="1:11" ht="24.75" customHeight="1" x14ac:dyDescent="0.25">
      <c r="A1" s="198" t="s">
        <v>329</v>
      </c>
      <c r="B1" s="198"/>
      <c r="C1" s="198"/>
      <c r="D1" s="198"/>
      <c r="E1" s="198"/>
      <c r="F1" s="198"/>
      <c r="G1" s="198"/>
      <c r="H1" s="198"/>
      <c r="I1" s="198"/>
      <c r="J1" s="198"/>
      <c r="K1" s="198"/>
    </row>
    <row r="2" spans="1:11" ht="12" hidden="1" customHeight="1" x14ac:dyDescent="0.25">
      <c r="A2" s="2"/>
    </row>
    <row r="3" spans="1:11" x14ac:dyDescent="0.25">
      <c r="A3" s="65" t="s">
        <v>145</v>
      </c>
      <c r="B3" s="65" t="s">
        <v>186</v>
      </c>
      <c r="C3" s="3" t="s">
        <v>1</v>
      </c>
      <c r="D3" s="3" t="s">
        <v>2</v>
      </c>
      <c r="E3" s="3" t="s">
        <v>3</v>
      </c>
      <c r="F3" s="3" t="s">
        <v>4</v>
      </c>
      <c r="G3" s="3" t="s">
        <v>5</v>
      </c>
      <c r="H3" s="3" t="s">
        <v>6</v>
      </c>
      <c r="I3" s="3" t="s">
        <v>7</v>
      </c>
      <c r="J3" s="3" t="s">
        <v>8</v>
      </c>
      <c r="K3" s="3" t="s">
        <v>9</v>
      </c>
    </row>
    <row r="4" spans="1:11" x14ac:dyDescent="0.25">
      <c r="A4" s="205" t="s">
        <v>86</v>
      </c>
      <c r="B4" s="47" t="s">
        <v>22</v>
      </c>
      <c r="C4" s="5">
        <v>0.34599999999999997</v>
      </c>
      <c r="D4" s="46" t="s">
        <v>167</v>
      </c>
      <c r="E4" s="5">
        <v>0.104</v>
      </c>
      <c r="F4" s="5">
        <v>1.6930000000000001</v>
      </c>
      <c r="G4" s="5">
        <v>2.76</v>
      </c>
      <c r="H4" s="46" t="s">
        <v>167</v>
      </c>
      <c r="I4" s="5">
        <v>16.809999999999999</v>
      </c>
      <c r="J4" s="46" t="s">
        <v>167</v>
      </c>
      <c r="K4" s="5">
        <v>0.60699999999999998</v>
      </c>
    </row>
    <row r="5" spans="1:11" ht="22.5" customHeight="1" x14ac:dyDescent="0.25">
      <c r="A5" s="205"/>
      <c r="B5" s="47" t="s">
        <v>23</v>
      </c>
      <c r="C5" s="46">
        <v>2.8000000000000001E-2</v>
      </c>
      <c r="D5" s="46" t="s">
        <v>167</v>
      </c>
      <c r="E5" s="46" t="s">
        <v>167</v>
      </c>
      <c r="F5" s="5">
        <v>7.8E-2</v>
      </c>
      <c r="G5" s="5">
        <v>0.11799999999999999</v>
      </c>
      <c r="H5" s="46" t="s">
        <v>167</v>
      </c>
      <c r="I5" s="5">
        <v>1.052</v>
      </c>
      <c r="J5" s="46" t="s">
        <v>167</v>
      </c>
      <c r="K5" s="46">
        <v>0.04</v>
      </c>
    </row>
    <row r="6" spans="1:11" x14ac:dyDescent="0.25">
      <c r="A6" s="205"/>
      <c r="B6" s="39" t="s">
        <v>12</v>
      </c>
      <c r="C6" s="76">
        <v>5.2999999999999999E-2</v>
      </c>
      <c r="D6" s="76" t="s">
        <v>167</v>
      </c>
      <c r="E6" s="46" t="s">
        <v>167</v>
      </c>
      <c r="F6" s="76">
        <v>0.19</v>
      </c>
      <c r="G6" s="76">
        <v>0.26</v>
      </c>
      <c r="H6" s="76" t="s">
        <v>167</v>
      </c>
      <c r="I6" s="76">
        <v>1.5609999999999999</v>
      </c>
      <c r="J6" s="76" t="s">
        <v>167</v>
      </c>
      <c r="K6" s="76">
        <v>7.8E-2</v>
      </c>
    </row>
    <row r="7" spans="1:11" x14ac:dyDescent="0.25">
      <c r="A7" s="205" t="s">
        <v>87</v>
      </c>
      <c r="B7" s="47" t="s">
        <v>22</v>
      </c>
      <c r="C7" s="5">
        <v>14.852</v>
      </c>
      <c r="D7" s="5">
        <v>7.29</v>
      </c>
      <c r="E7" s="5">
        <v>36.548999999999999</v>
      </c>
      <c r="F7" s="5">
        <v>14.702999999999999</v>
      </c>
      <c r="G7" s="5">
        <v>18.478999999999999</v>
      </c>
      <c r="H7" s="5">
        <v>6.1689999999999996</v>
      </c>
      <c r="I7" s="5">
        <v>35.045000000000002</v>
      </c>
      <c r="J7" s="5">
        <v>35.115000000000002</v>
      </c>
      <c r="K7" s="5">
        <v>21.867000000000001</v>
      </c>
    </row>
    <row r="8" spans="1:11" ht="22.5" customHeight="1" x14ac:dyDescent="0.25">
      <c r="A8" s="205"/>
      <c r="B8" s="47" t="s">
        <v>23</v>
      </c>
      <c r="C8" s="5">
        <v>0.70099999999999996</v>
      </c>
      <c r="D8" s="5">
        <v>0.81399999999999995</v>
      </c>
      <c r="E8" s="5">
        <v>1.482</v>
      </c>
      <c r="F8" s="5">
        <v>0.55300000000000005</v>
      </c>
      <c r="G8" s="5">
        <v>0.82499999999999996</v>
      </c>
      <c r="H8" s="5">
        <v>1.6930000000000001</v>
      </c>
      <c r="I8" s="5">
        <v>2.2080000000000002</v>
      </c>
      <c r="J8" s="5">
        <v>1.254</v>
      </c>
      <c r="K8" s="5">
        <v>0.93100000000000005</v>
      </c>
    </row>
    <row r="9" spans="1:11" x14ac:dyDescent="0.25">
      <c r="A9" s="205"/>
      <c r="B9" s="39" t="s">
        <v>12</v>
      </c>
      <c r="C9" s="76">
        <v>1.762</v>
      </c>
      <c r="D9" s="76">
        <v>0.95299999999999996</v>
      </c>
      <c r="E9" s="76">
        <v>4.5679999999999996</v>
      </c>
      <c r="F9" s="76">
        <v>1.5329999999999999</v>
      </c>
      <c r="G9" s="76">
        <v>1.7909999999999999</v>
      </c>
      <c r="H9" s="76">
        <v>2.1970000000000001</v>
      </c>
      <c r="I9" s="76">
        <v>3.2679999999999998</v>
      </c>
      <c r="J9" s="76">
        <v>15.363</v>
      </c>
      <c r="K9" s="76">
        <v>2.3149999999999999</v>
      </c>
    </row>
    <row r="10" spans="1:11" x14ac:dyDescent="0.25">
      <c r="A10" s="231" t="s">
        <v>112</v>
      </c>
      <c r="B10" s="37" t="s">
        <v>22</v>
      </c>
      <c r="C10" s="38">
        <v>15.148999999999999</v>
      </c>
      <c r="D10" s="38">
        <v>7.29</v>
      </c>
      <c r="E10" s="38">
        <v>36.606999999999999</v>
      </c>
      <c r="F10" s="38">
        <v>16.065999999999999</v>
      </c>
      <c r="G10" s="38">
        <v>20.433</v>
      </c>
      <c r="H10" s="38">
        <v>6.1689999999999996</v>
      </c>
      <c r="I10" s="38">
        <v>51.854999999999997</v>
      </c>
      <c r="J10" s="38">
        <v>35.115000000000002</v>
      </c>
      <c r="K10" s="38">
        <v>22.36</v>
      </c>
    </row>
    <row r="11" spans="1:11" ht="22.5" customHeight="1" x14ac:dyDescent="0.25">
      <c r="A11" s="231"/>
      <c r="B11" s="37" t="s">
        <v>23</v>
      </c>
      <c r="C11" s="38">
        <v>0.72499999999999998</v>
      </c>
      <c r="D11" s="38">
        <v>0.81399999999999995</v>
      </c>
      <c r="E11" s="38">
        <v>1.4850000000000001</v>
      </c>
      <c r="F11" s="38">
        <v>0.60899999999999999</v>
      </c>
      <c r="G11" s="38">
        <v>0.92700000000000005</v>
      </c>
      <c r="H11" s="38">
        <v>1.6930000000000001</v>
      </c>
      <c r="I11" s="38">
        <v>3.2610000000000001</v>
      </c>
      <c r="J11" s="38">
        <v>1.254</v>
      </c>
      <c r="K11" s="38">
        <v>0.96599999999999997</v>
      </c>
    </row>
    <row r="12" spans="1:11" x14ac:dyDescent="0.25">
      <c r="A12" s="231"/>
      <c r="B12" s="64" t="s">
        <v>12</v>
      </c>
      <c r="C12" s="49">
        <v>1.8080000000000001</v>
      </c>
      <c r="D12" s="49">
        <v>0.95299999999999996</v>
      </c>
      <c r="E12" s="49">
        <v>4.5759999999999996</v>
      </c>
      <c r="F12" s="49">
        <v>1.68</v>
      </c>
      <c r="G12" s="49">
        <v>1.9930000000000001</v>
      </c>
      <c r="H12" s="49">
        <v>2.1970000000000001</v>
      </c>
      <c r="I12" s="49">
        <v>4.8289999999999997</v>
      </c>
      <c r="J12" s="49">
        <v>15.363</v>
      </c>
      <c r="K12" s="49">
        <v>2.38</v>
      </c>
    </row>
    <row r="13" spans="1:11" x14ac:dyDescent="0.25">
      <c r="A13" s="205" t="s">
        <v>89</v>
      </c>
      <c r="B13" s="47" t="s">
        <v>22</v>
      </c>
      <c r="C13" s="5">
        <v>3.839</v>
      </c>
      <c r="D13" s="5">
        <v>0.82799999999999996</v>
      </c>
      <c r="E13" s="5">
        <v>5.1020000000000003</v>
      </c>
      <c r="F13" s="5">
        <v>5.9370000000000003</v>
      </c>
      <c r="G13" s="5">
        <v>1.032</v>
      </c>
      <c r="H13" s="5">
        <v>1.6639999999999999</v>
      </c>
      <c r="I13" s="46" t="s">
        <v>167</v>
      </c>
      <c r="J13" s="5">
        <v>22.946000000000002</v>
      </c>
      <c r="K13" s="5">
        <v>5.1989999999999998</v>
      </c>
    </row>
    <row r="14" spans="1:11" ht="22.5" customHeight="1" x14ac:dyDescent="0.25">
      <c r="A14" s="205"/>
      <c r="B14" s="47" t="s">
        <v>23</v>
      </c>
      <c r="C14" s="5">
        <v>0.13500000000000001</v>
      </c>
      <c r="D14" s="5">
        <v>0.113</v>
      </c>
      <c r="E14" s="5">
        <v>9.5000000000000001E-2</v>
      </c>
      <c r="F14" s="5">
        <v>0.40500000000000003</v>
      </c>
      <c r="G14" s="5">
        <v>0.13600000000000001</v>
      </c>
      <c r="H14" s="5">
        <v>0.33600000000000002</v>
      </c>
      <c r="I14" s="5">
        <v>0.20399999999999999</v>
      </c>
      <c r="J14" s="5">
        <v>0.32100000000000001</v>
      </c>
      <c r="K14" s="5">
        <v>0.157</v>
      </c>
    </row>
    <row r="15" spans="1:11" x14ac:dyDescent="0.25">
      <c r="A15" s="205"/>
      <c r="B15" s="39" t="s">
        <v>12</v>
      </c>
      <c r="C15" s="76">
        <v>0.41399999999999998</v>
      </c>
      <c r="D15" s="76">
        <v>0.128</v>
      </c>
      <c r="E15" s="76">
        <v>0.53500000000000003</v>
      </c>
      <c r="F15" s="76">
        <v>0.78800000000000003</v>
      </c>
      <c r="G15" s="76">
        <v>0.184</v>
      </c>
      <c r="H15" s="76">
        <v>0.48599999999999999</v>
      </c>
      <c r="I15" s="76">
        <v>0.19800000000000001</v>
      </c>
      <c r="J15" s="76">
        <v>9.7889999999999997</v>
      </c>
      <c r="K15" s="76">
        <v>0.49099999999999999</v>
      </c>
    </row>
    <row r="16" spans="1:11" x14ac:dyDescent="0.25">
      <c r="A16" s="205" t="s">
        <v>12</v>
      </c>
      <c r="B16" s="47" t="s">
        <v>22</v>
      </c>
      <c r="C16" s="5">
        <v>18.927</v>
      </c>
      <c r="D16" s="5">
        <v>8.1140000000000008</v>
      </c>
      <c r="E16" s="5">
        <v>40.65</v>
      </c>
      <c r="F16" s="5">
        <v>21.923999999999999</v>
      </c>
      <c r="G16" s="5">
        <v>21.393000000000001</v>
      </c>
      <c r="H16" s="5">
        <v>7.7649999999999997</v>
      </c>
      <c r="I16" s="5">
        <v>51.854999999999997</v>
      </c>
      <c r="J16" s="5">
        <v>35.119999999999997</v>
      </c>
      <c r="K16" s="5">
        <v>25.73</v>
      </c>
    </row>
    <row r="17" spans="1:11" ht="22.5" customHeight="1" x14ac:dyDescent="0.25">
      <c r="A17" s="205"/>
      <c r="B17" s="47" t="s">
        <v>23</v>
      </c>
      <c r="C17" s="5">
        <v>0.85799999999999998</v>
      </c>
      <c r="D17" s="5">
        <v>0.95299999999999996</v>
      </c>
      <c r="E17" s="5">
        <v>1.5429999999999999</v>
      </c>
      <c r="F17" s="5">
        <v>1.012</v>
      </c>
      <c r="G17" s="5">
        <v>1.0349999999999999</v>
      </c>
      <c r="H17" s="5">
        <v>1.9990000000000001</v>
      </c>
      <c r="I17" s="5">
        <v>3.4649999999999999</v>
      </c>
      <c r="J17" s="5">
        <v>1.254</v>
      </c>
      <c r="K17" s="5">
        <v>1.1160000000000001</v>
      </c>
    </row>
    <row r="18" spans="1:11" x14ac:dyDescent="0.25">
      <c r="A18" s="205"/>
      <c r="B18" s="39" t="s">
        <v>12</v>
      </c>
      <c r="C18" s="76">
        <v>2.2160000000000002</v>
      </c>
      <c r="D18" s="76">
        <v>1.1060000000000001</v>
      </c>
      <c r="E18" s="76">
        <v>4.984</v>
      </c>
      <c r="F18" s="76">
        <v>2.46</v>
      </c>
      <c r="G18" s="76">
        <v>2.1469999999999998</v>
      </c>
      <c r="H18" s="76">
        <v>2.649</v>
      </c>
      <c r="I18" s="76">
        <v>5.0259999999999998</v>
      </c>
      <c r="J18" s="76">
        <v>15.364000000000001</v>
      </c>
      <c r="K18" s="76">
        <v>2.7440000000000002</v>
      </c>
    </row>
    <row r="19" spans="1:11" ht="1.5" customHeight="1" x14ac:dyDescent="0.25">
      <c r="A19" s="2"/>
    </row>
    <row r="20" spans="1:11" ht="11.1" customHeight="1" x14ac:dyDescent="0.25">
      <c r="A20" s="206" t="s">
        <v>18</v>
      </c>
      <c r="B20" s="206"/>
      <c r="C20" s="206"/>
      <c r="D20" s="206"/>
      <c r="E20" s="206"/>
      <c r="F20" s="206"/>
      <c r="G20" s="206"/>
      <c r="H20" s="206"/>
      <c r="I20" s="206"/>
      <c r="J20" s="206"/>
      <c r="K20" s="207"/>
    </row>
    <row r="21" spans="1:11" s="6" customFormat="1" ht="11.1" customHeight="1" x14ac:dyDescent="0.15">
      <c r="A21" s="6" t="s">
        <v>27</v>
      </c>
    </row>
    <row r="22" spans="1:11" s="6" customFormat="1" ht="11.1" customHeight="1" x14ac:dyDescent="0.15">
      <c r="A22" s="6" t="s">
        <v>28</v>
      </c>
    </row>
    <row r="23" spans="1:11" s="6" customFormat="1" ht="18" customHeight="1" x14ac:dyDescent="0.15">
      <c r="A23" s="199" t="s">
        <v>29</v>
      </c>
      <c r="B23" s="199"/>
      <c r="C23" s="199"/>
      <c r="D23" s="199"/>
      <c r="E23" s="199"/>
      <c r="F23" s="199"/>
      <c r="G23" s="199"/>
      <c r="H23" s="199"/>
      <c r="I23" s="199"/>
      <c r="J23" s="199"/>
      <c r="K23" s="199"/>
    </row>
    <row r="24" spans="1:11" s="6" customFormat="1" ht="9" x14ac:dyDescent="0.15">
      <c r="A24" s="6" t="s">
        <v>290</v>
      </c>
      <c r="B24" s="122"/>
      <c r="C24" s="122"/>
      <c r="D24" s="122"/>
      <c r="E24" s="122"/>
      <c r="F24" s="122"/>
      <c r="G24" s="122"/>
      <c r="H24" s="122"/>
      <c r="I24" s="122"/>
      <c r="J24" s="122"/>
      <c r="K24" s="122"/>
    </row>
    <row r="25" spans="1:11" s="6" customFormat="1" ht="11.1" customHeight="1" x14ac:dyDescent="0.15">
      <c r="A25" s="6" t="s">
        <v>16</v>
      </c>
    </row>
    <row r="26" spans="1:11" s="6" customFormat="1" ht="11.1" customHeight="1" x14ac:dyDescent="0.15">
      <c r="A26" s="6" t="s">
        <v>260</v>
      </c>
    </row>
    <row r="27" spans="1:11" ht="12" customHeight="1" x14ac:dyDescent="0.25">
      <c r="A27" s="2"/>
    </row>
    <row r="28" spans="1:11" ht="27.95" customHeight="1" x14ac:dyDescent="0.25">
      <c r="A28" s="198" t="s">
        <v>330</v>
      </c>
      <c r="B28" s="198"/>
      <c r="C28" s="198"/>
      <c r="D28" s="198"/>
      <c r="E28" s="198"/>
      <c r="F28" s="198"/>
      <c r="G28" s="198"/>
      <c r="H28" s="198"/>
      <c r="I28" s="198"/>
      <c r="J28" s="198"/>
      <c r="K28" s="198"/>
    </row>
    <row r="29" spans="1:11" ht="12" hidden="1" customHeight="1" x14ac:dyDescent="0.25">
      <c r="A29" s="2"/>
    </row>
    <row r="30" spans="1:11" x14ac:dyDescent="0.25">
      <c r="A30" s="65" t="s">
        <v>145</v>
      </c>
      <c r="B30" s="65" t="s">
        <v>186</v>
      </c>
      <c r="C30" s="3" t="s">
        <v>1</v>
      </c>
      <c r="D30" s="3" t="s">
        <v>2</v>
      </c>
      <c r="E30" s="3" t="s">
        <v>3</v>
      </c>
      <c r="F30" s="3" t="s">
        <v>4</v>
      </c>
      <c r="G30" s="3" t="s">
        <v>5</v>
      </c>
      <c r="H30" s="3" t="s">
        <v>6</v>
      </c>
      <c r="I30" s="3" t="s">
        <v>7</v>
      </c>
      <c r="J30" s="3" t="s">
        <v>8</v>
      </c>
      <c r="K30" s="3" t="s">
        <v>9</v>
      </c>
    </row>
    <row r="31" spans="1:11" x14ac:dyDescent="0.25">
      <c r="A31" s="205" t="s">
        <v>86</v>
      </c>
      <c r="B31" s="47" t="s">
        <v>22</v>
      </c>
      <c r="C31" s="5">
        <v>41.6</v>
      </c>
      <c r="D31" s="46" t="s">
        <v>167</v>
      </c>
      <c r="E31" s="5">
        <v>15.263999999999999</v>
      </c>
      <c r="F31" s="5">
        <v>176.97800000000001</v>
      </c>
      <c r="G31" s="5">
        <v>164.33799999999999</v>
      </c>
      <c r="H31" s="46" t="s">
        <v>167</v>
      </c>
      <c r="I31" s="5">
        <v>264.96100000000001</v>
      </c>
      <c r="J31" s="46" t="s">
        <v>167</v>
      </c>
      <c r="K31" s="5">
        <v>50.57</v>
      </c>
    </row>
    <row r="32" spans="1:11" ht="22.5" customHeight="1" x14ac:dyDescent="0.25">
      <c r="A32" s="205"/>
      <c r="B32" s="47" t="s">
        <v>23</v>
      </c>
      <c r="C32" s="5">
        <v>3.0529999999999999</v>
      </c>
      <c r="D32" s="46" t="s">
        <v>167</v>
      </c>
      <c r="E32" s="5">
        <v>0.84799999999999998</v>
      </c>
      <c r="F32" s="5">
        <v>7.2640000000000002</v>
      </c>
      <c r="G32" s="5">
        <v>7.1239999999999997</v>
      </c>
      <c r="H32" s="46" t="s">
        <v>167</v>
      </c>
      <c r="I32" s="5">
        <v>16.145</v>
      </c>
      <c r="J32" s="46" t="s">
        <v>167</v>
      </c>
      <c r="K32" s="5">
        <v>2.6259999999999999</v>
      </c>
    </row>
    <row r="33" spans="1:11" x14ac:dyDescent="0.25">
      <c r="A33" s="205"/>
      <c r="B33" s="39" t="s">
        <v>12</v>
      </c>
      <c r="C33" s="76">
        <v>6.12</v>
      </c>
      <c r="D33" s="46" t="s">
        <v>167</v>
      </c>
      <c r="E33" s="76">
        <v>2.1150000000000002</v>
      </c>
      <c r="F33" s="76">
        <v>19.018000000000001</v>
      </c>
      <c r="G33" s="76">
        <v>15.618</v>
      </c>
      <c r="H33" s="46" t="s">
        <v>167</v>
      </c>
      <c r="I33" s="76">
        <v>24.172000000000001</v>
      </c>
      <c r="J33" s="76" t="s">
        <v>167</v>
      </c>
      <c r="K33" s="76">
        <v>5.8440000000000003</v>
      </c>
    </row>
    <row r="34" spans="1:11" x14ac:dyDescent="0.25">
      <c r="A34" s="205" t="s">
        <v>87</v>
      </c>
      <c r="B34" s="47" t="s">
        <v>22</v>
      </c>
      <c r="C34" s="5">
        <v>111.256</v>
      </c>
      <c r="D34" s="5">
        <v>35.1</v>
      </c>
      <c r="E34" s="5">
        <v>139.33600000000001</v>
      </c>
      <c r="F34" s="5">
        <v>180.345</v>
      </c>
      <c r="G34" s="5">
        <v>138.16900000000001</v>
      </c>
      <c r="H34" s="5">
        <v>36.131</v>
      </c>
      <c r="I34" s="5">
        <v>155.322</v>
      </c>
      <c r="J34" s="5">
        <v>277.55799999999999</v>
      </c>
      <c r="K34" s="5">
        <v>131.42500000000001</v>
      </c>
    </row>
    <row r="35" spans="1:11" ht="22.5" customHeight="1" x14ac:dyDescent="0.25">
      <c r="A35" s="205"/>
      <c r="B35" s="47" t="s">
        <v>23</v>
      </c>
      <c r="C35" s="5">
        <v>7.3929999999999998</v>
      </c>
      <c r="D35" s="5">
        <v>4.5439999999999996</v>
      </c>
      <c r="E35" s="5">
        <v>5.9960000000000004</v>
      </c>
      <c r="F35" s="5">
        <v>6.7990000000000004</v>
      </c>
      <c r="G35" s="5">
        <v>6.4710000000000001</v>
      </c>
      <c r="H35" s="5">
        <v>9.1750000000000007</v>
      </c>
      <c r="I35" s="5">
        <v>8.2249999999999996</v>
      </c>
      <c r="J35" s="5">
        <v>6.1749999999999998</v>
      </c>
      <c r="K35" s="5">
        <v>6.26</v>
      </c>
    </row>
    <row r="36" spans="1:11" x14ac:dyDescent="0.25">
      <c r="A36" s="205"/>
      <c r="B36" s="39" t="s">
        <v>12</v>
      </c>
      <c r="C36" s="76">
        <v>15.62</v>
      </c>
      <c r="D36" s="76">
        <v>5.2130000000000001</v>
      </c>
      <c r="E36" s="76">
        <v>17.765999999999998</v>
      </c>
      <c r="F36" s="76">
        <v>18.818000000000001</v>
      </c>
      <c r="G36" s="76">
        <v>13.651</v>
      </c>
      <c r="H36" s="76">
        <v>12.212</v>
      </c>
      <c r="I36" s="76">
        <v>12.971</v>
      </c>
      <c r="J36" s="76">
        <v>119.294</v>
      </c>
      <c r="K36" s="76">
        <v>14.683</v>
      </c>
    </row>
    <row r="37" spans="1:11" x14ac:dyDescent="0.25">
      <c r="A37" s="231" t="s">
        <v>112</v>
      </c>
      <c r="B37" s="37" t="s">
        <v>22</v>
      </c>
      <c r="C37" s="38">
        <v>122.866</v>
      </c>
      <c r="D37" s="38">
        <v>35.1</v>
      </c>
      <c r="E37" s="38">
        <v>140.90199999999999</v>
      </c>
      <c r="F37" s="38">
        <v>253.44499999999999</v>
      </c>
      <c r="G37" s="38">
        <v>190.506</v>
      </c>
      <c r="H37" s="8" t="s">
        <v>174</v>
      </c>
      <c r="I37" s="8" t="s">
        <v>174</v>
      </c>
      <c r="J37" s="38">
        <v>277.55799999999999</v>
      </c>
      <c r="K37" s="38">
        <v>148.41399999999999</v>
      </c>
    </row>
    <row r="38" spans="1:11" ht="15" customHeight="1" x14ac:dyDescent="0.25">
      <c r="A38" s="231"/>
      <c r="B38" s="37" t="s">
        <v>23</v>
      </c>
      <c r="C38" s="38">
        <v>8.3680000000000003</v>
      </c>
      <c r="D38" s="38">
        <v>4.5439999999999996</v>
      </c>
      <c r="E38" s="38">
        <v>6.1660000000000004</v>
      </c>
      <c r="F38" s="38">
        <v>9.1969999999999992</v>
      </c>
      <c r="G38" s="38">
        <v>9.0229999999999997</v>
      </c>
      <c r="H38" s="8" t="s">
        <v>174</v>
      </c>
      <c r="I38" s="8" t="s">
        <v>174</v>
      </c>
      <c r="J38" s="38">
        <v>6.1749999999999998</v>
      </c>
      <c r="K38" s="38">
        <v>7.1879999999999997</v>
      </c>
    </row>
    <row r="39" spans="1:11" x14ac:dyDescent="0.25">
      <c r="A39" s="231"/>
      <c r="B39" s="64" t="s">
        <v>12</v>
      </c>
      <c r="C39" s="49">
        <v>17.483000000000001</v>
      </c>
      <c r="D39" s="49">
        <v>5.2130000000000001</v>
      </c>
      <c r="E39" s="49">
        <v>18.058</v>
      </c>
      <c r="F39" s="49">
        <v>26.111999999999998</v>
      </c>
      <c r="G39" s="49">
        <v>18.931999999999999</v>
      </c>
      <c r="H39" s="49">
        <v>12.212</v>
      </c>
      <c r="I39" s="49">
        <v>29.184000000000001</v>
      </c>
      <c r="J39" s="49">
        <v>119.294</v>
      </c>
      <c r="K39" s="49">
        <v>16.702000000000002</v>
      </c>
    </row>
    <row r="40" spans="1:11" x14ac:dyDescent="0.25">
      <c r="A40" s="231" t="s">
        <v>89</v>
      </c>
      <c r="B40" s="47" t="s">
        <v>22</v>
      </c>
      <c r="C40" s="5">
        <v>17.898</v>
      </c>
      <c r="D40" s="5">
        <v>5.0140000000000002</v>
      </c>
      <c r="E40" s="5">
        <v>26.614999999999998</v>
      </c>
      <c r="F40" s="5">
        <v>28.855</v>
      </c>
      <c r="G40" s="5">
        <v>16.748000000000001</v>
      </c>
      <c r="H40" s="8" t="s">
        <v>174</v>
      </c>
      <c r="I40" s="8" t="s">
        <v>174</v>
      </c>
      <c r="J40" s="5">
        <v>130.874</v>
      </c>
      <c r="K40" s="5">
        <v>27.614999999999998</v>
      </c>
    </row>
    <row r="41" spans="1:11" ht="15.75" customHeight="1" x14ac:dyDescent="0.25">
      <c r="A41" s="231"/>
      <c r="B41" s="47" t="s">
        <v>23</v>
      </c>
      <c r="C41" s="5">
        <v>0.67600000000000005</v>
      </c>
      <c r="D41" s="5">
        <v>0.44400000000000001</v>
      </c>
      <c r="E41" s="5">
        <v>0.54700000000000004</v>
      </c>
      <c r="F41" s="5">
        <v>1.4670000000000001</v>
      </c>
      <c r="G41" s="5">
        <v>0.83099999999999996</v>
      </c>
      <c r="H41" s="8" t="s">
        <v>174</v>
      </c>
      <c r="I41" s="8" t="s">
        <v>174</v>
      </c>
      <c r="J41" s="46">
        <v>3.7050000000000001</v>
      </c>
      <c r="K41" s="5">
        <v>0.73599999999999999</v>
      </c>
    </row>
    <row r="42" spans="1:11" x14ac:dyDescent="0.25">
      <c r="A42" s="231"/>
      <c r="B42" s="39" t="s">
        <v>12</v>
      </c>
      <c r="C42" s="76">
        <v>1.984</v>
      </c>
      <c r="D42" s="76">
        <v>0.53900000000000003</v>
      </c>
      <c r="E42" s="76">
        <v>2.8380000000000001</v>
      </c>
      <c r="F42" s="76">
        <v>3.3639999999999999</v>
      </c>
      <c r="G42" s="76">
        <v>1.6850000000000001</v>
      </c>
      <c r="H42" s="81" t="s">
        <v>174</v>
      </c>
      <c r="I42" s="81" t="s">
        <v>174</v>
      </c>
      <c r="J42" s="76">
        <v>56.927</v>
      </c>
      <c r="K42" s="76">
        <v>2.52</v>
      </c>
    </row>
    <row r="43" spans="1:11" x14ac:dyDescent="0.25">
      <c r="A43" s="205" t="s">
        <v>12</v>
      </c>
      <c r="B43" s="47" t="s">
        <v>22</v>
      </c>
      <c r="C43" s="5">
        <v>124.15600000000001</v>
      </c>
      <c r="D43" s="5">
        <v>35.1</v>
      </c>
      <c r="E43" s="5">
        <v>141.684</v>
      </c>
      <c r="F43" s="5">
        <v>258.25400000000002</v>
      </c>
      <c r="G43" s="5">
        <v>191.553</v>
      </c>
      <c r="H43" s="5">
        <v>39.414999999999999</v>
      </c>
      <c r="I43" s="5">
        <v>310.64400000000001</v>
      </c>
      <c r="J43" s="5">
        <v>278.43700000000001</v>
      </c>
      <c r="K43" s="5">
        <v>149.89099999999999</v>
      </c>
    </row>
    <row r="44" spans="1:11" ht="22.5" customHeight="1" x14ac:dyDescent="0.25">
      <c r="A44" s="205"/>
      <c r="B44" s="47" t="s">
        <v>23</v>
      </c>
      <c r="C44" s="5">
        <v>8.4589999999999996</v>
      </c>
      <c r="D44" s="5">
        <v>4.59</v>
      </c>
      <c r="E44" s="5">
        <v>6.1849999999999996</v>
      </c>
      <c r="F44" s="5">
        <v>9.7330000000000005</v>
      </c>
      <c r="G44" s="5">
        <v>9.0830000000000002</v>
      </c>
      <c r="H44" s="5">
        <v>9.5920000000000005</v>
      </c>
      <c r="I44" s="5">
        <v>19.8</v>
      </c>
      <c r="J44" s="5">
        <v>6.1749999999999998</v>
      </c>
      <c r="K44" s="5">
        <v>7.3040000000000003</v>
      </c>
    </row>
    <row r="45" spans="1:11" x14ac:dyDescent="0.25">
      <c r="A45" s="210"/>
      <c r="B45" s="56" t="s">
        <v>12</v>
      </c>
      <c r="C45" s="144">
        <v>17.675999999999998</v>
      </c>
      <c r="D45" s="144">
        <v>5.258</v>
      </c>
      <c r="E45" s="144">
        <v>18.143999999999998</v>
      </c>
      <c r="F45" s="144">
        <v>26.945</v>
      </c>
      <c r="G45" s="144">
        <v>19.044</v>
      </c>
      <c r="H45" s="144">
        <v>12.952</v>
      </c>
      <c r="I45" s="144">
        <v>29.184000000000001</v>
      </c>
      <c r="J45" s="144">
        <v>119.65600000000001</v>
      </c>
      <c r="K45" s="144">
        <v>16.911999999999999</v>
      </c>
    </row>
    <row r="46" spans="1:11" ht="12" customHeight="1" x14ac:dyDescent="0.25">
      <c r="A46" s="6" t="s">
        <v>220</v>
      </c>
    </row>
    <row r="47" spans="1:11" ht="11.1" customHeight="1" x14ac:dyDescent="0.25">
      <c r="A47" s="202" t="s">
        <v>18</v>
      </c>
      <c r="B47" s="202"/>
      <c r="C47" s="202"/>
      <c r="D47" s="202"/>
      <c r="E47" s="202"/>
      <c r="F47" s="202"/>
      <c r="G47" s="202"/>
      <c r="H47" s="202"/>
      <c r="I47" s="202"/>
      <c r="J47" s="202"/>
      <c r="K47" s="202"/>
    </row>
    <row r="48" spans="1:11" s="6" customFormat="1" ht="11.1" customHeight="1" x14ac:dyDescent="0.15">
      <c r="A48" s="6" t="s">
        <v>27</v>
      </c>
    </row>
    <row r="49" spans="1:1" s="6" customFormat="1" ht="11.1" customHeight="1" x14ac:dyDescent="0.15">
      <c r="A49" s="6" t="s">
        <v>28</v>
      </c>
    </row>
    <row r="50" spans="1:1" s="6" customFormat="1" ht="11.1" customHeight="1" x14ac:dyDescent="0.15">
      <c r="A50" s="6" t="s">
        <v>30</v>
      </c>
    </row>
    <row r="51" spans="1:1" s="6" customFormat="1" ht="11.1" customHeight="1" x14ac:dyDescent="0.15">
      <c r="A51" s="6" t="s">
        <v>290</v>
      </c>
    </row>
    <row r="52" spans="1:1" s="6" customFormat="1" ht="11.1" customHeight="1" x14ac:dyDescent="0.15">
      <c r="A52" s="6" t="s">
        <v>16</v>
      </c>
    </row>
    <row r="53" spans="1:1" s="6" customFormat="1" ht="11.1" customHeight="1" x14ac:dyDescent="0.15">
      <c r="A53" s="6" t="s">
        <v>261</v>
      </c>
    </row>
    <row r="54" spans="1:1" ht="12" customHeight="1" x14ac:dyDescent="0.25">
      <c r="A54" s="2"/>
    </row>
  </sheetData>
  <mergeCells count="15">
    <mergeCell ref="A13:A15"/>
    <mergeCell ref="A1:K1"/>
    <mergeCell ref="A4:A6"/>
    <mergeCell ref="A7:A9"/>
    <mergeCell ref="A10:A12"/>
    <mergeCell ref="A37:A39"/>
    <mergeCell ref="A40:A42"/>
    <mergeCell ref="A43:A45"/>
    <mergeCell ref="A47:K47"/>
    <mergeCell ref="A16:A18"/>
    <mergeCell ref="A20:K20"/>
    <mergeCell ref="A28:K28"/>
    <mergeCell ref="A31:A33"/>
    <mergeCell ref="A34:A36"/>
    <mergeCell ref="A23:K23"/>
  </mergeCells>
  <pageMargins left="0.08" right="0.08" top="1" bottom="1" header="0.5" footer="0.5"/>
  <pageSetup orientation="landscape" blackAndWhite="1"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K36"/>
  <sheetViews>
    <sheetView zoomScaleNormal="100" workbookViewId="0">
      <selection activeCell="K23" sqref="K23"/>
    </sheetView>
  </sheetViews>
  <sheetFormatPr defaultColWidth="9.140625" defaultRowHeight="15" x14ac:dyDescent="0.25"/>
  <cols>
    <col min="1" max="11" width="11.42578125" style="1" bestFit="1" customWidth="1"/>
    <col min="12" max="16384" width="9.140625" style="1"/>
  </cols>
  <sheetData>
    <row r="1" spans="1:11" ht="22.5" customHeight="1" x14ac:dyDescent="0.25">
      <c r="A1" s="200" t="s">
        <v>331</v>
      </c>
      <c r="B1" s="200"/>
      <c r="C1" s="200"/>
      <c r="D1" s="200"/>
      <c r="E1" s="200"/>
      <c r="F1" s="200"/>
      <c r="G1" s="200"/>
      <c r="H1" s="200"/>
      <c r="I1" s="200"/>
      <c r="J1" s="200"/>
      <c r="K1" s="200"/>
    </row>
    <row r="2" spans="1:11" ht="0.75" customHeight="1" x14ac:dyDescent="0.25">
      <c r="A2" s="2"/>
    </row>
    <row r="3" spans="1:11" x14ac:dyDescent="0.25">
      <c r="A3" s="52" t="s">
        <v>197</v>
      </c>
      <c r="B3" s="3" t="s">
        <v>1</v>
      </c>
      <c r="C3" s="3" t="s">
        <v>2</v>
      </c>
      <c r="D3" s="3" t="s">
        <v>3</v>
      </c>
      <c r="E3" s="3" t="s">
        <v>4</v>
      </c>
      <c r="F3" s="3" t="s">
        <v>5</v>
      </c>
      <c r="G3" s="3" t="s">
        <v>6</v>
      </c>
      <c r="H3" s="3" t="s">
        <v>7</v>
      </c>
      <c r="I3" s="3" t="s">
        <v>8</v>
      </c>
      <c r="J3" s="3" t="s">
        <v>9</v>
      </c>
    </row>
    <row r="4" spans="1:11" x14ac:dyDescent="0.25">
      <c r="A4" s="232" t="s">
        <v>112</v>
      </c>
      <c r="B4" s="232"/>
      <c r="C4" s="232"/>
      <c r="D4" s="232"/>
      <c r="E4" s="232"/>
      <c r="F4" s="232"/>
      <c r="G4" s="232"/>
      <c r="H4" s="232"/>
      <c r="I4" s="232"/>
      <c r="J4" s="232"/>
    </row>
    <row r="5" spans="1:11" x14ac:dyDescent="0.25">
      <c r="A5" s="4" t="s">
        <v>100</v>
      </c>
      <c r="B5" s="5">
        <v>179.1</v>
      </c>
      <c r="C5" s="5">
        <v>66.5</v>
      </c>
      <c r="D5" s="5">
        <v>266.2</v>
      </c>
      <c r="E5" s="5">
        <v>36.5</v>
      </c>
      <c r="F5" s="5">
        <v>31.5</v>
      </c>
      <c r="G5" s="5">
        <v>5.4</v>
      </c>
      <c r="H5" s="5">
        <v>16.2</v>
      </c>
      <c r="I5" s="5">
        <v>42.9</v>
      </c>
      <c r="J5" s="5">
        <v>644.29999999999995</v>
      </c>
    </row>
    <row r="6" spans="1:11" x14ac:dyDescent="0.25">
      <c r="A6" s="4" t="s">
        <v>101</v>
      </c>
      <c r="B6" s="5">
        <v>164.1</v>
      </c>
      <c r="C6" s="5">
        <v>71.099999999999994</v>
      </c>
      <c r="D6" s="5">
        <v>264.60000000000002</v>
      </c>
      <c r="E6" s="5">
        <v>35.799999999999997</v>
      </c>
      <c r="F6" s="5">
        <v>28.7</v>
      </c>
      <c r="G6" s="5">
        <v>9.1</v>
      </c>
      <c r="H6" s="5">
        <v>10.6</v>
      </c>
      <c r="I6" s="5">
        <v>37.700000000000003</v>
      </c>
      <c r="J6" s="5">
        <v>621.70000000000005</v>
      </c>
    </row>
    <row r="7" spans="1:11" x14ac:dyDescent="0.25">
      <c r="A7" s="4" t="s">
        <v>102</v>
      </c>
      <c r="B7" s="5">
        <v>153.9</v>
      </c>
      <c r="C7" s="5">
        <v>73.099999999999994</v>
      </c>
      <c r="D7" s="5">
        <v>275.3</v>
      </c>
      <c r="E7" s="5">
        <v>40.9</v>
      </c>
      <c r="F7" s="5">
        <v>30.9</v>
      </c>
      <c r="G7" s="5">
        <v>11.4</v>
      </c>
      <c r="H7" s="5">
        <v>12.9</v>
      </c>
      <c r="I7" s="5">
        <v>30.4</v>
      </c>
      <c r="J7" s="5">
        <v>628.79999999999995</v>
      </c>
    </row>
    <row r="8" spans="1:11" x14ac:dyDescent="0.25">
      <c r="A8" s="4" t="s">
        <v>103</v>
      </c>
      <c r="B8" s="5">
        <v>146.1</v>
      </c>
      <c r="C8" s="5">
        <v>75.400000000000006</v>
      </c>
      <c r="D8" s="5">
        <v>272.5</v>
      </c>
      <c r="E8" s="5">
        <v>50.8</v>
      </c>
      <c r="F8" s="5">
        <v>39.700000000000003</v>
      </c>
      <c r="G8" s="5">
        <v>13.8</v>
      </c>
      <c r="H8" s="5">
        <v>16.2</v>
      </c>
      <c r="I8" s="5">
        <v>40.9</v>
      </c>
      <c r="J8" s="5">
        <v>655.5</v>
      </c>
    </row>
    <row r="9" spans="1:11" x14ac:dyDescent="0.25">
      <c r="A9" s="4" t="s">
        <v>104</v>
      </c>
      <c r="B9" s="5">
        <v>154.1</v>
      </c>
      <c r="C9" s="5">
        <v>73.7</v>
      </c>
      <c r="D9" s="5">
        <v>276.8</v>
      </c>
      <c r="E9" s="5">
        <v>48.2</v>
      </c>
      <c r="F9" s="5">
        <v>36.799999999999997</v>
      </c>
      <c r="G9" s="5">
        <v>15</v>
      </c>
      <c r="H9" s="5">
        <v>15.4</v>
      </c>
      <c r="I9" s="5">
        <v>45.7</v>
      </c>
      <c r="J9" s="5">
        <v>665.8</v>
      </c>
    </row>
    <row r="10" spans="1:11" x14ac:dyDescent="0.25">
      <c r="A10" s="4" t="s">
        <v>105</v>
      </c>
      <c r="B10" s="5">
        <v>164.3</v>
      </c>
      <c r="C10" s="5">
        <v>63.1</v>
      </c>
      <c r="D10" s="5">
        <v>248.5</v>
      </c>
      <c r="E10" s="5">
        <v>40</v>
      </c>
      <c r="F10" s="5">
        <v>39.9</v>
      </c>
      <c r="G10" s="5">
        <v>15.7</v>
      </c>
      <c r="H10" s="5">
        <v>15</v>
      </c>
      <c r="I10" s="5">
        <v>41.5</v>
      </c>
      <c r="J10" s="5">
        <v>628</v>
      </c>
    </row>
    <row r="11" spans="1:11" x14ac:dyDescent="0.25">
      <c r="A11" s="4" t="s">
        <v>106</v>
      </c>
      <c r="B11" s="5">
        <v>192.6</v>
      </c>
      <c r="C11" s="5">
        <v>77.099999999999994</v>
      </c>
      <c r="D11" s="5">
        <v>287.39999999999998</v>
      </c>
      <c r="E11" s="5">
        <v>42.6</v>
      </c>
      <c r="F11" s="5">
        <v>49.6</v>
      </c>
      <c r="G11" s="5">
        <v>19.100000000000001</v>
      </c>
      <c r="H11" s="5">
        <v>15.9</v>
      </c>
      <c r="I11" s="5">
        <v>53.7</v>
      </c>
      <c r="J11" s="5">
        <v>738</v>
      </c>
    </row>
    <row r="12" spans="1:11" x14ac:dyDescent="0.25">
      <c r="A12" s="4" t="s">
        <v>107</v>
      </c>
      <c r="B12" s="5">
        <v>182.5</v>
      </c>
      <c r="C12" s="5">
        <v>73.3</v>
      </c>
      <c r="D12" s="5">
        <v>293.7</v>
      </c>
      <c r="E12" s="5">
        <v>65.3</v>
      </c>
      <c r="F12" s="5">
        <v>49.7</v>
      </c>
      <c r="G12" s="5">
        <v>15.4</v>
      </c>
      <c r="H12" s="5">
        <v>15.3</v>
      </c>
      <c r="I12" s="5">
        <v>47.4</v>
      </c>
      <c r="J12" s="5">
        <v>742.5</v>
      </c>
    </row>
    <row r="13" spans="1:11" x14ac:dyDescent="0.25">
      <c r="A13" s="4" t="s">
        <v>108</v>
      </c>
      <c r="B13" s="5">
        <v>174.7</v>
      </c>
      <c r="C13" s="5">
        <v>73.2</v>
      </c>
      <c r="D13" s="5">
        <v>292</v>
      </c>
      <c r="E13" s="5">
        <v>60.7</v>
      </c>
      <c r="F13" s="5">
        <v>47.8</v>
      </c>
      <c r="G13" s="5">
        <v>15.9</v>
      </c>
      <c r="H13" s="5">
        <v>22.9</v>
      </c>
      <c r="I13" s="5">
        <v>41.1</v>
      </c>
      <c r="J13" s="5">
        <v>728.3</v>
      </c>
    </row>
    <row r="14" spans="1:11" x14ac:dyDescent="0.25">
      <c r="A14" s="4" t="s">
        <v>109</v>
      </c>
      <c r="B14" s="5">
        <v>165.2</v>
      </c>
      <c r="C14" s="5">
        <v>96.2</v>
      </c>
      <c r="D14" s="5">
        <v>285.7</v>
      </c>
      <c r="E14" s="5">
        <v>71.8</v>
      </c>
      <c r="F14" s="5">
        <v>40.299999999999997</v>
      </c>
      <c r="G14" s="5">
        <v>14.1</v>
      </c>
      <c r="H14" s="5">
        <v>26.3</v>
      </c>
      <c r="I14" s="5">
        <v>52.6</v>
      </c>
      <c r="J14" s="5">
        <v>752.3</v>
      </c>
    </row>
    <row r="15" spans="1:11" x14ac:dyDescent="0.25">
      <c r="A15" s="4" t="s">
        <v>110</v>
      </c>
      <c r="B15" s="5">
        <v>170</v>
      </c>
      <c r="C15" s="5">
        <v>96.9</v>
      </c>
      <c r="D15" s="5">
        <v>270.3</v>
      </c>
      <c r="E15" s="5">
        <v>64</v>
      </c>
      <c r="F15" s="5">
        <v>35.9</v>
      </c>
      <c r="G15" s="5">
        <v>10.7</v>
      </c>
      <c r="H15" s="5">
        <v>24</v>
      </c>
      <c r="I15" s="5">
        <v>60.9</v>
      </c>
      <c r="J15" s="5">
        <v>732.7</v>
      </c>
    </row>
    <row r="16" spans="1:11" x14ac:dyDescent="0.25">
      <c r="A16" s="4" t="s">
        <v>111</v>
      </c>
      <c r="B16" s="5">
        <v>172.5</v>
      </c>
      <c r="C16" s="5">
        <v>90.1</v>
      </c>
      <c r="D16" s="5">
        <v>279.10000000000002</v>
      </c>
      <c r="E16" s="5">
        <v>57.7</v>
      </c>
      <c r="F16" s="5">
        <v>27.7</v>
      </c>
      <c r="G16" s="5">
        <v>14.9</v>
      </c>
      <c r="H16" s="5">
        <v>25.1</v>
      </c>
      <c r="I16" s="5">
        <v>63.9</v>
      </c>
      <c r="J16" s="5">
        <v>730.9</v>
      </c>
    </row>
    <row r="17" spans="1:11" x14ac:dyDescent="0.25">
      <c r="A17" s="233" t="s">
        <v>89</v>
      </c>
      <c r="B17" s="233"/>
      <c r="C17" s="233"/>
      <c r="D17" s="233"/>
      <c r="E17" s="233"/>
      <c r="F17" s="233"/>
      <c r="G17" s="233"/>
      <c r="H17" s="233"/>
      <c r="I17" s="233"/>
      <c r="J17" s="233"/>
    </row>
    <row r="18" spans="1:11" x14ac:dyDescent="0.25">
      <c r="A18" s="4" t="s">
        <v>100</v>
      </c>
      <c r="B18" s="5">
        <v>63.9</v>
      </c>
      <c r="C18" s="5">
        <v>39.799999999999997</v>
      </c>
      <c r="D18" s="5">
        <v>37.799999999999997</v>
      </c>
      <c r="E18" s="5">
        <v>32.799999999999997</v>
      </c>
      <c r="F18" s="5">
        <v>3.2</v>
      </c>
      <c r="G18" s="5">
        <v>6.3</v>
      </c>
      <c r="H18" s="5">
        <v>2</v>
      </c>
      <c r="I18" s="5">
        <v>23.7</v>
      </c>
      <c r="J18" s="5">
        <v>209.4</v>
      </c>
    </row>
    <row r="19" spans="1:11" x14ac:dyDescent="0.25">
      <c r="A19" s="4" t="s">
        <v>101</v>
      </c>
      <c r="B19" s="5">
        <v>66.900000000000006</v>
      </c>
      <c r="C19" s="5">
        <v>41.5</v>
      </c>
      <c r="D19" s="5">
        <v>34.799999999999997</v>
      </c>
      <c r="E19" s="5">
        <v>26.9</v>
      </c>
      <c r="F19" s="5">
        <v>3.6</v>
      </c>
      <c r="G19" s="5">
        <v>5</v>
      </c>
      <c r="H19" s="5">
        <v>2</v>
      </c>
      <c r="I19" s="5">
        <v>23.4</v>
      </c>
      <c r="J19" s="5">
        <v>204.1</v>
      </c>
    </row>
    <row r="20" spans="1:11" x14ac:dyDescent="0.25">
      <c r="A20" s="4" t="s">
        <v>102</v>
      </c>
      <c r="B20" s="5">
        <v>69.900000000000006</v>
      </c>
      <c r="C20" s="5">
        <v>45.5</v>
      </c>
      <c r="D20" s="5">
        <v>30.7</v>
      </c>
      <c r="E20" s="5">
        <v>26.1</v>
      </c>
      <c r="F20" s="5">
        <v>4.3</v>
      </c>
      <c r="G20" s="5">
        <v>2.4</v>
      </c>
      <c r="H20" s="5">
        <v>1.4</v>
      </c>
      <c r="I20" s="5">
        <v>20.100000000000001</v>
      </c>
      <c r="J20" s="5">
        <v>200.3</v>
      </c>
    </row>
    <row r="21" spans="1:11" x14ac:dyDescent="0.25">
      <c r="A21" s="4" t="s">
        <v>103</v>
      </c>
      <c r="B21" s="5">
        <v>61.7</v>
      </c>
      <c r="C21" s="5">
        <v>44.1</v>
      </c>
      <c r="D21" s="5">
        <v>26.6</v>
      </c>
      <c r="E21" s="5">
        <v>22.6</v>
      </c>
      <c r="F21" s="5">
        <v>4.2</v>
      </c>
      <c r="G21" s="5">
        <v>3</v>
      </c>
      <c r="H21" s="5">
        <v>0.6</v>
      </c>
      <c r="I21" s="5">
        <v>24.8</v>
      </c>
      <c r="J21" s="5">
        <v>187.8</v>
      </c>
    </row>
    <row r="22" spans="1:11" x14ac:dyDescent="0.25">
      <c r="A22" s="4" t="s">
        <v>104</v>
      </c>
      <c r="B22" s="5">
        <v>57.7</v>
      </c>
      <c r="C22" s="5">
        <v>42.4</v>
      </c>
      <c r="D22" s="5">
        <v>32.200000000000003</v>
      </c>
      <c r="E22" s="5">
        <v>21</v>
      </c>
      <c r="F22" s="5">
        <v>3.3</v>
      </c>
      <c r="G22" s="5">
        <v>1.1000000000000001</v>
      </c>
      <c r="H22" s="5">
        <v>1</v>
      </c>
      <c r="I22" s="5">
        <v>27.4</v>
      </c>
      <c r="J22" s="5">
        <v>186</v>
      </c>
    </row>
    <row r="23" spans="1:11" x14ac:dyDescent="0.25">
      <c r="A23" s="4" t="s">
        <v>105</v>
      </c>
      <c r="B23" s="5">
        <v>57.2</v>
      </c>
      <c r="C23" s="5">
        <v>43.2</v>
      </c>
      <c r="D23" s="5">
        <v>39.4</v>
      </c>
      <c r="E23" s="5">
        <v>25.6</v>
      </c>
      <c r="F23" s="5">
        <v>4</v>
      </c>
      <c r="G23" s="5">
        <v>0.5</v>
      </c>
      <c r="H23" s="5">
        <v>1</v>
      </c>
      <c r="I23" s="5">
        <v>27.6</v>
      </c>
      <c r="J23" s="5">
        <v>198.5</v>
      </c>
    </row>
    <row r="24" spans="1:11" x14ac:dyDescent="0.25">
      <c r="A24" s="4" t="s">
        <v>106</v>
      </c>
      <c r="B24" s="5">
        <v>54.7</v>
      </c>
      <c r="C24" s="5">
        <v>38.6</v>
      </c>
      <c r="D24" s="5">
        <v>36.6</v>
      </c>
      <c r="E24" s="5">
        <v>25.2</v>
      </c>
      <c r="F24" s="5">
        <v>4.5999999999999996</v>
      </c>
      <c r="G24" s="5">
        <v>0.3</v>
      </c>
      <c r="H24" s="5">
        <v>1</v>
      </c>
      <c r="I24" s="5">
        <v>31.9</v>
      </c>
      <c r="J24" s="5">
        <v>192.9</v>
      </c>
    </row>
    <row r="25" spans="1:11" x14ac:dyDescent="0.25">
      <c r="A25" s="4" t="s">
        <v>107</v>
      </c>
      <c r="B25" s="5">
        <v>62.3</v>
      </c>
      <c r="C25" s="5">
        <v>42.6</v>
      </c>
      <c r="D25" s="5">
        <v>31.7</v>
      </c>
      <c r="E25" s="5">
        <v>22.1</v>
      </c>
      <c r="F25" s="5">
        <v>4.9000000000000004</v>
      </c>
      <c r="G25" s="5">
        <v>1.2</v>
      </c>
      <c r="H25" s="5">
        <v>1</v>
      </c>
      <c r="I25" s="5">
        <v>26.8</v>
      </c>
      <c r="J25" s="5">
        <v>192.6</v>
      </c>
    </row>
    <row r="26" spans="1:11" x14ac:dyDescent="0.25">
      <c r="A26" s="4" t="s">
        <v>108</v>
      </c>
      <c r="B26" s="5">
        <v>67</v>
      </c>
      <c r="C26" s="5">
        <v>44.3</v>
      </c>
      <c r="D26" s="5">
        <v>31.2</v>
      </c>
      <c r="E26" s="5">
        <v>20.9</v>
      </c>
      <c r="F26" s="5">
        <v>6.7</v>
      </c>
      <c r="G26" s="5">
        <v>1.2</v>
      </c>
      <c r="H26" s="5">
        <v>1</v>
      </c>
      <c r="I26" s="5">
        <v>24.9</v>
      </c>
      <c r="J26" s="5">
        <v>197.2</v>
      </c>
    </row>
    <row r="27" spans="1:11" x14ac:dyDescent="0.25">
      <c r="A27" s="4" t="s">
        <v>109</v>
      </c>
      <c r="B27" s="5">
        <v>71</v>
      </c>
      <c r="C27" s="5">
        <v>43.2</v>
      </c>
      <c r="D27" s="5">
        <v>29.6</v>
      </c>
      <c r="E27" s="5">
        <v>20.8</v>
      </c>
      <c r="F27" s="5">
        <v>5.4</v>
      </c>
      <c r="G27" s="5">
        <v>3.3</v>
      </c>
      <c r="H27" s="5">
        <v>1</v>
      </c>
      <c r="I27" s="5">
        <v>30.2</v>
      </c>
      <c r="J27" s="5">
        <v>204.7</v>
      </c>
    </row>
    <row r="28" spans="1:11" x14ac:dyDescent="0.25">
      <c r="A28" s="4" t="s">
        <v>110</v>
      </c>
      <c r="B28" s="5">
        <v>68</v>
      </c>
      <c r="C28" s="5">
        <v>47.4</v>
      </c>
      <c r="D28" s="5">
        <v>30.1</v>
      </c>
      <c r="E28" s="5">
        <v>23.2</v>
      </c>
      <c r="F28" s="5">
        <v>5.7</v>
      </c>
      <c r="G28" s="5">
        <v>4.8</v>
      </c>
      <c r="H28" s="5">
        <v>1</v>
      </c>
      <c r="I28" s="5">
        <v>35.700000000000003</v>
      </c>
      <c r="J28" s="5">
        <v>215.9</v>
      </c>
    </row>
    <row r="29" spans="1:11" x14ac:dyDescent="0.25">
      <c r="A29" s="4" t="s">
        <v>111</v>
      </c>
      <c r="B29" s="5">
        <v>66.7</v>
      </c>
      <c r="C29" s="5">
        <v>53.2</v>
      </c>
      <c r="D29" s="5">
        <v>30.2</v>
      </c>
      <c r="E29" s="5">
        <v>28.8</v>
      </c>
      <c r="F29" s="5">
        <v>3.6</v>
      </c>
      <c r="G29" s="5">
        <v>2.7</v>
      </c>
      <c r="H29" s="5">
        <v>1</v>
      </c>
      <c r="I29" s="5">
        <v>41.4</v>
      </c>
      <c r="J29" s="5">
        <v>227.6</v>
      </c>
    </row>
    <row r="30" spans="1:11" ht="0.75" customHeight="1" x14ac:dyDescent="0.25"/>
    <row r="31" spans="1:11" ht="11.1" customHeight="1" x14ac:dyDescent="0.25">
      <c r="A31" s="201" t="s">
        <v>13</v>
      </c>
      <c r="B31" s="201"/>
      <c r="C31" s="201"/>
      <c r="D31" s="201"/>
      <c r="E31" s="201"/>
      <c r="F31" s="201"/>
      <c r="G31" s="201"/>
      <c r="H31" s="201"/>
      <c r="I31" s="201"/>
      <c r="J31" s="201"/>
      <c r="K31" s="208"/>
    </row>
    <row r="32" spans="1:11" s="6" customFormat="1" ht="11.1" customHeight="1" x14ac:dyDescent="0.15">
      <c r="A32" s="6" t="s">
        <v>14</v>
      </c>
    </row>
    <row r="33" spans="1:10" s="6" customFormat="1" ht="20.25" customHeight="1" x14ac:dyDescent="0.15">
      <c r="A33" s="199" t="s">
        <v>117</v>
      </c>
      <c r="B33" s="199"/>
      <c r="C33" s="199"/>
      <c r="D33" s="199"/>
      <c r="E33" s="199"/>
      <c r="F33" s="199"/>
      <c r="G33" s="199"/>
      <c r="H33" s="199"/>
      <c r="I33" s="199"/>
      <c r="J33" s="199"/>
    </row>
    <row r="34" spans="1:10" s="6" customFormat="1" ht="11.1" customHeight="1" x14ac:dyDescent="0.15">
      <c r="A34" s="6" t="s">
        <v>16</v>
      </c>
    </row>
    <row r="35" spans="1:10" s="6" customFormat="1" ht="11.1" customHeight="1" x14ac:dyDescent="0.15">
      <c r="A35" s="6" t="s">
        <v>271</v>
      </c>
    </row>
    <row r="36" spans="1:10" ht="12" customHeight="1" x14ac:dyDescent="0.25">
      <c r="A36" s="2"/>
    </row>
  </sheetData>
  <mergeCells count="5">
    <mergeCell ref="A33:J33"/>
    <mergeCell ref="A1:K1"/>
    <mergeCell ref="A31:K31"/>
    <mergeCell ref="A4:J4"/>
    <mergeCell ref="A17:J17"/>
  </mergeCells>
  <pageMargins left="0.08" right="0.08" top="1" bottom="1" header="0.5" footer="0.5"/>
  <pageSetup orientation="landscape" blackAndWhite="1"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F72"/>
  <sheetViews>
    <sheetView zoomScaleNormal="100" workbookViewId="0">
      <selection sqref="A1:L1"/>
    </sheetView>
  </sheetViews>
  <sheetFormatPr defaultColWidth="9.140625" defaultRowHeight="15" x14ac:dyDescent="0.25"/>
  <cols>
    <col min="1" max="1" width="17" style="1" customWidth="1"/>
    <col min="2" max="2" width="16.140625" style="1" customWidth="1"/>
    <col min="3" max="12" width="11.42578125" style="1" bestFit="1" customWidth="1"/>
    <col min="13" max="16384" width="9.140625" style="1"/>
  </cols>
  <sheetData>
    <row r="1" spans="1:32" ht="27.95" customHeight="1" x14ac:dyDescent="0.25">
      <c r="A1" s="198" t="s">
        <v>332</v>
      </c>
      <c r="B1" s="198"/>
      <c r="C1" s="198"/>
      <c r="D1" s="198"/>
      <c r="E1" s="198"/>
      <c r="F1" s="198"/>
      <c r="G1" s="198"/>
      <c r="H1" s="198"/>
      <c r="I1" s="198"/>
      <c r="J1" s="198"/>
      <c r="K1" s="198"/>
      <c r="L1" s="198"/>
    </row>
    <row r="2" spans="1:32" ht="3.75" customHeight="1" x14ac:dyDescent="0.25">
      <c r="A2" s="2"/>
    </row>
    <row r="3" spans="1:32" x14ac:dyDescent="0.25">
      <c r="A3" s="52" t="s">
        <v>186</v>
      </c>
      <c r="B3" s="52" t="s">
        <v>145</v>
      </c>
      <c r="C3" s="52" t="s">
        <v>189</v>
      </c>
      <c r="D3" s="3" t="s">
        <v>1</v>
      </c>
      <c r="E3" s="3" t="s">
        <v>2</v>
      </c>
      <c r="F3" s="3" t="s">
        <v>3</v>
      </c>
      <c r="G3" s="3" t="s">
        <v>4</v>
      </c>
      <c r="H3" s="3" t="s">
        <v>5</v>
      </c>
      <c r="I3" s="3" t="s">
        <v>6</v>
      </c>
      <c r="J3" s="3" t="s">
        <v>7</v>
      </c>
      <c r="K3" s="3" t="s">
        <v>8</v>
      </c>
      <c r="L3" s="3" t="s">
        <v>9</v>
      </c>
    </row>
    <row r="4" spans="1:32" x14ac:dyDescent="0.25">
      <c r="A4" s="203" t="s">
        <v>22</v>
      </c>
      <c r="B4" s="203" t="s">
        <v>112</v>
      </c>
      <c r="C4" s="4" t="s">
        <v>51</v>
      </c>
      <c r="D4" s="5">
        <v>49.9</v>
      </c>
      <c r="E4" s="5">
        <v>9.6999999999999993</v>
      </c>
      <c r="F4" s="5">
        <v>140.9</v>
      </c>
      <c r="G4" s="5">
        <v>49.9</v>
      </c>
      <c r="H4" s="5">
        <v>14</v>
      </c>
      <c r="I4" s="5">
        <v>2.7</v>
      </c>
      <c r="J4" s="5">
        <v>2.2999999999999998</v>
      </c>
      <c r="K4" s="5">
        <v>26.5</v>
      </c>
      <c r="L4" s="5">
        <v>296.10000000000002</v>
      </c>
      <c r="M4" s="176"/>
      <c r="N4" s="174"/>
      <c r="O4" s="174"/>
      <c r="P4" s="174"/>
      <c r="Q4" s="174"/>
      <c r="R4" s="174"/>
      <c r="S4" s="174"/>
      <c r="T4" s="174"/>
      <c r="U4" s="174"/>
      <c r="V4" s="174"/>
      <c r="W4" s="136"/>
      <c r="AF4" s="130"/>
    </row>
    <row r="5" spans="1:32" x14ac:dyDescent="0.25">
      <c r="A5" s="203"/>
      <c r="B5" s="203"/>
      <c r="C5" s="4" t="s">
        <v>52</v>
      </c>
      <c r="D5" s="5">
        <v>66.2</v>
      </c>
      <c r="E5" s="5">
        <v>10.6</v>
      </c>
      <c r="F5" s="5">
        <v>167.5</v>
      </c>
      <c r="G5" s="5">
        <v>59.2</v>
      </c>
      <c r="H5" s="5">
        <v>14</v>
      </c>
      <c r="I5" s="5">
        <v>3.3</v>
      </c>
      <c r="J5" s="5">
        <v>2.1</v>
      </c>
      <c r="K5" s="5">
        <v>40.4</v>
      </c>
      <c r="L5" s="5">
        <v>363.3</v>
      </c>
      <c r="M5" s="176"/>
      <c r="N5" s="174"/>
      <c r="O5" s="174"/>
      <c r="P5" s="174"/>
      <c r="Q5" s="174"/>
      <c r="R5" s="174"/>
      <c r="S5" s="174"/>
      <c r="T5" s="174"/>
      <c r="U5" s="174"/>
      <c r="V5" s="174"/>
    </row>
    <row r="6" spans="1:32" x14ac:dyDescent="0.25">
      <c r="A6" s="203"/>
      <c r="B6" s="203"/>
      <c r="C6" s="4" t="s">
        <v>53</v>
      </c>
      <c r="D6" s="5">
        <v>81.900000000000006</v>
      </c>
      <c r="E6" s="5">
        <v>10</v>
      </c>
      <c r="F6" s="5">
        <v>196.8</v>
      </c>
      <c r="G6" s="5">
        <v>46.9</v>
      </c>
      <c r="H6" s="5">
        <v>16.100000000000001</v>
      </c>
      <c r="I6" s="5">
        <v>4</v>
      </c>
      <c r="J6" s="5">
        <v>1.7</v>
      </c>
      <c r="K6" s="5">
        <v>46.3</v>
      </c>
      <c r="L6" s="5">
        <v>403.6</v>
      </c>
      <c r="M6" s="176"/>
      <c r="N6" s="174"/>
      <c r="O6" s="174"/>
      <c r="P6" s="174"/>
      <c r="Q6" s="174"/>
      <c r="R6" s="174"/>
      <c r="S6" s="174"/>
      <c r="T6" s="174"/>
      <c r="U6" s="174"/>
      <c r="V6" s="174"/>
    </row>
    <row r="7" spans="1:32" x14ac:dyDescent="0.25">
      <c r="A7" s="203"/>
      <c r="B7" s="203"/>
      <c r="C7" s="4" t="s">
        <v>227</v>
      </c>
      <c r="D7" s="5">
        <v>104.1</v>
      </c>
      <c r="E7" s="5">
        <v>9.8000000000000007</v>
      </c>
      <c r="F7" s="5">
        <v>200.7</v>
      </c>
      <c r="G7" s="5">
        <v>36.9</v>
      </c>
      <c r="H7" s="5">
        <v>17</v>
      </c>
      <c r="I7" s="5">
        <v>4.2</v>
      </c>
      <c r="J7" s="5">
        <v>5.3</v>
      </c>
      <c r="K7" s="5">
        <v>42.8</v>
      </c>
      <c r="L7" s="5">
        <v>420.8</v>
      </c>
      <c r="M7" s="176"/>
      <c r="N7" s="174"/>
      <c r="O7" s="174"/>
      <c r="P7" s="174"/>
      <c r="Q7" s="174"/>
      <c r="R7" s="174"/>
      <c r="S7" s="174"/>
      <c r="T7" s="174"/>
      <c r="U7" s="174"/>
      <c r="V7" s="174"/>
    </row>
    <row r="8" spans="1:32" x14ac:dyDescent="0.25">
      <c r="A8" s="203"/>
      <c r="B8" s="203"/>
      <c r="C8" s="4" t="s">
        <v>289</v>
      </c>
      <c r="D8" s="5">
        <v>103.2</v>
      </c>
      <c r="E8" s="5">
        <v>11.8</v>
      </c>
      <c r="F8" s="5">
        <v>192.5</v>
      </c>
      <c r="G8" s="5">
        <v>33.6</v>
      </c>
      <c r="H8" s="5">
        <v>19.899999999999999</v>
      </c>
      <c r="I8" s="5">
        <v>4.9000000000000004</v>
      </c>
      <c r="J8" s="5">
        <v>6.7</v>
      </c>
      <c r="K8" s="5">
        <v>43.1</v>
      </c>
      <c r="L8" s="5">
        <v>415.7</v>
      </c>
      <c r="M8" s="176"/>
      <c r="N8" s="174"/>
      <c r="O8" s="174"/>
      <c r="P8" s="174"/>
      <c r="Q8" s="174"/>
      <c r="R8" s="174"/>
      <c r="S8" s="174"/>
      <c r="T8" s="174"/>
      <c r="U8" s="174"/>
      <c r="V8" s="174"/>
    </row>
    <row r="9" spans="1:32" x14ac:dyDescent="0.25">
      <c r="A9" s="203"/>
      <c r="B9" s="203" t="s">
        <v>89</v>
      </c>
      <c r="C9" s="4" t="s">
        <v>51</v>
      </c>
      <c r="D9" s="5">
        <v>34.1</v>
      </c>
      <c r="E9" s="5">
        <v>10.4</v>
      </c>
      <c r="F9" s="5">
        <v>20.3</v>
      </c>
      <c r="G9" s="5">
        <v>31.1</v>
      </c>
      <c r="H9" s="5">
        <v>2.2000000000000002</v>
      </c>
      <c r="I9" s="5">
        <v>1.1000000000000001</v>
      </c>
      <c r="J9" s="5">
        <v>1.8</v>
      </c>
      <c r="K9" s="5">
        <v>16</v>
      </c>
      <c r="L9" s="5">
        <v>116.9</v>
      </c>
      <c r="M9" s="176"/>
      <c r="N9" s="174"/>
      <c r="O9" s="174"/>
      <c r="P9" s="174"/>
      <c r="Q9" s="174"/>
      <c r="R9" s="174"/>
      <c r="S9" s="174"/>
      <c r="T9" s="174"/>
      <c r="U9" s="174"/>
      <c r="V9" s="174"/>
    </row>
    <row r="10" spans="1:32" x14ac:dyDescent="0.25">
      <c r="A10" s="203"/>
      <c r="B10" s="203"/>
      <c r="C10" s="4" t="s">
        <v>52</v>
      </c>
      <c r="D10" s="5">
        <v>21.5</v>
      </c>
      <c r="E10" s="5">
        <v>7.4</v>
      </c>
      <c r="F10" s="5">
        <v>30.1</v>
      </c>
      <c r="G10" s="5">
        <v>31.5</v>
      </c>
      <c r="H10" s="5">
        <v>3.9</v>
      </c>
      <c r="I10" s="5">
        <v>1.1000000000000001</v>
      </c>
      <c r="J10" s="5">
        <v>1.1000000000000001</v>
      </c>
      <c r="K10" s="5">
        <v>22.9</v>
      </c>
      <c r="L10" s="5">
        <v>119.5</v>
      </c>
      <c r="M10" s="176"/>
      <c r="N10" s="174"/>
      <c r="O10" s="174"/>
      <c r="P10" s="174"/>
      <c r="Q10" s="174"/>
      <c r="R10" s="174"/>
      <c r="S10" s="174"/>
      <c r="T10" s="174"/>
      <c r="U10" s="174"/>
      <c r="V10" s="174"/>
    </row>
    <row r="11" spans="1:32" x14ac:dyDescent="0.25">
      <c r="A11" s="203"/>
      <c r="B11" s="203"/>
      <c r="C11" s="4" t="s">
        <v>53</v>
      </c>
      <c r="D11" s="5">
        <v>26.8</v>
      </c>
      <c r="E11" s="5">
        <v>5.2</v>
      </c>
      <c r="F11" s="5">
        <v>29.8</v>
      </c>
      <c r="G11" s="5">
        <v>25.2</v>
      </c>
      <c r="H11" s="5">
        <v>2.7</v>
      </c>
      <c r="I11" s="5">
        <v>1.5</v>
      </c>
      <c r="J11" s="5">
        <v>2.7</v>
      </c>
      <c r="K11" s="5">
        <v>29.9</v>
      </c>
      <c r="L11" s="5">
        <v>123.7</v>
      </c>
      <c r="M11" s="176"/>
      <c r="N11" s="174"/>
      <c r="O11" s="174"/>
      <c r="P11" s="174"/>
      <c r="Q11" s="174"/>
      <c r="R11" s="174"/>
      <c r="S11" s="174"/>
      <c r="T11" s="174"/>
      <c r="U11" s="174"/>
      <c r="V11" s="174"/>
    </row>
    <row r="12" spans="1:32" x14ac:dyDescent="0.25">
      <c r="A12" s="203"/>
      <c r="B12" s="203"/>
      <c r="C12" s="4" t="s">
        <v>227</v>
      </c>
      <c r="D12" s="5">
        <v>28.4</v>
      </c>
      <c r="E12" s="5">
        <v>4.3</v>
      </c>
      <c r="F12" s="5">
        <v>36.1</v>
      </c>
      <c r="G12" s="5">
        <v>23</v>
      </c>
      <c r="H12" s="5">
        <v>1.1000000000000001</v>
      </c>
      <c r="I12" s="5">
        <v>1.9</v>
      </c>
      <c r="J12" s="5" t="s">
        <v>167</v>
      </c>
      <c r="K12" s="5">
        <v>28.8</v>
      </c>
      <c r="L12" s="5">
        <v>123.5</v>
      </c>
      <c r="M12" s="176"/>
      <c r="N12" s="174"/>
      <c r="O12" s="174"/>
      <c r="P12" s="174"/>
      <c r="Q12" s="174"/>
      <c r="R12" s="174"/>
      <c r="S12" s="174"/>
      <c r="T12" s="174"/>
      <c r="U12" s="174"/>
      <c r="V12" s="174"/>
    </row>
    <row r="13" spans="1:32" x14ac:dyDescent="0.25">
      <c r="A13" s="203"/>
      <c r="B13" s="203"/>
      <c r="C13" s="4" t="s">
        <v>289</v>
      </c>
      <c r="D13" s="5">
        <v>36.9</v>
      </c>
      <c r="E13" s="5">
        <v>6.4</v>
      </c>
      <c r="F13" s="5">
        <v>27.5</v>
      </c>
      <c r="G13" s="5">
        <v>13.1</v>
      </c>
      <c r="H13" s="5">
        <v>1.7</v>
      </c>
      <c r="I13" s="5">
        <v>1</v>
      </c>
      <c r="J13" s="5" t="s">
        <v>167</v>
      </c>
      <c r="K13" s="5">
        <v>27.3</v>
      </c>
      <c r="L13" s="5">
        <v>113.9</v>
      </c>
      <c r="M13" s="176"/>
      <c r="N13" s="174"/>
      <c r="O13" s="174"/>
      <c r="P13" s="174"/>
      <c r="Q13" s="174"/>
      <c r="R13" s="174"/>
      <c r="S13" s="174"/>
      <c r="T13" s="174"/>
      <c r="U13" s="174"/>
      <c r="V13" s="174"/>
    </row>
    <row r="14" spans="1:32" x14ac:dyDescent="0.25">
      <c r="A14" s="203"/>
      <c r="B14" s="203" t="s">
        <v>12</v>
      </c>
      <c r="C14" s="105" t="s">
        <v>51</v>
      </c>
      <c r="D14" s="76">
        <v>83.6</v>
      </c>
      <c r="E14" s="76">
        <v>20.100000000000001</v>
      </c>
      <c r="F14" s="76">
        <v>156.4</v>
      </c>
      <c r="G14" s="76">
        <v>80.8</v>
      </c>
      <c r="H14" s="76">
        <v>16.2</v>
      </c>
      <c r="I14" s="76">
        <v>3.7</v>
      </c>
      <c r="J14" s="76">
        <v>2.6</v>
      </c>
      <c r="K14" s="76">
        <v>30.6</v>
      </c>
      <c r="L14" s="76">
        <v>393.9</v>
      </c>
      <c r="M14" s="176"/>
      <c r="N14" s="174"/>
      <c r="O14" s="174"/>
      <c r="P14" s="174"/>
      <c r="Q14" s="174"/>
      <c r="R14" s="174"/>
      <c r="S14" s="174"/>
      <c r="T14" s="174"/>
      <c r="U14" s="174"/>
      <c r="V14" s="174"/>
    </row>
    <row r="15" spans="1:32" x14ac:dyDescent="0.25">
      <c r="A15" s="203"/>
      <c r="B15" s="203"/>
      <c r="C15" s="105" t="s">
        <v>52</v>
      </c>
      <c r="D15" s="76">
        <v>87.5</v>
      </c>
      <c r="E15" s="76">
        <v>18</v>
      </c>
      <c r="F15" s="76">
        <v>190.6</v>
      </c>
      <c r="G15" s="76">
        <v>90.3</v>
      </c>
      <c r="H15" s="76">
        <v>17.5</v>
      </c>
      <c r="I15" s="76">
        <v>4.0999999999999996</v>
      </c>
      <c r="J15" s="76">
        <v>2.9</v>
      </c>
      <c r="K15" s="76">
        <v>49.7</v>
      </c>
      <c r="L15" s="76">
        <v>460.7</v>
      </c>
      <c r="M15" s="176"/>
      <c r="N15" s="174"/>
      <c r="O15" s="174"/>
      <c r="P15" s="174"/>
      <c r="Q15" s="174"/>
      <c r="R15" s="174"/>
      <c r="S15" s="174"/>
      <c r="T15" s="174"/>
      <c r="U15" s="174"/>
      <c r="V15" s="174"/>
    </row>
    <row r="16" spans="1:32" x14ac:dyDescent="0.25">
      <c r="A16" s="203"/>
      <c r="B16" s="203"/>
      <c r="C16" s="105" t="s">
        <v>53</v>
      </c>
      <c r="D16" s="76">
        <v>108.4</v>
      </c>
      <c r="E16" s="76">
        <v>15.1</v>
      </c>
      <c r="F16" s="76">
        <v>218.3</v>
      </c>
      <c r="G16" s="76">
        <v>71.8</v>
      </c>
      <c r="H16" s="76">
        <v>18.3</v>
      </c>
      <c r="I16" s="76">
        <v>4.5</v>
      </c>
      <c r="J16" s="76">
        <v>4.4000000000000004</v>
      </c>
      <c r="K16" s="76">
        <v>49.5</v>
      </c>
      <c r="L16" s="76">
        <v>490.3</v>
      </c>
      <c r="M16" s="176"/>
      <c r="N16" s="174"/>
      <c r="O16" s="174"/>
      <c r="P16" s="174"/>
      <c r="Q16" s="174"/>
      <c r="R16" s="174"/>
      <c r="S16" s="174"/>
      <c r="T16" s="174"/>
      <c r="U16" s="174"/>
      <c r="V16" s="174"/>
    </row>
    <row r="17" spans="1:22" x14ac:dyDescent="0.25">
      <c r="A17" s="203"/>
      <c r="B17" s="203"/>
      <c r="C17" s="105" t="s">
        <v>227</v>
      </c>
      <c r="D17" s="76">
        <v>132.19999999999999</v>
      </c>
      <c r="E17" s="76">
        <v>14</v>
      </c>
      <c r="F17" s="76">
        <v>227.1</v>
      </c>
      <c r="G17" s="76">
        <v>59.7</v>
      </c>
      <c r="H17" s="76">
        <v>17.7</v>
      </c>
      <c r="I17" s="76">
        <v>5.6</v>
      </c>
      <c r="J17" s="76">
        <v>5.3</v>
      </c>
      <c r="K17" s="76">
        <v>43.2</v>
      </c>
      <c r="L17" s="76">
        <v>504.8</v>
      </c>
      <c r="M17" s="176"/>
      <c r="N17" s="174"/>
      <c r="O17" s="174"/>
      <c r="P17" s="174"/>
      <c r="Q17" s="174"/>
      <c r="R17" s="174"/>
      <c r="S17" s="174"/>
      <c r="T17" s="174"/>
      <c r="U17" s="174"/>
      <c r="V17" s="174"/>
    </row>
    <row r="18" spans="1:22" x14ac:dyDescent="0.25">
      <c r="A18" s="203"/>
      <c r="B18" s="203"/>
      <c r="C18" s="105" t="s">
        <v>289</v>
      </c>
      <c r="D18" s="76">
        <v>139.69999999999999</v>
      </c>
      <c r="E18" s="76">
        <v>19</v>
      </c>
      <c r="F18" s="76">
        <v>214.5</v>
      </c>
      <c r="G18" s="76">
        <v>46.6</v>
      </c>
      <c r="H18" s="76">
        <v>21.5</v>
      </c>
      <c r="I18" s="76">
        <v>5.9</v>
      </c>
      <c r="J18" s="76">
        <v>6.7</v>
      </c>
      <c r="K18" s="76">
        <v>43.1</v>
      </c>
      <c r="L18" s="76">
        <v>496.9</v>
      </c>
      <c r="M18" s="176"/>
      <c r="N18" s="174"/>
      <c r="O18" s="174"/>
      <c r="P18" s="174"/>
      <c r="Q18" s="174"/>
      <c r="R18" s="174"/>
      <c r="S18" s="174"/>
      <c r="T18" s="174"/>
      <c r="U18" s="174"/>
      <c r="V18" s="174"/>
    </row>
    <row r="19" spans="1:22" ht="15" customHeight="1" x14ac:dyDescent="0.25">
      <c r="A19" s="203" t="s">
        <v>23</v>
      </c>
      <c r="B19" s="203" t="s">
        <v>112</v>
      </c>
      <c r="C19" s="4" t="s">
        <v>51</v>
      </c>
      <c r="D19" s="5">
        <v>81.3</v>
      </c>
      <c r="E19" s="5">
        <v>83.4</v>
      </c>
      <c r="F19" s="5">
        <v>75.099999999999994</v>
      </c>
      <c r="G19" s="5">
        <v>12.2</v>
      </c>
      <c r="H19" s="5">
        <v>9.6</v>
      </c>
      <c r="I19" s="5">
        <v>4</v>
      </c>
      <c r="J19" s="5">
        <v>6.3</v>
      </c>
      <c r="K19" s="5">
        <v>0.8</v>
      </c>
      <c r="L19" s="5">
        <v>272.60000000000002</v>
      </c>
      <c r="M19" s="176"/>
      <c r="N19" s="174"/>
      <c r="O19" s="174"/>
      <c r="P19" s="174"/>
      <c r="Q19" s="174"/>
      <c r="R19" s="174"/>
      <c r="S19" s="174"/>
      <c r="T19" s="174"/>
      <c r="U19" s="174"/>
      <c r="V19" s="174"/>
    </row>
    <row r="20" spans="1:22" x14ac:dyDescent="0.25">
      <c r="A20" s="203"/>
      <c r="B20" s="203"/>
      <c r="C20" s="4" t="s">
        <v>52</v>
      </c>
      <c r="D20" s="5">
        <v>68.2</v>
      </c>
      <c r="E20" s="5">
        <v>62.5</v>
      </c>
      <c r="F20" s="5">
        <v>91.5</v>
      </c>
      <c r="G20" s="5">
        <v>14.6</v>
      </c>
      <c r="H20" s="5">
        <v>15.2</v>
      </c>
      <c r="I20" s="5">
        <v>3.6</v>
      </c>
      <c r="J20" s="5">
        <v>6.1</v>
      </c>
      <c r="K20" s="5">
        <v>2</v>
      </c>
      <c r="L20" s="5">
        <v>263.8</v>
      </c>
      <c r="M20" s="176"/>
      <c r="N20" s="174"/>
      <c r="O20" s="174"/>
      <c r="P20" s="174"/>
      <c r="Q20" s="174"/>
      <c r="R20" s="174"/>
      <c r="S20" s="174"/>
      <c r="T20" s="174"/>
      <c r="U20" s="174"/>
      <c r="V20" s="174"/>
    </row>
    <row r="21" spans="1:22" x14ac:dyDescent="0.25">
      <c r="A21" s="203"/>
      <c r="B21" s="203"/>
      <c r="C21" s="4" t="s">
        <v>53</v>
      </c>
      <c r="D21" s="5">
        <v>59.9</v>
      </c>
      <c r="E21" s="5">
        <v>62.8</v>
      </c>
      <c r="F21" s="5">
        <v>88.3</v>
      </c>
      <c r="G21" s="5">
        <v>14.4</v>
      </c>
      <c r="H21" s="5">
        <v>13.9</v>
      </c>
      <c r="I21" s="5">
        <v>7.6</v>
      </c>
      <c r="J21" s="5">
        <v>7.9</v>
      </c>
      <c r="K21" s="5">
        <v>1.1000000000000001</v>
      </c>
      <c r="L21" s="5">
        <v>255.9</v>
      </c>
      <c r="M21" s="176"/>
      <c r="N21" s="174"/>
      <c r="O21" s="174"/>
      <c r="P21" s="174"/>
      <c r="Q21" s="174"/>
      <c r="R21" s="174"/>
      <c r="S21" s="174"/>
      <c r="T21" s="174"/>
      <c r="U21" s="174"/>
      <c r="V21" s="174"/>
    </row>
    <row r="22" spans="1:22" x14ac:dyDescent="0.25">
      <c r="A22" s="203"/>
      <c r="B22" s="203"/>
      <c r="C22" s="4" t="s">
        <v>227</v>
      </c>
      <c r="D22" s="5">
        <v>59.7</v>
      </c>
      <c r="E22" s="5">
        <v>49.8</v>
      </c>
      <c r="F22" s="5">
        <v>86.3</v>
      </c>
      <c r="G22" s="5">
        <v>15.2</v>
      </c>
      <c r="H22" s="5">
        <v>13.5</v>
      </c>
      <c r="I22" s="5">
        <v>9</v>
      </c>
      <c r="J22" s="5">
        <v>7.4</v>
      </c>
      <c r="K22" s="5">
        <v>1.6</v>
      </c>
      <c r="L22" s="5">
        <v>242.6</v>
      </c>
      <c r="M22" s="176"/>
      <c r="N22" s="174"/>
      <c r="O22" s="174"/>
      <c r="P22" s="174"/>
      <c r="Q22" s="174"/>
      <c r="R22" s="174"/>
      <c r="S22" s="174"/>
      <c r="T22" s="174"/>
      <c r="U22" s="174"/>
      <c r="V22" s="174"/>
    </row>
    <row r="23" spans="1:22" x14ac:dyDescent="0.25">
      <c r="A23" s="203"/>
      <c r="B23" s="203"/>
      <c r="C23" s="4" t="s">
        <v>289</v>
      </c>
      <c r="D23" s="5">
        <v>64.3</v>
      </c>
      <c r="E23" s="5">
        <v>65.400000000000006</v>
      </c>
      <c r="F23" s="5">
        <v>82.9</v>
      </c>
      <c r="G23" s="5">
        <v>17.399999999999999</v>
      </c>
      <c r="H23" s="5">
        <v>17.8</v>
      </c>
      <c r="I23" s="5">
        <v>8.5</v>
      </c>
      <c r="J23" s="5">
        <v>11.3</v>
      </c>
      <c r="K23" s="5">
        <v>2</v>
      </c>
      <c r="L23" s="5">
        <v>269.60000000000002</v>
      </c>
      <c r="M23" s="176"/>
      <c r="N23" s="174"/>
      <c r="O23" s="174"/>
      <c r="P23" s="174"/>
      <c r="Q23" s="174"/>
      <c r="R23" s="174"/>
      <c r="S23" s="174"/>
      <c r="T23" s="174"/>
      <c r="U23" s="174"/>
      <c r="V23" s="174"/>
    </row>
    <row r="24" spans="1:22" x14ac:dyDescent="0.25">
      <c r="A24" s="203"/>
      <c r="B24" s="203" t="s">
        <v>89</v>
      </c>
      <c r="C24" s="4" t="s">
        <v>51</v>
      </c>
      <c r="D24" s="5">
        <v>40.1</v>
      </c>
      <c r="E24" s="5">
        <v>60</v>
      </c>
      <c r="F24" s="5">
        <v>7.1</v>
      </c>
      <c r="G24" s="5">
        <v>12.9</v>
      </c>
      <c r="H24" s="5">
        <v>2.5</v>
      </c>
      <c r="I24" s="5">
        <v>3.2</v>
      </c>
      <c r="J24" s="5">
        <v>3.8</v>
      </c>
      <c r="K24" s="5">
        <v>0.5</v>
      </c>
      <c r="L24" s="5">
        <v>130.19999999999999</v>
      </c>
      <c r="M24" s="176"/>
      <c r="N24" s="174"/>
      <c r="O24" s="174"/>
      <c r="P24" s="174"/>
      <c r="Q24" s="174"/>
      <c r="R24" s="174"/>
      <c r="S24" s="174"/>
      <c r="T24" s="174"/>
      <c r="U24" s="174"/>
      <c r="V24" s="174"/>
    </row>
    <row r="25" spans="1:22" x14ac:dyDescent="0.25">
      <c r="A25" s="203"/>
      <c r="B25" s="203"/>
      <c r="C25" s="4" t="s">
        <v>52</v>
      </c>
      <c r="D25" s="5">
        <v>32.299999999999997</v>
      </c>
      <c r="E25" s="5">
        <v>38.799999999999997</v>
      </c>
      <c r="F25" s="5">
        <v>8.6</v>
      </c>
      <c r="G25" s="5">
        <v>13.2</v>
      </c>
      <c r="H25" s="5">
        <v>1.8</v>
      </c>
      <c r="I25" s="5">
        <v>1.5</v>
      </c>
      <c r="J25" s="5">
        <v>3.9</v>
      </c>
      <c r="K25" s="5">
        <v>0.8</v>
      </c>
      <c r="L25" s="5">
        <v>100.9</v>
      </c>
      <c r="M25" s="176"/>
      <c r="N25" s="174"/>
      <c r="O25" s="174"/>
      <c r="P25" s="174"/>
      <c r="Q25" s="174"/>
      <c r="R25" s="174"/>
      <c r="S25" s="174"/>
      <c r="T25" s="174"/>
      <c r="U25" s="174"/>
      <c r="V25" s="174"/>
    </row>
    <row r="26" spans="1:22" x14ac:dyDescent="0.25">
      <c r="A26" s="203"/>
      <c r="B26" s="203"/>
      <c r="C26" s="4" t="s">
        <v>53</v>
      </c>
      <c r="D26" s="5">
        <v>30.7</v>
      </c>
      <c r="E26" s="5">
        <v>26.9</v>
      </c>
      <c r="F26" s="5">
        <v>7.7</v>
      </c>
      <c r="G26" s="5">
        <v>12.5</v>
      </c>
      <c r="H26" s="5">
        <v>1.3</v>
      </c>
      <c r="I26" s="5">
        <v>1.9</v>
      </c>
      <c r="J26" s="5">
        <v>5.4</v>
      </c>
      <c r="K26" s="5">
        <v>1.3</v>
      </c>
      <c r="L26" s="5">
        <v>87.7</v>
      </c>
      <c r="M26" s="176"/>
      <c r="N26" s="174"/>
      <c r="O26" s="174"/>
      <c r="P26" s="174"/>
      <c r="Q26" s="174"/>
      <c r="R26" s="174"/>
      <c r="S26" s="174"/>
      <c r="T26" s="174"/>
      <c r="U26" s="174"/>
      <c r="V26" s="174"/>
    </row>
    <row r="27" spans="1:22" x14ac:dyDescent="0.25">
      <c r="A27" s="203"/>
      <c r="B27" s="203"/>
      <c r="C27" s="4" t="s">
        <v>227</v>
      </c>
      <c r="D27" s="5">
        <v>24.9</v>
      </c>
      <c r="E27" s="5">
        <v>25.6</v>
      </c>
      <c r="F27" s="5">
        <v>6.6</v>
      </c>
      <c r="G27" s="5">
        <v>12.4</v>
      </c>
      <c r="H27" s="5">
        <v>2.7</v>
      </c>
      <c r="I27" s="5">
        <v>2</v>
      </c>
      <c r="J27" s="5">
        <v>3</v>
      </c>
      <c r="K27" s="5">
        <v>1</v>
      </c>
      <c r="L27" s="5">
        <v>78.3</v>
      </c>
      <c r="M27" s="176"/>
      <c r="N27" s="174"/>
      <c r="O27" s="174"/>
      <c r="P27" s="174"/>
      <c r="Q27" s="174"/>
      <c r="R27" s="174"/>
      <c r="S27" s="174"/>
      <c r="T27" s="174"/>
      <c r="U27" s="174"/>
      <c r="V27" s="174"/>
    </row>
    <row r="28" spans="1:22" x14ac:dyDescent="0.25">
      <c r="A28" s="203"/>
      <c r="B28" s="203"/>
      <c r="C28" s="4" t="s">
        <v>289</v>
      </c>
      <c r="D28" s="5">
        <v>25.9</v>
      </c>
      <c r="E28" s="5">
        <v>37.299999999999997</v>
      </c>
      <c r="F28" s="5">
        <v>5.0999999999999996</v>
      </c>
      <c r="G28" s="5">
        <v>11.5</v>
      </c>
      <c r="H28" s="5">
        <v>2.8</v>
      </c>
      <c r="I28" s="5">
        <v>1.6</v>
      </c>
      <c r="J28" s="5">
        <v>1.2</v>
      </c>
      <c r="K28" s="5">
        <v>0.5</v>
      </c>
      <c r="L28" s="5">
        <v>86</v>
      </c>
      <c r="M28" s="176"/>
      <c r="N28" s="174"/>
      <c r="O28" s="174"/>
      <c r="P28" s="174"/>
      <c r="Q28" s="174"/>
      <c r="R28" s="174"/>
      <c r="S28" s="174"/>
      <c r="T28" s="174"/>
      <c r="U28" s="174"/>
      <c r="V28" s="174"/>
    </row>
    <row r="29" spans="1:22" x14ac:dyDescent="0.25">
      <c r="A29" s="203"/>
      <c r="B29" s="203" t="s">
        <v>12</v>
      </c>
      <c r="C29" s="105" t="s">
        <v>51</v>
      </c>
      <c r="D29" s="76">
        <v>121</v>
      </c>
      <c r="E29" s="76">
        <v>143.30000000000001</v>
      </c>
      <c r="F29" s="76">
        <v>80.8</v>
      </c>
      <c r="G29" s="76">
        <v>25</v>
      </c>
      <c r="H29" s="76">
        <v>12.1</v>
      </c>
      <c r="I29" s="76">
        <v>5.7</v>
      </c>
      <c r="J29" s="76">
        <v>6.8</v>
      </c>
      <c r="K29" s="76">
        <v>1.3</v>
      </c>
      <c r="L29" s="76">
        <v>396.1</v>
      </c>
      <c r="M29" s="176"/>
      <c r="N29" s="174"/>
      <c r="O29" s="174"/>
      <c r="P29" s="174"/>
      <c r="Q29" s="174"/>
      <c r="R29" s="174"/>
      <c r="S29" s="174"/>
      <c r="T29" s="174"/>
      <c r="U29" s="174"/>
      <c r="V29" s="174"/>
    </row>
    <row r="30" spans="1:22" x14ac:dyDescent="0.25">
      <c r="A30" s="203"/>
      <c r="B30" s="203"/>
      <c r="C30" s="105" t="s">
        <v>52</v>
      </c>
      <c r="D30" s="76">
        <v>100.2</v>
      </c>
      <c r="E30" s="76">
        <v>102.5</v>
      </c>
      <c r="F30" s="76">
        <v>98.7</v>
      </c>
      <c r="G30" s="76">
        <v>27.7</v>
      </c>
      <c r="H30" s="76">
        <v>17</v>
      </c>
      <c r="I30" s="76">
        <v>5</v>
      </c>
      <c r="J30" s="76">
        <v>8.6999999999999993</v>
      </c>
      <c r="K30" s="76">
        <v>2</v>
      </c>
      <c r="L30" s="76">
        <v>361.9</v>
      </c>
      <c r="M30" s="176"/>
      <c r="N30" s="174"/>
      <c r="O30" s="174"/>
      <c r="P30" s="174"/>
      <c r="Q30" s="174"/>
      <c r="R30" s="174"/>
      <c r="S30" s="174"/>
      <c r="T30" s="174"/>
      <c r="U30" s="174"/>
      <c r="V30" s="174"/>
    </row>
    <row r="31" spans="1:22" x14ac:dyDescent="0.25">
      <c r="A31" s="203"/>
      <c r="B31" s="203"/>
      <c r="C31" s="105" t="s">
        <v>53</v>
      </c>
      <c r="D31" s="76">
        <v>90.4</v>
      </c>
      <c r="E31" s="76">
        <v>92.6</v>
      </c>
      <c r="F31" s="76">
        <v>93</v>
      </c>
      <c r="G31" s="76">
        <v>26.8</v>
      </c>
      <c r="H31" s="76">
        <v>15.2</v>
      </c>
      <c r="I31" s="76">
        <v>9.1</v>
      </c>
      <c r="J31" s="76">
        <v>12.7</v>
      </c>
      <c r="K31" s="76">
        <v>1.6</v>
      </c>
      <c r="L31" s="76">
        <v>341.4</v>
      </c>
      <c r="M31" s="176"/>
      <c r="N31" s="174"/>
      <c r="O31" s="174"/>
      <c r="P31" s="174"/>
      <c r="Q31" s="174"/>
      <c r="R31" s="174"/>
      <c r="S31" s="174"/>
      <c r="T31" s="174"/>
      <c r="U31" s="174"/>
      <c r="V31" s="174"/>
    </row>
    <row r="32" spans="1:22" x14ac:dyDescent="0.25">
      <c r="A32" s="203"/>
      <c r="B32" s="203"/>
      <c r="C32" s="105" t="s">
        <v>227</v>
      </c>
      <c r="D32" s="76">
        <v>84.5</v>
      </c>
      <c r="E32" s="76">
        <v>79.099999999999994</v>
      </c>
      <c r="F32" s="76">
        <v>92.4</v>
      </c>
      <c r="G32" s="76">
        <v>27.5</v>
      </c>
      <c r="H32" s="76">
        <v>16.100000000000001</v>
      </c>
      <c r="I32" s="76">
        <v>10.7</v>
      </c>
      <c r="J32" s="76">
        <v>10.4</v>
      </c>
      <c r="K32" s="76">
        <v>1.6</v>
      </c>
      <c r="L32" s="76">
        <v>322.39999999999998</v>
      </c>
      <c r="M32" s="176"/>
      <c r="N32" s="174"/>
      <c r="O32" s="174"/>
      <c r="P32" s="174"/>
      <c r="Q32" s="174"/>
      <c r="R32" s="174"/>
      <c r="S32" s="174"/>
      <c r="T32" s="174"/>
      <c r="U32" s="174"/>
      <c r="V32" s="174"/>
    </row>
    <row r="33" spans="1:22" x14ac:dyDescent="0.25">
      <c r="A33" s="203"/>
      <c r="B33" s="203"/>
      <c r="C33" s="105" t="s">
        <v>289</v>
      </c>
      <c r="D33" s="76">
        <v>90</v>
      </c>
      <c r="E33" s="76">
        <v>109.4</v>
      </c>
      <c r="F33" s="76">
        <v>85.9</v>
      </c>
      <c r="G33" s="76">
        <v>28.9</v>
      </c>
      <c r="H33" s="76">
        <v>20.100000000000001</v>
      </c>
      <c r="I33" s="76">
        <v>9.9</v>
      </c>
      <c r="J33" s="76">
        <v>12.5</v>
      </c>
      <c r="K33" s="76">
        <v>2</v>
      </c>
      <c r="L33" s="76">
        <v>358.8</v>
      </c>
      <c r="M33" s="176"/>
      <c r="N33" s="174"/>
      <c r="O33" s="174"/>
      <c r="P33" s="174"/>
      <c r="Q33" s="174"/>
      <c r="R33" s="174"/>
      <c r="S33" s="174"/>
      <c r="T33" s="174"/>
      <c r="U33" s="174"/>
      <c r="V33" s="174"/>
    </row>
    <row r="34" spans="1:22" x14ac:dyDescent="0.25">
      <c r="A34" s="203" t="s">
        <v>24</v>
      </c>
      <c r="B34" s="203" t="s">
        <v>112</v>
      </c>
      <c r="C34" s="4" t="s">
        <v>51</v>
      </c>
      <c r="D34" s="5">
        <v>1</v>
      </c>
      <c r="E34" s="5" t="s">
        <v>167</v>
      </c>
      <c r="F34" s="5" t="s">
        <v>167</v>
      </c>
      <c r="G34" s="5" t="s">
        <v>167</v>
      </c>
      <c r="H34" s="5" t="s">
        <v>167</v>
      </c>
      <c r="I34" s="5" t="s">
        <v>167</v>
      </c>
      <c r="J34" s="5" t="s">
        <v>167</v>
      </c>
      <c r="K34" s="5">
        <v>0.3</v>
      </c>
      <c r="L34" s="5">
        <v>1.4</v>
      </c>
      <c r="M34" s="176"/>
      <c r="N34" s="174"/>
      <c r="O34" s="174"/>
      <c r="P34" s="174"/>
      <c r="Q34" s="174"/>
      <c r="R34" s="174"/>
      <c r="S34" s="174"/>
      <c r="T34" s="174"/>
      <c r="U34" s="174"/>
      <c r="V34" s="174"/>
    </row>
    <row r="35" spans="1:22" x14ac:dyDescent="0.25">
      <c r="A35" s="203"/>
      <c r="B35" s="203"/>
      <c r="C35" s="4" t="s">
        <v>52</v>
      </c>
      <c r="D35" s="5">
        <v>2.1</v>
      </c>
      <c r="E35" s="5" t="s">
        <v>167</v>
      </c>
      <c r="F35" s="5">
        <v>0.1</v>
      </c>
      <c r="G35" s="5" t="s">
        <v>167</v>
      </c>
      <c r="H35" s="5" t="s">
        <v>167</v>
      </c>
      <c r="I35" s="5" t="s">
        <v>167</v>
      </c>
      <c r="J35" s="5" t="s">
        <v>167</v>
      </c>
      <c r="K35" s="5">
        <v>0.4</v>
      </c>
      <c r="L35" s="5">
        <v>2.5</v>
      </c>
      <c r="M35" s="176"/>
      <c r="N35" s="174"/>
      <c r="O35" s="174"/>
      <c r="P35" s="174"/>
      <c r="Q35" s="174"/>
      <c r="R35" s="174"/>
      <c r="S35" s="174"/>
      <c r="T35" s="174"/>
      <c r="U35" s="174"/>
      <c r="V35" s="174"/>
    </row>
    <row r="36" spans="1:22" x14ac:dyDescent="0.25">
      <c r="A36" s="203"/>
      <c r="B36" s="203"/>
      <c r="C36" s="4" t="s">
        <v>53</v>
      </c>
      <c r="D36" s="5">
        <v>0.6</v>
      </c>
      <c r="E36" s="5" t="s">
        <v>167</v>
      </c>
      <c r="F36" s="5" t="s">
        <v>167</v>
      </c>
      <c r="G36" s="5" t="s">
        <v>167</v>
      </c>
      <c r="H36" s="5" t="s">
        <v>167</v>
      </c>
      <c r="I36" s="5" t="s">
        <v>167</v>
      </c>
      <c r="J36" s="5">
        <v>0.2</v>
      </c>
      <c r="K36" s="5">
        <v>1.7</v>
      </c>
      <c r="L36" s="5">
        <v>2.5</v>
      </c>
      <c r="M36" s="176"/>
      <c r="N36" s="174"/>
      <c r="O36" s="174"/>
      <c r="P36" s="174"/>
      <c r="Q36" s="174"/>
      <c r="R36" s="174"/>
      <c r="S36" s="174"/>
      <c r="T36" s="174"/>
      <c r="U36" s="174"/>
      <c r="V36" s="174"/>
    </row>
    <row r="37" spans="1:22" x14ac:dyDescent="0.25">
      <c r="A37" s="203"/>
      <c r="B37" s="203"/>
      <c r="C37" s="4" t="s">
        <v>227</v>
      </c>
      <c r="D37" s="5">
        <v>0.4</v>
      </c>
      <c r="E37" s="5" t="s">
        <v>167</v>
      </c>
      <c r="F37" s="5" t="s">
        <v>167</v>
      </c>
      <c r="G37" s="5" t="s">
        <v>167</v>
      </c>
      <c r="H37" s="5" t="s">
        <v>167</v>
      </c>
      <c r="I37" s="5" t="s">
        <v>167</v>
      </c>
      <c r="J37" s="5" t="s">
        <v>167</v>
      </c>
      <c r="K37" s="5">
        <v>1.3</v>
      </c>
      <c r="L37" s="5">
        <v>1.7</v>
      </c>
      <c r="M37" s="176"/>
      <c r="N37" s="174"/>
      <c r="O37" s="174"/>
      <c r="P37" s="174"/>
      <c r="Q37" s="174"/>
      <c r="R37" s="174"/>
      <c r="S37" s="174"/>
      <c r="T37" s="174"/>
      <c r="U37" s="174"/>
      <c r="V37" s="174"/>
    </row>
    <row r="38" spans="1:22" x14ac:dyDescent="0.25">
      <c r="A38" s="203"/>
      <c r="B38" s="203"/>
      <c r="C38" s="4" t="s">
        <v>289</v>
      </c>
      <c r="D38" s="5">
        <v>0.6</v>
      </c>
      <c r="E38" s="5">
        <v>0.2</v>
      </c>
      <c r="F38" s="5" t="s">
        <v>167</v>
      </c>
      <c r="G38" s="5" t="s">
        <v>167</v>
      </c>
      <c r="H38" s="5">
        <v>0.4</v>
      </c>
      <c r="I38" s="5" t="s">
        <v>167</v>
      </c>
      <c r="J38" s="5" t="s">
        <v>167</v>
      </c>
      <c r="K38" s="5">
        <v>1.4</v>
      </c>
      <c r="L38" s="5">
        <v>2.8</v>
      </c>
      <c r="M38" s="176"/>
      <c r="N38" s="174"/>
      <c r="O38" s="174"/>
      <c r="P38" s="174"/>
      <c r="Q38" s="174"/>
      <c r="R38" s="174"/>
      <c r="S38" s="174"/>
      <c r="T38" s="174"/>
      <c r="U38" s="174"/>
      <c r="V38" s="174"/>
    </row>
    <row r="39" spans="1:22" x14ac:dyDescent="0.25">
      <c r="A39" s="203"/>
      <c r="B39" s="203" t="s">
        <v>89</v>
      </c>
      <c r="C39" s="4" t="s">
        <v>51</v>
      </c>
      <c r="D39" s="5">
        <v>0.3</v>
      </c>
      <c r="E39" s="5" t="s">
        <v>167</v>
      </c>
      <c r="F39" s="5">
        <v>0.4</v>
      </c>
      <c r="G39" s="5" t="s">
        <v>167</v>
      </c>
      <c r="H39" s="5" t="s">
        <v>167</v>
      </c>
      <c r="I39" s="5" t="s">
        <v>167</v>
      </c>
      <c r="J39" s="5" t="s">
        <v>167</v>
      </c>
      <c r="K39" s="5" t="s">
        <v>167</v>
      </c>
      <c r="L39" s="5">
        <v>0.7</v>
      </c>
      <c r="M39" s="176"/>
      <c r="N39" s="174"/>
      <c r="O39" s="174"/>
      <c r="P39" s="174"/>
      <c r="Q39" s="174"/>
      <c r="R39" s="174"/>
      <c r="S39" s="174"/>
      <c r="T39" s="174"/>
      <c r="U39" s="174"/>
      <c r="V39" s="174"/>
    </row>
    <row r="40" spans="1:22" x14ac:dyDescent="0.25">
      <c r="A40" s="203"/>
      <c r="B40" s="203"/>
      <c r="C40" s="4" t="s">
        <v>52</v>
      </c>
      <c r="D40" s="5">
        <v>0.2</v>
      </c>
      <c r="E40" s="5" t="s">
        <v>167</v>
      </c>
      <c r="F40" s="5" t="s">
        <v>167</v>
      </c>
      <c r="G40" s="5" t="s">
        <v>167</v>
      </c>
      <c r="H40" s="5" t="s">
        <v>167</v>
      </c>
      <c r="I40" s="5" t="s">
        <v>167</v>
      </c>
      <c r="J40" s="5" t="s">
        <v>167</v>
      </c>
      <c r="K40" s="5">
        <v>0.3</v>
      </c>
      <c r="L40" s="5">
        <v>0.5</v>
      </c>
      <c r="M40" s="176"/>
      <c r="N40" s="174"/>
      <c r="O40" s="174"/>
      <c r="P40" s="174"/>
      <c r="Q40" s="174"/>
      <c r="R40" s="174"/>
      <c r="S40" s="174"/>
      <c r="T40" s="174"/>
      <c r="U40" s="174"/>
      <c r="V40" s="174"/>
    </row>
    <row r="41" spans="1:22" x14ac:dyDescent="0.25">
      <c r="A41" s="203"/>
      <c r="B41" s="203"/>
      <c r="C41" s="4" t="s">
        <v>53</v>
      </c>
      <c r="D41" s="5">
        <v>0.4</v>
      </c>
      <c r="E41" s="5" t="s">
        <v>167</v>
      </c>
      <c r="F41" s="5" t="s">
        <v>167</v>
      </c>
      <c r="G41" s="5" t="s">
        <v>167</v>
      </c>
      <c r="H41" s="5" t="s">
        <v>167</v>
      </c>
      <c r="I41" s="5" t="s">
        <v>167</v>
      </c>
      <c r="J41" s="5">
        <v>0.4</v>
      </c>
      <c r="K41" s="5">
        <v>0.5</v>
      </c>
      <c r="L41" s="5">
        <v>1.3</v>
      </c>
      <c r="M41" s="176"/>
      <c r="N41" s="174"/>
      <c r="O41" s="174"/>
      <c r="P41" s="174"/>
      <c r="Q41" s="174"/>
      <c r="R41" s="174"/>
      <c r="S41" s="174"/>
      <c r="T41" s="174"/>
      <c r="U41" s="174"/>
      <c r="V41" s="174"/>
    </row>
    <row r="42" spans="1:22" x14ac:dyDescent="0.25">
      <c r="A42" s="203"/>
      <c r="B42" s="203"/>
      <c r="C42" s="4" t="s">
        <v>227</v>
      </c>
      <c r="D42" s="5" t="s">
        <v>167</v>
      </c>
      <c r="E42" s="5" t="s">
        <v>167</v>
      </c>
      <c r="F42" s="5" t="s">
        <v>167</v>
      </c>
      <c r="G42" s="5" t="s">
        <v>167</v>
      </c>
      <c r="H42" s="5" t="s">
        <v>167</v>
      </c>
      <c r="I42" s="5" t="s">
        <v>167</v>
      </c>
      <c r="J42" s="5" t="s">
        <v>167</v>
      </c>
      <c r="K42" s="5">
        <v>0.2</v>
      </c>
      <c r="L42" s="5">
        <v>0.2</v>
      </c>
      <c r="M42" s="176"/>
      <c r="N42" s="174"/>
      <c r="O42" s="174"/>
      <c r="P42" s="174"/>
      <c r="Q42" s="174"/>
      <c r="R42" s="174"/>
      <c r="S42" s="174"/>
      <c r="T42" s="174"/>
      <c r="U42" s="174"/>
      <c r="V42" s="174"/>
    </row>
    <row r="43" spans="1:22" x14ac:dyDescent="0.25">
      <c r="A43" s="203"/>
      <c r="B43" s="203"/>
      <c r="C43" s="4" t="s">
        <v>289</v>
      </c>
      <c r="D43" s="5">
        <v>1</v>
      </c>
      <c r="E43" s="5" t="s">
        <v>167</v>
      </c>
      <c r="F43" s="5" t="s">
        <v>167</v>
      </c>
      <c r="G43" s="5" t="s">
        <v>167</v>
      </c>
      <c r="H43" s="5" t="s">
        <v>167</v>
      </c>
      <c r="I43" s="5" t="s">
        <v>167</v>
      </c>
      <c r="J43" s="5" t="s">
        <v>167</v>
      </c>
      <c r="K43" s="5">
        <v>0.4</v>
      </c>
      <c r="L43" s="5">
        <v>1.4</v>
      </c>
      <c r="M43" s="176"/>
      <c r="N43" s="174"/>
      <c r="O43" s="174"/>
      <c r="P43" s="174"/>
      <c r="Q43" s="174"/>
      <c r="R43" s="174"/>
      <c r="S43" s="174"/>
      <c r="T43" s="174"/>
      <c r="U43" s="174"/>
      <c r="V43" s="174"/>
    </row>
    <row r="44" spans="1:22" x14ac:dyDescent="0.25">
      <c r="A44" s="203"/>
      <c r="B44" s="203" t="s">
        <v>12</v>
      </c>
      <c r="C44" s="105" t="s">
        <v>51</v>
      </c>
      <c r="D44" s="76">
        <v>1.3</v>
      </c>
      <c r="E44" s="5" t="s">
        <v>167</v>
      </c>
      <c r="F44" s="5">
        <v>0.5</v>
      </c>
      <c r="G44" s="5" t="s">
        <v>167</v>
      </c>
      <c r="H44" s="5" t="s">
        <v>167</v>
      </c>
      <c r="I44" s="5" t="s">
        <v>167</v>
      </c>
      <c r="J44" s="5" t="s">
        <v>167</v>
      </c>
      <c r="K44" s="5">
        <v>0.4</v>
      </c>
      <c r="L44" s="76">
        <v>2.2000000000000002</v>
      </c>
      <c r="M44" s="176"/>
      <c r="N44" s="174"/>
      <c r="O44" s="174"/>
      <c r="P44" s="174"/>
      <c r="Q44" s="174"/>
      <c r="R44" s="174"/>
      <c r="S44" s="174"/>
      <c r="T44" s="174"/>
      <c r="U44" s="174"/>
      <c r="V44" s="174"/>
    </row>
    <row r="45" spans="1:22" x14ac:dyDescent="0.25">
      <c r="A45" s="203"/>
      <c r="B45" s="203"/>
      <c r="C45" s="105" t="s">
        <v>52</v>
      </c>
      <c r="D45" s="76">
        <v>2.2999999999999998</v>
      </c>
      <c r="E45" s="5" t="s">
        <v>167</v>
      </c>
      <c r="F45" s="76" t="s">
        <v>167</v>
      </c>
      <c r="G45" s="5" t="s">
        <v>167</v>
      </c>
      <c r="H45" s="5" t="s">
        <v>167</v>
      </c>
      <c r="I45" s="5" t="s">
        <v>167</v>
      </c>
      <c r="J45" s="5" t="s">
        <v>167</v>
      </c>
      <c r="K45" s="76">
        <v>0.6</v>
      </c>
      <c r="L45" s="76">
        <v>3</v>
      </c>
      <c r="M45" s="176"/>
      <c r="N45" s="174"/>
      <c r="O45" s="174"/>
      <c r="P45" s="174"/>
      <c r="Q45" s="174"/>
      <c r="R45" s="174"/>
      <c r="S45" s="174"/>
      <c r="T45" s="174"/>
      <c r="U45" s="174"/>
      <c r="V45" s="174"/>
    </row>
    <row r="46" spans="1:22" x14ac:dyDescent="0.25">
      <c r="A46" s="203"/>
      <c r="B46" s="203"/>
      <c r="C46" s="105" t="s">
        <v>53</v>
      </c>
      <c r="D46" s="76">
        <v>1</v>
      </c>
      <c r="E46" s="5" t="s">
        <v>167</v>
      </c>
      <c r="F46" s="76" t="s">
        <v>167</v>
      </c>
      <c r="G46" s="5" t="s">
        <v>167</v>
      </c>
      <c r="H46" s="5" t="s">
        <v>167</v>
      </c>
      <c r="I46" s="5" t="s">
        <v>167</v>
      </c>
      <c r="J46" s="5">
        <v>0.6</v>
      </c>
      <c r="K46" s="76">
        <v>1.8</v>
      </c>
      <c r="L46" s="76">
        <v>3.5</v>
      </c>
      <c r="M46" s="176"/>
      <c r="N46" s="174"/>
      <c r="O46" s="174"/>
      <c r="P46" s="174"/>
      <c r="Q46" s="174"/>
      <c r="R46" s="174"/>
      <c r="S46" s="174"/>
      <c r="T46" s="174"/>
      <c r="U46" s="174"/>
      <c r="V46" s="174"/>
    </row>
    <row r="47" spans="1:22" x14ac:dyDescent="0.25">
      <c r="A47" s="203"/>
      <c r="B47" s="203"/>
      <c r="C47" s="105" t="s">
        <v>227</v>
      </c>
      <c r="D47" s="76">
        <v>0.4</v>
      </c>
      <c r="E47" s="5" t="s">
        <v>167</v>
      </c>
      <c r="F47" s="5" t="s">
        <v>167</v>
      </c>
      <c r="G47" s="5" t="s">
        <v>167</v>
      </c>
      <c r="H47" s="5" t="s">
        <v>167</v>
      </c>
      <c r="I47" s="5" t="s">
        <v>167</v>
      </c>
      <c r="J47" s="76" t="s">
        <v>167</v>
      </c>
      <c r="K47" s="76">
        <v>1.3</v>
      </c>
      <c r="L47" s="76">
        <v>1.7</v>
      </c>
      <c r="M47" s="176"/>
      <c r="N47" s="174"/>
      <c r="O47" s="174"/>
      <c r="P47" s="174"/>
      <c r="Q47" s="174"/>
      <c r="R47" s="174"/>
      <c r="S47" s="174"/>
      <c r="T47" s="174"/>
      <c r="U47" s="174"/>
      <c r="V47" s="174"/>
    </row>
    <row r="48" spans="1:22" x14ac:dyDescent="0.25">
      <c r="A48" s="203"/>
      <c r="B48" s="203"/>
      <c r="C48" s="105" t="s">
        <v>289</v>
      </c>
      <c r="D48" s="76">
        <v>1.6</v>
      </c>
      <c r="E48" s="5">
        <v>0.2</v>
      </c>
      <c r="F48" s="76">
        <v>0.3</v>
      </c>
      <c r="G48" s="5" t="s">
        <v>167</v>
      </c>
      <c r="H48" s="5">
        <v>0.4</v>
      </c>
      <c r="I48" s="5" t="s">
        <v>167</v>
      </c>
      <c r="J48" s="76" t="s">
        <v>167</v>
      </c>
      <c r="K48" s="76">
        <v>1.4</v>
      </c>
      <c r="L48" s="76">
        <v>3.8</v>
      </c>
      <c r="M48" s="176"/>
      <c r="N48" s="174"/>
      <c r="O48" s="174"/>
      <c r="P48" s="174"/>
      <c r="Q48" s="174"/>
      <c r="R48" s="174"/>
      <c r="S48" s="174"/>
      <c r="T48" s="174"/>
      <c r="U48" s="174"/>
      <c r="V48" s="174"/>
    </row>
    <row r="49" spans="1:22" x14ac:dyDescent="0.25">
      <c r="A49" s="203" t="s">
        <v>12</v>
      </c>
      <c r="B49" s="203" t="s">
        <v>112</v>
      </c>
      <c r="C49" s="4" t="s">
        <v>51</v>
      </c>
      <c r="D49" s="5">
        <v>132.1</v>
      </c>
      <c r="E49" s="5">
        <v>93.1</v>
      </c>
      <c r="F49" s="5">
        <v>216.1</v>
      </c>
      <c r="G49" s="5">
        <v>62.1</v>
      </c>
      <c r="H49" s="5">
        <v>23.6</v>
      </c>
      <c r="I49" s="5">
        <v>6.7</v>
      </c>
      <c r="J49" s="5">
        <v>8.6</v>
      </c>
      <c r="K49" s="5">
        <v>27.6</v>
      </c>
      <c r="L49" s="5">
        <v>570.1</v>
      </c>
      <c r="M49" s="176"/>
      <c r="N49" s="174"/>
      <c r="O49" s="174"/>
      <c r="P49" s="174"/>
      <c r="Q49" s="174"/>
      <c r="R49" s="174"/>
      <c r="S49" s="174"/>
      <c r="T49" s="174"/>
      <c r="U49" s="174"/>
      <c r="V49" s="174"/>
    </row>
    <row r="50" spans="1:22" x14ac:dyDescent="0.25">
      <c r="A50" s="203"/>
      <c r="B50" s="203"/>
      <c r="C50" s="4" t="s">
        <v>52</v>
      </c>
      <c r="D50" s="5">
        <v>136.6</v>
      </c>
      <c r="E50" s="5">
        <v>73.099999999999994</v>
      </c>
      <c r="F50" s="5">
        <v>259</v>
      </c>
      <c r="G50" s="5">
        <v>73.8</v>
      </c>
      <c r="H50" s="5">
        <v>29.3</v>
      </c>
      <c r="I50" s="5">
        <v>6.9</v>
      </c>
      <c r="J50" s="5">
        <v>8.1999999999999993</v>
      </c>
      <c r="K50" s="5">
        <v>42.9</v>
      </c>
      <c r="L50" s="5">
        <v>629.70000000000005</v>
      </c>
      <c r="M50" s="176"/>
      <c r="N50" s="174"/>
      <c r="O50" s="174"/>
      <c r="P50" s="174"/>
      <c r="Q50" s="174"/>
      <c r="R50" s="174"/>
      <c r="S50" s="174"/>
      <c r="T50" s="174"/>
      <c r="U50" s="174"/>
      <c r="V50" s="174"/>
    </row>
    <row r="51" spans="1:22" x14ac:dyDescent="0.25">
      <c r="A51" s="203"/>
      <c r="B51" s="203"/>
      <c r="C51" s="4" t="s">
        <v>53</v>
      </c>
      <c r="D51" s="5">
        <v>142.30000000000001</v>
      </c>
      <c r="E51" s="5">
        <v>72.7</v>
      </c>
      <c r="F51" s="5">
        <v>285.2</v>
      </c>
      <c r="G51" s="5">
        <v>61.3</v>
      </c>
      <c r="H51" s="5">
        <v>30</v>
      </c>
      <c r="I51" s="5">
        <v>11.7</v>
      </c>
      <c r="J51" s="5">
        <v>9.8000000000000007</v>
      </c>
      <c r="K51" s="5">
        <v>49.1</v>
      </c>
      <c r="L51" s="5">
        <v>662</v>
      </c>
      <c r="M51" s="176"/>
      <c r="N51" s="174"/>
      <c r="O51" s="174"/>
      <c r="P51" s="174"/>
      <c r="Q51" s="174"/>
      <c r="R51" s="174"/>
      <c r="S51" s="174"/>
      <c r="T51" s="174"/>
      <c r="U51" s="174"/>
      <c r="V51" s="174"/>
    </row>
    <row r="52" spans="1:22" x14ac:dyDescent="0.25">
      <c r="A52" s="203"/>
      <c r="B52" s="203"/>
      <c r="C52" s="4" t="s">
        <v>227</v>
      </c>
      <c r="D52" s="5">
        <v>164.2</v>
      </c>
      <c r="E52" s="5">
        <v>59.6</v>
      </c>
      <c r="F52" s="5">
        <v>287.10000000000002</v>
      </c>
      <c r="G52" s="5">
        <v>52.1</v>
      </c>
      <c r="H52" s="5">
        <v>30.5</v>
      </c>
      <c r="I52" s="5">
        <v>13.1</v>
      </c>
      <c r="J52" s="5">
        <v>12.7</v>
      </c>
      <c r="K52" s="5">
        <v>45.7</v>
      </c>
      <c r="L52" s="5">
        <v>665.1</v>
      </c>
      <c r="M52" s="176"/>
      <c r="N52" s="174"/>
      <c r="O52" s="174"/>
      <c r="P52" s="174"/>
      <c r="Q52" s="174"/>
      <c r="R52" s="174"/>
      <c r="S52" s="174"/>
      <c r="T52" s="174"/>
      <c r="U52" s="174"/>
      <c r="V52" s="174"/>
    </row>
    <row r="53" spans="1:22" x14ac:dyDescent="0.25">
      <c r="A53" s="203"/>
      <c r="B53" s="203"/>
      <c r="C53" s="4" t="s">
        <v>289</v>
      </c>
      <c r="D53" s="5">
        <v>168.1</v>
      </c>
      <c r="E53" s="5">
        <v>77.400000000000006</v>
      </c>
      <c r="F53" s="5">
        <v>275.60000000000002</v>
      </c>
      <c r="G53" s="5">
        <v>51</v>
      </c>
      <c r="H53" s="5">
        <v>38.1</v>
      </c>
      <c r="I53" s="5">
        <v>13.4</v>
      </c>
      <c r="J53" s="5">
        <v>18</v>
      </c>
      <c r="K53" s="5">
        <v>46.5</v>
      </c>
      <c r="L53" s="5">
        <v>688.1</v>
      </c>
      <c r="M53" s="176"/>
      <c r="N53" s="174"/>
      <c r="O53" s="174"/>
      <c r="P53" s="174"/>
      <c r="Q53" s="174"/>
      <c r="R53" s="174"/>
      <c r="S53" s="174"/>
      <c r="T53" s="174"/>
      <c r="U53" s="174"/>
      <c r="V53" s="174"/>
    </row>
    <row r="54" spans="1:22" x14ac:dyDescent="0.25">
      <c r="A54" s="203"/>
      <c r="B54" s="203" t="s">
        <v>89</v>
      </c>
      <c r="C54" s="4" t="s">
        <v>51</v>
      </c>
      <c r="D54" s="5">
        <v>74.400000000000006</v>
      </c>
      <c r="E54" s="5">
        <v>70.400000000000006</v>
      </c>
      <c r="F54" s="5">
        <v>27.8</v>
      </c>
      <c r="G54" s="5">
        <v>44</v>
      </c>
      <c r="H54" s="5">
        <v>4.5999999999999996</v>
      </c>
      <c r="I54" s="5">
        <v>4.3</v>
      </c>
      <c r="J54" s="5">
        <v>5.7</v>
      </c>
      <c r="K54" s="5">
        <v>16.600000000000001</v>
      </c>
      <c r="L54" s="5">
        <v>247.9</v>
      </c>
      <c r="M54" s="176"/>
      <c r="N54" s="174"/>
      <c r="O54" s="174"/>
      <c r="P54" s="174"/>
      <c r="Q54" s="174"/>
      <c r="R54" s="174"/>
      <c r="S54" s="174"/>
      <c r="T54" s="174"/>
      <c r="U54" s="174"/>
      <c r="V54" s="174"/>
    </row>
    <row r="55" spans="1:22" x14ac:dyDescent="0.25">
      <c r="A55" s="203"/>
      <c r="B55" s="203"/>
      <c r="C55" s="4" t="s">
        <v>52</v>
      </c>
      <c r="D55" s="5">
        <v>54.1</v>
      </c>
      <c r="E55" s="5">
        <v>46.2</v>
      </c>
      <c r="F55" s="5">
        <v>38.700000000000003</v>
      </c>
      <c r="G55" s="5">
        <v>44.7</v>
      </c>
      <c r="H55" s="5">
        <v>5.7</v>
      </c>
      <c r="I55" s="5">
        <v>2.6</v>
      </c>
      <c r="J55" s="5">
        <v>4.9000000000000004</v>
      </c>
      <c r="K55" s="5">
        <v>24</v>
      </c>
      <c r="L55" s="5">
        <v>220.9</v>
      </c>
      <c r="M55" s="176"/>
      <c r="N55" s="174"/>
      <c r="O55" s="174"/>
      <c r="P55" s="174"/>
      <c r="Q55" s="174"/>
      <c r="R55" s="174"/>
      <c r="S55" s="174"/>
      <c r="T55" s="174"/>
      <c r="U55" s="174"/>
      <c r="V55" s="174"/>
    </row>
    <row r="56" spans="1:22" x14ac:dyDescent="0.25">
      <c r="A56" s="203"/>
      <c r="B56" s="203"/>
      <c r="C56" s="4" t="s">
        <v>53</v>
      </c>
      <c r="D56" s="5">
        <v>58</v>
      </c>
      <c r="E56" s="5">
        <v>32.1</v>
      </c>
      <c r="F56" s="5">
        <v>37.5</v>
      </c>
      <c r="G56" s="5">
        <v>37.700000000000003</v>
      </c>
      <c r="H56" s="5">
        <v>4</v>
      </c>
      <c r="I56" s="5">
        <v>3.4</v>
      </c>
      <c r="J56" s="5">
        <v>8.5</v>
      </c>
      <c r="K56" s="5">
        <v>31.7</v>
      </c>
      <c r="L56" s="5">
        <v>212.7</v>
      </c>
      <c r="M56" s="176"/>
      <c r="N56" s="174"/>
      <c r="O56" s="174"/>
      <c r="P56" s="174"/>
      <c r="Q56" s="174"/>
      <c r="R56" s="174"/>
      <c r="S56" s="174"/>
      <c r="T56" s="174"/>
      <c r="U56" s="174"/>
      <c r="V56" s="174"/>
    </row>
    <row r="57" spans="1:22" x14ac:dyDescent="0.25">
      <c r="A57" s="203"/>
      <c r="B57" s="203"/>
      <c r="C57" s="4" t="s">
        <v>227</v>
      </c>
      <c r="D57" s="5">
        <v>53.3</v>
      </c>
      <c r="E57" s="5">
        <v>29.8</v>
      </c>
      <c r="F57" s="5">
        <v>42.7</v>
      </c>
      <c r="G57" s="5">
        <v>35.4</v>
      </c>
      <c r="H57" s="5">
        <v>3.8</v>
      </c>
      <c r="I57" s="5">
        <v>3.9</v>
      </c>
      <c r="J57" s="5">
        <v>3</v>
      </c>
      <c r="K57" s="5">
        <v>30.1</v>
      </c>
      <c r="L57" s="5">
        <v>202.1</v>
      </c>
      <c r="M57" s="176"/>
      <c r="N57" s="174"/>
      <c r="O57" s="174"/>
      <c r="P57" s="174"/>
      <c r="Q57" s="174"/>
      <c r="R57" s="174"/>
      <c r="S57" s="174"/>
      <c r="T57" s="174"/>
      <c r="U57" s="174"/>
      <c r="V57" s="174"/>
    </row>
    <row r="58" spans="1:22" x14ac:dyDescent="0.25">
      <c r="A58" s="203"/>
      <c r="B58" s="203"/>
      <c r="C58" s="4" t="s">
        <v>289</v>
      </c>
      <c r="D58" s="5">
        <v>63.8</v>
      </c>
      <c r="E58" s="5">
        <v>43.8</v>
      </c>
      <c r="F58" s="5">
        <v>32.6</v>
      </c>
      <c r="G58" s="5">
        <v>24.7</v>
      </c>
      <c r="H58" s="5">
        <v>4.5</v>
      </c>
      <c r="I58" s="5">
        <v>2.7</v>
      </c>
      <c r="J58" s="5">
        <v>1.2</v>
      </c>
      <c r="K58" s="5">
        <v>28.1</v>
      </c>
      <c r="L58" s="5">
        <v>201.3</v>
      </c>
      <c r="M58" s="176"/>
      <c r="N58" s="174"/>
      <c r="O58" s="174"/>
      <c r="P58" s="174"/>
      <c r="Q58" s="174"/>
      <c r="R58" s="174"/>
      <c r="S58" s="174"/>
      <c r="T58" s="174"/>
      <c r="U58" s="174"/>
      <c r="V58" s="174"/>
    </row>
    <row r="59" spans="1:22" x14ac:dyDescent="0.25">
      <c r="A59" s="203"/>
      <c r="B59" s="203" t="s">
        <v>12</v>
      </c>
      <c r="C59" s="105" t="s">
        <v>51</v>
      </c>
      <c r="D59" s="76">
        <v>205.9</v>
      </c>
      <c r="E59" s="157">
        <v>163.4</v>
      </c>
      <c r="F59" s="157">
        <v>237.7</v>
      </c>
      <c r="G59" s="76">
        <v>105.8</v>
      </c>
      <c r="H59" s="76">
        <v>28.2</v>
      </c>
      <c r="I59" s="76">
        <v>9.4</v>
      </c>
      <c r="J59" s="76">
        <v>9.4</v>
      </c>
      <c r="K59" s="76">
        <v>32.299999999999997</v>
      </c>
      <c r="L59" s="76">
        <v>792.1</v>
      </c>
      <c r="M59" s="176"/>
      <c r="N59" s="174"/>
      <c r="O59" s="183"/>
      <c r="P59" s="183"/>
      <c r="Q59" s="174"/>
      <c r="R59" s="174"/>
      <c r="S59" s="174"/>
      <c r="T59" s="174"/>
      <c r="U59" s="174"/>
      <c r="V59" s="174"/>
    </row>
    <row r="60" spans="1:22" x14ac:dyDescent="0.25">
      <c r="A60" s="203"/>
      <c r="B60" s="203"/>
      <c r="C60" s="105" t="s">
        <v>52</v>
      </c>
      <c r="D60" s="76">
        <v>190.1</v>
      </c>
      <c r="E60" s="157">
        <v>120.5</v>
      </c>
      <c r="F60" s="157">
        <v>289.3</v>
      </c>
      <c r="G60" s="76">
        <v>118</v>
      </c>
      <c r="H60" s="76">
        <v>34.5</v>
      </c>
      <c r="I60" s="76">
        <v>9.1</v>
      </c>
      <c r="J60" s="76">
        <v>11.6</v>
      </c>
      <c r="K60" s="76">
        <v>52.4</v>
      </c>
      <c r="L60" s="76">
        <v>825.5</v>
      </c>
      <c r="M60" s="176"/>
      <c r="N60" s="174"/>
      <c r="O60" s="183"/>
      <c r="P60" s="183"/>
      <c r="Q60" s="174"/>
      <c r="R60" s="174"/>
      <c r="S60" s="174"/>
      <c r="T60" s="174"/>
      <c r="U60" s="174"/>
      <c r="V60" s="174"/>
    </row>
    <row r="61" spans="1:22" x14ac:dyDescent="0.25">
      <c r="A61" s="203"/>
      <c r="B61" s="203"/>
      <c r="C61" s="105" t="s">
        <v>53</v>
      </c>
      <c r="D61" s="76">
        <v>199.8</v>
      </c>
      <c r="E61" s="157">
        <v>107.7</v>
      </c>
      <c r="F61" s="157">
        <v>311.3</v>
      </c>
      <c r="G61" s="76">
        <v>98.6</v>
      </c>
      <c r="H61" s="76">
        <v>33.5</v>
      </c>
      <c r="I61" s="76">
        <v>13.6</v>
      </c>
      <c r="J61" s="76">
        <v>17.8</v>
      </c>
      <c r="K61" s="76">
        <v>52.9</v>
      </c>
      <c r="L61" s="76">
        <v>835.2</v>
      </c>
      <c r="M61" s="176"/>
      <c r="N61" s="174"/>
      <c r="O61" s="183"/>
      <c r="P61" s="183"/>
      <c r="Q61" s="174"/>
      <c r="R61" s="174"/>
      <c r="S61" s="174"/>
      <c r="T61" s="174"/>
      <c r="U61" s="174"/>
      <c r="V61" s="174"/>
    </row>
    <row r="62" spans="1:22" x14ac:dyDescent="0.25">
      <c r="A62" s="203"/>
      <c r="B62" s="203"/>
      <c r="C62" s="105" t="s">
        <v>227</v>
      </c>
      <c r="D62" s="76">
        <v>217</v>
      </c>
      <c r="E62" s="157">
        <v>93.1</v>
      </c>
      <c r="F62" s="157">
        <v>319.60000000000002</v>
      </c>
      <c r="G62" s="76">
        <v>87.2</v>
      </c>
      <c r="H62" s="76">
        <v>33.799999999999997</v>
      </c>
      <c r="I62" s="76">
        <v>16.3</v>
      </c>
      <c r="J62" s="76">
        <v>15.8</v>
      </c>
      <c r="K62" s="76">
        <v>46.2</v>
      </c>
      <c r="L62" s="76">
        <v>828.9</v>
      </c>
      <c r="M62" s="176"/>
      <c r="N62" s="174"/>
      <c r="O62" s="183"/>
      <c r="P62" s="183"/>
      <c r="Q62" s="174"/>
      <c r="R62" s="174"/>
      <c r="S62" s="174"/>
      <c r="T62" s="174"/>
      <c r="U62" s="174"/>
      <c r="V62" s="174"/>
    </row>
    <row r="63" spans="1:22" x14ac:dyDescent="0.25">
      <c r="A63" s="203"/>
      <c r="B63" s="203"/>
      <c r="C63" s="105" t="s">
        <v>289</v>
      </c>
      <c r="D63" s="76">
        <v>231.3</v>
      </c>
      <c r="E63" s="157">
        <v>128.6</v>
      </c>
      <c r="F63" s="157">
        <v>300.7</v>
      </c>
      <c r="G63" s="76">
        <v>75.5</v>
      </c>
      <c r="H63" s="76">
        <v>42</v>
      </c>
      <c r="I63" s="76">
        <v>15.8</v>
      </c>
      <c r="J63" s="76">
        <v>19.100000000000001</v>
      </c>
      <c r="K63" s="76">
        <v>46.5</v>
      </c>
      <c r="L63" s="76">
        <v>859.5</v>
      </c>
      <c r="M63" s="176"/>
      <c r="N63" s="174"/>
      <c r="O63" s="183"/>
      <c r="P63" s="183"/>
      <c r="Q63" s="174"/>
      <c r="R63" s="174"/>
      <c r="S63" s="174"/>
      <c r="T63" s="174"/>
      <c r="U63" s="174"/>
      <c r="V63" s="174"/>
    </row>
    <row r="64" spans="1:22" ht="2.25" customHeight="1" x14ac:dyDescent="0.25">
      <c r="A64" s="55"/>
      <c r="B64" s="53"/>
      <c r="C64" s="53"/>
      <c r="D64" s="53"/>
      <c r="E64" s="53"/>
      <c r="F64" s="53"/>
      <c r="G64" s="53"/>
      <c r="H64" s="53"/>
      <c r="I64" s="53"/>
      <c r="J64" s="53"/>
      <c r="K64" s="53"/>
      <c r="L64" s="53"/>
    </row>
    <row r="65" spans="1:12" ht="11.1" customHeight="1" x14ac:dyDescent="0.25">
      <c r="A65" s="208" t="s">
        <v>13</v>
      </c>
      <c r="B65" s="208"/>
      <c r="C65" s="208"/>
      <c r="D65" s="208"/>
      <c r="E65" s="208"/>
      <c r="F65" s="208"/>
      <c r="G65" s="208"/>
      <c r="H65" s="208"/>
      <c r="I65" s="208"/>
      <c r="J65" s="208"/>
      <c r="K65" s="208"/>
      <c r="L65" s="208"/>
    </row>
    <row r="66" spans="1:12" s="6" customFormat="1" ht="11.1" customHeight="1" x14ac:dyDescent="0.15">
      <c r="A66" s="6" t="s">
        <v>14</v>
      </c>
    </row>
    <row r="67" spans="1:12" s="10" customFormat="1" ht="11.1" customHeight="1" x14ac:dyDescent="0.2">
      <c r="A67" s="57" t="s">
        <v>18</v>
      </c>
    </row>
    <row r="68" spans="1:12" s="6" customFormat="1" ht="9" x14ac:dyDescent="0.15">
      <c r="A68" s="199" t="s">
        <v>113</v>
      </c>
      <c r="B68" s="199"/>
      <c r="C68" s="199"/>
      <c r="D68" s="199"/>
      <c r="E68" s="199"/>
      <c r="F68" s="199"/>
      <c r="G68" s="199"/>
      <c r="H68" s="199"/>
      <c r="I68" s="199"/>
      <c r="J68" s="199"/>
      <c r="K68" s="199"/>
      <c r="L68" s="199"/>
    </row>
    <row r="69" spans="1:12" s="6" customFormat="1" ht="11.1" customHeight="1" x14ac:dyDescent="0.15">
      <c r="A69" s="6" t="s">
        <v>54</v>
      </c>
    </row>
    <row r="70" spans="1:12" s="6" customFormat="1" ht="11.1" customHeight="1" x14ac:dyDescent="0.15">
      <c r="A70" s="6" t="s">
        <v>16</v>
      </c>
    </row>
    <row r="71" spans="1:12" s="6" customFormat="1" ht="11.1" customHeight="1" x14ac:dyDescent="0.15">
      <c r="A71" s="6" t="s">
        <v>271</v>
      </c>
    </row>
    <row r="72" spans="1:12" ht="12" customHeight="1" x14ac:dyDescent="0.25">
      <c r="A72" s="2"/>
    </row>
  </sheetData>
  <mergeCells count="19">
    <mergeCell ref="A1:L1"/>
    <mergeCell ref="A4:A18"/>
    <mergeCell ref="B4:B8"/>
    <mergeCell ref="B9:B13"/>
    <mergeCell ref="B14:B18"/>
    <mergeCell ref="A19:A33"/>
    <mergeCell ref="B19:B23"/>
    <mergeCell ref="B24:B28"/>
    <mergeCell ref="B29:B33"/>
    <mergeCell ref="A34:A48"/>
    <mergeCell ref="B34:B38"/>
    <mergeCell ref="B39:B43"/>
    <mergeCell ref="B44:B48"/>
    <mergeCell ref="A68:L68"/>
    <mergeCell ref="A49:A63"/>
    <mergeCell ref="B49:B53"/>
    <mergeCell ref="B54:B58"/>
    <mergeCell ref="B59:B63"/>
    <mergeCell ref="A65:L65"/>
  </mergeCells>
  <pageMargins left="0.08" right="0.08" top="1" bottom="1" header="0.5" footer="0.5"/>
  <pageSetup orientation="landscape" blackAndWhite="1"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Q76"/>
  <sheetViews>
    <sheetView zoomScale="85" zoomScaleNormal="85" workbookViewId="0">
      <selection activeCell="E43" sqref="E43"/>
    </sheetView>
  </sheetViews>
  <sheetFormatPr defaultColWidth="9.140625" defaultRowHeight="15" x14ac:dyDescent="0.25"/>
  <cols>
    <col min="1" max="1" width="16.42578125" style="1" customWidth="1"/>
    <col min="2" max="13" width="11.42578125" style="1" bestFit="1" customWidth="1"/>
    <col min="14" max="16384" width="9.140625" style="1"/>
  </cols>
  <sheetData>
    <row r="1" spans="1:11" ht="18.75" customHeight="1" x14ac:dyDescent="0.25">
      <c r="A1" s="200" t="s">
        <v>370</v>
      </c>
      <c r="B1" s="200"/>
      <c r="C1" s="200"/>
      <c r="D1" s="200"/>
      <c r="E1" s="200"/>
      <c r="F1" s="200"/>
      <c r="G1" s="200"/>
      <c r="H1" s="200"/>
      <c r="I1" s="200"/>
      <c r="J1" s="200"/>
      <c r="K1" s="200"/>
    </row>
    <row r="2" spans="1:11" ht="2.25" customHeight="1" x14ac:dyDescent="0.25">
      <c r="A2" s="2"/>
    </row>
    <row r="3" spans="1:11" x14ac:dyDescent="0.25">
      <c r="A3" s="65" t="s">
        <v>186</v>
      </c>
      <c r="B3" s="65" t="s">
        <v>184</v>
      </c>
      <c r="C3" s="3" t="s">
        <v>1</v>
      </c>
      <c r="D3" s="3" t="s">
        <v>2</v>
      </c>
      <c r="E3" s="3" t="s">
        <v>3</v>
      </c>
      <c r="F3" s="3" t="s">
        <v>4</v>
      </c>
      <c r="G3" s="3" t="s">
        <v>5</v>
      </c>
      <c r="H3" s="3" t="s">
        <v>6</v>
      </c>
      <c r="I3" s="3" t="s">
        <v>7</v>
      </c>
      <c r="J3" s="3" t="s">
        <v>8</v>
      </c>
      <c r="K3" s="3" t="s">
        <v>9</v>
      </c>
    </row>
    <row r="4" spans="1:11" x14ac:dyDescent="0.25">
      <c r="A4" s="203" t="s">
        <v>22</v>
      </c>
      <c r="B4" s="4" t="s">
        <v>43</v>
      </c>
      <c r="C4" s="5">
        <v>4.8</v>
      </c>
      <c r="D4" s="5" t="s">
        <v>167</v>
      </c>
      <c r="E4" s="5">
        <v>17.3</v>
      </c>
      <c r="F4" s="5">
        <v>4.0999999999999996</v>
      </c>
      <c r="G4" s="13">
        <v>1.8</v>
      </c>
      <c r="H4" s="13">
        <v>0.4</v>
      </c>
      <c r="I4" s="13">
        <v>0.8</v>
      </c>
      <c r="J4" s="13">
        <v>2.1</v>
      </c>
      <c r="K4" s="13">
        <v>31.3</v>
      </c>
    </row>
    <row r="5" spans="1:11" x14ac:dyDescent="0.25">
      <c r="A5" s="203"/>
      <c r="B5" s="4" t="s">
        <v>44</v>
      </c>
      <c r="C5" s="5">
        <v>89.1</v>
      </c>
      <c r="D5" s="5">
        <v>10.199999999999999</v>
      </c>
      <c r="E5" s="5">
        <v>169.8</v>
      </c>
      <c r="F5" s="5">
        <v>29.3</v>
      </c>
      <c r="G5" s="13">
        <v>17.7</v>
      </c>
      <c r="H5" s="13">
        <v>3.4</v>
      </c>
      <c r="I5" s="13">
        <v>4.9000000000000004</v>
      </c>
      <c r="J5" s="13">
        <v>37.799999999999997</v>
      </c>
      <c r="K5" s="13">
        <v>362.2</v>
      </c>
    </row>
    <row r="6" spans="1:11" x14ac:dyDescent="0.25">
      <c r="A6" s="203"/>
      <c r="B6" s="4" t="s">
        <v>45</v>
      </c>
      <c r="C6" s="5">
        <v>9.1999999999999993</v>
      </c>
      <c r="D6" s="5">
        <v>1.6</v>
      </c>
      <c r="E6" s="5">
        <v>5.5</v>
      </c>
      <c r="F6" s="5">
        <v>0.2</v>
      </c>
      <c r="G6" s="13">
        <v>0.4</v>
      </c>
      <c r="H6" s="13">
        <v>1.1000000000000001</v>
      </c>
      <c r="I6" s="13">
        <v>1</v>
      </c>
      <c r="J6" s="13">
        <v>3.1</v>
      </c>
      <c r="K6" s="13">
        <v>22.1</v>
      </c>
    </row>
    <row r="7" spans="1:11" x14ac:dyDescent="0.25">
      <c r="A7" s="203"/>
      <c r="B7" s="105" t="s">
        <v>12</v>
      </c>
      <c r="C7" s="63">
        <v>103.2</v>
      </c>
      <c r="D7" s="63">
        <v>11.8</v>
      </c>
      <c r="E7" s="63">
        <v>192.5</v>
      </c>
      <c r="F7" s="63">
        <v>33.6</v>
      </c>
      <c r="G7" s="63">
        <v>19.899999999999999</v>
      </c>
      <c r="H7" s="63">
        <v>4.9000000000000004</v>
      </c>
      <c r="I7" s="63">
        <v>6.7</v>
      </c>
      <c r="J7" s="63">
        <v>43.1</v>
      </c>
      <c r="K7" s="63">
        <v>415.7</v>
      </c>
    </row>
    <row r="8" spans="1:11" x14ac:dyDescent="0.25">
      <c r="A8" s="203" t="s">
        <v>23</v>
      </c>
      <c r="B8" s="4" t="s">
        <v>43</v>
      </c>
      <c r="C8" s="13">
        <v>1.9</v>
      </c>
      <c r="D8" s="13">
        <v>0.3</v>
      </c>
      <c r="E8" s="13">
        <v>4.9000000000000004</v>
      </c>
      <c r="F8" s="13">
        <v>0.9</v>
      </c>
      <c r="G8" s="13">
        <v>0.5</v>
      </c>
      <c r="H8" s="13">
        <v>0.3</v>
      </c>
      <c r="I8" s="13">
        <v>0.1</v>
      </c>
      <c r="J8" s="13">
        <v>0.1</v>
      </c>
      <c r="K8" s="13">
        <v>9</v>
      </c>
    </row>
    <row r="9" spans="1:11" x14ac:dyDescent="0.25">
      <c r="A9" s="203"/>
      <c r="B9" s="4" t="s">
        <v>44</v>
      </c>
      <c r="C9" s="13">
        <v>53.9</v>
      </c>
      <c r="D9" s="13">
        <v>52.9</v>
      </c>
      <c r="E9" s="13">
        <v>73.8</v>
      </c>
      <c r="F9" s="13">
        <v>16.100000000000001</v>
      </c>
      <c r="G9" s="13">
        <v>15.1</v>
      </c>
      <c r="H9" s="13">
        <v>7.8</v>
      </c>
      <c r="I9" s="13">
        <v>10.7</v>
      </c>
      <c r="J9" s="13">
        <v>1.9</v>
      </c>
      <c r="K9" s="13">
        <v>232.3</v>
      </c>
    </row>
    <row r="10" spans="1:11" x14ac:dyDescent="0.25">
      <c r="A10" s="203"/>
      <c r="B10" s="4" t="s">
        <v>45</v>
      </c>
      <c r="C10" s="13">
        <v>8.5</v>
      </c>
      <c r="D10" s="13">
        <v>12.2</v>
      </c>
      <c r="E10" s="13">
        <v>4.0999999999999996</v>
      </c>
      <c r="F10" s="13">
        <v>0.4</v>
      </c>
      <c r="G10" s="13">
        <v>2.2000000000000002</v>
      </c>
      <c r="H10" s="13">
        <v>0.4</v>
      </c>
      <c r="I10" s="13">
        <v>0.6</v>
      </c>
      <c r="J10" s="13" t="s">
        <v>167</v>
      </c>
      <c r="K10" s="13">
        <v>28.3</v>
      </c>
    </row>
    <row r="11" spans="1:11" x14ac:dyDescent="0.25">
      <c r="A11" s="203"/>
      <c r="B11" s="105" t="s">
        <v>12</v>
      </c>
      <c r="C11" s="63">
        <v>64.3</v>
      </c>
      <c r="D11" s="63">
        <v>65.400000000000006</v>
      </c>
      <c r="E11" s="63">
        <v>82.9</v>
      </c>
      <c r="F11" s="63">
        <v>17.399999999999999</v>
      </c>
      <c r="G11" s="63">
        <v>17.8</v>
      </c>
      <c r="H11" s="63">
        <v>8.5</v>
      </c>
      <c r="I11" s="63">
        <v>11.3</v>
      </c>
      <c r="J11" s="63">
        <v>2</v>
      </c>
      <c r="K11" s="63">
        <v>269.60000000000002</v>
      </c>
    </row>
    <row r="12" spans="1:11" x14ac:dyDescent="0.25">
      <c r="A12" s="203" t="s">
        <v>24</v>
      </c>
      <c r="B12" s="4" t="s">
        <v>43</v>
      </c>
      <c r="C12" s="13">
        <v>0.1</v>
      </c>
      <c r="D12" s="13" t="s">
        <v>167</v>
      </c>
      <c r="E12" s="13" t="s">
        <v>167</v>
      </c>
      <c r="F12" s="13" t="s">
        <v>167</v>
      </c>
      <c r="G12" s="13" t="s">
        <v>167</v>
      </c>
      <c r="H12" s="13" t="s">
        <v>167</v>
      </c>
      <c r="I12" s="13" t="s">
        <v>167</v>
      </c>
      <c r="J12" s="13" t="s">
        <v>167</v>
      </c>
      <c r="K12" s="13">
        <v>0.1</v>
      </c>
    </row>
    <row r="13" spans="1:11" x14ac:dyDescent="0.25">
      <c r="A13" s="203"/>
      <c r="B13" s="4" t="s">
        <v>44</v>
      </c>
      <c r="C13" s="13">
        <v>0.5</v>
      </c>
      <c r="D13" s="13">
        <v>0.2</v>
      </c>
      <c r="E13" s="13">
        <v>0.3</v>
      </c>
      <c r="F13" s="13" t="s">
        <v>167</v>
      </c>
      <c r="G13" s="13">
        <v>0.3</v>
      </c>
      <c r="H13" s="13" t="s">
        <v>167</v>
      </c>
      <c r="I13" s="13" t="s">
        <v>167</v>
      </c>
      <c r="J13" s="13">
        <v>0.4</v>
      </c>
      <c r="K13" s="13">
        <v>1.7</v>
      </c>
    </row>
    <row r="14" spans="1:11" x14ac:dyDescent="0.25">
      <c r="A14" s="203"/>
      <c r="B14" s="4" t="s">
        <v>45</v>
      </c>
      <c r="C14" s="13" t="s">
        <v>167</v>
      </c>
      <c r="D14" s="13" t="s">
        <v>167</v>
      </c>
      <c r="E14" s="13" t="s">
        <v>167</v>
      </c>
      <c r="F14" s="13" t="s">
        <v>167</v>
      </c>
      <c r="G14" s="13" t="s">
        <v>167</v>
      </c>
      <c r="H14" s="13" t="s">
        <v>167</v>
      </c>
      <c r="I14" s="13" t="s">
        <v>167</v>
      </c>
      <c r="J14" s="13">
        <v>1</v>
      </c>
      <c r="K14" s="13">
        <v>1</v>
      </c>
    </row>
    <row r="15" spans="1:11" x14ac:dyDescent="0.25">
      <c r="A15" s="203"/>
      <c r="B15" s="105" t="s">
        <v>12</v>
      </c>
      <c r="C15" s="63">
        <v>0.6</v>
      </c>
      <c r="D15" s="13">
        <v>0.2</v>
      </c>
      <c r="E15" s="63">
        <v>0.3</v>
      </c>
      <c r="F15" s="13" t="s">
        <v>167</v>
      </c>
      <c r="G15" s="13">
        <v>0.4</v>
      </c>
      <c r="H15" s="13" t="s">
        <v>167</v>
      </c>
      <c r="I15" s="63" t="s">
        <v>167</v>
      </c>
      <c r="J15" s="63">
        <v>1.4</v>
      </c>
      <c r="K15" s="63">
        <v>2.8</v>
      </c>
    </row>
    <row r="16" spans="1:11" x14ac:dyDescent="0.25">
      <c r="A16" s="203" t="s">
        <v>12</v>
      </c>
      <c r="B16" s="4" t="s">
        <v>43</v>
      </c>
      <c r="C16" s="13">
        <v>6.9</v>
      </c>
      <c r="D16" s="13">
        <v>0.3</v>
      </c>
      <c r="E16" s="13">
        <v>22.2</v>
      </c>
      <c r="F16" s="13">
        <v>5</v>
      </c>
      <c r="G16" s="13">
        <v>2.2999999999999998</v>
      </c>
      <c r="H16" s="13">
        <v>0.7</v>
      </c>
      <c r="I16" s="13">
        <v>0.8</v>
      </c>
      <c r="J16" s="13">
        <v>2.2999999999999998</v>
      </c>
      <c r="K16" s="13">
        <v>40.4</v>
      </c>
    </row>
    <row r="17" spans="1:13" x14ac:dyDescent="0.25">
      <c r="A17" s="203"/>
      <c r="B17" s="4" t="s">
        <v>44</v>
      </c>
      <c r="C17" s="13">
        <v>143.5</v>
      </c>
      <c r="D17" s="13">
        <v>63.3</v>
      </c>
      <c r="E17" s="13">
        <v>243.9</v>
      </c>
      <c r="F17" s="13">
        <v>45.4</v>
      </c>
      <c r="G17" s="13">
        <v>33.200000000000003</v>
      </c>
      <c r="H17" s="13">
        <v>11.2</v>
      </c>
      <c r="I17" s="13">
        <v>15.6</v>
      </c>
      <c r="J17" s="13">
        <v>40.1</v>
      </c>
      <c r="K17" s="13">
        <v>596.20000000000005</v>
      </c>
    </row>
    <row r="18" spans="1:13" x14ac:dyDescent="0.25">
      <c r="A18" s="203"/>
      <c r="B18" s="4" t="s">
        <v>45</v>
      </c>
      <c r="C18" s="13">
        <v>17.7</v>
      </c>
      <c r="D18" s="13">
        <v>13.8</v>
      </c>
      <c r="E18" s="13">
        <v>9.5</v>
      </c>
      <c r="F18" s="13">
        <v>0.6</v>
      </c>
      <c r="G18" s="13">
        <v>2.7</v>
      </c>
      <c r="H18" s="13">
        <v>1.5</v>
      </c>
      <c r="I18" s="13">
        <v>1.6</v>
      </c>
      <c r="J18" s="13">
        <v>4.0999999999999996</v>
      </c>
      <c r="K18" s="13">
        <v>51.5</v>
      </c>
    </row>
    <row r="19" spans="1:13" ht="14.25" customHeight="1" x14ac:dyDescent="0.25">
      <c r="A19" s="203"/>
      <c r="B19" s="105" t="s">
        <v>12</v>
      </c>
      <c r="C19" s="63">
        <v>168.1</v>
      </c>
      <c r="D19" s="63">
        <v>77.400000000000006</v>
      </c>
      <c r="E19" s="63">
        <v>275.60000000000002</v>
      </c>
      <c r="F19" s="63">
        <v>51</v>
      </c>
      <c r="G19" s="63">
        <v>38.1</v>
      </c>
      <c r="H19" s="63">
        <v>13.4</v>
      </c>
      <c r="I19" s="63">
        <v>18</v>
      </c>
      <c r="J19" s="63">
        <v>46.5</v>
      </c>
      <c r="K19" s="63">
        <v>688.1</v>
      </c>
    </row>
    <row r="20" spans="1:13" ht="12" hidden="1" customHeight="1" x14ac:dyDescent="0.25">
      <c r="A20" s="2"/>
    </row>
    <row r="21" spans="1:13" ht="11.1" customHeight="1" x14ac:dyDescent="0.25">
      <c r="A21" s="201" t="s">
        <v>13</v>
      </c>
      <c r="B21" s="201"/>
      <c r="C21" s="201"/>
      <c r="D21" s="201"/>
      <c r="E21" s="201"/>
      <c r="F21" s="201"/>
      <c r="G21" s="201"/>
      <c r="H21" s="201"/>
      <c r="I21" s="201"/>
      <c r="J21" s="201"/>
      <c r="K21" s="201"/>
    </row>
    <row r="22" spans="1:13" s="6" customFormat="1" ht="11.1" customHeight="1" x14ac:dyDescent="0.15">
      <c r="A22" s="6" t="s">
        <v>14</v>
      </c>
    </row>
    <row r="23" spans="1:13" s="10" customFormat="1" ht="11.1" customHeight="1" x14ac:dyDescent="0.2">
      <c r="A23" s="57" t="s">
        <v>18</v>
      </c>
    </row>
    <row r="24" spans="1:13" s="6" customFormat="1" ht="11.1" customHeight="1" x14ac:dyDescent="0.15">
      <c r="A24" s="6" t="s">
        <v>31</v>
      </c>
    </row>
    <row r="25" spans="1:13" s="6" customFormat="1" ht="19.5" customHeight="1" x14ac:dyDescent="0.15">
      <c r="A25" s="199" t="s">
        <v>37</v>
      </c>
      <c r="B25" s="199"/>
      <c r="C25" s="199"/>
      <c r="D25" s="199"/>
      <c r="E25" s="199"/>
      <c r="F25" s="199"/>
      <c r="G25" s="199"/>
      <c r="H25" s="199"/>
      <c r="I25" s="199"/>
      <c r="J25" s="199"/>
      <c r="K25" s="199"/>
    </row>
    <row r="26" spans="1:13" s="6" customFormat="1" ht="18" customHeight="1" x14ac:dyDescent="0.15">
      <c r="A26" s="199" t="s">
        <v>118</v>
      </c>
      <c r="B26" s="199"/>
      <c r="C26" s="199"/>
      <c r="D26" s="199"/>
      <c r="E26" s="199"/>
      <c r="F26" s="199"/>
      <c r="G26" s="199"/>
      <c r="H26" s="199"/>
      <c r="I26" s="199"/>
      <c r="J26" s="199"/>
      <c r="K26" s="199"/>
    </row>
    <row r="27" spans="1:13" s="6" customFormat="1" ht="11.1" customHeight="1" x14ac:dyDescent="0.15">
      <c r="A27" s="6" t="s">
        <v>16</v>
      </c>
    </row>
    <row r="28" spans="1:13" s="6" customFormat="1" ht="11.1" customHeight="1" x14ac:dyDescent="0.15">
      <c r="A28" s="6" t="s">
        <v>271</v>
      </c>
    </row>
    <row r="29" spans="1:13" ht="12" customHeight="1" x14ac:dyDescent="0.25">
      <c r="A29" s="2"/>
    </row>
    <row r="30" spans="1:13" ht="27.95" customHeight="1" x14ac:dyDescent="0.25">
      <c r="A30" s="198" t="s">
        <v>371</v>
      </c>
      <c r="B30" s="198"/>
      <c r="C30" s="198"/>
      <c r="D30" s="198"/>
      <c r="E30" s="198"/>
      <c r="F30" s="198"/>
      <c r="G30" s="198"/>
      <c r="H30" s="198"/>
      <c r="I30" s="198"/>
      <c r="J30" s="198"/>
      <c r="K30" s="198"/>
      <c r="L30" s="198"/>
      <c r="M30" s="198"/>
    </row>
    <row r="31" spans="1:13" ht="1.5" customHeight="1" x14ac:dyDescent="0.25">
      <c r="A31" s="2"/>
    </row>
    <row r="32" spans="1:13" x14ac:dyDescent="0.25">
      <c r="A32" s="36" t="s">
        <v>186</v>
      </c>
      <c r="B32" s="36" t="s">
        <v>184</v>
      </c>
      <c r="C32" s="3" t="s">
        <v>1</v>
      </c>
      <c r="D32" s="3" t="s">
        <v>2</v>
      </c>
      <c r="E32" s="3" t="s">
        <v>3</v>
      </c>
      <c r="F32" s="3" t="s">
        <v>4</v>
      </c>
      <c r="G32" s="3" t="s">
        <v>5</v>
      </c>
      <c r="H32" s="3" t="s">
        <v>6</v>
      </c>
      <c r="I32" s="3" t="s">
        <v>7</v>
      </c>
      <c r="J32" s="3" t="s">
        <v>8</v>
      </c>
      <c r="K32" s="3" t="s">
        <v>9</v>
      </c>
    </row>
    <row r="33" spans="1:12" x14ac:dyDescent="0.25">
      <c r="A33" s="105" t="s">
        <v>22</v>
      </c>
      <c r="B33" s="4" t="s">
        <v>43</v>
      </c>
      <c r="C33" s="8">
        <v>86</v>
      </c>
      <c r="D33" s="8" t="s">
        <v>174</v>
      </c>
      <c r="E33" s="8">
        <v>91</v>
      </c>
      <c r="F33" s="8" t="s">
        <v>174</v>
      </c>
      <c r="G33" s="8">
        <v>34</v>
      </c>
      <c r="H33" s="8" t="s">
        <v>174</v>
      </c>
      <c r="I33" s="8" t="s">
        <v>174</v>
      </c>
      <c r="J33" s="8" t="s">
        <v>174</v>
      </c>
      <c r="K33" s="8">
        <v>362</v>
      </c>
    </row>
    <row r="34" spans="1:12" x14ac:dyDescent="0.25">
      <c r="A34" s="105"/>
      <c r="B34" s="4" t="s">
        <v>44</v>
      </c>
      <c r="C34" s="8">
        <v>676</v>
      </c>
      <c r="D34" s="8">
        <v>49</v>
      </c>
      <c r="E34" s="8">
        <v>629</v>
      </c>
      <c r="F34" s="8">
        <v>415</v>
      </c>
      <c r="G34" s="8">
        <v>148</v>
      </c>
      <c r="H34" s="8" t="s">
        <v>174</v>
      </c>
      <c r="I34" s="8" t="s">
        <v>174</v>
      </c>
      <c r="J34" s="8">
        <v>284</v>
      </c>
      <c r="K34" s="8">
        <v>2250</v>
      </c>
    </row>
    <row r="35" spans="1:12" x14ac:dyDescent="0.25">
      <c r="A35" s="105"/>
      <c r="B35" s="4" t="s">
        <v>45</v>
      </c>
      <c r="C35" s="8">
        <v>33</v>
      </c>
      <c r="D35" s="8" t="s">
        <v>174</v>
      </c>
      <c r="E35" s="8">
        <v>11</v>
      </c>
      <c r="F35" s="8" t="s">
        <v>174</v>
      </c>
      <c r="G35" s="8">
        <v>4</v>
      </c>
      <c r="H35" s="8" t="s">
        <v>174</v>
      </c>
      <c r="I35" s="8" t="s">
        <v>174</v>
      </c>
      <c r="J35" s="8" t="s">
        <v>174</v>
      </c>
      <c r="K35" s="8">
        <v>54</v>
      </c>
    </row>
    <row r="36" spans="1:12" x14ac:dyDescent="0.25">
      <c r="A36" s="105"/>
      <c r="B36" s="9" t="s">
        <v>12</v>
      </c>
      <c r="C36" s="81">
        <v>795</v>
      </c>
      <c r="D36" s="81">
        <v>53</v>
      </c>
      <c r="E36" s="81">
        <v>731</v>
      </c>
      <c r="F36" s="81">
        <v>527</v>
      </c>
      <c r="G36" s="81">
        <v>186</v>
      </c>
      <c r="H36" s="81">
        <v>22</v>
      </c>
      <c r="I36" s="81">
        <v>34</v>
      </c>
      <c r="J36" s="81">
        <v>318</v>
      </c>
      <c r="K36" s="81">
        <v>2666</v>
      </c>
    </row>
    <row r="37" spans="1:12" x14ac:dyDescent="0.25">
      <c r="A37" s="105" t="s">
        <v>23</v>
      </c>
      <c r="B37" s="4" t="s">
        <v>43</v>
      </c>
      <c r="C37" s="8">
        <v>55</v>
      </c>
      <c r="D37" s="8" t="s">
        <v>174</v>
      </c>
      <c r="E37" s="8">
        <v>33</v>
      </c>
      <c r="F37" s="8" t="s">
        <v>174</v>
      </c>
      <c r="G37" s="8">
        <v>14</v>
      </c>
      <c r="H37" s="8" t="s">
        <v>174</v>
      </c>
      <c r="I37" s="8" t="s">
        <v>174</v>
      </c>
      <c r="J37" s="8" t="s">
        <v>174</v>
      </c>
      <c r="K37" s="8">
        <v>141</v>
      </c>
    </row>
    <row r="38" spans="1:12" x14ac:dyDescent="0.25">
      <c r="A38" s="105"/>
      <c r="B38" s="4" t="s">
        <v>44</v>
      </c>
      <c r="C38" s="8">
        <v>589</v>
      </c>
      <c r="D38" s="8">
        <v>292</v>
      </c>
      <c r="E38" s="8">
        <v>294</v>
      </c>
      <c r="F38" s="8">
        <v>230</v>
      </c>
      <c r="G38" s="8">
        <v>138</v>
      </c>
      <c r="H38" s="8" t="s">
        <v>174</v>
      </c>
      <c r="I38" s="8" t="s">
        <v>174</v>
      </c>
      <c r="J38" s="8">
        <v>9</v>
      </c>
      <c r="K38" s="8">
        <v>1655</v>
      </c>
    </row>
    <row r="39" spans="1:12" x14ac:dyDescent="0.25">
      <c r="A39" s="105"/>
      <c r="B39" s="4" t="s">
        <v>45</v>
      </c>
      <c r="C39" s="8">
        <v>27</v>
      </c>
      <c r="D39" s="8" t="s">
        <v>174</v>
      </c>
      <c r="E39" s="8">
        <v>8</v>
      </c>
      <c r="F39" s="8" t="s">
        <v>174</v>
      </c>
      <c r="G39" s="8">
        <v>7</v>
      </c>
      <c r="H39" s="8" t="s">
        <v>174</v>
      </c>
      <c r="I39" s="8" t="s">
        <v>174</v>
      </c>
      <c r="J39" s="8" t="s">
        <v>174</v>
      </c>
      <c r="K39" s="8">
        <v>62</v>
      </c>
    </row>
    <row r="40" spans="1:12" x14ac:dyDescent="0.25">
      <c r="A40" s="105"/>
      <c r="B40" s="9" t="s">
        <v>12</v>
      </c>
      <c r="C40" s="81">
        <v>671</v>
      </c>
      <c r="D40" s="81">
        <v>317</v>
      </c>
      <c r="E40" s="81">
        <v>335</v>
      </c>
      <c r="F40" s="81">
        <v>257</v>
      </c>
      <c r="G40" s="81">
        <v>159</v>
      </c>
      <c r="H40" s="81">
        <v>44</v>
      </c>
      <c r="I40" s="81">
        <v>65</v>
      </c>
      <c r="J40" s="81">
        <v>10</v>
      </c>
      <c r="K40" s="81">
        <v>1858</v>
      </c>
      <c r="L40" s="128"/>
    </row>
    <row r="41" spans="1:12" x14ac:dyDescent="0.25">
      <c r="A41" s="105" t="s">
        <v>24</v>
      </c>
      <c r="B41" s="4" t="s">
        <v>43</v>
      </c>
      <c r="C41" s="8">
        <v>8</v>
      </c>
      <c r="D41" s="8" t="s">
        <v>167</v>
      </c>
      <c r="E41" s="5" t="s">
        <v>167</v>
      </c>
      <c r="F41" s="8" t="s">
        <v>167</v>
      </c>
      <c r="G41" s="8" t="s">
        <v>167</v>
      </c>
      <c r="H41" s="8" t="s">
        <v>167</v>
      </c>
      <c r="I41" s="8" t="s">
        <v>167</v>
      </c>
      <c r="J41" s="8" t="s">
        <v>167</v>
      </c>
      <c r="K41" s="8">
        <v>8</v>
      </c>
    </row>
    <row r="42" spans="1:12" x14ac:dyDescent="0.25">
      <c r="A42" s="105"/>
      <c r="B42" s="4" t="s">
        <v>44</v>
      </c>
      <c r="C42" s="8">
        <v>40</v>
      </c>
      <c r="D42" s="8">
        <v>2</v>
      </c>
      <c r="E42" s="8">
        <v>3</v>
      </c>
      <c r="F42" s="8" t="s">
        <v>167</v>
      </c>
      <c r="G42" s="8">
        <v>3</v>
      </c>
      <c r="H42" s="8" t="s">
        <v>167</v>
      </c>
      <c r="I42" s="8" t="s">
        <v>167</v>
      </c>
      <c r="J42" s="8">
        <v>3</v>
      </c>
      <c r="K42" s="8">
        <v>51</v>
      </c>
    </row>
    <row r="43" spans="1:12" x14ac:dyDescent="0.25">
      <c r="A43" s="105"/>
      <c r="B43" s="4" t="s">
        <v>45</v>
      </c>
      <c r="C43" s="8">
        <v>1</v>
      </c>
      <c r="D43" s="8" t="s">
        <v>167</v>
      </c>
      <c r="E43" s="5" t="s">
        <v>167</v>
      </c>
      <c r="F43" s="8" t="s">
        <v>167</v>
      </c>
      <c r="G43" s="8" t="s">
        <v>167</v>
      </c>
      <c r="H43" s="8" t="s">
        <v>167</v>
      </c>
      <c r="I43" s="8" t="s">
        <v>167</v>
      </c>
      <c r="J43" s="8">
        <v>1</v>
      </c>
      <c r="K43" s="8">
        <v>2</v>
      </c>
    </row>
    <row r="44" spans="1:12" x14ac:dyDescent="0.25">
      <c r="A44" s="105"/>
      <c r="B44" s="9" t="s">
        <v>12</v>
      </c>
      <c r="C44" s="81">
        <v>49</v>
      </c>
      <c r="D44" s="81">
        <v>2</v>
      </c>
      <c r="E44" s="81">
        <v>3</v>
      </c>
      <c r="F44" s="8" t="s">
        <v>167</v>
      </c>
      <c r="G44" s="81">
        <v>3</v>
      </c>
      <c r="H44" s="8" t="s">
        <v>167</v>
      </c>
      <c r="I44" s="8" t="s">
        <v>167</v>
      </c>
      <c r="J44" s="81">
        <v>4</v>
      </c>
      <c r="K44" s="81">
        <v>61</v>
      </c>
    </row>
    <row r="45" spans="1:12" x14ac:dyDescent="0.25">
      <c r="A45" s="9" t="s">
        <v>12</v>
      </c>
      <c r="B45" s="4" t="s">
        <v>43</v>
      </c>
      <c r="C45" s="8">
        <v>149</v>
      </c>
      <c r="D45" s="8">
        <v>5</v>
      </c>
      <c r="E45" s="8">
        <v>124</v>
      </c>
      <c r="F45" s="8">
        <v>139</v>
      </c>
      <c r="G45" s="8">
        <v>48</v>
      </c>
      <c r="H45" s="8">
        <v>7</v>
      </c>
      <c r="I45" s="8">
        <v>6</v>
      </c>
      <c r="J45" s="8">
        <v>33</v>
      </c>
      <c r="K45" s="8">
        <v>511</v>
      </c>
    </row>
    <row r="46" spans="1:12" x14ac:dyDescent="0.25">
      <c r="A46" s="9"/>
      <c r="B46" s="4" t="s">
        <v>44</v>
      </c>
      <c r="C46" s="8">
        <v>1305</v>
      </c>
      <c r="D46" s="8">
        <v>343</v>
      </c>
      <c r="E46" s="8">
        <v>926</v>
      </c>
      <c r="F46" s="8">
        <v>645</v>
      </c>
      <c r="G46" s="8">
        <v>289</v>
      </c>
      <c r="H46" s="8">
        <v>59</v>
      </c>
      <c r="I46" s="8">
        <v>93</v>
      </c>
      <c r="J46" s="8">
        <v>296</v>
      </c>
      <c r="K46" s="8">
        <v>3956</v>
      </c>
    </row>
    <row r="47" spans="1:12" x14ac:dyDescent="0.25">
      <c r="A47" s="9"/>
      <c r="B47" s="4" t="s">
        <v>45</v>
      </c>
      <c r="C47" s="8">
        <v>61</v>
      </c>
      <c r="D47" s="8">
        <v>24</v>
      </c>
      <c r="E47" s="8">
        <v>19</v>
      </c>
      <c r="F47" s="8" t="s">
        <v>167</v>
      </c>
      <c r="G47" s="8">
        <v>11</v>
      </c>
      <c r="H47" s="8" t="s">
        <v>174</v>
      </c>
      <c r="I47" s="8" t="s">
        <v>174</v>
      </c>
      <c r="J47" s="8" t="s">
        <v>174</v>
      </c>
      <c r="K47" s="8">
        <v>118</v>
      </c>
    </row>
    <row r="48" spans="1:12" ht="18" customHeight="1" x14ac:dyDescent="0.25">
      <c r="A48" s="96"/>
      <c r="B48" s="96" t="s">
        <v>12</v>
      </c>
      <c r="C48" s="101">
        <v>1515</v>
      </c>
      <c r="D48" s="101">
        <v>372</v>
      </c>
      <c r="E48" s="101">
        <v>1069</v>
      </c>
      <c r="F48" s="101">
        <v>784</v>
      </c>
      <c r="G48" s="101">
        <v>348</v>
      </c>
      <c r="H48" s="101">
        <v>66</v>
      </c>
      <c r="I48" s="101">
        <v>99</v>
      </c>
      <c r="J48" s="101">
        <v>332</v>
      </c>
      <c r="K48" s="101">
        <v>4585</v>
      </c>
    </row>
    <row r="49" spans="1:17" s="6" customFormat="1" ht="12.75" customHeight="1" x14ac:dyDescent="0.15">
      <c r="A49" s="6" t="s">
        <v>220</v>
      </c>
    </row>
    <row r="50" spans="1:17" s="6" customFormat="1" ht="11.1" customHeight="1" x14ac:dyDescent="0.15">
      <c r="A50" s="202" t="s">
        <v>18</v>
      </c>
      <c r="B50" s="202"/>
      <c r="C50" s="202"/>
      <c r="D50" s="202"/>
      <c r="E50" s="202"/>
      <c r="F50" s="202"/>
      <c r="G50" s="202"/>
      <c r="H50" s="202"/>
      <c r="I50" s="202"/>
      <c r="J50" s="202"/>
      <c r="K50" s="202"/>
      <c r="L50" s="202"/>
      <c r="M50" s="202"/>
    </row>
    <row r="51" spans="1:17" s="6" customFormat="1" ht="9" x14ac:dyDescent="0.15">
      <c r="A51" s="6" t="s">
        <v>31</v>
      </c>
    </row>
    <row r="52" spans="1:17" s="6" customFormat="1" ht="20.25" customHeight="1" x14ac:dyDescent="0.15">
      <c r="A52" s="199" t="s">
        <v>119</v>
      </c>
      <c r="B52" s="199"/>
      <c r="C52" s="199"/>
      <c r="D52" s="199"/>
      <c r="E52" s="199"/>
      <c r="F52" s="199"/>
      <c r="G52" s="199"/>
      <c r="H52" s="199"/>
      <c r="I52" s="199"/>
      <c r="J52" s="199"/>
      <c r="K52" s="199"/>
    </row>
    <row r="53" spans="1:17" s="6" customFormat="1" ht="11.1" customHeight="1" x14ac:dyDescent="0.15">
      <c r="A53" s="6" t="s">
        <v>120</v>
      </c>
    </row>
    <row r="54" spans="1:17" s="6" customFormat="1" ht="11.1" customHeight="1" x14ac:dyDescent="0.15">
      <c r="A54" s="6" t="s">
        <v>265</v>
      </c>
    </row>
    <row r="55" spans="1:17" s="6" customFormat="1" ht="11.1" customHeight="1" x14ac:dyDescent="0.15"/>
    <row r="56" spans="1:17" ht="12" customHeight="1" x14ac:dyDescent="0.25">
      <c r="A56" s="6" t="s">
        <v>271</v>
      </c>
      <c r="B56" s="6"/>
      <c r="C56" s="6"/>
      <c r="D56" s="6"/>
      <c r="E56" s="6"/>
      <c r="F56" s="6"/>
      <c r="G56" s="6"/>
      <c r="H56" s="6"/>
      <c r="I56" s="6"/>
      <c r="J56" s="6"/>
      <c r="K56" s="6"/>
      <c r="L56" s="6"/>
      <c r="M56" s="6"/>
    </row>
    <row r="62" spans="1:17" x14ac:dyDescent="0.25">
      <c r="Q62" s="127"/>
    </row>
    <row r="64" spans="1:17" x14ac:dyDescent="0.25">
      <c r="Q64" s="127"/>
    </row>
    <row r="66" spans="9:17" x14ac:dyDescent="0.25">
      <c r="Q66" s="127"/>
    </row>
    <row r="68" spans="9:17" x14ac:dyDescent="0.25">
      <c r="Q68" s="127"/>
    </row>
    <row r="74" spans="9:17" x14ac:dyDescent="0.25">
      <c r="I74" s="127"/>
      <c r="Q74" s="127"/>
    </row>
    <row r="76" spans="9:17" x14ac:dyDescent="0.25">
      <c r="I76" s="127"/>
      <c r="K76" s="127"/>
      <c r="Q76" s="127"/>
    </row>
  </sheetData>
  <mergeCells count="11">
    <mergeCell ref="A21:K21"/>
    <mergeCell ref="A16:A19"/>
    <mergeCell ref="A1:K1"/>
    <mergeCell ref="A4:A7"/>
    <mergeCell ref="A8:A11"/>
    <mergeCell ref="A12:A15"/>
    <mergeCell ref="A52:K52"/>
    <mergeCell ref="A25:K25"/>
    <mergeCell ref="A26:K26"/>
    <mergeCell ref="A30:M30"/>
    <mergeCell ref="A50:M50"/>
  </mergeCells>
  <pageMargins left="0.08" right="0.08" top="1" bottom="1" header="0.5" footer="0.5"/>
  <pageSetup orientation="landscape" blackAndWhite="1"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Q40"/>
  <sheetViews>
    <sheetView zoomScaleNormal="100" workbookViewId="0">
      <selection activeCell="L33" sqref="L33"/>
    </sheetView>
  </sheetViews>
  <sheetFormatPr defaultColWidth="9.140625" defaultRowHeight="15" x14ac:dyDescent="0.25"/>
  <cols>
    <col min="1" max="12" width="11.42578125" style="1" bestFit="1" customWidth="1"/>
    <col min="13" max="16384" width="9.140625" style="1"/>
  </cols>
  <sheetData>
    <row r="1" spans="1:10" ht="17.25" customHeight="1" x14ac:dyDescent="0.25">
      <c r="A1" s="200" t="s">
        <v>369</v>
      </c>
      <c r="B1" s="200"/>
      <c r="C1" s="200"/>
      <c r="D1" s="200"/>
      <c r="E1" s="200"/>
      <c r="F1" s="200"/>
      <c r="G1" s="200"/>
      <c r="H1" s="200"/>
      <c r="I1" s="200"/>
      <c r="J1" s="200"/>
    </row>
    <row r="2" spans="1:10" ht="12" hidden="1" customHeight="1" x14ac:dyDescent="0.25">
      <c r="A2" s="2"/>
    </row>
    <row r="3" spans="1:10" x14ac:dyDescent="0.25">
      <c r="A3" s="3" t="s">
        <v>0</v>
      </c>
      <c r="B3" s="3" t="s">
        <v>1</v>
      </c>
      <c r="C3" s="3" t="s">
        <v>2</v>
      </c>
      <c r="D3" s="3" t="s">
        <v>3</v>
      </c>
      <c r="E3" s="3" t="s">
        <v>4</v>
      </c>
      <c r="F3" s="3" t="s">
        <v>5</v>
      </c>
      <c r="G3" s="3" t="s">
        <v>6</v>
      </c>
      <c r="H3" s="3" t="s">
        <v>7</v>
      </c>
      <c r="I3" s="3" t="s">
        <v>8</v>
      </c>
      <c r="J3" s="3" t="s">
        <v>9</v>
      </c>
    </row>
    <row r="4" spans="1:10" x14ac:dyDescent="0.25">
      <c r="A4" s="4" t="s">
        <v>51</v>
      </c>
      <c r="B4" s="5">
        <v>132.1</v>
      </c>
      <c r="C4" s="5">
        <v>93.1</v>
      </c>
      <c r="D4" s="5">
        <v>216.1</v>
      </c>
      <c r="E4" s="5">
        <v>62.1</v>
      </c>
      <c r="F4" s="5">
        <v>23.6</v>
      </c>
      <c r="G4" s="5">
        <v>6.7</v>
      </c>
      <c r="H4" s="5">
        <v>8.6</v>
      </c>
      <c r="I4" s="5">
        <v>27.6</v>
      </c>
      <c r="J4" s="5">
        <v>570.1</v>
      </c>
    </row>
    <row r="5" spans="1:10" x14ac:dyDescent="0.25">
      <c r="A5" s="4" t="s">
        <v>52</v>
      </c>
      <c r="B5" s="5">
        <v>136.6</v>
      </c>
      <c r="C5" s="5">
        <v>73.099999999999994</v>
      </c>
      <c r="D5" s="5">
        <v>259</v>
      </c>
      <c r="E5" s="5">
        <v>73.8</v>
      </c>
      <c r="F5" s="5">
        <v>29.3</v>
      </c>
      <c r="G5" s="5">
        <v>6.9</v>
      </c>
      <c r="H5" s="5">
        <v>8.1999999999999993</v>
      </c>
      <c r="I5" s="5">
        <v>42.9</v>
      </c>
      <c r="J5" s="5">
        <v>629.70000000000005</v>
      </c>
    </row>
    <row r="6" spans="1:10" x14ac:dyDescent="0.25">
      <c r="A6" s="4" t="s">
        <v>53</v>
      </c>
      <c r="B6" s="5">
        <v>142.30000000000001</v>
      </c>
      <c r="C6" s="5">
        <v>72.7</v>
      </c>
      <c r="D6" s="5">
        <v>285.2</v>
      </c>
      <c r="E6" s="5">
        <v>61.3</v>
      </c>
      <c r="F6" s="5">
        <v>30</v>
      </c>
      <c r="G6" s="5">
        <v>11.7</v>
      </c>
      <c r="H6" s="5">
        <v>9.8000000000000007</v>
      </c>
      <c r="I6" s="5">
        <v>49.1</v>
      </c>
      <c r="J6" s="5">
        <v>662</v>
      </c>
    </row>
    <row r="7" spans="1:10" x14ac:dyDescent="0.25">
      <c r="A7" s="4" t="s">
        <v>227</v>
      </c>
      <c r="B7" s="5">
        <v>164.2</v>
      </c>
      <c r="C7" s="5">
        <v>59.6</v>
      </c>
      <c r="D7" s="5">
        <v>287.10000000000002</v>
      </c>
      <c r="E7" s="5">
        <v>52.1</v>
      </c>
      <c r="F7" s="5">
        <v>30.5</v>
      </c>
      <c r="G7" s="5">
        <v>13.1</v>
      </c>
      <c r="H7" s="5">
        <v>12.7</v>
      </c>
      <c r="I7" s="5">
        <v>45.7</v>
      </c>
      <c r="J7" s="5">
        <v>665.1</v>
      </c>
    </row>
    <row r="8" spans="1:10" x14ac:dyDescent="0.25">
      <c r="A8" s="4" t="s">
        <v>289</v>
      </c>
      <c r="B8" s="5">
        <v>168.1</v>
      </c>
      <c r="C8" s="5">
        <v>77.400000000000006</v>
      </c>
      <c r="D8" s="5">
        <v>275.60000000000002</v>
      </c>
      <c r="E8" s="5">
        <v>51</v>
      </c>
      <c r="F8" s="5">
        <v>38.1</v>
      </c>
      <c r="G8" s="5">
        <v>13.4</v>
      </c>
      <c r="H8" s="5">
        <v>18</v>
      </c>
      <c r="I8" s="5">
        <v>46.5</v>
      </c>
      <c r="J8" s="5">
        <v>688.1</v>
      </c>
    </row>
    <row r="9" spans="1:10" ht="11.1" customHeight="1" x14ac:dyDescent="0.25">
      <c r="A9" s="201" t="s">
        <v>13</v>
      </c>
      <c r="B9" s="201"/>
      <c r="C9" s="201"/>
      <c r="D9" s="201"/>
      <c r="E9" s="201"/>
      <c r="F9" s="201"/>
      <c r="G9" s="201"/>
      <c r="H9" s="201"/>
      <c r="I9" s="201"/>
      <c r="J9" s="201"/>
    </row>
    <row r="10" spans="1:10" s="6" customFormat="1" ht="11.1" customHeight="1" x14ac:dyDescent="0.15">
      <c r="A10" s="6" t="s">
        <v>14</v>
      </c>
    </row>
    <row r="11" spans="1:10" s="10" customFormat="1" ht="11.1" customHeight="1" x14ac:dyDescent="0.2">
      <c r="A11" s="57" t="s">
        <v>18</v>
      </c>
    </row>
    <row r="12" spans="1:10" s="6" customFormat="1" ht="20.25" customHeight="1" x14ac:dyDescent="0.15">
      <c r="A12" s="199" t="s">
        <v>113</v>
      </c>
      <c r="B12" s="199"/>
      <c r="C12" s="199"/>
      <c r="D12" s="199"/>
      <c r="E12" s="199"/>
      <c r="F12" s="199"/>
      <c r="G12" s="199"/>
      <c r="H12" s="199"/>
      <c r="I12" s="199"/>
      <c r="J12" s="199"/>
    </row>
    <row r="13" spans="1:10" s="6" customFormat="1" ht="11.1" customHeight="1" x14ac:dyDescent="0.15">
      <c r="A13" s="6" t="s">
        <v>54</v>
      </c>
    </row>
    <row r="14" spans="1:10" s="6" customFormat="1" ht="11.1" customHeight="1" x14ac:dyDescent="0.15">
      <c r="A14" s="6" t="s">
        <v>115</v>
      </c>
    </row>
    <row r="15" spans="1:10" s="6" customFormat="1" ht="11.1" customHeight="1" x14ac:dyDescent="0.15">
      <c r="A15" s="6" t="s">
        <v>16</v>
      </c>
    </row>
    <row r="16" spans="1:10" s="6" customFormat="1" ht="11.1" customHeight="1" x14ac:dyDescent="0.15">
      <c r="A16" s="6" t="s">
        <v>271</v>
      </c>
    </row>
    <row r="17" spans="1:12" ht="12" customHeight="1" x14ac:dyDescent="0.25">
      <c r="A17" s="2"/>
    </row>
    <row r="18" spans="1:12" ht="27.95" customHeight="1" x14ac:dyDescent="0.25">
      <c r="A18" s="198" t="s">
        <v>424</v>
      </c>
      <c r="B18" s="198"/>
      <c r="C18" s="198"/>
      <c r="D18" s="198"/>
      <c r="E18" s="198"/>
      <c r="F18" s="198"/>
      <c r="G18" s="198"/>
      <c r="H18" s="198"/>
      <c r="I18" s="198"/>
      <c r="J18" s="198"/>
      <c r="K18" s="198"/>
      <c r="L18" s="198"/>
    </row>
    <row r="19" spans="1:12" ht="3.75" customHeight="1" x14ac:dyDescent="0.25">
      <c r="A19" s="2"/>
    </row>
    <row r="20" spans="1:12" x14ac:dyDescent="0.25">
      <c r="A20" s="40"/>
      <c r="B20" s="3" t="s">
        <v>1</v>
      </c>
      <c r="C20" s="3" t="s">
        <v>2</v>
      </c>
      <c r="D20" s="3" t="s">
        <v>3</v>
      </c>
      <c r="E20" s="3" t="s">
        <v>4</v>
      </c>
      <c r="F20" s="3" t="s">
        <v>5</v>
      </c>
      <c r="G20" s="3" t="s">
        <v>6</v>
      </c>
      <c r="H20" s="3" t="s">
        <v>7</v>
      </c>
      <c r="I20" s="3" t="s">
        <v>8</v>
      </c>
      <c r="J20" s="3" t="s">
        <v>9</v>
      </c>
    </row>
    <row r="21" spans="1:12" x14ac:dyDescent="0.25">
      <c r="A21" s="4" t="s">
        <v>51</v>
      </c>
      <c r="B21" s="8">
        <v>1394</v>
      </c>
      <c r="C21" s="8">
        <v>517</v>
      </c>
      <c r="D21" s="8">
        <v>1004</v>
      </c>
      <c r="E21" s="8">
        <v>558</v>
      </c>
      <c r="F21" s="8">
        <v>256</v>
      </c>
      <c r="G21" s="8">
        <v>42</v>
      </c>
      <c r="H21" s="8">
        <v>74</v>
      </c>
      <c r="I21" s="8">
        <v>165</v>
      </c>
      <c r="J21" s="8">
        <v>4010</v>
      </c>
      <c r="K21" s="128"/>
    </row>
    <row r="22" spans="1:12" x14ac:dyDescent="0.25">
      <c r="A22" s="4" t="s">
        <v>52</v>
      </c>
      <c r="B22" s="8">
        <v>1284</v>
      </c>
      <c r="C22" s="8">
        <v>410</v>
      </c>
      <c r="D22" s="8">
        <v>1057</v>
      </c>
      <c r="E22" s="8">
        <v>716</v>
      </c>
      <c r="F22" s="8">
        <v>290</v>
      </c>
      <c r="G22" s="8">
        <v>43</v>
      </c>
      <c r="H22" s="8">
        <v>71</v>
      </c>
      <c r="I22" s="8">
        <v>268</v>
      </c>
      <c r="J22" s="8">
        <v>4139</v>
      </c>
      <c r="K22" s="128"/>
    </row>
    <row r="23" spans="1:12" x14ac:dyDescent="0.25">
      <c r="A23" s="4" t="s">
        <v>53</v>
      </c>
      <c r="B23" s="8">
        <v>1440</v>
      </c>
      <c r="C23" s="8">
        <v>373</v>
      </c>
      <c r="D23" s="8">
        <v>1095</v>
      </c>
      <c r="E23" s="8">
        <v>776</v>
      </c>
      <c r="F23" s="8">
        <v>328</v>
      </c>
      <c r="G23" s="8">
        <v>58</v>
      </c>
      <c r="H23" s="8">
        <v>105</v>
      </c>
      <c r="I23" s="8">
        <v>281</v>
      </c>
      <c r="J23" s="8">
        <v>4456</v>
      </c>
      <c r="K23" s="128"/>
    </row>
    <row r="24" spans="1:12" x14ac:dyDescent="0.25">
      <c r="A24" s="4" t="s">
        <v>227</v>
      </c>
      <c r="B24" s="8">
        <v>1459</v>
      </c>
      <c r="C24" s="8">
        <v>295</v>
      </c>
      <c r="D24" s="8">
        <v>1111</v>
      </c>
      <c r="E24" s="8">
        <v>758</v>
      </c>
      <c r="F24" s="8">
        <v>316</v>
      </c>
      <c r="G24" s="8">
        <v>77</v>
      </c>
      <c r="H24" s="8">
        <v>110</v>
      </c>
      <c r="I24" s="8">
        <v>304</v>
      </c>
      <c r="J24" s="8">
        <v>4430</v>
      </c>
      <c r="K24" s="128"/>
    </row>
    <row r="25" spans="1:12" x14ac:dyDescent="0.25">
      <c r="A25" s="4" t="s">
        <v>289</v>
      </c>
      <c r="B25" s="8">
        <v>1515</v>
      </c>
      <c r="C25" s="8">
        <v>372</v>
      </c>
      <c r="D25" s="8">
        <v>1069</v>
      </c>
      <c r="E25" s="8">
        <v>784</v>
      </c>
      <c r="F25" s="8">
        <v>348</v>
      </c>
      <c r="G25" s="8">
        <v>66</v>
      </c>
      <c r="H25" s="8">
        <v>99</v>
      </c>
      <c r="I25" s="8">
        <v>332</v>
      </c>
      <c r="J25" s="8">
        <v>4585</v>
      </c>
      <c r="K25" s="128"/>
    </row>
    <row r="26" spans="1:12" ht="11.1" customHeight="1" x14ac:dyDescent="0.25">
      <c r="A26" s="206" t="s">
        <v>18</v>
      </c>
      <c r="B26" s="206"/>
      <c r="C26" s="206"/>
      <c r="D26" s="206"/>
      <c r="E26" s="206"/>
      <c r="F26" s="206"/>
      <c r="G26" s="206"/>
      <c r="H26" s="206"/>
      <c r="I26" s="206"/>
      <c r="J26" s="206"/>
      <c r="K26" s="202"/>
      <c r="L26" s="202"/>
    </row>
    <row r="27" spans="1:12" s="6" customFormat="1" ht="11.1" customHeight="1" x14ac:dyDescent="0.15">
      <c r="A27" s="6" t="s">
        <v>114</v>
      </c>
    </row>
    <row r="28" spans="1:12" s="6" customFormat="1" ht="11.1" customHeight="1" x14ac:dyDescent="0.15">
      <c r="A28" s="6" t="s">
        <v>54</v>
      </c>
    </row>
    <row r="29" spans="1:12" s="6" customFormat="1" ht="11.1" customHeight="1" x14ac:dyDescent="0.15">
      <c r="A29" s="6" t="s">
        <v>115</v>
      </c>
    </row>
    <row r="30" spans="1:12" s="6" customFormat="1" ht="11.1" customHeight="1" x14ac:dyDescent="0.15">
      <c r="A30" s="6" t="s">
        <v>449</v>
      </c>
    </row>
    <row r="31" spans="1:12" s="6" customFormat="1" ht="11.1" customHeight="1" x14ac:dyDescent="0.15">
      <c r="A31" s="6" t="s">
        <v>16</v>
      </c>
    </row>
    <row r="32" spans="1:12" s="6" customFormat="1" ht="11.1" customHeight="1" x14ac:dyDescent="0.15">
      <c r="A32" s="6" t="s">
        <v>271</v>
      </c>
    </row>
    <row r="33" spans="1:17" ht="12" customHeight="1" x14ac:dyDescent="0.25">
      <c r="A33" s="2"/>
    </row>
    <row r="35" spans="1:17" x14ac:dyDescent="0.25">
      <c r="J35" s="127"/>
      <c r="L35" s="127"/>
    </row>
    <row r="36" spans="1:17" x14ac:dyDescent="0.25">
      <c r="I36" s="127"/>
      <c r="J36" s="127"/>
      <c r="K36" s="127"/>
      <c r="L36" s="127"/>
      <c r="Q36" s="127"/>
    </row>
    <row r="37" spans="1:17" x14ac:dyDescent="0.25">
      <c r="I37" s="127"/>
      <c r="J37" s="127"/>
      <c r="K37" s="127"/>
      <c r="L37" s="127"/>
      <c r="Q37" s="127"/>
    </row>
    <row r="38" spans="1:17" x14ac:dyDescent="0.25">
      <c r="I38" s="127"/>
      <c r="J38" s="127"/>
      <c r="K38" s="127"/>
      <c r="L38" s="127"/>
      <c r="Q38" s="127"/>
    </row>
    <row r="39" spans="1:17" x14ac:dyDescent="0.25">
      <c r="I39" s="127"/>
      <c r="J39" s="127"/>
      <c r="K39" s="127"/>
      <c r="L39" s="127"/>
      <c r="Q39" s="127"/>
    </row>
    <row r="40" spans="1:17" x14ac:dyDescent="0.25">
      <c r="I40" s="127"/>
      <c r="K40" s="127"/>
      <c r="Q40" s="127"/>
    </row>
  </sheetData>
  <mergeCells count="5">
    <mergeCell ref="A26:L26"/>
    <mergeCell ref="A1:J1"/>
    <mergeCell ref="A9:J9"/>
    <mergeCell ref="A18:L18"/>
    <mergeCell ref="A12:J12"/>
  </mergeCells>
  <pageMargins left="0.08" right="0.08" top="1" bottom="1" header="0.5" footer="0.5"/>
  <pageSetup orientation="landscape" blackAndWhite="1"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H26"/>
  <sheetViews>
    <sheetView zoomScaleNormal="100" workbookViewId="0">
      <selection activeCell="H23" sqref="H23"/>
    </sheetView>
  </sheetViews>
  <sheetFormatPr defaultColWidth="9.140625" defaultRowHeight="15" x14ac:dyDescent="0.25"/>
  <cols>
    <col min="1" max="1" width="24.42578125" style="1" customWidth="1"/>
    <col min="2" max="5" width="17.5703125" style="1" customWidth="1"/>
    <col min="6" max="7" width="11.42578125" style="1" bestFit="1" customWidth="1"/>
    <col min="8" max="16384" width="9.140625" style="1"/>
  </cols>
  <sheetData>
    <row r="1" spans="1:7" ht="27.75" customHeight="1" x14ac:dyDescent="0.25">
      <c r="A1" s="209" t="s">
        <v>368</v>
      </c>
      <c r="B1" s="209"/>
      <c r="C1" s="209"/>
      <c r="D1" s="209"/>
      <c r="E1" s="209"/>
      <c r="F1" s="60"/>
      <c r="G1" s="60"/>
    </row>
    <row r="2" spans="1:7" ht="2.25" customHeight="1" x14ac:dyDescent="0.25">
      <c r="A2" s="2"/>
    </row>
    <row r="3" spans="1:7" ht="23.25" x14ac:dyDescent="0.25">
      <c r="A3" s="52" t="s">
        <v>191</v>
      </c>
      <c r="B3" s="3" t="s">
        <v>22</v>
      </c>
      <c r="C3" s="3" t="s">
        <v>23</v>
      </c>
      <c r="D3" s="3" t="s">
        <v>24</v>
      </c>
      <c r="E3" s="11" t="s">
        <v>12</v>
      </c>
    </row>
    <row r="4" spans="1:7" x14ac:dyDescent="0.25">
      <c r="A4" s="4">
        <v>1</v>
      </c>
      <c r="B4" s="8">
        <v>1314</v>
      </c>
      <c r="C4" s="8">
        <v>973</v>
      </c>
      <c r="D4" s="8">
        <v>48</v>
      </c>
      <c r="E4" s="8">
        <v>2335</v>
      </c>
    </row>
    <row r="5" spans="1:7" x14ac:dyDescent="0.25">
      <c r="A5" s="4">
        <v>2</v>
      </c>
      <c r="B5" s="8">
        <v>613</v>
      </c>
      <c r="C5" s="8">
        <v>375</v>
      </c>
      <c r="D5" s="8">
        <v>7</v>
      </c>
      <c r="E5" s="8">
        <v>995</v>
      </c>
    </row>
    <row r="6" spans="1:7" x14ac:dyDescent="0.25">
      <c r="A6" s="4">
        <v>3</v>
      </c>
      <c r="B6" s="8">
        <v>283</v>
      </c>
      <c r="C6" s="8">
        <v>195</v>
      </c>
      <c r="D6" s="8">
        <v>3</v>
      </c>
      <c r="E6" s="8">
        <v>481</v>
      </c>
    </row>
    <row r="7" spans="1:7" x14ac:dyDescent="0.25">
      <c r="A7" s="4">
        <v>4</v>
      </c>
      <c r="B7" s="8">
        <v>148</v>
      </c>
      <c r="C7" s="8">
        <v>93</v>
      </c>
      <c r="D7" s="8" t="s">
        <v>167</v>
      </c>
      <c r="E7" s="8">
        <v>241</v>
      </c>
    </row>
    <row r="8" spans="1:7" x14ac:dyDescent="0.25">
      <c r="A8" s="4">
        <v>5</v>
      </c>
      <c r="B8" s="8">
        <v>83</v>
      </c>
      <c r="C8" s="8">
        <v>50</v>
      </c>
      <c r="D8" s="8" t="s">
        <v>167</v>
      </c>
      <c r="E8" s="8">
        <v>133</v>
      </c>
    </row>
    <row r="9" spans="1:7" x14ac:dyDescent="0.25">
      <c r="A9" s="4" t="s">
        <v>81</v>
      </c>
      <c r="B9" s="8">
        <v>127</v>
      </c>
      <c r="C9" s="8">
        <v>81</v>
      </c>
      <c r="D9" s="8" t="s">
        <v>167</v>
      </c>
      <c r="E9" s="8">
        <v>208</v>
      </c>
    </row>
    <row r="10" spans="1:7" x14ac:dyDescent="0.25">
      <c r="A10" s="9" t="s">
        <v>12</v>
      </c>
      <c r="B10" s="81">
        <v>2568</v>
      </c>
      <c r="C10" s="81">
        <v>1767</v>
      </c>
      <c r="D10" s="81">
        <v>58</v>
      </c>
      <c r="E10" s="81">
        <v>4393</v>
      </c>
    </row>
    <row r="11" spans="1:7" ht="0.75" customHeight="1" x14ac:dyDescent="0.25"/>
    <row r="12" spans="1:7" ht="24.75" customHeight="1" x14ac:dyDescent="0.25">
      <c r="A12" s="234" t="s">
        <v>117</v>
      </c>
      <c r="B12" s="234"/>
      <c r="C12" s="234"/>
      <c r="D12" s="234"/>
      <c r="E12" s="234"/>
      <c r="F12" s="66"/>
      <c r="G12" s="66"/>
    </row>
    <row r="13" spans="1:7" s="6" customFormat="1" ht="11.1" customHeight="1" x14ac:dyDescent="0.15">
      <c r="A13" s="6" t="s">
        <v>16</v>
      </c>
    </row>
    <row r="14" spans="1:7" s="6" customFormat="1" ht="11.1" customHeight="1" x14ac:dyDescent="0.15">
      <c r="A14" s="6" t="s">
        <v>271</v>
      </c>
    </row>
    <row r="15" spans="1:7" ht="12" customHeight="1" x14ac:dyDescent="0.25">
      <c r="A15" s="2"/>
    </row>
    <row r="20" spans="5:8" x14ac:dyDescent="0.25">
      <c r="E20" s="127"/>
      <c r="H20" s="127"/>
    </row>
    <row r="26" spans="5:8" x14ac:dyDescent="0.25">
      <c r="E26" s="127"/>
      <c r="F26" s="127"/>
      <c r="H26" s="127"/>
    </row>
  </sheetData>
  <mergeCells count="2">
    <mergeCell ref="A1:E1"/>
    <mergeCell ref="A12:E12"/>
  </mergeCells>
  <pageMargins left="0.08" right="0.08" top="1" bottom="1" header="0.5" footer="0.5"/>
  <pageSetup orientation="landscape" blackAndWhite="1"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Q103"/>
  <sheetViews>
    <sheetView zoomScaleNormal="100" workbookViewId="0">
      <selection activeCell="U36" sqref="U36"/>
    </sheetView>
  </sheetViews>
  <sheetFormatPr defaultColWidth="9.140625" defaultRowHeight="15" x14ac:dyDescent="0.25"/>
  <cols>
    <col min="1" max="12" width="11.42578125" style="1" bestFit="1" customWidth="1"/>
    <col min="13" max="16384" width="9.140625" style="1"/>
  </cols>
  <sheetData>
    <row r="1" spans="1:12" ht="25.5" customHeight="1" x14ac:dyDescent="0.25">
      <c r="A1" s="209" t="s">
        <v>367</v>
      </c>
      <c r="B1" s="209"/>
      <c r="C1" s="209"/>
      <c r="D1" s="209"/>
      <c r="E1" s="209"/>
      <c r="F1" s="209"/>
      <c r="G1" s="209"/>
      <c r="H1" s="209"/>
      <c r="I1" s="209"/>
      <c r="J1" s="209"/>
      <c r="K1" s="59"/>
      <c r="L1" s="59"/>
    </row>
    <row r="2" spans="1:12" ht="3" customHeight="1" x14ac:dyDescent="0.25">
      <c r="A2" s="2"/>
    </row>
    <row r="3" spans="1:12" ht="23.25" x14ac:dyDescent="0.25">
      <c r="A3" s="61" t="s">
        <v>186</v>
      </c>
      <c r="B3" s="3" t="s">
        <v>1</v>
      </c>
      <c r="C3" s="3" t="s">
        <v>2</v>
      </c>
      <c r="D3" s="3" t="s">
        <v>3</v>
      </c>
      <c r="E3" s="3" t="s">
        <v>4</v>
      </c>
      <c r="F3" s="3" t="s">
        <v>5</v>
      </c>
      <c r="G3" s="3" t="s">
        <v>6</v>
      </c>
      <c r="H3" s="3" t="s">
        <v>7</v>
      </c>
      <c r="I3" s="3" t="s">
        <v>8</v>
      </c>
      <c r="J3" s="67" t="s">
        <v>9</v>
      </c>
    </row>
    <row r="4" spans="1:12" x14ac:dyDescent="0.25">
      <c r="A4" s="235" t="s">
        <v>450</v>
      </c>
      <c r="B4" s="236"/>
      <c r="C4" s="236"/>
      <c r="D4" s="236"/>
      <c r="E4" s="236"/>
      <c r="F4" s="236"/>
      <c r="G4" s="236"/>
      <c r="H4" s="236"/>
      <c r="I4" s="236"/>
      <c r="J4" s="236"/>
    </row>
    <row r="5" spans="1:12" ht="15" customHeight="1" x14ac:dyDescent="0.25">
      <c r="A5" s="4" t="s">
        <v>22</v>
      </c>
      <c r="B5" s="13">
        <v>2</v>
      </c>
      <c r="C5" s="13">
        <v>20</v>
      </c>
      <c r="D5" s="13">
        <v>28</v>
      </c>
      <c r="E5" s="13">
        <v>2</v>
      </c>
      <c r="F5" s="13">
        <v>5</v>
      </c>
      <c r="G5" s="13">
        <v>19</v>
      </c>
      <c r="H5" s="13">
        <v>2</v>
      </c>
      <c r="I5" s="13">
        <v>5</v>
      </c>
      <c r="J5" s="13">
        <v>5</v>
      </c>
    </row>
    <row r="6" spans="1:12" ht="15" customHeight="1" x14ac:dyDescent="0.25">
      <c r="A6" s="4" t="s">
        <v>23</v>
      </c>
      <c r="B6" s="13">
        <v>2</v>
      </c>
      <c r="C6" s="13">
        <v>18</v>
      </c>
      <c r="D6" s="13">
        <v>27</v>
      </c>
      <c r="E6" s="13">
        <v>2</v>
      </c>
      <c r="F6" s="13">
        <v>7</v>
      </c>
      <c r="G6" s="13">
        <v>19</v>
      </c>
      <c r="H6" s="13">
        <v>2</v>
      </c>
      <c r="I6" s="13">
        <v>4</v>
      </c>
      <c r="J6" s="13">
        <v>5</v>
      </c>
    </row>
    <row r="7" spans="1:12" ht="15" customHeight="1" x14ac:dyDescent="0.25">
      <c r="A7" s="4" t="s">
        <v>24</v>
      </c>
      <c r="B7" s="13">
        <v>2</v>
      </c>
      <c r="C7" s="13">
        <v>27</v>
      </c>
      <c r="D7" s="13">
        <v>42</v>
      </c>
      <c r="E7" s="13" t="s">
        <v>167</v>
      </c>
      <c r="F7" s="13">
        <v>4</v>
      </c>
      <c r="G7" s="13" t="s">
        <v>167</v>
      </c>
      <c r="H7" s="13" t="s">
        <v>167</v>
      </c>
      <c r="I7" s="13">
        <v>4</v>
      </c>
      <c r="J7" s="13">
        <v>2</v>
      </c>
    </row>
    <row r="8" spans="1:12" ht="15" customHeight="1" x14ac:dyDescent="0.25">
      <c r="A8" s="68" t="s">
        <v>12</v>
      </c>
      <c r="B8" s="63">
        <v>2</v>
      </c>
      <c r="C8" s="63">
        <v>19</v>
      </c>
      <c r="D8" s="63">
        <v>28</v>
      </c>
      <c r="E8" s="63">
        <v>2</v>
      </c>
      <c r="F8" s="63">
        <v>5</v>
      </c>
      <c r="G8" s="63">
        <v>19</v>
      </c>
      <c r="H8" s="63">
        <v>2</v>
      </c>
      <c r="I8" s="63">
        <v>5</v>
      </c>
      <c r="J8" s="63">
        <v>5</v>
      </c>
    </row>
    <row r="9" spans="1:12" ht="15" customHeight="1" x14ac:dyDescent="0.25">
      <c r="A9" s="236" t="s">
        <v>198</v>
      </c>
      <c r="B9" s="236"/>
      <c r="C9" s="236"/>
      <c r="D9" s="236"/>
      <c r="E9" s="236"/>
      <c r="F9" s="236"/>
      <c r="G9" s="236"/>
      <c r="H9" s="236"/>
      <c r="I9" s="236"/>
      <c r="J9" s="236"/>
    </row>
    <row r="10" spans="1:12" ht="15" customHeight="1" x14ac:dyDescent="0.25">
      <c r="A10" s="4" t="s">
        <v>22</v>
      </c>
      <c r="B10" s="13">
        <v>3</v>
      </c>
      <c r="C10" s="13">
        <v>21</v>
      </c>
      <c r="D10" s="13">
        <v>33</v>
      </c>
      <c r="E10" s="13">
        <v>2</v>
      </c>
      <c r="F10" s="13">
        <v>5</v>
      </c>
      <c r="G10" s="13">
        <v>19</v>
      </c>
      <c r="H10" s="13">
        <v>2</v>
      </c>
      <c r="I10" s="13">
        <v>5</v>
      </c>
      <c r="J10" s="13">
        <v>6</v>
      </c>
    </row>
    <row r="11" spans="1:12" ht="15" customHeight="1" x14ac:dyDescent="0.25">
      <c r="A11" s="4" t="s">
        <v>23</v>
      </c>
      <c r="B11" s="13">
        <v>2</v>
      </c>
      <c r="C11" s="13">
        <v>20</v>
      </c>
      <c r="D11" s="13">
        <v>31</v>
      </c>
      <c r="E11" s="13">
        <v>2</v>
      </c>
      <c r="F11" s="13">
        <v>7</v>
      </c>
      <c r="G11" s="13">
        <v>25</v>
      </c>
      <c r="H11" s="13">
        <v>2</v>
      </c>
      <c r="I11" s="13">
        <v>4</v>
      </c>
      <c r="J11" s="13">
        <v>5</v>
      </c>
    </row>
    <row r="12" spans="1:12" ht="15" customHeight="1" x14ac:dyDescent="0.25">
      <c r="A12" s="4" t="s">
        <v>24</v>
      </c>
      <c r="B12" s="13">
        <v>2</v>
      </c>
      <c r="C12" s="13">
        <v>27</v>
      </c>
      <c r="D12" s="13">
        <v>42</v>
      </c>
      <c r="E12" s="13" t="s">
        <v>167</v>
      </c>
      <c r="F12" s="13">
        <v>4</v>
      </c>
      <c r="G12" s="13" t="s">
        <v>167</v>
      </c>
      <c r="H12" s="13" t="s">
        <v>167</v>
      </c>
      <c r="I12" s="13">
        <v>4</v>
      </c>
      <c r="J12" s="13">
        <v>2</v>
      </c>
    </row>
    <row r="13" spans="1:12" ht="15" customHeight="1" x14ac:dyDescent="0.25">
      <c r="A13" s="68" t="s">
        <v>12</v>
      </c>
      <c r="B13" s="63">
        <v>2</v>
      </c>
      <c r="C13" s="63">
        <v>20</v>
      </c>
      <c r="D13" s="63">
        <v>32</v>
      </c>
      <c r="E13" s="63">
        <v>2</v>
      </c>
      <c r="F13" s="63">
        <v>6</v>
      </c>
      <c r="G13" s="63">
        <v>20</v>
      </c>
      <c r="H13" s="63">
        <v>2</v>
      </c>
      <c r="I13" s="63">
        <v>5</v>
      </c>
      <c r="J13" s="63">
        <v>5</v>
      </c>
    </row>
    <row r="14" spans="1:12" ht="15" customHeight="1" x14ac:dyDescent="0.25">
      <c r="A14" s="236" t="s">
        <v>193</v>
      </c>
      <c r="B14" s="236"/>
      <c r="C14" s="236"/>
      <c r="D14" s="236"/>
      <c r="E14" s="236"/>
      <c r="F14" s="236"/>
      <c r="G14" s="236"/>
      <c r="H14" s="236"/>
      <c r="I14" s="236"/>
      <c r="J14" s="236"/>
    </row>
    <row r="15" spans="1:12" ht="15" customHeight="1" x14ac:dyDescent="0.25">
      <c r="A15" s="4" t="s">
        <v>22</v>
      </c>
      <c r="B15" s="125">
        <v>1617</v>
      </c>
      <c r="C15" s="125">
        <v>93</v>
      </c>
      <c r="D15" s="125">
        <v>1266</v>
      </c>
      <c r="E15" s="125">
        <v>1196</v>
      </c>
      <c r="F15" s="125">
        <v>424</v>
      </c>
      <c r="G15" s="125">
        <v>42</v>
      </c>
      <c r="H15" s="125">
        <v>66</v>
      </c>
      <c r="I15" s="125">
        <v>632</v>
      </c>
      <c r="J15" s="125">
        <v>5336</v>
      </c>
    </row>
    <row r="16" spans="1:12" ht="15" customHeight="1" x14ac:dyDescent="0.25">
      <c r="A16" s="4" t="s">
        <v>23</v>
      </c>
      <c r="B16" s="125">
        <v>1275</v>
      </c>
      <c r="C16" s="125">
        <v>557</v>
      </c>
      <c r="D16" s="125">
        <v>518</v>
      </c>
      <c r="E16" s="125">
        <v>670</v>
      </c>
      <c r="F16" s="125">
        <v>286</v>
      </c>
      <c r="G16" s="125">
        <v>93</v>
      </c>
      <c r="H16" s="125">
        <v>136</v>
      </c>
      <c r="I16" s="125">
        <v>27</v>
      </c>
      <c r="J16" s="125">
        <v>3562</v>
      </c>
    </row>
    <row r="17" spans="1:12" ht="15" customHeight="1" x14ac:dyDescent="0.25">
      <c r="A17" s="4" t="s">
        <v>24</v>
      </c>
      <c r="B17" s="125">
        <v>59</v>
      </c>
      <c r="C17" s="125">
        <v>2</v>
      </c>
      <c r="D17" s="125">
        <v>3</v>
      </c>
      <c r="E17" s="125" t="s">
        <v>167</v>
      </c>
      <c r="F17" s="125">
        <v>3</v>
      </c>
      <c r="G17" s="125" t="s">
        <v>167</v>
      </c>
      <c r="H17" s="125" t="s">
        <v>167</v>
      </c>
      <c r="I17" s="125">
        <v>4</v>
      </c>
      <c r="J17" s="125">
        <v>71</v>
      </c>
    </row>
    <row r="18" spans="1:12" ht="15" customHeight="1" x14ac:dyDescent="0.25">
      <c r="A18" s="68" t="s">
        <v>12</v>
      </c>
      <c r="B18" s="126">
        <v>2951</v>
      </c>
      <c r="C18" s="126">
        <v>652</v>
      </c>
      <c r="D18" s="126">
        <v>1787</v>
      </c>
      <c r="E18" s="126">
        <v>1866</v>
      </c>
      <c r="F18" s="126">
        <v>713</v>
      </c>
      <c r="G18" s="126">
        <v>135</v>
      </c>
      <c r="H18" s="126">
        <v>202</v>
      </c>
      <c r="I18" s="126">
        <v>663</v>
      </c>
      <c r="J18" s="126">
        <v>8969</v>
      </c>
    </row>
    <row r="19" spans="1:12" ht="15" customHeight="1" x14ac:dyDescent="0.25">
      <c r="A19" s="236" t="s">
        <v>194</v>
      </c>
      <c r="B19" s="236"/>
      <c r="C19" s="236"/>
      <c r="D19" s="236"/>
      <c r="E19" s="236"/>
      <c r="F19" s="236"/>
      <c r="G19" s="236"/>
      <c r="H19" s="236"/>
      <c r="I19" s="236"/>
      <c r="J19" s="236"/>
    </row>
    <row r="20" spans="1:12" ht="15" customHeight="1" x14ac:dyDescent="0.25">
      <c r="A20" s="4" t="s">
        <v>22</v>
      </c>
      <c r="B20" s="125">
        <v>781</v>
      </c>
      <c r="C20" s="125">
        <v>48</v>
      </c>
      <c r="D20" s="125">
        <v>690</v>
      </c>
      <c r="E20" s="125">
        <v>514</v>
      </c>
      <c r="F20" s="125">
        <v>185</v>
      </c>
      <c r="G20" s="125">
        <v>21</v>
      </c>
      <c r="H20" s="125">
        <v>31</v>
      </c>
      <c r="I20" s="125">
        <v>298</v>
      </c>
      <c r="J20" s="125">
        <v>2568</v>
      </c>
    </row>
    <row r="21" spans="1:12" ht="15" customHeight="1" x14ac:dyDescent="0.25">
      <c r="A21" s="4" t="s">
        <v>23</v>
      </c>
      <c r="B21" s="125">
        <v>639</v>
      </c>
      <c r="C21" s="125">
        <v>296</v>
      </c>
      <c r="D21" s="125">
        <v>307</v>
      </c>
      <c r="E21" s="125">
        <v>255</v>
      </c>
      <c r="F21" s="125">
        <v>154</v>
      </c>
      <c r="G21" s="125">
        <v>44</v>
      </c>
      <c r="H21" s="125">
        <v>63</v>
      </c>
      <c r="I21" s="125">
        <v>9</v>
      </c>
      <c r="J21" s="125">
        <v>1767</v>
      </c>
    </row>
    <row r="22" spans="1:12" ht="15" customHeight="1" x14ac:dyDescent="0.25">
      <c r="A22" s="4" t="s">
        <v>24</v>
      </c>
      <c r="B22" s="125">
        <v>48</v>
      </c>
      <c r="C22" s="125">
        <v>1</v>
      </c>
      <c r="D22" s="125">
        <v>3</v>
      </c>
      <c r="E22" s="125" t="s">
        <v>167</v>
      </c>
      <c r="F22" s="125">
        <v>3</v>
      </c>
      <c r="G22" s="125" t="s">
        <v>167</v>
      </c>
      <c r="H22" s="125" t="s">
        <v>167</v>
      </c>
      <c r="I22" s="125">
        <v>3</v>
      </c>
      <c r="J22" s="125">
        <v>58</v>
      </c>
    </row>
    <row r="23" spans="1:12" ht="15" customHeight="1" x14ac:dyDescent="0.25">
      <c r="A23" s="68" t="s">
        <v>12</v>
      </c>
      <c r="B23" s="126">
        <v>1468</v>
      </c>
      <c r="C23" s="126">
        <v>345</v>
      </c>
      <c r="D23" s="126">
        <v>1000</v>
      </c>
      <c r="E23" s="126">
        <v>769</v>
      </c>
      <c r="F23" s="126">
        <v>342</v>
      </c>
      <c r="G23" s="126">
        <v>65</v>
      </c>
      <c r="H23" s="126">
        <v>94</v>
      </c>
      <c r="I23" s="126">
        <v>310</v>
      </c>
      <c r="J23" s="126">
        <v>4393</v>
      </c>
    </row>
    <row r="24" spans="1:12" ht="12" customHeight="1" x14ac:dyDescent="0.25"/>
    <row r="25" spans="1:12" ht="11.1" customHeight="1" x14ac:dyDescent="0.25">
      <c r="A25" s="206" t="s">
        <v>18</v>
      </c>
      <c r="B25" s="206"/>
      <c r="C25" s="206"/>
      <c r="D25" s="206"/>
      <c r="E25" s="206"/>
      <c r="F25" s="206"/>
      <c r="G25" s="206"/>
      <c r="H25" s="206"/>
      <c r="I25" s="206"/>
      <c r="J25" s="206"/>
      <c r="K25" s="202"/>
      <c r="L25" s="202"/>
    </row>
    <row r="26" spans="1:12" s="6" customFormat="1" ht="11.1" customHeight="1" x14ac:dyDescent="0.15">
      <c r="A26" s="6" t="s">
        <v>121</v>
      </c>
    </row>
    <row r="27" spans="1:12" s="6" customFormat="1" ht="11.1" customHeight="1" x14ac:dyDescent="0.15">
      <c r="A27" s="6" t="s">
        <v>83</v>
      </c>
    </row>
    <row r="28" spans="1:12" s="6" customFormat="1" ht="11.1" customHeight="1" x14ac:dyDescent="0.15">
      <c r="A28" s="6" t="s">
        <v>115</v>
      </c>
    </row>
    <row r="29" spans="1:12" s="6" customFormat="1" ht="11.1" customHeight="1" x14ac:dyDescent="0.15">
      <c r="A29" s="6" t="s">
        <v>16</v>
      </c>
    </row>
    <row r="30" spans="1:12" s="6" customFormat="1" ht="11.1" customHeight="1" x14ac:dyDescent="0.15">
      <c r="A30" s="6" t="s">
        <v>271</v>
      </c>
    </row>
    <row r="31" spans="1:12" ht="12" customHeight="1" x14ac:dyDescent="0.25">
      <c r="A31" s="2"/>
    </row>
    <row r="79" spans="9:17" x14ac:dyDescent="0.25">
      <c r="I79" s="127"/>
      <c r="K79" s="127"/>
      <c r="L79" s="127"/>
      <c r="Q79" s="127"/>
    </row>
    <row r="80" spans="9:17" x14ac:dyDescent="0.25">
      <c r="I80" s="127"/>
      <c r="Q80" s="127"/>
    </row>
    <row r="82" spans="9:17" x14ac:dyDescent="0.25">
      <c r="I82" s="127"/>
      <c r="K82" s="127"/>
      <c r="L82" s="127"/>
      <c r="Q82" s="127"/>
    </row>
    <row r="100" spans="8:16" x14ac:dyDescent="0.25">
      <c r="P100" s="127"/>
    </row>
    <row r="101" spans="8:16" x14ac:dyDescent="0.25">
      <c r="P101" s="127"/>
    </row>
    <row r="103" spans="8:16" x14ac:dyDescent="0.25">
      <c r="H103" s="127"/>
      <c r="P103" s="127"/>
    </row>
  </sheetData>
  <mergeCells count="6">
    <mergeCell ref="A25:L25"/>
    <mergeCell ref="A1:J1"/>
    <mergeCell ref="A4:J4"/>
    <mergeCell ref="A9:J9"/>
    <mergeCell ref="A14:J14"/>
    <mergeCell ref="A19:J19"/>
  </mergeCells>
  <pageMargins left="0.08" right="0.08" top="1" bottom="1" header="0.5" footer="0.5"/>
  <pageSetup orientation="landscape" blackAndWhite="1"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K31"/>
  <sheetViews>
    <sheetView zoomScaleNormal="100" workbookViewId="0">
      <selection activeCell="Y23" sqref="Y23"/>
    </sheetView>
  </sheetViews>
  <sheetFormatPr defaultColWidth="9.140625" defaultRowHeight="15" x14ac:dyDescent="0.25"/>
  <cols>
    <col min="1" max="11" width="11.42578125" style="1" bestFit="1" customWidth="1"/>
    <col min="12" max="16384" width="9.140625" style="1"/>
  </cols>
  <sheetData>
    <row r="1" spans="1:11" ht="34.5" customHeight="1" x14ac:dyDescent="0.25">
      <c r="A1" s="209" t="s">
        <v>366</v>
      </c>
      <c r="B1" s="209"/>
      <c r="C1" s="209"/>
      <c r="D1" s="209"/>
      <c r="E1" s="209"/>
      <c r="F1" s="209"/>
      <c r="G1" s="209"/>
      <c r="H1" s="209"/>
      <c r="I1" s="209"/>
      <c r="J1" s="209"/>
      <c r="K1" s="209"/>
    </row>
    <row r="2" spans="1:11" ht="3" customHeight="1" x14ac:dyDescent="0.25">
      <c r="A2" s="2"/>
    </row>
    <row r="3" spans="1:11" ht="23.25" x14ac:dyDescent="0.25">
      <c r="A3" s="52" t="s">
        <v>189</v>
      </c>
      <c r="B3" s="52" t="s">
        <v>186</v>
      </c>
      <c r="C3" s="3" t="s">
        <v>1</v>
      </c>
      <c r="D3" s="3" t="s">
        <v>2</v>
      </c>
      <c r="E3" s="3" t="s">
        <v>3</v>
      </c>
      <c r="F3" s="3" t="s">
        <v>4</v>
      </c>
      <c r="G3" s="3" t="s">
        <v>5</v>
      </c>
      <c r="H3" s="3" t="s">
        <v>6</v>
      </c>
      <c r="I3" s="3" t="s">
        <v>7</v>
      </c>
      <c r="J3" s="3" t="s">
        <v>8</v>
      </c>
      <c r="K3" s="3" t="s">
        <v>9</v>
      </c>
    </row>
    <row r="4" spans="1:11" ht="15" customHeight="1" x14ac:dyDescent="0.25">
      <c r="A4" s="203" t="s">
        <v>232</v>
      </c>
      <c r="B4" s="4" t="s">
        <v>22</v>
      </c>
      <c r="C4" s="164">
        <v>33.1</v>
      </c>
      <c r="D4" s="164">
        <v>63.4</v>
      </c>
      <c r="E4" s="164">
        <v>84.2</v>
      </c>
      <c r="F4" s="164">
        <v>51</v>
      </c>
      <c r="G4" s="164">
        <v>43.8</v>
      </c>
      <c r="H4" s="164">
        <v>71.3</v>
      </c>
      <c r="I4" s="164">
        <v>65.5</v>
      </c>
      <c r="J4" s="164">
        <v>62.5</v>
      </c>
      <c r="K4" s="164">
        <v>57.8</v>
      </c>
    </row>
    <row r="5" spans="1:11" ht="15" customHeight="1" x14ac:dyDescent="0.25">
      <c r="A5" s="203"/>
      <c r="B5" s="4" t="s">
        <v>23</v>
      </c>
      <c r="C5" s="164">
        <v>37.200000000000003</v>
      </c>
      <c r="D5" s="164">
        <v>66.099999999999994</v>
      </c>
      <c r="E5" s="164">
        <v>74.3</v>
      </c>
      <c r="F5" s="164">
        <v>23.4</v>
      </c>
      <c r="G5" s="164">
        <v>26.4</v>
      </c>
      <c r="H5" s="164">
        <v>52.4</v>
      </c>
      <c r="I5" s="164">
        <v>63.9</v>
      </c>
      <c r="J5" s="164">
        <v>41.1</v>
      </c>
      <c r="K5" s="164">
        <v>49.3</v>
      </c>
    </row>
    <row r="6" spans="1:11" ht="15" customHeight="1" x14ac:dyDescent="0.25">
      <c r="A6" s="203"/>
      <c r="B6" s="4" t="s">
        <v>24</v>
      </c>
      <c r="C6" s="164">
        <v>9</v>
      </c>
      <c r="D6" s="164" t="s">
        <v>167</v>
      </c>
      <c r="E6" s="164">
        <v>4.3</v>
      </c>
      <c r="F6" s="164" t="s">
        <v>167</v>
      </c>
      <c r="G6" s="164">
        <v>2</v>
      </c>
      <c r="H6" s="164" t="s">
        <v>167</v>
      </c>
      <c r="I6" s="164">
        <v>1.5</v>
      </c>
      <c r="J6" s="164">
        <v>40.299999999999997</v>
      </c>
      <c r="K6" s="164">
        <v>9.8000000000000007</v>
      </c>
    </row>
    <row r="7" spans="1:11" ht="15" customHeight="1" x14ac:dyDescent="0.25">
      <c r="A7" s="203"/>
      <c r="B7" s="105" t="s">
        <v>12</v>
      </c>
      <c r="C7" s="163">
        <v>34.799999999999997</v>
      </c>
      <c r="D7" s="163">
        <v>65.8</v>
      </c>
      <c r="E7" s="163">
        <v>80</v>
      </c>
      <c r="F7" s="163">
        <v>41.3</v>
      </c>
      <c r="G7" s="163">
        <v>34.4</v>
      </c>
      <c r="H7" s="163">
        <v>58.7</v>
      </c>
      <c r="I7" s="163">
        <v>62.8</v>
      </c>
      <c r="J7" s="163">
        <v>61.1</v>
      </c>
      <c r="K7" s="163">
        <v>52.8</v>
      </c>
    </row>
    <row r="8" spans="1:11" ht="15" customHeight="1" x14ac:dyDescent="0.25">
      <c r="A8" s="203" t="s">
        <v>233</v>
      </c>
      <c r="B8" s="4" t="s">
        <v>22</v>
      </c>
      <c r="C8" s="164">
        <v>39.700000000000003</v>
      </c>
      <c r="D8" s="164">
        <v>58.8</v>
      </c>
      <c r="E8" s="164">
        <v>90.9</v>
      </c>
      <c r="F8" s="164">
        <v>44.4</v>
      </c>
      <c r="G8" s="164">
        <v>38</v>
      </c>
      <c r="H8" s="164">
        <v>74.8</v>
      </c>
      <c r="I8" s="164">
        <v>56.3</v>
      </c>
      <c r="J8" s="164">
        <v>58.4</v>
      </c>
      <c r="K8" s="164">
        <v>58.9</v>
      </c>
    </row>
    <row r="9" spans="1:11" ht="15" customHeight="1" x14ac:dyDescent="0.25">
      <c r="A9" s="203"/>
      <c r="B9" s="4" t="s">
        <v>23</v>
      </c>
      <c r="C9" s="164">
        <v>38.9</v>
      </c>
      <c r="D9" s="164">
        <v>66.400000000000006</v>
      </c>
      <c r="E9" s="164">
        <v>90</v>
      </c>
      <c r="F9" s="164">
        <v>24.7</v>
      </c>
      <c r="G9" s="164">
        <v>37.4</v>
      </c>
      <c r="H9" s="164">
        <v>47.6</v>
      </c>
      <c r="I9" s="164">
        <v>42.4</v>
      </c>
      <c r="J9" s="164">
        <v>67.5</v>
      </c>
      <c r="K9" s="164">
        <v>53.1</v>
      </c>
    </row>
    <row r="10" spans="1:11" ht="15" customHeight="1" x14ac:dyDescent="0.25">
      <c r="A10" s="203"/>
      <c r="B10" s="4" t="s">
        <v>24</v>
      </c>
      <c r="C10" s="164">
        <v>26.2</v>
      </c>
      <c r="D10" s="164" t="s">
        <v>167</v>
      </c>
      <c r="E10" s="164" t="s">
        <v>167</v>
      </c>
      <c r="F10" s="164" t="s">
        <v>167</v>
      </c>
      <c r="G10" s="164" t="s">
        <v>167</v>
      </c>
      <c r="H10" s="164" t="s">
        <v>167</v>
      </c>
      <c r="I10" s="164">
        <v>1</v>
      </c>
      <c r="J10" s="164">
        <v>37</v>
      </c>
      <c r="K10" s="164">
        <v>26.7</v>
      </c>
    </row>
    <row r="11" spans="1:11" ht="15" customHeight="1" x14ac:dyDescent="0.25">
      <c r="A11" s="203"/>
      <c r="B11" s="105" t="s">
        <v>12</v>
      </c>
      <c r="C11" s="163">
        <v>39</v>
      </c>
      <c r="D11" s="163">
        <v>65.099999999999994</v>
      </c>
      <c r="E11" s="163">
        <v>90.6</v>
      </c>
      <c r="F11" s="163">
        <v>38.299999999999997</v>
      </c>
      <c r="G11" s="163">
        <v>37.700000000000003</v>
      </c>
      <c r="H11" s="163">
        <v>57.5</v>
      </c>
      <c r="I11" s="163">
        <v>44.9</v>
      </c>
      <c r="J11" s="163">
        <v>58.4</v>
      </c>
      <c r="K11" s="163">
        <v>56.1</v>
      </c>
    </row>
    <row r="12" spans="1:11" ht="15" customHeight="1" x14ac:dyDescent="0.25">
      <c r="A12" s="203" t="s">
        <v>234</v>
      </c>
      <c r="B12" s="4" t="s">
        <v>22</v>
      </c>
      <c r="C12" s="164">
        <v>39.200000000000003</v>
      </c>
      <c r="D12" s="164">
        <v>60.7</v>
      </c>
      <c r="E12" s="164">
        <v>95.9</v>
      </c>
      <c r="F12" s="164">
        <v>34.5</v>
      </c>
      <c r="G12" s="164">
        <v>34.1</v>
      </c>
      <c r="H12" s="164">
        <v>86.6</v>
      </c>
      <c r="I12" s="164">
        <v>25.3</v>
      </c>
      <c r="J12" s="164">
        <v>63.6</v>
      </c>
      <c r="K12" s="164">
        <v>57.9</v>
      </c>
    </row>
    <row r="13" spans="1:11" ht="15" customHeight="1" x14ac:dyDescent="0.25">
      <c r="A13" s="203"/>
      <c r="B13" s="4" t="s">
        <v>23</v>
      </c>
      <c r="C13" s="164">
        <v>34.5</v>
      </c>
      <c r="D13" s="164">
        <v>73.3</v>
      </c>
      <c r="E13" s="164">
        <v>98.6</v>
      </c>
      <c r="F13" s="164">
        <v>19.899999999999999</v>
      </c>
      <c r="G13" s="164">
        <v>34</v>
      </c>
      <c r="H13" s="164">
        <v>68.099999999999994</v>
      </c>
      <c r="I13" s="164">
        <v>38.799999999999997</v>
      </c>
      <c r="J13" s="164">
        <v>69.7</v>
      </c>
      <c r="K13" s="164">
        <v>51.5</v>
      </c>
    </row>
    <row r="14" spans="1:11" ht="15" customHeight="1" x14ac:dyDescent="0.25">
      <c r="A14" s="203"/>
      <c r="B14" s="4" t="s">
        <v>24</v>
      </c>
      <c r="C14" s="164">
        <v>5.7</v>
      </c>
      <c r="D14" s="164" t="s">
        <v>167</v>
      </c>
      <c r="E14" s="164">
        <v>4</v>
      </c>
      <c r="F14" s="164" t="s">
        <v>167</v>
      </c>
      <c r="G14" s="164" t="s">
        <v>167</v>
      </c>
      <c r="H14" s="164" t="s">
        <v>167</v>
      </c>
      <c r="I14" s="164">
        <v>10.6</v>
      </c>
      <c r="J14" s="164">
        <v>68.599999999999994</v>
      </c>
      <c r="K14" s="164">
        <v>16.600000000000001</v>
      </c>
    </row>
    <row r="15" spans="1:11" ht="15" customHeight="1" x14ac:dyDescent="0.25">
      <c r="A15" s="203"/>
      <c r="B15" s="105" t="s">
        <v>12</v>
      </c>
      <c r="C15" s="163">
        <v>36.200000000000003</v>
      </c>
      <c r="D15" s="163">
        <v>71.2</v>
      </c>
      <c r="E15" s="163">
        <v>96.6</v>
      </c>
      <c r="F15" s="163">
        <v>29.4</v>
      </c>
      <c r="G15" s="163">
        <v>34.1</v>
      </c>
      <c r="H15" s="163">
        <v>73.5</v>
      </c>
      <c r="I15" s="163">
        <v>33.5</v>
      </c>
      <c r="J15" s="163">
        <v>63.9</v>
      </c>
      <c r="K15" s="163">
        <v>54.8</v>
      </c>
    </row>
    <row r="16" spans="1:11" ht="15" customHeight="1" x14ac:dyDescent="0.25">
      <c r="A16" s="203" t="s">
        <v>235</v>
      </c>
      <c r="B16" s="4" t="s">
        <v>22</v>
      </c>
      <c r="C16" s="164">
        <v>47.8</v>
      </c>
      <c r="D16" s="164">
        <v>71.5</v>
      </c>
      <c r="E16" s="164">
        <v>98.2</v>
      </c>
      <c r="F16" s="164">
        <v>28.4</v>
      </c>
      <c r="G16" s="164">
        <v>34.4</v>
      </c>
      <c r="H16" s="164">
        <v>63.3</v>
      </c>
      <c r="I16" s="164">
        <v>48.4</v>
      </c>
      <c r="J16" s="164">
        <v>53.7</v>
      </c>
      <c r="K16" s="164">
        <v>59</v>
      </c>
    </row>
    <row r="17" spans="1:11" ht="15" customHeight="1" x14ac:dyDescent="0.25">
      <c r="A17" s="203"/>
      <c r="B17" s="4" t="s">
        <v>23</v>
      </c>
      <c r="C17" s="164">
        <v>34.9</v>
      </c>
      <c r="D17" s="164">
        <v>74.2</v>
      </c>
      <c r="E17" s="164">
        <v>89.3</v>
      </c>
      <c r="F17" s="164">
        <v>20.8</v>
      </c>
      <c r="G17" s="164">
        <v>38.1</v>
      </c>
      <c r="H17" s="164">
        <v>61.8</v>
      </c>
      <c r="I17" s="164">
        <v>38.700000000000003</v>
      </c>
      <c r="J17" s="164">
        <v>75.3</v>
      </c>
      <c r="K17" s="164">
        <v>50.6</v>
      </c>
    </row>
    <row r="18" spans="1:11" ht="15" customHeight="1" x14ac:dyDescent="0.25">
      <c r="A18" s="203"/>
      <c r="B18" s="4" t="s">
        <v>24</v>
      </c>
      <c r="C18" s="164">
        <v>4.3</v>
      </c>
      <c r="D18" s="164" t="s">
        <v>167</v>
      </c>
      <c r="E18" s="164">
        <v>4</v>
      </c>
      <c r="F18" s="164" t="s">
        <v>167</v>
      </c>
      <c r="G18" s="164" t="s">
        <v>167</v>
      </c>
      <c r="H18" s="164" t="s">
        <v>167</v>
      </c>
      <c r="I18" s="164">
        <v>1.7</v>
      </c>
      <c r="J18" s="164">
        <v>96.4</v>
      </c>
      <c r="K18" s="164">
        <v>15.1</v>
      </c>
    </row>
    <row r="19" spans="1:11" ht="15" customHeight="1" x14ac:dyDescent="0.25">
      <c r="A19" s="203"/>
      <c r="B19" s="105" t="s">
        <v>12</v>
      </c>
      <c r="C19" s="163">
        <v>41.3</v>
      </c>
      <c r="D19" s="163">
        <v>73.8</v>
      </c>
      <c r="E19" s="163">
        <v>95.2</v>
      </c>
      <c r="F19" s="163">
        <v>25.6</v>
      </c>
      <c r="G19" s="163">
        <v>36</v>
      </c>
      <c r="H19" s="163">
        <v>62.3</v>
      </c>
      <c r="I19" s="163">
        <v>41.1</v>
      </c>
      <c r="J19" s="163">
        <v>54.9</v>
      </c>
      <c r="K19" s="163">
        <v>55.2</v>
      </c>
    </row>
    <row r="20" spans="1:11" ht="15" customHeight="1" x14ac:dyDescent="0.25">
      <c r="A20" s="203" t="s">
        <v>300</v>
      </c>
      <c r="B20" s="4" t="s">
        <v>22</v>
      </c>
      <c r="C20" s="164">
        <v>47.6</v>
      </c>
      <c r="D20" s="164">
        <v>81.099999999999994</v>
      </c>
      <c r="E20" s="164">
        <v>96.3</v>
      </c>
      <c r="F20" s="164">
        <v>23.8</v>
      </c>
      <c r="G20" s="164">
        <v>40.6</v>
      </c>
      <c r="H20" s="164">
        <v>77.400000000000006</v>
      </c>
      <c r="I20" s="164">
        <v>69.7</v>
      </c>
      <c r="J20" s="164">
        <v>49.5</v>
      </c>
      <c r="K20" s="164">
        <v>57.2</v>
      </c>
    </row>
    <row r="21" spans="1:11" ht="15" customHeight="1" x14ac:dyDescent="0.25">
      <c r="A21" s="203"/>
      <c r="B21" s="4" t="s">
        <v>23</v>
      </c>
      <c r="C21" s="164">
        <v>35.200000000000003</v>
      </c>
      <c r="D21" s="164">
        <v>75.3</v>
      </c>
      <c r="E21" s="164">
        <v>90.4</v>
      </c>
      <c r="F21" s="164">
        <v>25.6</v>
      </c>
      <c r="G21" s="164">
        <v>41.6</v>
      </c>
      <c r="H21" s="164">
        <v>68.8</v>
      </c>
      <c r="I21" s="164">
        <v>62.5</v>
      </c>
      <c r="J21" s="164">
        <v>74.3</v>
      </c>
      <c r="K21" s="164">
        <v>53.2</v>
      </c>
    </row>
    <row r="22" spans="1:11" ht="15" customHeight="1" x14ac:dyDescent="0.25">
      <c r="A22" s="203"/>
      <c r="B22" s="4" t="s">
        <v>24</v>
      </c>
      <c r="C22" s="164">
        <v>4.5</v>
      </c>
      <c r="D22" s="164">
        <v>41.5</v>
      </c>
      <c r="E22" s="164">
        <v>31</v>
      </c>
      <c r="F22" s="164" t="s">
        <v>167</v>
      </c>
      <c r="G22" s="164">
        <v>46.3</v>
      </c>
      <c r="H22" s="164" t="s">
        <v>167</v>
      </c>
      <c r="I22" s="164" t="s">
        <v>167</v>
      </c>
      <c r="J22" s="164">
        <v>124</v>
      </c>
      <c r="K22" s="164">
        <v>16.899999999999999</v>
      </c>
    </row>
    <row r="23" spans="1:11" ht="15" customHeight="1" x14ac:dyDescent="0.25">
      <c r="A23" s="203"/>
      <c r="B23" s="105" t="s">
        <v>12</v>
      </c>
      <c r="C23" s="163">
        <v>40.700000000000003</v>
      </c>
      <c r="D23" s="163">
        <v>76</v>
      </c>
      <c r="E23" s="163">
        <v>94.3</v>
      </c>
      <c r="F23" s="163">
        <v>24.4</v>
      </c>
      <c r="G23" s="163">
        <v>41.1</v>
      </c>
      <c r="H23" s="163">
        <v>71.7</v>
      </c>
      <c r="I23" s="163">
        <v>65</v>
      </c>
      <c r="J23" s="163">
        <v>51.2</v>
      </c>
      <c r="K23" s="163">
        <v>55</v>
      </c>
    </row>
    <row r="24" spans="1:11" ht="0.75" customHeight="1" x14ac:dyDescent="0.25">
      <c r="A24" s="2"/>
    </row>
    <row r="25" spans="1:11" ht="11.1" customHeight="1" x14ac:dyDescent="0.25">
      <c r="A25" s="206" t="s">
        <v>18</v>
      </c>
      <c r="B25" s="206"/>
      <c r="C25" s="206"/>
      <c r="D25" s="206"/>
      <c r="E25" s="206"/>
      <c r="F25" s="206"/>
      <c r="G25" s="206"/>
      <c r="H25" s="206"/>
      <c r="I25" s="206"/>
      <c r="J25" s="206"/>
      <c r="K25" s="206"/>
    </row>
    <row r="26" spans="1:11" s="6" customFormat="1" ht="11.1" customHeight="1" x14ac:dyDescent="0.15">
      <c r="A26" s="6" t="s">
        <v>122</v>
      </c>
    </row>
    <row r="27" spans="1:11" s="6" customFormat="1" ht="11.1" customHeight="1" x14ac:dyDescent="0.15">
      <c r="A27" s="6" t="s">
        <v>54</v>
      </c>
    </row>
    <row r="28" spans="1:11" s="6" customFormat="1" ht="11.1" customHeight="1" x14ac:dyDescent="0.15">
      <c r="A28" s="6" t="s">
        <v>115</v>
      </c>
    </row>
    <row r="29" spans="1:11" s="6" customFormat="1" ht="11.1" customHeight="1" x14ac:dyDescent="0.15">
      <c r="A29" s="6" t="s">
        <v>16</v>
      </c>
    </row>
    <row r="30" spans="1:11" s="6" customFormat="1" ht="11.1" customHeight="1" x14ac:dyDescent="0.15">
      <c r="A30" s="6" t="s">
        <v>271</v>
      </c>
    </row>
    <row r="31" spans="1:11" ht="12" customHeight="1" x14ac:dyDescent="0.25">
      <c r="A31" s="2"/>
    </row>
  </sheetData>
  <mergeCells count="7">
    <mergeCell ref="A20:A23"/>
    <mergeCell ref="A25:K25"/>
    <mergeCell ref="A1:K1"/>
    <mergeCell ref="A4:A7"/>
    <mergeCell ref="A8:A11"/>
    <mergeCell ref="A12:A15"/>
    <mergeCell ref="A16:A19"/>
  </mergeCells>
  <pageMargins left="0.08" right="0.08" top="1" bottom="1" header="0.5" footer="0.5"/>
  <pageSetup orientation="landscape" blackAndWhite="1"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P71"/>
  <sheetViews>
    <sheetView zoomScaleNormal="100" workbookViewId="0">
      <selection activeCell="M28" sqref="M28"/>
    </sheetView>
  </sheetViews>
  <sheetFormatPr defaultColWidth="9.140625" defaultRowHeight="15" x14ac:dyDescent="0.25"/>
  <cols>
    <col min="1" max="1" width="13.5703125" style="1" customWidth="1"/>
    <col min="2" max="2" width="25" style="1" customWidth="1"/>
    <col min="3" max="13" width="11.42578125" style="1" bestFit="1" customWidth="1"/>
    <col min="14" max="16384" width="9.140625" style="1"/>
  </cols>
  <sheetData>
    <row r="1" spans="1:13" x14ac:dyDescent="0.25">
      <c r="A1" s="198" t="s">
        <v>365</v>
      </c>
      <c r="B1" s="198"/>
      <c r="C1" s="198"/>
      <c r="D1" s="198"/>
      <c r="E1" s="198"/>
      <c r="F1" s="198"/>
      <c r="G1" s="198"/>
      <c r="H1" s="198"/>
      <c r="I1" s="198"/>
      <c r="J1" s="198"/>
      <c r="K1" s="198"/>
      <c r="L1" s="198"/>
      <c r="M1" s="198"/>
    </row>
    <row r="2" spans="1:13" ht="2.25" customHeight="1" x14ac:dyDescent="0.25">
      <c r="A2" s="2"/>
    </row>
    <row r="3" spans="1:13" ht="23.25" x14ac:dyDescent="0.25">
      <c r="A3" s="40" t="s">
        <v>186</v>
      </c>
      <c r="B3" s="40" t="s">
        <v>199</v>
      </c>
      <c r="C3" s="3" t="s">
        <v>1</v>
      </c>
      <c r="D3" s="3" t="s">
        <v>2</v>
      </c>
      <c r="E3" s="3" t="s">
        <v>3</v>
      </c>
      <c r="F3" s="3" t="s">
        <v>4</v>
      </c>
      <c r="G3" s="3" t="s">
        <v>5</v>
      </c>
      <c r="H3" s="3" t="s">
        <v>6</v>
      </c>
      <c r="I3" s="3" t="s">
        <v>7</v>
      </c>
      <c r="J3" s="3" t="s">
        <v>8</v>
      </c>
      <c r="K3" s="3" t="s">
        <v>9</v>
      </c>
    </row>
    <row r="4" spans="1:13" x14ac:dyDescent="0.25">
      <c r="A4" s="105" t="s">
        <v>22</v>
      </c>
      <c r="B4" s="4" t="s">
        <v>123</v>
      </c>
      <c r="C4" s="13">
        <v>388</v>
      </c>
      <c r="D4" s="13">
        <v>30</v>
      </c>
      <c r="E4" s="13">
        <v>700</v>
      </c>
      <c r="F4" s="13">
        <v>116</v>
      </c>
      <c r="G4" s="13">
        <v>178</v>
      </c>
      <c r="H4" s="13" t="s">
        <v>174</v>
      </c>
      <c r="I4" s="13" t="s">
        <v>174</v>
      </c>
      <c r="J4" s="13">
        <v>529</v>
      </c>
      <c r="K4" s="13">
        <v>1957</v>
      </c>
    </row>
    <row r="5" spans="1:13" x14ac:dyDescent="0.25">
      <c r="A5" s="105"/>
      <c r="B5" s="4" t="s">
        <v>124</v>
      </c>
      <c r="C5" s="13">
        <v>978</v>
      </c>
      <c r="D5" s="13">
        <v>63</v>
      </c>
      <c r="E5" s="13">
        <v>526</v>
      </c>
      <c r="F5" s="13">
        <v>609</v>
      </c>
      <c r="G5" s="13">
        <v>87</v>
      </c>
      <c r="H5" s="13">
        <v>29</v>
      </c>
      <c r="I5" s="13">
        <v>10</v>
      </c>
      <c r="J5" s="13">
        <v>96</v>
      </c>
      <c r="K5" s="13">
        <v>2398</v>
      </c>
    </row>
    <row r="6" spans="1:13" x14ac:dyDescent="0.25">
      <c r="A6" s="105"/>
      <c r="B6" s="4" t="s">
        <v>125</v>
      </c>
      <c r="C6" s="13" t="s">
        <v>167</v>
      </c>
      <c r="D6" s="13" t="s">
        <v>167</v>
      </c>
      <c r="E6" s="13" t="s">
        <v>167</v>
      </c>
      <c r="F6" s="13" t="s">
        <v>167</v>
      </c>
      <c r="G6" s="13" t="s">
        <v>167</v>
      </c>
      <c r="H6" s="13" t="s">
        <v>167</v>
      </c>
      <c r="I6" s="13" t="s">
        <v>167</v>
      </c>
      <c r="J6" s="13" t="s">
        <v>167</v>
      </c>
      <c r="K6" s="13" t="s">
        <v>167</v>
      </c>
    </row>
    <row r="7" spans="1:13" x14ac:dyDescent="0.25">
      <c r="A7" s="105"/>
      <c r="B7" s="4" t="s">
        <v>126</v>
      </c>
      <c r="C7" s="13" t="s">
        <v>167</v>
      </c>
      <c r="D7" s="13" t="s">
        <v>167</v>
      </c>
      <c r="E7" s="13" t="s">
        <v>167</v>
      </c>
      <c r="F7" s="13" t="s">
        <v>167</v>
      </c>
      <c r="G7" s="13" t="s">
        <v>167</v>
      </c>
      <c r="H7" s="13" t="s">
        <v>172</v>
      </c>
      <c r="I7" s="13" t="s">
        <v>167</v>
      </c>
      <c r="J7" s="13" t="s">
        <v>167</v>
      </c>
      <c r="K7" s="13" t="s">
        <v>167</v>
      </c>
    </row>
    <row r="8" spans="1:13" x14ac:dyDescent="0.25">
      <c r="A8" s="105"/>
      <c r="B8" s="4" t="s">
        <v>127</v>
      </c>
      <c r="C8" s="13" t="s">
        <v>167</v>
      </c>
      <c r="D8" s="13" t="s">
        <v>167</v>
      </c>
      <c r="E8" s="13" t="s">
        <v>167</v>
      </c>
      <c r="F8" s="13" t="s">
        <v>167</v>
      </c>
      <c r="G8" s="13" t="s">
        <v>167</v>
      </c>
      <c r="H8" s="13" t="s">
        <v>167</v>
      </c>
      <c r="I8" s="13" t="s">
        <v>167</v>
      </c>
      <c r="J8" s="13" t="s">
        <v>167</v>
      </c>
      <c r="K8" s="13" t="s">
        <v>167</v>
      </c>
    </row>
    <row r="9" spans="1:13" x14ac:dyDescent="0.25">
      <c r="A9" s="105"/>
      <c r="B9" s="4" t="s">
        <v>90</v>
      </c>
      <c r="C9" s="13">
        <v>27</v>
      </c>
      <c r="D9" s="13" t="s">
        <v>167</v>
      </c>
      <c r="E9" s="13">
        <v>17</v>
      </c>
      <c r="F9" s="13">
        <v>3</v>
      </c>
      <c r="G9" s="13">
        <v>2</v>
      </c>
      <c r="H9" s="13" t="s">
        <v>174</v>
      </c>
      <c r="I9" s="13" t="s">
        <v>174</v>
      </c>
      <c r="J9" s="13">
        <v>7</v>
      </c>
      <c r="K9" s="13">
        <v>62</v>
      </c>
    </row>
    <row r="10" spans="1:13" x14ac:dyDescent="0.25">
      <c r="A10" s="105"/>
      <c r="B10" s="9" t="s">
        <v>12</v>
      </c>
      <c r="C10" s="63">
        <v>1393</v>
      </c>
      <c r="D10" s="63">
        <v>93</v>
      </c>
      <c r="E10" s="63">
        <v>1243</v>
      </c>
      <c r="F10" s="63">
        <v>728</v>
      </c>
      <c r="G10" s="63">
        <v>267</v>
      </c>
      <c r="H10" s="63">
        <v>42</v>
      </c>
      <c r="I10" s="63">
        <v>19</v>
      </c>
      <c r="J10" s="63">
        <v>632</v>
      </c>
      <c r="K10" s="63">
        <v>4417</v>
      </c>
    </row>
    <row r="11" spans="1:13" ht="15" customHeight="1" x14ac:dyDescent="0.25">
      <c r="A11" s="105" t="s">
        <v>23</v>
      </c>
      <c r="B11" s="4" t="s">
        <v>123</v>
      </c>
      <c r="C11" s="13">
        <v>199</v>
      </c>
      <c r="D11" s="13">
        <v>154</v>
      </c>
      <c r="E11" s="13">
        <v>256</v>
      </c>
      <c r="F11" s="13">
        <v>74</v>
      </c>
      <c r="G11" s="13">
        <v>145</v>
      </c>
      <c r="H11" s="13" t="s">
        <v>174</v>
      </c>
      <c r="I11" s="13" t="s">
        <v>174</v>
      </c>
      <c r="J11" s="13">
        <v>24</v>
      </c>
      <c r="K11" s="13">
        <v>870</v>
      </c>
    </row>
    <row r="12" spans="1:13" x14ac:dyDescent="0.25">
      <c r="A12" s="105"/>
      <c r="B12" s="4" t="s">
        <v>124</v>
      </c>
      <c r="C12" s="13">
        <v>842</v>
      </c>
      <c r="D12" s="13">
        <v>401</v>
      </c>
      <c r="E12" s="13">
        <v>237</v>
      </c>
      <c r="F12" s="13">
        <v>383</v>
      </c>
      <c r="G12" s="13">
        <v>57</v>
      </c>
      <c r="H12" s="13">
        <v>61</v>
      </c>
      <c r="I12" s="13">
        <v>23</v>
      </c>
      <c r="J12" s="13">
        <v>2</v>
      </c>
      <c r="K12" s="13">
        <v>2006</v>
      </c>
    </row>
    <row r="13" spans="1:13" x14ac:dyDescent="0.25">
      <c r="A13" s="105"/>
      <c r="B13" s="4" t="s">
        <v>125</v>
      </c>
      <c r="C13" s="13" t="s">
        <v>167</v>
      </c>
      <c r="D13" s="13" t="s">
        <v>167</v>
      </c>
      <c r="E13" s="13" t="s">
        <v>167</v>
      </c>
      <c r="F13" s="13" t="s">
        <v>167</v>
      </c>
      <c r="G13" s="13" t="s">
        <v>167</v>
      </c>
      <c r="H13" s="13" t="s">
        <v>167</v>
      </c>
      <c r="I13" s="13" t="s">
        <v>167</v>
      </c>
      <c r="J13" s="13" t="s">
        <v>167</v>
      </c>
      <c r="K13" s="13" t="s">
        <v>167</v>
      </c>
    </row>
    <row r="14" spans="1:13" x14ac:dyDescent="0.25">
      <c r="A14" s="105"/>
      <c r="B14" s="4" t="s">
        <v>126</v>
      </c>
      <c r="C14" s="13" t="s">
        <v>167</v>
      </c>
      <c r="D14" s="13" t="s">
        <v>167</v>
      </c>
      <c r="E14" s="13" t="s">
        <v>167</v>
      </c>
      <c r="F14" s="13" t="s">
        <v>167</v>
      </c>
      <c r="G14" s="13" t="s">
        <v>167</v>
      </c>
      <c r="H14" s="13" t="s">
        <v>172</v>
      </c>
      <c r="I14" s="13" t="s">
        <v>167</v>
      </c>
      <c r="J14" s="13" t="s">
        <v>167</v>
      </c>
      <c r="K14" s="13" t="s">
        <v>167</v>
      </c>
    </row>
    <row r="15" spans="1:13" x14ac:dyDescent="0.25">
      <c r="A15" s="105"/>
      <c r="B15" s="4" t="s">
        <v>127</v>
      </c>
      <c r="C15" s="13" t="s">
        <v>167</v>
      </c>
      <c r="D15" s="13" t="s">
        <v>167</v>
      </c>
      <c r="E15" s="13" t="s">
        <v>167</v>
      </c>
      <c r="F15" s="13" t="s">
        <v>167</v>
      </c>
      <c r="G15" s="13" t="s">
        <v>167</v>
      </c>
      <c r="H15" s="13" t="s">
        <v>167</v>
      </c>
      <c r="I15" s="13" t="s">
        <v>167</v>
      </c>
      <c r="J15" s="13" t="s">
        <v>167</v>
      </c>
      <c r="K15" s="13" t="s">
        <v>167</v>
      </c>
    </row>
    <row r="16" spans="1:13" x14ac:dyDescent="0.25">
      <c r="A16" s="105"/>
      <c r="B16" s="4" t="s">
        <v>90</v>
      </c>
      <c r="C16" s="13">
        <v>26</v>
      </c>
      <c r="D16" s="13">
        <v>2</v>
      </c>
      <c r="E16" s="13">
        <v>8</v>
      </c>
      <c r="F16" s="13">
        <v>1</v>
      </c>
      <c r="G16" s="13" t="s">
        <v>167</v>
      </c>
      <c r="H16" s="13" t="s">
        <v>174</v>
      </c>
      <c r="I16" s="13" t="s">
        <v>174</v>
      </c>
      <c r="J16" s="13">
        <v>1</v>
      </c>
      <c r="K16" s="13">
        <v>66</v>
      </c>
    </row>
    <row r="17" spans="1:11" x14ac:dyDescent="0.25">
      <c r="A17" s="105"/>
      <c r="B17" s="9" t="s">
        <v>12</v>
      </c>
      <c r="C17" s="63">
        <v>1067</v>
      </c>
      <c r="D17" s="63">
        <v>557</v>
      </c>
      <c r="E17" s="63">
        <v>501</v>
      </c>
      <c r="F17" s="63">
        <v>458</v>
      </c>
      <c r="G17" s="63">
        <v>202</v>
      </c>
      <c r="H17" s="63">
        <v>93</v>
      </c>
      <c r="I17" s="63">
        <v>37</v>
      </c>
      <c r="J17" s="63">
        <v>27</v>
      </c>
      <c r="K17" s="63">
        <v>2942</v>
      </c>
    </row>
    <row r="18" spans="1:11" x14ac:dyDescent="0.25">
      <c r="A18" s="105" t="s">
        <v>24</v>
      </c>
      <c r="B18" s="4" t="s">
        <v>123</v>
      </c>
      <c r="C18" s="13">
        <v>5</v>
      </c>
      <c r="D18" s="13">
        <v>1</v>
      </c>
      <c r="E18" s="13" t="s">
        <v>167</v>
      </c>
      <c r="F18" s="13" t="s">
        <v>167</v>
      </c>
      <c r="G18" s="13">
        <v>2</v>
      </c>
      <c r="H18" s="13" t="s">
        <v>167</v>
      </c>
      <c r="I18" s="13" t="s">
        <v>167</v>
      </c>
      <c r="J18" s="13">
        <v>4</v>
      </c>
      <c r="K18" s="13">
        <v>12</v>
      </c>
    </row>
    <row r="19" spans="1:11" x14ac:dyDescent="0.25">
      <c r="A19" s="105"/>
      <c r="B19" s="4" t="s">
        <v>124</v>
      </c>
      <c r="C19" s="13">
        <v>40</v>
      </c>
      <c r="D19" s="13">
        <v>1</v>
      </c>
      <c r="E19" s="13">
        <v>3</v>
      </c>
      <c r="F19" s="13" t="s">
        <v>167</v>
      </c>
      <c r="G19" s="13" t="s">
        <v>167</v>
      </c>
      <c r="H19" s="13" t="s">
        <v>167</v>
      </c>
      <c r="I19" s="13" t="s">
        <v>167</v>
      </c>
      <c r="J19" s="13" t="s">
        <v>167</v>
      </c>
      <c r="K19" s="13">
        <v>44</v>
      </c>
    </row>
    <row r="20" spans="1:11" x14ac:dyDescent="0.25">
      <c r="A20" s="105"/>
      <c r="B20" s="4" t="s">
        <v>125</v>
      </c>
      <c r="C20" s="13" t="s">
        <v>167</v>
      </c>
      <c r="D20" s="13" t="s">
        <v>167</v>
      </c>
      <c r="E20" s="13" t="s">
        <v>167</v>
      </c>
      <c r="F20" s="13" t="s">
        <v>167</v>
      </c>
      <c r="G20" s="13" t="s">
        <v>167</v>
      </c>
      <c r="H20" s="13" t="s">
        <v>167</v>
      </c>
      <c r="I20" s="13" t="s">
        <v>167</v>
      </c>
      <c r="J20" s="13" t="s">
        <v>167</v>
      </c>
      <c r="K20" s="13" t="s">
        <v>167</v>
      </c>
    </row>
    <row r="21" spans="1:11" x14ac:dyDescent="0.25">
      <c r="A21" s="105"/>
      <c r="B21" s="4" t="s">
        <v>126</v>
      </c>
      <c r="C21" s="13" t="s">
        <v>167</v>
      </c>
      <c r="D21" s="13" t="s">
        <v>167</v>
      </c>
      <c r="E21" s="13" t="s">
        <v>167</v>
      </c>
      <c r="F21" s="13" t="s">
        <v>167</v>
      </c>
      <c r="G21" s="13" t="s">
        <v>167</v>
      </c>
      <c r="H21" s="13" t="s">
        <v>172</v>
      </c>
      <c r="I21" s="13" t="s">
        <v>167</v>
      </c>
      <c r="J21" s="13" t="s">
        <v>167</v>
      </c>
      <c r="K21" s="13" t="s">
        <v>167</v>
      </c>
    </row>
    <row r="22" spans="1:11" x14ac:dyDescent="0.25">
      <c r="A22" s="105"/>
      <c r="B22" s="4" t="s">
        <v>127</v>
      </c>
      <c r="C22" s="13" t="s">
        <v>167</v>
      </c>
      <c r="D22" s="13" t="s">
        <v>167</v>
      </c>
      <c r="E22" s="13" t="s">
        <v>167</v>
      </c>
      <c r="F22" s="13" t="s">
        <v>167</v>
      </c>
      <c r="G22" s="13" t="s">
        <v>167</v>
      </c>
      <c r="H22" s="13" t="s">
        <v>167</v>
      </c>
      <c r="I22" s="13" t="s">
        <v>167</v>
      </c>
      <c r="J22" s="13" t="s">
        <v>167</v>
      </c>
      <c r="K22" s="13" t="s">
        <v>167</v>
      </c>
    </row>
    <row r="23" spans="1:11" x14ac:dyDescent="0.25">
      <c r="A23" s="105"/>
      <c r="B23" s="4" t="s">
        <v>90</v>
      </c>
      <c r="C23" s="13" t="s">
        <v>167</v>
      </c>
      <c r="D23" s="13" t="s">
        <v>167</v>
      </c>
      <c r="E23" s="13" t="s">
        <v>167</v>
      </c>
      <c r="F23" s="13" t="s">
        <v>167</v>
      </c>
      <c r="G23" s="13" t="s">
        <v>167</v>
      </c>
      <c r="H23" s="13" t="s">
        <v>167</v>
      </c>
      <c r="I23" s="13" t="s">
        <v>167</v>
      </c>
      <c r="J23" s="13" t="s">
        <v>167</v>
      </c>
      <c r="K23" s="13" t="s">
        <v>167</v>
      </c>
    </row>
    <row r="24" spans="1:11" x14ac:dyDescent="0.25">
      <c r="A24" s="105"/>
      <c r="B24" s="9" t="s">
        <v>12</v>
      </c>
      <c r="C24" s="63">
        <v>45</v>
      </c>
      <c r="D24" s="13">
        <v>2</v>
      </c>
      <c r="E24" s="63">
        <v>3</v>
      </c>
      <c r="F24" s="13" t="s">
        <v>167</v>
      </c>
      <c r="G24" s="13">
        <v>2</v>
      </c>
      <c r="H24" s="13" t="s">
        <v>167</v>
      </c>
      <c r="I24" s="63" t="s">
        <v>167</v>
      </c>
      <c r="J24" s="63">
        <v>4</v>
      </c>
      <c r="K24" s="63">
        <v>56</v>
      </c>
    </row>
    <row r="25" spans="1:11" x14ac:dyDescent="0.25">
      <c r="A25" s="9" t="s">
        <v>12</v>
      </c>
      <c r="B25" s="4" t="s">
        <v>123</v>
      </c>
      <c r="C25" s="13">
        <v>592</v>
      </c>
      <c r="D25" s="13">
        <v>185</v>
      </c>
      <c r="E25" s="13">
        <v>956</v>
      </c>
      <c r="F25" s="13">
        <v>190</v>
      </c>
      <c r="G25" s="13">
        <v>325</v>
      </c>
      <c r="H25" s="13">
        <v>19</v>
      </c>
      <c r="I25" s="13">
        <v>15</v>
      </c>
      <c r="J25" s="13">
        <v>557</v>
      </c>
      <c r="K25" s="13">
        <v>2839</v>
      </c>
    </row>
    <row r="26" spans="1:11" x14ac:dyDescent="0.25">
      <c r="A26" s="9"/>
      <c r="B26" s="4" t="s">
        <v>124</v>
      </c>
      <c r="C26" s="13">
        <v>1860</v>
      </c>
      <c r="D26" s="13">
        <v>465</v>
      </c>
      <c r="E26" s="13">
        <v>766</v>
      </c>
      <c r="F26" s="13">
        <v>992</v>
      </c>
      <c r="G26" s="13">
        <v>144</v>
      </c>
      <c r="H26" s="13">
        <v>90</v>
      </c>
      <c r="I26" s="13">
        <v>33</v>
      </c>
      <c r="J26" s="13">
        <v>98</v>
      </c>
      <c r="K26" s="13">
        <v>4448</v>
      </c>
    </row>
    <row r="27" spans="1:11" x14ac:dyDescent="0.25">
      <c r="A27" s="9"/>
      <c r="B27" s="4" t="s">
        <v>125</v>
      </c>
      <c r="C27" s="13" t="s">
        <v>167</v>
      </c>
      <c r="D27" s="13" t="s">
        <v>167</v>
      </c>
      <c r="E27" s="13" t="s">
        <v>167</v>
      </c>
      <c r="F27" s="13" t="s">
        <v>167</v>
      </c>
      <c r="G27" s="13" t="s">
        <v>167</v>
      </c>
      <c r="H27" s="13" t="s">
        <v>167</v>
      </c>
      <c r="I27" s="13" t="s">
        <v>167</v>
      </c>
      <c r="J27" s="13" t="s">
        <v>167</v>
      </c>
      <c r="K27" s="13" t="s">
        <v>167</v>
      </c>
    </row>
    <row r="28" spans="1:11" x14ac:dyDescent="0.25">
      <c r="A28" s="9"/>
      <c r="B28" s="4" t="s">
        <v>126</v>
      </c>
      <c r="C28" s="13" t="s">
        <v>167</v>
      </c>
      <c r="D28" s="13" t="s">
        <v>167</v>
      </c>
      <c r="E28" s="13" t="s">
        <v>167</v>
      </c>
      <c r="F28" s="13" t="s">
        <v>167</v>
      </c>
      <c r="G28" s="13" t="s">
        <v>167</v>
      </c>
      <c r="H28" s="13" t="s">
        <v>172</v>
      </c>
      <c r="I28" s="13" t="s">
        <v>167</v>
      </c>
      <c r="J28" s="13" t="s">
        <v>167</v>
      </c>
      <c r="K28" s="13" t="s">
        <v>167</v>
      </c>
    </row>
    <row r="29" spans="1:11" x14ac:dyDescent="0.25">
      <c r="A29" s="9"/>
      <c r="B29" s="4" t="s">
        <v>127</v>
      </c>
      <c r="C29" s="13" t="s">
        <v>167</v>
      </c>
      <c r="D29" s="13" t="s">
        <v>167</v>
      </c>
      <c r="E29" s="13" t="s">
        <v>167</v>
      </c>
      <c r="F29" s="13" t="s">
        <v>167</v>
      </c>
      <c r="G29" s="13" t="s">
        <v>167</v>
      </c>
      <c r="H29" s="13" t="s">
        <v>167</v>
      </c>
      <c r="I29" s="13" t="s">
        <v>167</v>
      </c>
      <c r="J29" s="13" t="s">
        <v>167</v>
      </c>
      <c r="K29" s="13" t="s">
        <v>167</v>
      </c>
    </row>
    <row r="30" spans="1:11" x14ac:dyDescent="0.25">
      <c r="A30" s="9"/>
      <c r="B30" s="4" t="s">
        <v>90</v>
      </c>
      <c r="C30" s="13">
        <v>53</v>
      </c>
      <c r="D30" s="13">
        <v>2</v>
      </c>
      <c r="E30" s="13">
        <v>25</v>
      </c>
      <c r="F30" s="13">
        <v>4</v>
      </c>
      <c r="G30" s="13">
        <v>2</v>
      </c>
      <c r="H30" s="13">
        <v>26</v>
      </c>
      <c r="I30" s="13">
        <v>8</v>
      </c>
      <c r="J30" s="13">
        <v>8</v>
      </c>
      <c r="K30" s="13">
        <v>128</v>
      </c>
    </row>
    <row r="31" spans="1:11" x14ac:dyDescent="0.25">
      <c r="A31" s="96"/>
      <c r="B31" s="96" t="s">
        <v>12</v>
      </c>
      <c r="C31" s="148">
        <v>2505</v>
      </c>
      <c r="D31" s="148">
        <v>652</v>
      </c>
      <c r="E31" s="148">
        <v>1747</v>
      </c>
      <c r="F31" s="148">
        <v>1186</v>
      </c>
      <c r="G31" s="148">
        <v>471</v>
      </c>
      <c r="H31" s="148">
        <v>135</v>
      </c>
      <c r="I31" s="148">
        <v>56</v>
      </c>
      <c r="J31" s="148">
        <v>663</v>
      </c>
      <c r="K31" s="148">
        <v>7415</v>
      </c>
    </row>
    <row r="32" spans="1:11" ht="2.25" customHeight="1" x14ac:dyDescent="0.25"/>
    <row r="33" spans="1:16" s="6" customFormat="1" ht="9" x14ac:dyDescent="0.15">
      <c r="A33" s="6" t="s">
        <v>220</v>
      </c>
    </row>
    <row r="34" spans="1:16" x14ac:dyDescent="0.25">
      <c r="A34" s="202" t="s">
        <v>18</v>
      </c>
      <c r="B34" s="202"/>
      <c r="C34" s="202"/>
      <c r="D34" s="202"/>
      <c r="E34" s="202"/>
      <c r="F34" s="202"/>
      <c r="G34" s="202"/>
      <c r="H34" s="202"/>
      <c r="I34" s="202"/>
      <c r="J34" s="202"/>
      <c r="K34" s="202"/>
      <c r="L34" s="202"/>
      <c r="M34" s="202"/>
    </row>
    <row r="35" spans="1:16" s="6" customFormat="1" ht="9" x14ac:dyDescent="0.15">
      <c r="A35" s="6" t="s">
        <v>128</v>
      </c>
    </row>
    <row r="36" spans="1:16" s="6" customFormat="1" ht="9" x14ac:dyDescent="0.15">
      <c r="A36" s="6" t="s">
        <v>129</v>
      </c>
    </row>
    <row r="37" spans="1:16" s="6" customFormat="1" ht="9" x14ac:dyDescent="0.15">
      <c r="A37" s="6" t="s">
        <v>115</v>
      </c>
    </row>
    <row r="38" spans="1:16" s="6" customFormat="1" ht="9" x14ac:dyDescent="0.15">
      <c r="A38" s="6" t="s">
        <v>364</v>
      </c>
    </row>
    <row r="39" spans="1:16" s="6" customFormat="1" ht="9" x14ac:dyDescent="0.15"/>
    <row r="40" spans="1:16" s="6" customFormat="1" ht="9" x14ac:dyDescent="0.15">
      <c r="A40" s="6" t="s">
        <v>271</v>
      </c>
    </row>
    <row r="41" spans="1:16" s="6" customFormat="1" ht="9" x14ac:dyDescent="0.15"/>
    <row r="42" spans="1:16" s="6" customFormat="1" ht="9" x14ac:dyDescent="0.15"/>
    <row r="43" spans="1:16" x14ac:dyDescent="0.25">
      <c r="A43" s="2"/>
    </row>
    <row r="44" spans="1:16" x14ac:dyDescent="0.25">
      <c r="P44" s="127"/>
    </row>
    <row r="45" spans="1:16" x14ac:dyDescent="0.25">
      <c r="P45" s="127"/>
    </row>
    <row r="50" spans="8:16" x14ac:dyDescent="0.25">
      <c r="H50" s="127"/>
      <c r="J50" s="127"/>
      <c r="P50" s="127"/>
    </row>
    <row r="52" spans="8:16" x14ac:dyDescent="0.25">
      <c r="P52" s="127"/>
    </row>
    <row r="57" spans="8:16" x14ac:dyDescent="0.25">
      <c r="H57" s="127"/>
      <c r="P57" s="127"/>
    </row>
    <row r="65" spans="8:16" x14ac:dyDescent="0.25">
      <c r="P65" s="127"/>
    </row>
    <row r="66" spans="8:16" x14ac:dyDescent="0.25">
      <c r="H66" s="127"/>
      <c r="P66" s="127"/>
    </row>
    <row r="71" spans="8:16" x14ac:dyDescent="0.25">
      <c r="H71" s="127"/>
      <c r="J71" s="127"/>
      <c r="K71" s="127"/>
      <c r="P71" s="127"/>
    </row>
  </sheetData>
  <mergeCells count="2">
    <mergeCell ref="A34:M34"/>
    <mergeCell ref="A1:M1"/>
  </mergeCells>
  <pageMargins left="0.08" right="0.08" top="1" bottom="1" header="0.5" footer="0.5"/>
  <pageSetup orientation="landscape" blackAndWhite="1"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57"/>
  <sheetViews>
    <sheetView zoomScaleNormal="100" workbookViewId="0">
      <selection activeCell="J10" sqref="J10"/>
    </sheetView>
  </sheetViews>
  <sheetFormatPr defaultColWidth="9.140625" defaultRowHeight="15" x14ac:dyDescent="0.25"/>
  <cols>
    <col min="1" max="1" width="15.5703125" style="1" customWidth="1"/>
    <col min="2" max="11" width="11.42578125" style="1" bestFit="1" customWidth="1"/>
    <col min="12" max="16384" width="9.140625" style="1"/>
  </cols>
  <sheetData>
    <row r="1" spans="1:21" ht="24.75" customHeight="1" x14ac:dyDescent="0.25">
      <c r="A1" s="237" t="s">
        <v>363</v>
      </c>
      <c r="B1" s="237"/>
      <c r="C1" s="237"/>
      <c r="D1" s="237"/>
      <c r="E1" s="237"/>
      <c r="F1" s="237"/>
      <c r="G1" s="237"/>
      <c r="H1" s="237"/>
      <c r="I1" s="237"/>
      <c r="J1" s="237"/>
      <c r="K1" s="237"/>
    </row>
    <row r="2" spans="1:21" ht="12" hidden="1" customHeight="1" x14ac:dyDescent="0.25">
      <c r="A2" s="2"/>
    </row>
    <row r="3" spans="1:21" x14ac:dyDescent="0.25">
      <c r="A3" s="65" t="s">
        <v>186</v>
      </c>
      <c r="B3" s="65" t="s">
        <v>184</v>
      </c>
      <c r="C3" s="3" t="s">
        <v>1</v>
      </c>
      <c r="D3" s="3" t="s">
        <v>2</v>
      </c>
      <c r="E3" s="3" t="s">
        <v>3</v>
      </c>
      <c r="F3" s="3" t="s">
        <v>4</v>
      </c>
      <c r="G3" s="3" t="s">
        <v>5</v>
      </c>
      <c r="H3" s="3" t="s">
        <v>6</v>
      </c>
      <c r="I3" s="3" t="s">
        <v>7</v>
      </c>
      <c r="J3" s="3" t="s">
        <v>8</v>
      </c>
      <c r="K3" s="3" t="s">
        <v>9</v>
      </c>
    </row>
    <row r="4" spans="1:21" x14ac:dyDescent="0.25">
      <c r="A4" s="203" t="s">
        <v>22</v>
      </c>
      <c r="B4" s="4" t="s">
        <v>43</v>
      </c>
      <c r="C4" s="5" t="s">
        <v>167</v>
      </c>
      <c r="D4" s="5" t="s">
        <v>167</v>
      </c>
      <c r="E4" s="5" t="s">
        <v>167</v>
      </c>
      <c r="F4" s="5" t="s">
        <v>167</v>
      </c>
      <c r="G4" s="5" t="s">
        <v>167</v>
      </c>
      <c r="H4" s="5" t="s">
        <v>167</v>
      </c>
      <c r="I4" s="5" t="s">
        <v>167</v>
      </c>
      <c r="J4" s="5">
        <v>0.1</v>
      </c>
      <c r="K4" s="5">
        <v>0.1</v>
      </c>
    </row>
    <row r="5" spans="1:21" x14ac:dyDescent="0.25">
      <c r="A5" s="203"/>
      <c r="B5" s="4" t="s">
        <v>44</v>
      </c>
      <c r="C5" s="5">
        <v>23.8</v>
      </c>
      <c r="D5" s="5">
        <v>1.2</v>
      </c>
      <c r="E5" s="5">
        <v>26.1</v>
      </c>
      <c r="F5" s="5">
        <v>12.3</v>
      </c>
      <c r="G5" s="5">
        <v>1</v>
      </c>
      <c r="H5" s="5">
        <v>1</v>
      </c>
      <c r="I5" s="5" t="s">
        <v>167</v>
      </c>
      <c r="J5" s="5">
        <v>26.1</v>
      </c>
      <c r="K5" s="5">
        <v>91.4</v>
      </c>
    </row>
    <row r="6" spans="1:21" x14ac:dyDescent="0.25">
      <c r="A6" s="203"/>
      <c r="B6" s="4" t="s">
        <v>45</v>
      </c>
      <c r="C6" s="5">
        <v>13.1</v>
      </c>
      <c r="D6" s="5">
        <v>5.3</v>
      </c>
      <c r="E6" s="5">
        <v>1.4</v>
      </c>
      <c r="F6" s="5">
        <v>0.8</v>
      </c>
      <c r="G6" s="5">
        <v>0.7</v>
      </c>
      <c r="H6" s="5" t="s">
        <v>167</v>
      </c>
      <c r="I6" s="5" t="s">
        <v>167</v>
      </c>
      <c r="J6" s="5">
        <v>1.1000000000000001</v>
      </c>
      <c r="K6" s="5">
        <v>22.4</v>
      </c>
    </row>
    <row r="7" spans="1:21" x14ac:dyDescent="0.25">
      <c r="A7" s="203"/>
      <c r="B7" s="105" t="s">
        <v>12</v>
      </c>
      <c r="C7" s="76">
        <v>36.9</v>
      </c>
      <c r="D7" s="76">
        <v>6.4</v>
      </c>
      <c r="E7" s="76">
        <v>27.5</v>
      </c>
      <c r="F7" s="76">
        <v>13.1</v>
      </c>
      <c r="G7" s="76">
        <v>1.7</v>
      </c>
      <c r="H7" s="76">
        <v>1</v>
      </c>
      <c r="I7" s="76" t="s">
        <v>167</v>
      </c>
      <c r="J7" s="76">
        <v>27.3</v>
      </c>
      <c r="K7" s="76">
        <v>113.9</v>
      </c>
    </row>
    <row r="8" spans="1:21" ht="15" customHeight="1" x14ac:dyDescent="0.25">
      <c r="A8" s="203" t="s">
        <v>23</v>
      </c>
      <c r="B8" s="4" t="s">
        <v>43</v>
      </c>
      <c r="C8" s="5" t="s">
        <v>167</v>
      </c>
      <c r="D8" s="5" t="s">
        <v>167</v>
      </c>
      <c r="E8" s="5" t="s">
        <v>167</v>
      </c>
      <c r="F8" s="5" t="s">
        <v>167</v>
      </c>
      <c r="G8" s="5" t="s">
        <v>167</v>
      </c>
      <c r="H8" s="5" t="s">
        <v>167</v>
      </c>
      <c r="I8" s="5" t="s">
        <v>167</v>
      </c>
      <c r="J8" s="5" t="s">
        <v>167</v>
      </c>
      <c r="K8" s="5" t="s">
        <v>167</v>
      </c>
      <c r="L8" s="47"/>
      <c r="M8" s="50"/>
      <c r="N8" s="50"/>
      <c r="O8" s="50"/>
      <c r="P8" s="50"/>
      <c r="Q8" s="50"/>
      <c r="R8" s="50"/>
      <c r="S8" s="50"/>
      <c r="T8" s="50"/>
      <c r="U8" s="50"/>
    </row>
    <row r="9" spans="1:21" x14ac:dyDescent="0.25">
      <c r="A9" s="203"/>
      <c r="B9" s="4" t="s">
        <v>44</v>
      </c>
      <c r="C9" s="5">
        <v>10.4</v>
      </c>
      <c r="D9" s="5">
        <v>7.4</v>
      </c>
      <c r="E9" s="5">
        <v>5</v>
      </c>
      <c r="F9" s="5">
        <v>11.3</v>
      </c>
      <c r="G9" s="5">
        <v>2.2999999999999998</v>
      </c>
      <c r="H9" s="5">
        <v>1.6</v>
      </c>
      <c r="I9" s="5">
        <v>0.7</v>
      </c>
      <c r="J9" s="5">
        <v>0.5</v>
      </c>
      <c r="K9" s="5">
        <v>39.200000000000003</v>
      </c>
      <c r="L9" s="47"/>
      <c r="M9" s="50"/>
      <c r="N9" s="50"/>
      <c r="O9" s="50"/>
      <c r="P9" s="50"/>
      <c r="Q9" s="50"/>
      <c r="R9" s="50"/>
      <c r="S9" s="50"/>
      <c r="T9" s="50"/>
      <c r="U9" s="50"/>
    </row>
    <row r="10" spans="1:21" x14ac:dyDescent="0.25">
      <c r="A10" s="203"/>
      <c r="B10" s="4" t="s">
        <v>45</v>
      </c>
      <c r="C10" s="5">
        <v>15.5</v>
      </c>
      <c r="D10" s="5">
        <v>29.9</v>
      </c>
      <c r="E10" s="5">
        <v>0.1</v>
      </c>
      <c r="F10" s="5">
        <v>0.2</v>
      </c>
      <c r="G10" s="5">
        <v>0.5</v>
      </c>
      <c r="H10" s="5" t="s">
        <v>167</v>
      </c>
      <c r="I10" s="5">
        <v>0.5</v>
      </c>
      <c r="J10" s="5" t="s">
        <v>167</v>
      </c>
      <c r="K10" s="5">
        <v>46.8</v>
      </c>
      <c r="L10" s="47"/>
      <c r="M10" s="50"/>
      <c r="N10" s="50"/>
      <c r="O10" s="50"/>
      <c r="P10" s="50"/>
      <c r="Q10" s="50"/>
      <c r="R10" s="50"/>
      <c r="S10" s="50"/>
      <c r="T10" s="50"/>
      <c r="U10" s="50"/>
    </row>
    <row r="11" spans="1:21" x14ac:dyDescent="0.25">
      <c r="A11" s="203"/>
      <c r="B11" s="105" t="s">
        <v>12</v>
      </c>
      <c r="C11" s="76">
        <v>25.9</v>
      </c>
      <c r="D11" s="76">
        <v>37.299999999999997</v>
      </c>
      <c r="E11" s="76">
        <v>5.0999999999999996</v>
      </c>
      <c r="F11" s="76">
        <v>11.5</v>
      </c>
      <c r="G11" s="76">
        <v>2.8</v>
      </c>
      <c r="H11" s="76">
        <v>1.6</v>
      </c>
      <c r="I11" s="76">
        <v>1.2</v>
      </c>
      <c r="J11" s="76">
        <v>0.5</v>
      </c>
      <c r="K11" s="76">
        <v>86</v>
      </c>
      <c r="L11" s="45"/>
      <c r="M11" s="42"/>
      <c r="N11" s="42"/>
      <c r="O11" s="42"/>
      <c r="P11" s="42"/>
      <c r="Q11" s="42"/>
      <c r="R11" s="42"/>
      <c r="S11" s="42"/>
      <c r="T11" s="42"/>
      <c r="U11" s="42"/>
    </row>
    <row r="12" spans="1:21" x14ac:dyDescent="0.25">
      <c r="A12" s="203" t="s">
        <v>24</v>
      </c>
      <c r="B12" s="4" t="s">
        <v>43</v>
      </c>
      <c r="C12" s="5" t="s">
        <v>167</v>
      </c>
      <c r="D12" s="5" t="s">
        <v>167</v>
      </c>
      <c r="E12" s="5" t="s">
        <v>167</v>
      </c>
      <c r="F12" s="5" t="s">
        <v>167</v>
      </c>
      <c r="G12" s="5" t="s">
        <v>167</v>
      </c>
      <c r="H12" s="5" t="s">
        <v>167</v>
      </c>
      <c r="I12" s="5" t="s">
        <v>167</v>
      </c>
      <c r="J12" s="5" t="s">
        <v>167</v>
      </c>
      <c r="K12" s="5" t="s">
        <v>269</v>
      </c>
      <c r="L12" s="47"/>
      <c r="M12" s="50"/>
      <c r="N12" s="50"/>
      <c r="O12" s="50"/>
      <c r="P12" s="50"/>
      <c r="Q12" s="50"/>
      <c r="R12" s="50"/>
      <c r="S12" s="50"/>
      <c r="T12" s="50"/>
      <c r="U12" s="50"/>
    </row>
    <row r="13" spans="1:21" x14ac:dyDescent="0.25">
      <c r="A13" s="203"/>
      <c r="B13" s="4" t="s">
        <v>44</v>
      </c>
      <c r="C13" s="5">
        <v>0.3</v>
      </c>
      <c r="D13" s="5" t="s">
        <v>167</v>
      </c>
      <c r="E13" s="5" t="s">
        <v>167</v>
      </c>
      <c r="F13" s="5" t="s">
        <v>167</v>
      </c>
      <c r="G13" s="5" t="s">
        <v>167</v>
      </c>
      <c r="H13" s="5" t="s">
        <v>167</v>
      </c>
      <c r="I13" s="5" t="s">
        <v>167</v>
      </c>
      <c r="J13" s="5">
        <v>0.4</v>
      </c>
      <c r="K13" s="5">
        <v>0.6</v>
      </c>
      <c r="L13" s="47"/>
      <c r="M13" s="50"/>
      <c r="N13" s="50"/>
      <c r="O13" s="50"/>
      <c r="P13" s="50"/>
      <c r="Q13" s="50"/>
      <c r="R13" s="50"/>
      <c r="S13" s="50"/>
      <c r="T13" s="50"/>
      <c r="U13" s="50"/>
    </row>
    <row r="14" spans="1:21" x14ac:dyDescent="0.25">
      <c r="A14" s="203"/>
      <c r="B14" s="4" t="s">
        <v>45</v>
      </c>
      <c r="C14" s="5">
        <v>0.8</v>
      </c>
      <c r="D14" s="5" t="s">
        <v>167</v>
      </c>
      <c r="E14" s="5" t="s">
        <v>167</v>
      </c>
      <c r="F14" s="5" t="s">
        <v>167</v>
      </c>
      <c r="G14" s="5" t="s">
        <v>167</v>
      </c>
      <c r="H14" s="5" t="s">
        <v>167</v>
      </c>
      <c r="I14" s="5" t="s">
        <v>167</v>
      </c>
      <c r="J14" s="5" t="s">
        <v>167</v>
      </c>
      <c r="K14" s="5">
        <v>0.8</v>
      </c>
      <c r="L14" s="47"/>
      <c r="M14" s="50"/>
      <c r="N14" s="50"/>
      <c r="O14" s="50"/>
      <c r="P14" s="50"/>
      <c r="Q14" s="50"/>
      <c r="R14" s="50"/>
      <c r="S14" s="50"/>
      <c r="T14" s="50"/>
      <c r="U14" s="50"/>
    </row>
    <row r="15" spans="1:21" x14ac:dyDescent="0.25">
      <c r="A15" s="203"/>
      <c r="B15" s="105" t="s">
        <v>12</v>
      </c>
      <c r="C15" s="76">
        <v>1</v>
      </c>
      <c r="D15" s="76" t="s">
        <v>167</v>
      </c>
      <c r="E15" s="76" t="s">
        <v>167</v>
      </c>
      <c r="F15" s="76" t="s">
        <v>167</v>
      </c>
      <c r="G15" s="76" t="s">
        <v>167</v>
      </c>
      <c r="H15" s="76" t="s">
        <v>167</v>
      </c>
      <c r="I15" s="76" t="s">
        <v>167</v>
      </c>
      <c r="J15" s="76">
        <v>0.4</v>
      </c>
      <c r="K15" s="76">
        <v>1.4</v>
      </c>
      <c r="L15" s="45"/>
      <c r="M15" s="42"/>
      <c r="N15" s="42"/>
      <c r="O15" s="42"/>
      <c r="P15" s="42"/>
      <c r="Q15" s="42"/>
      <c r="R15" s="42"/>
      <c r="S15" s="42"/>
      <c r="T15" s="42"/>
      <c r="U15" s="42"/>
    </row>
    <row r="16" spans="1:21" x14ac:dyDescent="0.25">
      <c r="A16" s="203" t="s">
        <v>12</v>
      </c>
      <c r="B16" s="4" t="s">
        <v>43</v>
      </c>
      <c r="C16" s="5" t="s">
        <v>167</v>
      </c>
      <c r="D16" s="5" t="s">
        <v>167</v>
      </c>
      <c r="E16" s="5" t="s">
        <v>167</v>
      </c>
      <c r="F16" s="5" t="s">
        <v>167</v>
      </c>
      <c r="G16" s="5" t="s">
        <v>167</v>
      </c>
      <c r="H16" s="5" t="s">
        <v>167</v>
      </c>
      <c r="I16" s="5" t="s">
        <v>167</v>
      </c>
      <c r="J16" s="5">
        <v>0.1</v>
      </c>
      <c r="K16" s="5">
        <v>0.1</v>
      </c>
      <c r="L16" s="47"/>
      <c r="M16" s="50"/>
      <c r="N16" s="50"/>
      <c r="O16" s="50"/>
      <c r="P16" s="50"/>
      <c r="Q16" s="50"/>
      <c r="R16" s="50"/>
      <c r="S16" s="50"/>
      <c r="T16" s="50"/>
      <c r="U16" s="50"/>
    </row>
    <row r="17" spans="1:21" x14ac:dyDescent="0.25">
      <c r="A17" s="203"/>
      <c r="B17" s="4" t="s">
        <v>44</v>
      </c>
      <c r="C17" s="5">
        <v>34.4</v>
      </c>
      <c r="D17" s="5">
        <v>8.6</v>
      </c>
      <c r="E17" s="5">
        <v>31.1</v>
      </c>
      <c r="F17" s="5">
        <v>23.7</v>
      </c>
      <c r="G17" s="5">
        <v>3.3</v>
      </c>
      <c r="H17" s="5">
        <v>2.6</v>
      </c>
      <c r="I17" s="5">
        <v>0.7</v>
      </c>
      <c r="J17" s="5">
        <v>26.9</v>
      </c>
      <c r="K17" s="5">
        <v>131.30000000000001</v>
      </c>
      <c r="L17" s="47"/>
      <c r="M17" s="50"/>
      <c r="N17" s="50"/>
      <c r="O17" s="50"/>
      <c r="P17" s="50"/>
      <c r="Q17" s="50"/>
      <c r="R17" s="50"/>
      <c r="S17" s="50"/>
      <c r="T17" s="50"/>
      <c r="U17" s="50"/>
    </row>
    <row r="18" spans="1:21" x14ac:dyDescent="0.25">
      <c r="A18" s="203"/>
      <c r="B18" s="4" t="s">
        <v>45</v>
      </c>
      <c r="C18" s="5">
        <v>29.4</v>
      </c>
      <c r="D18" s="5">
        <v>35.200000000000003</v>
      </c>
      <c r="E18" s="5">
        <v>1.5</v>
      </c>
      <c r="F18" s="5">
        <v>1</v>
      </c>
      <c r="G18" s="5">
        <v>1.2</v>
      </c>
      <c r="H18" s="5" t="s">
        <v>167</v>
      </c>
      <c r="I18" s="5">
        <v>0.5</v>
      </c>
      <c r="J18" s="5">
        <v>1.1000000000000001</v>
      </c>
      <c r="K18" s="5">
        <v>70</v>
      </c>
      <c r="L18" s="47"/>
      <c r="M18" s="50"/>
      <c r="N18" s="50"/>
      <c r="O18" s="50"/>
      <c r="P18" s="50"/>
      <c r="Q18" s="50"/>
      <c r="R18" s="50"/>
      <c r="S18" s="50"/>
      <c r="T18" s="50"/>
      <c r="U18" s="50"/>
    </row>
    <row r="19" spans="1:21" x14ac:dyDescent="0.25">
      <c r="A19" s="203"/>
      <c r="B19" s="105" t="s">
        <v>12</v>
      </c>
      <c r="C19" s="76">
        <v>63.8</v>
      </c>
      <c r="D19" s="76">
        <v>43.8</v>
      </c>
      <c r="E19" s="76">
        <v>32.6</v>
      </c>
      <c r="F19" s="76">
        <v>24.7</v>
      </c>
      <c r="G19" s="76">
        <v>4.5</v>
      </c>
      <c r="H19" s="76">
        <v>2.7</v>
      </c>
      <c r="I19" s="76">
        <v>1.2</v>
      </c>
      <c r="J19" s="76">
        <v>28.1</v>
      </c>
      <c r="K19" s="76">
        <v>201.3</v>
      </c>
      <c r="L19" s="45"/>
      <c r="M19" s="42"/>
      <c r="N19" s="42"/>
      <c r="O19" s="42"/>
      <c r="P19" s="42"/>
      <c r="Q19" s="42"/>
      <c r="R19" s="42"/>
      <c r="S19" s="42"/>
      <c r="T19" s="42"/>
      <c r="U19" s="42"/>
    </row>
    <row r="20" spans="1:21" ht="2.25" customHeight="1" x14ac:dyDescent="0.25">
      <c r="A20" s="2"/>
      <c r="D20" s="5"/>
      <c r="E20" s="5"/>
      <c r="L20" s="47"/>
      <c r="M20" s="50"/>
      <c r="N20" s="50"/>
      <c r="O20" s="50"/>
      <c r="P20" s="50"/>
      <c r="Q20" s="50"/>
      <c r="R20" s="50"/>
      <c r="S20" s="50"/>
      <c r="T20" s="50"/>
      <c r="U20" s="50"/>
    </row>
    <row r="21" spans="1:21" ht="11.1" customHeight="1" x14ac:dyDescent="0.25">
      <c r="A21" s="201" t="s">
        <v>13</v>
      </c>
      <c r="B21" s="201"/>
      <c r="C21" s="201"/>
      <c r="D21" s="201"/>
      <c r="E21" s="201"/>
      <c r="F21" s="201"/>
      <c r="G21" s="201"/>
      <c r="H21" s="201"/>
      <c r="I21" s="201"/>
      <c r="J21" s="201"/>
      <c r="K21" s="201"/>
      <c r="L21" s="47"/>
      <c r="M21" s="50"/>
      <c r="N21" s="50"/>
      <c r="O21" s="50"/>
      <c r="P21" s="50"/>
      <c r="Q21" s="50"/>
      <c r="R21" s="50"/>
      <c r="S21" s="50"/>
      <c r="T21" s="50"/>
      <c r="U21" s="50"/>
    </row>
    <row r="22" spans="1:21" s="6" customFormat="1" ht="11.1" customHeight="1" x14ac:dyDescent="0.2">
      <c r="A22" s="6" t="s">
        <v>14</v>
      </c>
      <c r="L22" s="47"/>
      <c r="M22" s="50"/>
      <c r="N22" s="50"/>
      <c r="O22" s="50"/>
      <c r="P22" s="50"/>
      <c r="Q22" s="50"/>
      <c r="R22" s="50"/>
      <c r="S22" s="50"/>
      <c r="T22" s="50"/>
      <c r="U22" s="50"/>
    </row>
    <row r="23" spans="1:21" s="10" customFormat="1" ht="11.1" customHeight="1" x14ac:dyDescent="0.2">
      <c r="A23" s="57" t="s">
        <v>18</v>
      </c>
      <c r="L23" s="45"/>
      <c r="M23" s="42"/>
      <c r="N23" s="42"/>
      <c r="O23" s="42"/>
      <c r="P23" s="42"/>
      <c r="Q23" s="42"/>
      <c r="R23" s="42"/>
      <c r="S23" s="42"/>
      <c r="T23" s="42"/>
      <c r="U23" s="42"/>
    </row>
    <row r="24" spans="1:21" s="6" customFormat="1" ht="11.1" customHeight="1" x14ac:dyDescent="0.15">
      <c r="A24" s="6" t="s">
        <v>31</v>
      </c>
    </row>
    <row r="25" spans="1:21" s="6" customFormat="1" ht="21" customHeight="1" x14ac:dyDescent="0.15">
      <c r="A25" s="199" t="s">
        <v>37</v>
      </c>
      <c r="B25" s="199"/>
      <c r="C25" s="199"/>
      <c r="D25" s="199"/>
      <c r="E25" s="199"/>
      <c r="F25" s="199"/>
      <c r="G25" s="199"/>
      <c r="H25" s="199"/>
      <c r="I25" s="199"/>
      <c r="J25" s="199"/>
      <c r="K25" s="199"/>
    </row>
    <row r="26" spans="1:21" s="6" customFormat="1" ht="11.1" customHeight="1" x14ac:dyDescent="0.15">
      <c r="A26" s="6" t="s">
        <v>115</v>
      </c>
    </row>
    <row r="27" spans="1:21" s="6" customFormat="1" ht="11.1" customHeight="1" x14ac:dyDescent="0.15">
      <c r="A27" s="6" t="s">
        <v>16</v>
      </c>
    </row>
    <row r="28" spans="1:21" s="6" customFormat="1" ht="11.1" customHeight="1" x14ac:dyDescent="0.15">
      <c r="A28" s="6" t="s">
        <v>271</v>
      </c>
    </row>
    <row r="29" spans="1:21" ht="12" customHeight="1" x14ac:dyDescent="0.25">
      <c r="A29" s="2"/>
    </row>
    <row r="30" spans="1:21" ht="27.75" customHeight="1" x14ac:dyDescent="0.25">
      <c r="A30" s="198" t="s">
        <v>362</v>
      </c>
      <c r="B30" s="198"/>
      <c r="C30" s="198"/>
      <c r="D30" s="198"/>
      <c r="E30" s="198"/>
      <c r="F30" s="198"/>
      <c r="G30" s="198"/>
      <c r="H30" s="198"/>
      <c r="I30" s="198"/>
      <c r="J30" s="198"/>
      <c r="K30" s="198"/>
    </row>
    <row r="31" spans="1:21" ht="2.25" customHeight="1" x14ac:dyDescent="0.25">
      <c r="A31" s="2"/>
    </row>
    <row r="32" spans="1:21" x14ac:dyDescent="0.25">
      <c r="A32" s="65" t="s">
        <v>186</v>
      </c>
      <c r="B32" s="65" t="s">
        <v>184</v>
      </c>
      <c r="C32" s="3" t="s">
        <v>1</v>
      </c>
      <c r="D32" s="3" t="s">
        <v>2</v>
      </c>
      <c r="E32" s="3" t="s">
        <v>3</v>
      </c>
      <c r="F32" s="3" t="s">
        <v>4</v>
      </c>
      <c r="G32" s="3" t="s">
        <v>5</v>
      </c>
      <c r="H32" s="3" t="s">
        <v>6</v>
      </c>
      <c r="I32" s="3" t="s">
        <v>7</v>
      </c>
      <c r="J32" s="3" t="s">
        <v>8</v>
      </c>
      <c r="K32" s="3" t="s">
        <v>9</v>
      </c>
    </row>
    <row r="33" spans="1:11" x14ac:dyDescent="0.25">
      <c r="A33" s="4" t="s">
        <v>22</v>
      </c>
      <c r="B33" s="4" t="s">
        <v>43</v>
      </c>
      <c r="C33" s="13" t="s">
        <v>167</v>
      </c>
      <c r="D33" s="13" t="s">
        <v>167</v>
      </c>
      <c r="E33" s="13" t="s">
        <v>167</v>
      </c>
      <c r="F33" s="13" t="s">
        <v>167</v>
      </c>
      <c r="G33" s="13" t="s">
        <v>167</v>
      </c>
      <c r="H33" s="13" t="s">
        <v>167</v>
      </c>
      <c r="I33" s="13" t="s">
        <v>167</v>
      </c>
      <c r="J33" s="13">
        <v>1</v>
      </c>
      <c r="K33" s="13">
        <v>1</v>
      </c>
    </row>
    <row r="34" spans="1:11" x14ac:dyDescent="0.25">
      <c r="A34" s="4"/>
      <c r="B34" s="4" t="s">
        <v>44</v>
      </c>
      <c r="C34" s="13">
        <v>111</v>
      </c>
      <c r="D34" s="13">
        <v>7</v>
      </c>
      <c r="E34" s="13">
        <v>136</v>
      </c>
      <c r="F34" s="13">
        <v>60</v>
      </c>
      <c r="G34" s="13" t="s">
        <v>174</v>
      </c>
      <c r="H34" s="13">
        <v>7</v>
      </c>
      <c r="I34" s="13" t="s">
        <v>174</v>
      </c>
      <c r="J34" s="13">
        <v>148</v>
      </c>
      <c r="K34" s="13">
        <v>485</v>
      </c>
    </row>
    <row r="35" spans="1:11" x14ac:dyDescent="0.25">
      <c r="A35" s="4"/>
      <c r="B35" s="4" t="s">
        <v>45</v>
      </c>
      <c r="C35" s="13">
        <v>23</v>
      </c>
      <c r="D35" s="13">
        <v>13</v>
      </c>
      <c r="E35" s="13">
        <v>7</v>
      </c>
      <c r="F35" s="13" t="s">
        <v>167</v>
      </c>
      <c r="G35" s="13" t="s">
        <v>174</v>
      </c>
      <c r="H35" s="13" t="s">
        <v>167</v>
      </c>
      <c r="I35" s="13" t="s">
        <v>174</v>
      </c>
      <c r="J35" s="13" t="s">
        <v>167</v>
      </c>
      <c r="K35" s="13">
        <v>46</v>
      </c>
    </row>
    <row r="36" spans="1:11" x14ac:dyDescent="0.25">
      <c r="A36" s="4"/>
      <c r="B36" s="9" t="s">
        <v>12</v>
      </c>
      <c r="C36" s="63">
        <v>134</v>
      </c>
      <c r="D36" s="63">
        <v>20</v>
      </c>
      <c r="E36" s="63">
        <v>143</v>
      </c>
      <c r="F36" s="63">
        <v>60</v>
      </c>
      <c r="G36" s="63">
        <v>19</v>
      </c>
      <c r="H36" s="63">
        <v>7</v>
      </c>
      <c r="I36" s="63" t="s">
        <v>167</v>
      </c>
      <c r="J36" s="63">
        <v>149</v>
      </c>
      <c r="K36" s="63">
        <v>532</v>
      </c>
    </row>
    <row r="37" spans="1:11" ht="15" customHeight="1" x14ac:dyDescent="0.25">
      <c r="A37" s="4" t="s">
        <v>23</v>
      </c>
      <c r="B37" s="4" t="s">
        <v>43</v>
      </c>
      <c r="C37" s="13" t="s">
        <v>167</v>
      </c>
      <c r="D37" s="13" t="s">
        <v>167</v>
      </c>
      <c r="E37" s="13" t="s">
        <v>167</v>
      </c>
      <c r="F37" s="13" t="s">
        <v>167</v>
      </c>
      <c r="G37" s="13" t="s">
        <v>167</v>
      </c>
      <c r="H37" s="13" t="s">
        <v>167</v>
      </c>
      <c r="I37" s="13" t="s">
        <v>167</v>
      </c>
      <c r="J37" s="13" t="s">
        <v>167</v>
      </c>
      <c r="K37" s="13" t="s">
        <v>167</v>
      </c>
    </row>
    <row r="38" spans="1:11" x14ac:dyDescent="0.25">
      <c r="A38" s="4"/>
      <c r="B38" s="4" t="s">
        <v>44</v>
      </c>
      <c r="C38" s="13">
        <v>52</v>
      </c>
      <c r="D38" s="13">
        <v>29</v>
      </c>
      <c r="E38" s="13">
        <v>29</v>
      </c>
      <c r="F38" s="13">
        <v>41</v>
      </c>
      <c r="G38" s="13" t="s">
        <v>174</v>
      </c>
      <c r="H38" s="13">
        <v>12</v>
      </c>
      <c r="I38" s="13" t="s">
        <v>174</v>
      </c>
      <c r="J38" s="13">
        <v>6</v>
      </c>
      <c r="K38" s="13">
        <v>184</v>
      </c>
    </row>
    <row r="39" spans="1:11" x14ac:dyDescent="0.25">
      <c r="A39" s="4"/>
      <c r="B39" s="4" t="s">
        <v>45</v>
      </c>
      <c r="C39" s="13">
        <v>34</v>
      </c>
      <c r="D39" s="13">
        <v>65</v>
      </c>
      <c r="E39" s="13">
        <v>1</v>
      </c>
      <c r="F39" s="13" t="s">
        <v>167</v>
      </c>
      <c r="G39" s="13" t="s">
        <v>174</v>
      </c>
      <c r="H39" s="13" t="s">
        <v>167</v>
      </c>
      <c r="I39" s="13" t="s">
        <v>174</v>
      </c>
      <c r="J39" s="13" t="s">
        <v>167</v>
      </c>
      <c r="K39" s="13">
        <v>102</v>
      </c>
    </row>
    <row r="40" spans="1:11" x14ac:dyDescent="0.25">
      <c r="A40" s="4"/>
      <c r="B40" s="9" t="s">
        <v>12</v>
      </c>
      <c r="C40" s="63">
        <v>86</v>
      </c>
      <c r="D40" s="63">
        <v>94</v>
      </c>
      <c r="E40" s="63">
        <v>30</v>
      </c>
      <c r="F40" s="63">
        <v>41</v>
      </c>
      <c r="G40" s="63" t="s">
        <v>174</v>
      </c>
      <c r="H40" s="63">
        <v>12</v>
      </c>
      <c r="I40" s="63" t="s">
        <v>174</v>
      </c>
      <c r="J40" s="63">
        <v>6</v>
      </c>
      <c r="K40" s="63">
        <v>286</v>
      </c>
    </row>
    <row r="41" spans="1:11" x14ac:dyDescent="0.25">
      <c r="A41" s="4" t="s">
        <v>24</v>
      </c>
      <c r="B41" s="4" t="s">
        <v>43</v>
      </c>
      <c r="C41" s="13" t="s">
        <v>167</v>
      </c>
      <c r="D41" s="13" t="s">
        <v>167</v>
      </c>
      <c r="E41" s="13" t="s">
        <v>167</v>
      </c>
      <c r="F41" s="13" t="s">
        <v>167</v>
      </c>
      <c r="G41" s="13" t="s">
        <v>167</v>
      </c>
      <c r="H41" s="13" t="s">
        <v>167</v>
      </c>
      <c r="I41" s="13" t="s">
        <v>167</v>
      </c>
      <c r="J41" s="13" t="s">
        <v>167</v>
      </c>
      <c r="K41" s="13" t="s">
        <v>167</v>
      </c>
    </row>
    <row r="42" spans="1:11" x14ac:dyDescent="0.25">
      <c r="A42" s="4"/>
      <c r="B42" s="4" t="s">
        <v>44</v>
      </c>
      <c r="C42" s="13">
        <v>2</v>
      </c>
      <c r="D42" s="13" t="s">
        <v>167</v>
      </c>
      <c r="E42" s="13" t="s">
        <v>167</v>
      </c>
      <c r="F42" s="13" t="s">
        <v>167</v>
      </c>
      <c r="G42" s="13" t="s">
        <v>167</v>
      </c>
      <c r="H42" s="13" t="s">
        <v>167</v>
      </c>
      <c r="I42" s="13" t="s">
        <v>167</v>
      </c>
      <c r="J42" s="13">
        <v>2</v>
      </c>
      <c r="K42" s="13">
        <v>4</v>
      </c>
    </row>
    <row r="43" spans="1:11" x14ac:dyDescent="0.25">
      <c r="A43" s="4"/>
      <c r="B43" s="4" t="s">
        <v>45</v>
      </c>
      <c r="C43" s="13" t="s">
        <v>167</v>
      </c>
      <c r="D43" s="13" t="s">
        <v>167</v>
      </c>
      <c r="E43" s="13" t="s">
        <v>167</v>
      </c>
      <c r="F43" s="13" t="s">
        <v>167</v>
      </c>
      <c r="G43" s="13" t="s">
        <v>167</v>
      </c>
      <c r="H43" s="13" t="s">
        <v>167</v>
      </c>
      <c r="I43" s="13" t="s">
        <v>167</v>
      </c>
      <c r="J43" s="13" t="s">
        <v>167</v>
      </c>
      <c r="K43" s="13" t="s">
        <v>167</v>
      </c>
    </row>
    <row r="44" spans="1:11" x14ac:dyDescent="0.25">
      <c r="A44" s="4"/>
      <c r="B44" s="9" t="s">
        <v>12</v>
      </c>
      <c r="C44" s="63">
        <v>2</v>
      </c>
      <c r="D44" s="63" t="s">
        <v>167</v>
      </c>
      <c r="E44" s="63" t="s">
        <v>167</v>
      </c>
      <c r="F44" s="63" t="s">
        <v>167</v>
      </c>
      <c r="G44" s="63" t="s">
        <v>167</v>
      </c>
      <c r="H44" s="63" t="s">
        <v>167</v>
      </c>
      <c r="I44" s="63" t="s">
        <v>167</v>
      </c>
      <c r="J44" s="63">
        <v>2</v>
      </c>
      <c r="K44" s="63">
        <v>4</v>
      </c>
    </row>
    <row r="45" spans="1:11" x14ac:dyDescent="0.25">
      <c r="A45" s="9" t="s">
        <v>12</v>
      </c>
      <c r="B45" s="4" t="s">
        <v>43</v>
      </c>
      <c r="C45" s="13" t="s">
        <v>167</v>
      </c>
      <c r="D45" s="13" t="s">
        <v>167</v>
      </c>
      <c r="E45" s="13" t="s">
        <v>167</v>
      </c>
      <c r="F45" s="13" t="s">
        <v>167</v>
      </c>
      <c r="G45" s="13" t="s">
        <v>167</v>
      </c>
      <c r="H45" s="13" t="s">
        <v>167</v>
      </c>
      <c r="I45" s="13" t="s">
        <v>167</v>
      </c>
      <c r="J45" s="13">
        <v>1</v>
      </c>
      <c r="K45" s="13">
        <v>1</v>
      </c>
    </row>
    <row r="46" spans="1:11" x14ac:dyDescent="0.25">
      <c r="A46" s="9"/>
      <c r="B46" s="4" t="s">
        <v>44</v>
      </c>
      <c r="C46" s="13">
        <v>165</v>
      </c>
      <c r="D46" s="13">
        <v>36</v>
      </c>
      <c r="E46" s="13">
        <v>165</v>
      </c>
      <c r="F46" s="13">
        <v>101</v>
      </c>
      <c r="G46" s="13" t="s">
        <v>174</v>
      </c>
      <c r="H46" s="13">
        <v>19</v>
      </c>
      <c r="I46" s="13" t="s">
        <v>174</v>
      </c>
      <c r="J46" s="13">
        <v>156</v>
      </c>
      <c r="K46" s="13">
        <v>673</v>
      </c>
    </row>
    <row r="47" spans="1:11" x14ac:dyDescent="0.25">
      <c r="A47" s="9"/>
      <c r="B47" s="4" t="s">
        <v>45</v>
      </c>
      <c r="C47" s="13">
        <v>57</v>
      </c>
      <c r="D47" s="13">
        <v>78</v>
      </c>
      <c r="E47" s="13">
        <v>8</v>
      </c>
      <c r="F47" s="13" t="s">
        <v>167</v>
      </c>
      <c r="G47" s="13" t="s">
        <v>174</v>
      </c>
      <c r="H47" s="13" t="s">
        <v>167</v>
      </c>
      <c r="I47" s="13" t="s">
        <v>174</v>
      </c>
      <c r="J47" s="13" t="s">
        <v>167</v>
      </c>
      <c r="K47" s="13">
        <v>148</v>
      </c>
    </row>
    <row r="48" spans="1:11" x14ac:dyDescent="0.25">
      <c r="A48" s="96"/>
      <c r="B48" s="96" t="s">
        <v>12</v>
      </c>
      <c r="C48" s="148">
        <v>222</v>
      </c>
      <c r="D48" s="148">
        <v>114</v>
      </c>
      <c r="E48" s="148">
        <v>173</v>
      </c>
      <c r="F48" s="148">
        <v>101</v>
      </c>
      <c r="G48" s="148" t="s">
        <v>174</v>
      </c>
      <c r="H48" s="148">
        <v>19</v>
      </c>
      <c r="I48" s="148" t="s">
        <v>174</v>
      </c>
      <c r="J48" s="148">
        <v>157</v>
      </c>
      <c r="K48" s="148">
        <v>822</v>
      </c>
    </row>
    <row r="49" spans="1:11" s="6" customFormat="1" ht="11.1" customHeight="1" x14ac:dyDescent="0.15">
      <c r="A49" s="6" t="s">
        <v>220</v>
      </c>
    </row>
    <row r="50" spans="1:11" ht="11.1" customHeight="1" x14ac:dyDescent="0.25">
      <c r="A50" s="202" t="s">
        <v>18</v>
      </c>
      <c r="B50" s="202"/>
      <c r="C50" s="202"/>
      <c r="D50" s="202"/>
      <c r="E50" s="202"/>
      <c r="F50" s="202"/>
      <c r="G50" s="202"/>
      <c r="H50" s="202"/>
      <c r="I50" s="202"/>
      <c r="J50" s="202"/>
      <c r="K50" s="202"/>
    </row>
    <row r="51" spans="1:11" s="6" customFormat="1" ht="11.1" customHeight="1" x14ac:dyDescent="0.15">
      <c r="A51" s="6" t="s">
        <v>31</v>
      </c>
    </row>
    <row r="52" spans="1:11" s="6" customFormat="1" ht="19.5" customHeight="1" x14ac:dyDescent="0.15">
      <c r="A52" s="199" t="s">
        <v>119</v>
      </c>
      <c r="B52" s="199"/>
      <c r="C52" s="199"/>
      <c r="D52" s="199"/>
      <c r="E52" s="199"/>
      <c r="F52" s="199"/>
      <c r="G52" s="199"/>
      <c r="H52" s="199"/>
      <c r="I52" s="199"/>
      <c r="J52" s="199"/>
      <c r="K52" s="199"/>
    </row>
    <row r="53" spans="1:11" s="6" customFormat="1" ht="11.1" customHeight="1" x14ac:dyDescent="0.15">
      <c r="A53" s="6" t="s">
        <v>115</v>
      </c>
    </row>
    <row r="54" spans="1:11" s="6" customFormat="1" ht="11.1" customHeight="1" x14ac:dyDescent="0.15">
      <c r="A54" s="6" t="s">
        <v>236</v>
      </c>
    </row>
    <row r="55" spans="1:11" s="6" customFormat="1" ht="11.1" customHeight="1" x14ac:dyDescent="0.15"/>
    <row r="56" spans="1:11" s="6" customFormat="1" ht="11.1" customHeight="1" x14ac:dyDescent="0.15">
      <c r="A56" s="6" t="s">
        <v>271</v>
      </c>
    </row>
    <row r="57" spans="1:11" ht="12" customHeight="1" x14ac:dyDescent="0.25">
      <c r="A57" s="2"/>
    </row>
  </sheetData>
  <mergeCells count="10">
    <mergeCell ref="A52:K52"/>
    <mergeCell ref="A50:K50"/>
    <mergeCell ref="A21:K21"/>
    <mergeCell ref="A30:K30"/>
    <mergeCell ref="A25:K25"/>
    <mergeCell ref="A16:A19"/>
    <mergeCell ref="A1:K1"/>
    <mergeCell ref="A4:A7"/>
    <mergeCell ref="A8:A11"/>
    <mergeCell ref="A12:A15"/>
  </mergeCells>
  <pageMargins left="0.08" right="0.08" top="1" bottom="1" header="0.5" footer="0.5"/>
  <pageSetup orientation="landscape" blackAndWhite="1"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33"/>
  <sheetViews>
    <sheetView zoomScaleNormal="100" workbookViewId="0">
      <selection activeCell="G26" sqref="G26"/>
    </sheetView>
  </sheetViews>
  <sheetFormatPr defaultColWidth="9.140625" defaultRowHeight="15" x14ac:dyDescent="0.25"/>
  <cols>
    <col min="1" max="10" width="11.42578125" style="1" bestFit="1" customWidth="1"/>
    <col min="11" max="16384" width="9.140625" style="1"/>
  </cols>
  <sheetData>
    <row r="1" spans="1:10" ht="27.75" customHeight="1" x14ac:dyDescent="0.25">
      <c r="A1" s="200" t="s">
        <v>360</v>
      </c>
      <c r="B1" s="200"/>
      <c r="C1" s="200"/>
      <c r="D1" s="200"/>
      <c r="E1" s="200"/>
      <c r="F1" s="200"/>
      <c r="G1" s="200"/>
      <c r="H1" s="200"/>
      <c r="I1" s="200"/>
      <c r="J1" s="200"/>
    </row>
    <row r="2" spans="1:10" ht="4.5" customHeight="1" x14ac:dyDescent="0.25">
      <c r="A2" s="2"/>
    </row>
    <row r="3" spans="1:10" x14ac:dyDescent="0.25">
      <c r="A3" s="3" t="s">
        <v>0</v>
      </c>
      <c r="B3" s="3" t="s">
        <v>1</v>
      </c>
      <c r="C3" s="3" t="s">
        <v>2</v>
      </c>
      <c r="D3" s="3" t="s">
        <v>3</v>
      </c>
      <c r="E3" s="3" t="s">
        <v>4</v>
      </c>
      <c r="F3" s="3" t="s">
        <v>5</v>
      </c>
      <c r="G3" s="3" t="s">
        <v>6</v>
      </c>
      <c r="H3" s="3" t="s">
        <v>7</v>
      </c>
      <c r="I3" s="3" t="s">
        <v>8</v>
      </c>
      <c r="J3" s="3" t="s">
        <v>9</v>
      </c>
    </row>
    <row r="4" spans="1:10" x14ac:dyDescent="0.25">
      <c r="A4" s="4" t="s">
        <v>51</v>
      </c>
      <c r="B4" s="5">
        <v>74.400000000000006</v>
      </c>
      <c r="C4" s="5">
        <v>70.400000000000006</v>
      </c>
      <c r="D4" s="5">
        <v>27.8</v>
      </c>
      <c r="E4" s="5">
        <v>44</v>
      </c>
      <c r="F4" s="5">
        <v>4.5999999999999996</v>
      </c>
      <c r="G4" s="5">
        <v>4.3</v>
      </c>
      <c r="H4" s="5">
        <v>5.7</v>
      </c>
      <c r="I4" s="5">
        <v>16.600000000000001</v>
      </c>
      <c r="J4" s="5">
        <v>247.9</v>
      </c>
    </row>
    <row r="5" spans="1:10" x14ac:dyDescent="0.25">
      <c r="A5" s="4" t="s">
        <v>52</v>
      </c>
      <c r="B5" s="5">
        <v>54.1</v>
      </c>
      <c r="C5" s="5">
        <v>46.2</v>
      </c>
      <c r="D5" s="5">
        <v>38.700000000000003</v>
      </c>
      <c r="E5" s="5">
        <v>44.7</v>
      </c>
      <c r="F5" s="5">
        <v>5.7</v>
      </c>
      <c r="G5" s="5">
        <v>2.6</v>
      </c>
      <c r="H5" s="5">
        <v>4.9000000000000004</v>
      </c>
      <c r="I5" s="5">
        <v>24</v>
      </c>
      <c r="J5" s="5">
        <v>220.9</v>
      </c>
    </row>
    <row r="6" spans="1:10" x14ac:dyDescent="0.25">
      <c r="A6" s="4" t="s">
        <v>53</v>
      </c>
      <c r="B6" s="5">
        <v>58</v>
      </c>
      <c r="C6" s="5">
        <v>32.1</v>
      </c>
      <c r="D6" s="5">
        <v>37.5</v>
      </c>
      <c r="E6" s="5">
        <v>37.700000000000003</v>
      </c>
      <c r="F6" s="5">
        <v>4</v>
      </c>
      <c r="G6" s="5">
        <v>3.4</v>
      </c>
      <c r="H6" s="5">
        <v>8.5</v>
      </c>
      <c r="I6" s="5">
        <v>31.7</v>
      </c>
      <c r="J6" s="5">
        <v>212.7</v>
      </c>
    </row>
    <row r="7" spans="1:10" x14ac:dyDescent="0.25">
      <c r="A7" s="4" t="s">
        <v>227</v>
      </c>
      <c r="B7" s="5">
        <v>53.3</v>
      </c>
      <c r="C7" s="5">
        <v>29.8</v>
      </c>
      <c r="D7" s="5">
        <v>42.7</v>
      </c>
      <c r="E7" s="5">
        <v>35.4</v>
      </c>
      <c r="F7" s="5">
        <v>3.8</v>
      </c>
      <c r="G7" s="5">
        <v>3.9</v>
      </c>
      <c r="H7" s="5">
        <v>3</v>
      </c>
      <c r="I7" s="5">
        <v>30.1</v>
      </c>
      <c r="J7" s="5">
        <v>202.1</v>
      </c>
    </row>
    <row r="8" spans="1:10" x14ac:dyDescent="0.25">
      <c r="A8" s="4" t="s">
        <v>289</v>
      </c>
      <c r="B8" s="5">
        <v>63.8</v>
      </c>
      <c r="C8" s="5">
        <v>43.8</v>
      </c>
      <c r="D8" s="5">
        <v>32.6</v>
      </c>
      <c r="E8" s="5">
        <v>24.7</v>
      </c>
      <c r="F8" s="5">
        <v>4.5</v>
      </c>
      <c r="G8" s="5">
        <v>2.7</v>
      </c>
      <c r="H8" s="5">
        <v>1.2</v>
      </c>
      <c r="I8" s="5">
        <v>28.1</v>
      </c>
      <c r="J8" s="5">
        <v>201.3</v>
      </c>
    </row>
    <row r="9" spans="1:10" ht="8.25" customHeight="1" x14ac:dyDescent="0.25">
      <c r="A9" s="2"/>
    </row>
    <row r="10" spans="1:10" ht="11.1" customHeight="1" x14ac:dyDescent="0.25">
      <c r="A10" s="201" t="s">
        <v>13</v>
      </c>
      <c r="B10" s="201"/>
      <c r="C10" s="201"/>
      <c r="D10" s="201"/>
      <c r="E10" s="201"/>
      <c r="F10" s="201"/>
      <c r="G10" s="201"/>
      <c r="H10" s="201"/>
      <c r="I10" s="201"/>
      <c r="J10" s="201"/>
    </row>
    <row r="11" spans="1:10" s="6" customFormat="1" ht="11.1" customHeight="1" x14ac:dyDescent="0.15">
      <c r="A11" s="6" t="s">
        <v>14</v>
      </c>
    </row>
    <row r="12" spans="1:10" s="10" customFormat="1" ht="11.1" customHeight="1" x14ac:dyDescent="0.2">
      <c r="A12" s="57" t="s">
        <v>18</v>
      </c>
    </row>
    <row r="13" spans="1:10" s="6" customFormat="1" ht="20.25" customHeight="1" x14ac:dyDescent="0.15">
      <c r="A13" s="199" t="s">
        <v>113</v>
      </c>
      <c r="B13" s="199"/>
      <c r="C13" s="199"/>
      <c r="D13" s="199"/>
      <c r="E13" s="199"/>
      <c r="F13" s="199"/>
      <c r="G13" s="199"/>
      <c r="H13" s="199"/>
      <c r="I13" s="199"/>
      <c r="J13" s="199"/>
    </row>
    <row r="14" spans="1:10" s="6" customFormat="1" ht="11.1" customHeight="1" x14ac:dyDescent="0.15">
      <c r="A14" s="6" t="s">
        <v>54</v>
      </c>
    </row>
    <row r="15" spans="1:10" s="6" customFormat="1" ht="11.1" customHeight="1" x14ac:dyDescent="0.15">
      <c r="A15" s="6" t="s">
        <v>115</v>
      </c>
    </row>
    <row r="16" spans="1:10" s="6" customFormat="1" ht="11.1" customHeight="1" x14ac:dyDescent="0.15">
      <c r="A16" s="6" t="s">
        <v>16</v>
      </c>
    </row>
    <row r="17" spans="1:21" s="6" customFormat="1" ht="11.1" customHeight="1" x14ac:dyDescent="0.15">
      <c r="A17" s="6" t="s">
        <v>271</v>
      </c>
    </row>
    <row r="18" spans="1:21" ht="12" customHeight="1" x14ac:dyDescent="0.25">
      <c r="A18" s="2"/>
    </row>
    <row r="19" spans="1:21" ht="27.95" customHeight="1" x14ac:dyDescent="0.25">
      <c r="A19" s="198" t="s">
        <v>361</v>
      </c>
      <c r="B19" s="198"/>
      <c r="C19" s="198"/>
      <c r="D19" s="198"/>
      <c r="E19" s="198"/>
      <c r="F19" s="198"/>
      <c r="G19" s="198"/>
      <c r="H19" s="198"/>
      <c r="I19" s="198"/>
      <c r="J19" s="198"/>
    </row>
    <row r="20" spans="1:21" ht="4.5" customHeight="1" x14ac:dyDescent="0.25">
      <c r="A20" s="2"/>
    </row>
    <row r="21" spans="1:21" x14ac:dyDescent="0.25">
      <c r="A21" s="40"/>
      <c r="B21" s="3" t="s">
        <v>1</v>
      </c>
      <c r="C21" s="3" t="s">
        <v>2</v>
      </c>
      <c r="D21" s="3" t="s">
        <v>3</v>
      </c>
      <c r="E21" s="3" t="s">
        <v>4</v>
      </c>
      <c r="F21" s="3" t="s">
        <v>5</v>
      </c>
      <c r="G21" s="3" t="s">
        <v>6</v>
      </c>
      <c r="H21" s="3" t="s">
        <v>7</v>
      </c>
      <c r="I21" s="3" t="s">
        <v>8</v>
      </c>
      <c r="J21" s="3" t="s">
        <v>9</v>
      </c>
    </row>
    <row r="22" spans="1:21" x14ac:dyDescent="0.25">
      <c r="A22" s="4" t="s">
        <v>51</v>
      </c>
      <c r="B22" s="8">
        <v>281</v>
      </c>
      <c r="C22" s="8">
        <v>200</v>
      </c>
      <c r="D22" s="8">
        <v>145</v>
      </c>
      <c r="E22" s="8">
        <v>140</v>
      </c>
      <c r="F22" s="8">
        <v>22</v>
      </c>
      <c r="G22" s="8">
        <v>11</v>
      </c>
      <c r="H22" s="8">
        <v>14</v>
      </c>
      <c r="I22" s="8">
        <v>45</v>
      </c>
      <c r="J22" s="8">
        <v>858</v>
      </c>
    </row>
    <row r="23" spans="1:21" x14ac:dyDescent="0.25">
      <c r="A23" s="4" t="s">
        <v>52</v>
      </c>
      <c r="B23" s="8">
        <v>226</v>
      </c>
      <c r="C23" s="8">
        <v>151</v>
      </c>
      <c r="D23" s="8">
        <v>174</v>
      </c>
      <c r="E23" s="8">
        <v>155</v>
      </c>
      <c r="F23" s="8">
        <v>28</v>
      </c>
      <c r="G23" s="8">
        <v>11</v>
      </c>
      <c r="H23" s="8">
        <v>12</v>
      </c>
      <c r="I23" s="8">
        <v>72</v>
      </c>
      <c r="J23" s="8">
        <v>829</v>
      </c>
    </row>
    <row r="24" spans="1:21" x14ac:dyDescent="0.25">
      <c r="A24" s="4" t="s">
        <v>53</v>
      </c>
      <c r="B24" s="8">
        <v>196</v>
      </c>
      <c r="C24" s="8">
        <v>105</v>
      </c>
      <c r="D24" s="8">
        <v>166</v>
      </c>
      <c r="E24" s="8">
        <v>121</v>
      </c>
      <c r="F24" s="8">
        <v>24</v>
      </c>
      <c r="G24" s="8">
        <v>20</v>
      </c>
      <c r="H24" s="8">
        <v>16</v>
      </c>
      <c r="I24" s="8">
        <v>131</v>
      </c>
      <c r="J24" s="8">
        <v>779</v>
      </c>
    </row>
    <row r="25" spans="1:21" x14ac:dyDescent="0.25">
      <c r="A25" s="4" t="s">
        <v>227</v>
      </c>
      <c r="B25" s="8">
        <v>199</v>
      </c>
      <c r="C25" s="8">
        <v>93</v>
      </c>
      <c r="D25" s="8">
        <v>208</v>
      </c>
      <c r="E25" s="8">
        <v>141</v>
      </c>
      <c r="F25" s="8">
        <v>19</v>
      </c>
      <c r="G25" s="8">
        <v>21</v>
      </c>
      <c r="H25" s="8">
        <v>6</v>
      </c>
      <c r="I25" s="8">
        <v>129</v>
      </c>
      <c r="J25" s="8">
        <v>816</v>
      </c>
    </row>
    <row r="26" spans="1:21" x14ac:dyDescent="0.25">
      <c r="A26" s="4" t="s">
        <v>289</v>
      </c>
      <c r="B26" s="8">
        <v>222</v>
      </c>
      <c r="C26" s="8">
        <v>114</v>
      </c>
      <c r="D26" s="8">
        <v>173</v>
      </c>
      <c r="E26" s="8">
        <v>101</v>
      </c>
      <c r="F26" s="8">
        <v>35</v>
      </c>
      <c r="G26" s="13" t="s">
        <v>174</v>
      </c>
      <c r="H26" s="13" t="s">
        <v>174</v>
      </c>
      <c r="I26" s="8">
        <v>157</v>
      </c>
      <c r="J26" s="8">
        <v>822</v>
      </c>
    </row>
    <row r="27" spans="1:21" ht="11.1" customHeight="1" x14ac:dyDescent="0.25">
      <c r="A27" s="206" t="s">
        <v>18</v>
      </c>
      <c r="B27" s="206"/>
      <c r="C27" s="206"/>
      <c r="D27" s="206"/>
      <c r="E27" s="206"/>
      <c r="F27" s="206"/>
      <c r="G27" s="206"/>
      <c r="H27" s="206"/>
      <c r="I27" s="206"/>
      <c r="J27" s="206"/>
    </row>
    <row r="28" spans="1:21" s="6" customFormat="1" ht="11.1" customHeight="1" x14ac:dyDescent="0.15">
      <c r="A28" s="6" t="s">
        <v>114</v>
      </c>
    </row>
    <row r="29" spans="1:21" s="6" customFormat="1" ht="11.1" customHeight="1" x14ac:dyDescent="0.15">
      <c r="A29" s="6" t="s">
        <v>54</v>
      </c>
    </row>
    <row r="30" spans="1:21" s="6" customFormat="1" ht="11.1" customHeight="1" x14ac:dyDescent="0.15">
      <c r="A30" s="6" t="s">
        <v>115</v>
      </c>
    </row>
    <row r="31" spans="1:21" s="6" customFormat="1" ht="11.1" customHeight="1" x14ac:dyDescent="0.15">
      <c r="A31" s="6" t="s">
        <v>236</v>
      </c>
    </row>
    <row r="32" spans="1:21" s="6" customFormat="1" ht="11.1" customHeight="1" x14ac:dyDescent="0.15">
      <c r="U32" s="133"/>
    </row>
    <row r="33" spans="1:1" ht="12" customHeight="1" x14ac:dyDescent="0.25">
      <c r="A33" s="6" t="s">
        <v>271</v>
      </c>
    </row>
  </sheetData>
  <mergeCells count="5">
    <mergeCell ref="A1:J1"/>
    <mergeCell ref="A10:J10"/>
    <mergeCell ref="A19:J19"/>
    <mergeCell ref="A27:J27"/>
    <mergeCell ref="A13:J13"/>
  </mergeCells>
  <pageMargins left="0.08" right="0.08" top="1" bottom="1" header="0.5" footer="0.5"/>
  <pageSetup orientation="landscape" blackAndWhite="1"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G11"/>
  <sheetViews>
    <sheetView zoomScaleNormal="100" workbookViewId="0">
      <selection activeCell="E4" sqref="E4"/>
    </sheetView>
  </sheetViews>
  <sheetFormatPr defaultColWidth="9.140625" defaultRowHeight="15" x14ac:dyDescent="0.25"/>
  <cols>
    <col min="1" max="1" width="23.42578125" style="1" customWidth="1"/>
    <col min="2" max="7" width="11.42578125" style="1" bestFit="1" customWidth="1"/>
    <col min="8" max="16384" width="9.140625" style="1"/>
  </cols>
  <sheetData>
    <row r="1" spans="1:7" ht="50.25" customHeight="1" x14ac:dyDescent="0.25">
      <c r="A1" s="209" t="s">
        <v>359</v>
      </c>
      <c r="B1" s="209"/>
      <c r="C1" s="209"/>
      <c r="D1" s="209"/>
      <c r="E1" s="209"/>
      <c r="F1" s="59"/>
      <c r="G1" s="59"/>
    </row>
    <row r="2" spans="1:7" ht="12" customHeight="1" x14ac:dyDescent="0.25">
      <c r="A2" s="2"/>
    </row>
    <row r="3" spans="1:7" ht="23.25" x14ac:dyDescent="0.25">
      <c r="A3" s="40" t="s">
        <v>200</v>
      </c>
      <c r="B3" s="3" t="s">
        <v>22</v>
      </c>
      <c r="C3" s="3" t="s">
        <v>23</v>
      </c>
      <c r="D3" s="3" t="s">
        <v>24</v>
      </c>
      <c r="E3" s="11" t="s">
        <v>12</v>
      </c>
    </row>
    <row r="4" spans="1:7" x14ac:dyDescent="0.25">
      <c r="A4" s="4">
        <v>1</v>
      </c>
      <c r="B4" s="8">
        <v>326</v>
      </c>
      <c r="C4" s="8">
        <v>182</v>
      </c>
      <c r="D4" s="8">
        <v>2</v>
      </c>
      <c r="E4" s="8">
        <v>510</v>
      </c>
    </row>
    <row r="5" spans="1:7" x14ac:dyDescent="0.25">
      <c r="A5" s="4">
        <v>2</v>
      </c>
      <c r="B5" s="8">
        <v>90</v>
      </c>
      <c r="C5" s="8">
        <v>28</v>
      </c>
      <c r="D5" s="8">
        <v>1</v>
      </c>
      <c r="E5" s="8">
        <v>119</v>
      </c>
    </row>
    <row r="6" spans="1:7" x14ac:dyDescent="0.25">
      <c r="A6" s="4" t="s">
        <v>130</v>
      </c>
      <c r="B6" s="8">
        <v>41</v>
      </c>
      <c r="C6" s="8">
        <v>5</v>
      </c>
      <c r="D6" s="8" t="s">
        <v>167</v>
      </c>
      <c r="E6" s="8">
        <v>46</v>
      </c>
    </row>
    <row r="7" spans="1:7" x14ac:dyDescent="0.25">
      <c r="A7" s="9" t="s">
        <v>12</v>
      </c>
      <c r="B7" s="81">
        <v>457</v>
      </c>
      <c r="C7" s="81">
        <v>215</v>
      </c>
      <c r="D7" s="81">
        <v>3</v>
      </c>
      <c r="E7" s="81">
        <v>675</v>
      </c>
    </row>
    <row r="8" spans="1:7" ht="26.25" customHeight="1" x14ac:dyDescent="0.25">
      <c r="A8" s="234" t="s">
        <v>131</v>
      </c>
      <c r="B8" s="234"/>
      <c r="C8" s="234"/>
      <c r="D8" s="234"/>
      <c r="E8" s="234"/>
      <c r="F8" s="66"/>
      <c r="G8" s="66"/>
    </row>
    <row r="9" spans="1:7" s="6" customFormat="1" ht="11.1" customHeight="1" x14ac:dyDescent="0.15">
      <c r="A9" s="6" t="s">
        <v>16</v>
      </c>
    </row>
    <row r="10" spans="1:7" s="6" customFormat="1" ht="11.1" customHeight="1" x14ac:dyDescent="0.15">
      <c r="A10" s="6" t="s">
        <v>271</v>
      </c>
    </row>
    <row r="11" spans="1:7" ht="12" customHeight="1" x14ac:dyDescent="0.25">
      <c r="A11" s="2"/>
    </row>
  </sheetData>
  <mergeCells count="2">
    <mergeCell ref="A1:E1"/>
    <mergeCell ref="A8:E8"/>
  </mergeCells>
  <pageMargins left="0.08" right="0.08" top="1" bottom="1" header="0.5" footer="0.5"/>
  <pageSetup orientation="landscape" blackAndWhite="1"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L30"/>
  <sheetViews>
    <sheetView zoomScaleNormal="100" workbookViewId="0">
      <selection activeCell="F17" sqref="F17:G17"/>
    </sheetView>
  </sheetViews>
  <sheetFormatPr defaultColWidth="9.140625" defaultRowHeight="15" x14ac:dyDescent="0.25"/>
  <cols>
    <col min="1" max="12" width="11.42578125" style="1" bestFit="1" customWidth="1"/>
    <col min="13" max="16384" width="9.140625" style="1"/>
  </cols>
  <sheetData>
    <row r="1" spans="1:12" ht="27" customHeight="1" x14ac:dyDescent="0.25">
      <c r="A1" s="209" t="s">
        <v>417</v>
      </c>
      <c r="B1" s="227"/>
      <c r="C1" s="227"/>
      <c r="D1" s="227"/>
      <c r="E1" s="227"/>
      <c r="F1" s="227"/>
      <c r="G1" s="227"/>
      <c r="H1" s="227"/>
      <c r="I1" s="227"/>
      <c r="J1" s="227"/>
      <c r="K1" s="59"/>
      <c r="L1" s="59"/>
    </row>
    <row r="2" spans="1:12" s="12" customFormat="1" ht="2.25" customHeight="1" x14ac:dyDescent="0.2">
      <c r="A2" s="12" t="s">
        <v>16</v>
      </c>
    </row>
    <row r="3" spans="1:12" ht="23.25" x14ac:dyDescent="0.25">
      <c r="A3" s="61" t="s">
        <v>186</v>
      </c>
      <c r="B3" s="3" t="s">
        <v>1</v>
      </c>
      <c r="C3" s="3" t="s">
        <v>2</v>
      </c>
      <c r="D3" s="3" t="s">
        <v>3</v>
      </c>
      <c r="E3" s="3" t="s">
        <v>4</v>
      </c>
      <c r="F3" s="3" t="s">
        <v>5</v>
      </c>
      <c r="G3" s="3" t="s">
        <v>6</v>
      </c>
      <c r="H3" s="3" t="s">
        <v>7</v>
      </c>
      <c r="I3" s="3" t="s">
        <v>8</v>
      </c>
      <c r="J3" s="69" t="s">
        <v>9</v>
      </c>
    </row>
    <row r="4" spans="1:12" ht="15" customHeight="1" x14ac:dyDescent="0.25">
      <c r="A4" s="235" t="s">
        <v>451</v>
      </c>
      <c r="B4" s="236"/>
      <c r="C4" s="236"/>
      <c r="D4" s="236"/>
      <c r="E4" s="236"/>
      <c r="F4" s="236"/>
      <c r="G4" s="236"/>
      <c r="H4" s="236"/>
      <c r="I4" s="236"/>
      <c r="J4" s="236"/>
    </row>
    <row r="5" spans="1:12" ht="15" customHeight="1" x14ac:dyDescent="0.25">
      <c r="A5" s="4" t="s">
        <v>22</v>
      </c>
      <c r="B5" s="13">
        <v>45</v>
      </c>
      <c r="C5" s="13">
        <v>56</v>
      </c>
      <c r="D5" s="13">
        <v>44</v>
      </c>
      <c r="E5" s="13">
        <v>39</v>
      </c>
      <c r="F5" s="13">
        <v>10</v>
      </c>
      <c r="G5" s="13">
        <v>19</v>
      </c>
      <c r="H5" s="13" t="s">
        <v>167</v>
      </c>
      <c r="I5" s="13">
        <v>6</v>
      </c>
      <c r="J5" s="13">
        <v>27</v>
      </c>
    </row>
    <row r="6" spans="1:12" ht="15" customHeight="1" x14ac:dyDescent="0.25">
      <c r="A6" s="4" t="s">
        <v>23</v>
      </c>
      <c r="B6" s="13">
        <v>46</v>
      </c>
      <c r="C6" s="13">
        <v>92</v>
      </c>
      <c r="D6" s="13">
        <v>37</v>
      </c>
      <c r="E6" s="13">
        <v>50</v>
      </c>
      <c r="F6" s="13">
        <v>8</v>
      </c>
      <c r="G6" s="13">
        <v>23</v>
      </c>
      <c r="H6" s="13">
        <v>91</v>
      </c>
      <c r="I6" s="13">
        <v>5</v>
      </c>
      <c r="J6" s="13">
        <v>52</v>
      </c>
    </row>
    <row r="7" spans="1:12" ht="15" customHeight="1" x14ac:dyDescent="0.25">
      <c r="A7" s="4" t="s">
        <v>24</v>
      </c>
      <c r="B7" s="13">
        <v>17</v>
      </c>
      <c r="C7" s="13" t="s">
        <v>167</v>
      </c>
      <c r="D7" s="13" t="s">
        <v>167</v>
      </c>
      <c r="E7" s="13" t="s">
        <v>167</v>
      </c>
      <c r="F7" s="13" t="s">
        <v>167</v>
      </c>
      <c r="G7" s="13" t="s">
        <v>167</v>
      </c>
      <c r="H7" s="13" t="s">
        <v>167</v>
      </c>
      <c r="I7" s="13">
        <v>6</v>
      </c>
      <c r="J7" s="13">
        <v>9</v>
      </c>
    </row>
    <row r="8" spans="1:12" ht="15" customHeight="1" x14ac:dyDescent="0.25">
      <c r="A8" s="68" t="s">
        <v>12</v>
      </c>
      <c r="B8" s="63">
        <v>45</v>
      </c>
      <c r="C8" s="63">
        <v>89</v>
      </c>
      <c r="D8" s="63">
        <v>44</v>
      </c>
      <c r="E8" s="63">
        <v>41</v>
      </c>
      <c r="F8" s="63">
        <v>9</v>
      </c>
      <c r="G8" s="63">
        <v>22</v>
      </c>
      <c r="H8" s="63">
        <v>91</v>
      </c>
      <c r="I8" s="63">
        <v>6</v>
      </c>
      <c r="J8" s="63">
        <v>32</v>
      </c>
    </row>
    <row r="9" spans="1:12" ht="15" customHeight="1" x14ac:dyDescent="0.25">
      <c r="A9" s="236" t="s">
        <v>201</v>
      </c>
      <c r="B9" s="236"/>
      <c r="C9" s="236"/>
      <c r="D9" s="236"/>
      <c r="E9" s="236"/>
      <c r="F9" s="236"/>
      <c r="G9" s="236"/>
      <c r="H9" s="236"/>
      <c r="I9" s="236"/>
      <c r="J9" s="236"/>
    </row>
    <row r="10" spans="1:12" ht="15" customHeight="1" x14ac:dyDescent="0.25">
      <c r="A10" s="4" t="s">
        <v>22</v>
      </c>
      <c r="B10" s="13">
        <v>50</v>
      </c>
      <c r="C10" s="13">
        <v>105</v>
      </c>
      <c r="D10" s="13">
        <v>53</v>
      </c>
      <c r="E10" s="13">
        <v>51</v>
      </c>
      <c r="F10" s="13">
        <v>10</v>
      </c>
      <c r="G10" s="13">
        <v>56</v>
      </c>
      <c r="H10" s="13" t="s">
        <v>269</v>
      </c>
      <c r="I10" s="13">
        <v>7</v>
      </c>
      <c r="J10" s="13">
        <v>33</v>
      </c>
    </row>
    <row r="11" spans="1:12" ht="15" customHeight="1" x14ac:dyDescent="0.25">
      <c r="A11" s="4" t="s">
        <v>23</v>
      </c>
      <c r="B11" s="13">
        <v>60</v>
      </c>
      <c r="C11" s="13">
        <v>125</v>
      </c>
      <c r="D11" s="13">
        <v>37</v>
      </c>
      <c r="E11" s="13">
        <v>78</v>
      </c>
      <c r="F11" s="13">
        <v>23</v>
      </c>
      <c r="G11" s="13">
        <v>23</v>
      </c>
      <c r="H11" s="13">
        <v>785</v>
      </c>
      <c r="I11" s="13">
        <v>5</v>
      </c>
      <c r="J11" s="13">
        <v>74</v>
      </c>
    </row>
    <row r="12" spans="1:12" ht="15" customHeight="1" x14ac:dyDescent="0.25">
      <c r="A12" s="4" t="s">
        <v>24</v>
      </c>
      <c r="B12" s="13">
        <v>17</v>
      </c>
      <c r="C12" s="13" t="s">
        <v>167</v>
      </c>
      <c r="D12" s="13" t="s">
        <v>167</v>
      </c>
      <c r="E12" s="13" t="s">
        <v>167</v>
      </c>
      <c r="F12" s="13" t="s">
        <v>167</v>
      </c>
      <c r="G12" s="13" t="s">
        <v>167</v>
      </c>
      <c r="H12" s="13" t="s">
        <v>269</v>
      </c>
      <c r="I12" s="13">
        <v>6</v>
      </c>
      <c r="J12" s="13">
        <v>9</v>
      </c>
    </row>
    <row r="13" spans="1:12" ht="15" customHeight="1" x14ac:dyDescent="0.25">
      <c r="A13" s="68" t="s">
        <v>12</v>
      </c>
      <c r="B13" s="63">
        <v>52</v>
      </c>
      <c r="C13" s="63">
        <v>112</v>
      </c>
      <c r="D13" s="63">
        <v>52</v>
      </c>
      <c r="E13" s="63">
        <v>55</v>
      </c>
      <c r="F13" s="63">
        <v>11</v>
      </c>
      <c r="G13" s="63">
        <v>23</v>
      </c>
      <c r="H13" s="63">
        <v>785</v>
      </c>
      <c r="I13" s="63">
        <v>7</v>
      </c>
      <c r="J13" s="63">
        <v>40</v>
      </c>
    </row>
    <row r="14" spans="1:12" ht="15" customHeight="1" x14ac:dyDescent="0.25">
      <c r="A14" s="236" t="s">
        <v>193</v>
      </c>
      <c r="B14" s="236"/>
      <c r="C14" s="236"/>
      <c r="D14" s="236"/>
      <c r="E14" s="236"/>
      <c r="F14" s="236"/>
      <c r="G14" s="236"/>
      <c r="H14" s="236"/>
      <c r="I14" s="236"/>
      <c r="J14" s="236"/>
    </row>
    <row r="15" spans="1:12" ht="15" customHeight="1" x14ac:dyDescent="0.25">
      <c r="A15" s="4" t="s">
        <v>22</v>
      </c>
      <c r="B15" s="13">
        <v>131</v>
      </c>
      <c r="C15" s="13">
        <v>17</v>
      </c>
      <c r="D15" s="13">
        <v>159</v>
      </c>
      <c r="E15" s="13">
        <v>74</v>
      </c>
      <c r="F15" s="13">
        <v>20</v>
      </c>
      <c r="G15" s="13" t="s">
        <v>174</v>
      </c>
      <c r="H15" s="13" t="s">
        <v>174</v>
      </c>
      <c r="I15" s="13">
        <v>253</v>
      </c>
      <c r="J15" s="13">
        <v>661</v>
      </c>
    </row>
    <row r="16" spans="1:12" ht="15" customHeight="1" x14ac:dyDescent="0.25">
      <c r="A16" s="4" t="s">
        <v>23</v>
      </c>
      <c r="B16" s="13">
        <v>74</v>
      </c>
      <c r="C16" s="13">
        <v>74</v>
      </c>
      <c r="D16" s="13">
        <v>30</v>
      </c>
      <c r="E16" s="13">
        <v>41</v>
      </c>
      <c r="F16" s="13">
        <v>15</v>
      </c>
      <c r="G16" s="13" t="s">
        <v>174</v>
      </c>
      <c r="H16" s="13" t="s">
        <v>174</v>
      </c>
      <c r="I16" s="13">
        <v>6</v>
      </c>
      <c r="J16" s="13">
        <v>254</v>
      </c>
    </row>
    <row r="17" spans="1:12" ht="15" customHeight="1" x14ac:dyDescent="0.25">
      <c r="A17" s="4" t="s">
        <v>24</v>
      </c>
      <c r="B17" s="13">
        <v>1</v>
      </c>
      <c r="C17" s="13" t="s">
        <v>167</v>
      </c>
      <c r="D17" s="13" t="s">
        <v>167</v>
      </c>
      <c r="E17" s="5" t="s">
        <v>167</v>
      </c>
      <c r="F17" s="5" t="s">
        <v>167</v>
      </c>
      <c r="G17" s="5" t="s">
        <v>167</v>
      </c>
      <c r="H17" s="13" t="s">
        <v>167</v>
      </c>
      <c r="I17" s="13">
        <v>3</v>
      </c>
      <c r="J17" s="13">
        <v>4</v>
      </c>
    </row>
    <row r="18" spans="1:12" ht="15" customHeight="1" x14ac:dyDescent="0.25">
      <c r="A18" s="68" t="s">
        <v>12</v>
      </c>
      <c r="B18" s="63">
        <v>206</v>
      </c>
      <c r="C18" s="63">
        <v>91</v>
      </c>
      <c r="D18" s="63">
        <v>189</v>
      </c>
      <c r="E18" s="63">
        <v>115</v>
      </c>
      <c r="F18" s="63">
        <v>35</v>
      </c>
      <c r="G18" s="63" t="s">
        <v>174</v>
      </c>
      <c r="H18" s="63" t="s">
        <v>174</v>
      </c>
      <c r="I18" s="63">
        <v>262</v>
      </c>
      <c r="J18" s="63">
        <v>919</v>
      </c>
    </row>
    <row r="19" spans="1:12" ht="15" customHeight="1" x14ac:dyDescent="0.25">
      <c r="A19" s="236" t="s">
        <v>194</v>
      </c>
      <c r="B19" s="236"/>
      <c r="C19" s="236"/>
      <c r="D19" s="236"/>
      <c r="E19" s="236"/>
      <c r="F19" s="236"/>
      <c r="G19" s="236"/>
      <c r="H19" s="236"/>
      <c r="I19" s="236"/>
      <c r="J19" s="236"/>
    </row>
    <row r="20" spans="1:12" ht="15" customHeight="1" x14ac:dyDescent="0.25">
      <c r="A20" s="4" t="s">
        <v>22</v>
      </c>
      <c r="B20" s="13">
        <v>108</v>
      </c>
      <c r="C20" s="13">
        <v>16</v>
      </c>
      <c r="D20" s="13">
        <v>126</v>
      </c>
      <c r="E20" s="13">
        <v>49</v>
      </c>
      <c r="F20" s="13">
        <v>19</v>
      </c>
      <c r="G20" s="13" t="s">
        <v>174</v>
      </c>
      <c r="H20" s="13" t="s">
        <v>174</v>
      </c>
      <c r="I20" s="13">
        <v>133</v>
      </c>
      <c r="J20" s="13">
        <v>457</v>
      </c>
    </row>
    <row r="21" spans="1:12" ht="15" customHeight="1" x14ac:dyDescent="0.25">
      <c r="A21" s="4" t="s">
        <v>23</v>
      </c>
      <c r="B21" s="13">
        <v>66</v>
      </c>
      <c r="C21" s="13">
        <v>60</v>
      </c>
      <c r="D21" s="13">
        <v>27</v>
      </c>
      <c r="E21" s="13">
        <v>30</v>
      </c>
      <c r="F21" s="13">
        <v>14</v>
      </c>
      <c r="G21" s="13" t="s">
        <v>174</v>
      </c>
      <c r="H21" s="13" t="s">
        <v>174</v>
      </c>
      <c r="I21" s="13">
        <v>4</v>
      </c>
      <c r="J21" s="13">
        <v>215</v>
      </c>
    </row>
    <row r="22" spans="1:12" ht="15" customHeight="1" x14ac:dyDescent="0.25">
      <c r="A22" s="4" t="s">
        <v>24</v>
      </c>
      <c r="B22" s="13">
        <v>1</v>
      </c>
      <c r="C22" s="13" t="s">
        <v>167</v>
      </c>
      <c r="D22" s="13" t="s">
        <v>167</v>
      </c>
      <c r="E22" s="13" t="s">
        <v>167</v>
      </c>
      <c r="F22" s="13" t="s">
        <v>167</v>
      </c>
      <c r="G22" s="13" t="s">
        <v>167</v>
      </c>
      <c r="H22" s="13" t="s">
        <v>167</v>
      </c>
      <c r="I22" s="13">
        <v>2</v>
      </c>
      <c r="J22" s="13">
        <v>3</v>
      </c>
    </row>
    <row r="23" spans="1:12" ht="15" customHeight="1" x14ac:dyDescent="0.25">
      <c r="A23" s="39" t="s">
        <v>12</v>
      </c>
      <c r="B23" s="63">
        <v>175</v>
      </c>
      <c r="C23" s="63">
        <v>76</v>
      </c>
      <c r="D23" s="63">
        <v>153</v>
      </c>
      <c r="E23" s="63">
        <v>79</v>
      </c>
      <c r="F23" s="63">
        <v>33</v>
      </c>
      <c r="G23" s="63" t="s">
        <v>174</v>
      </c>
      <c r="H23" s="63" t="s">
        <v>174</v>
      </c>
      <c r="I23" s="63">
        <v>139</v>
      </c>
      <c r="J23" s="63">
        <v>675</v>
      </c>
    </row>
    <row r="24" spans="1:12" ht="0.75" customHeight="1" x14ac:dyDescent="0.25">
      <c r="A24" s="55"/>
      <c r="B24" s="53"/>
      <c r="C24" s="53"/>
      <c r="D24" s="53"/>
      <c r="E24" s="53"/>
      <c r="F24" s="53"/>
      <c r="G24" s="53"/>
      <c r="H24" s="53"/>
      <c r="I24" s="53"/>
      <c r="J24" s="53"/>
    </row>
    <row r="25" spans="1:12" ht="12" customHeight="1" x14ac:dyDescent="0.25">
      <c r="A25" s="6" t="s">
        <v>220</v>
      </c>
    </row>
    <row r="26" spans="1:12" ht="11.1" customHeight="1" x14ac:dyDescent="0.25">
      <c r="A26" s="70" t="s">
        <v>18</v>
      </c>
    </row>
    <row r="27" spans="1:12" s="6" customFormat="1" ht="11.1" customHeight="1" x14ac:dyDescent="0.15">
      <c r="A27" s="208" t="s">
        <v>132</v>
      </c>
      <c r="B27" s="208"/>
      <c r="C27" s="208"/>
      <c r="D27" s="208"/>
      <c r="E27" s="208"/>
      <c r="F27" s="208"/>
      <c r="G27" s="208"/>
      <c r="H27" s="208"/>
      <c r="I27" s="208"/>
      <c r="J27" s="208"/>
      <c r="K27" s="208"/>
      <c r="L27" s="208"/>
    </row>
    <row r="28" spans="1:12" s="6" customFormat="1" ht="11.1" customHeight="1" x14ac:dyDescent="0.15">
      <c r="A28" s="6" t="s">
        <v>95</v>
      </c>
    </row>
    <row r="29" spans="1:12" s="6" customFormat="1" ht="11.1" customHeight="1" x14ac:dyDescent="0.15">
      <c r="A29" s="6" t="s">
        <v>16</v>
      </c>
    </row>
    <row r="30" spans="1:12" ht="12" customHeight="1" x14ac:dyDescent="0.25">
      <c r="A30" s="6" t="s">
        <v>271</v>
      </c>
      <c r="B30" s="6"/>
      <c r="C30" s="6"/>
      <c r="D30" s="6"/>
      <c r="E30" s="6"/>
      <c r="F30" s="6"/>
      <c r="G30" s="6"/>
      <c r="H30" s="6"/>
      <c r="I30" s="6"/>
      <c r="J30" s="6"/>
      <c r="K30" s="6"/>
      <c r="L30" s="6"/>
    </row>
  </sheetData>
  <mergeCells count="6">
    <mergeCell ref="A27:L27"/>
    <mergeCell ref="A4:J4"/>
    <mergeCell ref="A9:J9"/>
    <mergeCell ref="A1:J1"/>
    <mergeCell ref="A14:J14"/>
    <mergeCell ref="A19:J19"/>
  </mergeCells>
  <pageMargins left="0.08" right="0.08" top="1" bottom="1" header="0.5" footer="0.5"/>
  <pageSetup orientation="landscape" blackAndWhite="1"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M40"/>
  <sheetViews>
    <sheetView zoomScaleNormal="100" workbookViewId="0">
      <selection activeCell="O29" sqref="O29"/>
    </sheetView>
  </sheetViews>
  <sheetFormatPr defaultColWidth="9.140625" defaultRowHeight="15" x14ac:dyDescent="0.25"/>
  <cols>
    <col min="1" max="1" width="13.42578125" style="1" customWidth="1"/>
    <col min="2" max="2" width="24.5703125" style="1" customWidth="1"/>
    <col min="3" max="13" width="11.42578125" style="1" bestFit="1" customWidth="1"/>
    <col min="14" max="16384" width="9.140625" style="1"/>
  </cols>
  <sheetData>
    <row r="1" spans="1:13" x14ac:dyDescent="0.25">
      <c r="A1" s="198" t="s">
        <v>358</v>
      </c>
      <c r="B1" s="198"/>
      <c r="C1" s="198"/>
      <c r="D1" s="198"/>
      <c r="E1" s="198"/>
      <c r="F1" s="198"/>
      <c r="G1" s="198"/>
      <c r="H1" s="198"/>
      <c r="I1" s="198"/>
      <c r="J1" s="198"/>
      <c r="K1" s="198"/>
      <c r="L1" s="198"/>
      <c r="M1" s="198"/>
    </row>
    <row r="2" spans="1:13" ht="1.5" customHeight="1" x14ac:dyDescent="0.25">
      <c r="A2" s="2"/>
    </row>
    <row r="3" spans="1:13" ht="23.25" x14ac:dyDescent="0.25">
      <c r="A3" s="52" t="s">
        <v>186</v>
      </c>
      <c r="B3" s="52" t="s">
        <v>199</v>
      </c>
      <c r="C3" s="3" t="s">
        <v>1</v>
      </c>
      <c r="D3" s="3" t="s">
        <v>2</v>
      </c>
      <c r="E3" s="3" t="s">
        <v>3</v>
      </c>
      <c r="F3" s="3" t="s">
        <v>4</v>
      </c>
      <c r="G3" s="3" t="s">
        <v>5</v>
      </c>
      <c r="H3" s="3" t="s">
        <v>6</v>
      </c>
      <c r="I3" s="3" t="s">
        <v>7</v>
      </c>
      <c r="J3" s="3" t="s">
        <v>8</v>
      </c>
      <c r="K3" s="3" t="s">
        <v>9</v>
      </c>
    </row>
    <row r="4" spans="1:13" x14ac:dyDescent="0.25">
      <c r="A4" s="105" t="s">
        <v>22</v>
      </c>
      <c r="B4" s="4" t="s">
        <v>123</v>
      </c>
      <c r="C4" s="13">
        <v>22</v>
      </c>
      <c r="D4" s="13">
        <v>7</v>
      </c>
      <c r="E4" s="13">
        <v>14</v>
      </c>
      <c r="F4" s="13">
        <v>18</v>
      </c>
      <c r="G4" s="13">
        <v>9</v>
      </c>
      <c r="H4" s="13" t="s">
        <v>174</v>
      </c>
      <c r="I4" s="13" t="s">
        <v>174</v>
      </c>
      <c r="J4" s="13">
        <v>212</v>
      </c>
      <c r="K4" s="13">
        <v>288</v>
      </c>
    </row>
    <row r="5" spans="1:13" x14ac:dyDescent="0.25">
      <c r="A5" s="105"/>
      <c r="B5" s="4" t="s">
        <v>124</v>
      </c>
      <c r="C5" s="149" t="s">
        <v>167</v>
      </c>
      <c r="D5" s="149" t="s">
        <v>167</v>
      </c>
      <c r="E5" s="149" t="s">
        <v>167</v>
      </c>
      <c r="F5" s="149" t="s">
        <v>167</v>
      </c>
      <c r="G5" s="13" t="s">
        <v>167</v>
      </c>
      <c r="H5" s="13" t="s">
        <v>167</v>
      </c>
      <c r="I5" s="13" t="s">
        <v>167</v>
      </c>
      <c r="J5" s="13" t="s">
        <v>167</v>
      </c>
      <c r="K5" s="149" t="s">
        <v>167</v>
      </c>
    </row>
    <row r="6" spans="1:13" x14ac:dyDescent="0.25">
      <c r="A6" s="105"/>
      <c r="B6" s="4" t="s">
        <v>125</v>
      </c>
      <c r="C6" s="13">
        <v>86</v>
      </c>
      <c r="D6" s="13">
        <v>8</v>
      </c>
      <c r="E6" s="13">
        <v>143</v>
      </c>
      <c r="F6" s="13">
        <v>51</v>
      </c>
      <c r="G6" s="13">
        <v>11</v>
      </c>
      <c r="H6" s="13" t="s">
        <v>174</v>
      </c>
      <c r="I6" s="13" t="s">
        <v>174</v>
      </c>
      <c r="J6" s="13" t="s">
        <v>174</v>
      </c>
      <c r="K6" s="13">
        <v>304</v>
      </c>
    </row>
    <row r="7" spans="1:13" x14ac:dyDescent="0.25">
      <c r="A7" s="105"/>
      <c r="B7" s="4" t="s">
        <v>126</v>
      </c>
      <c r="C7" s="149" t="s">
        <v>167</v>
      </c>
      <c r="D7" s="149" t="s">
        <v>167</v>
      </c>
      <c r="E7" s="149" t="s">
        <v>167</v>
      </c>
      <c r="F7" s="149" t="s">
        <v>167</v>
      </c>
      <c r="G7" s="13" t="s">
        <v>167</v>
      </c>
      <c r="H7" s="13" t="s">
        <v>172</v>
      </c>
      <c r="I7" s="13" t="s">
        <v>167</v>
      </c>
      <c r="J7" s="13" t="s">
        <v>167</v>
      </c>
      <c r="K7" s="149" t="s">
        <v>167</v>
      </c>
    </row>
    <row r="8" spans="1:13" x14ac:dyDescent="0.25">
      <c r="A8" s="105"/>
      <c r="B8" s="4" t="s">
        <v>127</v>
      </c>
      <c r="C8" s="149" t="s">
        <v>167</v>
      </c>
      <c r="D8" s="149" t="s">
        <v>167</v>
      </c>
      <c r="E8" s="149" t="s">
        <v>167</v>
      </c>
      <c r="F8" s="149" t="s">
        <v>167</v>
      </c>
      <c r="G8" s="13" t="s">
        <v>167</v>
      </c>
      <c r="H8" s="13" t="s">
        <v>167</v>
      </c>
      <c r="I8" s="13" t="s">
        <v>167</v>
      </c>
      <c r="J8" s="13" t="s">
        <v>167</v>
      </c>
      <c r="K8" s="149" t="s">
        <v>167</v>
      </c>
    </row>
    <row r="9" spans="1:13" x14ac:dyDescent="0.25">
      <c r="A9" s="105"/>
      <c r="B9" s="4" t="s">
        <v>90</v>
      </c>
      <c r="C9" s="13">
        <v>23</v>
      </c>
      <c r="D9" s="149">
        <v>2</v>
      </c>
      <c r="E9" s="149">
        <v>2</v>
      </c>
      <c r="F9" s="13">
        <v>5</v>
      </c>
      <c r="G9" s="149" t="s">
        <v>167</v>
      </c>
      <c r="H9" s="13" t="s">
        <v>167</v>
      </c>
      <c r="I9" s="149" t="s">
        <v>167</v>
      </c>
      <c r="J9" s="13">
        <v>37</v>
      </c>
      <c r="K9" s="13">
        <v>69</v>
      </c>
    </row>
    <row r="10" spans="1:13" x14ac:dyDescent="0.25">
      <c r="A10" s="105"/>
      <c r="B10" s="9" t="s">
        <v>12</v>
      </c>
      <c r="C10" s="63">
        <v>131</v>
      </c>
      <c r="D10" s="63">
        <v>17</v>
      </c>
      <c r="E10" s="63">
        <v>159</v>
      </c>
      <c r="F10" s="63">
        <v>74</v>
      </c>
      <c r="G10" s="63">
        <v>20</v>
      </c>
      <c r="H10" s="63" t="s">
        <v>174</v>
      </c>
      <c r="I10" s="63" t="s">
        <v>174</v>
      </c>
      <c r="J10" s="63" t="s">
        <v>174</v>
      </c>
      <c r="K10" s="63">
        <v>661</v>
      </c>
    </row>
    <row r="11" spans="1:13" ht="15" customHeight="1" x14ac:dyDescent="0.25">
      <c r="A11" s="105" t="s">
        <v>23</v>
      </c>
      <c r="B11" s="4" t="s">
        <v>123</v>
      </c>
      <c r="C11" s="13">
        <v>11</v>
      </c>
      <c r="D11" s="13">
        <v>19</v>
      </c>
      <c r="E11" s="13">
        <v>6</v>
      </c>
      <c r="F11" s="13">
        <v>10</v>
      </c>
      <c r="G11" s="13">
        <v>9</v>
      </c>
      <c r="H11" s="13" t="s">
        <v>174</v>
      </c>
      <c r="I11" s="13" t="s">
        <v>174</v>
      </c>
      <c r="J11" s="13" t="s">
        <v>174</v>
      </c>
      <c r="K11" s="13">
        <v>69</v>
      </c>
    </row>
    <row r="12" spans="1:13" x14ac:dyDescent="0.25">
      <c r="A12" s="105"/>
      <c r="B12" s="4" t="s">
        <v>124</v>
      </c>
      <c r="C12" s="149" t="s">
        <v>167</v>
      </c>
      <c r="D12" s="149" t="s">
        <v>167</v>
      </c>
      <c r="E12" s="149" t="s">
        <v>167</v>
      </c>
      <c r="F12" s="149" t="s">
        <v>167</v>
      </c>
      <c r="G12" s="149" t="s">
        <v>167</v>
      </c>
      <c r="H12" s="13" t="s">
        <v>167</v>
      </c>
      <c r="I12" s="13" t="s">
        <v>167</v>
      </c>
      <c r="J12" s="13" t="s">
        <v>167</v>
      </c>
      <c r="K12" s="149" t="s">
        <v>167</v>
      </c>
    </row>
    <row r="13" spans="1:13" x14ac:dyDescent="0.25">
      <c r="A13" s="105"/>
      <c r="B13" s="4" t="s">
        <v>125</v>
      </c>
      <c r="C13" s="13">
        <v>39</v>
      </c>
      <c r="D13" s="13">
        <v>44</v>
      </c>
      <c r="E13" s="13">
        <v>24</v>
      </c>
      <c r="F13" s="13">
        <v>29</v>
      </c>
      <c r="G13" s="13">
        <v>6</v>
      </c>
      <c r="H13" s="13" t="s">
        <v>174</v>
      </c>
      <c r="I13" s="13" t="s">
        <v>174</v>
      </c>
      <c r="J13" s="13" t="s">
        <v>167</v>
      </c>
      <c r="K13" s="13">
        <v>144</v>
      </c>
    </row>
    <row r="14" spans="1:13" x14ac:dyDescent="0.25">
      <c r="A14" s="105"/>
      <c r="B14" s="4" t="s">
        <v>126</v>
      </c>
      <c r="C14" s="149" t="s">
        <v>167</v>
      </c>
      <c r="D14" s="149" t="s">
        <v>167</v>
      </c>
      <c r="E14" s="149" t="s">
        <v>167</v>
      </c>
      <c r="F14" s="149" t="s">
        <v>167</v>
      </c>
      <c r="G14" s="149" t="s">
        <v>167</v>
      </c>
      <c r="H14" s="13" t="s">
        <v>172</v>
      </c>
      <c r="I14" s="13" t="s">
        <v>167</v>
      </c>
      <c r="J14" s="13" t="s">
        <v>167</v>
      </c>
      <c r="K14" s="149" t="s">
        <v>167</v>
      </c>
    </row>
    <row r="15" spans="1:13" x14ac:dyDescent="0.25">
      <c r="A15" s="105"/>
      <c r="B15" s="4" t="s">
        <v>127</v>
      </c>
      <c r="C15" s="149" t="s">
        <v>167</v>
      </c>
      <c r="D15" s="149" t="s">
        <v>167</v>
      </c>
      <c r="E15" s="149" t="s">
        <v>167</v>
      </c>
      <c r="F15" s="149" t="s">
        <v>167</v>
      </c>
      <c r="G15" s="149" t="s">
        <v>167</v>
      </c>
      <c r="H15" s="13" t="s">
        <v>167</v>
      </c>
      <c r="I15" s="13" t="s">
        <v>167</v>
      </c>
      <c r="J15" s="13" t="s">
        <v>167</v>
      </c>
      <c r="K15" s="149" t="s">
        <v>167</v>
      </c>
    </row>
    <row r="16" spans="1:13" x14ac:dyDescent="0.25">
      <c r="A16" s="105"/>
      <c r="B16" s="4" t="s">
        <v>90</v>
      </c>
      <c r="C16" s="13">
        <v>24</v>
      </c>
      <c r="D16" s="13">
        <v>11</v>
      </c>
      <c r="E16" s="149" t="s">
        <v>167</v>
      </c>
      <c r="F16" s="13">
        <v>2</v>
      </c>
      <c r="G16" s="149" t="s">
        <v>167</v>
      </c>
      <c r="H16" s="13" t="s">
        <v>174</v>
      </c>
      <c r="I16" s="13" t="s">
        <v>174</v>
      </c>
      <c r="J16" s="13" t="s">
        <v>174</v>
      </c>
      <c r="K16" s="13">
        <v>41</v>
      </c>
    </row>
    <row r="17" spans="1:13" x14ac:dyDescent="0.25">
      <c r="A17" s="105"/>
      <c r="B17" s="9" t="s">
        <v>12</v>
      </c>
      <c r="C17" s="63">
        <v>74</v>
      </c>
      <c r="D17" s="63">
        <v>74</v>
      </c>
      <c r="E17" s="63">
        <v>30</v>
      </c>
      <c r="F17" s="63">
        <v>41</v>
      </c>
      <c r="G17" s="63">
        <v>15</v>
      </c>
      <c r="H17" s="63" t="s">
        <v>174</v>
      </c>
      <c r="I17" s="63" t="s">
        <v>174</v>
      </c>
      <c r="J17" s="63">
        <v>6</v>
      </c>
      <c r="K17" s="63">
        <v>254</v>
      </c>
    </row>
    <row r="18" spans="1:13" x14ac:dyDescent="0.25">
      <c r="A18" s="105" t="s">
        <v>24</v>
      </c>
      <c r="B18" s="4" t="s">
        <v>123</v>
      </c>
      <c r="C18" s="149">
        <v>1</v>
      </c>
      <c r="D18" s="149" t="s">
        <v>167</v>
      </c>
      <c r="E18" s="149" t="s">
        <v>167</v>
      </c>
      <c r="F18" s="149" t="s">
        <v>167</v>
      </c>
      <c r="G18" s="149" t="s">
        <v>167</v>
      </c>
      <c r="H18" s="149" t="s">
        <v>167</v>
      </c>
      <c r="I18" s="149" t="s">
        <v>167</v>
      </c>
      <c r="J18" s="13">
        <v>3</v>
      </c>
      <c r="K18" s="13">
        <v>4</v>
      </c>
    </row>
    <row r="19" spans="1:13" x14ac:dyDescent="0.25">
      <c r="A19" s="105"/>
      <c r="B19" s="4" t="s">
        <v>124</v>
      </c>
      <c r="C19" s="149" t="s">
        <v>167</v>
      </c>
      <c r="D19" s="149" t="s">
        <v>167</v>
      </c>
      <c r="E19" s="149" t="s">
        <v>167</v>
      </c>
      <c r="F19" s="149" t="s">
        <v>167</v>
      </c>
      <c r="G19" s="149" t="s">
        <v>167</v>
      </c>
      <c r="H19" s="149" t="s">
        <v>167</v>
      </c>
      <c r="I19" s="149" t="s">
        <v>167</v>
      </c>
      <c r="J19" s="149" t="s">
        <v>167</v>
      </c>
      <c r="K19" s="149" t="s">
        <v>167</v>
      </c>
    </row>
    <row r="20" spans="1:13" x14ac:dyDescent="0.25">
      <c r="A20" s="105"/>
      <c r="B20" s="4" t="s">
        <v>125</v>
      </c>
      <c r="C20" s="149" t="s">
        <v>167</v>
      </c>
      <c r="D20" s="149" t="s">
        <v>167</v>
      </c>
      <c r="E20" s="149" t="s">
        <v>167</v>
      </c>
      <c r="F20" s="149" t="s">
        <v>167</v>
      </c>
      <c r="G20" s="149" t="s">
        <v>167</v>
      </c>
      <c r="H20" s="149" t="s">
        <v>167</v>
      </c>
      <c r="I20" s="149" t="s">
        <v>167</v>
      </c>
      <c r="J20" s="149" t="s">
        <v>167</v>
      </c>
      <c r="K20" s="149" t="s">
        <v>167</v>
      </c>
    </row>
    <row r="21" spans="1:13" x14ac:dyDescent="0.25">
      <c r="A21" s="105"/>
      <c r="B21" s="4" t="s">
        <v>126</v>
      </c>
      <c r="C21" s="149" t="s">
        <v>167</v>
      </c>
      <c r="D21" s="149" t="s">
        <v>167</v>
      </c>
      <c r="E21" s="149" t="s">
        <v>167</v>
      </c>
      <c r="F21" s="149" t="s">
        <v>167</v>
      </c>
      <c r="G21" s="149" t="s">
        <v>167</v>
      </c>
      <c r="H21" s="13" t="s">
        <v>172</v>
      </c>
      <c r="I21" s="149" t="s">
        <v>167</v>
      </c>
      <c r="J21" s="149" t="s">
        <v>167</v>
      </c>
      <c r="K21" s="149" t="s">
        <v>167</v>
      </c>
    </row>
    <row r="22" spans="1:13" x14ac:dyDescent="0.25">
      <c r="A22" s="105"/>
      <c r="B22" s="4" t="s">
        <v>127</v>
      </c>
      <c r="C22" s="149" t="s">
        <v>167</v>
      </c>
      <c r="D22" s="149" t="s">
        <v>167</v>
      </c>
      <c r="E22" s="149" t="s">
        <v>167</v>
      </c>
      <c r="F22" s="149" t="s">
        <v>167</v>
      </c>
      <c r="G22" s="149" t="s">
        <v>167</v>
      </c>
      <c r="H22" s="149" t="s">
        <v>167</v>
      </c>
      <c r="I22" s="149" t="s">
        <v>167</v>
      </c>
      <c r="J22" s="149" t="s">
        <v>167</v>
      </c>
      <c r="K22" s="149" t="s">
        <v>167</v>
      </c>
    </row>
    <row r="23" spans="1:13" x14ac:dyDescent="0.25">
      <c r="A23" s="105"/>
      <c r="B23" s="4" t="s">
        <v>90</v>
      </c>
      <c r="C23" s="149" t="s">
        <v>167</v>
      </c>
      <c r="D23" s="149" t="s">
        <v>167</v>
      </c>
      <c r="E23" s="149" t="s">
        <v>167</v>
      </c>
      <c r="F23" s="149" t="s">
        <v>167</v>
      </c>
      <c r="G23" s="149" t="s">
        <v>167</v>
      </c>
      <c r="H23" s="149" t="s">
        <v>167</v>
      </c>
      <c r="I23" s="149" t="s">
        <v>167</v>
      </c>
      <c r="J23" s="13" t="s">
        <v>167</v>
      </c>
      <c r="K23" s="149" t="s">
        <v>167</v>
      </c>
    </row>
    <row r="24" spans="1:13" x14ac:dyDescent="0.25">
      <c r="A24" s="105"/>
      <c r="B24" s="9" t="s">
        <v>12</v>
      </c>
      <c r="C24" s="150">
        <v>1</v>
      </c>
      <c r="D24" s="150" t="s">
        <v>167</v>
      </c>
      <c r="E24" s="149" t="s">
        <v>167</v>
      </c>
      <c r="F24" s="150" t="s">
        <v>167</v>
      </c>
      <c r="G24" s="150" t="s">
        <v>167</v>
      </c>
      <c r="H24" s="150" t="s">
        <v>167</v>
      </c>
      <c r="I24" s="150" t="s">
        <v>167</v>
      </c>
      <c r="J24" s="63">
        <v>3</v>
      </c>
      <c r="K24" s="63">
        <v>4</v>
      </c>
    </row>
    <row r="25" spans="1:13" x14ac:dyDescent="0.25">
      <c r="A25" s="9" t="s">
        <v>12</v>
      </c>
      <c r="B25" s="4" t="s">
        <v>123</v>
      </c>
      <c r="C25" s="13">
        <v>34</v>
      </c>
      <c r="D25" s="13">
        <v>26</v>
      </c>
      <c r="E25" s="13">
        <v>20</v>
      </c>
      <c r="F25" s="13">
        <v>28</v>
      </c>
      <c r="G25" s="13">
        <v>18</v>
      </c>
      <c r="H25" s="13" t="s">
        <v>174</v>
      </c>
      <c r="I25" s="13" t="s">
        <v>174</v>
      </c>
      <c r="J25" s="13" t="s">
        <v>174</v>
      </c>
      <c r="K25" s="13">
        <v>361</v>
      </c>
    </row>
    <row r="26" spans="1:13" x14ac:dyDescent="0.25">
      <c r="A26" s="9"/>
      <c r="B26" s="4" t="s">
        <v>124</v>
      </c>
      <c r="C26" s="149" t="s">
        <v>167</v>
      </c>
      <c r="D26" s="149" t="s">
        <v>167</v>
      </c>
      <c r="E26" s="149" t="s">
        <v>167</v>
      </c>
      <c r="F26" s="149" t="s">
        <v>167</v>
      </c>
      <c r="G26" s="149" t="s">
        <v>167</v>
      </c>
      <c r="H26" s="13" t="s">
        <v>167</v>
      </c>
      <c r="I26" s="13" t="s">
        <v>167</v>
      </c>
      <c r="J26" s="13" t="s">
        <v>167</v>
      </c>
      <c r="K26" s="149" t="s">
        <v>167</v>
      </c>
    </row>
    <row r="27" spans="1:13" x14ac:dyDescent="0.25">
      <c r="A27" s="9"/>
      <c r="B27" s="4" t="s">
        <v>125</v>
      </c>
      <c r="C27" s="13">
        <v>125</v>
      </c>
      <c r="D27" s="13">
        <v>52</v>
      </c>
      <c r="E27" s="13">
        <v>167</v>
      </c>
      <c r="F27" s="13">
        <v>80</v>
      </c>
      <c r="G27" s="13">
        <v>17</v>
      </c>
      <c r="H27" s="13" t="s">
        <v>174</v>
      </c>
      <c r="I27" s="13" t="s">
        <v>174</v>
      </c>
      <c r="J27" s="13" t="s">
        <v>174</v>
      </c>
      <c r="K27" s="13">
        <v>448</v>
      </c>
    </row>
    <row r="28" spans="1:13" x14ac:dyDescent="0.25">
      <c r="A28" s="9"/>
      <c r="B28" s="4" t="s">
        <v>126</v>
      </c>
      <c r="C28" s="149" t="s">
        <v>167</v>
      </c>
      <c r="D28" s="149" t="s">
        <v>167</v>
      </c>
      <c r="E28" s="149" t="s">
        <v>167</v>
      </c>
      <c r="F28" s="149" t="s">
        <v>167</v>
      </c>
      <c r="G28" s="149" t="s">
        <v>167</v>
      </c>
      <c r="H28" s="13" t="s">
        <v>172</v>
      </c>
      <c r="I28" s="13" t="s">
        <v>167</v>
      </c>
      <c r="J28" s="13" t="s">
        <v>167</v>
      </c>
      <c r="K28" s="149" t="s">
        <v>167</v>
      </c>
    </row>
    <row r="29" spans="1:13" x14ac:dyDescent="0.25">
      <c r="A29" s="9"/>
      <c r="B29" s="4" t="s">
        <v>127</v>
      </c>
      <c r="C29" s="149" t="s">
        <v>167</v>
      </c>
      <c r="D29" s="149" t="s">
        <v>167</v>
      </c>
      <c r="E29" s="149" t="s">
        <v>167</v>
      </c>
      <c r="F29" s="149" t="s">
        <v>167</v>
      </c>
      <c r="G29" s="149" t="s">
        <v>167</v>
      </c>
      <c r="H29" s="13" t="s">
        <v>167</v>
      </c>
      <c r="I29" s="13" t="s">
        <v>167</v>
      </c>
      <c r="J29" s="13" t="s">
        <v>167</v>
      </c>
      <c r="K29" s="149" t="s">
        <v>167</v>
      </c>
    </row>
    <row r="30" spans="1:13" x14ac:dyDescent="0.25">
      <c r="A30" s="9"/>
      <c r="B30" s="4" t="s">
        <v>90</v>
      </c>
      <c r="C30" s="13">
        <v>47</v>
      </c>
      <c r="D30" s="13">
        <v>13</v>
      </c>
      <c r="E30" s="149">
        <v>2</v>
      </c>
      <c r="F30" s="13">
        <v>7</v>
      </c>
      <c r="G30" s="149" t="s">
        <v>167</v>
      </c>
      <c r="H30" s="13" t="s">
        <v>174</v>
      </c>
      <c r="I30" s="13" t="s">
        <v>174</v>
      </c>
      <c r="J30" s="13" t="s">
        <v>174</v>
      </c>
      <c r="K30" s="13">
        <v>110</v>
      </c>
    </row>
    <row r="31" spans="1:13" x14ac:dyDescent="0.25">
      <c r="A31" s="9"/>
      <c r="B31" s="9" t="s">
        <v>12</v>
      </c>
      <c r="C31" s="63">
        <v>206</v>
      </c>
      <c r="D31" s="63">
        <v>91</v>
      </c>
      <c r="E31" s="63">
        <v>189</v>
      </c>
      <c r="F31" s="63">
        <v>115</v>
      </c>
      <c r="G31" s="63">
        <v>35</v>
      </c>
      <c r="H31" s="63" t="s">
        <v>174</v>
      </c>
      <c r="I31" s="63" t="s">
        <v>174</v>
      </c>
      <c r="J31" s="63">
        <v>262</v>
      </c>
      <c r="K31" s="63">
        <v>919</v>
      </c>
    </row>
    <row r="32" spans="1:13" x14ac:dyDescent="0.25">
      <c r="A32" s="207" t="s">
        <v>220</v>
      </c>
      <c r="B32" s="207"/>
      <c r="C32" s="207"/>
      <c r="D32" s="207"/>
      <c r="E32" s="207"/>
      <c r="F32" s="207"/>
      <c r="G32" s="207"/>
      <c r="H32" s="207"/>
      <c r="I32" s="207"/>
      <c r="J32" s="207"/>
      <c r="K32" s="207"/>
      <c r="L32" s="202"/>
      <c r="M32" s="202"/>
    </row>
    <row r="33" spans="1:13" s="104" customFormat="1" x14ac:dyDescent="0.25">
      <c r="A33" s="103" t="s">
        <v>18</v>
      </c>
      <c r="B33" s="103"/>
      <c r="C33" s="103"/>
      <c r="D33" s="103"/>
      <c r="E33" s="103"/>
      <c r="F33" s="103"/>
      <c r="G33" s="103"/>
      <c r="H33" s="103"/>
      <c r="I33" s="103"/>
      <c r="J33" s="103"/>
      <c r="K33" s="103"/>
      <c r="L33" s="103"/>
      <c r="M33" s="103"/>
    </row>
    <row r="34" spans="1:13" s="6" customFormat="1" ht="9" x14ac:dyDescent="0.15">
      <c r="A34" s="6" t="s">
        <v>128</v>
      </c>
    </row>
    <row r="35" spans="1:13" s="6" customFormat="1" ht="9" x14ac:dyDescent="0.15">
      <c r="A35" s="6" t="s">
        <v>95</v>
      </c>
    </row>
    <row r="36" spans="1:13" s="6" customFormat="1" ht="9" x14ac:dyDescent="0.15">
      <c r="A36" s="6" t="s">
        <v>268</v>
      </c>
    </row>
    <row r="37" spans="1:13" s="6" customFormat="1" ht="9" x14ac:dyDescent="0.15"/>
    <row r="38" spans="1:13" s="6" customFormat="1" ht="9" x14ac:dyDescent="0.15">
      <c r="A38" s="6" t="s">
        <v>271</v>
      </c>
    </row>
    <row r="39" spans="1:13" s="6" customFormat="1" ht="9" x14ac:dyDescent="0.15"/>
    <row r="40" spans="1:13" x14ac:dyDescent="0.25">
      <c r="A40" s="2"/>
    </row>
  </sheetData>
  <mergeCells count="2">
    <mergeCell ref="A32:M32"/>
    <mergeCell ref="A1:M1"/>
  </mergeCells>
  <pageMargins left="0.08" right="0.08" top="1" bottom="1" header="0.5" footer="0.5"/>
  <pageSetup orientation="landscape" blackAndWhite="1"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M31"/>
  <sheetViews>
    <sheetView zoomScaleNormal="100" workbookViewId="0">
      <selection activeCell="J36" sqref="J36"/>
    </sheetView>
  </sheetViews>
  <sheetFormatPr defaultColWidth="9.140625" defaultRowHeight="15" x14ac:dyDescent="0.25"/>
  <cols>
    <col min="1" max="11" width="11.42578125" style="1" bestFit="1" customWidth="1"/>
    <col min="12" max="16384" width="9.140625" style="1"/>
  </cols>
  <sheetData>
    <row r="1" spans="1:11" ht="27.95" customHeight="1" x14ac:dyDescent="0.25">
      <c r="A1" s="209" t="s">
        <v>357</v>
      </c>
      <c r="B1" s="209"/>
      <c r="C1" s="209"/>
      <c r="D1" s="209"/>
      <c r="E1" s="209"/>
      <c r="F1" s="209"/>
      <c r="G1" s="209"/>
      <c r="H1" s="209"/>
      <c r="I1" s="209"/>
      <c r="J1" s="209"/>
      <c r="K1" s="209"/>
    </row>
    <row r="2" spans="1:11" ht="3" customHeight="1" x14ac:dyDescent="0.25">
      <c r="A2" s="2"/>
    </row>
    <row r="3" spans="1:11" ht="23.25" x14ac:dyDescent="0.25">
      <c r="A3" s="52" t="s">
        <v>189</v>
      </c>
      <c r="B3" s="52" t="s">
        <v>186</v>
      </c>
      <c r="C3" s="3" t="s">
        <v>1</v>
      </c>
      <c r="D3" s="3" t="s">
        <v>2</v>
      </c>
      <c r="E3" s="3" t="s">
        <v>3</v>
      </c>
      <c r="F3" s="3" t="s">
        <v>4</v>
      </c>
      <c r="G3" s="3" t="s">
        <v>5</v>
      </c>
      <c r="H3" s="3" t="s">
        <v>6</v>
      </c>
      <c r="I3" s="3" t="s">
        <v>7</v>
      </c>
      <c r="J3" s="3" t="s">
        <v>8</v>
      </c>
      <c r="K3" s="3" t="s">
        <v>9</v>
      </c>
    </row>
    <row r="4" spans="1:11" ht="15" customHeight="1" x14ac:dyDescent="0.25">
      <c r="A4" s="203" t="s">
        <v>232</v>
      </c>
      <c r="B4" s="4" t="s">
        <v>22</v>
      </c>
      <c r="C4" s="5">
        <v>93.5</v>
      </c>
      <c r="D4" s="5">
        <v>122.3</v>
      </c>
      <c r="E4" s="5">
        <v>67.900000000000006</v>
      </c>
      <c r="F4" s="5">
        <v>120.8</v>
      </c>
      <c r="G4" s="5">
        <v>60.8</v>
      </c>
      <c r="H4" s="5">
        <v>81</v>
      </c>
      <c r="I4" s="5">
        <v>110.8</v>
      </c>
      <c r="J4" s="5">
        <v>142.80000000000001</v>
      </c>
      <c r="K4" s="5">
        <v>98.9</v>
      </c>
    </row>
    <row r="5" spans="1:11" ht="15" customHeight="1" x14ac:dyDescent="0.25">
      <c r="A5" s="203"/>
      <c r="B5" s="4" t="s">
        <v>23</v>
      </c>
      <c r="C5" s="5">
        <v>100.3</v>
      </c>
      <c r="D5" s="5">
        <v>129.69999999999999</v>
      </c>
      <c r="E5" s="5">
        <v>74.3</v>
      </c>
      <c r="F5" s="5">
        <v>102.8</v>
      </c>
      <c r="G5" s="5">
        <v>100.8</v>
      </c>
      <c r="H5" s="5">
        <v>117.6</v>
      </c>
      <c r="I5" s="5">
        <v>139.9</v>
      </c>
      <c r="J5" s="5">
        <v>64.3</v>
      </c>
      <c r="K5" s="5">
        <v>111.1</v>
      </c>
    </row>
    <row r="6" spans="1:11" ht="15" customHeight="1" x14ac:dyDescent="0.25">
      <c r="A6" s="203"/>
      <c r="B6" s="4" t="s">
        <v>24</v>
      </c>
      <c r="C6" s="5">
        <v>49.5</v>
      </c>
      <c r="D6" s="82" t="s">
        <v>167</v>
      </c>
      <c r="E6" s="82">
        <v>151</v>
      </c>
      <c r="F6" s="82" t="s">
        <v>167</v>
      </c>
      <c r="G6" s="82" t="s">
        <v>167</v>
      </c>
      <c r="H6" s="82" t="s">
        <v>167</v>
      </c>
      <c r="I6" s="82" t="s">
        <v>167</v>
      </c>
      <c r="J6" s="82">
        <v>13</v>
      </c>
      <c r="K6" s="5">
        <v>65.8</v>
      </c>
    </row>
    <row r="7" spans="1:11" ht="15" customHeight="1" x14ac:dyDescent="0.25">
      <c r="A7" s="203"/>
      <c r="B7" s="105" t="s">
        <v>12</v>
      </c>
      <c r="C7" s="76">
        <v>96.7</v>
      </c>
      <c r="D7" s="76">
        <v>128.5</v>
      </c>
      <c r="E7" s="76">
        <v>70.099999999999994</v>
      </c>
      <c r="F7" s="76">
        <v>114.9</v>
      </c>
      <c r="G7" s="76">
        <v>77.099999999999994</v>
      </c>
      <c r="H7" s="76">
        <v>105.4</v>
      </c>
      <c r="I7" s="76">
        <v>129</v>
      </c>
      <c r="J7" s="76">
        <v>134.69999999999999</v>
      </c>
      <c r="K7" s="76">
        <v>104.8</v>
      </c>
    </row>
    <row r="8" spans="1:11" ht="15" customHeight="1" x14ac:dyDescent="0.25">
      <c r="A8" s="203" t="s">
        <v>233</v>
      </c>
      <c r="B8" s="4" t="s">
        <v>22</v>
      </c>
      <c r="C8" s="5">
        <v>74.900000000000006</v>
      </c>
      <c r="D8" s="5">
        <v>104</v>
      </c>
      <c r="E8" s="5">
        <v>80.3</v>
      </c>
      <c r="F8" s="5">
        <v>107.4</v>
      </c>
      <c r="G8" s="5">
        <v>75.099999999999994</v>
      </c>
      <c r="H8" s="5">
        <v>102.3</v>
      </c>
      <c r="I8" s="5">
        <v>99.5</v>
      </c>
      <c r="J8" s="5">
        <v>122.9</v>
      </c>
      <c r="K8" s="5">
        <v>92.9</v>
      </c>
    </row>
    <row r="9" spans="1:11" ht="15" customHeight="1" x14ac:dyDescent="0.25">
      <c r="A9" s="203"/>
      <c r="B9" s="4" t="s">
        <v>23</v>
      </c>
      <c r="C9" s="5">
        <v>98.4</v>
      </c>
      <c r="D9" s="5">
        <v>113.4</v>
      </c>
      <c r="E9" s="5">
        <v>84.4</v>
      </c>
      <c r="F9" s="5">
        <v>100.4</v>
      </c>
      <c r="G9" s="5">
        <v>74.099999999999994</v>
      </c>
      <c r="H9" s="5">
        <v>67.099999999999994</v>
      </c>
      <c r="I9" s="5">
        <v>140.80000000000001</v>
      </c>
      <c r="J9" s="5">
        <v>101</v>
      </c>
      <c r="K9" s="5">
        <v>102.3</v>
      </c>
    </row>
    <row r="10" spans="1:11" ht="15" customHeight="1" x14ac:dyDescent="0.25">
      <c r="A10" s="203"/>
      <c r="B10" s="4" t="s">
        <v>24</v>
      </c>
      <c r="C10" s="5">
        <v>76</v>
      </c>
      <c r="D10" s="82" t="s">
        <v>167</v>
      </c>
      <c r="E10" s="82" t="s">
        <v>167</v>
      </c>
      <c r="F10" s="82" t="s">
        <v>167</v>
      </c>
      <c r="G10" s="82" t="s">
        <v>167</v>
      </c>
      <c r="H10" s="82" t="s">
        <v>167</v>
      </c>
      <c r="I10" s="82" t="s">
        <v>167</v>
      </c>
      <c r="J10" s="5">
        <v>101</v>
      </c>
      <c r="K10" s="5">
        <v>88.5</v>
      </c>
    </row>
    <row r="11" spans="1:11" ht="15" customHeight="1" x14ac:dyDescent="0.25">
      <c r="A11" s="203"/>
      <c r="B11" s="105" t="s">
        <v>12</v>
      </c>
      <c r="C11" s="76">
        <v>87.4</v>
      </c>
      <c r="D11" s="76">
        <v>111.8</v>
      </c>
      <c r="E11" s="76">
        <v>81.099999999999994</v>
      </c>
      <c r="F11" s="76">
        <v>105.3</v>
      </c>
      <c r="G11" s="76">
        <v>74.8</v>
      </c>
      <c r="H11" s="76">
        <v>78.8</v>
      </c>
      <c r="I11" s="76">
        <v>129</v>
      </c>
      <c r="J11" s="76">
        <v>121.7</v>
      </c>
      <c r="K11" s="76">
        <v>97</v>
      </c>
    </row>
    <row r="12" spans="1:11" ht="15" customHeight="1" x14ac:dyDescent="0.25">
      <c r="A12" s="203" t="s">
        <v>234</v>
      </c>
      <c r="B12" s="4" t="s">
        <v>22</v>
      </c>
      <c r="C12" s="5">
        <v>101</v>
      </c>
      <c r="D12" s="5">
        <v>126.3</v>
      </c>
      <c r="E12" s="5">
        <v>86.4</v>
      </c>
      <c r="F12" s="5">
        <v>109.4</v>
      </c>
      <c r="G12" s="5">
        <v>58.4</v>
      </c>
      <c r="H12" s="5">
        <v>66.5</v>
      </c>
      <c r="I12" s="5">
        <v>163.80000000000001</v>
      </c>
      <c r="J12" s="5">
        <v>86.6</v>
      </c>
      <c r="K12" s="5">
        <v>94.4</v>
      </c>
    </row>
    <row r="13" spans="1:11" ht="15" customHeight="1" x14ac:dyDescent="0.25">
      <c r="A13" s="203"/>
      <c r="B13" s="4" t="s">
        <v>23</v>
      </c>
      <c r="C13" s="5">
        <v>116.8</v>
      </c>
      <c r="D13" s="5">
        <v>109.1</v>
      </c>
      <c r="E13" s="5">
        <v>69.900000000000006</v>
      </c>
      <c r="F13" s="5">
        <v>123.5</v>
      </c>
      <c r="G13" s="5">
        <v>69</v>
      </c>
      <c r="H13" s="5">
        <v>58.2</v>
      </c>
      <c r="I13" s="5">
        <v>131.4</v>
      </c>
      <c r="J13" s="5">
        <v>159.69999999999999</v>
      </c>
      <c r="K13" s="5">
        <v>106.8</v>
      </c>
    </row>
    <row r="14" spans="1:11" ht="15" customHeight="1" x14ac:dyDescent="0.25">
      <c r="A14" s="203"/>
      <c r="B14" s="4" t="s">
        <v>24</v>
      </c>
      <c r="C14" s="5">
        <v>54.3</v>
      </c>
      <c r="D14" s="82" t="s">
        <v>167</v>
      </c>
      <c r="E14" s="82" t="s">
        <v>167</v>
      </c>
      <c r="F14" s="82" t="s">
        <v>167</v>
      </c>
      <c r="G14" s="82" t="s">
        <v>167</v>
      </c>
      <c r="H14" s="82" t="s">
        <v>167</v>
      </c>
      <c r="I14" s="82">
        <v>137</v>
      </c>
      <c r="J14" s="5">
        <v>91</v>
      </c>
      <c r="K14" s="5">
        <v>80.3</v>
      </c>
    </row>
    <row r="15" spans="1:11" ht="15" customHeight="1" x14ac:dyDescent="0.25">
      <c r="A15" s="203"/>
      <c r="B15" s="105" t="s">
        <v>12</v>
      </c>
      <c r="C15" s="76">
        <v>108</v>
      </c>
      <c r="D15" s="76">
        <v>111.6</v>
      </c>
      <c r="E15" s="76">
        <v>82.5</v>
      </c>
      <c r="F15" s="76">
        <v>113.7</v>
      </c>
      <c r="G15" s="76">
        <v>61.5</v>
      </c>
      <c r="H15" s="76">
        <v>61.5</v>
      </c>
      <c r="I15" s="76">
        <v>140.5</v>
      </c>
      <c r="J15" s="76">
        <v>88.3</v>
      </c>
      <c r="K15" s="76">
        <v>99</v>
      </c>
    </row>
    <row r="16" spans="1:11" ht="15" customHeight="1" x14ac:dyDescent="0.25">
      <c r="A16" s="203" t="s">
        <v>235</v>
      </c>
      <c r="B16" s="4" t="s">
        <v>22</v>
      </c>
      <c r="C16" s="5">
        <v>88.7</v>
      </c>
      <c r="D16" s="5">
        <v>103.7</v>
      </c>
      <c r="E16" s="5">
        <v>78.900000000000006</v>
      </c>
      <c r="F16" s="5">
        <v>93.3</v>
      </c>
      <c r="G16" s="5">
        <v>38.799999999999997</v>
      </c>
      <c r="H16" s="5">
        <v>76.900000000000006</v>
      </c>
      <c r="I16" s="5" t="s">
        <v>174</v>
      </c>
      <c r="J16" s="5">
        <v>83.6</v>
      </c>
      <c r="K16" s="5">
        <v>84.5</v>
      </c>
    </row>
    <row r="17" spans="1:13" ht="15" customHeight="1" x14ac:dyDescent="0.25">
      <c r="A17" s="203"/>
      <c r="B17" s="4" t="s">
        <v>23</v>
      </c>
      <c r="C17" s="5">
        <v>111</v>
      </c>
      <c r="D17" s="5">
        <v>119.8</v>
      </c>
      <c r="E17" s="5">
        <v>59.2</v>
      </c>
      <c r="F17" s="5">
        <v>89.1</v>
      </c>
      <c r="G17" s="5">
        <v>111.4</v>
      </c>
      <c r="H17" s="5">
        <v>55</v>
      </c>
      <c r="I17" s="5" t="s">
        <v>174</v>
      </c>
      <c r="J17" s="5">
        <v>184</v>
      </c>
      <c r="K17" s="5">
        <v>101.1</v>
      </c>
    </row>
    <row r="18" spans="1:13" ht="15" customHeight="1" x14ac:dyDescent="0.25">
      <c r="A18" s="203"/>
      <c r="B18" s="4" t="s">
        <v>24</v>
      </c>
      <c r="C18" s="5" t="s">
        <v>167</v>
      </c>
      <c r="D18" s="82" t="s">
        <v>167</v>
      </c>
      <c r="E18" s="82" t="s">
        <v>167</v>
      </c>
      <c r="F18" s="82" t="s">
        <v>167</v>
      </c>
      <c r="G18" s="82" t="s">
        <v>167</v>
      </c>
      <c r="H18" s="82" t="s">
        <v>167</v>
      </c>
      <c r="I18" s="5" t="s">
        <v>167</v>
      </c>
      <c r="J18" s="5">
        <v>79</v>
      </c>
      <c r="K18" s="5">
        <v>79</v>
      </c>
    </row>
    <row r="19" spans="1:13" ht="15" customHeight="1" x14ac:dyDescent="0.25">
      <c r="A19" s="203"/>
      <c r="B19" s="105" t="s">
        <v>12</v>
      </c>
      <c r="C19" s="76">
        <v>97.9</v>
      </c>
      <c r="D19" s="76">
        <v>117.2</v>
      </c>
      <c r="E19" s="76">
        <v>75</v>
      </c>
      <c r="F19" s="76">
        <v>91.8</v>
      </c>
      <c r="G19" s="76">
        <v>73.2</v>
      </c>
      <c r="H19" s="76">
        <v>64</v>
      </c>
      <c r="I19" s="76">
        <v>157.69999999999999</v>
      </c>
      <c r="J19" s="76">
        <v>85.1</v>
      </c>
      <c r="K19" s="76">
        <v>90.2</v>
      </c>
    </row>
    <row r="20" spans="1:13" ht="15" customHeight="1" x14ac:dyDescent="0.25">
      <c r="A20" s="203" t="s">
        <v>300</v>
      </c>
      <c r="B20" s="4" t="s">
        <v>22</v>
      </c>
      <c r="C20" s="5">
        <v>100.7</v>
      </c>
      <c r="D20" s="5">
        <v>117.6</v>
      </c>
      <c r="E20" s="5">
        <v>70.099999999999994</v>
      </c>
      <c r="F20" s="5">
        <v>80</v>
      </c>
      <c r="G20" s="5">
        <v>32.200000000000003</v>
      </c>
      <c r="H20" s="5">
        <v>53.7</v>
      </c>
      <c r="I20" s="5" t="s">
        <v>174</v>
      </c>
      <c r="J20" s="5">
        <v>66.8</v>
      </c>
      <c r="K20" s="5">
        <v>78.2</v>
      </c>
    </row>
    <row r="21" spans="1:13" ht="15" customHeight="1" x14ac:dyDescent="0.25">
      <c r="A21" s="203"/>
      <c r="B21" s="4" t="s">
        <v>23</v>
      </c>
      <c r="C21" s="5">
        <v>110</v>
      </c>
      <c r="D21" s="5">
        <v>145.1</v>
      </c>
      <c r="E21" s="5">
        <v>62.6</v>
      </c>
      <c r="F21" s="5">
        <v>102.8</v>
      </c>
      <c r="G21" s="5">
        <v>63.4</v>
      </c>
      <c r="H21" s="5">
        <v>46</v>
      </c>
      <c r="I21" s="5" t="s">
        <v>174</v>
      </c>
      <c r="J21" s="5">
        <v>31.8</v>
      </c>
      <c r="K21" s="5">
        <v>108.7</v>
      </c>
    </row>
    <row r="22" spans="1:13" ht="15" customHeight="1" x14ac:dyDescent="0.25">
      <c r="A22" s="203"/>
      <c r="B22" s="4" t="s">
        <v>24</v>
      </c>
      <c r="C22" s="82">
        <v>186.5</v>
      </c>
      <c r="D22" s="82" t="s">
        <v>167</v>
      </c>
      <c r="E22" s="82" t="s">
        <v>167</v>
      </c>
      <c r="F22" s="82" t="s">
        <v>167</v>
      </c>
      <c r="G22" s="82" t="s">
        <v>167</v>
      </c>
      <c r="H22" s="82" t="s">
        <v>167</v>
      </c>
      <c r="I22" s="82" t="s">
        <v>167</v>
      </c>
      <c r="J22" s="5">
        <v>64.5</v>
      </c>
      <c r="K22" s="5">
        <v>125.5</v>
      </c>
    </row>
    <row r="23" spans="1:13" ht="15" customHeight="1" x14ac:dyDescent="0.25">
      <c r="A23" s="213"/>
      <c r="B23" s="92" t="s">
        <v>12</v>
      </c>
      <c r="C23" s="144">
        <v>105</v>
      </c>
      <c r="D23" s="144">
        <v>140.30000000000001</v>
      </c>
      <c r="E23" s="144">
        <v>68.8</v>
      </c>
      <c r="F23" s="144">
        <v>89.2</v>
      </c>
      <c r="G23" s="144">
        <v>46.5</v>
      </c>
      <c r="H23" s="144">
        <v>48.7</v>
      </c>
      <c r="I23" s="144">
        <v>142</v>
      </c>
      <c r="J23" s="144">
        <v>65.5</v>
      </c>
      <c r="K23" s="144">
        <v>89.1</v>
      </c>
    </row>
    <row r="24" spans="1:13" ht="15" hidden="1" customHeight="1" x14ac:dyDescent="0.25">
      <c r="A24" s="2"/>
    </row>
    <row r="25" spans="1:13" ht="11.1" customHeight="1" x14ac:dyDescent="0.25">
      <c r="A25" s="207" t="s">
        <v>220</v>
      </c>
      <c r="B25" s="207"/>
      <c r="C25" s="207"/>
      <c r="D25" s="207"/>
      <c r="E25" s="207"/>
      <c r="F25" s="207"/>
      <c r="G25" s="207"/>
      <c r="H25" s="207"/>
      <c r="I25" s="207"/>
      <c r="J25" s="207"/>
      <c r="K25" s="207"/>
      <c r="L25" s="202"/>
      <c r="M25" s="202"/>
    </row>
    <row r="26" spans="1:13" s="6" customFormat="1" ht="11.1" customHeight="1" x14ac:dyDescent="0.15">
      <c r="A26" s="202" t="s">
        <v>18</v>
      </c>
      <c r="B26" s="202"/>
      <c r="C26" s="202"/>
      <c r="D26" s="202"/>
      <c r="E26" s="202"/>
      <c r="F26" s="202"/>
      <c r="G26" s="202"/>
      <c r="H26" s="202"/>
      <c r="I26" s="202"/>
      <c r="J26" s="202"/>
      <c r="K26" s="202"/>
    </row>
    <row r="27" spans="1:13" s="6" customFormat="1" ht="11.1" customHeight="1" x14ac:dyDescent="0.15">
      <c r="A27" s="6" t="s">
        <v>133</v>
      </c>
    </row>
    <row r="28" spans="1:13" s="6" customFormat="1" ht="11.1" customHeight="1" x14ac:dyDescent="0.15">
      <c r="A28" s="6" t="s">
        <v>54</v>
      </c>
    </row>
    <row r="29" spans="1:13" s="6" customFormat="1" ht="11.1" customHeight="1" x14ac:dyDescent="0.15">
      <c r="A29" s="6" t="s">
        <v>115</v>
      </c>
    </row>
    <row r="30" spans="1:13" s="6" customFormat="1" ht="11.1" customHeight="1" x14ac:dyDescent="0.15">
      <c r="A30" s="6" t="s">
        <v>16</v>
      </c>
    </row>
    <row r="31" spans="1:13" ht="12" customHeight="1" x14ac:dyDescent="0.25">
      <c r="A31" s="6" t="s">
        <v>271</v>
      </c>
      <c r="B31" s="6"/>
      <c r="C31" s="6"/>
      <c r="D31" s="6"/>
      <c r="E31" s="6"/>
      <c r="F31" s="6"/>
      <c r="G31" s="6"/>
      <c r="H31" s="6"/>
      <c r="I31" s="6"/>
      <c r="J31" s="6"/>
      <c r="K31" s="6"/>
    </row>
  </sheetData>
  <mergeCells count="8">
    <mergeCell ref="A20:A23"/>
    <mergeCell ref="A26:K26"/>
    <mergeCell ref="A1:K1"/>
    <mergeCell ref="A4:A7"/>
    <mergeCell ref="A8:A11"/>
    <mergeCell ref="A12:A15"/>
    <mergeCell ref="A16:A19"/>
    <mergeCell ref="A25:M25"/>
  </mergeCells>
  <pageMargins left="0.08" right="0.08" top="1" bottom="1" header="0.5" footer="0.5"/>
  <pageSetup orientation="landscape" blackAndWhite="1"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G11"/>
  <sheetViews>
    <sheetView zoomScaleNormal="100" workbookViewId="0">
      <selection activeCell="C22" sqref="C22"/>
    </sheetView>
  </sheetViews>
  <sheetFormatPr defaultColWidth="9.140625" defaultRowHeight="15" x14ac:dyDescent="0.25"/>
  <cols>
    <col min="1" max="1" width="29.42578125" style="1" customWidth="1"/>
    <col min="2" max="4" width="17.42578125" style="1" customWidth="1"/>
    <col min="5" max="5" width="16.5703125" style="1" customWidth="1"/>
    <col min="6" max="6" width="4.42578125" style="1" customWidth="1"/>
    <col min="7" max="7" width="1.5703125" style="1" customWidth="1"/>
    <col min="8" max="16384" width="9.140625" style="1"/>
  </cols>
  <sheetData>
    <row r="1" spans="1:7" ht="30" customHeight="1" x14ac:dyDescent="0.25">
      <c r="A1" s="209" t="s">
        <v>375</v>
      </c>
      <c r="B1" s="209"/>
      <c r="C1" s="209"/>
      <c r="D1" s="209"/>
      <c r="E1" s="209"/>
      <c r="F1" s="209"/>
      <c r="G1" s="209"/>
    </row>
    <row r="2" spans="1:7" ht="8.25" customHeight="1" x14ac:dyDescent="0.25">
      <c r="A2" s="2"/>
    </row>
    <row r="3" spans="1:7" x14ac:dyDescent="0.25">
      <c r="A3" s="36" t="s">
        <v>225</v>
      </c>
      <c r="B3" s="3" t="s">
        <v>22</v>
      </c>
      <c r="C3" s="3" t="s">
        <v>23</v>
      </c>
      <c r="D3" s="3" t="s">
        <v>24</v>
      </c>
      <c r="E3" s="3" t="s">
        <v>12</v>
      </c>
    </row>
    <row r="4" spans="1:7" x14ac:dyDescent="0.25">
      <c r="A4" s="4" t="s">
        <v>134</v>
      </c>
      <c r="B4" s="169">
        <v>425</v>
      </c>
      <c r="C4" s="169">
        <v>171</v>
      </c>
      <c r="D4" s="169">
        <v>3</v>
      </c>
      <c r="E4" s="169">
        <v>174</v>
      </c>
    </row>
    <row r="5" spans="1:7" x14ac:dyDescent="0.25">
      <c r="A5" s="4" t="s">
        <v>135</v>
      </c>
      <c r="B5" s="169">
        <v>292</v>
      </c>
      <c r="C5" s="169">
        <v>101</v>
      </c>
      <c r="D5" s="169">
        <v>2</v>
      </c>
      <c r="E5" s="169">
        <v>103</v>
      </c>
    </row>
    <row r="6" spans="1:7" x14ac:dyDescent="0.25">
      <c r="A6" s="4" t="s">
        <v>136</v>
      </c>
      <c r="B6" s="169">
        <v>474</v>
      </c>
      <c r="C6" s="169">
        <v>207</v>
      </c>
      <c r="D6" s="169">
        <v>3</v>
      </c>
      <c r="E6" s="169">
        <v>210</v>
      </c>
    </row>
    <row r="7" spans="1:7" x14ac:dyDescent="0.25">
      <c r="A7" s="4" t="s">
        <v>137</v>
      </c>
      <c r="B7" s="169">
        <v>531</v>
      </c>
      <c r="C7" s="169">
        <v>286</v>
      </c>
      <c r="D7" s="169">
        <v>4</v>
      </c>
      <c r="E7" s="169">
        <v>290</v>
      </c>
    </row>
    <row r="8" spans="1:7" ht="3.75" customHeight="1" x14ac:dyDescent="0.25">
      <c r="A8" s="2"/>
    </row>
    <row r="9" spans="1:7" x14ac:dyDescent="0.25">
      <c r="A9" s="206" t="s">
        <v>226</v>
      </c>
      <c r="B9" s="206"/>
      <c r="C9" s="206"/>
      <c r="D9" s="206"/>
      <c r="E9" s="206"/>
    </row>
    <row r="10" spans="1:7" s="6" customFormat="1" ht="9" x14ac:dyDescent="0.15">
      <c r="A10" s="6" t="s">
        <v>16</v>
      </c>
    </row>
    <row r="11" spans="1:7" s="6" customFormat="1" ht="9" x14ac:dyDescent="0.15">
      <c r="A11" s="6" t="s">
        <v>271</v>
      </c>
    </row>
  </sheetData>
  <mergeCells count="2">
    <mergeCell ref="A9:E9"/>
    <mergeCell ref="A1:G1"/>
  </mergeCells>
  <phoneticPr fontId="65" type="noConversion"/>
  <pageMargins left="0.08" right="0.08" top="1" bottom="1" header="0.5" footer="0.5"/>
  <pageSetup orientation="landscape" blackAndWhite="1"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f3f4cf65-69e8-4317-9b9f-5948cc4bd257"/>
    <AIHW_PPR_Checksum xmlns="f3f4cf65-69e8-4317-9b9f-5948cc4bd257" xsi:nil="true"/>
    <AIHW_PPR_AnalysisFileRunBy xmlns="f3f4cf65-69e8-4317-9b9f-5948cc4bd257">
      <UserInfo>
        <DisplayName/>
        <AccountId xsi:nil="true"/>
        <AccountType/>
      </UserInfo>
    </AIHW_PPR_AnalysisFileRunBy>
    <AIHW_PPR_AnalysisFilePath xmlns="f3f4cf65-69e8-4317-9b9f-5948cc4bd257" xsi:nil="true"/>
    <AIHW_PPR_AnalysisFileVersion xmlns="f3f4cf65-69e8-4317-9b9f-5948cc4bd257" xsi:nil="true"/>
    <AIHW_PPR_AnalysisFileRunDate xmlns="f3f4cf65-69e8-4317-9b9f-5948cc4bd257" xsi:nil="true"/>
    <AIHW_PPR_AnalysisFileSessionId xmlns="f3f4cf65-69e8-4317-9b9f-5948cc4bd2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051E28ABE109934E8EA3D483DBEDA3FE" ma:contentTypeVersion="1" ma:contentTypeDescription="Create a new data object document." ma:contentTypeScope="" ma:versionID="caf4e9fcbb7e1d35ec9b882f3779a9ff">
  <xsd:schema xmlns:xsd="http://www.w3.org/2001/XMLSchema" xmlns:xs="http://www.w3.org/2001/XMLSchema" xmlns:p="http://schemas.microsoft.com/office/2006/metadata/properties" xmlns:ns2="f3f4cf65-69e8-4317-9b9f-5948cc4bd257" targetNamespace="http://schemas.microsoft.com/office/2006/metadata/properties" ma:root="true" ma:fieldsID="53752c5a13bab9259417d183a7287b68" ns2:_="">
    <xsd:import namespace="f3f4cf65-69e8-4317-9b9f-5948cc4bd257"/>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f4cf65-69e8-4317-9b9f-5948cc4bd25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a84455-29a1-4e7a-a3a1-ba55714ba46b}" ma:internalName="AIHW_PPR_ProjectCategoryLookup" ma:showField="Title" ma:web="{f3f4cf65-69e8-4317-9b9f-5948cc4bd257}">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020ACA-AC0E-457B-9422-5FDF3FD60817}">
  <ds:schemaRefs>
    <ds:schemaRef ds:uri="http://schemas.microsoft.com/office/2006/documentManagement/types"/>
    <ds:schemaRef ds:uri="http://purl.org/dc/elements/1.1/"/>
    <ds:schemaRef ds:uri="http://schemas.openxmlformats.org/package/2006/metadata/core-properties"/>
    <ds:schemaRef ds:uri="http://www.w3.org/XML/1998/namespace"/>
    <ds:schemaRef ds:uri="http://schemas.microsoft.com/office/2006/metadata/properties"/>
    <ds:schemaRef ds:uri="http://purl.org/dc/dcmitype/"/>
    <ds:schemaRef ds:uri="http://schemas.microsoft.com/office/infopath/2007/PartnerControls"/>
    <ds:schemaRef ds:uri="f3f4cf65-69e8-4317-9b9f-5948cc4bd257"/>
    <ds:schemaRef ds:uri="http://purl.org/dc/terms/"/>
  </ds:schemaRefs>
</ds:datastoreItem>
</file>

<file path=customXml/itemProps2.xml><?xml version="1.0" encoding="utf-8"?>
<ds:datastoreItem xmlns:ds="http://schemas.openxmlformats.org/officeDocument/2006/customXml" ds:itemID="{1FAB1468-9B71-4F6F-A7B5-CBED45F84C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f4cf65-69e8-4317-9b9f-5948cc4bd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B1B4AE-212E-4D86-B54B-4664CB1CF3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Notes and Symbols</vt:lpstr>
      <vt:lpstr>Contents</vt:lpstr>
      <vt:lpstr>Table S72</vt:lpstr>
      <vt:lpstr>Table S73</vt:lpstr>
      <vt:lpstr>Table S74</vt:lpstr>
      <vt:lpstr>Table S75</vt:lpstr>
      <vt:lpstr>Table S76</vt:lpstr>
      <vt:lpstr>Table S77</vt:lpstr>
      <vt:lpstr>Table S78</vt:lpstr>
      <vt:lpstr>Table S79</vt:lpstr>
      <vt:lpstr>Table S80</vt:lpstr>
      <vt:lpstr>Table S81</vt:lpstr>
      <vt:lpstr>Table S82</vt:lpstr>
      <vt:lpstr>Table S83</vt:lpstr>
      <vt:lpstr>Table S84</vt:lpstr>
      <vt:lpstr>Table S85</vt:lpstr>
      <vt:lpstr>Table S86</vt:lpstr>
      <vt:lpstr>Table S87</vt:lpstr>
      <vt:lpstr>Table S88</vt:lpstr>
      <vt:lpstr>Table S89</vt:lpstr>
      <vt:lpstr>Table S90</vt:lpstr>
      <vt:lpstr>Table S91</vt:lpstr>
      <vt:lpstr>Table S92</vt:lpstr>
      <vt:lpstr>Table S93</vt:lpstr>
      <vt:lpstr>Table S94</vt:lpstr>
      <vt:lpstr>Table S95</vt:lpstr>
      <vt:lpstr>Table S96</vt:lpstr>
      <vt:lpstr>Table S97</vt:lpstr>
      <vt:lpstr>Table S98</vt:lpstr>
      <vt:lpstr>Table S99</vt:lpstr>
      <vt:lpstr>Table S100</vt:lpstr>
      <vt:lpstr>Table S101</vt:lpstr>
      <vt:lpstr>Table S102</vt:lpstr>
      <vt:lpstr>Table S103</vt:lpstr>
      <vt:lpstr>Table S104</vt:lpstr>
      <vt:lpstr>Table S105</vt:lpstr>
      <vt:lpstr>Table S106</vt:lpstr>
      <vt:lpstr>Table S107</vt:lpstr>
      <vt:lpstr>Table S108</vt:lpstr>
      <vt:lpstr>Table S109</vt:lpstr>
      <vt:lpstr>Table S110</vt:lpstr>
      <vt:lpstr>Table S111</vt:lpstr>
      <vt:lpstr>Table S112</vt:lpstr>
      <vt:lpstr>Table S113</vt:lpstr>
      <vt:lpstr>Table S114</vt:lpstr>
      <vt:lpstr>Table S115</vt:lpstr>
      <vt:lpstr>Table S116</vt:lpstr>
      <vt:lpstr>Table S117</vt:lpstr>
      <vt:lpstr>Table S118</vt:lpstr>
      <vt:lpstr>Table S119</vt:lpstr>
      <vt:lpstr>Table S120</vt:lpstr>
      <vt:lpstr>Table S121</vt:lpstr>
      <vt:lpstr>Table S122</vt:lpstr>
      <vt:lpstr>Table S123</vt:lpstr>
      <vt:lpstr>Table S124</vt:lpstr>
      <vt:lpstr>Table S125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—Characteristics of young people in detention: S72 to S125</dc:title>
  <dc:creator>AIHW</dc:creator>
  <dcterms:created xsi:type="dcterms:W3CDTF">2023-10-06T02:04:17Z</dcterms:created>
  <dcterms:modified xsi:type="dcterms:W3CDTF">2026-05-12T01:48:01Z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0x010100B4A1F787F0C441AC878A307E051D262E00226E8B188E214B8AB06D165B586CEFC300051E28ABE109934E8EA3D483DBEDA3FE</vt:lpwstr>
  </property>
</Properties>
</file>