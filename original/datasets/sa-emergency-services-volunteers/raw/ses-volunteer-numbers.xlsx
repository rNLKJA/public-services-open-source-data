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05" windowWidth="27555" windowHeight="12300"/>
  </bookViews>
  <sheets>
    <sheet name="SES Vol #s" sheetId="1" r:id="rId1"/>
  </sheets>
  <calcPr calcId="145621"/>
</workbook>
</file>

<file path=xl/calcChain.xml><?xml version="1.0" encoding="utf-8"?>
<calcChain xmlns="http://schemas.openxmlformats.org/spreadsheetml/2006/main">
  <c r="K29" i="1" l="1"/>
  <c r="L29" i="1" s="1"/>
  <c r="I29" i="1"/>
  <c r="G29" i="1"/>
  <c r="H29" i="1" s="1"/>
  <c r="E29" i="1"/>
  <c r="D29" i="1"/>
  <c r="C29" i="1"/>
  <c r="O28" i="1"/>
  <c r="Q28" i="1" s="1"/>
  <c r="M28" i="1"/>
  <c r="L28" i="1"/>
  <c r="I28" i="1"/>
  <c r="H28" i="1"/>
  <c r="E28" i="1"/>
  <c r="D28" i="1"/>
  <c r="Q27" i="1"/>
  <c r="P27" i="1"/>
  <c r="O27" i="1"/>
  <c r="M27" i="1"/>
  <c r="I27" i="1"/>
  <c r="H27" i="1"/>
  <c r="E27" i="1"/>
  <c r="D27" i="1"/>
  <c r="M23" i="1"/>
  <c r="L23" i="1"/>
  <c r="K23" i="1"/>
  <c r="J23" i="1"/>
  <c r="I23" i="1"/>
  <c r="H23" i="1"/>
  <c r="G23" i="1"/>
  <c r="F23" i="1"/>
  <c r="E23" i="1"/>
  <c r="D23" i="1"/>
  <c r="C23" i="1"/>
  <c r="B23" i="1"/>
  <c r="Q22" i="1"/>
  <c r="P22" i="1"/>
  <c r="O22" i="1"/>
  <c r="N22" i="1"/>
  <c r="M22" i="1"/>
  <c r="L22" i="1"/>
  <c r="I22" i="1"/>
  <c r="H22" i="1"/>
  <c r="E22" i="1"/>
  <c r="D22" i="1"/>
  <c r="O21" i="1"/>
  <c r="O23" i="1" s="1"/>
  <c r="N21" i="1"/>
  <c r="N23" i="1" s="1"/>
  <c r="M21" i="1"/>
  <c r="L21" i="1"/>
  <c r="I21" i="1"/>
  <c r="H21" i="1"/>
  <c r="E21" i="1"/>
  <c r="D21" i="1"/>
  <c r="M17" i="1"/>
  <c r="L17" i="1"/>
  <c r="K17" i="1"/>
  <c r="J17" i="1"/>
  <c r="I17" i="1"/>
  <c r="H17" i="1"/>
  <c r="G17" i="1"/>
  <c r="F17" i="1"/>
  <c r="E17" i="1"/>
  <c r="D17" i="1"/>
  <c r="C17" i="1"/>
  <c r="B17" i="1"/>
  <c r="Q16" i="1"/>
  <c r="P16" i="1"/>
  <c r="O16" i="1"/>
  <c r="N16" i="1"/>
  <c r="M16" i="1"/>
  <c r="L16" i="1"/>
  <c r="I16" i="1"/>
  <c r="H16" i="1"/>
  <c r="E16" i="1"/>
  <c r="D16" i="1"/>
  <c r="O15" i="1"/>
  <c r="O17" i="1" s="1"/>
  <c r="N15" i="1"/>
  <c r="N17" i="1" s="1"/>
  <c r="M15" i="1"/>
  <c r="L15" i="1"/>
  <c r="I15" i="1"/>
  <c r="H15" i="1"/>
  <c r="E15" i="1"/>
  <c r="D15" i="1"/>
  <c r="M11" i="1"/>
  <c r="L11" i="1"/>
  <c r="I11" i="1"/>
  <c r="H11" i="1"/>
  <c r="E11" i="1"/>
  <c r="D11" i="1"/>
  <c r="Q10" i="1"/>
  <c r="N10" i="1"/>
  <c r="P10" i="1" s="1"/>
  <c r="M10" i="1"/>
  <c r="L10" i="1"/>
  <c r="I10" i="1"/>
  <c r="H10" i="1"/>
  <c r="E10" i="1"/>
  <c r="D10" i="1"/>
  <c r="N9" i="1"/>
  <c r="N11" i="1" s="1"/>
  <c r="M9" i="1"/>
  <c r="L9" i="1"/>
  <c r="I9" i="1"/>
  <c r="H9" i="1"/>
  <c r="E9" i="1"/>
  <c r="D9" i="1"/>
  <c r="Q5" i="1"/>
  <c r="P5" i="1"/>
  <c r="M5" i="1"/>
  <c r="L5" i="1"/>
  <c r="I5" i="1"/>
  <c r="H5" i="1"/>
  <c r="E5" i="1"/>
  <c r="D5" i="1"/>
  <c r="Q4" i="1"/>
  <c r="P4" i="1"/>
  <c r="M4" i="1"/>
  <c r="L4" i="1"/>
  <c r="I4" i="1"/>
  <c r="H4" i="1"/>
  <c r="E4" i="1"/>
  <c r="D4" i="1"/>
  <c r="Q3" i="1"/>
  <c r="P3" i="1"/>
  <c r="M3" i="1"/>
  <c r="L3" i="1"/>
  <c r="I3" i="1"/>
  <c r="H3" i="1"/>
  <c r="E3" i="1"/>
  <c r="D3" i="1"/>
  <c r="P17" i="1" l="1"/>
  <c r="Q17" i="1"/>
  <c r="Q11" i="1"/>
  <c r="P11" i="1"/>
  <c r="Q23" i="1"/>
  <c r="P23" i="1"/>
  <c r="P9" i="1"/>
  <c r="P15" i="1"/>
  <c r="P21" i="1"/>
  <c r="Q9" i="1"/>
  <c r="Q15" i="1"/>
  <c r="Q21" i="1"/>
  <c r="M29" i="1"/>
  <c r="O29" i="1"/>
  <c r="P28" i="1"/>
  <c r="Q29" i="1" l="1"/>
  <c r="P29" i="1"/>
</calcChain>
</file>

<file path=xl/sharedStrings.xml><?xml version="1.0" encoding="utf-8"?>
<sst xmlns="http://schemas.openxmlformats.org/spreadsheetml/2006/main" count="80" uniqueCount="9">
  <si>
    <t>Region</t>
  </si>
  <si>
    <t>General Ops</t>
  </si>
  <si>
    <t>Support Ops</t>
  </si>
  <si>
    <t>Cadets</t>
  </si>
  <si>
    <t>Total</t>
  </si>
  <si>
    <t>Net Change</t>
  </si>
  <si>
    <t>% Change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</si>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</sst>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indexed="10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3">
    <xf numFmtId="0" fontId="0" fillId="0" borderId="0"/>
    <xf numFmtId="0" fontId="1" fillId="0" borderId="0">
      <alignment vertical="top"/>
    </xf>
    <xf numFmtId="0" fontId="1" fillId="0" borderId="0">
      <alignment vertical="top"/>
    </xf>
  </cellStyleXfs>
  <cellXfs count="74">
    <xf numFmtId="0" fontId="0" fillId="0" borderId="0" xfId="0"/>
    <xf numFmtId="0" fontId="2" fillId="0" borderId="1" xfId="1" applyFont="1" applyBorder="1" applyAlignment="1" applyProtection="1">
      <alignment horizontal="center" vertical="center"/>
      <protection locked="0"/>
    </xf>
    <xf numFmtId="0" fontId="2" fillId="0" borderId="2" xfId="1" applyFont="1" applyBorder="1" applyAlignment="1" applyProtection="1">
      <alignment horizontal="center" vertical="center"/>
      <protection locked="0"/>
    </xf>
    <xf numFmtId="0" fontId="2" fillId="0" borderId="3" xfId="1" applyFont="1" applyBorder="1" applyAlignment="1" applyProtection="1">
      <alignment horizontal="center" vertical="center"/>
      <protection locked="0"/>
    </xf>
    <xf numFmtId="0" fontId="2" fillId="0" borderId="4" xfId="1" applyFont="1" applyBorder="1" applyAlignment="1" applyProtection="1">
      <alignment horizontal="center" vertical="center"/>
      <protection locked="0"/>
    </xf>
    <xf numFmtId="0" fontId="2" fillId="0" borderId="5" xfId="1" applyFont="1" applyBorder="1" applyAlignment="1" applyProtection="1">
      <alignment horizontal="center" vertical="center" wrapText="1"/>
      <protection locked="0"/>
    </xf>
    <xf numFmtId="0" fontId="2" fillId="0" borderId="3" xfId="1" applyFont="1" applyBorder="1" applyAlignment="1" applyProtection="1">
      <alignment horizontal="center" vertical="center" wrapText="1"/>
      <protection locked="0"/>
    </xf>
    <xf numFmtId="0" fontId="2" fillId="0" borderId="4" xfId="1" applyFont="1" applyBorder="1" applyAlignment="1" applyProtection="1">
      <alignment horizontal="center" vertical="center" wrapText="1"/>
      <protection locked="0"/>
    </xf>
    <xf numFmtId="0" fontId="2" fillId="0" borderId="5" xfId="1" applyFont="1" applyBorder="1" applyAlignment="1" applyProtection="1">
      <alignment horizontal="center" vertical="center"/>
      <protection locked="0"/>
    </xf>
    <xf numFmtId="0" fontId="2" fillId="0" borderId="6" xfId="1" applyFont="1" applyBorder="1" applyAlignment="1" applyProtection="1">
      <alignment horizontal="center" vertical="center"/>
      <protection locked="0"/>
    </xf>
    <xf numFmtId="17" fontId="2" fillId="0" borderId="7" xfId="1" applyNumberFormat="1" applyFont="1" applyBorder="1" applyAlignment="1" applyProtection="1">
      <alignment horizontal="center" vertical="center" wrapText="1"/>
      <protection locked="0"/>
    </xf>
    <xf numFmtId="0" fontId="2" fillId="2" borderId="7" xfId="1" applyFont="1" applyFill="1" applyBorder="1" applyAlignment="1" applyProtection="1">
      <alignment horizontal="center" vertical="center" wrapText="1"/>
      <protection locked="0"/>
    </xf>
    <xf numFmtId="0" fontId="2" fillId="3" borderId="7" xfId="1" applyFont="1" applyFill="1" applyBorder="1" applyAlignment="1" applyProtection="1">
      <alignment horizontal="center" vertical="center" wrapText="1"/>
      <protection locked="0"/>
    </xf>
    <xf numFmtId="0" fontId="2" fillId="4" borderId="7" xfId="1" applyFont="1" applyFill="1" applyBorder="1" applyAlignment="1" applyProtection="1">
      <alignment horizontal="center" vertical="center" wrapText="1"/>
      <protection locked="0"/>
    </xf>
    <xf numFmtId="0" fontId="3" fillId="0" borderId="8" xfId="1" applyFont="1" applyBorder="1" applyAlignment="1" applyProtection="1">
      <alignment horizontal="center" vertical="center"/>
      <protection locked="0"/>
    </xf>
    <xf numFmtId="0" fontId="3" fillId="0" borderId="9" xfId="1" applyFont="1" applyBorder="1" applyAlignment="1" applyProtection="1">
      <alignment horizontal="center" vertical="center"/>
      <protection locked="0"/>
    </xf>
    <xf numFmtId="0" fontId="2" fillId="2" borderId="9" xfId="1" applyFont="1" applyFill="1" applyBorder="1" applyAlignment="1" applyProtection="1">
      <alignment horizontal="center" vertical="center"/>
      <protection locked="0"/>
    </xf>
    <xf numFmtId="10" fontId="2" fillId="3" borderId="9" xfId="1" applyNumberFormat="1" applyFont="1" applyFill="1" applyBorder="1" applyAlignment="1" applyProtection="1">
      <alignment horizontal="center" vertical="center"/>
      <protection locked="0"/>
    </xf>
    <xf numFmtId="0" fontId="2" fillId="4" borderId="9" xfId="1" applyFont="1" applyFill="1" applyBorder="1" applyAlignment="1" applyProtection="1">
      <alignment horizontal="center" vertical="center"/>
      <protection locked="0"/>
    </xf>
    <xf numFmtId="0" fontId="3" fillId="0" borderId="10" xfId="1" applyFont="1" applyBorder="1" applyAlignment="1" applyProtection="1">
      <alignment horizontal="center" vertical="center"/>
      <protection locked="0"/>
    </xf>
    <xf numFmtId="0" fontId="2" fillId="4" borderId="11" xfId="1" applyFont="1" applyFill="1" applyBorder="1" applyAlignment="1" applyProtection="1">
      <alignment horizontal="center" vertical="center"/>
      <protection locked="0"/>
    </xf>
    <xf numFmtId="0" fontId="2" fillId="4" borderId="7" xfId="1" applyFont="1" applyFill="1" applyBorder="1" applyAlignment="1" applyProtection="1">
      <alignment horizontal="center" vertical="center"/>
      <protection locked="0"/>
    </xf>
    <xf numFmtId="0" fontId="2" fillId="2" borderId="11" xfId="1" applyFont="1" applyFill="1" applyBorder="1" applyAlignment="1" applyProtection="1">
      <alignment horizontal="center" vertical="center"/>
      <protection locked="0"/>
    </xf>
    <xf numFmtId="0" fontId="2" fillId="2" borderId="7" xfId="1" applyFont="1" applyFill="1" applyBorder="1" applyAlignment="1" applyProtection="1">
      <alignment horizontal="center" vertical="center"/>
      <protection locked="0"/>
    </xf>
    <xf numFmtId="0" fontId="2" fillId="5" borderId="9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17" fontId="2" fillId="0" borderId="7" xfId="0" applyNumberFormat="1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2" fillId="4" borderId="7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 wrapText="1"/>
      <protection locked="0"/>
    </xf>
    <xf numFmtId="0" fontId="2" fillId="3" borderId="7" xfId="0" applyFont="1" applyFill="1" applyBorder="1" applyAlignment="1" applyProtection="1">
      <alignment horizontal="center" vertical="center" wrapText="1"/>
      <protection locked="0"/>
    </xf>
    <xf numFmtId="0" fontId="2" fillId="4" borderId="7" xfId="0" applyFont="1" applyFill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10" fontId="2" fillId="3" borderId="9" xfId="0" applyNumberFormat="1" applyFont="1" applyFill="1" applyBorder="1" applyAlignment="1" applyProtection="1">
      <alignment horizontal="center" vertical="center"/>
      <protection locked="0"/>
    </xf>
    <xf numFmtId="0" fontId="2" fillId="4" borderId="9" xfId="0" applyFont="1" applyFill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center" vertical="center"/>
      <protection locked="0"/>
    </xf>
    <xf numFmtId="0" fontId="2" fillId="4" borderId="11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5" borderId="9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17" fontId="4" fillId="0" borderId="7" xfId="0" applyNumberFormat="1" applyFont="1" applyBorder="1" applyAlignment="1">
      <alignment horizontal="center" vertical="center" wrapText="1"/>
    </xf>
    <xf numFmtId="17" fontId="4" fillId="0" borderId="7" xfId="0" applyNumberFormat="1" applyFont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3" borderId="7" xfId="0" applyFont="1" applyFill="1" applyBorder="1" applyAlignment="1" applyProtection="1">
      <alignment horizontal="center" vertical="center" wrapText="1"/>
      <protection locked="0"/>
    </xf>
    <xf numFmtId="0" fontId="4" fillId="4" borderId="7" xfId="0" applyFont="1" applyFill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>
      <alignment horizontal="center" vertical="center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>
      <alignment horizontal="center" vertical="center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4" fillId="4" borderId="11" xfId="0" applyFont="1" applyFill="1" applyBorder="1" applyAlignment="1" applyProtection="1">
      <alignment horizontal="center" vertical="center"/>
      <protection locked="0"/>
    </xf>
    <xf numFmtId="0" fontId="2" fillId="4" borderId="7" xfId="0" applyFont="1" applyFill="1" applyBorder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9"/>
  <sheetViews>
    <sheetView tabSelected="1" workbookViewId="0">
      <selection activeCell="W20" sqref="W20"/>
    </sheetView>
  </sheetViews>
  <sheetFormatPr defaultRowHeight="15" x14ac:dyDescent="0.25"/>
  <sheetData>
    <row r="1" spans="1:17" ht="15.75" thickBot="1" x14ac:dyDescent="0.3">
      <c r="A1" s="1" t="s">
        <v>0</v>
      </c>
      <c r="B1" s="2" t="s">
        <v>1</v>
      </c>
      <c r="C1" s="3"/>
      <c r="D1" s="3"/>
      <c r="E1" s="4"/>
      <c r="F1" s="5" t="s">
        <v>2</v>
      </c>
      <c r="G1" s="6"/>
      <c r="H1" s="6"/>
      <c r="I1" s="7"/>
      <c r="J1" s="8" t="s">
        <v>3</v>
      </c>
      <c r="K1" s="3"/>
      <c r="L1" s="3"/>
      <c r="M1" s="4"/>
      <c r="N1" s="5" t="s">
        <v>4</v>
      </c>
      <c r="O1" s="6"/>
      <c r="P1" s="6"/>
      <c r="Q1" s="7"/>
    </row>
    <row r="2" spans="1:17" ht="26.25" thickBot="1" x14ac:dyDescent="0.3">
      <c r="A2" s="9"/>
      <c r="B2" s="10">
        <v>42522</v>
      </c>
      <c r="C2" s="10">
        <v>42887</v>
      </c>
      <c r="D2" s="11" t="s">
        <v>5</v>
      </c>
      <c r="E2" s="12" t="s">
        <v>6</v>
      </c>
      <c r="F2" s="10">
        <v>42522</v>
      </c>
      <c r="G2" s="10">
        <v>42887</v>
      </c>
      <c r="H2" s="11" t="s">
        <v>5</v>
      </c>
      <c r="I2" s="12" t="s">
        <v>6</v>
      </c>
      <c r="J2" s="10">
        <v>42522</v>
      </c>
      <c r="K2" s="10">
        <v>42887</v>
      </c>
      <c r="L2" s="11" t="s">
        <v>5</v>
      </c>
      <c r="M2" s="12" t="s">
        <v>6</v>
      </c>
      <c r="N2" s="10">
        <v>42533</v>
      </c>
      <c r="O2" s="10">
        <v>42887</v>
      </c>
      <c r="P2" s="13" t="s">
        <v>5</v>
      </c>
      <c r="Q2" s="12" t="s">
        <v>6</v>
      </c>
    </row>
    <row r="3" spans="1:17" ht="15.75" thickBot="1" x14ac:dyDescent="0.3">
      <c r="A3" s="14" t="s">
        <v>7</v>
      </c>
      <c r="B3" s="15">
        <v>402</v>
      </c>
      <c r="C3" s="15">
        <v>393</v>
      </c>
      <c r="D3" s="16">
        <f>C3-B3</f>
        <v>-9</v>
      </c>
      <c r="E3" s="17">
        <f>SUM(C3-B3)/B3</f>
        <v>-2.2388059701492536E-2</v>
      </c>
      <c r="F3" s="15">
        <v>213</v>
      </c>
      <c r="G3" s="15">
        <v>242</v>
      </c>
      <c r="H3" s="16">
        <f>G3-F3</f>
        <v>29</v>
      </c>
      <c r="I3" s="17">
        <f>SUM(G3-F3)/F3</f>
        <v>0.13615023474178403</v>
      </c>
      <c r="J3" s="15">
        <v>17</v>
      </c>
      <c r="K3" s="15">
        <v>30</v>
      </c>
      <c r="L3" s="16">
        <f>K3-J3</f>
        <v>13</v>
      </c>
      <c r="M3" s="17">
        <f>SUM(K3-J3)/J3</f>
        <v>0.76470588235294112</v>
      </c>
      <c r="N3" s="15">
        <v>632</v>
      </c>
      <c r="O3" s="15">
        <v>665</v>
      </c>
      <c r="P3" s="18">
        <f>O3-N3</f>
        <v>33</v>
      </c>
      <c r="Q3" s="17">
        <f>SUM(O3-N3)/N3</f>
        <v>5.2215189873417722E-2</v>
      </c>
    </row>
    <row r="4" spans="1:17" ht="15.75" thickBot="1" x14ac:dyDescent="0.3">
      <c r="A4" s="19" t="s">
        <v>8</v>
      </c>
      <c r="B4" s="15">
        <v>635</v>
      </c>
      <c r="C4" s="15">
        <v>576</v>
      </c>
      <c r="D4" s="16">
        <f>C4-B4</f>
        <v>-59</v>
      </c>
      <c r="E4" s="17">
        <f>SUM(C4-B4)/B4</f>
        <v>-9.2913385826771652E-2</v>
      </c>
      <c r="F4" s="15">
        <v>281</v>
      </c>
      <c r="G4" s="15">
        <v>239</v>
      </c>
      <c r="H4" s="16">
        <f>G4-F4</f>
        <v>-42</v>
      </c>
      <c r="I4" s="17">
        <f>SUM(G4-F4)/F4</f>
        <v>-0.1494661921708185</v>
      </c>
      <c r="J4" s="15">
        <v>39</v>
      </c>
      <c r="K4" s="15">
        <v>21</v>
      </c>
      <c r="L4" s="16">
        <f>K4-J4</f>
        <v>-18</v>
      </c>
      <c r="M4" s="17">
        <f>SUM(K4-J4)/J4</f>
        <v>-0.46153846153846156</v>
      </c>
      <c r="N4" s="15">
        <v>955</v>
      </c>
      <c r="O4" s="15">
        <v>836</v>
      </c>
      <c r="P4" s="18">
        <f>O4-N4</f>
        <v>-119</v>
      </c>
      <c r="Q4" s="17">
        <f>SUM(O4-N4)/N4</f>
        <v>-0.12460732984293194</v>
      </c>
    </row>
    <row r="5" spans="1:17" ht="15.75" thickBot="1" x14ac:dyDescent="0.3">
      <c r="A5" s="20" t="s">
        <v>4</v>
      </c>
      <c r="B5" s="21">
        <v>1037</v>
      </c>
      <c r="C5" s="21">
        <v>969</v>
      </c>
      <c r="D5" s="22">
        <f>C5-B5</f>
        <v>-68</v>
      </c>
      <c r="E5" s="17">
        <f>SUM(C5-B5)/B5</f>
        <v>-6.5573770491803282E-2</v>
      </c>
      <c r="F5" s="21">
        <v>494</v>
      </c>
      <c r="G5" s="21">
        <v>481</v>
      </c>
      <c r="H5" s="22">
        <f>G5-F5</f>
        <v>-13</v>
      </c>
      <c r="I5" s="17">
        <f>SUM(G5-F5)/F5</f>
        <v>-2.6315789473684209E-2</v>
      </c>
      <c r="J5" s="21">
        <v>56</v>
      </c>
      <c r="K5" s="21">
        <v>51</v>
      </c>
      <c r="L5" s="23">
        <f>K5-J5</f>
        <v>-5</v>
      </c>
      <c r="M5" s="17">
        <f>SUM(K5-J5)/J5</f>
        <v>-8.9285714285714288E-2</v>
      </c>
      <c r="N5" s="24">
        <v>1587</v>
      </c>
      <c r="O5" s="24">
        <v>1501</v>
      </c>
      <c r="P5" s="18">
        <f>O5-N5</f>
        <v>-86</v>
      </c>
      <c r="Q5" s="17">
        <f>SUM(O5-N5)/N5</f>
        <v>-5.4190296156269691E-2</v>
      </c>
    </row>
    <row r="6" spans="1:17" ht="15.75" thickBot="1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</row>
    <row r="7" spans="1:17" ht="15.75" thickBot="1" x14ac:dyDescent="0.3">
      <c r="A7" s="1" t="s">
        <v>0</v>
      </c>
      <c r="B7" s="2" t="s">
        <v>1</v>
      </c>
      <c r="C7" s="3"/>
      <c r="D7" s="3"/>
      <c r="E7" s="4"/>
      <c r="F7" s="5" t="s">
        <v>2</v>
      </c>
      <c r="G7" s="6"/>
      <c r="H7" s="6"/>
      <c r="I7" s="7"/>
      <c r="J7" s="8" t="s">
        <v>3</v>
      </c>
      <c r="K7" s="3"/>
      <c r="L7" s="3"/>
      <c r="M7" s="4"/>
      <c r="N7" s="5" t="s">
        <v>4</v>
      </c>
      <c r="O7" s="6"/>
      <c r="P7" s="6"/>
      <c r="Q7" s="7"/>
    </row>
    <row r="8" spans="1:17" ht="26.25" thickBot="1" x14ac:dyDescent="0.3">
      <c r="A8" s="9"/>
      <c r="B8" s="26">
        <v>42156</v>
      </c>
      <c r="C8" s="10">
        <v>42522</v>
      </c>
      <c r="D8" s="11" t="s">
        <v>5</v>
      </c>
      <c r="E8" s="12" t="s">
        <v>6</v>
      </c>
      <c r="F8" s="26">
        <v>42156</v>
      </c>
      <c r="G8" s="10">
        <v>42522</v>
      </c>
      <c r="H8" s="11" t="s">
        <v>5</v>
      </c>
      <c r="I8" s="12" t="s">
        <v>6</v>
      </c>
      <c r="J8" s="26">
        <v>42156</v>
      </c>
      <c r="K8" s="10">
        <v>42522</v>
      </c>
      <c r="L8" s="11" t="s">
        <v>5</v>
      </c>
      <c r="M8" s="12" t="s">
        <v>6</v>
      </c>
      <c r="N8" s="26">
        <v>42156</v>
      </c>
      <c r="O8" s="10">
        <v>42533</v>
      </c>
      <c r="P8" s="13" t="s">
        <v>5</v>
      </c>
      <c r="Q8" s="12" t="s">
        <v>6</v>
      </c>
    </row>
    <row r="9" spans="1:17" ht="15.75" thickBot="1" x14ac:dyDescent="0.3">
      <c r="A9" s="14" t="s">
        <v>7</v>
      </c>
      <c r="B9" s="27">
        <v>395</v>
      </c>
      <c r="C9" s="15">
        <v>402</v>
      </c>
      <c r="D9" s="16">
        <f>C9-B9</f>
        <v>7</v>
      </c>
      <c r="E9" s="17">
        <f>SUM(C9-B9)/B9</f>
        <v>1.7721518987341773E-2</v>
      </c>
      <c r="F9" s="27">
        <v>201</v>
      </c>
      <c r="G9" s="15">
        <v>213</v>
      </c>
      <c r="H9" s="16">
        <f>G9-F9</f>
        <v>12</v>
      </c>
      <c r="I9" s="17">
        <f>SUM(G9-F9)/F9</f>
        <v>5.9701492537313432E-2</v>
      </c>
      <c r="J9" s="27">
        <v>22</v>
      </c>
      <c r="K9" s="15">
        <v>17</v>
      </c>
      <c r="L9" s="16">
        <f>K9-J9</f>
        <v>-5</v>
      </c>
      <c r="M9" s="17">
        <f>SUM(K9-J9)/J9</f>
        <v>-0.22727272727272727</v>
      </c>
      <c r="N9" s="27">
        <f>J9+F9+B9</f>
        <v>618</v>
      </c>
      <c r="O9" s="15">
        <v>632</v>
      </c>
      <c r="P9" s="18">
        <f>O9-N9</f>
        <v>14</v>
      </c>
      <c r="Q9" s="17">
        <f>SUM(O9-N9)/N9</f>
        <v>2.2653721682847898E-2</v>
      </c>
    </row>
    <row r="10" spans="1:17" ht="15.75" thickBot="1" x14ac:dyDescent="0.3">
      <c r="A10" s="19" t="s">
        <v>8</v>
      </c>
      <c r="B10" s="27">
        <v>678</v>
      </c>
      <c r="C10" s="15">
        <v>635</v>
      </c>
      <c r="D10" s="16">
        <f>C10-B10</f>
        <v>-43</v>
      </c>
      <c r="E10" s="17">
        <f>SUM(C10-B10)/B10</f>
        <v>-6.3421828908554578E-2</v>
      </c>
      <c r="F10" s="27">
        <v>337</v>
      </c>
      <c r="G10" s="15">
        <v>281</v>
      </c>
      <c r="H10" s="16">
        <f>G10-F10</f>
        <v>-56</v>
      </c>
      <c r="I10" s="17">
        <f>SUM(G10-F10)/F10</f>
        <v>-0.16617210682492581</v>
      </c>
      <c r="J10" s="27">
        <v>35</v>
      </c>
      <c r="K10" s="15">
        <v>39</v>
      </c>
      <c r="L10" s="16">
        <f>K10-J10</f>
        <v>4</v>
      </c>
      <c r="M10" s="17">
        <f>SUM(K10-J10)/J10</f>
        <v>0.11428571428571428</v>
      </c>
      <c r="N10" s="27">
        <f>J10+F10+B10</f>
        <v>1050</v>
      </c>
      <c r="O10" s="15">
        <v>955</v>
      </c>
      <c r="P10" s="18">
        <f>O10-N10</f>
        <v>-95</v>
      </c>
      <c r="Q10" s="17">
        <f>SUM(O10-N10)/N10</f>
        <v>-9.0476190476190474E-2</v>
      </c>
    </row>
    <row r="11" spans="1:17" ht="15.75" thickBot="1" x14ac:dyDescent="0.3">
      <c r="A11" s="20" t="s">
        <v>4</v>
      </c>
      <c r="B11" s="28">
        <v>1073</v>
      </c>
      <c r="C11" s="21">
        <v>1037</v>
      </c>
      <c r="D11" s="22">
        <f>C11-B11</f>
        <v>-36</v>
      </c>
      <c r="E11" s="17">
        <f>SUM(C11-B11)/B11</f>
        <v>-3.3550792171481825E-2</v>
      </c>
      <c r="F11" s="28">
        <v>538</v>
      </c>
      <c r="G11" s="21">
        <v>494</v>
      </c>
      <c r="H11" s="22">
        <f>G11-F11</f>
        <v>-44</v>
      </c>
      <c r="I11" s="17">
        <f>SUM(G11-F11)/F11</f>
        <v>-8.1784386617100371E-2</v>
      </c>
      <c r="J11" s="28">
        <v>57</v>
      </c>
      <c r="K11" s="21">
        <v>56</v>
      </c>
      <c r="L11" s="23">
        <f>K11-J11</f>
        <v>-1</v>
      </c>
      <c r="M11" s="17">
        <f>SUM(K11-J11)/J11</f>
        <v>-1.7543859649122806E-2</v>
      </c>
      <c r="N11" s="28">
        <f>N9+N10</f>
        <v>1668</v>
      </c>
      <c r="O11" s="24">
        <v>1587</v>
      </c>
      <c r="P11" s="18">
        <f>O11-N11</f>
        <v>-81</v>
      </c>
      <c r="Q11" s="17">
        <f>SUM(O11-N11)/N11</f>
        <v>-4.8561151079136694E-2</v>
      </c>
    </row>
    <row r="12" spans="1:17" ht="15.75" thickBot="1" x14ac:dyDescent="0.3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</row>
    <row r="13" spans="1:17" ht="15.75" thickBot="1" x14ac:dyDescent="0.3">
      <c r="A13" s="29" t="s">
        <v>0</v>
      </c>
      <c r="B13" s="30" t="s">
        <v>1</v>
      </c>
      <c r="C13" s="31"/>
      <c r="D13" s="31"/>
      <c r="E13" s="32"/>
      <c r="F13" s="33" t="s">
        <v>2</v>
      </c>
      <c r="G13" s="34"/>
      <c r="H13" s="34"/>
      <c r="I13" s="35"/>
      <c r="J13" s="36" t="s">
        <v>3</v>
      </c>
      <c r="K13" s="31"/>
      <c r="L13" s="31"/>
      <c r="M13" s="32"/>
      <c r="N13" s="33" t="s">
        <v>4</v>
      </c>
      <c r="O13" s="34"/>
      <c r="P13" s="34"/>
      <c r="Q13" s="35"/>
    </row>
    <row r="14" spans="1:17" ht="26.25" thickBot="1" x14ac:dyDescent="0.3">
      <c r="A14" s="37"/>
      <c r="B14" s="26">
        <v>41791</v>
      </c>
      <c r="C14" s="26">
        <v>42156</v>
      </c>
      <c r="D14" s="38" t="s">
        <v>5</v>
      </c>
      <c r="E14" s="39" t="s">
        <v>6</v>
      </c>
      <c r="F14" s="26">
        <v>41791</v>
      </c>
      <c r="G14" s="26">
        <v>42156</v>
      </c>
      <c r="H14" s="38" t="s">
        <v>5</v>
      </c>
      <c r="I14" s="39" t="s">
        <v>6</v>
      </c>
      <c r="J14" s="26">
        <v>41791</v>
      </c>
      <c r="K14" s="26">
        <v>42156</v>
      </c>
      <c r="L14" s="38" t="s">
        <v>5</v>
      </c>
      <c r="M14" s="39" t="s">
        <v>6</v>
      </c>
      <c r="N14" s="26">
        <v>41791</v>
      </c>
      <c r="O14" s="26">
        <v>42167</v>
      </c>
      <c r="P14" s="40" t="s">
        <v>5</v>
      </c>
      <c r="Q14" s="39" t="s">
        <v>6</v>
      </c>
    </row>
    <row r="15" spans="1:17" ht="15.75" thickBot="1" x14ac:dyDescent="0.3">
      <c r="A15" s="41" t="s">
        <v>7</v>
      </c>
      <c r="B15" s="42">
        <v>424</v>
      </c>
      <c r="C15" s="27">
        <v>395</v>
      </c>
      <c r="D15" s="43">
        <f>C15-B15</f>
        <v>-29</v>
      </c>
      <c r="E15" s="44">
        <f>(C15-B15)/B15</f>
        <v>-6.8396226415094338E-2</v>
      </c>
      <c r="F15" s="27">
        <v>188</v>
      </c>
      <c r="G15" s="27">
        <v>201</v>
      </c>
      <c r="H15" s="43">
        <f>G15-F15</f>
        <v>13</v>
      </c>
      <c r="I15" s="44">
        <f>(G15-F15)/F15</f>
        <v>6.9148936170212769E-2</v>
      </c>
      <c r="J15" s="27">
        <v>21</v>
      </c>
      <c r="K15" s="27">
        <v>22</v>
      </c>
      <c r="L15" s="43">
        <f>K15-J15</f>
        <v>1</v>
      </c>
      <c r="M15" s="44">
        <f>(K15-J15)/J15</f>
        <v>4.7619047619047616E-2</v>
      </c>
      <c r="N15" s="27">
        <f>J15+F15+B15</f>
        <v>633</v>
      </c>
      <c r="O15" s="27">
        <f>C15+G15+K15</f>
        <v>618</v>
      </c>
      <c r="P15" s="45">
        <f>O15-N15</f>
        <v>-15</v>
      </c>
      <c r="Q15" s="44">
        <f>(O15-N15)/N15</f>
        <v>-2.3696682464454975E-2</v>
      </c>
    </row>
    <row r="16" spans="1:17" ht="15.75" thickBot="1" x14ac:dyDescent="0.3">
      <c r="A16" s="46" t="s">
        <v>8</v>
      </c>
      <c r="B16" s="47">
        <v>649</v>
      </c>
      <c r="C16" s="27">
        <v>678</v>
      </c>
      <c r="D16" s="43">
        <f>C16-B16</f>
        <v>29</v>
      </c>
      <c r="E16" s="44">
        <f>(C16-B16)/B16</f>
        <v>4.4684129429892139E-2</v>
      </c>
      <c r="F16" s="27">
        <v>389</v>
      </c>
      <c r="G16" s="27">
        <v>337</v>
      </c>
      <c r="H16" s="43">
        <f>G16-F16</f>
        <v>-52</v>
      </c>
      <c r="I16" s="44">
        <f>(G16-F16)/F16</f>
        <v>-0.13367609254498714</v>
      </c>
      <c r="J16" s="27">
        <v>39</v>
      </c>
      <c r="K16" s="27">
        <v>35</v>
      </c>
      <c r="L16" s="43">
        <f>K16-J16</f>
        <v>-4</v>
      </c>
      <c r="M16" s="44">
        <f>(K16-J16)/J16</f>
        <v>-0.10256410256410256</v>
      </c>
      <c r="N16" s="27">
        <f>J16+F16+B16</f>
        <v>1077</v>
      </c>
      <c r="O16" s="27">
        <f>C16+G16+K16</f>
        <v>1050</v>
      </c>
      <c r="P16" s="45">
        <f>O16-N16</f>
        <v>-27</v>
      </c>
      <c r="Q16" s="44">
        <f>(O16-N16)/N16</f>
        <v>-2.5069637883008356E-2</v>
      </c>
    </row>
    <row r="17" spans="1:17" ht="15.75" thickBot="1" x14ac:dyDescent="0.3">
      <c r="A17" s="48" t="s">
        <v>4</v>
      </c>
      <c r="B17" s="28">
        <f>SUM(B15:B16)</f>
        <v>1073</v>
      </c>
      <c r="C17" s="28">
        <f>SUM(C15:C16)</f>
        <v>1073</v>
      </c>
      <c r="D17" s="49">
        <f>C17-B17</f>
        <v>0</v>
      </c>
      <c r="E17" s="44">
        <f>(C17-B17)/B17</f>
        <v>0</v>
      </c>
      <c r="F17" s="28">
        <f>SUM(F15:F16)</f>
        <v>577</v>
      </c>
      <c r="G17" s="28">
        <f>SUM(G15:G16)</f>
        <v>538</v>
      </c>
      <c r="H17" s="49">
        <f>G17-F17</f>
        <v>-39</v>
      </c>
      <c r="I17" s="44">
        <f>(G17-F17)/F17</f>
        <v>-6.7590987868284227E-2</v>
      </c>
      <c r="J17" s="28">
        <f>SUM(J15:J16)</f>
        <v>60</v>
      </c>
      <c r="K17" s="28">
        <f>SUM(K15:K16)</f>
        <v>57</v>
      </c>
      <c r="L17" s="50">
        <f>K17-J17</f>
        <v>-3</v>
      </c>
      <c r="M17" s="44">
        <f>(K17-J17)/J17</f>
        <v>-0.05</v>
      </c>
      <c r="N17" s="28">
        <f>N15+N16</f>
        <v>1710</v>
      </c>
      <c r="O17" s="51">
        <f>O15+O16</f>
        <v>1668</v>
      </c>
      <c r="P17" s="45">
        <f>O17-N17</f>
        <v>-42</v>
      </c>
      <c r="Q17" s="44">
        <f>(O17-N17)/N17</f>
        <v>-2.456140350877193E-2</v>
      </c>
    </row>
    <row r="18" spans="1:17" ht="15.75" thickBot="1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</row>
    <row r="19" spans="1:17" ht="15.75" thickBot="1" x14ac:dyDescent="0.3">
      <c r="A19" s="29" t="s">
        <v>0</v>
      </c>
      <c r="B19" s="30" t="s">
        <v>1</v>
      </c>
      <c r="C19" s="31"/>
      <c r="D19" s="31"/>
      <c r="E19" s="32"/>
      <c r="F19" s="33" t="s">
        <v>2</v>
      </c>
      <c r="G19" s="34"/>
      <c r="H19" s="34"/>
      <c r="I19" s="35"/>
      <c r="J19" s="36" t="s">
        <v>3</v>
      </c>
      <c r="K19" s="31"/>
      <c r="L19" s="31"/>
      <c r="M19" s="32"/>
      <c r="N19" s="33" t="s">
        <v>4</v>
      </c>
      <c r="O19" s="34"/>
      <c r="P19" s="34"/>
      <c r="Q19" s="35"/>
    </row>
    <row r="20" spans="1:17" ht="26.25" thickBot="1" x14ac:dyDescent="0.3">
      <c r="A20" s="37"/>
      <c r="B20" s="26">
        <v>41426</v>
      </c>
      <c r="C20" s="26">
        <v>41791</v>
      </c>
      <c r="D20" s="38" t="s">
        <v>5</v>
      </c>
      <c r="E20" s="39" t="s">
        <v>6</v>
      </c>
      <c r="F20" s="26">
        <v>41426</v>
      </c>
      <c r="G20" s="26">
        <v>41791</v>
      </c>
      <c r="H20" s="38" t="s">
        <v>5</v>
      </c>
      <c r="I20" s="39" t="s">
        <v>6</v>
      </c>
      <c r="J20" s="26">
        <v>41426</v>
      </c>
      <c r="K20" s="26">
        <v>41791</v>
      </c>
      <c r="L20" s="38" t="s">
        <v>5</v>
      </c>
      <c r="M20" s="39" t="s">
        <v>6</v>
      </c>
      <c r="N20" s="26">
        <v>41426</v>
      </c>
      <c r="O20" s="26">
        <v>41791</v>
      </c>
      <c r="P20" s="40" t="s">
        <v>5</v>
      </c>
      <c r="Q20" s="39" t="s">
        <v>6</v>
      </c>
    </row>
    <row r="21" spans="1:17" ht="15.75" thickBot="1" x14ac:dyDescent="0.3">
      <c r="A21" s="41" t="s">
        <v>7</v>
      </c>
      <c r="B21" s="42">
        <v>425</v>
      </c>
      <c r="C21" s="27">
        <v>424</v>
      </c>
      <c r="D21" s="43">
        <f>C21-B21</f>
        <v>-1</v>
      </c>
      <c r="E21" s="44">
        <f>(C21-B21)/B21</f>
        <v>-2.352941176470588E-3</v>
      </c>
      <c r="F21" s="42">
        <v>214</v>
      </c>
      <c r="G21" s="27">
        <v>188</v>
      </c>
      <c r="H21" s="43">
        <f>G21-F21</f>
        <v>-26</v>
      </c>
      <c r="I21" s="44">
        <f>(G21-F21)/F21</f>
        <v>-0.12149532710280374</v>
      </c>
      <c r="J21" s="42">
        <v>22</v>
      </c>
      <c r="K21" s="27">
        <v>21</v>
      </c>
      <c r="L21" s="43">
        <f>K21-J21</f>
        <v>-1</v>
      </c>
      <c r="M21" s="44">
        <f>(K21-J21)/J21</f>
        <v>-4.5454545454545456E-2</v>
      </c>
      <c r="N21" s="42">
        <f>SUM(B21,F21,J21)</f>
        <v>661</v>
      </c>
      <c r="O21" s="27">
        <f>C21+G21+K21</f>
        <v>633</v>
      </c>
      <c r="P21" s="45">
        <f>O21-N21</f>
        <v>-28</v>
      </c>
      <c r="Q21" s="44">
        <f>(O21-N21)/N21</f>
        <v>-4.2360060514372161E-2</v>
      </c>
    </row>
    <row r="22" spans="1:17" ht="15.75" thickBot="1" x14ac:dyDescent="0.3">
      <c r="A22" s="46" t="s">
        <v>8</v>
      </c>
      <c r="B22" s="47">
        <v>643</v>
      </c>
      <c r="C22" s="27">
        <v>649</v>
      </c>
      <c r="D22" s="43">
        <f>C22-B22</f>
        <v>6</v>
      </c>
      <c r="E22" s="44">
        <f>(C22-B22)/B22</f>
        <v>9.3312597200622092E-3</v>
      </c>
      <c r="F22" s="47">
        <v>341</v>
      </c>
      <c r="G22" s="27">
        <v>389</v>
      </c>
      <c r="H22" s="43">
        <f>G22-F22</f>
        <v>48</v>
      </c>
      <c r="I22" s="44">
        <f>(G22-F22)/F22</f>
        <v>0.14076246334310852</v>
      </c>
      <c r="J22" s="47">
        <v>35</v>
      </c>
      <c r="K22" s="27">
        <v>39</v>
      </c>
      <c r="L22" s="43">
        <f>K22-J22</f>
        <v>4</v>
      </c>
      <c r="M22" s="44">
        <f>(K22-J22)/J22</f>
        <v>0.11428571428571428</v>
      </c>
      <c r="N22" s="47">
        <f>SUM(B22,F22,J22)</f>
        <v>1019</v>
      </c>
      <c r="O22" s="27">
        <f>C22+G22+K22</f>
        <v>1077</v>
      </c>
      <c r="P22" s="45">
        <f>O22-N22</f>
        <v>58</v>
      </c>
      <c r="Q22" s="44">
        <f>(O22-N22)/N22</f>
        <v>5.6918547595682038E-2</v>
      </c>
    </row>
    <row r="23" spans="1:17" ht="15.75" thickBot="1" x14ac:dyDescent="0.3">
      <c r="A23" s="48" t="s">
        <v>4</v>
      </c>
      <c r="B23" s="28">
        <f>SUM(B21:B22)</f>
        <v>1068</v>
      </c>
      <c r="C23" s="28">
        <f>SUM(C21:C22)</f>
        <v>1073</v>
      </c>
      <c r="D23" s="49">
        <f>C23-B23</f>
        <v>5</v>
      </c>
      <c r="E23" s="44">
        <f>(C23-B23)/B23</f>
        <v>4.6816479400749065E-3</v>
      </c>
      <c r="F23" s="28">
        <f>SUM(F21:F22)</f>
        <v>555</v>
      </c>
      <c r="G23" s="28">
        <f>SUM(G21:G22)</f>
        <v>577</v>
      </c>
      <c r="H23" s="49">
        <f>G23-F23</f>
        <v>22</v>
      </c>
      <c r="I23" s="44">
        <f>(G23-F23)/F23</f>
        <v>3.9639639639639637E-2</v>
      </c>
      <c r="J23" s="28">
        <f>SUM(J21:J22)</f>
        <v>57</v>
      </c>
      <c r="K23" s="28">
        <f>SUM(K21:K22)</f>
        <v>60</v>
      </c>
      <c r="L23" s="50">
        <f>K23-J23</f>
        <v>3</v>
      </c>
      <c r="M23" s="44">
        <f>(K23-J23)/J23</f>
        <v>5.2631578947368418E-2</v>
      </c>
      <c r="N23" s="28">
        <f>SUM(N21:N22)</f>
        <v>1680</v>
      </c>
      <c r="O23" s="51">
        <f>O21+O22</f>
        <v>1710</v>
      </c>
      <c r="P23" s="45">
        <f>O23-N23</f>
        <v>30</v>
      </c>
      <c r="Q23" s="44">
        <f>(O23-N23)/N23</f>
        <v>1.7857142857142856E-2</v>
      </c>
    </row>
    <row r="24" spans="1:17" ht="15.75" thickBot="1" x14ac:dyDescent="0.3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</row>
    <row r="25" spans="1:17" ht="15.75" thickBot="1" x14ac:dyDescent="0.3">
      <c r="A25" s="53" t="s">
        <v>0</v>
      </c>
      <c r="B25" s="54" t="s">
        <v>1</v>
      </c>
      <c r="C25" s="55"/>
      <c r="D25" s="55"/>
      <c r="E25" s="56"/>
      <c r="F25" s="57" t="s">
        <v>2</v>
      </c>
      <c r="G25" s="58"/>
      <c r="H25" s="58"/>
      <c r="I25" s="59"/>
      <c r="J25" s="60" t="s">
        <v>3</v>
      </c>
      <c r="K25" s="55"/>
      <c r="L25" s="55"/>
      <c r="M25" s="56"/>
      <c r="N25" s="57" t="s">
        <v>4</v>
      </c>
      <c r="O25" s="58"/>
      <c r="P25" s="58"/>
      <c r="Q25" s="59"/>
    </row>
    <row r="26" spans="1:17" ht="26.25" thickBot="1" x14ac:dyDescent="0.3">
      <c r="A26" s="61"/>
      <c r="B26" s="62">
        <v>41061</v>
      </c>
      <c r="C26" s="63">
        <v>41426</v>
      </c>
      <c r="D26" s="64" t="s">
        <v>5</v>
      </c>
      <c r="E26" s="65" t="s">
        <v>6</v>
      </c>
      <c r="F26" s="62">
        <v>41061</v>
      </c>
      <c r="G26" s="63">
        <v>41426</v>
      </c>
      <c r="H26" s="64" t="s">
        <v>5</v>
      </c>
      <c r="I26" s="65" t="s">
        <v>6</v>
      </c>
      <c r="J26" s="62">
        <v>41061</v>
      </c>
      <c r="K26" s="63">
        <v>41426</v>
      </c>
      <c r="L26" s="64" t="s">
        <v>5</v>
      </c>
      <c r="M26" s="65" t="s">
        <v>6</v>
      </c>
      <c r="N26" s="62">
        <v>41061</v>
      </c>
      <c r="O26" s="63">
        <v>41426</v>
      </c>
      <c r="P26" s="66" t="s">
        <v>5</v>
      </c>
      <c r="Q26" s="65" t="s">
        <v>6</v>
      </c>
    </row>
    <row r="27" spans="1:17" ht="15.75" thickBot="1" x14ac:dyDescent="0.3">
      <c r="A27" s="41" t="s">
        <v>7</v>
      </c>
      <c r="B27" s="67">
        <v>443</v>
      </c>
      <c r="C27" s="42">
        <v>425</v>
      </c>
      <c r="D27" s="43">
        <f>C27-B27</f>
        <v>-18</v>
      </c>
      <c r="E27" s="44">
        <f>(C27-B27)/B27</f>
        <v>-4.0632054176072234E-2</v>
      </c>
      <c r="F27" s="67">
        <v>183</v>
      </c>
      <c r="G27" s="42">
        <v>214</v>
      </c>
      <c r="H27" s="43">
        <f>G27-F27</f>
        <v>31</v>
      </c>
      <c r="I27" s="44">
        <f>(G27-F27)/F27</f>
        <v>0.16939890710382513</v>
      </c>
      <c r="J27" s="67">
        <v>31</v>
      </c>
      <c r="K27" s="42">
        <v>22</v>
      </c>
      <c r="L27" s="68">
        <v>-9</v>
      </c>
      <c r="M27" s="44">
        <f>(K27-J27)/J27</f>
        <v>-0.29032258064516131</v>
      </c>
      <c r="N27" s="67">
        <v>657</v>
      </c>
      <c r="O27" s="27">
        <f>SUM(C27,G27,K27)</f>
        <v>661</v>
      </c>
      <c r="P27" s="45">
        <f>O27-N27</f>
        <v>4</v>
      </c>
      <c r="Q27" s="44">
        <f>(O27-N27)/N27</f>
        <v>6.0882800608828003E-3</v>
      </c>
    </row>
    <row r="28" spans="1:17" ht="15.75" thickBot="1" x14ac:dyDescent="0.3">
      <c r="A28" s="69" t="s">
        <v>8</v>
      </c>
      <c r="B28" s="70">
        <v>679</v>
      </c>
      <c r="C28" s="47">
        <v>643</v>
      </c>
      <c r="D28" s="43">
        <f>C28-B28</f>
        <v>-36</v>
      </c>
      <c r="E28" s="44">
        <f>(C28-B28)/B28</f>
        <v>-5.3019145802650956E-2</v>
      </c>
      <c r="F28" s="70">
        <v>316</v>
      </c>
      <c r="G28" s="47">
        <v>341</v>
      </c>
      <c r="H28" s="43">
        <f>G28-F28</f>
        <v>25</v>
      </c>
      <c r="I28" s="44">
        <f>(G28-F28)/F28</f>
        <v>7.9113924050632917E-2</v>
      </c>
      <c r="J28" s="70">
        <v>22</v>
      </c>
      <c r="K28" s="47">
        <v>35</v>
      </c>
      <c r="L28" s="71">
        <f>K28-J28</f>
        <v>13</v>
      </c>
      <c r="M28" s="44">
        <f>(K28-J28)/J28</f>
        <v>0.59090909090909094</v>
      </c>
      <c r="N28" s="70">
        <v>1017</v>
      </c>
      <c r="O28" s="27">
        <f>SUM(C28,G28,K28)</f>
        <v>1019</v>
      </c>
      <c r="P28" s="45">
        <f>O28-N28</f>
        <v>2</v>
      </c>
      <c r="Q28" s="44">
        <f>(O28-N28)/N28</f>
        <v>1.9665683382497543E-3</v>
      </c>
    </row>
    <row r="29" spans="1:17" ht="15.75" thickBot="1" x14ac:dyDescent="0.3">
      <c r="A29" s="72" t="s">
        <v>4</v>
      </c>
      <c r="B29" s="73">
        <v>1122</v>
      </c>
      <c r="C29" s="28">
        <f>SUM(C27:C28)</f>
        <v>1068</v>
      </c>
      <c r="D29" s="43">
        <f>C29-B29</f>
        <v>-54</v>
      </c>
      <c r="E29" s="44">
        <f>(C29-B29)/B29</f>
        <v>-4.8128342245989303E-2</v>
      </c>
      <c r="F29" s="73">
        <v>499</v>
      </c>
      <c r="G29" s="28">
        <f>SUM(G27:G28)</f>
        <v>555</v>
      </c>
      <c r="H29" s="43">
        <f>G29-F29</f>
        <v>56</v>
      </c>
      <c r="I29" s="44">
        <f>(G29-F29)/F29</f>
        <v>0.11222444889779559</v>
      </c>
      <c r="J29" s="73">
        <v>53</v>
      </c>
      <c r="K29" s="28">
        <f>SUM(K27:K28)</f>
        <v>57</v>
      </c>
      <c r="L29" s="71">
        <f>K29-J29</f>
        <v>4</v>
      </c>
      <c r="M29" s="44">
        <f>(K29-J29)/J29</f>
        <v>7.5471698113207544E-2</v>
      </c>
      <c r="N29" s="73">
        <v>1674</v>
      </c>
      <c r="O29" s="51">
        <f>SUM(C29,G29,K29)</f>
        <v>1680</v>
      </c>
      <c r="P29" s="45">
        <f>O29-N29</f>
        <v>6</v>
      </c>
      <c r="Q29" s="44">
        <f>(O29-N29)/N29</f>
        <v>3.5842293906810036E-3</v>
      </c>
    </row>
  </sheetData>
  <mergeCells count="25">
    <mergeCell ref="A25:A26"/>
    <mergeCell ref="B25:E25"/>
    <mergeCell ref="F25:I25"/>
    <mergeCell ref="J25:M25"/>
    <mergeCell ref="N25:Q25"/>
    <mergeCell ref="A13:A14"/>
    <mergeCell ref="B13:E13"/>
    <mergeCell ref="F13:I13"/>
    <mergeCell ref="J13:M13"/>
    <mergeCell ref="N13:Q13"/>
    <mergeCell ref="A19:A20"/>
    <mergeCell ref="B19:E19"/>
    <mergeCell ref="F19:I19"/>
    <mergeCell ref="J19:M19"/>
    <mergeCell ref="N19:Q19"/>
    <mergeCell ref="A1:A2"/>
    <mergeCell ref="B1:E1"/>
    <mergeCell ref="F1:I1"/>
    <mergeCell ref="J1:M1"/>
    <mergeCell ref="N1:Q1"/>
    <mergeCell ref="A7:A8"/>
    <mergeCell ref="B7:E7"/>
    <mergeCell ref="F7:I7"/>
    <mergeCell ref="J7:M7"/>
    <mergeCell ref="N7:Q7"/>
  </mergeCells>
  <pageMargins left="0.7" right="0.7" top="0.75" bottom="0.75" header="0.3" footer="0.3"/>
  <pageSetup paperSize="9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 Vol #s</vt:lpstr>
    </vt:vector>
  </TitlesOfParts>
  <Company>ESO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Branka McIntyre</dc:creator>
  <cp:lastModifiedBy>Branka McIntyre</cp:lastModifiedBy>
  <dcterms:created xsi:type="dcterms:W3CDTF">2017-11-16T22:39:29Z</dcterms:created>
  <dcterms:modified xsi:type="dcterms:W3CDTF">2017-11-16T22:39:49Z</dcterms:modified>
</cp:coreProperties>
</file>