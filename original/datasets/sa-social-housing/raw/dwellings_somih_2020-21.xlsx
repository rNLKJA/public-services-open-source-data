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Published/"/>
    </mc:Choice>
  </mc:AlternateContent>
  <xr:revisionPtr revIDLastSave="13" documentId="8_{5F848FA1-60DF-4849-9B54-9F2820261701}" xr6:coauthVersionLast="47" xr6:coauthVersionMax="47" xr10:uidLastSave="{D0BEAD4E-F8FA-48F0-B32A-6F1E94CF2AA2}"/>
  <bookViews>
    <workbookView xWindow="29700" yWindow="195" windowWidth="26505" windowHeight="16620" xr2:uid="{50B5CC01-4497-40EB-95D2-DA37F46CE627}"/>
  </bookViews>
  <sheets>
    <sheet name="Table - SOMIH dwellings" sheetId="1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6" i="1" l="1"/>
  <c r="M76" i="1"/>
  <c r="L76" i="1"/>
  <c r="K76" i="1"/>
  <c r="J76" i="1"/>
  <c r="I76" i="1"/>
  <c r="F76" i="1"/>
  <c r="E76" i="1"/>
  <c r="D76" i="1"/>
  <c r="B76" i="1"/>
  <c r="G75" i="1"/>
  <c r="C75" i="1"/>
</calcChain>
</file>

<file path=xl/sharedStrings.xml><?xml version="1.0" encoding="utf-8"?>
<sst xmlns="http://schemas.openxmlformats.org/spreadsheetml/2006/main" count="170" uniqueCount="89">
  <si>
    <t>Dwellings, at 30 June 2021 - State Owned and Managed Indigenous Housing</t>
  </si>
  <si>
    <t>Data as at 30/6/2021</t>
  </si>
  <si>
    <t>Notes:</t>
  </si>
  <si>
    <t>1. Counts are not provided where Local Government Areas (LGAs) have one to three dwellings in total, all counts for the LGA are replaced with "n.p."</t>
  </si>
  <si>
    <t>2. Counts have been rounded to the nearest multiple of 5</t>
  </si>
  <si>
    <t xml:space="preserve">3. Counts within rows and columns may not sum to their reported total due to rounding </t>
  </si>
  <si>
    <t>Source: South Australia's contribution to Public Housing and State Owned and Managed Indigenous Housing data collection, SA Housing Authority</t>
  </si>
  <si>
    <t>Characteristics of State Owned and Managed Indigenous Housing Dwellings, as at 30 June 2021</t>
  </si>
  <si>
    <t>Number of bedrooms in dwelling</t>
  </si>
  <si>
    <t>Dwelling type</t>
  </si>
  <si>
    <t>Local Government Area</t>
  </si>
  <si>
    <t>Number of Dwellings</t>
  </si>
  <si>
    <t>Rate per 10,000 of all residential dwellings</t>
  </si>
  <si>
    <t>Tenantable Dwellings</t>
  </si>
  <si>
    <t>Untenantable Dwellings or undergoing major redevelopment</t>
  </si>
  <si>
    <t>Number of Occupied Dwellings</t>
  </si>
  <si>
    <t>% of Tenantable dwellings that are Occupied</t>
  </si>
  <si>
    <t>Average market rent of dwelling, 30 June</t>
  </si>
  <si>
    <t>1 or 2 bedrooms</t>
  </si>
  <si>
    <t>3 bedrooms</t>
  </si>
  <si>
    <t>4 or more bedrooms</t>
  </si>
  <si>
    <t>Separate houses</t>
  </si>
  <si>
    <t>Semi-detached</t>
  </si>
  <si>
    <t>Flat, unit or apartment</t>
  </si>
  <si>
    <t>Adelaide Hills Council</t>
  </si>
  <si>
    <t/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</si>
  <si>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</si>
  <si>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</si>
  <si>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</si>
  <si>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</si>
  <si>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</si>
  <si>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</si>
  <si>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</si>
  <si>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n.p.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</si>
  <si>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</si>
  <si>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</si>
  <si>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</si>
  <si>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</si>
  <si>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</si>
  <si>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</si>
  <si>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</si>
  <si>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</si>
  <si>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</si>
  <si>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</si>
  <si>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</si>
  <si>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</si>
  <si>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</si>
  <si>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</si>
  <si>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</si>
  <si>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</si>
  <si>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</si>
  <si>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</si>
  <si>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</si>
  <si>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</si>
  <si>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</si>
  <si>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</si>
  <si>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</si>
  <si>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</si>
  <si>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</si>
  <si>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</si>
  <si>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</si>
  <si>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</si>
  <si>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</si>
  <si>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</si>
  <si>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</si>
  <si>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</si>
  <si>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</si>
  <si>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</si>
  <si>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</si>
  <si>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</si>
  <si>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</si>
  <si>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</si>
  <si>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</si>
  <si>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</si>
  <si>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</si>
  <si>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</si>
  <si>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</si>
  <si>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</si>
  <si>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</si>
  <si>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</si>
  <si>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</si>
  <si>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</si>
  <si>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</si>
  <si>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</si>
  <si>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</si>
  <si>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</si>
  <si>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</si>
  <si>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Total - dwellings</t>
  </si>
  <si>
    <t>% Total - dwellings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</si>
</sst>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/>
      <name val="Arial"/>
      <family val="2"/>
    </font>
    <font>
      <sz val="10"/>
      <color theme="1" tint="0.34998626667073579"/>
      <name val="Arial"/>
      <family val="2"/>
    </font>
    <font>
      <sz val="10"/>
      <color theme="1" tint="0.34998626667073579"/>
      <name val="Calibri"/>
      <family val="2"/>
      <scheme val="minor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9" fillId="2" borderId="4" xfId="1" applyFont="1" applyFill="1" applyBorder="1" applyAlignment="1">
      <alignment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1" fontId="10" fillId="0" borderId="0" xfId="0" applyNumberFormat="1" applyFont="1"/>
    <xf numFmtId="9" fontId="10" fillId="0" borderId="0" xfId="0" applyNumberFormat="1" applyFont="1"/>
    <xf numFmtId="164" fontId="10" fillId="0" borderId="0" xfId="0" applyNumberFormat="1" applyFont="1"/>
    <xf numFmtId="9" fontId="7" fillId="0" borderId="0" xfId="0" applyNumberFormat="1" applyFont="1"/>
    <xf numFmtId="0" fontId="9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3 2" xfId="1" xr:uid="{63D918B4-75A9-4440-9F37-50693F3FB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C5BF-E8B6-4C8D-8C83-77CCB9A20760}">
  <sheetPr>
    <tabColor theme="9" tint="0.79998168889431442"/>
    <pageSetUpPr fitToPage="1"/>
  </sheetPr>
  <dimension ref="A1:N76"/>
  <sheetViews>
    <sheetView tabSelected="1" workbookViewId="0">
      <pane ySplit="13" topLeftCell="A14" activePane="bottomLeft" state="frozen"/>
      <selection activeCell="A35" sqref="A35"/>
      <selection pane="bottomLeft" activeCell="E24" sqref="E24"/>
    </sheetView>
  </sheetViews>
  <sheetFormatPr defaultRowHeight="15" x14ac:dyDescent="0.25"/>
  <cols>
    <col min="1" max="1" width="38.140625" bestFit="1" customWidth="1"/>
    <col min="2" max="14" width="15.7109375" customWidth="1"/>
  </cols>
  <sheetData>
    <row r="1" spans="1:14" ht="20.25" x14ac:dyDescent="0.25">
      <c r="A1" s="1" t="s">
        <v>0</v>
      </c>
    </row>
    <row r="2" spans="1:14" x14ac:dyDescent="0.25">
      <c r="A2" s="2" t="s">
        <v>1</v>
      </c>
    </row>
    <row r="3" spans="1:14" x14ac:dyDescent="0.25">
      <c r="A3" s="3"/>
    </row>
    <row r="4" spans="1:14" s="5" customFormat="1" ht="12.75" x14ac:dyDescent="0.2">
      <c r="A4" s="4" t="s">
        <v>2</v>
      </c>
    </row>
    <row r="5" spans="1:14" s="5" customFormat="1" ht="12.75" x14ac:dyDescent="0.2">
      <c r="A5" s="4" t="s">
        <v>3</v>
      </c>
    </row>
    <row r="6" spans="1:14" s="5" customFormat="1" ht="12.75" x14ac:dyDescent="0.2">
      <c r="A6" s="4" t="s">
        <v>4</v>
      </c>
    </row>
    <row r="7" spans="1:14" s="5" customFormat="1" ht="12.75" x14ac:dyDescent="0.2">
      <c r="A7" s="4" t="s">
        <v>5</v>
      </c>
    </row>
    <row r="8" spans="1:14" s="5" customFormat="1" ht="12.75" x14ac:dyDescent="0.2">
      <c r="A8" s="4"/>
    </row>
    <row r="9" spans="1:14" s="5" customFormat="1" ht="12.75" x14ac:dyDescent="0.2">
      <c r="A9" s="6" t="s">
        <v>6</v>
      </c>
    </row>
    <row r="11" spans="1:14" x14ac:dyDescent="0.25">
      <c r="A11" s="7" t="s">
        <v>7</v>
      </c>
    </row>
    <row r="12" spans="1:14" x14ac:dyDescent="0.25">
      <c r="B12" s="8"/>
      <c r="C12" s="8"/>
      <c r="D12" s="8"/>
      <c r="E12" s="8"/>
      <c r="F12" s="8"/>
      <c r="G12" s="8"/>
      <c r="H12" s="8"/>
      <c r="I12" s="22" t="s">
        <v>8</v>
      </c>
      <c r="J12" s="23"/>
      <c r="K12" s="24"/>
      <c r="L12" s="22" t="s">
        <v>9</v>
      </c>
      <c r="M12" s="23"/>
      <c r="N12" s="24"/>
    </row>
    <row r="13" spans="1:14" ht="71.25" x14ac:dyDescent="0.25">
      <c r="A13" s="9" t="s">
        <v>10</v>
      </c>
      <c r="B13" s="10" t="s">
        <v>11</v>
      </c>
      <c r="C13" s="11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  <c r="M13" s="10" t="s">
        <v>22</v>
      </c>
      <c r="N13" s="10" t="s">
        <v>23</v>
      </c>
    </row>
    <row r="14" spans="1:14" x14ac:dyDescent="0.25">
      <c r="A14" s="8" t="s">
        <v>24</v>
      </c>
      <c r="B14" s="12">
        <v>0</v>
      </c>
      <c r="C14" s="13">
        <v>0</v>
      </c>
      <c r="D14" s="12">
        <v>0</v>
      </c>
      <c r="E14" s="12">
        <v>0</v>
      </c>
      <c r="F14" s="12">
        <v>0</v>
      </c>
      <c r="G14" s="14" t="s">
        <v>25</v>
      </c>
      <c r="H14" s="15" t="s">
        <v>25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</row>
    <row r="15" spans="1:14" x14ac:dyDescent="0.25">
      <c r="A15" s="8" t="s">
        <v>26</v>
      </c>
      <c r="B15" s="12">
        <v>0</v>
      </c>
      <c r="C15" s="13">
        <v>0</v>
      </c>
      <c r="D15" s="12">
        <v>0</v>
      </c>
      <c r="E15" s="12">
        <v>0</v>
      </c>
      <c r="F15" s="12">
        <v>0</v>
      </c>
      <c r="G15" s="14" t="s">
        <v>25</v>
      </c>
      <c r="H15" s="15" t="s">
        <v>25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</row>
    <row r="16" spans="1:14" x14ac:dyDescent="0.25">
      <c r="A16" s="8" t="s">
        <v>27</v>
      </c>
      <c r="B16" s="12">
        <v>0</v>
      </c>
      <c r="C16" s="13">
        <v>0</v>
      </c>
      <c r="D16" s="12">
        <v>0</v>
      </c>
      <c r="E16" s="12">
        <v>0</v>
      </c>
      <c r="F16" s="12">
        <v>0</v>
      </c>
      <c r="G16" s="14" t="s">
        <v>25</v>
      </c>
      <c r="H16" s="15" t="s">
        <v>25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</row>
    <row r="17" spans="1:14" x14ac:dyDescent="0.25">
      <c r="A17" s="8" t="s">
        <v>28</v>
      </c>
      <c r="B17" s="12">
        <v>0</v>
      </c>
      <c r="C17" s="13">
        <v>0</v>
      </c>
      <c r="D17" s="12">
        <v>0</v>
      </c>
      <c r="E17" s="12">
        <v>0</v>
      </c>
      <c r="F17" s="12">
        <v>0</v>
      </c>
      <c r="G17" s="14" t="s">
        <v>25</v>
      </c>
      <c r="H17" s="15" t="s">
        <v>25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</row>
    <row r="18" spans="1:14" x14ac:dyDescent="0.25">
      <c r="A18" s="8" t="s">
        <v>29</v>
      </c>
      <c r="B18" s="12">
        <v>25</v>
      </c>
      <c r="C18" s="13">
        <v>48.973848308425744</v>
      </c>
      <c r="D18" s="12">
        <v>25</v>
      </c>
      <c r="E18" s="12">
        <v>0</v>
      </c>
      <c r="F18" s="12">
        <v>25</v>
      </c>
      <c r="G18" s="14">
        <v>1</v>
      </c>
      <c r="H18" s="15">
        <v>211.04</v>
      </c>
      <c r="I18" s="12">
        <v>0</v>
      </c>
      <c r="J18" s="12">
        <v>20</v>
      </c>
      <c r="K18" s="12">
        <v>5</v>
      </c>
      <c r="L18" s="12">
        <v>25</v>
      </c>
      <c r="M18" s="12">
        <v>0</v>
      </c>
      <c r="N18" s="12">
        <v>0</v>
      </c>
    </row>
    <row r="19" spans="1:14" x14ac:dyDescent="0.25">
      <c r="A19" s="8" t="s">
        <v>30</v>
      </c>
      <c r="B19" s="12">
        <v>5</v>
      </c>
      <c r="C19" s="13">
        <v>1.782416313540621</v>
      </c>
      <c r="D19" s="12">
        <v>5</v>
      </c>
      <c r="E19" s="12">
        <v>0</v>
      </c>
      <c r="F19" s="12">
        <v>5</v>
      </c>
      <c r="G19" s="14">
        <v>1</v>
      </c>
      <c r="H19" s="15">
        <v>445</v>
      </c>
      <c r="I19" s="12">
        <v>0</v>
      </c>
      <c r="J19" s="12">
        <v>0</v>
      </c>
      <c r="K19" s="12">
        <v>0</v>
      </c>
      <c r="L19" s="12">
        <v>5</v>
      </c>
      <c r="M19" s="12">
        <v>0</v>
      </c>
      <c r="N19" s="12">
        <v>0</v>
      </c>
    </row>
    <row r="20" spans="1:14" x14ac:dyDescent="0.25">
      <c r="A20" s="8" t="s">
        <v>31</v>
      </c>
      <c r="B20" s="12">
        <v>0</v>
      </c>
      <c r="C20" s="13">
        <v>0</v>
      </c>
      <c r="D20" s="12">
        <v>0</v>
      </c>
      <c r="E20" s="12">
        <v>0</v>
      </c>
      <c r="F20" s="12">
        <v>0</v>
      </c>
      <c r="G20" s="14" t="s">
        <v>25</v>
      </c>
      <c r="H20" s="15" t="s">
        <v>25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</row>
    <row r="21" spans="1:14" x14ac:dyDescent="0.25">
      <c r="A21" s="8" t="s">
        <v>32</v>
      </c>
      <c r="B21" s="12" t="s">
        <v>33</v>
      </c>
      <c r="C21" s="13" t="s">
        <v>33</v>
      </c>
      <c r="D21" s="12" t="s">
        <v>33</v>
      </c>
      <c r="E21" s="12" t="s">
        <v>33</v>
      </c>
      <c r="F21" s="12" t="s">
        <v>33</v>
      </c>
      <c r="G21" s="14" t="s">
        <v>33</v>
      </c>
      <c r="H21" s="15" t="s">
        <v>33</v>
      </c>
      <c r="I21" s="12" t="s">
        <v>33</v>
      </c>
      <c r="J21" s="12" t="s">
        <v>33</v>
      </c>
      <c r="K21" s="12" t="s">
        <v>33</v>
      </c>
      <c r="L21" s="12" t="s">
        <v>33</v>
      </c>
      <c r="M21" s="12" t="s">
        <v>33</v>
      </c>
      <c r="N21" s="12" t="s">
        <v>33</v>
      </c>
    </row>
    <row r="22" spans="1:14" x14ac:dyDescent="0.25">
      <c r="A22" s="8" t="s">
        <v>34</v>
      </c>
      <c r="B22" s="12">
        <v>55</v>
      </c>
      <c r="C22" s="13">
        <v>10.390525897832831</v>
      </c>
      <c r="D22" s="12">
        <v>55</v>
      </c>
      <c r="E22" s="12">
        <v>0</v>
      </c>
      <c r="F22" s="12">
        <v>50</v>
      </c>
      <c r="G22" s="14">
        <v>0.90909090909090906</v>
      </c>
      <c r="H22" s="15">
        <v>381.92857142857144</v>
      </c>
      <c r="I22" s="12">
        <v>25</v>
      </c>
      <c r="J22" s="12">
        <v>25</v>
      </c>
      <c r="K22" s="12">
        <v>10</v>
      </c>
      <c r="L22" s="12">
        <v>45</v>
      </c>
      <c r="M22" s="12">
        <v>10</v>
      </c>
      <c r="N22" s="12">
        <v>0</v>
      </c>
    </row>
    <row r="23" spans="1:14" x14ac:dyDescent="0.25">
      <c r="A23" s="8" t="s">
        <v>35</v>
      </c>
      <c r="B23" s="12">
        <v>5</v>
      </c>
      <c r="C23" s="13">
        <v>3.8079397667567654</v>
      </c>
      <c r="D23" s="12">
        <v>5</v>
      </c>
      <c r="E23" s="12">
        <v>0</v>
      </c>
      <c r="F23" s="12">
        <v>5</v>
      </c>
      <c r="G23" s="14">
        <v>1</v>
      </c>
      <c r="H23" s="15">
        <v>409.71428571428572</v>
      </c>
      <c r="I23" s="12">
        <v>0</v>
      </c>
      <c r="J23" s="12">
        <v>5</v>
      </c>
      <c r="K23" s="12">
        <v>0</v>
      </c>
      <c r="L23" s="12">
        <v>5</v>
      </c>
      <c r="M23" s="12">
        <v>0</v>
      </c>
      <c r="N23" s="12">
        <v>0</v>
      </c>
    </row>
    <row r="24" spans="1:14" x14ac:dyDescent="0.25">
      <c r="A24" s="8" t="s">
        <v>36</v>
      </c>
      <c r="B24" s="12">
        <v>50</v>
      </c>
      <c r="C24" s="13">
        <v>12.365819782871581</v>
      </c>
      <c r="D24" s="12">
        <v>50</v>
      </c>
      <c r="E24" s="12">
        <v>0</v>
      </c>
      <c r="F24" s="12">
        <v>50</v>
      </c>
      <c r="G24" s="14">
        <v>1</v>
      </c>
      <c r="H24" s="15">
        <v>386</v>
      </c>
      <c r="I24" s="12">
        <v>10</v>
      </c>
      <c r="J24" s="12">
        <v>30</v>
      </c>
      <c r="K24" s="12">
        <v>10</v>
      </c>
      <c r="L24" s="12">
        <v>45</v>
      </c>
      <c r="M24" s="12">
        <v>5</v>
      </c>
      <c r="N24" s="12">
        <v>0</v>
      </c>
    </row>
    <row r="25" spans="1:14" x14ac:dyDescent="0.25">
      <c r="A25" s="8" t="s">
        <v>37</v>
      </c>
      <c r="B25" s="12">
        <v>15</v>
      </c>
      <c r="C25" s="13">
        <v>5.2025682216747597</v>
      </c>
      <c r="D25" s="12">
        <v>15</v>
      </c>
      <c r="E25" s="12">
        <v>0</v>
      </c>
      <c r="F25" s="12">
        <v>15</v>
      </c>
      <c r="G25" s="14">
        <v>1</v>
      </c>
      <c r="H25" s="15">
        <v>389.71428571428572</v>
      </c>
      <c r="I25" s="12">
        <v>5</v>
      </c>
      <c r="J25" s="12">
        <v>5</v>
      </c>
      <c r="K25" s="12">
        <v>0</v>
      </c>
      <c r="L25" s="12">
        <v>10</v>
      </c>
      <c r="M25" s="12">
        <v>5</v>
      </c>
      <c r="N25" s="12">
        <v>0</v>
      </c>
    </row>
    <row r="26" spans="1:14" x14ac:dyDescent="0.25">
      <c r="A26" s="8" t="s">
        <v>38</v>
      </c>
      <c r="B26" s="12">
        <v>20</v>
      </c>
      <c r="C26" s="13">
        <v>14.259064258519903</v>
      </c>
      <c r="D26" s="12">
        <v>20</v>
      </c>
      <c r="E26" s="12">
        <v>0</v>
      </c>
      <c r="F26" s="12">
        <v>15</v>
      </c>
      <c r="G26" s="14">
        <v>0.75</v>
      </c>
      <c r="H26" s="15">
        <v>250.77777777777777</v>
      </c>
      <c r="I26" s="12">
        <v>0</v>
      </c>
      <c r="J26" s="12">
        <v>10</v>
      </c>
      <c r="K26" s="12">
        <v>5</v>
      </c>
      <c r="L26" s="12">
        <v>15</v>
      </c>
      <c r="M26" s="12">
        <v>0</v>
      </c>
      <c r="N26" s="12">
        <v>0</v>
      </c>
    </row>
    <row r="27" spans="1:14" x14ac:dyDescent="0.25">
      <c r="A27" s="8" t="s">
        <v>39</v>
      </c>
      <c r="B27" s="12">
        <v>5</v>
      </c>
      <c r="C27" s="13">
        <v>2.8004342073392365</v>
      </c>
      <c r="D27" s="12">
        <v>5</v>
      </c>
      <c r="E27" s="12">
        <v>0</v>
      </c>
      <c r="F27" s="12">
        <v>5</v>
      </c>
      <c r="G27" s="14">
        <v>1</v>
      </c>
      <c r="H27" s="15">
        <v>537.6</v>
      </c>
      <c r="I27" s="12">
        <v>0</v>
      </c>
      <c r="J27" s="12">
        <v>0</v>
      </c>
      <c r="K27" s="12">
        <v>0</v>
      </c>
      <c r="L27" s="12">
        <v>5</v>
      </c>
      <c r="M27" s="12">
        <v>0</v>
      </c>
      <c r="N27" s="12">
        <v>0</v>
      </c>
    </row>
    <row r="28" spans="1:14" x14ac:dyDescent="0.25">
      <c r="A28" s="8" t="s">
        <v>40</v>
      </c>
      <c r="B28" s="12">
        <v>70</v>
      </c>
      <c r="C28" s="13">
        <v>9.7172581276641434</v>
      </c>
      <c r="D28" s="12">
        <v>70</v>
      </c>
      <c r="E28" s="12">
        <v>0</v>
      </c>
      <c r="F28" s="12">
        <v>70</v>
      </c>
      <c r="G28" s="14">
        <v>1</v>
      </c>
      <c r="H28" s="15">
        <v>294.11111111111109</v>
      </c>
      <c r="I28" s="12">
        <v>0</v>
      </c>
      <c r="J28" s="12">
        <v>55</v>
      </c>
      <c r="K28" s="12">
        <v>15</v>
      </c>
      <c r="L28" s="12">
        <v>70</v>
      </c>
      <c r="M28" s="12">
        <v>0</v>
      </c>
      <c r="N28" s="12">
        <v>0</v>
      </c>
    </row>
    <row r="29" spans="1:14" x14ac:dyDescent="0.25">
      <c r="A29" s="8" t="s">
        <v>41</v>
      </c>
      <c r="B29" s="12">
        <v>55</v>
      </c>
      <c r="C29" s="13">
        <v>13.424534660905406</v>
      </c>
      <c r="D29" s="12">
        <v>50</v>
      </c>
      <c r="E29" s="12">
        <v>0</v>
      </c>
      <c r="F29" s="12">
        <v>50</v>
      </c>
      <c r="G29" s="14">
        <v>1</v>
      </c>
      <c r="H29" s="15">
        <v>264.37037037037038</v>
      </c>
      <c r="I29" s="12">
        <v>0</v>
      </c>
      <c r="J29" s="12">
        <v>30</v>
      </c>
      <c r="K29" s="12">
        <v>20</v>
      </c>
      <c r="L29" s="12">
        <v>55</v>
      </c>
      <c r="M29" s="12">
        <v>0</v>
      </c>
      <c r="N29" s="12">
        <v>0</v>
      </c>
    </row>
    <row r="30" spans="1:14" x14ac:dyDescent="0.25">
      <c r="A30" s="8" t="s">
        <v>42</v>
      </c>
      <c r="B30" s="12">
        <v>205</v>
      </c>
      <c r="C30" s="13">
        <v>36.772264520490445</v>
      </c>
      <c r="D30" s="12">
        <v>205</v>
      </c>
      <c r="E30" s="12">
        <v>0</v>
      </c>
      <c r="F30" s="12">
        <v>195</v>
      </c>
      <c r="G30" s="14">
        <v>0.95121951219512191</v>
      </c>
      <c r="H30" s="15">
        <v>354.06763285024152</v>
      </c>
      <c r="I30" s="12">
        <v>40</v>
      </c>
      <c r="J30" s="12">
        <v>125</v>
      </c>
      <c r="K30" s="12">
        <v>40</v>
      </c>
      <c r="L30" s="12">
        <v>190</v>
      </c>
      <c r="M30" s="12">
        <v>15</v>
      </c>
      <c r="N30" s="12">
        <v>0</v>
      </c>
    </row>
    <row r="31" spans="1:14" x14ac:dyDescent="0.25">
      <c r="A31" s="8" t="s">
        <v>43</v>
      </c>
      <c r="B31" s="12">
        <v>85</v>
      </c>
      <c r="C31" s="13">
        <v>126.63033166355386</v>
      </c>
      <c r="D31" s="12">
        <v>85</v>
      </c>
      <c r="E31" s="12">
        <v>0</v>
      </c>
      <c r="F31" s="12">
        <v>85</v>
      </c>
      <c r="G31" s="14">
        <v>1</v>
      </c>
      <c r="H31" s="15">
        <v>260.09302325581393</v>
      </c>
      <c r="I31" s="12">
        <v>15</v>
      </c>
      <c r="J31" s="12">
        <v>50</v>
      </c>
      <c r="K31" s="12">
        <v>20</v>
      </c>
      <c r="L31" s="12">
        <v>75</v>
      </c>
      <c r="M31" s="12">
        <v>10</v>
      </c>
      <c r="N31" s="12">
        <v>0</v>
      </c>
    </row>
    <row r="32" spans="1:14" x14ac:dyDescent="0.25">
      <c r="A32" s="8" t="s">
        <v>44</v>
      </c>
      <c r="B32" s="12">
        <v>25</v>
      </c>
      <c r="C32" s="13">
        <v>26.412456153833304</v>
      </c>
      <c r="D32" s="12">
        <v>25</v>
      </c>
      <c r="E32" s="12">
        <v>0</v>
      </c>
      <c r="F32" s="12">
        <v>25</v>
      </c>
      <c r="G32" s="14">
        <v>1</v>
      </c>
      <c r="H32" s="15">
        <v>434.5</v>
      </c>
      <c r="I32" s="12">
        <v>5</v>
      </c>
      <c r="J32" s="12">
        <v>10</v>
      </c>
      <c r="K32" s="12">
        <v>5</v>
      </c>
      <c r="L32" s="12">
        <v>20</v>
      </c>
      <c r="M32" s="12">
        <v>5</v>
      </c>
      <c r="N32" s="12">
        <v>0</v>
      </c>
    </row>
    <row r="33" spans="1:14" x14ac:dyDescent="0.25">
      <c r="A33" s="8" t="s">
        <v>45</v>
      </c>
      <c r="B33" s="12">
        <v>170</v>
      </c>
      <c r="C33" s="13">
        <v>30.222237270588337</v>
      </c>
      <c r="D33" s="12">
        <v>170</v>
      </c>
      <c r="E33" s="12">
        <v>0</v>
      </c>
      <c r="F33" s="12">
        <v>165</v>
      </c>
      <c r="G33" s="14">
        <v>0.97058823529411764</v>
      </c>
      <c r="H33" s="15">
        <v>305.97674418604652</v>
      </c>
      <c r="I33" s="12">
        <v>10</v>
      </c>
      <c r="J33" s="12">
        <v>125</v>
      </c>
      <c r="K33" s="12">
        <v>35</v>
      </c>
      <c r="L33" s="12">
        <v>165</v>
      </c>
      <c r="M33" s="12">
        <v>10</v>
      </c>
      <c r="N33" s="12">
        <v>0</v>
      </c>
    </row>
    <row r="34" spans="1:14" x14ac:dyDescent="0.25">
      <c r="A34" s="8" t="s">
        <v>46</v>
      </c>
      <c r="B34" s="12">
        <v>55</v>
      </c>
      <c r="C34" s="13">
        <v>13.675190605605852</v>
      </c>
      <c r="D34" s="12">
        <v>55</v>
      </c>
      <c r="E34" s="12">
        <v>0</v>
      </c>
      <c r="F34" s="12">
        <v>55</v>
      </c>
      <c r="G34" s="14">
        <v>1</v>
      </c>
      <c r="H34" s="15">
        <v>331.75</v>
      </c>
      <c r="I34" s="12">
        <v>5</v>
      </c>
      <c r="J34" s="12">
        <v>45</v>
      </c>
      <c r="K34" s="12">
        <v>5</v>
      </c>
      <c r="L34" s="12">
        <v>55</v>
      </c>
      <c r="M34" s="12">
        <v>0</v>
      </c>
      <c r="N34" s="12">
        <v>0</v>
      </c>
    </row>
    <row r="35" spans="1:14" x14ac:dyDescent="0.25">
      <c r="A35" s="8" t="s">
        <v>47</v>
      </c>
      <c r="B35" s="12">
        <v>10</v>
      </c>
      <c r="C35" s="13">
        <v>4.6966402672681289</v>
      </c>
      <c r="D35" s="12">
        <v>10</v>
      </c>
      <c r="E35" s="12">
        <v>0</v>
      </c>
      <c r="F35" s="12">
        <v>10</v>
      </c>
      <c r="G35" s="14">
        <v>1</v>
      </c>
      <c r="H35" s="15">
        <v>517.75</v>
      </c>
      <c r="I35" s="12">
        <v>0</v>
      </c>
      <c r="J35" s="12">
        <v>5</v>
      </c>
      <c r="K35" s="12">
        <v>0</v>
      </c>
      <c r="L35" s="12">
        <v>5</v>
      </c>
      <c r="M35" s="12">
        <v>0</v>
      </c>
      <c r="N35" s="12">
        <v>0</v>
      </c>
    </row>
    <row r="36" spans="1:14" x14ac:dyDescent="0.25">
      <c r="A36" s="8" t="s">
        <v>48</v>
      </c>
      <c r="B36" s="12">
        <v>50</v>
      </c>
      <c r="C36" s="13">
        <v>17.796382637531817</v>
      </c>
      <c r="D36" s="12">
        <v>50</v>
      </c>
      <c r="E36" s="12">
        <v>0</v>
      </c>
      <c r="F36" s="12">
        <v>45</v>
      </c>
      <c r="G36" s="14">
        <v>0.9</v>
      </c>
      <c r="H36" s="15">
        <v>420.28571428571428</v>
      </c>
      <c r="I36" s="12">
        <v>15</v>
      </c>
      <c r="J36" s="12">
        <v>25</v>
      </c>
      <c r="K36" s="12">
        <v>10</v>
      </c>
      <c r="L36" s="12">
        <v>45</v>
      </c>
      <c r="M36" s="12">
        <v>0</v>
      </c>
      <c r="N36" s="12">
        <v>0</v>
      </c>
    </row>
    <row r="37" spans="1:14" x14ac:dyDescent="0.25">
      <c r="A37" s="8" t="s">
        <v>49</v>
      </c>
      <c r="B37" s="12">
        <v>25</v>
      </c>
      <c r="C37" s="13">
        <v>22.672519287747555</v>
      </c>
      <c r="D37" s="12">
        <v>25</v>
      </c>
      <c r="E37" s="12">
        <v>0</v>
      </c>
      <c r="F37" s="12">
        <v>25</v>
      </c>
      <c r="G37" s="14">
        <v>1</v>
      </c>
      <c r="H37" s="15">
        <v>259.76</v>
      </c>
      <c r="I37" s="12">
        <v>0</v>
      </c>
      <c r="J37" s="12">
        <v>20</v>
      </c>
      <c r="K37" s="12">
        <v>5</v>
      </c>
      <c r="L37" s="12">
        <v>25</v>
      </c>
      <c r="M37" s="12">
        <v>0</v>
      </c>
      <c r="N37" s="12">
        <v>0</v>
      </c>
    </row>
    <row r="38" spans="1:14" x14ac:dyDescent="0.25">
      <c r="A38" s="8" t="s">
        <v>50</v>
      </c>
      <c r="B38" s="12" t="s">
        <v>33</v>
      </c>
      <c r="C38" s="13" t="s">
        <v>33</v>
      </c>
      <c r="D38" s="12" t="s">
        <v>33</v>
      </c>
      <c r="E38" s="12" t="s">
        <v>33</v>
      </c>
      <c r="F38" s="12" t="s">
        <v>33</v>
      </c>
      <c r="G38" s="14" t="s">
        <v>33</v>
      </c>
      <c r="H38" s="15" t="s">
        <v>33</v>
      </c>
      <c r="I38" s="12" t="s">
        <v>33</v>
      </c>
      <c r="J38" s="12" t="s">
        <v>33</v>
      </c>
      <c r="K38" s="12" t="s">
        <v>33</v>
      </c>
      <c r="L38" s="12" t="s">
        <v>33</v>
      </c>
      <c r="M38" s="12" t="s">
        <v>33</v>
      </c>
      <c r="N38" s="12" t="s">
        <v>33</v>
      </c>
    </row>
    <row r="39" spans="1:14" x14ac:dyDescent="0.25">
      <c r="A39" s="8" t="s">
        <v>51</v>
      </c>
      <c r="B39" s="12" t="s">
        <v>33</v>
      </c>
      <c r="C39" s="13" t="s">
        <v>33</v>
      </c>
      <c r="D39" s="12" t="s">
        <v>33</v>
      </c>
      <c r="E39" s="12" t="s">
        <v>33</v>
      </c>
      <c r="F39" s="12" t="s">
        <v>33</v>
      </c>
      <c r="G39" s="14" t="s">
        <v>33</v>
      </c>
      <c r="H39" s="15" t="s">
        <v>33</v>
      </c>
      <c r="I39" s="12" t="s">
        <v>33</v>
      </c>
      <c r="J39" s="12" t="s">
        <v>33</v>
      </c>
      <c r="K39" s="12" t="s">
        <v>33</v>
      </c>
      <c r="L39" s="12" t="s">
        <v>33</v>
      </c>
      <c r="M39" s="12" t="s">
        <v>33</v>
      </c>
      <c r="N39" s="12" t="s">
        <v>33</v>
      </c>
    </row>
    <row r="40" spans="1:14" x14ac:dyDescent="0.25">
      <c r="A40" s="8" t="s">
        <v>52</v>
      </c>
      <c r="B40" s="12">
        <v>15</v>
      </c>
      <c r="C40" s="13">
        <v>17.399225596500674</v>
      </c>
      <c r="D40" s="12">
        <v>15</v>
      </c>
      <c r="E40" s="12">
        <v>0</v>
      </c>
      <c r="F40" s="12">
        <v>15</v>
      </c>
      <c r="G40" s="14">
        <v>1</v>
      </c>
      <c r="H40" s="15">
        <v>239.5</v>
      </c>
      <c r="I40" s="12">
        <v>5</v>
      </c>
      <c r="J40" s="12">
        <v>10</v>
      </c>
      <c r="K40" s="12">
        <v>5</v>
      </c>
      <c r="L40" s="12">
        <v>10</v>
      </c>
      <c r="M40" s="12">
        <v>5</v>
      </c>
      <c r="N40" s="12">
        <v>0</v>
      </c>
    </row>
    <row r="41" spans="1:14" x14ac:dyDescent="0.25">
      <c r="A41" s="8" t="s">
        <v>53</v>
      </c>
      <c r="B41" s="12">
        <v>0</v>
      </c>
      <c r="C41" s="13">
        <v>0</v>
      </c>
      <c r="D41" s="12">
        <v>0</v>
      </c>
      <c r="E41" s="12">
        <v>0</v>
      </c>
      <c r="F41" s="12">
        <v>0</v>
      </c>
      <c r="G41" s="14"/>
      <c r="H41" s="15" t="s">
        <v>25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</row>
    <row r="42" spans="1:14" x14ac:dyDescent="0.25">
      <c r="A42" s="8" t="s">
        <v>54</v>
      </c>
      <c r="B42" s="12">
        <v>0</v>
      </c>
      <c r="C42" s="13">
        <v>0</v>
      </c>
      <c r="D42" s="12">
        <v>0</v>
      </c>
      <c r="E42" s="12">
        <v>0</v>
      </c>
      <c r="F42" s="12">
        <v>0</v>
      </c>
      <c r="G42" s="14"/>
      <c r="H42" s="15" t="s">
        <v>25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</row>
    <row r="43" spans="1:14" x14ac:dyDescent="0.25">
      <c r="A43" s="8" t="s">
        <v>55</v>
      </c>
      <c r="B43" s="12">
        <v>60</v>
      </c>
      <c r="C43" s="13">
        <v>308.01467087002629</v>
      </c>
      <c r="D43" s="12">
        <v>60</v>
      </c>
      <c r="E43" s="12">
        <v>0</v>
      </c>
      <c r="F43" s="12">
        <v>60</v>
      </c>
      <c r="G43" s="14">
        <v>1</v>
      </c>
      <c r="H43" s="15">
        <v>235.2258064516129</v>
      </c>
      <c r="I43" s="12">
        <v>10</v>
      </c>
      <c r="J43" s="12">
        <v>45</v>
      </c>
      <c r="K43" s="12">
        <v>5</v>
      </c>
      <c r="L43" s="12">
        <v>55</v>
      </c>
      <c r="M43" s="12">
        <v>5</v>
      </c>
      <c r="N43" s="12">
        <v>0</v>
      </c>
    </row>
    <row r="44" spans="1:14" x14ac:dyDescent="0.25">
      <c r="A44" s="8" t="s">
        <v>56</v>
      </c>
      <c r="B44" s="12">
        <v>0</v>
      </c>
      <c r="C44" s="13">
        <v>0</v>
      </c>
      <c r="D44" s="12">
        <v>0</v>
      </c>
      <c r="E44" s="12">
        <v>0</v>
      </c>
      <c r="F44" s="12">
        <v>0</v>
      </c>
      <c r="G44" s="14"/>
      <c r="H44" s="15" t="s">
        <v>25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</row>
    <row r="45" spans="1:14" x14ac:dyDescent="0.25">
      <c r="A45" s="8" t="s">
        <v>57</v>
      </c>
      <c r="B45" s="12">
        <v>50</v>
      </c>
      <c r="C45" s="13">
        <v>356.51063742863272</v>
      </c>
      <c r="D45" s="12">
        <v>50</v>
      </c>
      <c r="E45" s="12">
        <v>0</v>
      </c>
      <c r="F45" s="12">
        <v>40</v>
      </c>
      <c r="G45" s="14">
        <v>0.8</v>
      </c>
      <c r="H45" s="15">
        <v>176.79166666666666</v>
      </c>
      <c r="I45" s="12">
        <v>10</v>
      </c>
      <c r="J45" s="12">
        <v>35</v>
      </c>
      <c r="K45" s="12">
        <v>5</v>
      </c>
      <c r="L45" s="12">
        <v>50</v>
      </c>
      <c r="M45" s="12">
        <v>0</v>
      </c>
      <c r="N45" s="12">
        <v>0</v>
      </c>
    </row>
    <row r="46" spans="1:14" x14ac:dyDescent="0.25">
      <c r="A46" s="8" t="s">
        <v>58</v>
      </c>
      <c r="B46" s="12">
        <v>0</v>
      </c>
      <c r="C46" s="13">
        <v>0</v>
      </c>
      <c r="D46" s="12">
        <v>0</v>
      </c>
      <c r="E46" s="12">
        <v>0</v>
      </c>
      <c r="F46" s="12">
        <v>0</v>
      </c>
      <c r="G46" s="14"/>
      <c r="H46" s="15" t="s">
        <v>25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</row>
    <row r="47" spans="1:14" x14ac:dyDescent="0.25">
      <c r="A47" s="8" t="s">
        <v>59</v>
      </c>
      <c r="B47" s="12">
        <v>0</v>
      </c>
      <c r="C47" s="13">
        <v>0</v>
      </c>
      <c r="D47" s="12">
        <v>0</v>
      </c>
      <c r="E47" s="12">
        <v>0</v>
      </c>
      <c r="F47" s="12">
        <v>0</v>
      </c>
      <c r="G47" s="14"/>
      <c r="H47" s="15" t="s">
        <v>25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</row>
    <row r="48" spans="1:14" x14ac:dyDescent="0.25">
      <c r="A48" s="8" t="s">
        <v>60</v>
      </c>
      <c r="B48" s="12">
        <v>5</v>
      </c>
      <c r="C48" s="13">
        <v>7.0561332065082754</v>
      </c>
      <c r="D48" s="12">
        <v>5</v>
      </c>
      <c r="E48" s="12">
        <v>0</v>
      </c>
      <c r="F48" s="12">
        <v>5</v>
      </c>
      <c r="G48" s="14">
        <v>1</v>
      </c>
      <c r="H48" s="15">
        <v>238</v>
      </c>
      <c r="I48" s="12">
        <v>0</v>
      </c>
      <c r="J48" s="12">
        <v>5</v>
      </c>
      <c r="K48" s="12">
        <v>0</v>
      </c>
      <c r="L48" s="12">
        <v>5</v>
      </c>
      <c r="M48" s="12">
        <v>0</v>
      </c>
      <c r="N48" s="12">
        <v>0</v>
      </c>
    </row>
    <row r="49" spans="1:14" x14ac:dyDescent="0.25">
      <c r="A49" s="8" t="s">
        <v>61</v>
      </c>
      <c r="B49" s="12">
        <v>0</v>
      </c>
      <c r="C49" s="13">
        <v>0</v>
      </c>
      <c r="D49" s="12">
        <v>0</v>
      </c>
      <c r="E49" s="12">
        <v>0</v>
      </c>
      <c r="F49" s="12">
        <v>0</v>
      </c>
      <c r="G49" s="14"/>
      <c r="H49" s="15" t="s">
        <v>25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</row>
    <row r="50" spans="1:14" x14ac:dyDescent="0.25">
      <c r="A50" s="8" t="s">
        <v>62</v>
      </c>
      <c r="B50" s="12">
        <v>0</v>
      </c>
      <c r="C50" s="13">
        <v>0</v>
      </c>
      <c r="D50" s="12">
        <v>0</v>
      </c>
      <c r="E50" s="12">
        <v>0</v>
      </c>
      <c r="F50" s="12">
        <v>0</v>
      </c>
      <c r="G50" s="14"/>
      <c r="H50" s="15" t="s">
        <v>25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</row>
    <row r="51" spans="1:14" x14ac:dyDescent="0.25">
      <c r="A51" s="8" t="s">
        <v>63</v>
      </c>
      <c r="B51" s="12">
        <v>0</v>
      </c>
      <c r="C51" s="13">
        <v>0</v>
      </c>
      <c r="D51" s="12">
        <v>0</v>
      </c>
      <c r="E51" s="12">
        <v>0</v>
      </c>
      <c r="F51" s="12">
        <v>0</v>
      </c>
      <c r="G51" s="14"/>
      <c r="H51" s="15" t="s">
        <v>25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</row>
    <row r="52" spans="1:14" x14ac:dyDescent="0.25">
      <c r="A52" s="8" t="s">
        <v>64</v>
      </c>
      <c r="B52" s="12">
        <v>0</v>
      </c>
      <c r="C52" s="13">
        <v>0</v>
      </c>
      <c r="D52" s="12">
        <v>0</v>
      </c>
      <c r="E52" s="12">
        <v>0</v>
      </c>
      <c r="F52" s="12">
        <v>0</v>
      </c>
      <c r="G52" s="14"/>
      <c r="H52" s="15" t="s">
        <v>25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</row>
    <row r="53" spans="1:14" x14ac:dyDescent="0.25">
      <c r="A53" s="8" t="s">
        <v>65</v>
      </c>
      <c r="B53" s="12">
        <v>0</v>
      </c>
      <c r="C53" s="13">
        <v>0</v>
      </c>
      <c r="D53" s="12">
        <v>0</v>
      </c>
      <c r="E53" s="12">
        <v>0</v>
      </c>
      <c r="F53" s="12">
        <v>0</v>
      </c>
      <c r="G53" s="14"/>
      <c r="H53" s="15" t="s">
        <v>25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</row>
    <row r="54" spans="1:14" x14ac:dyDescent="0.25">
      <c r="A54" s="8" t="s">
        <v>66</v>
      </c>
      <c r="B54" s="12">
        <v>0</v>
      </c>
      <c r="C54" s="13">
        <v>0</v>
      </c>
      <c r="D54" s="12">
        <v>0</v>
      </c>
      <c r="E54" s="12">
        <v>0</v>
      </c>
      <c r="F54" s="12">
        <v>0</v>
      </c>
      <c r="G54" s="14"/>
      <c r="H54" s="15" t="s">
        <v>25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</row>
    <row r="55" spans="1:14" x14ac:dyDescent="0.25">
      <c r="A55" s="8" t="s">
        <v>67</v>
      </c>
      <c r="B55" s="12">
        <v>0</v>
      </c>
      <c r="C55" s="13">
        <v>0</v>
      </c>
      <c r="D55" s="12">
        <v>0</v>
      </c>
      <c r="E55" s="12">
        <v>0</v>
      </c>
      <c r="F55" s="12">
        <v>0</v>
      </c>
      <c r="G55" s="14"/>
      <c r="H55" s="15" t="s">
        <v>25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</row>
    <row r="56" spans="1:14" x14ac:dyDescent="0.25">
      <c r="A56" s="8" t="s">
        <v>68</v>
      </c>
      <c r="B56" s="12" t="s">
        <v>33</v>
      </c>
      <c r="C56" s="13" t="s">
        <v>33</v>
      </c>
      <c r="D56" s="12" t="s">
        <v>33</v>
      </c>
      <c r="E56" s="12" t="s">
        <v>33</v>
      </c>
      <c r="F56" s="12" t="s">
        <v>33</v>
      </c>
      <c r="G56" s="14" t="s">
        <v>33</v>
      </c>
      <c r="H56" s="15" t="s">
        <v>33</v>
      </c>
      <c r="I56" s="12" t="s">
        <v>33</v>
      </c>
      <c r="J56" s="12" t="s">
        <v>33</v>
      </c>
      <c r="K56" s="12" t="s">
        <v>33</v>
      </c>
      <c r="L56" s="12" t="s">
        <v>33</v>
      </c>
      <c r="M56" s="12" t="s">
        <v>33</v>
      </c>
      <c r="N56" s="12" t="s">
        <v>33</v>
      </c>
    </row>
    <row r="57" spans="1:14" x14ac:dyDescent="0.25">
      <c r="A57" s="8" t="s">
        <v>69</v>
      </c>
      <c r="B57" s="12">
        <v>5</v>
      </c>
      <c r="C57" s="13">
        <v>8.5922911238407913</v>
      </c>
      <c r="D57" s="12">
        <v>5</v>
      </c>
      <c r="E57" s="12">
        <v>0</v>
      </c>
      <c r="F57" s="12">
        <v>5</v>
      </c>
      <c r="G57" s="14">
        <v>1</v>
      </c>
      <c r="H57" s="15">
        <v>244.33333333333334</v>
      </c>
      <c r="I57" s="12">
        <v>0</v>
      </c>
      <c r="J57" s="12">
        <v>5</v>
      </c>
      <c r="K57" s="12">
        <v>0</v>
      </c>
      <c r="L57" s="12">
        <v>5</v>
      </c>
      <c r="M57" s="12">
        <v>0</v>
      </c>
      <c r="N57" s="12">
        <v>0</v>
      </c>
    </row>
    <row r="58" spans="1:14" x14ac:dyDescent="0.25">
      <c r="A58" s="8" t="s">
        <v>70</v>
      </c>
      <c r="B58" s="12">
        <v>0</v>
      </c>
      <c r="C58" s="13">
        <v>0</v>
      </c>
      <c r="D58" s="12">
        <v>0</v>
      </c>
      <c r="E58" s="12">
        <v>0</v>
      </c>
      <c r="F58" s="12">
        <v>0</v>
      </c>
      <c r="G58" s="14"/>
      <c r="H58" s="15" t="s">
        <v>25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</row>
    <row r="59" spans="1:14" x14ac:dyDescent="0.25">
      <c r="A59" s="8" t="s">
        <v>71</v>
      </c>
      <c r="B59" s="12">
        <v>0</v>
      </c>
      <c r="C59" s="13">
        <v>0</v>
      </c>
      <c r="D59" s="12">
        <v>0</v>
      </c>
      <c r="E59" s="12">
        <v>0</v>
      </c>
      <c r="F59" s="12">
        <v>0</v>
      </c>
      <c r="G59" s="14"/>
      <c r="H59" s="15" t="s">
        <v>25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</row>
    <row r="60" spans="1:14" x14ac:dyDescent="0.25">
      <c r="A60" s="8" t="s">
        <v>72</v>
      </c>
      <c r="B60" s="12">
        <v>0</v>
      </c>
      <c r="C60" s="13">
        <v>0</v>
      </c>
      <c r="D60" s="12">
        <v>0</v>
      </c>
      <c r="E60" s="12">
        <v>0</v>
      </c>
      <c r="F60" s="12">
        <v>0</v>
      </c>
      <c r="G60" s="14"/>
      <c r="H60" s="15" t="s">
        <v>25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</row>
    <row r="61" spans="1:14" x14ac:dyDescent="0.25">
      <c r="A61" s="8" t="s">
        <v>73</v>
      </c>
      <c r="B61" s="12">
        <v>25</v>
      </c>
      <c r="C61" s="13">
        <v>89.397031141082223</v>
      </c>
      <c r="D61" s="12">
        <v>25</v>
      </c>
      <c r="E61" s="12">
        <v>0</v>
      </c>
      <c r="F61" s="12">
        <v>25</v>
      </c>
      <c r="G61" s="14">
        <v>1</v>
      </c>
      <c r="H61" s="15">
        <v>91.230769230769226</v>
      </c>
      <c r="I61" s="12">
        <v>5</v>
      </c>
      <c r="J61" s="12">
        <v>15</v>
      </c>
      <c r="K61" s="12">
        <v>5</v>
      </c>
      <c r="L61" s="12">
        <v>25</v>
      </c>
      <c r="M61" s="12">
        <v>0</v>
      </c>
      <c r="N61" s="12">
        <v>0</v>
      </c>
    </row>
    <row r="62" spans="1:14" x14ac:dyDescent="0.25">
      <c r="A62" s="8" t="s">
        <v>74</v>
      </c>
      <c r="B62" s="12">
        <v>130</v>
      </c>
      <c r="C62" s="13">
        <v>196.10638169598835</v>
      </c>
      <c r="D62" s="12">
        <v>125</v>
      </c>
      <c r="E62" s="12">
        <v>5</v>
      </c>
      <c r="F62" s="12">
        <v>120</v>
      </c>
      <c r="G62" s="14">
        <v>0.96</v>
      </c>
      <c r="H62" s="15">
        <v>246.87022900763358</v>
      </c>
      <c r="I62" s="12">
        <v>10</v>
      </c>
      <c r="J62" s="12">
        <v>90</v>
      </c>
      <c r="K62" s="12">
        <v>30</v>
      </c>
      <c r="L62" s="12">
        <v>130</v>
      </c>
      <c r="M62" s="12">
        <v>0</v>
      </c>
      <c r="N62" s="12">
        <v>0</v>
      </c>
    </row>
    <row r="63" spans="1:14" x14ac:dyDescent="0.25">
      <c r="A63" s="8" t="s">
        <v>75</v>
      </c>
      <c r="B63" s="12">
        <v>5</v>
      </c>
      <c r="C63" s="13">
        <v>8.2589198911399588</v>
      </c>
      <c r="D63" s="12">
        <v>5</v>
      </c>
      <c r="E63" s="12">
        <v>0</v>
      </c>
      <c r="F63" s="12">
        <v>5</v>
      </c>
      <c r="G63" s="14">
        <v>1</v>
      </c>
      <c r="H63" s="15">
        <v>228.57142857142858</v>
      </c>
      <c r="I63" s="12">
        <v>0</v>
      </c>
      <c r="J63" s="12">
        <v>5</v>
      </c>
      <c r="K63" s="12">
        <v>0</v>
      </c>
      <c r="L63" s="12">
        <v>5</v>
      </c>
      <c r="M63" s="12">
        <v>0</v>
      </c>
      <c r="N63" s="12">
        <v>0</v>
      </c>
    </row>
    <row r="64" spans="1:14" x14ac:dyDescent="0.25">
      <c r="A64" s="8" t="s">
        <v>76</v>
      </c>
      <c r="B64" s="12">
        <v>0</v>
      </c>
      <c r="C64" s="13">
        <v>0</v>
      </c>
      <c r="D64" s="12">
        <v>0</v>
      </c>
      <c r="E64" s="12">
        <v>0</v>
      </c>
      <c r="F64" s="12">
        <v>0</v>
      </c>
      <c r="G64" s="14"/>
      <c r="H64" s="15" t="s">
        <v>25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</row>
    <row r="65" spans="1:14" x14ac:dyDescent="0.25">
      <c r="A65" s="8" t="s">
        <v>77</v>
      </c>
      <c r="B65" s="12">
        <v>10</v>
      </c>
      <c r="C65" s="13">
        <v>17.527217815825502</v>
      </c>
      <c r="D65" s="12">
        <v>10</v>
      </c>
      <c r="E65" s="12">
        <v>0</v>
      </c>
      <c r="F65" s="12">
        <v>10</v>
      </c>
      <c r="G65" s="14">
        <v>1</v>
      </c>
      <c r="H65" s="15">
        <v>225</v>
      </c>
      <c r="I65" s="12">
        <v>0</v>
      </c>
      <c r="J65" s="12">
        <v>5</v>
      </c>
      <c r="K65" s="12">
        <v>0</v>
      </c>
      <c r="L65" s="12">
        <v>5</v>
      </c>
      <c r="M65" s="12">
        <v>0</v>
      </c>
      <c r="N65" s="12">
        <v>0</v>
      </c>
    </row>
    <row r="66" spans="1:14" x14ac:dyDescent="0.25">
      <c r="A66" s="8" t="s">
        <v>78</v>
      </c>
      <c r="B66" s="12">
        <v>0</v>
      </c>
      <c r="C66" s="13">
        <v>0</v>
      </c>
      <c r="D66" s="12">
        <v>0</v>
      </c>
      <c r="E66" s="12">
        <v>0</v>
      </c>
      <c r="F66" s="12">
        <v>0</v>
      </c>
      <c r="G66" s="14"/>
      <c r="H66" s="15" t="s">
        <v>25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</row>
    <row r="67" spans="1:14" x14ac:dyDescent="0.25">
      <c r="A67" s="8" t="s">
        <v>79</v>
      </c>
      <c r="B67" s="12">
        <v>0</v>
      </c>
      <c r="C67" s="13">
        <v>0</v>
      </c>
      <c r="D67" s="12">
        <v>0</v>
      </c>
      <c r="E67" s="12">
        <v>0</v>
      </c>
      <c r="F67" s="12">
        <v>0</v>
      </c>
      <c r="G67" s="14"/>
      <c r="H67" s="15" t="s">
        <v>25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</row>
    <row r="68" spans="1:14" x14ac:dyDescent="0.25">
      <c r="A68" s="8" t="s">
        <v>80</v>
      </c>
      <c r="B68" s="12">
        <v>0</v>
      </c>
      <c r="C68" s="13">
        <v>0</v>
      </c>
      <c r="D68" s="12">
        <v>0</v>
      </c>
      <c r="E68" s="12">
        <v>0</v>
      </c>
      <c r="F68" s="12">
        <v>0</v>
      </c>
      <c r="G68" s="14"/>
      <c r="H68" s="15" t="s">
        <v>25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</row>
    <row r="69" spans="1:14" x14ac:dyDescent="0.25">
      <c r="A69" s="8" t="s">
        <v>81</v>
      </c>
      <c r="B69" s="12">
        <v>10</v>
      </c>
      <c r="C69" s="13">
        <v>125.72675482916685</v>
      </c>
      <c r="D69" s="12">
        <v>10</v>
      </c>
      <c r="E69" s="12">
        <v>0</v>
      </c>
      <c r="F69" s="12">
        <v>10</v>
      </c>
      <c r="G69" s="14">
        <v>1</v>
      </c>
      <c r="H69" s="15">
        <v>173.33333333333334</v>
      </c>
      <c r="I69" s="12">
        <v>0</v>
      </c>
      <c r="J69" s="12">
        <v>10</v>
      </c>
      <c r="K69" s="12">
        <v>5</v>
      </c>
      <c r="L69" s="12">
        <v>10</v>
      </c>
      <c r="M69" s="12">
        <v>0</v>
      </c>
      <c r="N69" s="12">
        <v>0</v>
      </c>
    </row>
    <row r="70" spans="1:14" x14ac:dyDescent="0.25">
      <c r="A70" s="8" t="s">
        <v>82</v>
      </c>
      <c r="B70" s="12">
        <v>75</v>
      </c>
      <c r="C70" s="13">
        <v>72.89166208199957</v>
      </c>
      <c r="D70" s="12">
        <v>75</v>
      </c>
      <c r="E70" s="12">
        <v>0</v>
      </c>
      <c r="F70" s="12">
        <v>70</v>
      </c>
      <c r="G70" s="14">
        <v>0.93333333333333335</v>
      </c>
      <c r="H70" s="15">
        <v>234.37837837837839</v>
      </c>
      <c r="I70" s="12">
        <v>15</v>
      </c>
      <c r="J70" s="12">
        <v>45</v>
      </c>
      <c r="K70" s="12">
        <v>15</v>
      </c>
      <c r="L70" s="12">
        <v>65</v>
      </c>
      <c r="M70" s="12">
        <v>10</v>
      </c>
      <c r="N70" s="12">
        <v>0</v>
      </c>
    </row>
    <row r="71" spans="1:14" x14ac:dyDescent="0.25">
      <c r="A71" s="8" t="s">
        <v>83</v>
      </c>
      <c r="B71" s="12">
        <v>10</v>
      </c>
      <c r="C71" s="13">
        <v>6.7851804447362971</v>
      </c>
      <c r="D71" s="12">
        <v>10</v>
      </c>
      <c r="E71" s="12">
        <v>0</v>
      </c>
      <c r="F71" s="12">
        <v>10</v>
      </c>
      <c r="G71" s="14">
        <v>1</v>
      </c>
      <c r="H71" s="15">
        <v>269.5</v>
      </c>
      <c r="I71" s="12">
        <v>0</v>
      </c>
      <c r="J71" s="12">
        <v>5</v>
      </c>
      <c r="K71" s="12">
        <v>0</v>
      </c>
      <c r="L71" s="12">
        <v>5</v>
      </c>
      <c r="M71" s="12">
        <v>0</v>
      </c>
      <c r="N71" s="12">
        <v>0</v>
      </c>
    </row>
    <row r="72" spans="1:14" x14ac:dyDescent="0.25">
      <c r="A72" s="8" t="s">
        <v>84</v>
      </c>
      <c r="B72" s="12">
        <v>0</v>
      </c>
      <c r="C72" s="13">
        <v>0</v>
      </c>
      <c r="D72" s="12">
        <v>0</v>
      </c>
      <c r="E72" s="12">
        <v>0</v>
      </c>
      <c r="F72" s="12">
        <v>0</v>
      </c>
      <c r="G72" s="14"/>
      <c r="H72" s="15" t="s">
        <v>25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</row>
    <row r="73" spans="1:14" x14ac:dyDescent="0.25">
      <c r="A73" s="8" t="s">
        <v>85</v>
      </c>
      <c r="B73" s="12">
        <v>0</v>
      </c>
      <c r="C73" s="13">
        <v>0</v>
      </c>
      <c r="D73" s="12">
        <v>0</v>
      </c>
      <c r="E73" s="12">
        <v>0</v>
      </c>
      <c r="F73" s="12">
        <v>0</v>
      </c>
      <c r="G73" s="14"/>
      <c r="H73" s="15" t="s">
        <v>25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</row>
    <row r="74" spans="1:14" x14ac:dyDescent="0.25">
      <c r="A74" s="8" t="s">
        <v>86</v>
      </c>
      <c r="B74" s="12">
        <v>20</v>
      </c>
      <c r="C74" s="13">
        <v>22.391458459329343</v>
      </c>
      <c r="D74" s="12">
        <v>20</v>
      </c>
      <c r="E74" s="12">
        <v>0</v>
      </c>
      <c r="F74" s="12">
        <v>20</v>
      </c>
      <c r="G74" s="14">
        <v>1</v>
      </c>
      <c r="H74" s="15">
        <v>219.81818181818181</v>
      </c>
      <c r="I74" s="12">
        <v>5</v>
      </c>
      <c r="J74" s="12">
        <v>15</v>
      </c>
      <c r="K74" s="12">
        <v>5</v>
      </c>
      <c r="L74" s="12">
        <v>20</v>
      </c>
      <c r="M74" s="12">
        <v>0</v>
      </c>
      <c r="N74" s="12">
        <v>0</v>
      </c>
    </row>
    <row r="75" spans="1:14" x14ac:dyDescent="0.25">
      <c r="A75" s="16" t="s">
        <v>87</v>
      </c>
      <c r="B75" s="17">
        <v>1365</v>
      </c>
      <c r="C75" s="18">
        <f>B75*10000/800200</f>
        <v>17.058235441139715</v>
      </c>
      <c r="D75" s="17">
        <v>1350</v>
      </c>
      <c r="E75" s="17">
        <v>15</v>
      </c>
      <c r="F75" s="17">
        <v>1295</v>
      </c>
      <c r="G75" s="19">
        <f t="shared" ref="G75" si="0">IF(D75=0,"",F75/D75)</f>
        <v>0.95925925925925926</v>
      </c>
      <c r="H75" s="20">
        <v>295.76410256410259</v>
      </c>
      <c r="I75" s="17">
        <v>212</v>
      </c>
      <c r="J75" s="17">
        <v>875</v>
      </c>
      <c r="K75" s="17">
        <v>278</v>
      </c>
      <c r="L75" s="17">
        <v>1277</v>
      </c>
      <c r="M75" s="17">
        <v>88</v>
      </c>
      <c r="N75" s="17">
        <v>0</v>
      </c>
    </row>
    <row r="76" spans="1:14" s="8" customFormat="1" x14ac:dyDescent="0.25">
      <c r="A76" s="16" t="s">
        <v>88</v>
      </c>
      <c r="B76" s="21">
        <f>B75/$B75</f>
        <v>1</v>
      </c>
      <c r="C76" s="21"/>
      <c r="D76" s="21">
        <f t="shared" ref="D76:N76" si="1">D75/$B75</f>
        <v>0.98901098901098905</v>
      </c>
      <c r="E76" s="21">
        <f t="shared" si="1"/>
        <v>1.098901098901099E-2</v>
      </c>
      <c r="F76" s="21">
        <f t="shared" si="1"/>
        <v>0.94871794871794868</v>
      </c>
      <c r="G76" s="21"/>
      <c r="H76" s="21"/>
      <c r="I76" s="21">
        <f t="shared" si="1"/>
        <v>0.15531135531135531</v>
      </c>
      <c r="J76" s="21">
        <f t="shared" si="1"/>
        <v>0.64102564102564108</v>
      </c>
      <c r="K76" s="21">
        <f t="shared" si="1"/>
        <v>0.20366300366300366</v>
      </c>
      <c r="L76" s="21">
        <f t="shared" si="1"/>
        <v>0.93553113553113554</v>
      </c>
      <c r="M76" s="21">
        <f t="shared" si="1"/>
        <v>6.4468864468864476E-2</v>
      </c>
      <c r="N76" s="21">
        <f t="shared" si="1"/>
        <v>0</v>
      </c>
    </row>
  </sheetData>
  <mergeCells count="2">
    <mergeCell ref="I12:K12"/>
    <mergeCell ref="L12:N12"/>
  </mergeCells>
  <pageMargins left="0.7" right="0.7" top="0.75" bottom="0.75" header="0.3" footer="0.3"/>
  <pageSetup paperSize="9" scale="54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SOMIH dwellings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dcterms:created xsi:type="dcterms:W3CDTF">2022-06-06T00:26:23Z</dcterms:created>
  <dcterms:modified xsi:type="dcterms:W3CDTF">2022-06-06T07:16:12Z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2022-06-06T00:27:03Z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4c6fe29a-f190-427e-a960-41098a779f00</vt:lpwstr>
  </property>
  <property fmtid="{D5CDD505-2E9C-101B-9397-08002B2CF9AE}" pid="8" name="MSIP_Label_77274858-3b1d-4431-8679-d878f40e28fd_ContentBits">
    <vt:lpwstr>1</vt:lpwstr>
  </property>
</Properties>
</file>