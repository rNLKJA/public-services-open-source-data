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23" documentId="8_{DD0833AB-004A-4E67-B1E9-D5FF5F3D3577}" xr6:coauthVersionLast="47" xr6:coauthVersionMax="47" xr10:uidLastSave="{9D19E852-B9B7-4132-8251-6FE7137AD459}"/>
  <bookViews>
    <workbookView xWindow="45" yWindow="780" windowWidth="26505" windowHeight="16620" xr2:uid="{0BB4EA5F-F5E9-4BBC-A6BD-A478169870DF}"/>
  </bookViews>
  <sheets>
    <sheet name="Table - SOMIH households" sheetId="6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77" i="6" l="1"/>
  <c r="B77" i="6"/>
  <c r="P77" i="6"/>
  <c r="Q77" i="6"/>
  <c r="AC77" i="6"/>
  <c r="D77" i="6"/>
  <c r="E77" i="6"/>
  <c r="H77" i="6"/>
  <c r="N77" i="6"/>
  <c r="AB77" i="6"/>
  <c r="R77" i="6"/>
  <c r="S77" i="6"/>
  <c r="T77" i="6"/>
  <c r="I77" i="6"/>
  <c r="J77" i="6"/>
  <c r="K77" i="6"/>
  <c r="W77" i="6"/>
  <c r="L77" i="6"/>
  <c r="X77" i="6"/>
  <c r="M77" i="6"/>
  <c r="Y77" i="6"/>
  <c r="Z77" i="6"/>
  <c r="O77" i="6"/>
  <c r="AA77" i="6"/>
  <c r="U77" i="6"/>
</calcChain>
</file>

<file path=xl/sharedStrings.xml><?xml version="1.0" encoding="utf-8"?>
<sst xmlns="http://schemas.openxmlformats.org/spreadsheetml/2006/main" count="323" uniqueCount="107">
  <si>
    <t>Data as at 30/6/2020</t>
  </si>
  <si>
    <t>Notes:</t>
  </si>
  <si>
    <t>2. Counts have been rounded to the nearest multiple of 5</t>
  </si>
  <si>
    <t xml:space="preserve">3. Counts within rows and columns may not sum to their reported total due to rounding </t>
  </si>
  <si>
    <t>4. Due to implementation of a new data collection system in 2020, dwelling and tenancy details at 30 June 2020 were not able to be provided for 173 public housing dwellings (121 occupied and 52 vacant).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</si>
  <si>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</si>
  <si>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</si>
  <si>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</si>
  <si>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</si>
  <si>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</si>
  <si>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</si>
  <si>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</si>
  <si>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</si>
  <si>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</si>
  <si>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</si>
  <si>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</si>
  <si>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</si>
  <si>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</si>
  <si>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</si>
  <si>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</si>
  <si>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</si>
  <si>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</si>
  <si>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</si>
  <si>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</si>
  <si>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</si>
  <si>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</si>
  <si>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</si>
  <si>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</si>
  <si>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</si>
  <si>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</si>
  <si>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</si>
  <si>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</si>
  <si>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</si>
  <si>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</si>
  <si>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</si>
  <si>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</si>
  <si>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</si>
  <si>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</si>
  <si>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</si>
  <si>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</si>
  <si>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</si>
  <si>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</si>
  <si>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</si>
  <si>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</si>
  <si>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</si>
  <si>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</si>
  <si>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</si>
  <si>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</si>
  <si>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</si>
  <si>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</si>
  <si>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</si>
  <si>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</si>
  <si>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</si>
  <si>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</si>
  <si>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</si>
  <si>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</si>
  <si>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</si>
  <si>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</si>
  <si>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</si>
  <si>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</si>
  <si>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</si>
  <si>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</si>
  <si>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</si>
  <si>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</si>
  <si>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</si>
  <si>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</si>
  <si>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</si>
  <si>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</si>
  <si>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Household composition</t>
  </si>
  <si>
    <t>Number of household members</t>
  </si>
  <si>
    <t>Aboriginal households</t>
  </si>
  <si>
    <t>Households with person with disability</t>
  </si>
  <si>
    <t>Paying less than market rent</t>
  </si>
  <si>
    <t>Single person</t>
  </si>
  <si>
    <t>Single parent with dependent children</t>
  </si>
  <si>
    <t>Couple only</t>
  </si>
  <si>
    <t>Couple with dependent children</t>
  </si>
  <si>
    <t>Group or mixed composition</t>
  </si>
  <si>
    <t>Has child under 15 years</t>
  </si>
  <si>
    <t>Has child under 5 years</t>
  </si>
  <si>
    <t>Has adult 65 years or more</t>
  </si>
  <si>
    <t>Younger person (main tenant under 25 years)</t>
  </si>
  <si>
    <t>Aged Pension</t>
  </si>
  <si>
    <t>Disability Support Pension</t>
  </si>
  <si>
    <t>Job Seeker</t>
  </si>
  <si>
    <t>Other Government payment</t>
  </si>
  <si>
    <t>Other cash income</t>
  </si>
  <si>
    <t>Income not stated</t>
  </si>
  <si>
    <t>1. Counts are not provided where Local Government Areas (LGAs) have one to three households in total, all counts for the LGA are replaced with "n.p."</t>
  </si>
  <si>
    <t>Match of dwelling to household size</t>
  </si>
  <si>
    <t>Tenure length</t>
  </si>
  <si>
    <t>Total households</t>
  </si>
  <si>
    <t>Average market rent of occupied dwellings, 30 June</t>
  </si>
  <si>
    <t>Average rent changed, 30 June</t>
  </si>
  <si>
    <t>Overcrowded households</t>
  </si>
  <si>
    <t>Underutilised households</t>
  </si>
  <si>
    <t>under 3 years</t>
  </si>
  <si>
    <t>3 to 9 years</t>
  </si>
  <si>
    <t>10 or more years</t>
  </si>
  <si>
    <t>Employee cash income / wages</t>
  </si>
  <si>
    <t>Total - households</t>
  </si>
  <si>
    <t>% Total - households</t>
  </si>
  <si>
    <t>Households, at 30 June 2020 - State Owned and Managed Indigenous Housing</t>
  </si>
  <si>
    <t>Characteristics of households in State Owned and Managed Indigenous Housing as at 30 June 2020</t>
  </si>
  <si>
    <t>Main source of income - households paying less than market rent only</t>
  </si>
  <si>
    <t>n.p.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</si>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</sst>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8" fillId="2" borderId="4" xfId="1" applyFont="1" applyFill="1" applyBorder="1" applyAlignment="1">
      <alignment vertical="center" wrapText="1"/>
    </xf>
    <xf numFmtId="0" fontId="8" fillId="2" borderId="4" xfId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9" fontId="6" fillId="0" borderId="0" xfId="0" applyNumberFormat="1" applyFont="1"/>
    <xf numFmtId="0" fontId="10" fillId="0" borderId="0" xfId="0" applyFont="1"/>
    <xf numFmtId="0" fontId="11" fillId="0" borderId="0" xfId="0" applyFont="1"/>
    <xf numFmtId="3" fontId="0" fillId="0" borderId="0" xfId="0" applyNumberFormat="1"/>
    <xf numFmtId="0" fontId="1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8B1FD94E-C0DF-46FB-AC6D-7C6669294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EB90-3C36-401A-BEC7-FD5E0C335920}">
  <sheetPr>
    <tabColor theme="9" tint="0.79998168889431442"/>
    <pageSetUpPr fitToPage="1"/>
  </sheetPr>
  <dimension ref="A1:AC82"/>
  <sheetViews>
    <sheetView tabSelected="1" workbookViewId="0">
      <pane xSplit="1" ySplit="14" topLeftCell="B15" activePane="bottomRight" state="frozen"/>
      <selection activeCell="E12" sqref="E12"/>
      <selection pane="topRight" activeCell="E12" sqref="E12"/>
      <selection pane="bottomLeft" activeCell="E12" sqref="E12"/>
      <selection pane="bottomRight" activeCell="E24" sqref="E24"/>
    </sheetView>
  </sheetViews>
  <sheetFormatPr defaultRowHeight="15" x14ac:dyDescent="0.25"/>
  <cols>
    <col min="1" max="1" width="38.140625" bestFit="1" customWidth="1"/>
    <col min="2" max="19" width="15.7109375" customWidth="1"/>
    <col min="20" max="22" width="15.85546875" customWidth="1"/>
    <col min="23" max="29" width="15.7109375" customWidth="1"/>
  </cols>
  <sheetData>
    <row r="1" spans="1:29" ht="20.25" x14ac:dyDescent="0.25">
      <c r="A1" s="1" t="s">
        <v>102</v>
      </c>
    </row>
    <row r="2" spans="1:29" x14ac:dyDescent="0.25">
      <c r="A2" s="2" t="s">
        <v>0</v>
      </c>
    </row>
    <row r="3" spans="1:29" x14ac:dyDescent="0.25">
      <c r="A3" s="15"/>
    </row>
    <row r="4" spans="1:29" s="16" customFormat="1" ht="12.75" x14ac:dyDescent="0.2">
      <c r="A4" s="3" t="s">
        <v>1</v>
      </c>
    </row>
    <row r="5" spans="1:29" s="16" customFormat="1" ht="12.75" x14ac:dyDescent="0.2">
      <c r="A5" s="3" t="s">
        <v>88</v>
      </c>
    </row>
    <row r="6" spans="1:29" s="16" customFormat="1" ht="12.75" x14ac:dyDescent="0.2">
      <c r="A6" s="3" t="s">
        <v>2</v>
      </c>
    </row>
    <row r="7" spans="1:29" s="16" customFormat="1" ht="12.75" x14ac:dyDescent="0.2">
      <c r="A7" s="4" t="s">
        <v>3</v>
      </c>
    </row>
    <row r="8" spans="1:29" s="16" customFormat="1" ht="12.75" x14ac:dyDescent="0.2">
      <c r="A8" s="3" t="s">
        <v>4</v>
      </c>
    </row>
    <row r="9" spans="1:29" s="16" customFormat="1" ht="12.75" x14ac:dyDescent="0.2">
      <c r="A9" s="3"/>
    </row>
    <row r="10" spans="1:29" s="16" customFormat="1" ht="12.75" x14ac:dyDescent="0.2">
      <c r="A10" s="3" t="s">
        <v>5</v>
      </c>
    </row>
    <row r="11" spans="1:29" x14ac:dyDescent="0.25">
      <c r="A11" s="3"/>
    </row>
    <row r="12" spans="1:29" x14ac:dyDescent="0.25">
      <c r="A12" s="5" t="s">
        <v>103</v>
      </c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9" ht="30" customHeight="1" x14ac:dyDescent="0.25">
      <c r="B13" s="6"/>
      <c r="C13" s="6"/>
      <c r="D13" s="6"/>
      <c r="E13" s="6"/>
      <c r="F13" s="6"/>
      <c r="G13" s="6"/>
      <c r="H13" s="6"/>
      <c r="I13" s="19" t="s">
        <v>68</v>
      </c>
      <c r="J13" s="22"/>
      <c r="K13" s="22"/>
      <c r="L13" s="22"/>
      <c r="M13" s="22"/>
      <c r="N13" s="22"/>
      <c r="O13" s="22"/>
      <c r="P13" s="22"/>
      <c r="Q13" s="23"/>
      <c r="R13" s="19" t="s">
        <v>89</v>
      </c>
      <c r="S13" s="21"/>
      <c r="T13" s="19" t="s">
        <v>90</v>
      </c>
      <c r="U13" s="20"/>
      <c r="V13" s="21"/>
      <c r="W13" s="19" t="s">
        <v>104</v>
      </c>
      <c r="X13" s="22"/>
      <c r="Y13" s="22"/>
      <c r="Z13" s="20"/>
      <c r="AA13" s="20"/>
      <c r="AB13" s="20"/>
      <c r="AC13" s="21"/>
    </row>
    <row r="14" spans="1:29" ht="71.25" x14ac:dyDescent="0.25">
      <c r="A14" s="7" t="s">
        <v>6</v>
      </c>
      <c r="B14" s="8" t="s">
        <v>91</v>
      </c>
      <c r="C14" s="8" t="s">
        <v>69</v>
      </c>
      <c r="D14" s="8" t="s">
        <v>70</v>
      </c>
      <c r="E14" s="8" t="s">
        <v>71</v>
      </c>
      <c r="F14" s="8" t="s">
        <v>92</v>
      </c>
      <c r="G14" s="8" t="s">
        <v>93</v>
      </c>
      <c r="H14" s="8" t="s">
        <v>72</v>
      </c>
      <c r="I14" s="8" t="s">
        <v>73</v>
      </c>
      <c r="J14" s="8" t="s">
        <v>74</v>
      </c>
      <c r="K14" s="8" t="s">
        <v>75</v>
      </c>
      <c r="L14" s="8" t="s">
        <v>76</v>
      </c>
      <c r="M14" s="8" t="s">
        <v>77</v>
      </c>
      <c r="N14" s="8" t="s">
        <v>78</v>
      </c>
      <c r="O14" s="8" t="s">
        <v>79</v>
      </c>
      <c r="P14" s="8" t="s">
        <v>80</v>
      </c>
      <c r="Q14" s="8" t="s">
        <v>81</v>
      </c>
      <c r="R14" s="8" t="s">
        <v>94</v>
      </c>
      <c r="S14" s="8" t="s">
        <v>95</v>
      </c>
      <c r="T14" s="8" t="s">
        <v>96</v>
      </c>
      <c r="U14" s="8" t="s">
        <v>97</v>
      </c>
      <c r="V14" s="8" t="s">
        <v>98</v>
      </c>
      <c r="W14" s="8" t="s">
        <v>82</v>
      </c>
      <c r="X14" s="8" t="s">
        <v>83</v>
      </c>
      <c r="Y14" s="8" t="s">
        <v>84</v>
      </c>
      <c r="Z14" s="8" t="s">
        <v>85</v>
      </c>
      <c r="AA14" s="8" t="s">
        <v>99</v>
      </c>
      <c r="AB14" s="8" t="s">
        <v>86</v>
      </c>
      <c r="AC14" s="8" t="s">
        <v>87</v>
      </c>
    </row>
    <row r="15" spans="1:29" x14ac:dyDescent="0.25">
      <c r="A15" s="6" t="s">
        <v>7</v>
      </c>
      <c r="B15" s="9">
        <v>0</v>
      </c>
      <c r="C15" s="9">
        <v>0</v>
      </c>
      <c r="D15" s="9">
        <v>0</v>
      </c>
      <c r="E15" s="9">
        <v>0</v>
      </c>
      <c r="F15" s="10" t="s">
        <v>106</v>
      </c>
      <c r="G15" s="10" t="s">
        <v>106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</row>
    <row r="16" spans="1:29" x14ac:dyDescent="0.25">
      <c r="A16" s="6" t="s">
        <v>8</v>
      </c>
      <c r="B16" s="9">
        <v>0</v>
      </c>
      <c r="C16" s="9">
        <v>0</v>
      </c>
      <c r="D16" s="9">
        <v>0</v>
      </c>
      <c r="E16" s="9">
        <v>0</v>
      </c>
      <c r="F16" s="10" t="s">
        <v>106</v>
      </c>
      <c r="G16" s="10" t="s">
        <v>106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</row>
    <row r="17" spans="1:29" x14ac:dyDescent="0.25">
      <c r="A17" s="6" t="s">
        <v>9</v>
      </c>
      <c r="B17" s="9">
        <v>0</v>
      </c>
      <c r="C17" s="9">
        <v>0</v>
      </c>
      <c r="D17" s="9">
        <v>0</v>
      </c>
      <c r="E17" s="9">
        <v>0</v>
      </c>
      <c r="F17" s="10" t="s">
        <v>106</v>
      </c>
      <c r="G17" s="10" t="s">
        <v>106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</row>
    <row r="18" spans="1:29" x14ac:dyDescent="0.25">
      <c r="A18" s="6" t="s">
        <v>10</v>
      </c>
      <c r="B18" s="9">
        <v>0</v>
      </c>
      <c r="C18" s="9">
        <v>0</v>
      </c>
      <c r="D18" s="9">
        <v>0</v>
      </c>
      <c r="E18" s="9">
        <v>0</v>
      </c>
      <c r="F18" s="10" t="s">
        <v>106</v>
      </c>
      <c r="G18" s="10" t="s">
        <v>106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</row>
    <row r="19" spans="1:29" x14ac:dyDescent="0.25">
      <c r="A19" s="6" t="s">
        <v>11</v>
      </c>
      <c r="B19" s="9">
        <v>25</v>
      </c>
      <c r="C19" s="9">
        <v>70</v>
      </c>
      <c r="D19" s="9">
        <v>25</v>
      </c>
      <c r="E19" s="9">
        <v>10</v>
      </c>
      <c r="F19" s="10">
        <v>205.46153846153845</v>
      </c>
      <c r="G19" s="10">
        <v>153.54615384615389</v>
      </c>
      <c r="H19" s="9">
        <v>15</v>
      </c>
      <c r="I19" s="9">
        <v>10</v>
      </c>
      <c r="J19" s="9">
        <v>5</v>
      </c>
      <c r="K19" s="9">
        <v>0</v>
      </c>
      <c r="L19" s="9">
        <v>0</v>
      </c>
      <c r="M19" s="9">
        <v>10</v>
      </c>
      <c r="N19" s="9">
        <v>10</v>
      </c>
      <c r="O19" s="9">
        <v>5</v>
      </c>
      <c r="P19" s="9">
        <v>10</v>
      </c>
      <c r="Q19" s="9">
        <v>0</v>
      </c>
      <c r="R19" s="9">
        <v>5</v>
      </c>
      <c r="S19" s="9">
        <v>10</v>
      </c>
      <c r="T19" s="9">
        <v>10</v>
      </c>
      <c r="U19" s="9">
        <v>10</v>
      </c>
      <c r="V19" s="9">
        <v>10</v>
      </c>
      <c r="W19" s="9">
        <v>5</v>
      </c>
      <c r="X19" s="9">
        <v>5</v>
      </c>
      <c r="Y19" s="9">
        <v>0</v>
      </c>
      <c r="Z19" s="9">
        <v>5</v>
      </c>
      <c r="AA19" s="9">
        <v>0</v>
      </c>
      <c r="AB19" s="9">
        <v>0</v>
      </c>
      <c r="AC19" s="9">
        <v>10</v>
      </c>
    </row>
    <row r="20" spans="1:29" x14ac:dyDescent="0.25">
      <c r="A20" s="6" t="s">
        <v>12</v>
      </c>
      <c r="B20" s="9" t="s">
        <v>105</v>
      </c>
      <c r="C20" s="9" t="s">
        <v>105</v>
      </c>
      <c r="D20" s="9" t="s">
        <v>105</v>
      </c>
      <c r="E20" s="9" t="s">
        <v>105</v>
      </c>
      <c r="F20" s="10" t="s">
        <v>105</v>
      </c>
      <c r="G20" s="10" t="s">
        <v>105</v>
      </c>
      <c r="H20" s="9" t="s">
        <v>105</v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 s="9" t="s">
        <v>105</v>
      </c>
      <c r="P20" s="9" t="s">
        <v>105</v>
      </c>
      <c r="Q20" s="9" t="s">
        <v>105</v>
      </c>
      <c r="R20" s="9" t="s">
        <v>105</v>
      </c>
      <c r="S20" s="9" t="s">
        <v>105</v>
      </c>
      <c r="T20" s="9" t="s">
        <v>105</v>
      </c>
      <c r="U20" s="9" t="s">
        <v>105</v>
      </c>
      <c r="V20" s="9" t="s">
        <v>105</v>
      </c>
      <c r="W20" s="9" t="s">
        <v>105</v>
      </c>
      <c r="X20" s="9" t="s">
        <v>105</v>
      </c>
      <c r="Y20" s="9" t="s">
        <v>105</v>
      </c>
      <c r="Z20" s="9" t="s">
        <v>105</v>
      </c>
      <c r="AA20" s="9" t="s">
        <v>105</v>
      </c>
      <c r="AB20" s="9" t="s">
        <v>105</v>
      </c>
      <c r="AC20" s="9" t="s">
        <v>105</v>
      </c>
    </row>
    <row r="21" spans="1:29" x14ac:dyDescent="0.25">
      <c r="A21" s="6" t="s">
        <v>13</v>
      </c>
      <c r="B21" s="9" t="s">
        <v>105</v>
      </c>
      <c r="C21" s="9" t="s">
        <v>105</v>
      </c>
      <c r="D21" s="9" t="s">
        <v>105</v>
      </c>
      <c r="E21" s="9" t="s">
        <v>105</v>
      </c>
      <c r="F21" s="10" t="s">
        <v>105</v>
      </c>
      <c r="G21" s="10" t="s">
        <v>105</v>
      </c>
      <c r="H21" s="9" t="s">
        <v>105</v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 s="9" t="s">
        <v>105</v>
      </c>
      <c r="P21" s="9" t="s">
        <v>105</v>
      </c>
      <c r="Q21" s="9" t="s">
        <v>105</v>
      </c>
      <c r="R21" s="9" t="s">
        <v>105</v>
      </c>
      <c r="S21" s="9" t="s">
        <v>105</v>
      </c>
      <c r="T21" s="9" t="s">
        <v>105</v>
      </c>
      <c r="U21" s="9" t="s">
        <v>105</v>
      </c>
      <c r="V21" s="9" t="s">
        <v>105</v>
      </c>
      <c r="W21" s="9" t="s">
        <v>105</v>
      </c>
      <c r="X21" s="9" t="s">
        <v>105</v>
      </c>
      <c r="Y21" s="9" t="s">
        <v>105</v>
      </c>
      <c r="Z21" s="9" t="s">
        <v>105</v>
      </c>
      <c r="AA21" s="9" t="s">
        <v>105</v>
      </c>
      <c r="AB21" s="9" t="s">
        <v>105</v>
      </c>
      <c r="AC21" s="9" t="s">
        <v>105</v>
      </c>
    </row>
    <row r="22" spans="1:29" x14ac:dyDescent="0.25">
      <c r="A22" s="6" t="s">
        <v>14</v>
      </c>
      <c r="B22" s="9" t="s">
        <v>105</v>
      </c>
      <c r="C22" s="9" t="s">
        <v>105</v>
      </c>
      <c r="D22" s="9" t="s">
        <v>105</v>
      </c>
      <c r="E22" s="9" t="s">
        <v>105</v>
      </c>
      <c r="F22" s="10" t="s">
        <v>105</v>
      </c>
      <c r="G22" s="10" t="s">
        <v>105</v>
      </c>
      <c r="H22" s="9" t="s">
        <v>105</v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 s="9" t="s">
        <v>105</v>
      </c>
      <c r="P22" s="9" t="s">
        <v>105</v>
      </c>
      <c r="Q22" s="9" t="s">
        <v>105</v>
      </c>
      <c r="R22" s="9" t="s">
        <v>105</v>
      </c>
      <c r="S22" s="9" t="s">
        <v>105</v>
      </c>
      <c r="T22" s="9" t="s">
        <v>105</v>
      </c>
      <c r="U22" s="9" t="s">
        <v>105</v>
      </c>
      <c r="V22" s="9" t="s">
        <v>105</v>
      </c>
      <c r="W22" s="9" t="s">
        <v>105</v>
      </c>
      <c r="X22" s="9" t="s">
        <v>105</v>
      </c>
      <c r="Y22" s="9" t="s">
        <v>105</v>
      </c>
      <c r="Z22" s="9" t="s">
        <v>105</v>
      </c>
      <c r="AA22" s="9" t="s">
        <v>105</v>
      </c>
      <c r="AB22" s="9" t="s">
        <v>105</v>
      </c>
      <c r="AC22" s="9" t="s">
        <v>105</v>
      </c>
    </row>
    <row r="23" spans="1:29" x14ac:dyDescent="0.25">
      <c r="A23" s="6" t="s">
        <v>15</v>
      </c>
      <c r="B23" s="9">
        <v>50</v>
      </c>
      <c r="C23" s="9">
        <v>110</v>
      </c>
      <c r="D23" s="9">
        <v>50</v>
      </c>
      <c r="E23" s="9">
        <v>15</v>
      </c>
      <c r="F23" s="10">
        <v>380.96</v>
      </c>
      <c r="G23" s="10">
        <v>164.042</v>
      </c>
      <c r="H23" s="9">
        <v>45</v>
      </c>
      <c r="I23" s="9">
        <v>20</v>
      </c>
      <c r="J23" s="9">
        <v>10</v>
      </c>
      <c r="K23" s="9">
        <v>5</v>
      </c>
      <c r="L23" s="9">
        <v>0</v>
      </c>
      <c r="M23" s="9">
        <v>10</v>
      </c>
      <c r="N23" s="9">
        <v>10</v>
      </c>
      <c r="O23" s="9">
        <v>5</v>
      </c>
      <c r="P23" s="9">
        <v>15</v>
      </c>
      <c r="Q23" s="9">
        <v>0</v>
      </c>
      <c r="R23" s="9">
        <v>5</v>
      </c>
      <c r="S23" s="9">
        <v>15</v>
      </c>
      <c r="T23" s="9">
        <v>10</v>
      </c>
      <c r="U23" s="9">
        <v>10</v>
      </c>
      <c r="V23" s="9">
        <v>30</v>
      </c>
      <c r="W23" s="9">
        <v>10</v>
      </c>
      <c r="X23" s="9">
        <v>10</v>
      </c>
      <c r="Y23" s="9">
        <v>5</v>
      </c>
      <c r="Z23" s="9">
        <v>10</v>
      </c>
      <c r="AA23" s="9">
        <v>5</v>
      </c>
      <c r="AB23" s="9">
        <v>0</v>
      </c>
      <c r="AC23" s="9">
        <v>5</v>
      </c>
    </row>
    <row r="24" spans="1:29" x14ac:dyDescent="0.25">
      <c r="A24" s="6" t="s">
        <v>16</v>
      </c>
      <c r="B24" s="9">
        <v>5</v>
      </c>
      <c r="C24" s="9">
        <v>20</v>
      </c>
      <c r="D24" s="9">
        <v>5</v>
      </c>
      <c r="E24" s="9">
        <v>0</v>
      </c>
      <c r="F24" s="10">
        <v>405.71428571428572</v>
      </c>
      <c r="G24" s="10">
        <v>176.21428571428572</v>
      </c>
      <c r="H24" s="9">
        <v>5</v>
      </c>
      <c r="I24" s="9">
        <v>5</v>
      </c>
      <c r="J24" s="9">
        <v>0</v>
      </c>
      <c r="K24" s="9">
        <v>0</v>
      </c>
      <c r="L24" s="9">
        <v>0</v>
      </c>
      <c r="M24" s="9">
        <v>5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5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</row>
    <row r="25" spans="1:29" x14ac:dyDescent="0.25">
      <c r="A25" s="6" t="s">
        <v>17</v>
      </c>
      <c r="B25" s="9">
        <v>45</v>
      </c>
      <c r="C25" s="9">
        <v>115</v>
      </c>
      <c r="D25" s="9">
        <v>45</v>
      </c>
      <c r="E25" s="9">
        <v>10</v>
      </c>
      <c r="F25" s="10">
        <v>370</v>
      </c>
      <c r="G25" s="10">
        <v>174.66086956521744</v>
      </c>
      <c r="H25" s="9">
        <v>40</v>
      </c>
      <c r="I25" s="9">
        <v>15</v>
      </c>
      <c r="J25" s="9">
        <v>10</v>
      </c>
      <c r="K25" s="9">
        <v>5</v>
      </c>
      <c r="L25" s="9">
        <v>0</v>
      </c>
      <c r="M25" s="9">
        <v>15</v>
      </c>
      <c r="N25" s="9">
        <v>15</v>
      </c>
      <c r="O25" s="9">
        <v>5</v>
      </c>
      <c r="P25" s="9">
        <v>5</v>
      </c>
      <c r="Q25" s="9">
        <v>0</v>
      </c>
      <c r="R25" s="9">
        <v>5</v>
      </c>
      <c r="S25" s="9">
        <v>15</v>
      </c>
      <c r="T25" s="9">
        <v>10</v>
      </c>
      <c r="U25" s="9">
        <v>10</v>
      </c>
      <c r="V25" s="9">
        <v>25</v>
      </c>
      <c r="W25" s="9">
        <v>5</v>
      </c>
      <c r="X25" s="9">
        <v>10</v>
      </c>
      <c r="Y25" s="9">
        <v>10</v>
      </c>
      <c r="Z25" s="9">
        <v>10</v>
      </c>
      <c r="AA25" s="9">
        <v>5</v>
      </c>
      <c r="AB25" s="9">
        <v>0</v>
      </c>
      <c r="AC25" s="9">
        <v>5</v>
      </c>
    </row>
    <row r="26" spans="1:29" x14ac:dyDescent="0.25">
      <c r="A26" s="6" t="s">
        <v>18</v>
      </c>
      <c r="B26" s="9">
        <v>15</v>
      </c>
      <c r="C26" s="9">
        <v>25</v>
      </c>
      <c r="D26" s="9">
        <v>15</v>
      </c>
      <c r="E26" s="9">
        <v>0</v>
      </c>
      <c r="F26" s="10">
        <v>384</v>
      </c>
      <c r="G26" s="10">
        <v>133.67142857142855</v>
      </c>
      <c r="H26" s="9">
        <v>15</v>
      </c>
      <c r="I26" s="9">
        <v>5</v>
      </c>
      <c r="J26" s="9">
        <v>5</v>
      </c>
      <c r="K26" s="9">
        <v>0</v>
      </c>
      <c r="L26" s="9">
        <v>0</v>
      </c>
      <c r="M26" s="9">
        <v>0</v>
      </c>
      <c r="N26" s="9">
        <v>5</v>
      </c>
      <c r="O26" s="9">
        <v>0</v>
      </c>
      <c r="P26" s="9">
        <v>5</v>
      </c>
      <c r="Q26" s="9">
        <v>0</v>
      </c>
      <c r="R26" s="9">
        <v>0</v>
      </c>
      <c r="S26" s="9">
        <v>5</v>
      </c>
      <c r="T26" s="9">
        <v>5</v>
      </c>
      <c r="U26" s="9">
        <v>5</v>
      </c>
      <c r="V26" s="9">
        <v>5</v>
      </c>
      <c r="W26" s="9">
        <v>5</v>
      </c>
      <c r="X26" s="9">
        <v>0</v>
      </c>
      <c r="Y26" s="9">
        <v>5</v>
      </c>
      <c r="Z26" s="9">
        <v>0</v>
      </c>
      <c r="AA26" s="9">
        <v>0</v>
      </c>
      <c r="AB26" s="9">
        <v>0</v>
      </c>
      <c r="AC26" s="9">
        <v>0</v>
      </c>
    </row>
    <row r="27" spans="1:29" x14ac:dyDescent="0.25">
      <c r="A27" s="6" t="s">
        <v>19</v>
      </c>
      <c r="B27" s="9">
        <v>20</v>
      </c>
      <c r="C27" s="9">
        <v>60</v>
      </c>
      <c r="D27" s="9">
        <v>20</v>
      </c>
      <c r="E27" s="9">
        <v>5</v>
      </c>
      <c r="F27" s="10">
        <v>243</v>
      </c>
      <c r="G27" s="10">
        <v>178.20555555555561</v>
      </c>
      <c r="H27" s="9">
        <v>15</v>
      </c>
      <c r="I27" s="9">
        <v>5</v>
      </c>
      <c r="J27" s="9">
        <v>5</v>
      </c>
      <c r="K27" s="9">
        <v>0</v>
      </c>
      <c r="L27" s="9">
        <v>5</v>
      </c>
      <c r="M27" s="9">
        <v>0</v>
      </c>
      <c r="N27" s="9">
        <v>10</v>
      </c>
      <c r="O27" s="9">
        <v>5</v>
      </c>
      <c r="P27" s="9">
        <v>0</v>
      </c>
      <c r="Q27" s="9">
        <v>0</v>
      </c>
      <c r="R27" s="9">
        <v>0</v>
      </c>
      <c r="S27" s="9">
        <v>5</v>
      </c>
      <c r="T27" s="9">
        <v>5</v>
      </c>
      <c r="U27" s="9">
        <v>5</v>
      </c>
      <c r="V27" s="9">
        <v>5</v>
      </c>
      <c r="W27" s="9">
        <v>0</v>
      </c>
      <c r="X27" s="9">
        <v>5</v>
      </c>
      <c r="Y27" s="9">
        <v>0</v>
      </c>
      <c r="Z27" s="9">
        <v>5</v>
      </c>
      <c r="AA27" s="9">
        <v>0</v>
      </c>
      <c r="AB27" s="9">
        <v>0</v>
      </c>
      <c r="AC27" s="9">
        <v>5</v>
      </c>
    </row>
    <row r="28" spans="1:29" x14ac:dyDescent="0.25">
      <c r="A28" s="6" t="s">
        <v>20</v>
      </c>
      <c r="B28" s="9">
        <v>5</v>
      </c>
      <c r="C28" s="9">
        <v>10</v>
      </c>
      <c r="D28" s="9">
        <v>5</v>
      </c>
      <c r="E28" s="9">
        <v>0</v>
      </c>
      <c r="F28" s="10">
        <v>511</v>
      </c>
      <c r="G28" s="10">
        <v>178.07499999999999</v>
      </c>
      <c r="H28" s="9">
        <v>5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5</v>
      </c>
      <c r="T28" s="9">
        <v>0</v>
      </c>
      <c r="U28" s="9">
        <v>0</v>
      </c>
      <c r="V28" s="9">
        <v>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</row>
    <row r="29" spans="1:29" x14ac:dyDescent="0.25">
      <c r="A29" s="6" t="s">
        <v>21</v>
      </c>
      <c r="B29" s="9">
        <v>70</v>
      </c>
      <c r="C29" s="9">
        <v>195</v>
      </c>
      <c r="D29" s="9">
        <v>70</v>
      </c>
      <c r="E29" s="9">
        <v>15</v>
      </c>
      <c r="F29" s="10">
        <v>288.78873239436621</v>
      </c>
      <c r="G29" s="10">
        <v>156.25915492957742</v>
      </c>
      <c r="H29" s="9">
        <v>60</v>
      </c>
      <c r="I29" s="9">
        <v>30</v>
      </c>
      <c r="J29" s="9">
        <v>25</v>
      </c>
      <c r="K29" s="9">
        <v>0</v>
      </c>
      <c r="L29" s="9">
        <v>5</v>
      </c>
      <c r="M29" s="9">
        <v>15</v>
      </c>
      <c r="N29" s="9">
        <v>30</v>
      </c>
      <c r="O29" s="9">
        <v>10</v>
      </c>
      <c r="P29" s="9">
        <v>5</v>
      </c>
      <c r="Q29" s="9">
        <v>0</v>
      </c>
      <c r="R29" s="9">
        <v>5</v>
      </c>
      <c r="S29" s="9">
        <v>30</v>
      </c>
      <c r="T29" s="9">
        <v>10</v>
      </c>
      <c r="U29" s="9">
        <v>20</v>
      </c>
      <c r="V29" s="9">
        <v>35</v>
      </c>
      <c r="W29" s="9">
        <v>5</v>
      </c>
      <c r="X29" s="9">
        <v>15</v>
      </c>
      <c r="Y29" s="9">
        <v>20</v>
      </c>
      <c r="Z29" s="9">
        <v>20</v>
      </c>
      <c r="AA29" s="9">
        <v>0</v>
      </c>
      <c r="AB29" s="9">
        <v>0</v>
      </c>
      <c r="AC29" s="9">
        <v>10</v>
      </c>
    </row>
    <row r="30" spans="1:29" x14ac:dyDescent="0.25">
      <c r="A30" s="6" t="s">
        <v>22</v>
      </c>
      <c r="B30" s="9">
        <v>50</v>
      </c>
      <c r="C30" s="9">
        <v>165</v>
      </c>
      <c r="D30" s="9">
        <v>50</v>
      </c>
      <c r="E30" s="9">
        <v>15</v>
      </c>
      <c r="F30" s="10">
        <v>260.27450980392155</v>
      </c>
      <c r="G30" s="10">
        <v>159.84705882352944</v>
      </c>
      <c r="H30" s="9">
        <v>40</v>
      </c>
      <c r="I30" s="9">
        <v>15</v>
      </c>
      <c r="J30" s="9">
        <v>20</v>
      </c>
      <c r="K30" s="9">
        <v>0</v>
      </c>
      <c r="L30" s="9">
        <v>5</v>
      </c>
      <c r="M30" s="9">
        <v>15</v>
      </c>
      <c r="N30" s="9">
        <v>25</v>
      </c>
      <c r="O30" s="9">
        <v>5</v>
      </c>
      <c r="P30" s="9">
        <v>10</v>
      </c>
      <c r="Q30" s="9">
        <v>0</v>
      </c>
      <c r="R30" s="9">
        <v>5</v>
      </c>
      <c r="S30" s="9">
        <v>20</v>
      </c>
      <c r="T30" s="9">
        <v>15</v>
      </c>
      <c r="U30" s="9">
        <v>15</v>
      </c>
      <c r="V30" s="9">
        <v>25</v>
      </c>
      <c r="W30" s="9">
        <v>5</v>
      </c>
      <c r="X30" s="9">
        <v>10</v>
      </c>
      <c r="Y30" s="9">
        <v>10</v>
      </c>
      <c r="Z30" s="9">
        <v>15</v>
      </c>
      <c r="AA30" s="9">
        <v>0</v>
      </c>
      <c r="AB30" s="9">
        <v>0</v>
      </c>
      <c r="AC30" s="9">
        <v>10</v>
      </c>
    </row>
    <row r="31" spans="1:29" x14ac:dyDescent="0.25">
      <c r="A31" s="6" t="s">
        <v>23</v>
      </c>
      <c r="B31" s="9">
        <v>200</v>
      </c>
      <c r="C31" s="9">
        <v>490</v>
      </c>
      <c r="D31" s="9">
        <v>200</v>
      </c>
      <c r="E31" s="9">
        <v>40</v>
      </c>
      <c r="F31" s="10">
        <v>345.21212121212119</v>
      </c>
      <c r="G31" s="10">
        <v>161.57121212121203</v>
      </c>
      <c r="H31" s="9">
        <v>185</v>
      </c>
      <c r="I31" s="9">
        <v>70</v>
      </c>
      <c r="J31" s="9">
        <v>60</v>
      </c>
      <c r="K31" s="9">
        <v>5</v>
      </c>
      <c r="L31" s="9">
        <v>10</v>
      </c>
      <c r="M31" s="9">
        <v>50</v>
      </c>
      <c r="N31" s="9">
        <v>75</v>
      </c>
      <c r="O31" s="9">
        <v>25</v>
      </c>
      <c r="P31" s="9">
        <v>30</v>
      </c>
      <c r="Q31" s="9">
        <v>5</v>
      </c>
      <c r="R31" s="9">
        <v>15</v>
      </c>
      <c r="S31" s="9">
        <v>65</v>
      </c>
      <c r="T31" s="9">
        <v>45</v>
      </c>
      <c r="U31" s="9">
        <v>65</v>
      </c>
      <c r="V31" s="9">
        <v>85</v>
      </c>
      <c r="W31" s="9">
        <v>15</v>
      </c>
      <c r="X31" s="9">
        <v>40</v>
      </c>
      <c r="Y31" s="9">
        <v>50</v>
      </c>
      <c r="Z31" s="9">
        <v>50</v>
      </c>
      <c r="AA31" s="9">
        <v>15</v>
      </c>
      <c r="AB31" s="9">
        <v>5</v>
      </c>
      <c r="AC31" s="9">
        <v>20</v>
      </c>
    </row>
    <row r="32" spans="1:29" x14ac:dyDescent="0.25">
      <c r="A32" s="6" t="s">
        <v>24</v>
      </c>
      <c r="B32" s="9">
        <v>85</v>
      </c>
      <c r="C32" s="9">
        <v>235</v>
      </c>
      <c r="D32" s="9">
        <v>85</v>
      </c>
      <c r="E32" s="9">
        <v>20</v>
      </c>
      <c r="F32" s="10">
        <v>259.18604651162792</v>
      </c>
      <c r="G32" s="10">
        <v>149.12790697674424</v>
      </c>
      <c r="H32" s="9">
        <v>75</v>
      </c>
      <c r="I32" s="9">
        <v>25</v>
      </c>
      <c r="J32" s="9">
        <v>30</v>
      </c>
      <c r="K32" s="9">
        <v>5</v>
      </c>
      <c r="L32" s="9">
        <v>5</v>
      </c>
      <c r="M32" s="9">
        <v>20</v>
      </c>
      <c r="N32" s="9">
        <v>40</v>
      </c>
      <c r="O32" s="9">
        <v>15</v>
      </c>
      <c r="P32" s="9">
        <v>15</v>
      </c>
      <c r="Q32" s="9">
        <v>0</v>
      </c>
      <c r="R32" s="9">
        <v>5</v>
      </c>
      <c r="S32" s="9">
        <v>20</v>
      </c>
      <c r="T32" s="9">
        <v>30</v>
      </c>
      <c r="U32" s="9">
        <v>15</v>
      </c>
      <c r="V32" s="9">
        <v>35</v>
      </c>
      <c r="W32" s="9">
        <v>10</v>
      </c>
      <c r="X32" s="9">
        <v>10</v>
      </c>
      <c r="Y32" s="9">
        <v>20</v>
      </c>
      <c r="Z32" s="9">
        <v>25</v>
      </c>
      <c r="AA32" s="9">
        <v>5</v>
      </c>
      <c r="AB32" s="9">
        <v>0</v>
      </c>
      <c r="AC32" s="9">
        <v>10</v>
      </c>
    </row>
    <row r="33" spans="1:29" x14ac:dyDescent="0.25">
      <c r="A33" s="6" t="s">
        <v>25</v>
      </c>
      <c r="B33" s="9">
        <v>20</v>
      </c>
      <c r="C33" s="9">
        <v>40</v>
      </c>
      <c r="D33" s="9">
        <v>20</v>
      </c>
      <c r="E33" s="9">
        <v>5</v>
      </c>
      <c r="F33" s="10">
        <v>421.14285714285717</v>
      </c>
      <c r="G33" s="10">
        <v>140.90476190476193</v>
      </c>
      <c r="H33" s="9">
        <v>20</v>
      </c>
      <c r="I33" s="9">
        <v>10</v>
      </c>
      <c r="J33" s="9">
        <v>5</v>
      </c>
      <c r="K33" s="9">
        <v>0</v>
      </c>
      <c r="L33" s="9">
        <v>0</v>
      </c>
      <c r="M33" s="9">
        <v>5</v>
      </c>
      <c r="N33" s="9">
        <v>5</v>
      </c>
      <c r="O33" s="9">
        <v>5</v>
      </c>
      <c r="P33" s="9">
        <v>5</v>
      </c>
      <c r="Q33" s="9">
        <v>0</v>
      </c>
      <c r="R33" s="9">
        <v>0</v>
      </c>
      <c r="S33" s="9">
        <v>5</v>
      </c>
      <c r="T33" s="9">
        <v>5</v>
      </c>
      <c r="U33" s="9">
        <v>10</v>
      </c>
      <c r="V33" s="9">
        <v>10</v>
      </c>
      <c r="W33" s="9">
        <v>0</v>
      </c>
      <c r="X33" s="9">
        <v>10</v>
      </c>
      <c r="Y33" s="9">
        <v>5</v>
      </c>
      <c r="Z33" s="9">
        <v>5</v>
      </c>
      <c r="AA33" s="9">
        <v>0</v>
      </c>
      <c r="AB33" s="9">
        <v>0</v>
      </c>
      <c r="AC33" s="9">
        <v>0</v>
      </c>
    </row>
    <row r="34" spans="1:29" x14ac:dyDescent="0.25">
      <c r="A34" s="6" t="s">
        <v>26</v>
      </c>
      <c r="B34" s="9">
        <v>165</v>
      </c>
      <c r="C34" s="9">
        <v>415</v>
      </c>
      <c r="D34" s="9">
        <v>165</v>
      </c>
      <c r="E34" s="9">
        <v>35</v>
      </c>
      <c r="F34" s="10">
        <v>295.24096385542168</v>
      </c>
      <c r="G34" s="10">
        <v>166.49759036144565</v>
      </c>
      <c r="H34" s="9">
        <v>140</v>
      </c>
      <c r="I34" s="9">
        <v>60</v>
      </c>
      <c r="J34" s="9">
        <v>45</v>
      </c>
      <c r="K34" s="9">
        <v>5</v>
      </c>
      <c r="L34" s="9">
        <v>10</v>
      </c>
      <c r="M34" s="9">
        <v>50</v>
      </c>
      <c r="N34" s="9">
        <v>55</v>
      </c>
      <c r="O34" s="9">
        <v>20</v>
      </c>
      <c r="P34" s="9">
        <v>25</v>
      </c>
      <c r="Q34" s="9">
        <v>5</v>
      </c>
      <c r="R34" s="9">
        <v>10</v>
      </c>
      <c r="S34" s="9">
        <v>65</v>
      </c>
      <c r="T34" s="9">
        <v>30</v>
      </c>
      <c r="U34" s="9">
        <v>45</v>
      </c>
      <c r="V34" s="9">
        <v>90</v>
      </c>
      <c r="W34" s="9">
        <v>15</v>
      </c>
      <c r="X34" s="9">
        <v>40</v>
      </c>
      <c r="Y34" s="9">
        <v>30</v>
      </c>
      <c r="Z34" s="9">
        <v>40</v>
      </c>
      <c r="AA34" s="9">
        <v>10</v>
      </c>
      <c r="AB34" s="9">
        <v>0</v>
      </c>
      <c r="AC34" s="9">
        <v>30</v>
      </c>
    </row>
    <row r="35" spans="1:29" x14ac:dyDescent="0.25">
      <c r="A35" s="6" t="s">
        <v>27</v>
      </c>
      <c r="B35" s="9">
        <v>50</v>
      </c>
      <c r="C35" s="9">
        <v>125</v>
      </c>
      <c r="D35" s="9">
        <v>50</v>
      </c>
      <c r="E35" s="9">
        <v>15</v>
      </c>
      <c r="F35" s="10">
        <v>327.52941176470586</v>
      </c>
      <c r="G35" s="10">
        <v>167.2823529411765</v>
      </c>
      <c r="H35" s="9">
        <v>45</v>
      </c>
      <c r="I35" s="9">
        <v>15</v>
      </c>
      <c r="J35" s="9">
        <v>15</v>
      </c>
      <c r="K35" s="9">
        <v>0</v>
      </c>
      <c r="L35" s="9">
        <v>5</v>
      </c>
      <c r="M35" s="9">
        <v>15</v>
      </c>
      <c r="N35" s="9">
        <v>20</v>
      </c>
      <c r="O35" s="9">
        <v>5</v>
      </c>
      <c r="P35" s="9">
        <v>5</v>
      </c>
      <c r="Q35" s="9">
        <v>0</v>
      </c>
      <c r="R35" s="9">
        <v>5</v>
      </c>
      <c r="S35" s="9">
        <v>15</v>
      </c>
      <c r="T35" s="9">
        <v>15</v>
      </c>
      <c r="U35" s="9">
        <v>15</v>
      </c>
      <c r="V35" s="9">
        <v>25</v>
      </c>
      <c r="W35" s="9">
        <v>0</v>
      </c>
      <c r="X35" s="9">
        <v>15</v>
      </c>
      <c r="Y35" s="9">
        <v>5</v>
      </c>
      <c r="Z35" s="9">
        <v>15</v>
      </c>
      <c r="AA35" s="9">
        <v>5</v>
      </c>
      <c r="AB35" s="9">
        <v>0</v>
      </c>
      <c r="AC35" s="9">
        <v>10</v>
      </c>
    </row>
    <row r="36" spans="1:29" x14ac:dyDescent="0.25">
      <c r="A36" s="6" t="s">
        <v>28</v>
      </c>
      <c r="B36" s="9">
        <v>10</v>
      </c>
      <c r="C36" s="9">
        <v>20</v>
      </c>
      <c r="D36" s="9">
        <v>10</v>
      </c>
      <c r="E36" s="9">
        <v>0</v>
      </c>
      <c r="F36" s="10">
        <v>512.75</v>
      </c>
      <c r="G36" s="10">
        <v>207.28749999999999</v>
      </c>
      <c r="H36" s="9">
        <v>10</v>
      </c>
      <c r="I36" s="9">
        <v>0</v>
      </c>
      <c r="J36" s="9">
        <v>0</v>
      </c>
      <c r="K36" s="9">
        <v>0</v>
      </c>
      <c r="L36" s="9">
        <v>0</v>
      </c>
      <c r="M36" s="9">
        <v>5</v>
      </c>
      <c r="N36" s="9">
        <v>5</v>
      </c>
      <c r="O36" s="9">
        <v>0</v>
      </c>
      <c r="P36" s="9">
        <v>5</v>
      </c>
      <c r="Q36" s="9">
        <v>0</v>
      </c>
      <c r="R36" s="9">
        <v>0</v>
      </c>
      <c r="S36" s="9">
        <v>0</v>
      </c>
      <c r="T36" s="9">
        <v>0</v>
      </c>
      <c r="U36" s="9">
        <v>5</v>
      </c>
      <c r="V36" s="9">
        <v>5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</row>
    <row r="37" spans="1:29" x14ac:dyDescent="0.25">
      <c r="A37" s="6" t="s">
        <v>29</v>
      </c>
      <c r="B37" s="9">
        <v>45</v>
      </c>
      <c r="C37" s="9">
        <v>95</v>
      </c>
      <c r="D37" s="9">
        <v>45</v>
      </c>
      <c r="E37" s="9">
        <v>10</v>
      </c>
      <c r="F37" s="10">
        <v>420.69565217391306</v>
      </c>
      <c r="G37" s="10">
        <v>166.74347826086961</v>
      </c>
      <c r="H37" s="9">
        <v>45</v>
      </c>
      <c r="I37" s="9">
        <v>20</v>
      </c>
      <c r="J37" s="9">
        <v>10</v>
      </c>
      <c r="K37" s="9">
        <v>0</v>
      </c>
      <c r="L37" s="9">
        <v>0</v>
      </c>
      <c r="M37" s="9">
        <v>15</v>
      </c>
      <c r="N37" s="9">
        <v>10</v>
      </c>
      <c r="O37" s="9">
        <v>0</v>
      </c>
      <c r="P37" s="9">
        <v>10</v>
      </c>
      <c r="Q37" s="9">
        <v>0</v>
      </c>
      <c r="R37" s="9">
        <v>0</v>
      </c>
      <c r="S37" s="9">
        <v>15</v>
      </c>
      <c r="T37" s="9">
        <v>10</v>
      </c>
      <c r="U37" s="9">
        <v>10</v>
      </c>
      <c r="V37" s="9">
        <v>30</v>
      </c>
      <c r="W37" s="9">
        <v>5</v>
      </c>
      <c r="X37" s="9">
        <v>15</v>
      </c>
      <c r="Y37" s="9">
        <v>10</v>
      </c>
      <c r="Z37" s="9">
        <v>10</v>
      </c>
      <c r="AA37" s="9">
        <v>0</v>
      </c>
      <c r="AB37" s="9">
        <v>0</v>
      </c>
      <c r="AC37" s="9">
        <v>5</v>
      </c>
    </row>
    <row r="38" spans="1:29" x14ac:dyDescent="0.25">
      <c r="A38" s="6" t="s">
        <v>30</v>
      </c>
      <c r="B38" s="9">
        <v>25</v>
      </c>
      <c r="C38" s="9">
        <v>70</v>
      </c>
      <c r="D38" s="9">
        <v>25</v>
      </c>
      <c r="E38" s="9">
        <v>10</v>
      </c>
      <c r="F38" s="10">
        <v>262.48</v>
      </c>
      <c r="G38" s="10">
        <v>156.124</v>
      </c>
      <c r="H38" s="9">
        <v>20</v>
      </c>
      <c r="I38" s="9">
        <v>5</v>
      </c>
      <c r="J38" s="9">
        <v>10</v>
      </c>
      <c r="K38" s="9">
        <v>0</v>
      </c>
      <c r="L38" s="9">
        <v>5</v>
      </c>
      <c r="M38" s="9">
        <v>5</v>
      </c>
      <c r="N38" s="9">
        <v>15</v>
      </c>
      <c r="O38" s="9">
        <v>5</v>
      </c>
      <c r="P38" s="9">
        <v>0</v>
      </c>
      <c r="Q38" s="9">
        <v>0</v>
      </c>
      <c r="R38" s="9">
        <v>0</v>
      </c>
      <c r="S38" s="9">
        <v>5</v>
      </c>
      <c r="T38" s="9">
        <v>5</v>
      </c>
      <c r="U38" s="9">
        <v>10</v>
      </c>
      <c r="V38" s="9">
        <v>10</v>
      </c>
      <c r="W38" s="9">
        <v>0</v>
      </c>
      <c r="X38" s="9">
        <v>5</v>
      </c>
      <c r="Y38" s="9">
        <v>5</v>
      </c>
      <c r="Z38" s="9">
        <v>10</v>
      </c>
      <c r="AA38" s="9">
        <v>0</v>
      </c>
      <c r="AB38" s="9">
        <v>0</v>
      </c>
      <c r="AC38" s="9">
        <v>5</v>
      </c>
    </row>
    <row r="39" spans="1:29" x14ac:dyDescent="0.25">
      <c r="A39" s="6" t="s">
        <v>31</v>
      </c>
      <c r="B39" s="9" t="s">
        <v>105</v>
      </c>
      <c r="C39" s="9" t="s">
        <v>105</v>
      </c>
      <c r="D39" s="9" t="s">
        <v>105</v>
      </c>
      <c r="E39" s="9" t="s">
        <v>105</v>
      </c>
      <c r="F39" s="10" t="s">
        <v>105</v>
      </c>
      <c r="G39" s="10" t="s">
        <v>105</v>
      </c>
      <c r="H39" s="9" t="s">
        <v>105</v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 s="9" t="s">
        <v>105</v>
      </c>
      <c r="P39" s="9" t="s">
        <v>105</v>
      </c>
      <c r="Q39" s="9" t="s">
        <v>105</v>
      </c>
      <c r="R39" s="9" t="s">
        <v>105</v>
      </c>
      <c r="S39" s="9" t="s">
        <v>105</v>
      </c>
      <c r="T39" s="9" t="s">
        <v>105</v>
      </c>
      <c r="U39" s="9" t="s">
        <v>105</v>
      </c>
      <c r="V39" s="9" t="s">
        <v>105</v>
      </c>
      <c r="W39" s="9" t="s">
        <v>105</v>
      </c>
      <c r="X39" s="9" t="s">
        <v>105</v>
      </c>
      <c r="Y39" s="9" t="s">
        <v>105</v>
      </c>
      <c r="Z39" s="9" t="s">
        <v>105</v>
      </c>
      <c r="AA39" s="9" t="s">
        <v>105</v>
      </c>
      <c r="AB39" s="9" t="s">
        <v>105</v>
      </c>
      <c r="AC39" s="9" t="s">
        <v>105</v>
      </c>
    </row>
    <row r="40" spans="1:29" x14ac:dyDescent="0.25">
      <c r="A40" s="6" t="s">
        <v>32</v>
      </c>
      <c r="B40" s="9" t="s">
        <v>105</v>
      </c>
      <c r="C40" s="9" t="s">
        <v>105</v>
      </c>
      <c r="D40" s="9" t="s">
        <v>105</v>
      </c>
      <c r="E40" s="9" t="s">
        <v>105</v>
      </c>
      <c r="F40" s="10" t="s">
        <v>105</v>
      </c>
      <c r="G40" s="10" t="s">
        <v>105</v>
      </c>
      <c r="H40" s="9" t="s">
        <v>105</v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 s="9" t="s">
        <v>105</v>
      </c>
      <c r="P40" s="9" t="s">
        <v>105</v>
      </c>
      <c r="Q40" s="9" t="s">
        <v>105</v>
      </c>
      <c r="R40" s="9" t="s">
        <v>105</v>
      </c>
      <c r="S40" s="9" t="s">
        <v>105</v>
      </c>
      <c r="T40" s="9" t="s">
        <v>105</v>
      </c>
      <c r="U40" s="9" t="s">
        <v>105</v>
      </c>
      <c r="V40" s="9" t="s">
        <v>105</v>
      </c>
      <c r="W40" s="9" t="s">
        <v>105</v>
      </c>
      <c r="X40" s="9" t="s">
        <v>105</v>
      </c>
      <c r="Y40" s="9" t="s">
        <v>105</v>
      </c>
      <c r="Z40" s="9" t="s">
        <v>105</v>
      </c>
      <c r="AA40" s="9" t="s">
        <v>105</v>
      </c>
      <c r="AB40" s="9" t="s">
        <v>105</v>
      </c>
      <c r="AC40" s="9" t="s">
        <v>105</v>
      </c>
    </row>
    <row r="41" spans="1:29" x14ac:dyDescent="0.25">
      <c r="A41" s="6" t="s">
        <v>33</v>
      </c>
      <c r="B41" s="9">
        <v>15</v>
      </c>
      <c r="C41" s="9">
        <v>40</v>
      </c>
      <c r="D41" s="9">
        <v>15</v>
      </c>
      <c r="E41" s="9">
        <v>10</v>
      </c>
      <c r="F41" s="10">
        <v>232.25</v>
      </c>
      <c r="G41" s="10">
        <v>158.68125000000001</v>
      </c>
      <c r="H41" s="9">
        <v>15</v>
      </c>
      <c r="I41" s="9">
        <v>5</v>
      </c>
      <c r="J41" s="9">
        <v>5</v>
      </c>
      <c r="K41" s="9">
        <v>0</v>
      </c>
      <c r="L41" s="9">
        <v>0</v>
      </c>
      <c r="M41" s="9">
        <v>5</v>
      </c>
      <c r="N41" s="9">
        <v>5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5</v>
      </c>
      <c r="U41" s="9">
        <v>5</v>
      </c>
      <c r="V41" s="9">
        <v>5</v>
      </c>
      <c r="W41" s="9">
        <v>0</v>
      </c>
      <c r="X41" s="9">
        <v>5</v>
      </c>
      <c r="Y41" s="9">
        <v>5</v>
      </c>
      <c r="Z41" s="9">
        <v>5</v>
      </c>
      <c r="AA41" s="9">
        <v>0</v>
      </c>
      <c r="AB41" s="9">
        <v>0</v>
      </c>
      <c r="AC41" s="9">
        <v>5</v>
      </c>
    </row>
    <row r="42" spans="1:29" x14ac:dyDescent="0.25">
      <c r="A42" s="6" t="s">
        <v>34</v>
      </c>
      <c r="B42" s="9">
        <v>0</v>
      </c>
      <c r="C42" s="9">
        <v>0</v>
      </c>
      <c r="D42" s="9">
        <v>0</v>
      </c>
      <c r="E42" s="9">
        <v>0</v>
      </c>
      <c r="F42" s="10" t="s">
        <v>106</v>
      </c>
      <c r="G42" s="10" t="s">
        <v>106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x14ac:dyDescent="0.25">
      <c r="A43" s="6" t="s">
        <v>35</v>
      </c>
      <c r="B43" s="9">
        <v>0</v>
      </c>
      <c r="C43" s="9">
        <v>0</v>
      </c>
      <c r="D43" s="9">
        <v>0</v>
      </c>
      <c r="E43" s="9">
        <v>0</v>
      </c>
      <c r="F43" s="10" t="s">
        <v>106</v>
      </c>
      <c r="G43" s="10" t="s">
        <v>106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</row>
    <row r="44" spans="1:29" x14ac:dyDescent="0.25">
      <c r="A44" s="6" t="s">
        <v>36</v>
      </c>
      <c r="B44" s="9">
        <v>55</v>
      </c>
      <c r="C44" s="9">
        <v>140</v>
      </c>
      <c r="D44" s="9">
        <v>55</v>
      </c>
      <c r="E44" s="9">
        <v>15</v>
      </c>
      <c r="F44" s="10">
        <v>229.64285714285714</v>
      </c>
      <c r="G44" s="10">
        <v>151.00357142857143</v>
      </c>
      <c r="H44" s="9">
        <v>45</v>
      </c>
      <c r="I44" s="9">
        <v>20</v>
      </c>
      <c r="J44" s="9">
        <v>20</v>
      </c>
      <c r="K44" s="9">
        <v>0</v>
      </c>
      <c r="L44" s="9">
        <v>5</v>
      </c>
      <c r="M44" s="9">
        <v>10</v>
      </c>
      <c r="N44" s="9">
        <v>25</v>
      </c>
      <c r="O44" s="9">
        <v>15</v>
      </c>
      <c r="P44" s="9">
        <v>10</v>
      </c>
      <c r="Q44" s="9">
        <v>5</v>
      </c>
      <c r="R44" s="9">
        <v>5</v>
      </c>
      <c r="S44" s="9">
        <v>15</v>
      </c>
      <c r="T44" s="9">
        <v>25</v>
      </c>
      <c r="U44" s="9">
        <v>15</v>
      </c>
      <c r="V44" s="9">
        <v>15</v>
      </c>
      <c r="W44" s="9">
        <v>5</v>
      </c>
      <c r="X44" s="9">
        <v>10</v>
      </c>
      <c r="Y44" s="9">
        <v>15</v>
      </c>
      <c r="Z44" s="9">
        <v>10</v>
      </c>
      <c r="AA44" s="9">
        <v>0</v>
      </c>
      <c r="AB44" s="9">
        <v>0</v>
      </c>
      <c r="AC44" s="9">
        <v>10</v>
      </c>
    </row>
    <row r="45" spans="1:29" x14ac:dyDescent="0.25">
      <c r="A45" s="6" t="s">
        <v>37</v>
      </c>
      <c r="B45" s="9">
        <v>0</v>
      </c>
      <c r="C45" s="9">
        <v>0</v>
      </c>
      <c r="D45" s="9">
        <v>0</v>
      </c>
      <c r="E45" s="9">
        <v>0</v>
      </c>
      <c r="F45" s="10" t="s">
        <v>106</v>
      </c>
      <c r="G45" s="10" t="s">
        <v>106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</row>
    <row r="46" spans="1:29" x14ac:dyDescent="0.25">
      <c r="A46" s="6" t="s">
        <v>38</v>
      </c>
      <c r="B46" s="9">
        <v>45</v>
      </c>
      <c r="C46" s="9">
        <v>130</v>
      </c>
      <c r="D46" s="9">
        <v>45</v>
      </c>
      <c r="E46" s="9">
        <v>5</v>
      </c>
      <c r="F46" s="10">
        <v>175.86956521739131</v>
      </c>
      <c r="G46" s="10">
        <v>138.6913043478261</v>
      </c>
      <c r="H46" s="9">
        <v>30</v>
      </c>
      <c r="I46" s="9">
        <v>15</v>
      </c>
      <c r="J46" s="9">
        <v>15</v>
      </c>
      <c r="K46" s="9">
        <v>0</v>
      </c>
      <c r="L46" s="9">
        <v>5</v>
      </c>
      <c r="M46" s="9">
        <v>5</v>
      </c>
      <c r="N46" s="9">
        <v>25</v>
      </c>
      <c r="O46" s="9">
        <v>10</v>
      </c>
      <c r="P46" s="9">
        <v>0</v>
      </c>
      <c r="Q46" s="9">
        <v>0</v>
      </c>
      <c r="R46" s="9">
        <v>10</v>
      </c>
      <c r="S46" s="9">
        <v>10</v>
      </c>
      <c r="T46" s="9">
        <v>25</v>
      </c>
      <c r="U46" s="9">
        <v>20</v>
      </c>
      <c r="V46" s="9">
        <v>5</v>
      </c>
      <c r="W46" s="9">
        <v>0</v>
      </c>
      <c r="X46" s="9">
        <v>5</v>
      </c>
      <c r="Y46" s="9">
        <v>5</v>
      </c>
      <c r="Z46" s="9">
        <v>15</v>
      </c>
      <c r="AA46" s="9">
        <v>0</v>
      </c>
      <c r="AB46" s="9">
        <v>0</v>
      </c>
      <c r="AC46" s="9">
        <v>20</v>
      </c>
    </row>
    <row r="47" spans="1:29" x14ac:dyDescent="0.25">
      <c r="A47" s="6" t="s">
        <v>39</v>
      </c>
      <c r="B47" s="9">
        <v>0</v>
      </c>
      <c r="C47" s="9">
        <v>0</v>
      </c>
      <c r="D47" s="9">
        <v>0</v>
      </c>
      <c r="E47" s="9">
        <v>0</v>
      </c>
      <c r="F47" s="10" t="s">
        <v>106</v>
      </c>
      <c r="G47" s="10" t="s">
        <v>106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</row>
    <row r="48" spans="1:29" x14ac:dyDescent="0.25">
      <c r="A48" s="6" t="s">
        <v>40</v>
      </c>
      <c r="B48" s="9">
        <v>0</v>
      </c>
      <c r="C48" s="9">
        <v>0</v>
      </c>
      <c r="D48" s="9">
        <v>0</v>
      </c>
      <c r="E48" s="9">
        <v>0</v>
      </c>
      <c r="F48" s="10" t="s">
        <v>106</v>
      </c>
      <c r="G48" s="10" t="s">
        <v>106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</row>
    <row r="49" spans="1:29" x14ac:dyDescent="0.25">
      <c r="A49" s="6" t="s">
        <v>41</v>
      </c>
      <c r="B49" s="9">
        <v>5</v>
      </c>
      <c r="C49" s="9">
        <v>10</v>
      </c>
      <c r="D49" s="9">
        <v>5</v>
      </c>
      <c r="E49" s="9">
        <v>0</v>
      </c>
      <c r="F49" s="10">
        <v>231.5</v>
      </c>
      <c r="G49" s="10">
        <v>163</v>
      </c>
      <c r="H49" s="9">
        <v>5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</row>
    <row r="50" spans="1:29" x14ac:dyDescent="0.25">
      <c r="A50" s="6" t="s">
        <v>42</v>
      </c>
      <c r="B50" s="9">
        <v>0</v>
      </c>
      <c r="C50" s="9">
        <v>0</v>
      </c>
      <c r="D50" s="9">
        <v>0</v>
      </c>
      <c r="E50" s="9">
        <v>0</v>
      </c>
      <c r="F50" s="10" t="s">
        <v>106</v>
      </c>
      <c r="G50" s="10" t="s">
        <v>106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x14ac:dyDescent="0.25">
      <c r="A51" s="6" t="s">
        <v>43</v>
      </c>
      <c r="B51" s="9">
        <v>0</v>
      </c>
      <c r="C51" s="9">
        <v>0</v>
      </c>
      <c r="D51" s="9">
        <v>0</v>
      </c>
      <c r="E51" s="9">
        <v>0</v>
      </c>
      <c r="F51" s="10" t="s">
        <v>106</v>
      </c>
      <c r="G51" s="10" t="s">
        <v>106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</row>
    <row r="52" spans="1:29" x14ac:dyDescent="0.25">
      <c r="A52" s="6" t="s">
        <v>44</v>
      </c>
      <c r="B52" s="9">
        <v>0</v>
      </c>
      <c r="C52" s="9">
        <v>0</v>
      </c>
      <c r="D52" s="9">
        <v>0</v>
      </c>
      <c r="E52" s="9">
        <v>0</v>
      </c>
      <c r="F52" s="10" t="s">
        <v>106</v>
      </c>
      <c r="G52" s="10" t="s">
        <v>106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</row>
    <row r="53" spans="1:29" x14ac:dyDescent="0.25">
      <c r="A53" s="6" t="s">
        <v>45</v>
      </c>
      <c r="B53" s="9">
        <v>0</v>
      </c>
      <c r="C53" s="9">
        <v>0</v>
      </c>
      <c r="D53" s="9">
        <v>0</v>
      </c>
      <c r="E53" s="9">
        <v>0</v>
      </c>
      <c r="F53" s="10" t="s">
        <v>106</v>
      </c>
      <c r="G53" s="10" t="s">
        <v>106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</row>
    <row r="54" spans="1:29" x14ac:dyDescent="0.25">
      <c r="A54" s="6" t="s">
        <v>46</v>
      </c>
      <c r="B54" s="9">
        <v>0</v>
      </c>
      <c r="C54" s="9">
        <v>0</v>
      </c>
      <c r="D54" s="9">
        <v>0</v>
      </c>
      <c r="E54" s="9">
        <v>0</v>
      </c>
      <c r="F54" s="10" t="s">
        <v>106</v>
      </c>
      <c r="G54" s="10" t="s">
        <v>106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x14ac:dyDescent="0.25">
      <c r="A55" s="6" t="s">
        <v>47</v>
      </c>
      <c r="B55" s="9">
        <v>0</v>
      </c>
      <c r="C55" s="9">
        <v>0</v>
      </c>
      <c r="D55" s="9">
        <v>0</v>
      </c>
      <c r="E55" s="9">
        <v>0</v>
      </c>
      <c r="F55" s="10" t="s">
        <v>106</v>
      </c>
      <c r="G55" s="10" t="s">
        <v>106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</row>
    <row r="56" spans="1:29" x14ac:dyDescent="0.25">
      <c r="A56" s="6" t="s">
        <v>48</v>
      </c>
      <c r="B56" s="9">
        <v>0</v>
      </c>
      <c r="C56" s="9">
        <v>0</v>
      </c>
      <c r="D56" s="9">
        <v>0</v>
      </c>
      <c r="E56" s="9">
        <v>0</v>
      </c>
      <c r="F56" s="10" t="s">
        <v>106</v>
      </c>
      <c r="G56" s="10" t="s">
        <v>106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</row>
    <row r="57" spans="1:29" x14ac:dyDescent="0.25">
      <c r="A57" s="6" t="s">
        <v>49</v>
      </c>
      <c r="B57" s="9" t="s">
        <v>105</v>
      </c>
      <c r="C57" s="9" t="s">
        <v>105</v>
      </c>
      <c r="D57" s="9" t="s">
        <v>105</v>
      </c>
      <c r="E57" s="9" t="s">
        <v>105</v>
      </c>
      <c r="F57" s="10" t="s">
        <v>105</v>
      </c>
      <c r="G57" s="10" t="s">
        <v>105</v>
      </c>
      <c r="H57" s="9" t="s">
        <v>105</v>
      </c>
      <c r="I57" s="9" t="s">
        <v>105</v>
      </c>
      <c r="J57" s="9" t="s">
        <v>105</v>
      </c>
      <c r="K57" s="9" t="s">
        <v>105</v>
      </c>
      <c r="L57" s="9" t="s">
        <v>105</v>
      </c>
      <c r="M57" s="9" t="s">
        <v>105</v>
      </c>
      <c r="N57" s="9" t="s">
        <v>105</v>
      </c>
      <c r="O57" s="9" t="s">
        <v>105</v>
      </c>
      <c r="P57" s="9" t="s">
        <v>105</v>
      </c>
      <c r="Q57" s="9" t="s">
        <v>105</v>
      </c>
      <c r="R57" s="9" t="s">
        <v>105</v>
      </c>
      <c r="S57" s="9" t="s">
        <v>105</v>
      </c>
      <c r="T57" s="9" t="s">
        <v>105</v>
      </c>
      <c r="U57" s="9" t="s">
        <v>105</v>
      </c>
      <c r="V57" s="9" t="s">
        <v>105</v>
      </c>
      <c r="W57" s="9" t="s">
        <v>105</v>
      </c>
      <c r="X57" s="9" t="s">
        <v>105</v>
      </c>
      <c r="Y57" s="9" t="s">
        <v>105</v>
      </c>
      <c r="Z57" s="9" t="s">
        <v>105</v>
      </c>
      <c r="AA57" s="9" t="s">
        <v>105</v>
      </c>
      <c r="AB57" s="9" t="s">
        <v>105</v>
      </c>
      <c r="AC57" s="9" t="s">
        <v>105</v>
      </c>
    </row>
    <row r="58" spans="1:29" x14ac:dyDescent="0.25">
      <c r="A58" s="6" t="s">
        <v>50</v>
      </c>
      <c r="B58" s="9">
        <v>5</v>
      </c>
      <c r="C58" s="9">
        <v>15</v>
      </c>
      <c r="D58" s="9">
        <v>5</v>
      </c>
      <c r="E58" s="9">
        <v>5</v>
      </c>
      <c r="F58" s="10">
        <v>236</v>
      </c>
      <c r="G58" s="10">
        <v>140.53333333333333</v>
      </c>
      <c r="H58" s="9">
        <v>5</v>
      </c>
      <c r="I58" s="9">
        <v>0</v>
      </c>
      <c r="J58" s="9">
        <v>0</v>
      </c>
      <c r="K58" s="9">
        <v>0</v>
      </c>
      <c r="L58" s="9">
        <v>0</v>
      </c>
      <c r="M58" s="9">
        <v>5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5</v>
      </c>
      <c r="T58" s="9">
        <v>0</v>
      </c>
      <c r="U58" s="9">
        <v>0</v>
      </c>
      <c r="V58" s="9">
        <v>5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</row>
    <row r="59" spans="1:29" x14ac:dyDescent="0.25">
      <c r="A59" s="6" t="s">
        <v>51</v>
      </c>
      <c r="B59" s="9">
        <v>0</v>
      </c>
      <c r="C59" s="9">
        <v>0</v>
      </c>
      <c r="D59" s="9">
        <v>0</v>
      </c>
      <c r="E59" s="9">
        <v>0</v>
      </c>
      <c r="F59" s="10" t="s">
        <v>106</v>
      </c>
      <c r="G59" s="10" t="s">
        <v>106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</row>
    <row r="60" spans="1:29" x14ac:dyDescent="0.25">
      <c r="A60" s="6" t="s">
        <v>52</v>
      </c>
      <c r="B60" s="9">
        <v>0</v>
      </c>
      <c r="C60" s="9">
        <v>0</v>
      </c>
      <c r="D60" s="9">
        <v>0</v>
      </c>
      <c r="E60" s="9">
        <v>0</v>
      </c>
      <c r="F60" s="10" t="s">
        <v>106</v>
      </c>
      <c r="G60" s="10" t="s">
        <v>106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</row>
    <row r="61" spans="1:29" x14ac:dyDescent="0.25">
      <c r="A61" s="6" t="s">
        <v>53</v>
      </c>
      <c r="B61" s="9">
        <v>0</v>
      </c>
      <c r="C61" s="9">
        <v>0</v>
      </c>
      <c r="D61" s="9">
        <v>0</v>
      </c>
      <c r="E61" s="9">
        <v>0</v>
      </c>
      <c r="F61" s="10" t="s">
        <v>106</v>
      </c>
      <c r="G61" s="10" t="s">
        <v>106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</row>
    <row r="62" spans="1:29" x14ac:dyDescent="0.25">
      <c r="A62" s="6" t="s">
        <v>54</v>
      </c>
      <c r="B62" s="9">
        <v>25</v>
      </c>
      <c r="C62" s="9">
        <v>80</v>
      </c>
      <c r="D62" s="9">
        <v>25</v>
      </c>
      <c r="E62" s="9">
        <v>5</v>
      </c>
      <c r="F62" s="10">
        <v>92.083333333333329</v>
      </c>
      <c r="G62" s="10">
        <v>90.629166666666663</v>
      </c>
      <c r="H62" s="9">
        <v>0</v>
      </c>
      <c r="I62" s="9">
        <v>5</v>
      </c>
      <c r="J62" s="9">
        <v>5</v>
      </c>
      <c r="K62" s="9">
        <v>0</v>
      </c>
      <c r="L62" s="9">
        <v>5</v>
      </c>
      <c r="M62" s="9">
        <v>10</v>
      </c>
      <c r="N62" s="9">
        <v>10</v>
      </c>
      <c r="O62" s="9">
        <v>5</v>
      </c>
      <c r="P62" s="9">
        <v>5</v>
      </c>
      <c r="Q62" s="9">
        <v>0</v>
      </c>
      <c r="R62" s="9">
        <v>5</v>
      </c>
      <c r="S62" s="9">
        <v>5</v>
      </c>
      <c r="T62" s="9">
        <v>10</v>
      </c>
      <c r="U62" s="9">
        <v>10</v>
      </c>
      <c r="V62" s="9">
        <v>10</v>
      </c>
      <c r="W62" s="9">
        <v>0</v>
      </c>
      <c r="X62" s="9">
        <v>0</v>
      </c>
      <c r="Y62" s="9">
        <v>5</v>
      </c>
      <c r="Z62" s="9">
        <v>0</v>
      </c>
      <c r="AA62" s="9">
        <v>0</v>
      </c>
      <c r="AB62" s="9">
        <v>0</v>
      </c>
      <c r="AC62" s="9">
        <v>20</v>
      </c>
    </row>
    <row r="63" spans="1:29" x14ac:dyDescent="0.25">
      <c r="A63" s="6" t="s">
        <v>55</v>
      </c>
      <c r="B63" s="9">
        <v>125</v>
      </c>
      <c r="C63" s="9">
        <v>360</v>
      </c>
      <c r="D63" s="9">
        <v>125</v>
      </c>
      <c r="E63" s="9">
        <v>35</v>
      </c>
      <c r="F63" s="10">
        <v>240.49206349206349</v>
      </c>
      <c r="G63" s="10">
        <v>160.74920634920633</v>
      </c>
      <c r="H63" s="9">
        <v>100</v>
      </c>
      <c r="I63" s="9">
        <v>30</v>
      </c>
      <c r="J63" s="9">
        <v>40</v>
      </c>
      <c r="K63" s="9">
        <v>5</v>
      </c>
      <c r="L63" s="9">
        <v>15</v>
      </c>
      <c r="M63" s="9">
        <v>35</v>
      </c>
      <c r="N63" s="9">
        <v>60</v>
      </c>
      <c r="O63" s="9">
        <v>15</v>
      </c>
      <c r="P63" s="9">
        <v>25</v>
      </c>
      <c r="Q63" s="9">
        <v>0</v>
      </c>
      <c r="R63" s="9">
        <v>5</v>
      </c>
      <c r="S63" s="9">
        <v>40</v>
      </c>
      <c r="T63" s="9">
        <v>30</v>
      </c>
      <c r="U63" s="9">
        <v>50</v>
      </c>
      <c r="V63" s="9">
        <v>50</v>
      </c>
      <c r="W63" s="9">
        <v>20</v>
      </c>
      <c r="X63" s="9">
        <v>20</v>
      </c>
      <c r="Y63" s="9">
        <v>25</v>
      </c>
      <c r="Z63" s="9">
        <v>35</v>
      </c>
      <c r="AA63" s="9">
        <v>5</v>
      </c>
      <c r="AB63" s="9">
        <v>0</v>
      </c>
      <c r="AC63" s="9">
        <v>25</v>
      </c>
    </row>
    <row r="64" spans="1:29" x14ac:dyDescent="0.25">
      <c r="A64" s="6" t="s">
        <v>56</v>
      </c>
      <c r="B64" s="9">
        <v>5</v>
      </c>
      <c r="C64" s="9">
        <v>25</v>
      </c>
      <c r="D64" s="9">
        <v>5</v>
      </c>
      <c r="E64" s="9">
        <v>0</v>
      </c>
      <c r="F64" s="10">
        <v>226</v>
      </c>
      <c r="G64" s="10">
        <v>133.17142857142855</v>
      </c>
      <c r="H64" s="9">
        <v>5</v>
      </c>
      <c r="I64" s="9">
        <v>0</v>
      </c>
      <c r="J64" s="9">
        <v>5</v>
      </c>
      <c r="K64" s="9">
        <v>0</v>
      </c>
      <c r="L64" s="9">
        <v>0</v>
      </c>
      <c r="M64" s="9">
        <v>0</v>
      </c>
      <c r="N64" s="9">
        <v>5</v>
      </c>
      <c r="O64" s="9">
        <v>5</v>
      </c>
      <c r="P64" s="9">
        <v>0</v>
      </c>
      <c r="Q64" s="9">
        <v>0</v>
      </c>
      <c r="R64" s="9">
        <v>0</v>
      </c>
      <c r="S64" s="9">
        <v>0</v>
      </c>
      <c r="T64" s="9">
        <v>5</v>
      </c>
      <c r="U64" s="9">
        <v>5</v>
      </c>
      <c r="V64" s="9">
        <v>0</v>
      </c>
      <c r="W64" s="9">
        <v>0</v>
      </c>
      <c r="X64" s="9">
        <v>0</v>
      </c>
      <c r="Y64" s="9">
        <v>0</v>
      </c>
      <c r="Z64" s="9">
        <v>5</v>
      </c>
      <c r="AA64" s="9">
        <v>0</v>
      </c>
      <c r="AB64" s="9">
        <v>0</v>
      </c>
      <c r="AC64" s="9">
        <v>0</v>
      </c>
    </row>
    <row r="65" spans="1:29" x14ac:dyDescent="0.25">
      <c r="A65" s="6" t="s">
        <v>57</v>
      </c>
      <c r="B65" s="9">
        <v>0</v>
      </c>
      <c r="C65" s="9">
        <v>0</v>
      </c>
      <c r="D65" s="9">
        <v>0</v>
      </c>
      <c r="E65" s="9">
        <v>0</v>
      </c>
      <c r="F65" s="10" t="s">
        <v>106</v>
      </c>
      <c r="G65" s="10" t="s">
        <v>106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</row>
    <row r="66" spans="1:29" x14ac:dyDescent="0.25">
      <c r="A66" s="6" t="s">
        <v>58</v>
      </c>
      <c r="B66" s="9">
        <v>10</v>
      </c>
      <c r="C66" s="9">
        <v>25</v>
      </c>
      <c r="D66" s="9">
        <v>10</v>
      </c>
      <c r="E66" s="9">
        <v>5</v>
      </c>
      <c r="F66" s="10">
        <v>218.75</v>
      </c>
      <c r="G66" s="10">
        <v>168.13749999999999</v>
      </c>
      <c r="H66" s="9">
        <v>5</v>
      </c>
      <c r="I66" s="9">
        <v>0</v>
      </c>
      <c r="J66" s="9">
        <v>5</v>
      </c>
      <c r="K66" s="9">
        <v>0</v>
      </c>
      <c r="L66" s="9">
        <v>0</v>
      </c>
      <c r="M66" s="9">
        <v>0</v>
      </c>
      <c r="N66" s="9">
        <v>5</v>
      </c>
      <c r="O66" s="9">
        <v>0</v>
      </c>
      <c r="P66" s="9">
        <v>0</v>
      </c>
      <c r="Q66" s="9">
        <v>0</v>
      </c>
      <c r="R66" s="9">
        <v>0</v>
      </c>
      <c r="S66" s="9">
        <v>5</v>
      </c>
      <c r="T66" s="9">
        <v>0</v>
      </c>
      <c r="U66" s="9">
        <v>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5</v>
      </c>
    </row>
    <row r="67" spans="1:29" x14ac:dyDescent="0.25">
      <c r="A67" s="6" t="s">
        <v>59</v>
      </c>
      <c r="B67" s="9">
        <v>0</v>
      </c>
      <c r="C67" s="9">
        <v>0</v>
      </c>
      <c r="D67" s="9">
        <v>0</v>
      </c>
      <c r="E67" s="9">
        <v>0</v>
      </c>
      <c r="F67" s="10" t="s">
        <v>106</v>
      </c>
      <c r="G67" s="10" t="s">
        <v>106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</row>
    <row r="68" spans="1:29" x14ac:dyDescent="0.25">
      <c r="A68" s="6" t="s">
        <v>60</v>
      </c>
      <c r="B68" s="9">
        <v>0</v>
      </c>
      <c r="C68" s="9">
        <v>0</v>
      </c>
      <c r="D68" s="9">
        <v>0</v>
      </c>
      <c r="E68" s="9">
        <v>0</v>
      </c>
      <c r="F68" s="10" t="s">
        <v>106</v>
      </c>
      <c r="G68" s="10" t="s">
        <v>106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</row>
    <row r="69" spans="1:29" x14ac:dyDescent="0.25">
      <c r="A69" s="6" t="s">
        <v>61</v>
      </c>
      <c r="B69" s="9">
        <v>0</v>
      </c>
      <c r="C69" s="9">
        <v>0</v>
      </c>
      <c r="D69" s="9">
        <v>0</v>
      </c>
      <c r="E69" s="9">
        <v>0</v>
      </c>
      <c r="F69" s="10" t="s">
        <v>106</v>
      </c>
      <c r="G69" s="10" t="s">
        <v>106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</row>
    <row r="70" spans="1:29" x14ac:dyDescent="0.25">
      <c r="A70" s="6" t="s">
        <v>62</v>
      </c>
      <c r="B70" s="9">
        <v>10</v>
      </c>
      <c r="C70" s="9">
        <v>25</v>
      </c>
      <c r="D70" s="9">
        <v>10</v>
      </c>
      <c r="E70" s="9">
        <v>5</v>
      </c>
      <c r="F70" s="10">
        <v>168.5</v>
      </c>
      <c r="G70" s="10">
        <v>130.80833333333334</v>
      </c>
      <c r="H70" s="9">
        <v>10</v>
      </c>
      <c r="I70" s="9">
        <v>5</v>
      </c>
      <c r="J70" s="9">
        <v>0</v>
      </c>
      <c r="K70" s="9">
        <v>0</v>
      </c>
      <c r="L70" s="9">
        <v>0</v>
      </c>
      <c r="M70" s="9">
        <v>5</v>
      </c>
      <c r="N70" s="9">
        <v>5</v>
      </c>
      <c r="O70" s="9">
        <v>0</v>
      </c>
      <c r="P70" s="9">
        <v>5</v>
      </c>
      <c r="Q70" s="9">
        <v>0</v>
      </c>
      <c r="R70" s="9">
        <v>0</v>
      </c>
      <c r="S70" s="9">
        <v>5</v>
      </c>
      <c r="T70" s="9">
        <v>5</v>
      </c>
      <c r="U70" s="9">
        <v>5</v>
      </c>
      <c r="V70" s="9">
        <v>5</v>
      </c>
      <c r="W70" s="9">
        <v>0</v>
      </c>
      <c r="X70" s="9">
        <v>0</v>
      </c>
      <c r="Y70" s="9">
        <v>5</v>
      </c>
      <c r="Z70" s="9">
        <v>0</v>
      </c>
      <c r="AA70" s="9">
        <v>0</v>
      </c>
      <c r="AB70" s="9">
        <v>0</v>
      </c>
      <c r="AC70" s="9">
        <v>5</v>
      </c>
    </row>
    <row r="71" spans="1:29" x14ac:dyDescent="0.25">
      <c r="A71" s="6" t="s">
        <v>63</v>
      </c>
      <c r="B71" s="9">
        <v>70</v>
      </c>
      <c r="C71" s="9">
        <v>175</v>
      </c>
      <c r="D71" s="9">
        <v>70</v>
      </c>
      <c r="E71" s="9">
        <v>30</v>
      </c>
      <c r="F71" s="10">
        <v>230</v>
      </c>
      <c r="G71" s="10">
        <v>140.87571428571428</v>
      </c>
      <c r="H71" s="9">
        <v>60</v>
      </c>
      <c r="I71" s="9">
        <v>25</v>
      </c>
      <c r="J71" s="9">
        <v>20</v>
      </c>
      <c r="K71" s="9">
        <v>5</v>
      </c>
      <c r="L71" s="9">
        <v>5</v>
      </c>
      <c r="M71" s="9">
        <v>15</v>
      </c>
      <c r="N71" s="9">
        <v>25</v>
      </c>
      <c r="O71" s="9">
        <v>10</v>
      </c>
      <c r="P71" s="9">
        <v>15</v>
      </c>
      <c r="Q71" s="9">
        <v>5</v>
      </c>
      <c r="R71" s="9">
        <v>0</v>
      </c>
      <c r="S71" s="9">
        <v>15</v>
      </c>
      <c r="T71" s="9">
        <v>20</v>
      </c>
      <c r="U71" s="9">
        <v>30</v>
      </c>
      <c r="V71" s="9">
        <v>20</v>
      </c>
      <c r="W71" s="9">
        <v>10</v>
      </c>
      <c r="X71" s="9">
        <v>20</v>
      </c>
      <c r="Y71" s="9">
        <v>15</v>
      </c>
      <c r="Z71" s="9">
        <v>10</v>
      </c>
      <c r="AA71" s="9">
        <v>0</v>
      </c>
      <c r="AB71" s="9">
        <v>0</v>
      </c>
      <c r="AC71" s="9">
        <v>10</v>
      </c>
    </row>
    <row r="72" spans="1:29" x14ac:dyDescent="0.25">
      <c r="A72" s="6" t="s">
        <v>64</v>
      </c>
      <c r="B72" s="9">
        <v>10</v>
      </c>
      <c r="C72" s="9">
        <v>20</v>
      </c>
      <c r="D72" s="9">
        <v>10</v>
      </c>
      <c r="E72" s="9">
        <v>5</v>
      </c>
      <c r="F72" s="10">
        <v>261.5</v>
      </c>
      <c r="G72" s="10">
        <v>185.47499999999997</v>
      </c>
      <c r="H72" s="9">
        <v>5</v>
      </c>
      <c r="I72" s="9">
        <v>0</v>
      </c>
      <c r="J72" s="9">
        <v>0</v>
      </c>
      <c r="K72" s="9">
        <v>0</v>
      </c>
      <c r="L72" s="9">
        <v>0</v>
      </c>
      <c r="M72" s="9">
        <v>5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5</v>
      </c>
      <c r="U72" s="9">
        <v>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5</v>
      </c>
    </row>
    <row r="73" spans="1:29" x14ac:dyDescent="0.25">
      <c r="A73" s="6" t="s">
        <v>65</v>
      </c>
      <c r="B73" s="9">
        <v>0</v>
      </c>
      <c r="C73" s="9">
        <v>0</v>
      </c>
      <c r="D73" s="9">
        <v>0</v>
      </c>
      <c r="E73" s="9">
        <v>0</v>
      </c>
      <c r="F73" s="10" t="s">
        <v>106</v>
      </c>
      <c r="G73" s="10" t="s">
        <v>106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</row>
    <row r="74" spans="1:29" x14ac:dyDescent="0.25">
      <c r="A74" s="6" t="s">
        <v>66</v>
      </c>
      <c r="B74" s="9">
        <v>0</v>
      </c>
      <c r="C74" s="9">
        <v>0</v>
      </c>
      <c r="D74" s="9">
        <v>0</v>
      </c>
      <c r="E74" s="9">
        <v>0</v>
      </c>
      <c r="F74" s="10" t="s">
        <v>106</v>
      </c>
      <c r="G74" s="10" t="s">
        <v>106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</row>
    <row r="75" spans="1:29" x14ac:dyDescent="0.25">
      <c r="A75" s="6" t="s">
        <v>67</v>
      </c>
      <c r="B75" s="9">
        <v>20</v>
      </c>
      <c r="C75" s="9">
        <v>55</v>
      </c>
      <c r="D75" s="9">
        <v>20</v>
      </c>
      <c r="E75" s="9">
        <v>5</v>
      </c>
      <c r="F75" s="10">
        <v>217.36363636363637</v>
      </c>
      <c r="G75" s="10">
        <v>126.85909090909091</v>
      </c>
      <c r="H75" s="9">
        <v>15</v>
      </c>
      <c r="I75" s="9">
        <v>10</v>
      </c>
      <c r="J75" s="9">
        <v>5</v>
      </c>
      <c r="K75" s="9">
        <v>0</v>
      </c>
      <c r="L75" s="9">
        <v>0</v>
      </c>
      <c r="M75" s="9">
        <v>5</v>
      </c>
      <c r="N75" s="9">
        <v>10</v>
      </c>
      <c r="O75" s="9">
        <v>5</v>
      </c>
      <c r="P75" s="9">
        <v>5</v>
      </c>
      <c r="Q75" s="9">
        <v>0</v>
      </c>
      <c r="R75" s="9">
        <v>0</v>
      </c>
      <c r="S75" s="9">
        <v>10</v>
      </c>
      <c r="T75" s="9">
        <v>5</v>
      </c>
      <c r="U75" s="9">
        <v>10</v>
      </c>
      <c r="V75" s="9">
        <v>5</v>
      </c>
      <c r="W75" s="9">
        <v>5</v>
      </c>
      <c r="X75" s="9">
        <v>5</v>
      </c>
      <c r="Y75" s="9">
        <v>5</v>
      </c>
      <c r="Z75" s="9">
        <v>5</v>
      </c>
      <c r="AA75" s="9">
        <v>0</v>
      </c>
      <c r="AB75" s="9">
        <v>0</v>
      </c>
      <c r="AC75" s="9">
        <v>5</v>
      </c>
    </row>
    <row r="76" spans="1:29" s="18" customFormat="1" x14ac:dyDescent="0.25">
      <c r="A76" s="11" t="s">
        <v>100</v>
      </c>
      <c r="B76" s="12">
        <v>1304</v>
      </c>
      <c r="C76" s="12">
        <v>3377</v>
      </c>
      <c r="D76" s="12">
        <v>1304</v>
      </c>
      <c r="E76" s="12">
        <v>334</v>
      </c>
      <c r="F76" s="13">
        <v>288.5138036809816</v>
      </c>
      <c r="G76" s="13">
        <v>157.12592024539859</v>
      </c>
      <c r="H76" s="12">
        <v>1094</v>
      </c>
      <c r="I76" s="12">
        <v>440</v>
      </c>
      <c r="J76" s="12">
        <v>377</v>
      </c>
      <c r="K76" s="12">
        <v>48</v>
      </c>
      <c r="L76" s="12">
        <v>98</v>
      </c>
      <c r="M76" s="12">
        <v>341</v>
      </c>
      <c r="N76" s="12">
        <v>509</v>
      </c>
      <c r="O76" s="12">
        <v>176</v>
      </c>
      <c r="P76" s="12">
        <v>228</v>
      </c>
      <c r="Q76" s="12">
        <v>31</v>
      </c>
      <c r="R76" s="12">
        <v>93</v>
      </c>
      <c r="S76" s="12">
        <v>411</v>
      </c>
      <c r="T76" s="12">
        <v>343</v>
      </c>
      <c r="U76" s="12">
        <v>410</v>
      </c>
      <c r="V76" s="12">
        <v>551</v>
      </c>
      <c r="W76" s="12">
        <v>136</v>
      </c>
      <c r="X76" s="12">
        <v>264</v>
      </c>
      <c r="Y76" s="12">
        <v>266</v>
      </c>
      <c r="Z76" s="12">
        <v>321</v>
      </c>
      <c r="AA76" s="12">
        <v>60</v>
      </c>
      <c r="AB76" s="12">
        <v>13</v>
      </c>
      <c r="AC76" s="12">
        <v>244</v>
      </c>
    </row>
    <row r="77" spans="1:29" s="6" customFormat="1" x14ac:dyDescent="0.25">
      <c r="A77" s="11" t="s">
        <v>101</v>
      </c>
      <c r="B77" s="14">
        <f t="shared" ref="B77" si="0">B76/$B76</f>
        <v>1</v>
      </c>
      <c r="C77" s="14"/>
      <c r="D77" s="14">
        <f>D76/$B76</f>
        <v>1</v>
      </c>
      <c r="E77" s="14">
        <f t="shared" ref="E77" si="1">E76/$B76</f>
        <v>0.25613496932515339</v>
      </c>
      <c r="F77" s="14"/>
      <c r="G77" s="14"/>
      <c r="H77" s="14">
        <f t="shared" ref="H77:V77" si="2">H76/$B76</f>
        <v>0.83895705521472397</v>
      </c>
      <c r="I77" s="14">
        <f t="shared" si="2"/>
        <v>0.33742331288343558</v>
      </c>
      <c r="J77" s="14">
        <f t="shared" si="2"/>
        <v>0.28911042944785276</v>
      </c>
      <c r="K77" s="14">
        <f t="shared" si="2"/>
        <v>3.6809815950920248E-2</v>
      </c>
      <c r="L77" s="14">
        <f t="shared" si="2"/>
        <v>7.5153374233128831E-2</v>
      </c>
      <c r="M77" s="14">
        <f t="shared" si="2"/>
        <v>0.26150306748466257</v>
      </c>
      <c r="N77" s="14">
        <f t="shared" si="2"/>
        <v>0.39033742331288346</v>
      </c>
      <c r="O77" s="14">
        <f t="shared" si="2"/>
        <v>0.13496932515337423</v>
      </c>
      <c r="P77" s="14">
        <f t="shared" si="2"/>
        <v>0.17484662576687116</v>
      </c>
      <c r="Q77" s="14">
        <f t="shared" si="2"/>
        <v>2.3773006134969327E-2</v>
      </c>
      <c r="R77" s="14">
        <f t="shared" si="2"/>
        <v>7.131901840490798E-2</v>
      </c>
      <c r="S77" s="14">
        <f t="shared" si="2"/>
        <v>0.31518404907975461</v>
      </c>
      <c r="T77" s="14">
        <f t="shared" si="2"/>
        <v>0.2630368098159509</v>
      </c>
      <c r="U77" s="14">
        <f t="shared" si="2"/>
        <v>0.31441717791411045</v>
      </c>
      <c r="V77" s="14">
        <f t="shared" si="2"/>
        <v>0.42254601226993865</v>
      </c>
      <c r="W77" s="14">
        <f>W76/$B76</f>
        <v>0.10429447852760736</v>
      </c>
      <c r="X77" s="14">
        <f t="shared" ref="X77:AC77" si="3">X76/$B76</f>
        <v>0.20245398773006135</v>
      </c>
      <c r="Y77" s="14">
        <f t="shared" si="3"/>
        <v>0.20398773006134968</v>
      </c>
      <c r="Z77" s="14">
        <f t="shared" si="3"/>
        <v>0.24616564417177914</v>
      </c>
      <c r="AA77" s="14">
        <f t="shared" si="3"/>
        <v>4.6012269938650305E-2</v>
      </c>
      <c r="AB77" s="14">
        <f t="shared" si="3"/>
        <v>9.9693251533742328E-3</v>
      </c>
      <c r="AC77" s="14">
        <f t="shared" si="3"/>
        <v>0.18711656441717792</v>
      </c>
    </row>
    <row r="79" spans="1:29" x14ac:dyDescent="0.25">
      <c r="W79" s="14"/>
      <c r="X79" s="14"/>
      <c r="Y79" s="14"/>
      <c r="Z79" s="14"/>
      <c r="AA79" s="14"/>
      <c r="AB79" s="14"/>
      <c r="AC79" s="14"/>
    </row>
    <row r="80" spans="1:29" x14ac:dyDescent="0.25">
      <c r="AB80" s="17"/>
    </row>
    <row r="82" spans="28:28" x14ac:dyDescent="0.25">
      <c r="AB82" s="17"/>
    </row>
  </sheetData>
  <mergeCells count="4">
    <mergeCell ref="I13:Q13"/>
    <mergeCell ref="R13:S13"/>
    <mergeCell ref="T13:V13"/>
    <mergeCell ref="W13:AC13"/>
  </mergeCells>
  <pageMargins left="0.7" right="0.7" top="0.75" bottom="0.75" header="0.3" footer="0.3"/>
  <pageSetup paperSize="9" scale="27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households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2022-05-17T05:07:29Z</cp:lastPrinted>
  <dcterms:created xsi:type="dcterms:W3CDTF">2022-03-31T06:10:49Z</dcterms:created>
  <dcterms:modified xsi:type="dcterms:W3CDTF">2022-06-06T00:46:13Z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2022-03-31T06:11:44Z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2ef711a1-a975-4ef4-a83b-a1727b3bbb12</vt:lpwstr>
  </property>
  <property fmtid="{D5CDD505-2E9C-101B-9397-08002B2CF9AE}" pid="8" name="MSIP_Label_77274858-3b1d-4431-8679-d878f40e28fd_ContentBits">
    <vt:lpwstr>1</vt:lpwstr>
  </property>
</Properties>
</file>