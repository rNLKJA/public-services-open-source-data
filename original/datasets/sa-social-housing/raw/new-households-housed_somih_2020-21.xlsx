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0" documentId="8_{F442E5EB-E7AA-448C-BBD8-4F462F46D2D9}" xr6:coauthVersionLast="47" xr6:coauthVersionMax="47" xr10:uidLastSave="{00000000-0000-0000-0000-000000000000}"/>
  <bookViews>
    <workbookView xWindow="29565" yWindow="540" windowWidth="26505" windowHeight="16620" xr2:uid="{35A985DB-9FAC-49C3-9494-88BD7AC4F077}"/>
  </bookViews>
  <sheets>
    <sheet name="Table - SOMIH allocations (sus)" sheetId="1" r:id="rId1"/>
  </sheets>
  <externalReferences>
    <externalReference r:id="rId2"/>
    <externalReference r:id="rId3"/>
    <externalReference r:id="rId4"/>
  </externalReferences>
  <definedNames>
    <definedName name="_xlnm.Database">#REF!</definedName>
    <definedName name="Full">'[2]Explanatory Notes'!#REF!</definedName>
    <definedName name="table1">[2]Contents!#REF!</definedName>
    <definedName name="TopOfTable_Table_1">'[3]2001_02'!#REF!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76" i="1" l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B76" i="1"/>
</calcChain>
</file>

<file path=xl/sharedStrings.xml><?xml version="1.0" encoding="utf-8"?>
<sst xmlns="http://schemas.openxmlformats.org/spreadsheetml/2006/main" count="327" uniqueCount="98">
  <si>
    <t>New households housed in 2020-21 - State Owned and Managed Indigenous Housing</t>
  </si>
  <si>
    <t>Data as at 30/6/2021</t>
  </si>
  <si>
    <t>Notes:</t>
  </si>
  <si>
    <t>1. Counts are not provided where Local Government Areas (LGAs) have one to three new households housed in total, all counts for the LGA are replaced with "n.p."</t>
  </si>
  <si>
    <t>2. Counts have been rounded to the nearest multiple of 5</t>
  </si>
  <si>
    <t xml:space="preserve">3. Counts within rows and columns may not sum to their reported total due to rounding </t>
  </si>
  <si>
    <t>Source: South Australia's contribution to Public Housing and State Owned and Managed Indigenous Housing data collection, SA Housing Authority</t>
  </si>
  <si>
    <t>Characteristics of new households housed in State Owned and Managed Indigenous Housing in 2020-21</t>
  </si>
  <si>
    <t>Household composition</t>
  </si>
  <si>
    <t>Main source of income</t>
  </si>
  <si>
    <t>Local Government Area</t>
  </si>
  <si>
    <t>New households housed</t>
  </si>
  <si>
    <t>Number of household members</t>
  </si>
  <si>
    <t>Households in greatest need</t>
  </si>
  <si>
    <t>Aboriginal households</t>
  </si>
  <si>
    <t>Households with person with disability</t>
  </si>
  <si>
    <t>Paying less than market rent</t>
  </si>
  <si>
    <t>Greatest need households and time waited was under 6 months</t>
  </si>
  <si>
    <t>Single person</t>
  </si>
  <si>
    <t>Single parent with dependent children</t>
  </si>
  <si>
    <t>Couple only</t>
  </si>
  <si>
    <t>Couple with dependent children</t>
  </si>
  <si>
    <t>Group or mixed composition</t>
  </si>
  <si>
    <t>Has child under 15 years</t>
  </si>
  <si>
    <t>Has child under 5 years</t>
  </si>
  <si>
    <t>Has adult 65 years or more</t>
  </si>
  <si>
    <t>Younger person (main tenant under 25 years)</t>
  </si>
  <si>
    <t>Aged Pension</t>
  </si>
  <si>
    <t>Disability Support Pension</t>
  </si>
  <si>
    <t>Job Seeker</t>
  </si>
  <si>
    <t>Other Government payment</t>
  </si>
  <si>
    <t>Employee cash income / wages</t>
  </si>
  <si>
    <t>Other cash income</t>
  </si>
  <si>
    <t>Income not stated</t>
  </si>
  <si>
    <t>Adelaide Hills Council</t>
  </si>
  <si>
    <t>Adelaide Plains Council</t>
  </si>
  <si>
    <t>Alexandrina Council</t>
  </si>
  <si>
    <t>Barunga West Council</t>
  </si>
  <si>
    <t>Berri Barmera Council</t>
  </si>
  <si>
    <t>n.p.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</si>
  <si>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</si>
  <si>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</si>
  <si>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</si>
  <si>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</si>
  <si>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</si>
  <si>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</si>
  <si>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</si>
  <si>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</si>
  <si>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</si>
  <si>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</si>
  <si>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</si>
  <si>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</si>
  <si>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</si>
  <si>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</si>
  <si>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</si>
  <si>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</si>
  <si>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</si>
  <si>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</si>
  <si>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</si>
  <si>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</si>
  <si>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</si>
  <si>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</si>
  <si>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</si>
  <si>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</si>
  <si>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</si>
  <si>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</si>
  <si>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</si>
  <si>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</si>
  <si>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</si>
  <si>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</si>
  <si>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</si>
  <si>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</si>
  <si>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</si>
  <si>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</si>
  <si>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</si>
  <si>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</si>
  <si>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</si>
  <si>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</si>
  <si>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</si>
  <si>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</si>
  <si>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</si>
  <si>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</si>
  <si>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</si>
  <si>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</si>
  <si>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</si>
  <si>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</si>
  <si>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</si>
  <si>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</si>
  <si>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</si>
  <si>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</si>
  <si>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</si>
  <si>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</si>
  <si>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</si>
  <si>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</si>
  <si>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</si>
  <si>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</si>
  <si>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Total - new household housed</t>
  </si>
  <si>
    <t>% Total - new household housed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</si>
</sst>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 tint="0.34998626667073579"/>
      <name val="Arial"/>
      <family val="2"/>
    </font>
    <font>
      <sz val="10"/>
      <color theme="1"/>
      <name val="Arial"/>
      <family val="2"/>
    </font>
    <font>
      <sz val="11"/>
      <color theme="1" tint="0.34998626667073579"/>
      <name val="Arial"/>
      <family val="2"/>
    </font>
    <font>
      <sz val="11"/>
      <color theme="1"/>
      <name val="Arial"/>
      <family val="2"/>
    </font>
    <font>
      <sz val="11"/>
      <color rgb="FF691C32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9" fontId="6" fillId="0" borderId="0" xfId="0" applyNumberFormat="1" applyFont="1"/>
    <xf numFmtId="9" fontId="0" fillId="0" borderId="0" xfId="0" applyNumberFormat="1"/>
  </cellXfs>
  <cellStyles count="2">
    <cellStyle name="Normal" xfId="0" builtinId="0"/>
    <cellStyle name="Normal 3 2" xfId="1" xr:uid="{E58A0DCF-F275-432E-8E96-49003BB193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_2020-21_PH_SOMIH%20open%20data%20Tables%20with%20suppres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- PH dwellings (susp)"/>
      <sheetName val="Table - SOMIH dwellings (susp)"/>
      <sheetName val="Table - PH allocations (susp)"/>
      <sheetName val="Table - SOMIH allocations (sus)"/>
      <sheetName val="Table - PH households (susp)"/>
      <sheetName val="Table - SOMIH households (susp)"/>
      <sheetName val="Table - PH occupants (susp)"/>
      <sheetName val="Table - SOMIH occupants (sus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3347-84EB-43EB-AD31-89A88D85C4F8}">
  <sheetPr>
    <tabColor theme="9" tint="0.79998168889431442"/>
    <pageSetUpPr fitToPage="1"/>
  </sheetPr>
  <dimension ref="A1:X76"/>
  <sheetViews>
    <sheetView tabSelected="1" workbookViewId="0">
      <pane ySplit="13" topLeftCell="A14" activePane="bottomLeft" state="frozen"/>
      <selection activeCell="A35" sqref="A35"/>
      <selection pane="bottomLeft" activeCell="D24" sqref="D24"/>
    </sheetView>
  </sheetViews>
  <sheetFormatPr defaultRowHeight="15" x14ac:dyDescent="0.25"/>
  <cols>
    <col min="1" max="1" width="38.140625" bestFit="1" customWidth="1"/>
    <col min="2" max="17" width="15.7109375" customWidth="1"/>
    <col min="18" max="24" width="13.7109375" customWidth="1"/>
  </cols>
  <sheetData>
    <row r="1" spans="1:24" ht="20.25" x14ac:dyDescent="0.25">
      <c r="A1" s="1" t="s">
        <v>0</v>
      </c>
    </row>
    <row r="2" spans="1:24" x14ac:dyDescent="0.25">
      <c r="A2" s="2" t="s">
        <v>1</v>
      </c>
    </row>
    <row r="3" spans="1:24" x14ac:dyDescent="0.25">
      <c r="A3" s="3"/>
    </row>
    <row r="4" spans="1:24" s="4" customFormat="1" ht="12.75" x14ac:dyDescent="0.2">
      <c r="A4" s="3" t="s">
        <v>2</v>
      </c>
    </row>
    <row r="5" spans="1:24" s="4" customFormat="1" ht="12.75" x14ac:dyDescent="0.2">
      <c r="A5" s="3" t="s">
        <v>3</v>
      </c>
    </row>
    <row r="6" spans="1:24" s="4" customFormat="1" ht="12.75" x14ac:dyDescent="0.2">
      <c r="A6" s="3" t="s">
        <v>4</v>
      </c>
    </row>
    <row r="7" spans="1:24" s="4" customFormat="1" ht="12.75" x14ac:dyDescent="0.2">
      <c r="A7" s="5" t="s">
        <v>5</v>
      </c>
    </row>
    <row r="8" spans="1:24" s="4" customFormat="1" ht="12.75" x14ac:dyDescent="0.2">
      <c r="A8" s="3"/>
    </row>
    <row r="9" spans="1:24" s="4" customFormat="1" ht="12.75" x14ac:dyDescent="0.2">
      <c r="A9" s="3" t="s">
        <v>6</v>
      </c>
    </row>
    <row r="10" spans="1:24" s="7" customFormat="1" ht="14.25" x14ac:dyDescent="0.2">
      <c r="A10" s="6"/>
    </row>
    <row r="11" spans="1:24" x14ac:dyDescent="0.25">
      <c r="A11" s="8" t="s">
        <v>7</v>
      </c>
      <c r="B11" s="7"/>
      <c r="C11" s="7"/>
    </row>
    <row r="12" spans="1:24" x14ac:dyDescent="0.25">
      <c r="D12" s="7"/>
      <c r="E12" s="7"/>
      <c r="F12" s="7"/>
      <c r="G12" s="7"/>
      <c r="H12" s="7"/>
      <c r="I12" s="9" t="s">
        <v>8</v>
      </c>
      <c r="J12" s="10"/>
      <c r="K12" s="10"/>
      <c r="L12" s="10"/>
      <c r="M12" s="10"/>
      <c r="N12" s="11"/>
      <c r="O12" s="11"/>
      <c r="P12" s="11"/>
      <c r="Q12" s="12"/>
      <c r="R12" s="9" t="s">
        <v>9</v>
      </c>
      <c r="S12" s="11"/>
      <c r="T12" s="11"/>
      <c r="U12" s="11"/>
      <c r="V12" s="11"/>
      <c r="W12" s="11"/>
      <c r="X12" s="12"/>
    </row>
    <row r="13" spans="1:24" ht="71.25" x14ac:dyDescent="0.25">
      <c r="A13" s="13" t="s">
        <v>10</v>
      </c>
      <c r="B13" s="14" t="s">
        <v>11</v>
      </c>
      <c r="C13" s="14" t="s">
        <v>12</v>
      </c>
      <c r="D13" s="14" t="s">
        <v>13</v>
      </c>
      <c r="E13" s="14" t="s">
        <v>14</v>
      </c>
      <c r="F13" s="14" t="s">
        <v>15</v>
      </c>
      <c r="G13" s="14" t="s">
        <v>16</v>
      </c>
      <c r="H13" s="14" t="s">
        <v>17</v>
      </c>
      <c r="I13" s="14" t="s">
        <v>18</v>
      </c>
      <c r="J13" s="14" t="s">
        <v>19</v>
      </c>
      <c r="K13" s="14" t="s">
        <v>20</v>
      </c>
      <c r="L13" s="14" t="s">
        <v>21</v>
      </c>
      <c r="M13" s="14" t="s">
        <v>22</v>
      </c>
      <c r="N13" s="14" t="s">
        <v>23</v>
      </c>
      <c r="O13" s="14" t="s">
        <v>24</v>
      </c>
      <c r="P13" s="14" t="s">
        <v>25</v>
      </c>
      <c r="Q13" s="14" t="s">
        <v>26</v>
      </c>
      <c r="R13" s="14" t="s">
        <v>27</v>
      </c>
      <c r="S13" s="14" t="s">
        <v>28</v>
      </c>
      <c r="T13" s="14" t="s">
        <v>29</v>
      </c>
      <c r="U13" s="14" t="s">
        <v>30</v>
      </c>
      <c r="V13" s="14" t="s">
        <v>31</v>
      </c>
      <c r="W13" s="14" t="s">
        <v>32</v>
      </c>
      <c r="X13" s="14" t="s">
        <v>33</v>
      </c>
    </row>
    <row r="14" spans="1:24" x14ac:dyDescent="0.25">
      <c r="A14" s="7" t="s">
        <v>34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1:24" x14ac:dyDescent="0.25">
      <c r="A15" s="7" t="s">
        <v>35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1:24" x14ac:dyDescent="0.25">
      <c r="A16" s="7" t="s">
        <v>36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1:24" x14ac:dyDescent="0.25">
      <c r="A17" s="7" t="s">
        <v>37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1:24" x14ac:dyDescent="0.25">
      <c r="A18" s="7" t="s">
        <v>38</v>
      </c>
      <c r="B18" s="15" t="s">
        <v>39</v>
      </c>
      <c r="C18" s="15" t="s">
        <v>39</v>
      </c>
      <c r="D18" s="15" t="s">
        <v>39</v>
      </c>
      <c r="E18" s="15" t="s">
        <v>39</v>
      </c>
      <c r="F18" s="15" t="s">
        <v>39</v>
      </c>
      <c r="G18" s="15" t="s">
        <v>39</v>
      </c>
      <c r="H18" s="15" t="s">
        <v>39</v>
      </c>
      <c r="I18" s="15" t="s">
        <v>39</v>
      </c>
      <c r="J18" s="15" t="s">
        <v>39</v>
      </c>
      <c r="K18" s="15" t="s">
        <v>39</v>
      </c>
      <c r="L18" s="15" t="s">
        <v>39</v>
      </c>
      <c r="M18" s="15" t="s">
        <v>39</v>
      </c>
      <c r="N18" s="15" t="s">
        <v>39</v>
      </c>
      <c r="O18" s="15" t="s">
        <v>39</v>
      </c>
      <c r="P18" s="15" t="s">
        <v>39</v>
      </c>
      <c r="Q18" s="15" t="s">
        <v>39</v>
      </c>
      <c r="R18" s="15" t="s">
        <v>39</v>
      </c>
      <c r="S18" s="15" t="s">
        <v>39</v>
      </c>
      <c r="T18" s="15" t="s">
        <v>39</v>
      </c>
      <c r="U18" s="15" t="s">
        <v>39</v>
      </c>
      <c r="V18" s="15" t="s">
        <v>39</v>
      </c>
      <c r="W18" s="15" t="s">
        <v>39</v>
      </c>
      <c r="X18" s="15" t="s">
        <v>39</v>
      </c>
    </row>
    <row r="19" spans="1:24" x14ac:dyDescent="0.25">
      <c r="A19" s="7" t="s">
        <v>40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1:24" x14ac:dyDescent="0.25">
      <c r="A20" s="7" t="s">
        <v>41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1:24" x14ac:dyDescent="0.25">
      <c r="A21" s="7" t="s">
        <v>42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</row>
    <row r="22" spans="1:24" x14ac:dyDescent="0.25">
      <c r="A22" s="7" t="s">
        <v>43</v>
      </c>
      <c r="B22" s="15" t="s">
        <v>39</v>
      </c>
      <c r="C22" s="15" t="s">
        <v>39</v>
      </c>
      <c r="D22" s="15" t="s">
        <v>39</v>
      </c>
      <c r="E22" s="15" t="s">
        <v>39</v>
      </c>
      <c r="F22" s="15" t="s">
        <v>39</v>
      </c>
      <c r="G22" s="15" t="s">
        <v>39</v>
      </c>
      <c r="H22" s="15" t="s">
        <v>39</v>
      </c>
      <c r="I22" s="15" t="s">
        <v>39</v>
      </c>
      <c r="J22" s="15" t="s">
        <v>39</v>
      </c>
      <c r="K22" s="15" t="s">
        <v>39</v>
      </c>
      <c r="L22" s="15" t="s">
        <v>39</v>
      </c>
      <c r="M22" s="15" t="s">
        <v>39</v>
      </c>
      <c r="N22" s="15" t="s">
        <v>39</v>
      </c>
      <c r="O22" s="15" t="s">
        <v>39</v>
      </c>
      <c r="P22" s="15" t="s">
        <v>39</v>
      </c>
      <c r="Q22" s="15" t="s">
        <v>39</v>
      </c>
      <c r="R22" s="15" t="s">
        <v>39</v>
      </c>
      <c r="S22" s="15" t="s">
        <v>39</v>
      </c>
      <c r="T22" s="15" t="s">
        <v>39</v>
      </c>
      <c r="U22" s="15" t="s">
        <v>39</v>
      </c>
      <c r="V22" s="15" t="s">
        <v>39</v>
      </c>
      <c r="W22" s="15" t="s">
        <v>39</v>
      </c>
      <c r="X22" s="15" t="s">
        <v>39</v>
      </c>
    </row>
    <row r="23" spans="1:24" x14ac:dyDescent="0.25">
      <c r="A23" s="7" t="s">
        <v>44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1:24" x14ac:dyDescent="0.25">
      <c r="A24" s="7" t="s">
        <v>45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1:24" x14ac:dyDescent="0.25">
      <c r="A25" s="7" t="s">
        <v>46</v>
      </c>
      <c r="B25" s="15" t="s">
        <v>39</v>
      </c>
      <c r="C25" s="15" t="s">
        <v>39</v>
      </c>
      <c r="D25" s="15" t="s">
        <v>39</v>
      </c>
      <c r="E25" s="15" t="s">
        <v>39</v>
      </c>
      <c r="F25" s="15" t="s">
        <v>39</v>
      </c>
      <c r="G25" s="15" t="s">
        <v>39</v>
      </c>
      <c r="H25" s="15" t="s">
        <v>39</v>
      </c>
      <c r="I25" s="15" t="s">
        <v>39</v>
      </c>
      <c r="J25" s="15" t="s">
        <v>39</v>
      </c>
      <c r="K25" s="15" t="s">
        <v>39</v>
      </c>
      <c r="L25" s="15" t="s">
        <v>39</v>
      </c>
      <c r="M25" s="15" t="s">
        <v>39</v>
      </c>
      <c r="N25" s="15" t="s">
        <v>39</v>
      </c>
      <c r="O25" s="15" t="s">
        <v>39</v>
      </c>
      <c r="P25" s="15" t="s">
        <v>39</v>
      </c>
      <c r="Q25" s="15" t="s">
        <v>39</v>
      </c>
      <c r="R25" s="15" t="s">
        <v>39</v>
      </c>
      <c r="S25" s="15" t="s">
        <v>39</v>
      </c>
      <c r="T25" s="15" t="s">
        <v>39</v>
      </c>
      <c r="U25" s="15" t="s">
        <v>39</v>
      </c>
      <c r="V25" s="15" t="s">
        <v>39</v>
      </c>
      <c r="W25" s="15" t="s">
        <v>39</v>
      </c>
      <c r="X25" s="15" t="s">
        <v>39</v>
      </c>
    </row>
    <row r="26" spans="1:24" x14ac:dyDescent="0.25">
      <c r="A26" s="7" t="s">
        <v>47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1:24" x14ac:dyDescent="0.25">
      <c r="A27" s="7" t="s">
        <v>48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x14ac:dyDescent="0.25">
      <c r="A28" s="7" t="s">
        <v>49</v>
      </c>
      <c r="B28" s="15">
        <v>5</v>
      </c>
      <c r="C28" s="15">
        <v>10</v>
      </c>
      <c r="D28" s="15">
        <v>5</v>
      </c>
      <c r="E28" s="15">
        <v>5</v>
      </c>
      <c r="F28" s="15">
        <v>5</v>
      </c>
      <c r="G28" s="15">
        <v>5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5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1:24" x14ac:dyDescent="0.25">
      <c r="A29" s="7" t="s">
        <v>50</v>
      </c>
      <c r="B29" s="15" t="s">
        <v>39</v>
      </c>
      <c r="C29" s="15" t="s">
        <v>39</v>
      </c>
      <c r="D29" s="15" t="s">
        <v>39</v>
      </c>
      <c r="E29" s="15" t="s">
        <v>39</v>
      </c>
      <c r="F29" s="15" t="s">
        <v>39</v>
      </c>
      <c r="G29" s="15" t="s">
        <v>39</v>
      </c>
      <c r="H29" s="15" t="s">
        <v>39</v>
      </c>
      <c r="I29" s="15" t="s">
        <v>39</v>
      </c>
      <c r="J29" s="15" t="s">
        <v>39</v>
      </c>
      <c r="K29" s="15" t="s">
        <v>39</v>
      </c>
      <c r="L29" s="15" t="s">
        <v>39</v>
      </c>
      <c r="M29" s="15" t="s">
        <v>39</v>
      </c>
      <c r="N29" s="15" t="s">
        <v>39</v>
      </c>
      <c r="O29" s="15" t="s">
        <v>39</v>
      </c>
      <c r="P29" s="15" t="s">
        <v>39</v>
      </c>
      <c r="Q29" s="15" t="s">
        <v>39</v>
      </c>
      <c r="R29" s="15" t="s">
        <v>39</v>
      </c>
      <c r="S29" s="15" t="s">
        <v>39</v>
      </c>
      <c r="T29" s="15" t="s">
        <v>39</v>
      </c>
      <c r="U29" s="15" t="s">
        <v>39</v>
      </c>
      <c r="V29" s="15" t="s">
        <v>39</v>
      </c>
      <c r="W29" s="15" t="s">
        <v>39</v>
      </c>
      <c r="X29" s="15" t="s">
        <v>39</v>
      </c>
    </row>
    <row r="30" spans="1:24" x14ac:dyDescent="0.25">
      <c r="A30" s="7" t="s">
        <v>51</v>
      </c>
      <c r="B30" s="15">
        <v>5</v>
      </c>
      <c r="C30" s="15">
        <v>25</v>
      </c>
      <c r="D30" s="15">
        <v>5</v>
      </c>
      <c r="E30" s="15">
        <v>5</v>
      </c>
      <c r="F30" s="15">
        <v>0</v>
      </c>
      <c r="G30" s="15">
        <v>5</v>
      </c>
      <c r="H30" s="15">
        <v>5</v>
      </c>
      <c r="I30" s="15">
        <v>0</v>
      </c>
      <c r="J30" s="15">
        <v>5</v>
      </c>
      <c r="K30" s="15">
        <v>0</v>
      </c>
      <c r="L30" s="15">
        <v>0</v>
      </c>
      <c r="M30" s="15">
        <v>0</v>
      </c>
      <c r="N30" s="15">
        <v>5</v>
      </c>
      <c r="O30" s="15">
        <v>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5</v>
      </c>
      <c r="V30" s="15">
        <v>0</v>
      </c>
      <c r="W30" s="15">
        <v>0</v>
      </c>
      <c r="X30" s="15">
        <v>0</v>
      </c>
    </row>
    <row r="31" spans="1:24" x14ac:dyDescent="0.25">
      <c r="A31" s="7" t="s">
        <v>52</v>
      </c>
      <c r="B31" s="15" t="s">
        <v>39</v>
      </c>
      <c r="C31" s="15" t="s">
        <v>39</v>
      </c>
      <c r="D31" s="15" t="s">
        <v>39</v>
      </c>
      <c r="E31" s="15" t="s">
        <v>39</v>
      </c>
      <c r="F31" s="15" t="s">
        <v>39</v>
      </c>
      <c r="G31" s="15" t="s">
        <v>39</v>
      </c>
      <c r="H31" s="15" t="s">
        <v>39</v>
      </c>
      <c r="I31" s="15" t="s">
        <v>39</v>
      </c>
      <c r="J31" s="15" t="s">
        <v>39</v>
      </c>
      <c r="K31" s="15" t="s">
        <v>39</v>
      </c>
      <c r="L31" s="15" t="s">
        <v>39</v>
      </c>
      <c r="M31" s="15" t="s">
        <v>39</v>
      </c>
      <c r="N31" s="15" t="s">
        <v>39</v>
      </c>
      <c r="O31" s="15" t="s">
        <v>39</v>
      </c>
      <c r="P31" s="15" t="s">
        <v>39</v>
      </c>
      <c r="Q31" s="15" t="s">
        <v>39</v>
      </c>
      <c r="R31" s="15" t="s">
        <v>39</v>
      </c>
      <c r="S31" s="15" t="s">
        <v>39</v>
      </c>
      <c r="T31" s="15" t="s">
        <v>39</v>
      </c>
      <c r="U31" s="15" t="s">
        <v>39</v>
      </c>
      <c r="V31" s="15" t="s">
        <v>39</v>
      </c>
      <c r="W31" s="15" t="s">
        <v>39</v>
      </c>
      <c r="X31" s="15" t="s">
        <v>39</v>
      </c>
    </row>
    <row r="32" spans="1:24" x14ac:dyDescent="0.25">
      <c r="A32" s="7" t="s">
        <v>53</v>
      </c>
      <c r="B32" s="15" t="s">
        <v>39</v>
      </c>
      <c r="C32" s="15" t="s">
        <v>39</v>
      </c>
      <c r="D32" s="15" t="s">
        <v>39</v>
      </c>
      <c r="E32" s="15" t="s">
        <v>39</v>
      </c>
      <c r="F32" s="15" t="s">
        <v>39</v>
      </c>
      <c r="G32" s="15" t="s">
        <v>39</v>
      </c>
      <c r="H32" s="15" t="s">
        <v>39</v>
      </c>
      <c r="I32" s="15" t="s">
        <v>39</v>
      </c>
      <c r="J32" s="15" t="s">
        <v>39</v>
      </c>
      <c r="K32" s="15" t="s">
        <v>39</v>
      </c>
      <c r="L32" s="15" t="s">
        <v>39</v>
      </c>
      <c r="M32" s="15" t="s">
        <v>39</v>
      </c>
      <c r="N32" s="15" t="s">
        <v>39</v>
      </c>
      <c r="O32" s="15" t="s">
        <v>39</v>
      </c>
      <c r="P32" s="15" t="s">
        <v>39</v>
      </c>
      <c r="Q32" s="15" t="s">
        <v>39</v>
      </c>
      <c r="R32" s="15" t="s">
        <v>39</v>
      </c>
      <c r="S32" s="15" t="s">
        <v>39</v>
      </c>
      <c r="T32" s="15" t="s">
        <v>39</v>
      </c>
      <c r="U32" s="15" t="s">
        <v>39</v>
      </c>
      <c r="V32" s="15" t="s">
        <v>39</v>
      </c>
      <c r="W32" s="15" t="s">
        <v>39</v>
      </c>
      <c r="X32" s="15" t="s">
        <v>39</v>
      </c>
    </row>
    <row r="33" spans="1:24" x14ac:dyDescent="0.25">
      <c r="A33" s="7" t="s">
        <v>54</v>
      </c>
      <c r="B33" s="15">
        <v>5</v>
      </c>
      <c r="C33" s="15">
        <v>20</v>
      </c>
      <c r="D33" s="15">
        <v>5</v>
      </c>
      <c r="E33" s="15">
        <v>5</v>
      </c>
      <c r="F33" s="15">
        <v>5</v>
      </c>
      <c r="G33" s="15">
        <v>5</v>
      </c>
      <c r="H33" s="15">
        <v>5</v>
      </c>
      <c r="I33" s="15">
        <v>0</v>
      </c>
      <c r="J33" s="15">
        <v>5</v>
      </c>
      <c r="K33" s="15">
        <v>0</v>
      </c>
      <c r="L33" s="15">
        <v>0</v>
      </c>
      <c r="M33" s="15">
        <v>0</v>
      </c>
      <c r="N33" s="15">
        <v>5</v>
      </c>
      <c r="O33" s="15">
        <v>5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5</v>
      </c>
      <c r="V33" s="15">
        <v>0</v>
      </c>
      <c r="W33" s="15">
        <v>0</v>
      </c>
      <c r="X33" s="15">
        <v>0</v>
      </c>
    </row>
    <row r="34" spans="1:24" x14ac:dyDescent="0.25">
      <c r="A34" s="7" t="s">
        <v>55</v>
      </c>
      <c r="B34" s="15" t="s">
        <v>39</v>
      </c>
      <c r="C34" s="15" t="s">
        <v>39</v>
      </c>
      <c r="D34" s="15" t="s">
        <v>39</v>
      </c>
      <c r="E34" s="15" t="s">
        <v>39</v>
      </c>
      <c r="F34" s="15" t="s">
        <v>39</v>
      </c>
      <c r="G34" s="15" t="s">
        <v>39</v>
      </c>
      <c r="H34" s="15" t="s">
        <v>39</v>
      </c>
      <c r="I34" s="15" t="s">
        <v>39</v>
      </c>
      <c r="J34" s="15" t="s">
        <v>39</v>
      </c>
      <c r="K34" s="15" t="s">
        <v>39</v>
      </c>
      <c r="L34" s="15" t="s">
        <v>39</v>
      </c>
      <c r="M34" s="15" t="s">
        <v>39</v>
      </c>
      <c r="N34" s="15" t="s">
        <v>39</v>
      </c>
      <c r="O34" s="15" t="s">
        <v>39</v>
      </c>
      <c r="P34" s="15" t="s">
        <v>39</v>
      </c>
      <c r="Q34" s="15" t="s">
        <v>39</v>
      </c>
      <c r="R34" s="15" t="s">
        <v>39</v>
      </c>
      <c r="S34" s="15" t="s">
        <v>39</v>
      </c>
      <c r="T34" s="15" t="s">
        <v>39</v>
      </c>
      <c r="U34" s="15" t="s">
        <v>39</v>
      </c>
      <c r="V34" s="15" t="s">
        <v>39</v>
      </c>
      <c r="W34" s="15" t="s">
        <v>39</v>
      </c>
      <c r="X34" s="15" t="s">
        <v>39</v>
      </c>
    </row>
    <row r="35" spans="1:24" x14ac:dyDescent="0.25">
      <c r="A35" s="7" t="s">
        <v>56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</row>
    <row r="36" spans="1:24" x14ac:dyDescent="0.25">
      <c r="A36" s="7" t="s">
        <v>57</v>
      </c>
      <c r="B36" s="15" t="s">
        <v>39</v>
      </c>
      <c r="C36" s="15" t="s">
        <v>39</v>
      </c>
      <c r="D36" s="15" t="s">
        <v>39</v>
      </c>
      <c r="E36" s="15" t="s">
        <v>39</v>
      </c>
      <c r="F36" s="15" t="s">
        <v>39</v>
      </c>
      <c r="G36" s="15" t="s">
        <v>39</v>
      </c>
      <c r="H36" s="15" t="s">
        <v>39</v>
      </c>
      <c r="I36" s="15" t="s">
        <v>39</v>
      </c>
      <c r="J36" s="15" t="s">
        <v>39</v>
      </c>
      <c r="K36" s="15" t="s">
        <v>39</v>
      </c>
      <c r="L36" s="15" t="s">
        <v>39</v>
      </c>
      <c r="M36" s="15" t="s">
        <v>39</v>
      </c>
      <c r="N36" s="15" t="s">
        <v>39</v>
      </c>
      <c r="O36" s="15" t="s">
        <v>39</v>
      </c>
      <c r="P36" s="15" t="s">
        <v>39</v>
      </c>
      <c r="Q36" s="15" t="s">
        <v>39</v>
      </c>
      <c r="R36" s="15" t="s">
        <v>39</v>
      </c>
      <c r="S36" s="15" t="s">
        <v>39</v>
      </c>
      <c r="T36" s="15" t="s">
        <v>39</v>
      </c>
      <c r="U36" s="15" t="s">
        <v>39</v>
      </c>
      <c r="V36" s="15" t="s">
        <v>39</v>
      </c>
      <c r="W36" s="15" t="s">
        <v>39</v>
      </c>
      <c r="X36" s="15" t="s">
        <v>39</v>
      </c>
    </row>
    <row r="37" spans="1:24" x14ac:dyDescent="0.25">
      <c r="A37" s="7" t="s">
        <v>58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</row>
    <row r="38" spans="1:24" x14ac:dyDescent="0.25">
      <c r="A38" s="7" t="s">
        <v>59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</row>
    <row r="39" spans="1:24" x14ac:dyDescent="0.25">
      <c r="A39" s="7" t="s">
        <v>60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</row>
    <row r="40" spans="1:24" x14ac:dyDescent="0.25">
      <c r="A40" s="7" t="s">
        <v>61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</row>
    <row r="41" spans="1:24" x14ac:dyDescent="0.25">
      <c r="A41" s="7" t="s">
        <v>62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</row>
    <row r="42" spans="1:24" x14ac:dyDescent="0.25">
      <c r="A42" s="7" t="s">
        <v>63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</row>
    <row r="43" spans="1:24" x14ac:dyDescent="0.25">
      <c r="A43" s="7" t="s">
        <v>64</v>
      </c>
      <c r="B43" s="15">
        <v>5</v>
      </c>
      <c r="C43" s="15">
        <v>15</v>
      </c>
      <c r="D43" s="15">
        <v>5</v>
      </c>
      <c r="E43" s="15">
        <v>5</v>
      </c>
      <c r="F43" s="15">
        <v>0</v>
      </c>
      <c r="G43" s="15">
        <v>5</v>
      </c>
      <c r="H43" s="15">
        <v>5</v>
      </c>
      <c r="I43" s="15">
        <v>5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5</v>
      </c>
      <c r="T43" s="15">
        <v>0</v>
      </c>
      <c r="U43" s="15">
        <v>5</v>
      </c>
      <c r="V43" s="15">
        <v>0</v>
      </c>
      <c r="W43" s="15">
        <v>0</v>
      </c>
      <c r="X43" s="15">
        <v>0</v>
      </c>
    </row>
    <row r="44" spans="1:24" x14ac:dyDescent="0.25">
      <c r="A44" s="7" t="s">
        <v>65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</row>
    <row r="45" spans="1:24" x14ac:dyDescent="0.25">
      <c r="A45" s="7" t="s">
        <v>66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</row>
    <row r="46" spans="1:24" x14ac:dyDescent="0.25">
      <c r="A46" s="7" t="s">
        <v>67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</row>
    <row r="47" spans="1:24" x14ac:dyDescent="0.25">
      <c r="A47" s="7" t="s">
        <v>68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</row>
    <row r="48" spans="1:24" x14ac:dyDescent="0.25">
      <c r="A48" s="7" t="s">
        <v>69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</row>
    <row r="49" spans="1:24" x14ac:dyDescent="0.25">
      <c r="A49" s="7" t="s">
        <v>70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</row>
    <row r="50" spans="1:24" x14ac:dyDescent="0.25">
      <c r="A50" s="7" t="s">
        <v>71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</row>
    <row r="51" spans="1:24" x14ac:dyDescent="0.25">
      <c r="A51" s="7" t="s">
        <v>72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</row>
    <row r="52" spans="1:24" x14ac:dyDescent="0.25">
      <c r="A52" s="7" t="s">
        <v>73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</row>
    <row r="53" spans="1:24" x14ac:dyDescent="0.25">
      <c r="A53" s="7" t="s">
        <v>74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</row>
    <row r="54" spans="1:24" x14ac:dyDescent="0.25">
      <c r="A54" s="7" t="s">
        <v>75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</row>
    <row r="55" spans="1:24" x14ac:dyDescent="0.25">
      <c r="A55" s="7" t="s">
        <v>76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</row>
    <row r="56" spans="1:24" x14ac:dyDescent="0.25">
      <c r="A56" s="7" t="s">
        <v>77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</row>
    <row r="57" spans="1:24" x14ac:dyDescent="0.25">
      <c r="A57" s="7" t="s">
        <v>78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</row>
    <row r="58" spans="1:24" x14ac:dyDescent="0.25">
      <c r="A58" s="7" t="s">
        <v>79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</row>
    <row r="59" spans="1:24" x14ac:dyDescent="0.25">
      <c r="A59" s="7" t="s">
        <v>80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</row>
    <row r="60" spans="1:24" x14ac:dyDescent="0.25">
      <c r="A60" s="7" t="s">
        <v>81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</row>
    <row r="61" spans="1:24" x14ac:dyDescent="0.25">
      <c r="A61" s="7" t="s">
        <v>82</v>
      </c>
      <c r="B61" s="15" t="s">
        <v>39</v>
      </c>
      <c r="C61" s="15" t="s">
        <v>39</v>
      </c>
      <c r="D61" s="15" t="s">
        <v>39</v>
      </c>
      <c r="E61" s="15" t="s">
        <v>39</v>
      </c>
      <c r="F61" s="15" t="s">
        <v>39</v>
      </c>
      <c r="G61" s="15" t="s">
        <v>39</v>
      </c>
      <c r="H61" s="15" t="s">
        <v>39</v>
      </c>
      <c r="I61" s="15" t="s">
        <v>39</v>
      </c>
      <c r="J61" s="15" t="s">
        <v>39</v>
      </c>
      <c r="K61" s="15" t="s">
        <v>39</v>
      </c>
      <c r="L61" s="15" t="s">
        <v>39</v>
      </c>
      <c r="M61" s="15" t="s">
        <v>39</v>
      </c>
      <c r="N61" s="15" t="s">
        <v>39</v>
      </c>
      <c r="O61" s="15" t="s">
        <v>39</v>
      </c>
      <c r="P61" s="15" t="s">
        <v>39</v>
      </c>
      <c r="Q61" s="15" t="s">
        <v>39</v>
      </c>
      <c r="R61" s="15" t="s">
        <v>39</v>
      </c>
      <c r="S61" s="15" t="s">
        <v>39</v>
      </c>
      <c r="T61" s="15" t="s">
        <v>39</v>
      </c>
      <c r="U61" s="15" t="s">
        <v>39</v>
      </c>
      <c r="V61" s="15" t="s">
        <v>39</v>
      </c>
      <c r="W61" s="15" t="s">
        <v>39</v>
      </c>
      <c r="X61" s="15" t="s">
        <v>39</v>
      </c>
    </row>
    <row r="62" spans="1:24" x14ac:dyDescent="0.25">
      <c r="A62" s="7" t="s">
        <v>83</v>
      </c>
      <c r="B62" s="15">
        <v>5</v>
      </c>
      <c r="C62" s="15">
        <v>25</v>
      </c>
      <c r="D62" s="15">
        <v>5</v>
      </c>
      <c r="E62" s="15">
        <v>5</v>
      </c>
      <c r="F62" s="15">
        <v>0</v>
      </c>
      <c r="G62" s="15">
        <v>5</v>
      </c>
      <c r="H62" s="15">
        <v>5</v>
      </c>
      <c r="I62" s="15">
        <v>0</v>
      </c>
      <c r="J62" s="15">
        <v>5</v>
      </c>
      <c r="K62" s="15">
        <v>0</v>
      </c>
      <c r="L62" s="15">
        <v>0</v>
      </c>
      <c r="M62" s="15">
        <v>0</v>
      </c>
      <c r="N62" s="15">
        <v>5</v>
      </c>
      <c r="O62" s="15">
        <v>5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5</v>
      </c>
      <c r="V62" s="15">
        <v>0</v>
      </c>
      <c r="W62" s="15">
        <v>0</v>
      </c>
      <c r="X62" s="15">
        <v>0</v>
      </c>
    </row>
    <row r="63" spans="1:24" x14ac:dyDescent="0.25">
      <c r="A63" s="7" t="s">
        <v>84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</row>
    <row r="64" spans="1:24" x14ac:dyDescent="0.25">
      <c r="A64" s="7" t="s">
        <v>85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</row>
    <row r="65" spans="1:24" x14ac:dyDescent="0.25">
      <c r="A65" s="7" t="s">
        <v>86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</row>
    <row r="66" spans="1:24" x14ac:dyDescent="0.25">
      <c r="A66" s="7" t="s">
        <v>87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</row>
    <row r="67" spans="1:24" x14ac:dyDescent="0.25">
      <c r="A67" s="7" t="s">
        <v>88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</row>
    <row r="68" spans="1:24" x14ac:dyDescent="0.25">
      <c r="A68" s="7" t="s">
        <v>89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</row>
    <row r="69" spans="1:24" x14ac:dyDescent="0.25">
      <c r="A69" s="7" t="s">
        <v>90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</row>
    <row r="70" spans="1:24" x14ac:dyDescent="0.25">
      <c r="A70" s="7" t="s">
        <v>91</v>
      </c>
      <c r="B70" s="15">
        <v>10</v>
      </c>
      <c r="C70" s="15">
        <v>20</v>
      </c>
      <c r="D70" s="15">
        <v>5</v>
      </c>
      <c r="E70" s="15">
        <v>10</v>
      </c>
      <c r="F70" s="15">
        <v>0</v>
      </c>
      <c r="G70" s="15">
        <v>5</v>
      </c>
      <c r="H70" s="15">
        <v>5</v>
      </c>
      <c r="I70" s="15">
        <v>5</v>
      </c>
      <c r="J70" s="15">
        <v>0</v>
      </c>
      <c r="K70" s="15">
        <v>0</v>
      </c>
      <c r="L70" s="15">
        <v>0</v>
      </c>
      <c r="M70" s="15">
        <v>0</v>
      </c>
      <c r="N70" s="15">
        <v>5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5</v>
      </c>
      <c r="V70" s="15">
        <v>0</v>
      </c>
      <c r="W70" s="15">
        <v>0</v>
      </c>
      <c r="X70" s="15">
        <v>0</v>
      </c>
    </row>
    <row r="71" spans="1:24" x14ac:dyDescent="0.25">
      <c r="A71" s="7" t="s">
        <v>92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</row>
    <row r="72" spans="1:24" x14ac:dyDescent="0.25">
      <c r="A72" s="7" t="s">
        <v>93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</row>
    <row r="73" spans="1:24" x14ac:dyDescent="0.25">
      <c r="A73" s="7" t="s">
        <v>94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</row>
    <row r="74" spans="1:24" x14ac:dyDescent="0.25">
      <c r="A74" s="7" t="s">
        <v>95</v>
      </c>
      <c r="B74" s="15" t="s">
        <v>39</v>
      </c>
      <c r="C74" s="15" t="s">
        <v>39</v>
      </c>
      <c r="D74" s="15" t="s">
        <v>39</v>
      </c>
      <c r="E74" s="15" t="s">
        <v>39</v>
      </c>
      <c r="F74" s="15" t="s">
        <v>39</v>
      </c>
      <c r="G74" s="15" t="s">
        <v>39</v>
      </c>
      <c r="H74" s="15" t="s">
        <v>39</v>
      </c>
      <c r="I74" s="15" t="s">
        <v>39</v>
      </c>
      <c r="J74" s="15" t="s">
        <v>39</v>
      </c>
      <c r="K74" s="15" t="s">
        <v>39</v>
      </c>
      <c r="L74" s="15" t="s">
        <v>39</v>
      </c>
      <c r="M74" s="15" t="s">
        <v>39</v>
      </c>
      <c r="N74" s="15" t="s">
        <v>39</v>
      </c>
      <c r="O74" s="15" t="s">
        <v>39</v>
      </c>
      <c r="P74" s="15" t="s">
        <v>39</v>
      </c>
      <c r="Q74" s="15" t="s">
        <v>39</v>
      </c>
      <c r="R74" s="15" t="s">
        <v>39</v>
      </c>
      <c r="S74" s="15" t="s">
        <v>39</v>
      </c>
      <c r="T74" s="15" t="s">
        <v>39</v>
      </c>
      <c r="U74" s="15" t="s">
        <v>39</v>
      </c>
      <c r="V74" s="15" t="s">
        <v>39</v>
      </c>
      <c r="W74" s="15" t="s">
        <v>39</v>
      </c>
      <c r="X74" s="15" t="s">
        <v>39</v>
      </c>
    </row>
    <row r="75" spans="1:24" x14ac:dyDescent="0.25">
      <c r="A75" s="16" t="s">
        <v>96</v>
      </c>
      <c r="B75" s="17">
        <v>54</v>
      </c>
      <c r="C75" s="17">
        <v>2802</v>
      </c>
      <c r="D75" s="17">
        <v>51</v>
      </c>
      <c r="E75" s="17">
        <v>54</v>
      </c>
      <c r="F75" s="17">
        <v>17</v>
      </c>
      <c r="G75" s="17">
        <v>49</v>
      </c>
      <c r="H75" s="17">
        <v>37</v>
      </c>
      <c r="I75" s="17">
        <v>16</v>
      </c>
      <c r="J75" s="17">
        <v>24</v>
      </c>
      <c r="K75" s="17">
        <v>2</v>
      </c>
      <c r="L75" s="17">
        <v>6</v>
      </c>
      <c r="M75" s="17">
        <v>6</v>
      </c>
      <c r="N75" s="17">
        <v>32</v>
      </c>
      <c r="O75" s="17">
        <v>19</v>
      </c>
      <c r="P75" s="17">
        <v>4</v>
      </c>
      <c r="Q75" s="17">
        <v>3</v>
      </c>
      <c r="R75" s="17">
        <v>2</v>
      </c>
      <c r="S75" s="17">
        <v>9</v>
      </c>
      <c r="T75" s="17">
        <v>10</v>
      </c>
      <c r="U75" s="17">
        <v>26</v>
      </c>
      <c r="V75" s="17">
        <v>2</v>
      </c>
      <c r="W75" s="17">
        <v>0</v>
      </c>
      <c r="X75" s="17">
        <v>5</v>
      </c>
    </row>
    <row r="76" spans="1:24" s="7" customFormat="1" x14ac:dyDescent="0.25">
      <c r="A76" s="16" t="s">
        <v>97</v>
      </c>
      <c r="B76" s="18">
        <f t="shared" ref="B76" si="0">B75/$B75</f>
        <v>1</v>
      </c>
      <c r="C76" s="19"/>
      <c r="D76" s="18">
        <f>D75/$B75</f>
        <v>0.94444444444444442</v>
      </c>
      <c r="E76" s="18">
        <f t="shared" ref="E76:Q76" si="1">E75/$B75</f>
        <v>1</v>
      </c>
      <c r="F76" s="18">
        <f t="shared" si="1"/>
        <v>0.31481481481481483</v>
      </c>
      <c r="G76" s="18">
        <f t="shared" si="1"/>
        <v>0.90740740740740744</v>
      </c>
      <c r="H76" s="18">
        <f>H75/$D75</f>
        <v>0.72549019607843135</v>
      </c>
      <c r="I76" s="18">
        <f t="shared" si="1"/>
        <v>0.29629629629629628</v>
      </c>
      <c r="J76" s="18">
        <f t="shared" si="1"/>
        <v>0.44444444444444442</v>
      </c>
      <c r="K76" s="18">
        <f t="shared" si="1"/>
        <v>3.7037037037037035E-2</v>
      </c>
      <c r="L76" s="18">
        <f t="shared" si="1"/>
        <v>0.1111111111111111</v>
      </c>
      <c r="M76" s="18">
        <f t="shared" si="1"/>
        <v>0.1111111111111111</v>
      </c>
      <c r="N76" s="18">
        <f t="shared" si="1"/>
        <v>0.59259259259259256</v>
      </c>
      <c r="O76" s="18">
        <f t="shared" si="1"/>
        <v>0.35185185185185186</v>
      </c>
      <c r="P76" s="18">
        <f t="shared" si="1"/>
        <v>7.407407407407407E-2</v>
      </c>
      <c r="Q76" s="18">
        <f t="shared" si="1"/>
        <v>5.5555555555555552E-2</v>
      </c>
      <c r="R76" s="18">
        <f>R75/$B75</f>
        <v>3.7037037037037035E-2</v>
      </c>
      <c r="S76" s="18">
        <f t="shared" ref="S76:X76" si="2">S75/$B75</f>
        <v>0.16666666666666666</v>
      </c>
      <c r="T76" s="18">
        <f t="shared" si="2"/>
        <v>0.18518518518518517</v>
      </c>
      <c r="U76" s="18">
        <f t="shared" si="2"/>
        <v>0.48148148148148145</v>
      </c>
      <c r="V76" s="18">
        <f t="shared" si="2"/>
        <v>3.7037037037037035E-2</v>
      </c>
      <c r="W76" s="18">
        <f t="shared" si="2"/>
        <v>0</v>
      </c>
      <c r="X76" s="18">
        <f t="shared" si="2"/>
        <v>9.2592592592592587E-2</v>
      </c>
    </row>
  </sheetData>
  <mergeCells count="2">
    <mergeCell ref="I12:Q12"/>
    <mergeCell ref="R12:X12"/>
  </mergeCells>
  <pageMargins left="0.7" right="0.7" top="0.75" bottom="0.75" header="0.3" footer="0.3"/>
  <pageSetup paperSize="9" scale="3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allocations (sus)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Craig Hirte</cp:lastModifiedBy>
  <dcterms:created xsi:type="dcterms:W3CDTF">2022-06-06T00:27:58Z</dcterms:created>
  <dcterms:modified xsi:type="dcterms:W3CDTF">2022-06-06T00:28:16Z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2022-06-06T00:28:16Z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7dc144a9-c8b4-4fd8-b95f-364f08fd513b</vt:lpwstr>
  </property>
  <property fmtid="{D5CDD505-2E9C-101B-9397-08002B2CF9AE}" pid="8" name="MSIP_Label_77274858-3b1d-4431-8679-d878f40e28fd_ContentBits">
    <vt:lpwstr>1</vt:lpwstr>
  </property>
</Properties>
</file>